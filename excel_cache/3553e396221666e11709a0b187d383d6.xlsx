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ASER TENDER\20143\"/>
    </mc:Choice>
  </mc:AlternateContent>
  <xr:revisionPtr revIDLastSave="0" documentId="13_ncr:1_{AAF6DA3B-DD9A-4A64-9E38-FCF41D7016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UTO CALCULATION SHEET (2)" sheetId="4" r:id="rId2"/>
    <sheet name="NORMAL" sheetId="6" state="hidden" r:id="rId3"/>
    <sheet name="HT&amp;LT PC" sheetId="7" r:id="rId4"/>
    <sheet name="terms" sheetId="5" state="hidden" r:id="rId5"/>
  </sheets>
  <externalReferences>
    <externalReference r:id="rId6"/>
  </externalReference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0" i="7" l="1"/>
  <c r="BU3" i="4"/>
  <c r="AX12" i="7"/>
  <c r="AO12" i="7"/>
  <c r="AV12" i="7"/>
  <c r="AU12" i="7"/>
  <c r="AT12" i="7"/>
  <c r="AR12" i="7"/>
  <c r="AK12" i="7"/>
  <c r="AI12" i="7"/>
  <c r="AF12" i="7"/>
  <c r="AC12" i="7"/>
  <c r="AB12" i="7"/>
  <c r="AA12" i="7"/>
  <c r="Z12" i="7"/>
  <c r="Y12" i="7"/>
  <c r="X12" i="7"/>
  <c r="J12" i="7"/>
  <c r="AU9" i="7"/>
  <c r="AT9" i="7"/>
  <c r="AS9" i="7"/>
  <c r="AR9" i="7"/>
  <c r="AQ9" i="7"/>
  <c r="AP9" i="7"/>
  <c r="AO9" i="7"/>
  <c r="AN9" i="7"/>
  <c r="AM9" i="7"/>
  <c r="AL9" i="7"/>
  <c r="AJ9" i="7"/>
  <c r="AI9" i="7"/>
  <c r="AH9" i="7"/>
  <c r="AG9" i="7"/>
  <c r="AF9" i="7"/>
  <c r="AW12" i="7" l="1"/>
  <c r="AY12" i="7" s="1"/>
  <c r="AD12" i="7"/>
  <c r="CW4" i="6" l="1"/>
  <c r="CU4" i="6"/>
  <c r="CK4" i="6"/>
  <c r="F9" i="6" s="1"/>
  <c r="B9" i="6"/>
  <c r="I9" i="6"/>
  <c r="H9" i="6"/>
  <c r="G9" i="6"/>
  <c r="CY4" i="6"/>
  <c r="CN4" i="6"/>
  <c r="CJ4" i="6"/>
  <c r="CI4" i="6"/>
  <c r="CH4" i="6"/>
  <c r="A9" i="6"/>
  <c r="L4" i="6"/>
  <c r="K4" i="6"/>
  <c r="K15" i="6" s="1"/>
  <c r="H4" i="6"/>
  <c r="H15" i="6" s="1"/>
  <c r="D4" i="6"/>
  <c r="D15" i="6" s="1"/>
  <c r="C4" i="6"/>
  <c r="C15" i="6" s="1"/>
  <c r="A4" i="6"/>
  <c r="A15" i="6" s="1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T4" i="4"/>
  <c r="T3" i="4"/>
  <c r="S4" i="4"/>
  <c r="S3" i="4"/>
  <c r="AU4" i="4"/>
  <c r="AU3" i="4"/>
  <c r="R4" i="4"/>
  <c r="R3" i="4"/>
  <c r="BV4" i="4"/>
  <c r="BV3" i="4"/>
  <c r="AZ4" i="4"/>
  <c r="AZ3" i="4"/>
  <c r="L4" i="4"/>
  <c r="K4" i="4"/>
  <c r="K15" i="4" s="1"/>
  <c r="H4" i="4"/>
  <c r="H15" i="4" s="1"/>
  <c r="CY4" i="4"/>
  <c r="F9" i="4" l="1"/>
  <c r="J9" i="4" s="1"/>
  <c r="C9" i="6"/>
  <c r="D9" i="6" s="1"/>
  <c r="J9" i="6"/>
  <c r="CM4" i="6"/>
  <c r="CM5" i="6" s="1"/>
  <c r="E9" i="6"/>
  <c r="E9" i="4"/>
  <c r="CL4" i="6"/>
  <c r="CS4" i="6" l="1"/>
  <c r="CO4" i="6"/>
  <c r="K9" i="4"/>
  <c r="BQ4" i="4"/>
  <c r="BQ3" i="4"/>
  <c r="L9" i="4" l="1"/>
  <c r="M9" i="4" s="1"/>
  <c r="F4" i="4" s="1"/>
  <c r="F15" i="4" s="1"/>
  <c r="K9" i="6"/>
  <c r="L9" i="6" s="1"/>
  <c r="M9" i="6" s="1"/>
  <c r="BF4" i="4"/>
  <c r="BF3" i="4"/>
  <c r="F4" i="6" l="1"/>
  <c r="F15" i="6" s="1"/>
  <c r="AO4" i="4"/>
  <c r="AO3" i="4"/>
  <c r="AN4" i="4"/>
  <c r="AN3" i="4"/>
  <c r="AP4" i="4"/>
  <c r="AP3" i="4"/>
  <c r="B15" i="4" l="1"/>
  <c r="B4" i="6"/>
  <c r="B15" i="6" s="1"/>
  <c r="AH4" i="4" l="1"/>
  <c r="A4" i="4" l="1"/>
  <c r="A15" i="4" s="1"/>
  <c r="X3" i="4" l="1"/>
  <c r="W3" i="4"/>
  <c r="AF4" i="4" l="1"/>
  <c r="AE4" i="4"/>
  <c r="AD4" i="4"/>
  <c r="AC4" i="4"/>
  <c r="AB4" i="4"/>
  <c r="AA4" i="4"/>
  <c r="Y4" i="4"/>
  <c r="X4" i="4"/>
  <c r="W4" i="4"/>
  <c r="CG4" i="4"/>
  <c r="CF4" i="4"/>
  <c r="CE4" i="4"/>
  <c r="CD4" i="4"/>
  <c r="CB4" i="4"/>
  <c r="CA4" i="4"/>
  <c r="BZ4" i="4"/>
  <c r="CE3" i="4"/>
  <c r="CF3" i="4"/>
  <c r="CG3" i="4"/>
  <c r="CD3" i="4"/>
  <c r="CB3" i="4"/>
  <c r="BZ3" i="4"/>
  <c r="CA3" i="4"/>
  <c r="BX4" i="4"/>
  <c r="BW4" i="4"/>
  <c r="BT4" i="4"/>
  <c r="BS4" i="4"/>
  <c r="BR4" i="4"/>
  <c r="BP4" i="4"/>
  <c r="BO4" i="4"/>
  <c r="BN4" i="4"/>
  <c r="BM4" i="4"/>
  <c r="BX3" i="4"/>
  <c r="BW3" i="4"/>
  <c r="BT3" i="4"/>
  <c r="BS3" i="4"/>
  <c r="BR3" i="4"/>
  <c r="BP3" i="4"/>
  <c r="BO3" i="4"/>
  <c r="BN3" i="4"/>
  <c r="BM3" i="4"/>
  <c r="BL4" i="4"/>
  <c r="BK4" i="4"/>
  <c r="BJ4" i="4"/>
  <c r="BI4" i="4"/>
  <c r="BG4" i="4"/>
  <c r="BE4" i="4"/>
  <c r="BD4" i="4"/>
  <c r="BC4" i="4"/>
  <c r="BB4" i="4"/>
  <c r="BL3" i="4"/>
  <c r="BK3" i="4"/>
  <c r="BJ3" i="4"/>
  <c r="BI3" i="4"/>
  <c r="BG3" i="4"/>
  <c r="BE3" i="4"/>
  <c r="BD3" i="4"/>
  <c r="BC3" i="4"/>
  <c r="BB3" i="4"/>
  <c r="BA3" i="4"/>
  <c r="BA4" i="4"/>
  <c r="AX4" i="4"/>
  <c r="AW4" i="4"/>
  <c r="AV4" i="4"/>
  <c r="AT4" i="4"/>
  <c r="AS4" i="4"/>
  <c r="AX3" i="4"/>
  <c r="AW3" i="4"/>
  <c r="AV3" i="4"/>
  <c r="AT3" i="4"/>
  <c r="AS3" i="4"/>
  <c r="AR3" i="4"/>
  <c r="AR4" i="4"/>
  <c r="AQ4" i="4"/>
  <c r="AM4" i="4"/>
  <c r="AL4" i="4"/>
  <c r="AJ4" i="4"/>
  <c r="AI4" i="4"/>
  <c r="AQ3" i="4"/>
  <c r="AM3" i="4"/>
  <c r="AL3" i="4"/>
  <c r="AI3" i="4"/>
  <c r="AJ3" i="4"/>
  <c r="AH3" i="4"/>
  <c r="AG4" i="4"/>
  <c r="AG3" i="4"/>
  <c r="AF3" i="4" l="1"/>
  <c r="AE3" i="4"/>
  <c r="AD3" i="4"/>
  <c r="AC3" i="4"/>
  <c r="AB3" i="4"/>
  <c r="AA3" i="4"/>
  <c r="Y3" i="4"/>
  <c r="V3" i="4" l="1"/>
  <c r="U3" i="4"/>
  <c r="Q3" i="4"/>
  <c r="P3" i="4"/>
  <c r="V4" i="4"/>
  <c r="U4" i="4"/>
  <c r="Q4" i="4"/>
  <c r="P4" i="4"/>
  <c r="D4" i="4"/>
  <c r="D15" i="4" s="1"/>
  <c r="C4" i="4"/>
  <c r="C15" i="4" s="1"/>
  <c r="A9" i="4" l="1"/>
  <c r="C9" i="4" s="1"/>
  <c r="D9" i="4" s="1"/>
  <c r="CM4" i="4"/>
  <c r="CO4" i="4" l="1"/>
  <c r="CQ4" i="4"/>
  <c r="CS4" i="4"/>
  <c r="CT4" i="4" l="1"/>
  <c r="CT4" i="6" s="1"/>
  <c r="CP4" i="6" l="1"/>
  <c r="CQ4" i="6" s="1"/>
  <c r="CX4" i="6"/>
  <c r="CV4" i="6"/>
  <c r="CZ4" i="6"/>
  <c r="CZ4" i="4"/>
  <c r="CV4" i="4"/>
  <c r="CX4" i="4"/>
  <c r="E4" i="6" l="1"/>
  <c r="E15" i="6" s="1"/>
  <c r="G15" i="6" s="1"/>
  <c r="I15" i="6" s="1"/>
  <c r="J15" i="6" s="1"/>
  <c r="M15" i="6" s="1"/>
  <c r="E4" i="4"/>
  <c r="E17" i="6" l="1"/>
  <c r="W12" i="7"/>
  <c r="AE12" i="7" s="1"/>
  <c r="AZ12" i="7" s="1"/>
  <c r="BA12" i="7" s="1"/>
  <c r="BE12" i="7" s="1"/>
  <c r="G4" i="6"/>
  <c r="I4" i="6" s="1"/>
  <c r="J4" i="6" s="1"/>
  <c r="M4" i="6" s="1"/>
  <c r="M17" i="6" s="1"/>
  <c r="G4" i="4"/>
  <c r="I4" i="4" s="1"/>
  <c r="J4" i="4" s="1"/>
  <c r="M4" i="4" s="1"/>
  <c r="E15" i="4"/>
  <c r="G15" i="4" s="1"/>
  <c r="I15" i="4" s="1"/>
  <c r="J15" i="4" s="1"/>
  <c r="M15" i="4" s="1"/>
  <c r="M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5A7C4BC7-1110-4540-97F7-2A81B31196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<sst xmlns="http://schemas.openxmlformats.org/spreadsheetml/2006/main" count="508" uniqueCount="288">
  <si>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</si>
  <si>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</si>
  <si>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</si>
  <si>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</si>
  <si>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</si>
  <si>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</si>
  <si>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</si>
  <si>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</si>
  <si>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</si>
  <si>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</si>
  <si>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</si>
  <si>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</si>
  <si>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</si>
  <si>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</si>
  <si>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</si>
  <si>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</si>
  <si>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</si>
  <si>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</si>
  <si>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</si>
  <si>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</si>
  <si>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</si>
  <si>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</si>
  <si>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</si>
  <si>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</si>
  <si>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</si>
  <si>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</si>
  <si>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</si>
  <si>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</si>
  <si>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</si>
  <si>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</si>
  <si>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</si>
  <si>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</si>
  <si>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</si>
  <si>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</si>
  <si>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</si>
  <si>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</si>
  <si>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</si>
  <si>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</si>
  <si>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</si>
  <si>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</si>
  <si>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</si>
  <si>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</si>
  <si>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</si>
  <si>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</si>
  <si>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</si>
  <si>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</si>
  <si>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</si>
  <si>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</si>
  <si>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</si>
  <si>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</si>
  <si>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</si>
  <si>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</si>
  <si>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</si>
  <si>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</si>
  <si>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</si>
  <si>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</si>
  <si>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</si>
  <si>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</si>
  <si>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</si>
  <si>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</si>
  <si>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</si>
  <si>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</si>
  <si>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</si>
  <si>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</si>
  <si>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</si>
  <si>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</si>
  <si>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</si>
  <si>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</si>
  <si>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</si>
  <si>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</si>
  <si>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</si>
  <si>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</si>
  <si>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</si>
  <si>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</si>
  <si>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</si>
  <si>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</si>
  <si>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</si>
  <si>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</si>
  <si>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</si>
  <si>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</si>
  <si>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</si>
  <si>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</si>
  <si>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</si>
  <si>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</si>
  <si>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</si>
  <si>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</si>
  <si>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</si>
  <si>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</si>
  <si>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</si>
  <si>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</si>
  <si>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</si>
  <si>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</si>
  <si>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</si>
  <si>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</si>
  <si>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</si>
  <si>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</si>
  <si>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</si>
  <si>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</si>
  <si>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</si>
  <si>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</si>
  <si>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</si>
  <si>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</si>
  <si>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</si>
  <si>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</si>
  <si>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</si>
  <si>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</si>
  <si>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</si>
  <si>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</si>
  <si>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</si>
  <si>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</si>
  <si>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</si>
  <si>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</si>
  <si>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</si>
  <si>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</si>
  <si>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</si>
  <si>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</si>
  <si>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</si>
  <si>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</si>
  <si>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</si>
  <si>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</si>
  <si>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</si>
  <si>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</si>
  <si>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</si>
  <si>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</si>
  <si>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</si>
  <si>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</si>
  <si>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</si>
  <si>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</si>
  <si>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</si>
  <si>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</si>
  <si>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</si>
  <si>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</si>
  <si>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</si>
  <si>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</si>
  <si>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</si>
  <si>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</si>
  <si>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EX-WORKS (PER MTR)</t>
  </si>
  <si>
    <t>FREIGHT PER MTR</t>
  </si>
  <si>
    <t>PRICE INCLUDING FREIGHT (PER MTR)</t>
  </si>
  <si>
    <t>PRICE INCLUDING GST &amp; FREIGHT (PER MTR)</t>
  </si>
  <si>
    <t>MTR</t>
  </si>
  <si>
    <t>Cable Weight</t>
  </si>
  <si>
    <t>Drum Weight</t>
  </si>
  <si>
    <t>Cable + Drum Weight</t>
  </si>
  <si>
    <t>Truck Weight</t>
  </si>
  <si>
    <t>NON CHAIN BOM ID</t>
  </si>
  <si>
    <t>IS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</si>
  <si>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</si>
  <si>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</si>
  <si>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</si>
  <si>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</si>
  <si>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</si>
  <si>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</si>
  <si>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</si>
  <si>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</si>
  <si>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</si>
  <si>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</si>
  <si>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</si>
  <si>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</si>
  <si>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</si>
  <si>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</si>
  <si>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</si>
  <si>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</si>
  <si>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</si>
  <si>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</si>
  <si>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</si>
  <si>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</si>
  <si>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</si>
  <si>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</si>
  <si>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</si>
  <si>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</si>
  <si>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</si>
  <si>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</si>
  <si>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</si>
  <si>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</si>
  <si>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</si>
  <si>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</si>
  <si>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</si>
  <si>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</si>
  <si>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</si>
  <si>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</si>
  <si>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</si>
  <si>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</si>
  <si>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</si>
  <si>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</si>
  <si>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</si>
  <si>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</si>
  <si>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</si>
  <si>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</si>
  <si>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</si>
  <si>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</si>
  <si>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</si>
  <si>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</si>
  <si>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</si>
  <si>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</si>
  <si>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</si>
  <si>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</si>
  <si>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</si>
  <si>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</si>
  <si>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</si>
  <si>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</si>
  <si>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</si>
  <si>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</si>
  <si>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</si>
  <si>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</si>
  <si>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</si>
  <si>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</si>
  <si>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</si>
  <si>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</si>
  <si>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</si>
  <si>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</si>
  <si>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</si>
  <si>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</si>
  <si>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</si>
  <si>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</si>
  <si>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</si>
  <si>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</si>
  <si>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</si>
  <si>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</si>
  <si>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</si>
  <si>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</si>
  <si>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</si>
  <si>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</si>
  <si>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</si>
  <si>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</si>
  <si>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</si>
  <si>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</si>
  <si>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</si>
  <si>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</si>
  <si>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</si>
  <si>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</si>
  <si>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ENQ-20143-25-26</t>
  </si>
  <si>
    <t>FA1300013</t>
  </si>
  <si>
    <t>3 CORE X 35 SQ. MM. AL/ARM - STRIP (XLPE) - 11 KV</t>
  </si>
  <si>
    <t>KMS</t>
  </si>
  <si>
    <t>MD0100021</t>
  </si>
  <si>
    <t>DRUM - 64 X 24 X 32 X 3</t>
  </si>
  <si>
    <t>WOOD</t>
  </si>
  <si>
    <t>PV FORMULA</t>
  </si>
  <si>
    <t xml:space="preserve">P = Po + AIF (Al–Alo) + XLFAL (CC–Cco) + SMIF (SMIF1–SMIF0) + FeF (FeF1–FeF0) + CCFAI (PVCc–PVCco) 
P = Po + AIF (Al–Alo) + XLFAL (CC–Cco) + FeF (FeF1–FeF0) + CCFAI (PVCc–PVCco) </t>
  </si>
  <si>
    <t>VALUE ADDITION CALCULATION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</si>
  <si>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</si>
  <si>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</si>
  <si>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</si>
  <si>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</si>
  <si>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</si>
  <si>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</si>
  <si>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</si>
  <si>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Cu</t>
  </si>
  <si>
    <t>PVC of XLPE</t>
  </si>
  <si>
    <t>PVC OF PVC</t>
  </si>
  <si>
    <t>PVC OF FE</t>
  </si>
  <si>
    <t>PVC OF CU TAPE</t>
  </si>
  <si>
    <t>PV/PKM</t>
  </si>
  <si>
    <t>Billing Price/PKM</t>
  </si>
  <si>
    <t>Date</t>
  </si>
  <si>
    <t>Al</t>
  </si>
  <si>
    <t>Cu</t>
  </si>
  <si>
    <t>Cc</t>
  </si>
  <si>
    <t>PVCc</t>
  </si>
  <si>
    <t>Fe</t>
  </si>
  <si>
    <t>Alo</t>
  </si>
  <si>
    <t>Cuo</t>
  </si>
  <si>
    <t>Cco</t>
  </si>
  <si>
    <t>PVCco</t>
  </si>
  <si>
    <t>Feo</t>
  </si>
  <si>
    <t>RMC</t>
  </si>
  <si>
    <t>Drum</t>
  </si>
  <si>
    <t>RMC+Drum</t>
  </si>
  <si>
    <t>VA</t>
  </si>
  <si>
    <t>Groos VA%</t>
  </si>
  <si>
    <t>Mfg %</t>
  </si>
  <si>
    <t>Int %</t>
  </si>
  <si>
    <t>Ins%</t>
  </si>
  <si>
    <t>Net VA</t>
  </si>
  <si>
    <t>Alf</t>
  </si>
  <si>
    <t>XLFAL</t>
  </si>
  <si>
    <t>CCFAI</t>
  </si>
  <si>
    <t>CCFCu</t>
  </si>
  <si>
    <t>FeF</t>
  </si>
  <si>
    <t>Smif</t>
  </si>
  <si>
    <t>Kg/Km</t>
  </si>
  <si>
    <t>PROVISIONAL</t>
  </si>
  <si>
    <t>3 CORE X 35 SQ. MM. AL/ARM - STRIP (XLPE) - 11 KV@FA1300013</t>
  </si>
  <si>
    <t>TR-XLPE</t>
  </si>
  <si>
    <t>16 MT</t>
  </si>
  <si>
    <t>AS CONFIRMED BY AKSHAT SIR</t>
  </si>
  <si>
    <t>AS CONFIRMED BY ANIRUDDHA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</si>
</sst>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0.0000"/>
    <numFmt numFmtId="171" formatCode="&quot;Rs.&quot;#,##0"/>
    <numFmt numFmtId="172" formatCode="0.0"/>
    <numFmt numFmtId="173" formatCode="0.000"/>
    <numFmt numFmtId="174" formatCode="0.000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164" fontId="1" fillId="0" borderId="0" applyFont="0" applyFill="0" applyBorder="0" applyAlignment="0" applyProtection="0"/>
    <xf numFmtId="0" fontId="47" fillId="0" borderId="0"/>
    <xf numFmtId="0" fontId="52" fillId="0" borderId="0"/>
  </cellStyleXfs>
  <cellXfs count="2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3" fontId="0" fillId="0" borderId="0" xfId="1" applyFont="1"/>
    <xf numFmtId="43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43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43" fontId="3" fillId="3" borderId="1" xfId="1" applyFont="1" applyFill="1" applyBorder="1" applyAlignment="1">
      <alignment vertical="center" wrapText="1"/>
    </xf>
    <xf numFmtId="43" fontId="5" fillId="3" borderId="1" xfId="1" applyFont="1" applyFill="1" applyBorder="1" applyAlignment="1">
      <alignment vertical="center" wrapText="1"/>
    </xf>
    <xf numFmtId="43" fontId="7" fillId="2" borderId="1" xfId="1" applyFont="1" applyFill="1" applyBorder="1" applyAlignment="1">
      <alignment vertical="center" wrapText="1"/>
    </xf>
    <xf numFmtId="43" fontId="8" fillId="4" borderId="1" xfId="1" applyFont="1" applyFill="1" applyBorder="1" applyAlignment="1">
      <alignment vertical="center" wrapText="1"/>
    </xf>
    <xf numFmtId="43" fontId="8" fillId="3" borderId="1" xfId="1" applyFont="1" applyFill="1" applyBorder="1" applyAlignment="1">
      <alignment vertical="center" wrapText="1"/>
    </xf>
    <xf numFmtId="43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43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43" fontId="3" fillId="0" borderId="1" xfId="1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3" fontId="3" fillId="8" borderId="1" xfId="1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10" fontId="0" fillId="0" borderId="4" xfId="2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7" fillId="0" borderId="1" xfId="6" applyBorder="1" applyAlignment="1">
      <alignment horizontal="center" vertical="center"/>
    </xf>
    <xf numFmtId="0" fontId="51" fillId="0" borderId="0" xfId="6" applyFont="1" applyAlignment="1">
      <alignment horizontal="center" vertical="center"/>
    </xf>
    <xf numFmtId="0" fontId="53" fillId="0" borderId="0" xfId="7" applyFont="1" applyAlignment="1">
      <alignment horizontal="center" vertical="center"/>
    </xf>
    <xf numFmtId="0" fontId="47" fillId="0" borderId="0" xfId="6" applyAlignment="1">
      <alignment horizontal="center" vertical="center"/>
    </xf>
    <xf numFmtId="0" fontId="54" fillId="0" borderId="6" xfId="0" applyFont="1" applyBorder="1" applyAlignment="1">
      <alignment vertical="center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1" fillId="0" borderId="0" xfId="6" applyFont="1"/>
    <xf numFmtId="0" fontId="53" fillId="0" borderId="0" xfId="7" applyFont="1"/>
    <xf numFmtId="0" fontId="47" fillId="0" borderId="0" xfId="6"/>
    <xf numFmtId="0" fontId="55" fillId="0" borderId="6" xfId="0" applyFont="1" applyBorder="1" applyAlignment="1">
      <alignment horizontal="justify" vertical="center"/>
    </xf>
    <xf numFmtId="0" fontId="56" fillId="0" borderId="0" xfId="0" applyFont="1" applyAlignment="1">
      <alignment vertical="center"/>
    </xf>
    <xf numFmtId="0" fontId="51" fillId="0" borderId="0" xfId="6" applyFont="1" applyAlignment="1">
      <alignment vertical="center"/>
    </xf>
    <xf numFmtId="0" fontId="47" fillId="0" borderId="0" xfId="6" applyAlignment="1">
      <alignment horizontal="center"/>
    </xf>
    <xf numFmtId="170" fontId="51" fillId="0" borderId="0" xfId="6" applyNumberFormat="1" applyFont="1" applyAlignment="1">
      <alignment vertical="center"/>
    </xf>
    <xf numFmtId="0" fontId="53" fillId="0" borderId="0" xfId="6" applyFont="1" applyAlignment="1">
      <alignment horizontal="center"/>
    </xf>
    <xf numFmtId="14" fontId="53" fillId="0" borderId="0" xfId="6" applyNumberFormat="1" applyFont="1" applyAlignment="1">
      <alignment horizontal="center"/>
    </xf>
    <xf numFmtId="0" fontId="51" fillId="0" borderId="16" xfId="7" applyFont="1" applyBorder="1" applyAlignment="1">
      <alignment horizontal="center" vertical="center" wrapText="1"/>
    </xf>
    <xf numFmtId="0" fontId="51" fillId="0" borderId="1" xfId="7" applyFont="1" applyBorder="1" applyAlignment="1">
      <alignment horizontal="center" vertical="center" wrapText="1"/>
    </xf>
    <xf numFmtId="0" fontId="51" fillId="0" borderId="14" xfId="7" applyFont="1" applyBorder="1" applyAlignment="1">
      <alignment horizontal="center" vertical="center" wrapText="1"/>
    </xf>
    <xf numFmtId="0" fontId="57" fillId="0" borderId="4" xfId="7" applyFont="1" applyBorder="1" applyAlignment="1">
      <alignment horizontal="center" vertical="center" wrapText="1"/>
    </xf>
    <xf numFmtId="0" fontId="57" fillId="0" borderId="1" xfId="7" applyFont="1" applyBorder="1" applyAlignment="1">
      <alignment horizontal="center" vertical="center" wrapText="1"/>
    </xf>
    <xf numFmtId="171" fontId="57" fillId="0" borderId="4" xfId="7" applyNumberFormat="1" applyFont="1" applyBorder="1" applyAlignment="1">
      <alignment horizontal="center" vertical="center" wrapText="1"/>
    </xf>
    <xf numFmtId="0" fontId="47" fillId="0" borderId="10" xfId="6" applyBorder="1"/>
    <xf numFmtId="0" fontId="53" fillId="0" borderId="16" xfId="7" applyFont="1" applyBorder="1" applyAlignment="1">
      <alignment horizontal="left" vertical="center" wrapText="1"/>
    </xf>
    <xf numFmtId="14" fontId="53" fillId="0" borderId="1" xfId="7" applyNumberFormat="1" applyFont="1" applyBorder="1" applyAlignment="1">
      <alignment horizontal="center" vertical="center" wrapText="1"/>
    </xf>
    <xf numFmtId="14" fontId="53" fillId="0" borderId="14" xfId="7" applyNumberFormat="1" applyFont="1" applyBorder="1" applyAlignment="1">
      <alignment horizontal="center" vertical="center" wrapText="1"/>
    </xf>
    <xf numFmtId="14" fontId="53" fillId="0" borderId="16" xfId="7" applyNumberFormat="1" applyFont="1" applyBorder="1" applyAlignment="1">
      <alignment horizontal="center" vertical="center" wrapText="1"/>
    </xf>
    <xf numFmtId="14" fontId="53" fillId="0" borderId="2" xfId="7" applyNumberFormat="1" applyFont="1" applyBorder="1" applyAlignment="1">
      <alignment horizontal="center" vertical="center" wrapText="1"/>
    </xf>
    <xf numFmtId="2" fontId="51" fillId="0" borderId="16" xfId="7" applyNumberFormat="1" applyFont="1" applyBorder="1" applyAlignment="1">
      <alignment horizontal="center" vertical="center" wrapText="1"/>
    </xf>
    <xf numFmtId="2" fontId="51" fillId="0" borderId="1" xfId="7" applyNumberFormat="1" applyFont="1" applyBorder="1" applyAlignment="1">
      <alignment horizontal="center" vertical="center" wrapText="1"/>
    </xf>
    <xf numFmtId="2" fontId="51" fillId="0" borderId="14" xfId="7" applyNumberFormat="1" applyFont="1" applyBorder="1" applyAlignment="1">
      <alignment horizontal="center" vertical="center" wrapText="1"/>
    </xf>
    <xf numFmtId="2" fontId="51" fillId="0" borderId="19" xfId="7" applyNumberFormat="1" applyFont="1" applyBorder="1" applyAlignment="1">
      <alignment horizontal="center" vertical="center" wrapText="1"/>
    </xf>
    <xf numFmtId="0" fontId="53" fillId="0" borderId="19" xfId="7" applyFont="1" applyBorder="1" applyAlignment="1">
      <alignment horizontal="center" vertical="center" wrapText="1"/>
    </xf>
    <xf numFmtId="0" fontId="47" fillId="0" borderId="19" xfId="6" applyBorder="1"/>
    <xf numFmtId="14" fontId="58" fillId="0" borderId="26" xfId="7" applyNumberFormat="1" applyFont="1" applyBorder="1" applyAlignment="1">
      <alignment horizontal="center" vertical="center" wrapText="1"/>
    </xf>
    <xf numFmtId="14" fontId="58" fillId="10" borderId="16" xfId="7" applyNumberFormat="1" applyFont="1" applyFill="1" applyBorder="1" applyAlignment="1">
      <alignment horizontal="center" vertical="center" wrapText="1"/>
    </xf>
    <xf numFmtId="2" fontId="58" fillId="0" borderId="4" xfId="7" applyNumberFormat="1" applyFont="1" applyBorder="1" applyAlignment="1">
      <alignment horizontal="center" vertical="center" wrapText="1"/>
    </xf>
    <xf numFmtId="2" fontId="58" fillId="0" borderId="1" xfId="7" applyNumberFormat="1" applyFont="1" applyBorder="1" applyAlignment="1">
      <alignment horizontal="center" vertical="center" wrapText="1"/>
    </xf>
    <xf numFmtId="172" fontId="53" fillId="0" borderId="1" xfId="7" applyNumberFormat="1" applyFont="1" applyBorder="1" applyAlignment="1">
      <alignment horizontal="center" vertical="center" wrapText="1"/>
    </xf>
    <xf numFmtId="172" fontId="53" fillId="0" borderId="2" xfId="7" applyNumberFormat="1" applyFont="1" applyBorder="1" applyAlignment="1">
      <alignment horizontal="center" vertical="center" wrapText="1"/>
    </xf>
    <xf numFmtId="14" fontId="51" fillId="10" borderId="16" xfId="7" applyNumberFormat="1" applyFont="1" applyFill="1" applyBorder="1" applyAlignment="1">
      <alignment horizontal="center" vertical="center" wrapText="1"/>
    </xf>
    <xf numFmtId="173" fontId="53" fillId="0" borderId="16" xfId="7" applyNumberFormat="1" applyFont="1" applyBorder="1" applyAlignment="1">
      <alignment horizontal="center" vertical="center" wrapText="1"/>
    </xf>
    <xf numFmtId="173" fontId="53" fillId="0" borderId="1" xfId="7" applyNumberFormat="1" applyFont="1" applyBorder="1" applyAlignment="1">
      <alignment horizontal="center" vertical="center" wrapText="1"/>
    </xf>
    <xf numFmtId="170" fontId="53" fillId="0" borderId="14" xfId="7" applyNumberFormat="1" applyFont="1" applyBorder="1" applyAlignment="1">
      <alignment horizontal="center" vertical="center" wrapText="1"/>
    </xf>
    <xf numFmtId="2" fontId="53" fillId="0" borderId="19" xfId="7" applyNumberFormat="1" applyFont="1" applyBorder="1" applyAlignment="1">
      <alignment horizontal="center" vertical="center" wrapText="1"/>
    </xf>
    <xf numFmtId="170" fontId="53" fillId="0" borderId="16" xfId="7" applyNumberFormat="1" applyFont="1" applyBorder="1" applyAlignment="1">
      <alignment vertical="center" wrapText="1"/>
    </xf>
    <xf numFmtId="170" fontId="53" fillId="0" borderId="1" xfId="7" applyNumberFormat="1" applyFont="1" applyBorder="1" applyAlignment="1">
      <alignment vertical="center" wrapText="1"/>
    </xf>
    <xf numFmtId="173" fontId="53" fillId="0" borderId="14" xfId="7" applyNumberFormat="1" applyFont="1" applyBorder="1" applyAlignment="1">
      <alignment horizontal="center" vertical="center" wrapText="1"/>
    </xf>
    <xf numFmtId="2" fontId="53" fillId="11" borderId="19" xfId="7" applyNumberFormat="1" applyFont="1" applyFill="1" applyBorder="1" applyAlignment="1">
      <alignment horizontal="center" vertical="center" wrapText="1"/>
    </xf>
    <xf numFmtId="173" fontId="52" fillId="0" borderId="4" xfId="7" applyNumberFormat="1" applyBorder="1" applyAlignment="1">
      <alignment vertical="center"/>
    </xf>
    <xf numFmtId="173" fontId="52" fillId="0" borderId="1" xfId="7" applyNumberFormat="1" applyBorder="1" applyAlignment="1">
      <alignment vertical="center"/>
    </xf>
    <xf numFmtId="2" fontId="57" fillId="0" borderId="1" xfId="7" applyNumberFormat="1" applyFont="1" applyBorder="1" applyAlignment="1">
      <alignment vertical="center"/>
    </xf>
    <xf numFmtId="2" fontId="52" fillId="0" borderId="1" xfId="7" applyNumberFormat="1" applyBorder="1" applyAlignment="1">
      <alignment vertical="center"/>
    </xf>
    <xf numFmtId="2" fontId="57" fillId="0" borderId="14" xfId="7" applyNumberFormat="1" applyFont="1" applyBorder="1" applyAlignment="1">
      <alignment vertical="center"/>
    </xf>
    <xf numFmtId="0" fontId="47" fillId="0" borderId="27" xfId="6" applyBorder="1" applyAlignment="1">
      <alignment wrapText="1"/>
    </xf>
    <xf numFmtId="14" fontId="53" fillId="0" borderId="28" xfId="7" applyNumberFormat="1" applyFont="1" applyBorder="1" applyAlignment="1">
      <alignment horizontal="center" vertical="center" wrapText="1"/>
    </xf>
    <xf numFmtId="14" fontId="53" fillId="0" borderId="29" xfId="7" applyNumberFormat="1" applyFont="1" applyBorder="1" applyAlignment="1">
      <alignment horizontal="center" vertical="center" wrapText="1"/>
    </xf>
    <xf numFmtId="2" fontId="53" fillId="0" borderId="30" xfId="7" applyNumberFormat="1" applyFont="1" applyBorder="1" applyAlignment="1">
      <alignment horizontal="center" vertical="center" wrapText="1"/>
    </xf>
    <xf numFmtId="2" fontId="53" fillId="0" borderId="31" xfId="7" applyNumberFormat="1" applyFont="1" applyBorder="1" applyAlignment="1">
      <alignment horizontal="center" vertical="center" wrapText="1"/>
    </xf>
    <xf numFmtId="2" fontId="53" fillId="0" borderId="29" xfId="7" applyNumberFormat="1" applyFont="1" applyBorder="1" applyAlignment="1">
      <alignment horizontal="center" vertical="center" wrapText="1"/>
    </xf>
    <xf numFmtId="172" fontId="53" fillId="0" borderId="30" xfId="7" applyNumberFormat="1" applyFont="1" applyBorder="1" applyAlignment="1">
      <alignment horizontal="center" vertical="center" wrapText="1"/>
    </xf>
    <xf numFmtId="172" fontId="53" fillId="0" borderId="32" xfId="7" applyNumberFormat="1" applyFont="1" applyBorder="1" applyAlignment="1">
      <alignment horizontal="center" vertical="center" wrapText="1"/>
    </xf>
    <xf numFmtId="2" fontId="53" fillId="0" borderId="33" xfId="7" applyNumberFormat="1" applyFont="1" applyBorder="1" applyAlignment="1">
      <alignment horizontal="center" vertical="center" wrapText="1"/>
    </xf>
    <xf numFmtId="174" fontId="53" fillId="0" borderId="29" xfId="7" applyNumberFormat="1" applyFont="1" applyBorder="1" applyAlignment="1">
      <alignment vertical="center" wrapText="1"/>
    </xf>
    <xf numFmtId="174" fontId="53" fillId="0" borderId="30" xfId="7" applyNumberFormat="1" applyFont="1" applyBorder="1" applyAlignment="1">
      <alignment vertical="center" wrapText="1"/>
    </xf>
    <xf numFmtId="174" fontId="53" fillId="0" borderId="31" xfId="7" applyNumberFormat="1" applyFont="1" applyBorder="1" applyAlignment="1">
      <alignment vertical="center" wrapText="1"/>
    </xf>
    <xf numFmtId="170" fontId="53" fillId="0" borderId="33" xfId="7" applyNumberFormat="1" applyFont="1" applyBorder="1" applyAlignment="1">
      <alignment horizontal="center" vertical="center" wrapText="1"/>
    </xf>
    <xf numFmtId="0" fontId="47" fillId="0" borderId="34" xfId="6" applyBorder="1"/>
    <xf numFmtId="0" fontId="47" fillId="0" borderId="35" xfId="6" applyBorder="1"/>
    <xf numFmtId="0" fontId="47" fillId="0" borderId="0" xfId="6" applyAlignment="1">
      <alignment wrapText="1"/>
    </xf>
    <xf numFmtId="0" fontId="50" fillId="0" borderId="0" xfId="6" applyFont="1"/>
    <xf numFmtId="14" fontId="47" fillId="0" borderId="0" xfId="6" applyNumberFormat="1"/>
    <xf numFmtId="0" fontId="47" fillId="0" borderId="19" xfId="6" applyBorder="1" applyAlignment="1">
      <alignment vertical="center" wrapText="1"/>
    </xf>
    <xf numFmtId="0" fontId="57" fillId="0" borderId="1" xfId="7" quotePrefix="1" applyFont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50" fillId="9" borderId="2" xfId="6" applyNumberFormat="1" applyFont="1" applyFill="1" applyBorder="1" applyAlignment="1">
      <alignment horizontal="center" vertical="center"/>
    </xf>
    <xf numFmtId="0" fontId="50" fillId="9" borderId="3" xfId="6" applyFont="1" applyFill="1" applyBorder="1" applyAlignment="1">
      <alignment horizontal="center" vertical="center"/>
    </xf>
    <xf numFmtId="0" fontId="50" fillId="9" borderId="4" xfId="6" applyFont="1" applyFill="1" applyBorder="1" applyAlignment="1">
      <alignment horizontal="center" vertical="center"/>
    </xf>
    <xf numFmtId="0" fontId="51" fillId="0" borderId="1" xfId="6" applyFont="1" applyBorder="1" applyAlignment="1">
      <alignment horizontal="center" vertical="center"/>
    </xf>
    <xf numFmtId="0" fontId="51" fillId="0" borderId="2" xfId="6" applyFont="1" applyBorder="1" applyAlignment="1">
      <alignment horizontal="center" vertical="center"/>
    </xf>
    <xf numFmtId="0" fontId="51" fillId="0" borderId="1" xfId="6" applyFont="1" applyBorder="1" applyAlignment="1">
      <alignment horizontal="center" vertical="center" wrapText="1"/>
    </xf>
    <xf numFmtId="0" fontId="47" fillId="0" borderId="0" xfId="6" applyAlignment="1">
      <alignment horizontal="center"/>
    </xf>
    <xf numFmtId="0" fontId="57" fillId="0" borderId="7" xfId="7" applyFont="1" applyBorder="1" applyAlignment="1">
      <alignment horizontal="center" vertical="center"/>
    </xf>
    <xf numFmtId="0" fontId="57" fillId="0" borderId="8" xfId="7" applyFont="1" applyBorder="1" applyAlignment="1">
      <alignment horizontal="center" vertical="center"/>
    </xf>
    <xf numFmtId="0" fontId="57" fillId="0" borderId="9" xfId="7" applyFont="1" applyBorder="1" applyAlignment="1">
      <alignment horizontal="center" vertical="center"/>
    </xf>
    <xf numFmtId="0" fontId="57" fillId="0" borderId="4" xfId="7" applyFont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4" xfId="7" applyFont="1" applyBorder="1" applyAlignment="1">
      <alignment horizontal="center" vertical="center"/>
    </xf>
    <xf numFmtId="0" fontId="50" fillId="0" borderId="10" xfId="6" applyFont="1" applyBorder="1" applyAlignment="1">
      <alignment horizontal="center" vertical="center"/>
    </xf>
    <xf numFmtId="0" fontId="50" fillId="0" borderId="15" xfId="6" applyFont="1" applyBorder="1" applyAlignment="1">
      <alignment horizontal="center" vertical="center"/>
    </xf>
    <xf numFmtId="0" fontId="50" fillId="0" borderId="10" xfId="6" applyFont="1" applyBorder="1" applyAlignment="1">
      <alignment horizontal="center" vertical="center" wrapText="1"/>
    </xf>
    <xf numFmtId="0" fontId="50" fillId="0" borderId="15" xfId="6" applyFont="1" applyBorder="1" applyAlignment="1">
      <alignment horizontal="center" vertical="center" wrapText="1"/>
    </xf>
    <xf numFmtId="0" fontId="51" fillId="0" borderId="11" xfId="7" applyFont="1" applyBorder="1" applyAlignment="1">
      <alignment horizontal="center" vertical="center" wrapText="1"/>
    </xf>
    <xf numFmtId="0" fontId="51" fillId="0" borderId="0" xfId="7" applyFont="1" applyAlignment="1">
      <alignment horizontal="center" vertical="center" wrapText="1"/>
    </xf>
    <xf numFmtId="0" fontId="51" fillId="0" borderId="5" xfId="7" applyFont="1" applyBorder="1" applyAlignment="1">
      <alignment horizontal="center" vertical="center" wrapText="1"/>
    </xf>
    <xf numFmtId="0" fontId="51" fillId="0" borderId="7" xfId="7" applyFont="1" applyBorder="1" applyAlignment="1">
      <alignment horizontal="center" vertical="center" wrapText="1"/>
    </xf>
    <xf numFmtId="0" fontId="51" fillId="0" borderId="8" xfId="7" applyFont="1" applyBorder="1" applyAlignment="1">
      <alignment horizontal="center" vertical="center" wrapText="1"/>
    </xf>
    <xf numFmtId="0" fontId="51" fillId="0" borderId="9" xfId="7" applyFont="1" applyBorder="1" applyAlignment="1">
      <alignment horizontal="center" vertical="center" wrapText="1"/>
    </xf>
    <xf numFmtId="0" fontId="51" fillId="0" borderId="12" xfId="7" applyFont="1" applyBorder="1" applyAlignment="1">
      <alignment horizontal="center" vertical="center" wrapText="1"/>
    </xf>
    <xf numFmtId="0" fontId="51" fillId="0" borderId="14" xfId="7" applyFont="1" applyBorder="1" applyAlignment="1">
      <alignment horizontal="center" vertical="center" wrapText="1"/>
    </xf>
    <xf numFmtId="0" fontId="51" fillId="0" borderId="16" xfId="7" applyFont="1" applyBorder="1" applyAlignment="1">
      <alignment horizontal="center" vertical="center" wrapText="1"/>
    </xf>
    <xf numFmtId="0" fontId="51" fillId="0" borderId="1" xfId="7" applyFont="1" applyBorder="1" applyAlignment="1">
      <alignment horizontal="center" vertical="center" wrapText="1"/>
    </xf>
    <xf numFmtId="0" fontId="51" fillId="0" borderId="13" xfId="7" applyFont="1" applyBorder="1" applyAlignment="1">
      <alignment horizontal="center" vertical="center" wrapText="1"/>
    </xf>
    <xf numFmtId="0" fontId="51" fillId="0" borderId="19" xfId="7" applyFont="1" applyBorder="1" applyAlignment="1">
      <alignment horizontal="center" vertical="center" wrapText="1"/>
    </xf>
    <xf numFmtId="0" fontId="51" fillId="0" borderId="18" xfId="7" applyFont="1" applyBorder="1" applyAlignment="1">
      <alignment horizontal="center" vertical="center" wrapText="1"/>
    </xf>
    <xf numFmtId="0" fontId="51" fillId="0" borderId="22" xfId="7" applyFont="1" applyBorder="1" applyAlignment="1">
      <alignment horizontal="center" vertical="center" wrapText="1"/>
    </xf>
    <xf numFmtId="0" fontId="51" fillId="0" borderId="17" xfId="7" applyFont="1" applyBorder="1" applyAlignment="1">
      <alignment horizontal="center" vertical="center" wrapText="1"/>
    </xf>
    <xf numFmtId="0" fontId="51" fillId="0" borderId="21" xfId="7" applyFont="1" applyBorder="1" applyAlignment="1">
      <alignment horizontal="center" vertical="center" wrapText="1"/>
    </xf>
    <xf numFmtId="0" fontId="57" fillId="0" borderId="17" xfId="7" applyFont="1" applyBorder="1" applyAlignment="1">
      <alignment horizontal="center" vertical="center" wrapText="1"/>
    </xf>
    <xf numFmtId="0" fontId="57" fillId="0" borderId="23" xfId="7" applyFont="1" applyBorder="1" applyAlignment="1">
      <alignment horizontal="center" vertical="center" wrapText="1"/>
    </xf>
    <xf numFmtId="0" fontId="57" fillId="0" borderId="21" xfId="7" applyFont="1" applyBorder="1" applyAlignment="1">
      <alignment horizontal="center" vertical="center" wrapText="1"/>
    </xf>
    <xf numFmtId="0" fontId="57" fillId="0" borderId="20" xfId="7" applyFont="1" applyBorder="1" applyAlignment="1">
      <alignment horizontal="center" vertical="center" wrapText="1"/>
    </xf>
    <xf numFmtId="0" fontId="57" fillId="0" borderId="24" xfId="7" applyFont="1" applyBorder="1" applyAlignment="1">
      <alignment horizontal="center" vertical="center" wrapText="1"/>
    </xf>
    <xf numFmtId="0" fontId="57" fillId="0" borderId="25" xfId="7" applyFont="1" applyBorder="1" applyAlignment="1">
      <alignment horizontal="center" vertical="center" wrapText="1"/>
    </xf>
    <xf numFmtId="165" fontId="0" fillId="0" borderId="0" xfId="2" quotePrefix="1" applyNumberFormat="1" applyFont="1" applyAlignment="1">
      <alignment horizontal="left"/>
    </xf>
  </cellXfs>
  <cellStyles count="8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786FAC1B-1C85-4993-AB27-7511F4E3218A}"/>
    <cellStyle name="Normal 6 2" xfId="6" xr:uid="{718992E7-95BB-495A-AFBB-5296AC033EC9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laser%20projrct\RAJASTHAN\19-06-2025-JdVVNL-16307\costing_16307_JDVVNL.xlsx" TargetMode="External"/><Relationship Id="rId1" Type="http://schemas.openxmlformats.org/officeDocument/2006/relationships/externalLinkPath" Target="file:///Y:\laser%20projrct\RAJASTHAN\19-06-2025-JdVVNL-16307\costing_16307_JDVVN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UTO CALCULATION SHEET (2)"/>
      <sheetName val="LT ABC"/>
      <sheetName val="HT PC"/>
      <sheetName val="terms"/>
    </sheetNames>
    <sheetDataSet>
      <sheetData sheetId="0"/>
      <sheetData sheetId="1">
        <row r="2">
          <cell r="N2" t="str">
            <v>Alumimium</v>
          </cell>
          <cell r="P2" t="str">
            <v>Copper</v>
          </cell>
          <cell r="W2" t="str">
            <v>Alumimium ALLOY</v>
          </cell>
          <cell r="Y2" t="str">
            <v>Copper Tape - 0.03 mm</v>
          </cell>
          <cell r="AF2" t="str">
            <v>Extruded semiconductive</v>
          </cell>
          <cell r="AI2" t="str">
            <v>LT-XLPE</v>
          </cell>
          <cell r="AM2" t="str">
            <v>Type A PVC-1.45</v>
          </cell>
          <cell r="AV2" t="str">
            <v>PVC Type ST-1</v>
          </cell>
          <cell r="AX2" t="str">
            <v>PVC Type ST-2</v>
          </cell>
          <cell r="BA2" t="str">
            <v>ACSR CORE WIRE</v>
          </cell>
          <cell r="BB2" t="str">
            <v>ACSR DOG STEEL WIRE</v>
          </cell>
          <cell r="BG2" t="str">
            <v>Galvanised Steel Flat Strip</v>
          </cell>
          <cell r="BS2" t="str">
            <v>PVC Type ST-1</v>
          </cell>
          <cell r="BT2" t="str">
            <v>PVC Type ST-2</v>
          </cell>
          <cell r="BX2" t="str">
            <v>FILLER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147</v>
      </c>
      <c r="C1" s="1" t="s">
        <v>1</v>
      </c>
      <c r="D1" s="1" t="s">
        <v>2</v>
      </c>
      <c r="E1" s="1" t="s">
        <v>148</v>
      </c>
      <c r="F1" s="58" t="s">
        <v>149</v>
      </c>
      <c r="G1" s="58" t="s">
        <v>150</v>
      </c>
      <c r="H1" s="58" t="s">
        <v>151</v>
      </c>
      <c r="I1" s="58" t="s">
        <v>152</v>
      </c>
      <c r="J1" s="53" t="s">
        <v>82</v>
      </c>
      <c r="K1" s="53" t="s">
        <v>153</v>
      </c>
      <c r="L1" s="53" t="s">
        <v>154</v>
      </c>
      <c r="M1" s="53" t="s">
        <v>155</v>
      </c>
      <c r="N1" s="52" t="s">
        <v>4</v>
      </c>
      <c r="O1" s="52" t="s">
        <v>156</v>
      </c>
      <c r="P1" s="52" t="s">
        <v>157</v>
      </c>
      <c r="Q1" s="52" t="s">
        <v>158</v>
      </c>
      <c r="R1" s="56" t="s">
        <v>159</v>
      </c>
      <c r="S1" s="56" t="s">
        <v>160</v>
      </c>
      <c r="T1" s="56" t="s">
        <v>161</v>
      </c>
      <c r="U1" s="56" t="s">
        <v>162</v>
      </c>
      <c r="V1" s="55" t="s">
        <v>6</v>
      </c>
      <c r="W1" s="55" t="s">
        <v>163</v>
      </c>
      <c r="X1" s="55" t="s">
        <v>164</v>
      </c>
      <c r="Y1" s="55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54" t="s">
        <v>8</v>
      </c>
      <c r="AE1" s="54" t="s">
        <v>170</v>
      </c>
      <c r="AF1" s="54" t="s">
        <v>171</v>
      </c>
      <c r="AG1" s="54" t="s">
        <v>172</v>
      </c>
      <c r="AH1" s="55" t="s">
        <v>9</v>
      </c>
      <c r="AI1" s="55" t="s">
        <v>173</v>
      </c>
      <c r="AJ1" s="55" t="s">
        <v>174</v>
      </c>
      <c r="AK1" s="55" t="s">
        <v>175</v>
      </c>
      <c r="AL1" s="1" t="s">
        <v>10</v>
      </c>
      <c r="AM1" s="1" t="s">
        <v>176</v>
      </c>
      <c r="AN1" s="1" t="s">
        <v>177</v>
      </c>
      <c r="AO1" s="1" t="s">
        <v>178</v>
      </c>
      <c r="AP1" s="57" t="s">
        <v>179</v>
      </c>
      <c r="AQ1" s="57" t="s">
        <v>180</v>
      </c>
      <c r="AR1" s="57" t="s">
        <v>181</v>
      </c>
      <c r="AS1" s="57" t="s">
        <v>182</v>
      </c>
      <c r="AT1" s="1" t="s">
        <v>50</v>
      </c>
      <c r="AU1" s="1" t="s">
        <v>183</v>
      </c>
      <c r="AV1" s="1" t="s">
        <v>184</v>
      </c>
      <c r="AW1" s="1" t="s">
        <v>185</v>
      </c>
      <c r="AX1" s="1" t="s">
        <v>186</v>
      </c>
      <c r="AY1" s="1" t="s">
        <v>187</v>
      </c>
      <c r="AZ1" s="1" t="s">
        <v>188</v>
      </c>
      <c r="BA1" s="1" t="s">
        <v>189</v>
      </c>
      <c r="BB1" s="1" t="s">
        <v>190</v>
      </c>
      <c r="BC1" s="1" t="s">
        <v>191</v>
      </c>
      <c r="BD1" s="1" t="s">
        <v>192</v>
      </c>
      <c r="BE1" s="1" t="s">
        <v>193</v>
      </c>
      <c r="BF1" s="1" t="s">
        <v>194</v>
      </c>
      <c r="BG1" s="1" t="s">
        <v>195</v>
      </c>
      <c r="BH1" s="1" t="s">
        <v>196</v>
      </c>
      <c r="BI1" s="1" t="s">
        <v>197</v>
      </c>
      <c r="BJ1" s="1" t="s">
        <v>198</v>
      </c>
      <c r="BK1" s="1" t="s">
        <v>199</v>
      </c>
      <c r="BL1" s="1" t="s">
        <v>200</v>
      </c>
      <c r="BM1" s="1" t="s">
        <v>201</v>
      </c>
      <c r="BN1" s="1" t="s">
        <v>202</v>
      </c>
      <c r="BO1" s="1" t="s">
        <v>203</v>
      </c>
      <c r="BP1" s="1" t="s">
        <v>204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209</v>
      </c>
      <c r="BV1" s="1" t="s">
        <v>19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216</v>
      </c>
      <c r="CD1" s="1" t="s">
        <v>22</v>
      </c>
      <c r="CE1" s="1" t="s">
        <v>217</v>
      </c>
      <c r="CF1" s="1" t="s">
        <v>24</v>
      </c>
      <c r="CG1" s="1" t="s">
        <v>218</v>
      </c>
      <c r="CH1" s="1" t="s">
        <v>219</v>
      </c>
      <c r="CI1" s="1" t="s">
        <v>27</v>
      </c>
      <c r="CJ1" s="1" t="s">
        <v>220</v>
      </c>
      <c r="CK1" s="1" t="s">
        <v>29</v>
      </c>
      <c r="CL1" s="1" t="s">
        <v>221</v>
      </c>
      <c r="CM1" s="1" t="s">
        <v>222</v>
      </c>
      <c r="CN1" s="1" t="s">
        <v>223</v>
      </c>
      <c r="CO1" s="1" t="s">
        <v>224</v>
      </c>
      <c r="CP1" s="1" t="s">
        <v>225</v>
      </c>
      <c r="CQ1" s="1" t="s">
        <v>226</v>
      </c>
      <c r="CR1" s="1" t="s">
        <v>34</v>
      </c>
      <c r="CS1" s="1" t="s">
        <v>227</v>
      </c>
      <c r="CT1" s="1" t="s">
        <v>228</v>
      </c>
      <c r="CU1" s="1" t="s">
        <v>37</v>
      </c>
      <c r="CV1" s="1" t="s">
        <v>38</v>
      </c>
      <c r="CW1" s="1" t="s">
        <v>229</v>
      </c>
      <c r="CX1" s="1" t="s">
        <v>230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231</v>
      </c>
      <c r="B2" s="63"/>
      <c r="C2" s="1" t="s">
        <v>232</v>
      </c>
      <c r="D2" s="1" t="s">
        <v>233</v>
      </c>
      <c r="E2" s="1"/>
      <c r="F2" s="58"/>
      <c r="G2" s="58"/>
      <c r="H2" s="58">
        <v>0</v>
      </c>
      <c r="I2" s="58"/>
      <c r="J2" s="53"/>
      <c r="K2" s="53"/>
      <c r="L2" s="53">
        <v>284</v>
      </c>
      <c r="M2" s="53"/>
      <c r="N2" s="52"/>
      <c r="O2" s="52"/>
      <c r="P2" s="52">
        <v>0</v>
      </c>
      <c r="Q2" s="52"/>
      <c r="R2" s="56"/>
      <c r="S2" s="56"/>
      <c r="T2" s="56">
        <v>150</v>
      </c>
      <c r="U2" s="56"/>
      <c r="V2" s="55"/>
      <c r="W2" s="55"/>
      <c r="X2" s="55">
        <v>384</v>
      </c>
      <c r="Y2" s="55"/>
      <c r="Z2" s="1"/>
      <c r="AA2" s="1"/>
      <c r="AB2" s="1">
        <v>0</v>
      </c>
      <c r="AC2" s="1"/>
      <c r="AD2" s="54"/>
      <c r="AE2" s="54"/>
      <c r="AF2" s="54">
        <v>122</v>
      </c>
      <c r="AG2" s="54"/>
      <c r="AH2" s="55"/>
      <c r="AI2" s="55"/>
      <c r="AJ2" s="55">
        <v>650</v>
      </c>
      <c r="AK2" s="55"/>
      <c r="AL2" s="1"/>
      <c r="AM2" s="1"/>
      <c r="AN2" s="1">
        <v>383</v>
      </c>
      <c r="AO2" s="1"/>
      <c r="AP2" s="57"/>
      <c r="AQ2" s="57"/>
      <c r="AR2" s="57">
        <v>390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55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/>
      <c r="CA2" s="1"/>
      <c r="CB2" s="60"/>
      <c r="CC2" s="1"/>
      <c r="CD2" s="60"/>
      <c r="CE2" s="1"/>
      <c r="CF2" s="60"/>
      <c r="CG2" s="1"/>
      <c r="CH2" s="1"/>
      <c r="CI2" s="60"/>
      <c r="CJ2" s="1"/>
      <c r="CK2" s="60"/>
      <c r="CL2" s="1"/>
      <c r="CM2" s="1"/>
      <c r="CN2" s="1"/>
      <c r="CO2" s="1"/>
      <c r="CP2" s="60"/>
      <c r="CQ2" s="1"/>
      <c r="CR2" s="60">
        <v>0.18</v>
      </c>
      <c r="CS2" s="1"/>
      <c r="CT2" s="1"/>
      <c r="CU2" s="59">
        <v>100</v>
      </c>
      <c r="CV2" s="59" t="s">
        <v>234</v>
      </c>
      <c r="CW2" s="59"/>
      <c r="CX2" s="1"/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45"/>
  <sheetViews>
    <sheetView showZeros="0" tabSelected="1" zoomScale="85" zoomScaleNormal="85" workbookViewId="0">
      <selection activeCell="AK9" sqref="AK9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2.85546875" customWidth="1"/>
    <col min="12" max="12" width="11.7109375" customWidth="1"/>
    <col min="13" max="13" width="16.5703125" customWidth="1"/>
    <col min="14" max="14" width="11.7109375" customWidth="1"/>
    <col min="15" max="15" width="7.85546875" style="15" customWidth="1"/>
    <col min="16" max="25" width="7.85546875" style="15" hidden="1" customWidth="1"/>
    <col min="26" max="26" width="9.140625" style="15" customWidth="1"/>
    <col min="27" max="36" width="7.85546875" style="15" hidden="1" customWidth="1"/>
    <col min="37" max="37" width="7.85546875" style="15" customWidth="1"/>
    <col min="38" max="50" width="7.85546875" style="15" hidden="1" customWidth="1"/>
    <col min="51" max="51" width="7.85546875" style="15" customWidth="1"/>
    <col min="52" max="59" width="7.85546875" style="15" hidden="1" customWidth="1"/>
    <col min="60" max="60" width="7.85546875" style="15" customWidth="1"/>
    <col min="61" max="72" width="7.85546875" style="15" hidden="1" customWidth="1"/>
    <col min="73" max="73" width="7.85546875" style="15" customWidth="1"/>
    <col min="74" max="76" width="7.85546875" style="15" hidden="1" customWidth="1"/>
    <col min="77" max="77" width="7.85546875" style="15" customWidth="1"/>
    <col min="78" max="80" width="7.85546875" style="15" hidden="1" customWidth="1"/>
    <col min="81" max="81" width="7.85546875" style="15" customWidth="1"/>
    <col min="82" max="85" width="7.85546875" style="15" hidden="1" customWidth="1"/>
    <col min="86" max="86" width="9.1406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10.425781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94" t="s">
        <v>82</v>
      </c>
      <c r="P1" s="194"/>
      <c r="Q1" s="194"/>
      <c r="R1" s="194"/>
      <c r="S1" s="194"/>
      <c r="T1" s="194"/>
      <c r="U1" s="194"/>
      <c r="V1" s="194"/>
      <c r="W1" s="195" t="s">
        <v>4</v>
      </c>
      <c r="X1" s="195"/>
      <c r="Y1" s="196" t="s">
        <v>3</v>
      </c>
      <c r="Z1" s="196"/>
      <c r="AA1" s="196"/>
      <c r="AB1" s="196"/>
      <c r="AC1" s="196"/>
      <c r="AD1" s="196"/>
      <c r="AE1" s="196"/>
      <c r="AF1" s="196"/>
      <c r="AG1" s="197" t="s">
        <v>5</v>
      </c>
      <c r="AH1" s="197"/>
      <c r="AI1" s="198" t="s">
        <v>6</v>
      </c>
      <c r="AJ1" s="198"/>
      <c r="AK1" s="198"/>
      <c r="AL1" s="198"/>
      <c r="AM1" s="198"/>
      <c r="AN1" s="198"/>
      <c r="AO1" s="198"/>
      <c r="AP1" s="198"/>
      <c r="AQ1" s="198"/>
      <c r="AR1" s="35" t="s">
        <v>7</v>
      </c>
      <c r="AS1" s="190" t="s">
        <v>8</v>
      </c>
      <c r="AT1" s="191"/>
      <c r="AU1" s="191"/>
      <c r="AV1" s="191"/>
      <c r="AW1" s="191"/>
      <c r="AX1" s="191"/>
      <c r="AY1" s="191"/>
      <c r="AZ1" s="191"/>
      <c r="BA1" s="191"/>
      <c r="BB1" s="192" t="s">
        <v>9</v>
      </c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3" t="s">
        <v>10</v>
      </c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87" t="s">
        <v>84</v>
      </c>
      <c r="CI1" s="188"/>
      <c r="CJ1" s="188"/>
      <c r="CK1" s="189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41</v>
      </c>
      <c r="P2" s="82" t="s">
        <v>46</v>
      </c>
      <c r="Q2" s="82" t="s">
        <v>43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v>401</v>
      </c>
      <c r="P3" s="17">
        <f>+IFERROR(VLOOKUP($P$2,Sheet1!J:L,2,0),0)</f>
        <v>0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+IFERROR(VLOOKUP($V$2,Sheet1!J:M,2,0),0)</f>
        <v>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v>1470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f>+IFERROR(VLOOKUP($AG$2,Sheet1!R:U,2,0),0)</f>
        <v>0</v>
      </c>
      <c r="AH3" s="18">
        <f>+IFERROR(VLOOKUP($AH$2,Sheet1!R:U,2,0),0)</f>
        <v>0</v>
      </c>
      <c r="AI3" s="18">
        <f>+IFERROR(VLOOKUP($AI$2,Sheet1!V:Y,2,0),0)</f>
        <v>0</v>
      </c>
      <c r="AJ3" s="18">
        <f>+IFERROR(VLOOKUP($AJ$2,Sheet1!V:Y,2,0),0)</f>
        <v>0</v>
      </c>
      <c r="AK3" s="18">
        <v>275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v>79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v>87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f>+IFERROR(VLOOKUP($BP$2,Sheet1!AL2:AO840,2,0),0)</f>
        <v>0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79+5</f>
        <v>84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v>31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v>419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56.25" customHeight="1" x14ac:dyDescent="0.25">
      <c r="A4" s="6" t="str">
        <f>Sheet1!A2</f>
        <v>ENQ-20143-25-26</v>
      </c>
      <c r="B4" s="87">
        <v>46143</v>
      </c>
      <c r="C4" s="6" t="str">
        <f>Sheet1!C2</f>
        <v>FA1300013</v>
      </c>
      <c r="D4" s="6" t="str">
        <f>Sheet1!D2</f>
        <v>3 CORE X 35 SQ. MM. AL/ARM - STRIP (XLPE) - 11 KV</v>
      </c>
      <c r="E4" s="23">
        <f>CT4+CV4+CX4+CZ4</f>
        <v>722387.12</v>
      </c>
      <c r="F4" s="98">
        <f>ROUNDUP($M$9,0)</f>
        <v>20000</v>
      </c>
      <c r="G4" s="28">
        <f>E4+F4</f>
        <v>742387.12</v>
      </c>
      <c r="H4" s="29">
        <f>Sheet1!CR2</f>
        <v>0.18</v>
      </c>
      <c r="I4" s="28">
        <f>G4*H4</f>
        <v>133629.68159999998</v>
      </c>
      <c r="J4" s="28">
        <f>G4+I4</f>
        <v>876016.80160000001</v>
      </c>
      <c r="K4" s="79">
        <f>Sheet1!CU2</f>
        <v>100</v>
      </c>
      <c r="L4" s="76" t="str">
        <f>Sheet1!CV2</f>
        <v>KMS</v>
      </c>
      <c r="M4" s="23">
        <f>J4*K4</f>
        <v>87601680.159999996</v>
      </c>
      <c r="N4" s="108" t="s">
        <v>146</v>
      </c>
      <c r="O4" s="71">
        <v>284</v>
      </c>
      <c r="P4" s="71">
        <f>+IFERROR(VLOOKUP($P$2,Sheet1!J2:L2,3,0),0)</f>
        <v>0</v>
      </c>
      <c r="Q4" s="71">
        <f>+IFERROR(VLOOKUP($Q$2,Sheet1!J2:M2,3,0),0)</f>
        <v>0</v>
      </c>
      <c r="R4" s="71">
        <f>+IFERROR(VLOOKUP($R$2,Sheet1!J2:M2,3,0),0)</f>
        <v>0</v>
      </c>
      <c r="S4" s="71">
        <f>+IFERROR(VLOOKUP($S$2,Sheet1!J2:M2,3,0),0)</f>
        <v>0</v>
      </c>
      <c r="T4" s="71">
        <f>+IFERROR(VLOOKUP($T$2,Sheet1!J2:M2,3,0),0)</f>
        <v>0</v>
      </c>
      <c r="U4" s="71">
        <f>+IFERROR(VLOOKUP($U$2,Sheet1!J2:M2,3,0),0)</f>
        <v>0</v>
      </c>
      <c r="V4" s="71">
        <f>+IFERROR(VLOOKUP($V$2,Sheet1!J2:M2,3,0),0)</f>
        <v>0</v>
      </c>
      <c r="W4" s="72">
        <f>+IFERROR(VLOOKUP($W$2,Sheet1!N2:Q2,3,0),0)</f>
        <v>0</v>
      </c>
      <c r="X4" s="72">
        <f>+IFERROR(VLOOKUP($X$2,Sheet1!N2:Q2,3,0),0)</f>
        <v>0</v>
      </c>
      <c r="Y4" s="73">
        <f>+IFERROR(VLOOKUP($Y$2,Sheet1!F2:I2,3,0),0)</f>
        <v>0</v>
      </c>
      <c r="Z4" s="73">
        <v>64</v>
      </c>
      <c r="AA4" s="73">
        <f>+IFERROR(VLOOKUP($AA$2,Sheet1!F2:I2,3,0),0)</f>
        <v>0</v>
      </c>
      <c r="AB4" s="73">
        <f>+IFERROR(VLOOKUP($AB$2,Sheet1!F2:I2,3,0),0)</f>
        <v>0</v>
      </c>
      <c r="AC4" s="73">
        <f>+IFERROR(VLOOKUP($AC$2,Sheet1!F2:I2,3,0),0)</f>
        <v>0</v>
      </c>
      <c r="AD4" s="73">
        <f>+IFERROR(VLOOKUP($AD$2,Sheet1!F2:I2,3,0),0)</f>
        <v>0</v>
      </c>
      <c r="AE4" s="73">
        <f>+IFERROR(VLOOKUP($AE$2,Sheet1!F2:I2,3,0),0)</f>
        <v>0</v>
      </c>
      <c r="AF4" s="73">
        <f>+IFERROR(VLOOKUP($AF$2,Sheet1!F2:I2,3,0),0)</f>
        <v>0</v>
      </c>
      <c r="AG4" s="74">
        <f>+IFERROR(VLOOKUP($AG$2,Sheet1!R2:U2,3,0),0)</f>
        <v>0</v>
      </c>
      <c r="AH4" s="32">
        <f>+IFERROR(VLOOKUP($AH$2,Sheet1!R2:U2,3,0),0)</f>
        <v>0</v>
      </c>
      <c r="AI4" s="75">
        <f>+IFERROR(VLOOKUP($AI$2,Sheet1!V2:Y2,3,0),0)</f>
        <v>0</v>
      </c>
      <c r="AJ4" s="33">
        <f>+IFERROR(VLOOKUP($AJ$2,Sheet1!V2:Y2,3,0),0)</f>
        <v>0</v>
      </c>
      <c r="AK4" s="33">
        <v>384</v>
      </c>
      <c r="AL4" s="33">
        <f>+IFERROR(VLOOKUP($AL$2,Sheet1!V2:Y2,3,0),0)</f>
        <v>0</v>
      </c>
      <c r="AM4" s="33">
        <f>+IFERROR(VLOOKUP($AM$2,Sheet1!V2:Y2,3,0),0)</f>
        <v>0</v>
      </c>
      <c r="AN4" s="33">
        <f>+IFERROR(VLOOKUP($AN$2,Sheet1!V2:Y2,3,0),0)</f>
        <v>0</v>
      </c>
      <c r="AO4" s="33">
        <f>+IFERROR(VLOOKUP($AO$2,Sheet1!V2:Y2,3,0),0)</f>
        <v>0</v>
      </c>
      <c r="AP4" s="33">
        <f>+IFERROR(VLOOKUP($AP$2,Sheet1!V2:Y2,3,0),0)</f>
        <v>0</v>
      </c>
      <c r="AQ4" s="33">
        <f>+IFERROR(VLOOKUP($AQ$2,Sheet1!V2:Y2,3,0),0)</f>
        <v>0</v>
      </c>
      <c r="AR4" s="36">
        <f>+IFERROR(VLOOKUP($AR$2,Sheet1!Z2:AB2,3,0),0)</f>
        <v>0</v>
      </c>
      <c r="AS4" s="37">
        <f>+IFERROR(VLOOKUP($AS$2,Sheet1!AD2:AG2,3,0),0)</f>
        <v>0</v>
      </c>
      <c r="AT4" s="37">
        <f>+IFERROR(VLOOKUP($AT$2,Sheet1!AD2:AG2,3,0),0)</f>
        <v>0</v>
      </c>
      <c r="AU4" s="37">
        <f>+IFERROR(VLOOKUP($AU$2,Sheet1!AD2:AG2,3,0),0)</f>
        <v>0</v>
      </c>
      <c r="AV4" s="37">
        <f>+IFERROR(VLOOKUP($AV$2,Sheet1!AD2:AG2,3,0),0)</f>
        <v>0</v>
      </c>
      <c r="AW4" s="37">
        <f>+IFERROR(VLOOKUP($AW$2,Sheet1!AD2:AG2,3,0),0)</f>
        <v>0</v>
      </c>
      <c r="AX4" s="37">
        <f>+IFERROR(VLOOKUP($AX$2,Sheet1!AD2:AG2,3,0),0)</f>
        <v>0</v>
      </c>
      <c r="AY4" s="37">
        <v>122</v>
      </c>
      <c r="AZ4" s="37">
        <f>+IFERROR(VLOOKUP($AZ$2,Sheet1!AD2:AG2,3,0),0)</f>
        <v>0</v>
      </c>
      <c r="BA4" s="37">
        <f>+IFERROR(VLOOKUP($BA$2,Sheet1!AD2:AG2,3,0),0)</f>
        <v>0</v>
      </c>
      <c r="BB4" s="36">
        <f>+IFERROR(VLOOKUP($BB$2,Sheet1!AH2:AK2,3,0),0)</f>
        <v>0</v>
      </c>
      <c r="BC4" s="36">
        <f>+IFERROR(VLOOKUP($BC$2,Sheet1!AH2:AK2,3,0),0)</f>
        <v>0</v>
      </c>
      <c r="BD4" s="36">
        <f>+IFERROR(VLOOKUP($BD$2,Sheet1!AH2:AK2,3,0),0)</f>
        <v>0</v>
      </c>
      <c r="BE4" s="36">
        <f>+IFERROR(VLOOKUP($BE$2,Sheet1!AH2:AK2,3,0),0)</f>
        <v>0</v>
      </c>
      <c r="BF4" s="36">
        <f>+IFERROR(VLOOKUP($BF$2,Sheet1!AH2:AK2,3,0),0)</f>
        <v>0</v>
      </c>
      <c r="BG4" s="36">
        <f>+IFERROR(VLOOKUP($BG$2,Sheet1!AH2:AK2,3,0),0)</f>
        <v>0</v>
      </c>
      <c r="BH4" s="36">
        <v>650</v>
      </c>
      <c r="BI4" s="36">
        <f>+IFERROR(VLOOKUP($BI$2,Sheet1!AH2:AK2,3,0),0)</f>
        <v>0</v>
      </c>
      <c r="BJ4" s="36">
        <f>+IFERROR(VLOOKUP($BJ$2,Sheet1!AH2:AK2,3,0),0)</f>
        <v>0</v>
      </c>
      <c r="BK4" s="36">
        <f>+IFERROR(VLOOKUP($BK$2,Sheet1!AH2:AK2,3,0),0)</f>
        <v>0</v>
      </c>
      <c r="BL4" s="36">
        <f>+IFERROR(VLOOKUP($BL$2,Sheet1!AH2:AK2,3,0),0)</f>
        <v>0</v>
      </c>
      <c r="BM4" s="9">
        <f>+IFERROR(VLOOKUP($BM$2,Sheet1!AL2:AO2,3,0),0)</f>
        <v>0</v>
      </c>
      <c r="BN4" s="9">
        <f>+IFERROR(VLOOKUP($BN$2,Sheet1!AL2:AO2,3,0),0)</f>
        <v>0</v>
      </c>
      <c r="BO4" s="9">
        <f>+IFERROR(VLOOKUP($BO$2,Sheet1!AL2:AO2,3,0),0)</f>
        <v>0</v>
      </c>
      <c r="BP4" s="9">
        <f>+IFERROR(VLOOKUP($BP$2,Sheet1!AL2:AO2,3,0),0)</f>
        <v>0</v>
      </c>
      <c r="BQ4" s="9">
        <f>+IFERROR(VLOOKUP($BQ$2,Sheet1!AL2:AO2,3,0),0)</f>
        <v>0</v>
      </c>
      <c r="BR4" s="9">
        <f>+IFERROR(VLOOKUP($BR$2,Sheet1!AL2:AO2,3,0),0)</f>
        <v>0</v>
      </c>
      <c r="BS4" s="9">
        <f>+IFERROR(VLOOKUP($BS$2,Sheet1!AL2:AO2,3,0),0)</f>
        <v>0</v>
      </c>
      <c r="BT4" s="9">
        <f>+IFERROR(VLOOKUP($BT$2,Sheet1!AL2:AO2,3,0),0)</f>
        <v>0</v>
      </c>
      <c r="BU4" s="9">
        <v>383</v>
      </c>
      <c r="BV4" s="9">
        <f>+IFERROR(VLOOKUP($BV$2,Sheet1!AL2:AO2,3,0),0)</f>
        <v>0</v>
      </c>
      <c r="BW4" s="9">
        <f>+IFERROR(VLOOKUP($BW$2,Sheet1!AL2:AO2,3,0),0)</f>
        <v>0</v>
      </c>
      <c r="BX4" s="9">
        <f>+IFERROR(VLOOKUP($BX$2,Sheet1!AL2:AO2,3,0),0)</f>
        <v>0</v>
      </c>
      <c r="BY4" s="40">
        <v>422</v>
      </c>
      <c r="BZ4" s="43">
        <f>+IFERROR(VLOOKUP($BZ$2,Sheet1!AT2:AW2,3,0),0)</f>
        <v>0</v>
      </c>
      <c r="CA4" s="44">
        <f>+IFERROR(VLOOKUP($CA$2,Sheet1!AX2:BA2,3,0),0)</f>
        <v>0</v>
      </c>
      <c r="CB4" s="46">
        <f>+IFERROR(VLOOKUP($CB$2,Sheet1!BB2:BE2,3,0),0)</f>
        <v>0</v>
      </c>
      <c r="CC4" s="48">
        <v>150</v>
      </c>
      <c r="CD4" s="49">
        <f>+IFERROR(VLOOKUP($CD$2,Sheet1!BJ2:BM2,3,0),0)</f>
        <v>0</v>
      </c>
      <c r="CE4" s="50">
        <f>+IFERROR(VLOOKUP($CE$2,Sheet1!BN2:BQ2,3,0),0)</f>
        <v>0</v>
      </c>
      <c r="CF4" s="38">
        <f>+IFERROR(VLOOKUP($CF$2,Sheet1!BR2:BU2,3,0),0)</f>
        <v>0</v>
      </c>
      <c r="CG4" s="44">
        <f>+IFERROR(VLOOKUP($CG$2,Sheet1!BV2:BY2,3,0),0)</f>
        <v>0</v>
      </c>
      <c r="CH4" s="67" t="s">
        <v>237</v>
      </c>
      <c r="CI4" s="68" t="s">
        <v>235</v>
      </c>
      <c r="CJ4" s="68" t="s">
        <v>236</v>
      </c>
      <c r="CK4" s="68">
        <v>500</v>
      </c>
      <c r="CL4" s="23">
        <v>8289</v>
      </c>
      <c r="CM4" s="23">
        <f>SUMPRODUCT($O$3:$CG$3,O4:CG4)+CL4</f>
        <v>496145</v>
      </c>
      <c r="CN4" s="110">
        <v>0.05</v>
      </c>
      <c r="CO4" s="23">
        <f>CM4*CN4</f>
        <v>24807.25</v>
      </c>
      <c r="CP4" s="95">
        <v>0.25</v>
      </c>
      <c r="CQ4" s="23">
        <f>CM4*CP4</f>
        <v>124036.25</v>
      </c>
      <c r="CR4" s="95">
        <v>0</v>
      </c>
      <c r="CS4" s="23">
        <f>CM4*CR4</f>
        <v>0</v>
      </c>
      <c r="CT4" s="23">
        <f>CM4+CO4+CQ4+CS4</f>
        <v>644988.5</v>
      </c>
      <c r="CU4" s="95">
        <v>0.02</v>
      </c>
      <c r="CV4" s="6">
        <f>CT4*CU4</f>
        <v>12899.77</v>
      </c>
      <c r="CW4" s="95">
        <v>0.1</v>
      </c>
      <c r="CX4" s="6">
        <f>CT4*CW4</f>
        <v>64498.850000000006</v>
      </c>
      <c r="CY4" s="95">
        <f>Sheet1!CM2</f>
        <v>0</v>
      </c>
      <c r="CZ4" s="6">
        <f>CY4*CT4</f>
        <v>0</v>
      </c>
    </row>
    <row r="6" spans="1:105" x14ac:dyDescent="0.25">
      <c r="CP6" s="8" t="s">
        <v>286</v>
      </c>
      <c r="CU6" s="238" t="s">
        <v>287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2459</v>
      </c>
      <c r="B9" s="101">
        <v>345</v>
      </c>
      <c r="C9" s="101">
        <f>((A9*F9)+B9)</f>
        <v>1574.5</v>
      </c>
      <c r="D9" s="101">
        <f>C9*I9</f>
        <v>12596</v>
      </c>
      <c r="E9" s="92">
        <f>K4</f>
        <v>100</v>
      </c>
      <c r="F9" s="93">
        <f>CK4/1000</f>
        <v>0.5</v>
      </c>
      <c r="G9" s="90" t="s">
        <v>285</v>
      </c>
      <c r="H9" s="94">
        <v>80000</v>
      </c>
      <c r="I9" s="93">
        <v>8</v>
      </c>
      <c r="J9" s="90">
        <f>F9*I9</f>
        <v>4</v>
      </c>
      <c r="K9" s="90">
        <f>ROUNDUP((E9/J9),0)</f>
        <v>25</v>
      </c>
      <c r="L9" s="90">
        <f>H9*K9</f>
        <v>2000000</v>
      </c>
      <c r="M9" s="96">
        <f>L9/E9</f>
        <v>20000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46.5" customHeight="1" x14ac:dyDescent="0.25">
      <c r="A15" s="6" t="str">
        <f>A4</f>
        <v>ENQ-20143-25-26</v>
      </c>
      <c r="B15" s="87">
        <f>B4</f>
        <v>46143</v>
      </c>
      <c r="C15" s="6" t="str">
        <f>C4</f>
        <v>FA1300013</v>
      </c>
      <c r="D15" s="6" t="str">
        <f>D4</f>
        <v>3 CORE X 35 SQ. MM. AL/ARM - STRIP (XLPE) - 11 KV</v>
      </c>
      <c r="E15" s="23">
        <f>ROUNDUP(E4/1000,0)</f>
        <v>723</v>
      </c>
      <c r="F15" s="98">
        <f>ROUNDUP(F4/1000,0)</f>
        <v>20</v>
      </c>
      <c r="G15" s="28">
        <f>E15+F15</f>
        <v>743</v>
      </c>
      <c r="H15" s="29">
        <f>H4</f>
        <v>0.18</v>
      </c>
      <c r="I15" s="28">
        <f>G15*H15</f>
        <v>133.74</v>
      </c>
      <c r="J15" s="28">
        <f>G15+I15</f>
        <v>876.74</v>
      </c>
      <c r="K15" s="79">
        <f>K4*1000</f>
        <v>100000</v>
      </c>
      <c r="L15" s="76" t="s">
        <v>140</v>
      </c>
      <c r="M15" s="23">
        <f>J15*K15</f>
        <v>87674000</v>
      </c>
      <c r="N15" s="105"/>
    </row>
    <row r="16" spans="1:105" x14ac:dyDescent="0.25">
      <c r="M16" s="97"/>
      <c r="N16" s="97"/>
    </row>
    <row r="17" spans="13:14" x14ac:dyDescent="0.25">
      <c r="M17" s="97"/>
      <c r="N17" s="97"/>
    </row>
    <row r="18" spans="13:14" x14ac:dyDescent="0.25">
      <c r="M18" s="97">
        <f>M15-M4</f>
        <v>72319.840000003576</v>
      </c>
      <c r="N18" s="97"/>
    </row>
    <row r="19" spans="13:14" x14ac:dyDescent="0.25">
      <c r="M19" s="97"/>
      <c r="N19" s="97"/>
    </row>
    <row r="20" spans="13:14" x14ac:dyDescent="0.25">
      <c r="M20" s="97"/>
      <c r="N20" s="97"/>
    </row>
    <row r="21" spans="13:14" x14ac:dyDescent="0.25">
      <c r="M21" s="97"/>
      <c r="N21" s="97"/>
    </row>
    <row r="22" spans="13:14" x14ac:dyDescent="0.25">
      <c r="M22" s="97"/>
      <c r="N22" s="97"/>
    </row>
    <row r="23" spans="13:14" x14ac:dyDescent="0.25">
      <c r="M23" s="97"/>
      <c r="N23" s="97"/>
    </row>
    <row r="24" spans="13:14" x14ac:dyDescent="0.25">
      <c r="M24" s="97"/>
      <c r="N24" s="97"/>
    </row>
    <row r="25" spans="13:14" x14ac:dyDescent="0.25">
      <c r="M25" s="97"/>
      <c r="N25" s="97"/>
    </row>
    <row r="26" spans="13:14" x14ac:dyDescent="0.25">
      <c r="M26" s="97"/>
      <c r="N26" s="97"/>
    </row>
    <row r="27" spans="13:14" x14ac:dyDescent="0.25">
      <c r="M27" s="97"/>
      <c r="N27" s="97"/>
    </row>
    <row r="28" spans="13:14" x14ac:dyDescent="0.25">
      <c r="M28" s="97"/>
      <c r="N28" s="97"/>
    </row>
    <row r="29" spans="13:14" x14ac:dyDescent="0.25">
      <c r="M29" s="97"/>
      <c r="N29" s="97"/>
    </row>
    <row r="30" spans="13:14" x14ac:dyDescent="0.25">
      <c r="M30" s="97"/>
      <c r="N30" s="97"/>
    </row>
    <row r="31" spans="13:14" x14ac:dyDescent="0.25">
      <c r="M31" s="97"/>
      <c r="N31" s="97"/>
    </row>
    <row r="32" spans="13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CH1:CK1"/>
    <mergeCell ref="AS1:BA1"/>
    <mergeCell ref="BB1:BL1"/>
    <mergeCell ref="BM1:BX1"/>
    <mergeCell ref="O1:V1"/>
    <mergeCell ref="W1:X1"/>
    <mergeCell ref="Y1:AF1"/>
    <mergeCell ref="AG1:AH1"/>
    <mergeCell ref="AI1:AQ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32DC-2435-418C-9E78-AF3430A29B0D}">
  <dimension ref="A1:DA45"/>
  <sheetViews>
    <sheetView showZeros="0" zoomScale="85" zoomScaleNormal="85" workbookViewId="0">
      <selection activeCell="C4" sqref="C4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2.5703125" customWidth="1"/>
    <col min="12" max="12" width="11.7109375" customWidth="1"/>
    <col min="13" max="13" width="16.5703125" customWidth="1"/>
    <col min="14" max="14" width="11.7109375" customWidth="1"/>
    <col min="15" max="85" width="7.85546875" style="15" customWidth="1"/>
    <col min="86" max="86" width="10.425781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hidden="1" customWidth="1"/>
    <col min="93" max="93" width="9.140625" style="2" hidden="1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94" t="s">
        <v>82</v>
      </c>
      <c r="P1" s="194"/>
      <c r="Q1" s="194"/>
      <c r="R1" s="194"/>
      <c r="S1" s="194"/>
      <c r="T1" s="194"/>
      <c r="U1" s="194"/>
      <c r="V1" s="194"/>
      <c r="W1" s="195" t="s">
        <v>4</v>
      </c>
      <c r="X1" s="195"/>
      <c r="Y1" s="196" t="s">
        <v>3</v>
      </c>
      <c r="Z1" s="196"/>
      <c r="AA1" s="196"/>
      <c r="AB1" s="196"/>
      <c r="AC1" s="196"/>
      <c r="AD1" s="196"/>
      <c r="AE1" s="196"/>
      <c r="AF1" s="196"/>
      <c r="AG1" s="197" t="s">
        <v>5</v>
      </c>
      <c r="AH1" s="197"/>
      <c r="AI1" s="198" t="s">
        <v>6</v>
      </c>
      <c r="AJ1" s="198"/>
      <c r="AK1" s="198"/>
      <c r="AL1" s="198"/>
      <c r="AM1" s="198"/>
      <c r="AN1" s="198"/>
      <c r="AO1" s="198"/>
      <c r="AP1" s="198"/>
      <c r="AQ1" s="198"/>
      <c r="AR1" s="35" t="s">
        <v>7</v>
      </c>
      <c r="AS1" s="190" t="s">
        <v>8</v>
      </c>
      <c r="AT1" s="191"/>
      <c r="AU1" s="191"/>
      <c r="AV1" s="191"/>
      <c r="AW1" s="191"/>
      <c r="AX1" s="191"/>
      <c r="AY1" s="191"/>
      <c r="AZ1" s="191"/>
      <c r="BA1" s="191"/>
      <c r="BB1" s="192" t="s">
        <v>9</v>
      </c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3" t="s">
        <v>10</v>
      </c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87" t="s">
        <v>84</v>
      </c>
      <c r="CI1" s="188"/>
      <c r="CJ1" s="188"/>
      <c r="CK1" s="189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41</v>
      </c>
      <c r="P2" s="82" t="s">
        <v>46</v>
      </c>
      <c r="Q2" s="82" t="s">
        <v>43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f>+IFERROR(VLOOKUP($O$2,Sheet1!J:L,2,0),0)</f>
        <v>0</v>
      </c>
      <c r="P3" s="17">
        <f>+IFERROR(VLOOKUP($P$2,Sheet1!J:L,2,0),0)</f>
        <v>0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+IFERROR(VLOOKUP($V$2,Sheet1!J:M,2,0),0)</f>
        <v>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f>+IFERROR(VLOOKUP($Z$2,Sheet1!F:I,2,0),0)</f>
        <v>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f>+IFERROR(VLOOKUP($AG$2,Sheet1!R:U,2,0),0)</f>
        <v>0</v>
      </c>
      <c r="AH3" s="18">
        <f>+IFERROR(VLOOKUP($AH$2,Sheet1!R:U,2,0),0)</f>
        <v>0</v>
      </c>
      <c r="AI3" s="18">
        <f>+IFERROR(VLOOKUP($AI$2,Sheet1!V:Y,2,0),0)</f>
        <v>0</v>
      </c>
      <c r="AJ3" s="18">
        <f>+IFERROR(VLOOKUP($AJ$2,Sheet1!V:Y,2,0),0)</f>
        <v>0</v>
      </c>
      <c r="AK3" s="18">
        <f>+IFERROR(VLOOKUP($AK$2,Sheet1!V:Y,2,0),0)</f>
        <v>0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f>+IFERROR(VLOOKUP($AY$2,Sheet1!AD2:AG840,2,0),0)</f>
        <v>0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f>+IFERROR(VLOOKUP($BH$2,Sheet1!AH2:AK840,2,0),0)</f>
        <v>0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f>+IFERROR(VLOOKUP($BP$2,Sheet1!AL2:AO840,2,0),0)</f>
        <v>0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f>+IFERROR(VLOOKUP($BY$2,Sheet1!AP2:AS840,2,0),0)</f>
        <v>0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f>+IFERROR(VLOOKUP($CC$2,Sheet1!BF2:BI840,2,0),0)</f>
        <v>0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55.5" customHeight="1" x14ac:dyDescent="0.25">
      <c r="A4" s="6" t="str">
        <f>Sheet1!A2</f>
        <v>ENQ-20143-25-26</v>
      </c>
      <c r="B4" s="87">
        <f>'AUTO CALCULATION SHEET (2)'!B4</f>
        <v>46143</v>
      </c>
      <c r="C4" s="6" t="str">
        <f>Sheet1!C2</f>
        <v>FA1300013</v>
      </c>
      <c r="D4" s="6" t="str">
        <f>Sheet1!D2</f>
        <v>3 CORE X 35 SQ. MM. AL/ARM - STRIP (XLPE) - 11 KV</v>
      </c>
      <c r="E4" s="23">
        <f>CT4+CV4+CX4+CZ4</f>
        <v>722387.12</v>
      </c>
      <c r="F4" s="98">
        <f>ROUNDUP($M$9,0)</f>
        <v>20000</v>
      </c>
      <c r="G4" s="28">
        <f>E4+F4</f>
        <v>742387.12</v>
      </c>
      <c r="H4" s="29">
        <f>Sheet1!CR2</f>
        <v>0.18</v>
      </c>
      <c r="I4" s="28">
        <f>G4*H4</f>
        <v>133629.68159999998</v>
      </c>
      <c r="J4" s="28">
        <f>G4+I4</f>
        <v>876016.80160000001</v>
      </c>
      <c r="K4" s="79">
        <f>Sheet1!CU2</f>
        <v>100</v>
      </c>
      <c r="L4" s="76" t="str">
        <f>Sheet1!CV2</f>
        <v>KMS</v>
      </c>
      <c r="M4" s="23">
        <f>J4*K4</f>
        <v>87601680.159999996</v>
      </c>
      <c r="N4" s="108"/>
      <c r="O4" s="71"/>
      <c r="P4" s="71"/>
      <c r="Q4" s="71"/>
      <c r="R4" s="71"/>
      <c r="S4" s="71"/>
      <c r="T4" s="71"/>
      <c r="U4" s="71"/>
      <c r="V4" s="71"/>
      <c r="W4" s="72"/>
      <c r="X4" s="72"/>
      <c r="Y4" s="73"/>
      <c r="Z4" s="73"/>
      <c r="AA4" s="73"/>
      <c r="AB4" s="73"/>
      <c r="AC4" s="73"/>
      <c r="AD4" s="73"/>
      <c r="AE4" s="73"/>
      <c r="AF4" s="73"/>
      <c r="AG4" s="74"/>
      <c r="AH4" s="32"/>
      <c r="AI4" s="75"/>
      <c r="AJ4" s="33"/>
      <c r="AK4" s="33"/>
      <c r="AL4" s="33"/>
      <c r="AM4" s="33"/>
      <c r="AN4" s="33"/>
      <c r="AO4" s="33"/>
      <c r="AP4" s="33"/>
      <c r="AQ4" s="33"/>
      <c r="AR4" s="36"/>
      <c r="AS4" s="37"/>
      <c r="AT4" s="37"/>
      <c r="AU4" s="37"/>
      <c r="AV4" s="37"/>
      <c r="AW4" s="37"/>
      <c r="AX4" s="37"/>
      <c r="AY4" s="37"/>
      <c r="AZ4" s="37"/>
      <c r="BA4" s="37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40"/>
      <c r="BZ4" s="43"/>
      <c r="CA4" s="44"/>
      <c r="CB4" s="46"/>
      <c r="CC4" s="48"/>
      <c r="CD4" s="49"/>
      <c r="CE4" s="50"/>
      <c r="CF4" s="38"/>
      <c r="CG4" s="44"/>
      <c r="CH4" s="67">
        <f>Sheet1!E2</f>
        <v>0</v>
      </c>
      <c r="CI4" s="68">
        <f>Sheet1!CY2</f>
        <v>0</v>
      </c>
      <c r="CJ4" s="68">
        <f>Sheet1!CZ2</f>
        <v>0</v>
      </c>
      <c r="CK4" s="68">
        <f>'AUTO CALCULATION SHEET (2)'!CK4</f>
        <v>500</v>
      </c>
      <c r="CL4" s="23">
        <f>'AUTO CALCULATION SHEET (2)'!CL4</f>
        <v>8289</v>
      </c>
      <c r="CM4" s="23">
        <f>SUMPRODUCT($O$3:$CG$3,O4:CG4)+CL4</f>
        <v>8289</v>
      </c>
      <c r="CN4" s="110">
        <f>Sheet1!CB2</f>
        <v>0</v>
      </c>
      <c r="CO4" s="23">
        <f>CM4*CN4</f>
        <v>0</v>
      </c>
      <c r="CP4" s="95">
        <f>((CT4-CM4)/CM4)</f>
        <v>76.812582941247442</v>
      </c>
      <c r="CQ4" s="23">
        <f>CM4*CP4</f>
        <v>636699.5</v>
      </c>
      <c r="CR4" s="95">
        <v>0</v>
      </c>
      <c r="CS4" s="23">
        <f>CM4*CR4</f>
        <v>0</v>
      </c>
      <c r="CT4" s="23">
        <f>'AUTO CALCULATION SHEET (2)'!CT4</f>
        <v>644988.5</v>
      </c>
      <c r="CU4" s="95">
        <f>'AUTO CALCULATION SHEET (2)'!CU4</f>
        <v>0.02</v>
      </c>
      <c r="CV4" s="6">
        <f>CT4*CU4</f>
        <v>12899.77</v>
      </c>
      <c r="CW4" s="95">
        <f>'AUTO CALCULATION SHEET (2)'!CW4</f>
        <v>0.1</v>
      </c>
      <c r="CX4" s="6">
        <f>CT4*CW4</f>
        <v>64498.850000000006</v>
      </c>
      <c r="CY4" s="95">
        <f>Sheet1!CM2</f>
        <v>0</v>
      </c>
      <c r="CZ4" s="6">
        <f>CY4*CT4</f>
        <v>0</v>
      </c>
    </row>
    <row r="5" spans="1:105" ht="39.75" customHeight="1" x14ac:dyDescent="0.25">
      <c r="CM5" s="2">
        <f>CM4-CL4</f>
        <v>0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0</v>
      </c>
      <c r="B9" s="101">
        <f>'AUTO CALCULATION SHEET (2)'!B9</f>
        <v>345</v>
      </c>
      <c r="C9" s="101">
        <f>((A9*F9)+B9)</f>
        <v>345</v>
      </c>
      <c r="D9" s="101">
        <f>C9*I9</f>
        <v>2760</v>
      </c>
      <c r="E9" s="92">
        <f>K4</f>
        <v>100</v>
      </c>
      <c r="F9" s="93">
        <f>CK4/1000</f>
        <v>0.5</v>
      </c>
      <c r="G9" s="90" t="str">
        <f>'AUTO CALCULATION SHEET (2)'!G9</f>
        <v>16 MT</v>
      </c>
      <c r="H9" s="94">
        <f>'AUTO CALCULATION SHEET (2)'!H9</f>
        <v>80000</v>
      </c>
      <c r="I9" s="93">
        <f>'AUTO CALCULATION SHEET (2)'!I9</f>
        <v>8</v>
      </c>
      <c r="J9" s="90">
        <f>F9*I9</f>
        <v>4</v>
      </c>
      <c r="K9" s="90">
        <f>'AUTO CALCULATION SHEET (2)'!K9</f>
        <v>25</v>
      </c>
      <c r="L9" s="90">
        <f>H9*K9</f>
        <v>2000000</v>
      </c>
      <c r="M9" s="96">
        <f>L9/E9</f>
        <v>20000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51" customHeight="1" x14ac:dyDescent="0.25">
      <c r="A15" s="6" t="str">
        <f>A4</f>
        <v>ENQ-20143-25-26</v>
      </c>
      <c r="B15" s="87">
        <f>B4</f>
        <v>46143</v>
      </c>
      <c r="C15" s="6" t="str">
        <f>C4</f>
        <v>FA1300013</v>
      </c>
      <c r="D15" s="6" t="str">
        <f>D4</f>
        <v>3 CORE X 35 SQ. MM. AL/ARM - STRIP (XLPE) - 11 KV</v>
      </c>
      <c r="E15" s="23">
        <f>ROUNDUP(E4/1000,0)</f>
        <v>723</v>
      </c>
      <c r="F15" s="98">
        <f>ROUNDUP(F4/1000,0)</f>
        <v>20</v>
      </c>
      <c r="G15" s="28">
        <f>E15+F15</f>
        <v>743</v>
      </c>
      <c r="H15" s="29">
        <f>H4</f>
        <v>0.18</v>
      </c>
      <c r="I15" s="28">
        <f>G15*H15</f>
        <v>133.74</v>
      </c>
      <c r="J15" s="28">
        <f>G15+I15</f>
        <v>876.74</v>
      </c>
      <c r="K15" s="79">
        <f>K4*1000</f>
        <v>100000</v>
      </c>
      <c r="L15" s="76" t="s">
        <v>140</v>
      </c>
      <c r="M15" s="23">
        <f>J15*K15</f>
        <v>87674000</v>
      </c>
      <c r="N15" s="105"/>
    </row>
    <row r="16" spans="1:105" x14ac:dyDescent="0.25">
      <c r="M16" s="97"/>
      <c r="N16" s="97"/>
    </row>
    <row r="17" spans="5:14" x14ac:dyDescent="0.25">
      <c r="E17" s="2">
        <f>'AUTO CALCULATION SHEET (2)'!E4</f>
        <v>722387.12</v>
      </c>
      <c r="M17" s="97">
        <f>M15-M4</f>
        <v>72319.840000003576</v>
      </c>
      <c r="N17" s="97"/>
    </row>
    <row r="18" spans="5:14" x14ac:dyDescent="0.25">
      <c r="M18" s="97"/>
      <c r="N18" s="97"/>
    </row>
    <row r="19" spans="5:14" x14ac:dyDescent="0.25">
      <c r="M19" s="97"/>
      <c r="N19" s="97"/>
    </row>
    <row r="20" spans="5:14" x14ac:dyDescent="0.25">
      <c r="M20" s="97"/>
      <c r="N20" s="97"/>
    </row>
    <row r="21" spans="5:14" x14ac:dyDescent="0.25">
      <c r="M21" s="97"/>
      <c r="N21" s="97"/>
    </row>
    <row r="22" spans="5:14" x14ac:dyDescent="0.25">
      <c r="M22" s="97"/>
      <c r="N22" s="97"/>
    </row>
    <row r="23" spans="5:14" x14ac:dyDescent="0.25">
      <c r="M23" s="97"/>
      <c r="N23" s="97"/>
    </row>
    <row r="24" spans="5:14" x14ac:dyDescent="0.25">
      <c r="M24" s="97"/>
      <c r="N24" s="97"/>
    </row>
    <row r="25" spans="5:14" x14ac:dyDescent="0.25">
      <c r="M25" s="97"/>
      <c r="N25" s="97"/>
    </row>
    <row r="26" spans="5:14" x14ac:dyDescent="0.25">
      <c r="M26" s="97"/>
      <c r="N26" s="97"/>
    </row>
    <row r="27" spans="5:14" x14ac:dyDescent="0.25">
      <c r="M27" s="97"/>
      <c r="N27" s="97"/>
    </row>
    <row r="28" spans="5:14" x14ac:dyDescent="0.25">
      <c r="M28" s="97"/>
      <c r="N28" s="97"/>
    </row>
    <row r="29" spans="5:14" x14ac:dyDescent="0.25">
      <c r="M29" s="97"/>
      <c r="N29" s="97"/>
    </row>
    <row r="30" spans="5:14" x14ac:dyDescent="0.25">
      <c r="M30" s="97"/>
      <c r="N30" s="97"/>
    </row>
    <row r="31" spans="5:14" x14ac:dyDescent="0.25">
      <c r="M31" s="97"/>
      <c r="N31" s="97"/>
    </row>
    <row r="32" spans="5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BB1:BL1"/>
    <mergeCell ref="BM1:BX1"/>
    <mergeCell ref="CH1:CK1"/>
    <mergeCell ref="O1:V1"/>
    <mergeCell ref="W1:X1"/>
    <mergeCell ref="Y1:AF1"/>
    <mergeCell ref="AG1:AH1"/>
    <mergeCell ref="AI1:AQ1"/>
    <mergeCell ref="AS1:BA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483A-5887-473C-8157-994597E09563}">
  <sheetPr>
    <tabColor rgb="FFFF0000"/>
    <pageSetUpPr fitToPage="1"/>
  </sheetPr>
  <dimension ref="A1:BE17"/>
  <sheetViews>
    <sheetView showZeros="0" zoomScaleNormal="100" workbookViewId="0">
      <selection activeCell="BE12" sqref="BE12"/>
    </sheetView>
  </sheetViews>
  <sheetFormatPr defaultRowHeight="12.75" x14ac:dyDescent="0.2"/>
  <cols>
    <col min="1" max="1" width="45.28515625" style="121" customWidth="1"/>
    <col min="2" max="2" width="14.7109375" style="121" customWidth="1"/>
    <col min="3" max="3" width="11.85546875" style="121" customWidth="1"/>
    <col min="4" max="4" width="10.7109375" style="121" customWidth="1"/>
    <col min="5" max="5" width="9.42578125" style="121" customWidth="1"/>
    <col min="6" max="6" width="11.140625" style="121" customWidth="1"/>
    <col min="7" max="9" width="9.42578125" style="121" customWidth="1"/>
    <col min="10" max="10" width="11.85546875" style="121" customWidth="1"/>
    <col min="11" max="15" width="9.140625" style="121" customWidth="1"/>
    <col min="16" max="16" width="7.28515625" style="121" customWidth="1"/>
    <col min="17" max="17" width="7.28515625" style="121" hidden="1" customWidth="1"/>
    <col min="18" max="19" width="7.42578125" style="121" customWidth="1"/>
    <col min="20" max="20" width="7.42578125" style="121" hidden="1" customWidth="1"/>
    <col min="21" max="22" width="7.42578125" style="121" customWidth="1"/>
    <col min="23" max="23" width="10.42578125" style="121" bestFit="1" customWidth="1"/>
    <col min="24" max="24" width="12" style="121" bestFit="1" customWidth="1"/>
    <col min="25" max="25" width="12" style="121" hidden="1" customWidth="1"/>
    <col min="26" max="26" width="11" style="121" bestFit="1" customWidth="1"/>
    <col min="27" max="27" width="11.42578125" style="121" bestFit="1" customWidth="1"/>
    <col min="28" max="29" width="11" style="121" customWidth="1"/>
    <col min="30" max="30" width="11" style="121" bestFit="1" customWidth="1"/>
    <col min="31" max="31" width="14.42578125" style="121" bestFit="1" customWidth="1"/>
    <col min="32" max="32" width="9.140625" style="121" customWidth="1"/>
    <col min="33" max="34" width="10.85546875" style="121" hidden="1" customWidth="1"/>
    <col min="35" max="35" width="10.85546875" style="121" customWidth="1"/>
    <col min="36" max="36" width="10.85546875" style="121" hidden="1" customWidth="1"/>
    <col min="37" max="37" width="10.85546875" style="121" customWidth="1"/>
    <col min="38" max="38" width="10.85546875" style="121" hidden="1" customWidth="1"/>
    <col min="39" max="39" width="13.28515625" style="121" hidden="1" customWidth="1"/>
    <col min="40" max="40" width="9.5703125" style="121" hidden="1" customWidth="1"/>
    <col min="41" max="41" width="10.42578125" style="121" customWidth="1"/>
    <col min="42" max="42" width="10.42578125" style="121" hidden="1" customWidth="1"/>
    <col min="43" max="43" width="12.7109375" style="121" hidden="1" customWidth="1"/>
    <col min="44" max="44" width="10.42578125" style="121" customWidth="1"/>
    <col min="45" max="45" width="10.42578125" style="121" hidden="1" customWidth="1"/>
    <col min="46" max="48" width="10.42578125" style="121" customWidth="1"/>
    <col min="49" max="49" width="10.5703125" style="121" bestFit="1" customWidth="1"/>
    <col min="50" max="50" width="9.5703125" style="121" bestFit="1" customWidth="1"/>
    <col min="51" max="51" width="10.5703125" style="121" customWidth="1"/>
    <col min="52" max="52" width="11.140625" style="121" bestFit="1" customWidth="1"/>
    <col min="53" max="271" width="9.140625" style="121"/>
    <col min="272" max="272" width="54.140625" style="121" bestFit="1" customWidth="1"/>
    <col min="273" max="273" width="14.7109375" style="121" customWidth="1"/>
    <col min="274" max="274" width="10.140625" style="121" customWidth="1"/>
    <col min="275" max="275" width="10.42578125" style="121" bestFit="1" customWidth="1"/>
    <col min="276" max="277" width="9.42578125" style="121" bestFit="1" customWidth="1"/>
    <col min="278" max="279" width="9.42578125" style="121" customWidth="1"/>
    <col min="280" max="280" width="10.140625" style="121" bestFit="1" customWidth="1"/>
    <col min="281" max="284" width="9.140625" style="121"/>
    <col min="285" max="285" width="7.28515625" style="121" customWidth="1"/>
    <col min="286" max="288" width="7.42578125" style="121" customWidth="1"/>
    <col min="289" max="289" width="10.42578125" style="121" bestFit="1" customWidth="1"/>
    <col min="290" max="290" width="12" style="121" bestFit="1" customWidth="1"/>
    <col min="291" max="291" width="11" style="121" bestFit="1" customWidth="1"/>
    <col min="292" max="293" width="11" style="121" customWidth="1"/>
    <col min="294" max="294" width="10" style="121" bestFit="1" customWidth="1"/>
    <col min="295" max="295" width="14.42578125" style="121" bestFit="1" customWidth="1"/>
    <col min="296" max="306" width="0" style="121" hidden="1" customWidth="1"/>
    <col min="307" max="527" width="9.140625" style="121"/>
    <col min="528" max="528" width="54.140625" style="121" bestFit="1" customWidth="1"/>
    <col min="529" max="529" width="14.7109375" style="121" customWidth="1"/>
    <col min="530" max="530" width="10.140625" style="121" customWidth="1"/>
    <col min="531" max="531" width="10.42578125" style="121" bestFit="1" customWidth="1"/>
    <col min="532" max="533" width="9.42578125" style="121" bestFit="1" customWidth="1"/>
    <col min="534" max="535" width="9.42578125" style="121" customWidth="1"/>
    <col min="536" max="536" width="10.140625" style="121" bestFit="1" customWidth="1"/>
    <col min="537" max="540" width="9.140625" style="121"/>
    <col min="541" max="541" width="7.28515625" style="121" customWidth="1"/>
    <col min="542" max="544" width="7.42578125" style="121" customWidth="1"/>
    <col min="545" max="545" width="10.42578125" style="121" bestFit="1" customWidth="1"/>
    <col min="546" max="546" width="12" style="121" bestFit="1" customWidth="1"/>
    <col min="547" max="547" width="11" style="121" bestFit="1" customWidth="1"/>
    <col min="548" max="549" width="11" style="121" customWidth="1"/>
    <col min="550" max="550" width="10" style="121" bestFit="1" customWidth="1"/>
    <col min="551" max="551" width="14.42578125" style="121" bestFit="1" customWidth="1"/>
    <col min="552" max="562" width="0" style="121" hidden="1" customWidth="1"/>
    <col min="563" max="783" width="9.140625" style="121"/>
    <col min="784" max="784" width="54.140625" style="121" bestFit="1" customWidth="1"/>
    <col min="785" max="785" width="14.7109375" style="121" customWidth="1"/>
    <col min="786" max="786" width="10.140625" style="121" customWidth="1"/>
    <col min="787" max="787" width="10.42578125" style="121" bestFit="1" customWidth="1"/>
    <col min="788" max="789" width="9.42578125" style="121" bestFit="1" customWidth="1"/>
    <col min="790" max="791" width="9.42578125" style="121" customWidth="1"/>
    <col min="792" max="792" width="10.140625" style="121" bestFit="1" customWidth="1"/>
    <col min="793" max="796" width="9.140625" style="121"/>
    <col min="797" max="797" width="7.28515625" style="121" customWidth="1"/>
    <col min="798" max="800" width="7.42578125" style="121" customWidth="1"/>
    <col min="801" max="801" width="10.42578125" style="121" bestFit="1" customWidth="1"/>
    <col min="802" max="802" width="12" style="121" bestFit="1" customWidth="1"/>
    <col min="803" max="803" width="11" style="121" bestFit="1" customWidth="1"/>
    <col min="804" max="805" width="11" style="121" customWidth="1"/>
    <col min="806" max="806" width="10" style="121" bestFit="1" customWidth="1"/>
    <col min="807" max="807" width="14.42578125" style="121" bestFit="1" customWidth="1"/>
    <col min="808" max="818" width="0" style="121" hidden="1" customWidth="1"/>
    <col min="819" max="1039" width="9.140625" style="121"/>
    <col min="1040" max="1040" width="54.140625" style="121" bestFit="1" customWidth="1"/>
    <col min="1041" max="1041" width="14.7109375" style="121" customWidth="1"/>
    <col min="1042" max="1042" width="10.140625" style="121" customWidth="1"/>
    <col min="1043" max="1043" width="10.42578125" style="121" bestFit="1" customWidth="1"/>
    <col min="1044" max="1045" width="9.42578125" style="121" bestFit="1" customWidth="1"/>
    <col min="1046" max="1047" width="9.42578125" style="121" customWidth="1"/>
    <col min="1048" max="1048" width="10.140625" style="121" bestFit="1" customWidth="1"/>
    <col min="1049" max="1052" width="9.140625" style="121"/>
    <col min="1053" max="1053" width="7.28515625" style="121" customWidth="1"/>
    <col min="1054" max="1056" width="7.42578125" style="121" customWidth="1"/>
    <col min="1057" max="1057" width="10.42578125" style="121" bestFit="1" customWidth="1"/>
    <col min="1058" max="1058" width="12" style="121" bestFit="1" customWidth="1"/>
    <col min="1059" max="1059" width="11" style="121" bestFit="1" customWidth="1"/>
    <col min="1060" max="1061" width="11" style="121" customWidth="1"/>
    <col min="1062" max="1062" width="10" style="121" bestFit="1" customWidth="1"/>
    <col min="1063" max="1063" width="14.42578125" style="121" bestFit="1" customWidth="1"/>
    <col min="1064" max="1074" width="0" style="121" hidden="1" customWidth="1"/>
    <col min="1075" max="1295" width="9.140625" style="121"/>
    <col min="1296" max="1296" width="54.140625" style="121" bestFit="1" customWidth="1"/>
    <col min="1297" max="1297" width="14.7109375" style="121" customWidth="1"/>
    <col min="1298" max="1298" width="10.140625" style="121" customWidth="1"/>
    <col min="1299" max="1299" width="10.42578125" style="121" bestFit="1" customWidth="1"/>
    <col min="1300" max="1301" width="9.42578125" style="121" bestFit="1" customWidth="1"/>
    <col min="1302" max="1303" width="9.42578125" style="121" customWidth="1"/>
    <col min="1304" max="1304" width="10.140625" style="121" bestFit="1" customWidth="1"/>
    <col min="1305" max="1308" width="9.140625" style="121"/>
    <col min="1309" max="1309" width="7.28515625" style="121" customWidth="1"/>
    <col min="1310" max="1312" width="7.42578125" style="121" customWidth="1"/>
    <col min="1313" max="1313" width="10.42578125" style="121" bestFit="1" customWidth="1"/>
    <col min="1314" max="1314" width="12" style="121" bestFit="1" customWidth="1"/>
    <col min="1315" max="1315" width="11" style="121" bestFit="1" customWidth="1"/>
    <col min="1316" max="1317" width="11" style="121" customWidth="1"/>
    <col min="1318" max="1318" width="10" style="121" bestFit="1" customWidth="1"/>
    <col min="1319" max="1319" width="14.42578125" style="121" bestFit="1" customWidth="1"/>
    <col min="1320" max="1330" width="0" style="121" hidden="1" customWidth="1"/>
    <col min="1331" max="1551" width="9.140625" style="121"/>
    <col min="1552" max="1552" width="54.140625" style="121" bestFit="1" customWidth="1"/>
    <col min="1553" max="1553" width="14.7109375" style="121" customWidth="1"/>
    <col min="1554" max="1554" width="10.140625" style="121" customWidth="1"/>
    <col min="1555" max="1555" width="10.42578125" style="121" bestFit="1" customWidth="1"/>
    <col min="1556" max="1557" width="9.42578125" style="121" bestFit="1" customWidth="1"/>
    <col min="1558" max="1559" width="9.42578125" style="121" customWidth="1"/>
    <col min="1560" max="1560" width="10.140625" style="121" bestFit="1" customWidth="1"/>
    <col min="1561" max="1564" width="9.140625" style="121"/>
    <col min="1565" max="1565" width="7.28515625" style="121" customWidth="1"/>
    <col min="1566" max="1568" width="7.42578125" style="121" customWidth="1"/>
    <col min="1569" max="1569" width="10.42578125" style="121" bestFit="1" customWidth="1"/>
    <col min="1570" max="1570" width="12" style="121" bestFit="1" customWidth="1"/>
    <col min="1571" max="1571" width="11" style="121" bestFit="1" customWidth="1"/>
    <col min="1572" max="1573" width="11" style="121" customWidth="1"/>
    <col min="1574" max="1574" width="10" style="121" bestFit="1" customWidth="1"/>
    <col min="1575" max="1575" width="14.42578125" style="121" bestFit="1" customWidth="1"/>
    <col min="1576" max="1586" width="0" style="121" hidden="1" customWidth="1"/>
    <col min="1587" max="1807" width="9.140625" style="121"/>
    <col min="1808" max="1808" width="54.140625" style="121" bestFit="1" customWidth="1"/>
    <col min="1809" max="1809" width="14.7109375" style="121" customWidth="1"/>
    <col min="1810" max="1810" width="10.140625" style="121" customWidth="1"/>
    <col min="1811" max="1811" width="10.42578125" style="121" bestFit="1" customWidth="1"/>
    <col min="1812" max="1813" width="9.42578125" style="121" bestFit="1" customWidth="1"/>
    <col min="1814" max="1815" width="9.42578125" style="121" customWidth="1"/>
    <col min="1816" max="1816" width="10.140625" style="121" bestFit="1" customWidth="1"/>
    <col min="1817" max="1820" width="9.140625" style="121"/>
    <col min="1821" max="1821" width="7.28515625" style="121" customWidth="1"/>
    <col min="1822" max="1824" width="7.42578125" style="121" customWidth="1"/>
    <col min="1825" max="1825" width="10.42578125" style="121" bestFit="1" customWidth="1"/>
    <col min="1826" max="1826" width="12" style="121" bestFit="1" customWidth="1"/>
    <col min="1827" max="1827" width="11" style="121" bestFit="1" customWidth="1"/>
    <col min="1828" max="1829" width="11" style="121" customWidth="1"/>
    <col min="1830" max="1830" width="10" style="121" bestFit="1" customWidth="1"/>
    <col min="1831" max="1831" width="14.42578125" style="121" bestFit="1" customWidth="1"/>
    <col min="1832" max="1842" width="0" style="121" hidden="1" customWidth="1"/>
    <col min="1843" max="2063" width="9.140625" style="121"/>
    <col min="2064" max="2064" width="54.140625" style="121" bestFit="1" customWidth="1"/>
    <col min="2065" max="2065" width="14.7109375" style="121" customWidth="1"/>
    <col min="2066" max="2066" width="10.140625" style="121" customWidth="1"/>
    <col min="2067" max="2067" width="10.42578125" style="121" bestFit="1" customWidth="1"/>
    <col min="2068" max="2069" width="9.42578125" style="121" bestFit="1" customWidth="1"/>
    <col min="2070" max="2071" width="9.42578125" style="121" customWidth="1"/>
    <col min="2072" max="2072" width="10.140625" style="121" bestFit="1" customWidth="1"/>
    <col min="2073" max="2076" width="9.140625" style="121"/>
    <col min="2077" max="2077" width="7.28515625" style="121" customWidth="1"/>
    <col min="2078" max="2080" width="7.42578125" style="121" customWidth="1"/>
    <col min="2081" max="2081" width="10.42578125" style="121" bestFit="1" customWidth="1"/>
    <col min="2082" max="2082" width="12" style="121" bestFit="1" customWidth="1"/>
    <col min="2083" max="2083" width="11" style="121" bestFit="1" customWidth="1"/>
    <col min="2084" max="2085" width="11" style="121" customWidth="1"/>
    <col min="2086" max="2086" width="10" style="121" bestFit="1" customWidth="1"/>
    <col min="2087" max="2087" width="14.42578125" style="121" bestFit="1" customWidth="1"/>
    <col min="2088" max="2098" width="0" style="121" hidden="1" customWidth="1"/>
    <col min="2099" max="2319" width="9.140625" style="121"/>
    <col min="2320" max="2320" width="54.140625" style="121" bestFit="1" customWidth="1"/>
    <col min="2321" max="2321" width="14.7109375" style="121" customWidth="1"/>
    <col min="2322" max="2322" width="10.140625" style="121" customWidth="1"/>
    <col min="2323" max="2323" width="10.42578125" style="121" bestFit="1" customWidth="1"/>
    <col min="2324" max="2325" width="9.42578125" style="121" bestFit="1" customWidth="1"/>
    <col min="2326" max="2327" width="9.42578125" style="121" customWidth="1"/>
    <col min="2328" max="2328" width="10.140625" style="121" bestFit="1" customWidth="1"/>
    <col min="2329" max="2332" width="9.140625" style="121"/>
    <col min="2333" max="2333" width="7.28515625" style="121" customWidth="1"/>
    <col min="2334" max="2336" width="7.42578125" style="121" customWidth="1"/>
    <col min="2337" max="2337" width="10.42578125" style="121" bestFit="1" customWidth="1"/>
    <col min="2338" max="2338" width="12" style="121" bestFit="1" customWidth="1"/>
    <col min="2339" max="2339" width="11" style="121" bestFit="1" customWidth="1"/>
    <col min="2340" max="2341" width="11" style="121" customWidth="1"/>
    <col min="2342" max="2342" width="10" style="121" bestFit="1" customWidth="1"/>
    <col min="2343" max="2343" width="14.42578125" style="121" bestFit="1" customWidth="1"/>
    <col min="2344" max="2354" width="0" style="121" hidden="1" customWidth="1"/>
    <col min="2355" max="2575" width="9.140625" style="121"/>
    <col min="2576" max="2576" width="54.140625" style="121" bestFit="1" customWidth="1"/>
    <col min="2577" max="2577" width="14.7109375" style="121" customWidth="1"/>
    <col min="2578" max="2578" width="10.140625" style="121" customWidth="1"/>
    <col min="2579" max="2579" width="10.42578125" style="121" bestFit="1" customWidth="1"/>
    <col min="2580" max="2581" width="9.42578125" style="121" bestFit="1" customWidth="1"/>
    <col min="2582" max="2583" width="9.42578125" style="121" customWidth="1"/>
    <col min="2584" max="2584" width="10.140625" style="121" bestFit="1" customWidth="1"/>
    <col min="2585" max="2588" width="9.140625" style="121"/>
    <col min="2589" max="2589" width="7.28515625" style="121" customWidth="1"/>
    <col min="2590" max="2592" width="7.42578125" style="121" customWidth="1"/>
    <col min="2593" max="2593" width="10.42578125" style="121" bestFit="1" customWidth="1"/>
    <col min="2594" max="2594" width="12" style="121" bestFit="1" customWidth="1"/>
    <col min="2595" max="2595" width="11" style="121" bestFit="1" customWidth="1"/>
    <col min="2596" max="2597" width="11" style="121" customWidth="1"/>
    <col min="2598" max="2598" width="10" style="121" bestFit="1" customWidth="1"/>
    <col min="2599" max="2599" width="14.42578125" style="121" bestFit="1" customWidth="1"/>
    <col min="2600" max="2610" width="0" style="121" hidden="1" customWidth="1"/>
    <col min="2611" max="2831" width="9.140625" style="121"/>
    <col min="2832" max="2832" width="54.140625" style="121" bestFit="1" customWidth="1"/>
    <col min="2833" max="2833" width="14.7109375" style="121" customWidth="1"/>
    <col min="2834" max="2834" width="10.140625" style="121" customWidth="1"/>
    <col min="2835" max="2835" width="10.42578125" style="121" bestFit="1" customWidth="1"/>
    <col min="2836" max="2837" width="9.42578125" style="121" bestFit="1" customWidth="1"/>
    <col min="2838" max="2839" width="9.42578125" style="121" customWidth="1"/>
    <col min="2840" max="2840" width="10.140625" style="121" bestFit="1" customWidth="1"/>
    <col min="2841" max="2844" width="9.140625" style="121"/>
    <col min="2845" max="2845" width="7.28515625" style="121" customWidth="1"/>
    <col min="2846" max="2848" width="7.42578125" style="121" customWidth="1"/>
    <col min="2849" max="2849" width="10.42578125" style="121" bestFit="1" customWidth="1"/>
    <col min="2850" max="2850" width="12" style="121" bestFit="1" customWidth="1"/>
    <col min="2851" max="2851" width="11" style="121" bestFit="1" customWidth="1"/>
    <col min="2852" max="2853" width="11" style="121" customWidth="1"/>
    <col min="2854" max="2854" width="10" style="121" bestFit="1" customWidth="1"/>
    <col min="2855" max="2855" width="14.42578125" style="121" bestFit="1" customWidth="1"/>
    <col min="2856" max="2866" width="0" style="121" hidden="1" customWidth="1"/>
    <col min="2867" max="3087" width="9.140625" style="121"/>
    <col min="3088" max="3088" width="54.140625" style="121" bestFit="1" customWidth="1"/>
    <col min="3089" max="3089" width="14.7109375" style="121" customWidth="1"/>
    <col min="3090" max="3090" width="10.140625" style="121" customWidth="1"/>
    <col min="3091" max="3091" width="10.42578125" style="121" bestFit="1" customWidth="1"/>
    <col min="3092" max="3093" width="9.42578125" style="121" bestFit="1" customWidth="1"/>
    <col min="3094" max="3095" width="9.42578125" style="121" customWidth="1"/>
    <col min="3096" max="3096" width="10.140625" style="121" bestFit="1" customWidth="1"/>
    <col min="3097" max="3100" width="9.140625" style="121"/>
    <col min="3101" max="3101" width="7.28515625" style="121" customWidth="1"/>
    <col min="3102" max="3104" width="7.42578125" style="121" customWidth="1"/>
    <col min="3105" max="3105" width="10.42578125" style="121" bestFit="1" customWidth="1"/>
    <col min="3106" max="3106" width="12" style="121" bestFit="1" customWidth="1"/>
    <col min="3107" max="3107" width="11" style="121" bestFit="1" customWidth="1"/>
    <col min="3108" max="3109" width="11" style="121" customWidth="1"/>
    <col min="3110" max="3110" width="10" style="121" bestFit="1" customWidth="1"/>
    <col min="3111" max="3111" width="14.42578125" style="121" bestFit="1" customWidth="1"/>
    <col min="3112" max="3122" width="0" style="121" hidden="1" customWidth="1"/>
    <col min="3123" max="3343" width="9.140625" style="121"/>
    <col min="3344" max="3344" width="54.140625" style="121" bestFit="1" customWidth="1"/>
    <col min="3345" max="3345" width="14.7109375" style="121" customWidth="1"/>
    <col min="3346" max="3346" width="10.140625" style="121" customWidth="1"/>
    <col min="3347" max="3347" width="10.42578125" style="121" bestFit="1" customWidth="1"/>
    <col min="3348" max="3349" width="9.42578125" style="121" bestFit="1" customWidth="1"/>
    <col min="3350" max="3351" width="9.42578125" style="121" customWidth="1"/>
    <col min="3352" max="3352" width="10.140625" style="121" bestFit="1" customWidth="1"/>
    <col min="3353" max="3356" width="9.140625" style="121"/>
    <col min="3357" max="3357" width="7.28515625" style="121" customWidth="1"/>
    <col min="3358" max="3360" width="7.42578125" style="121" customWidth="1"/>
    <col min="3361" max="3361" width="10.42578125" style="121" bestFit="1" customWidth="1"/>
    <col min="3362" max="3362" width="12" style="121" bestFit="1" customWidth="1"/>
    <col min="3363" max="3363" width="11" style="121" bestFit="1" customWidth="1"/>
    <col min="3364" max="3365" width="11" style="121" customWidth="1"/>
    <col min="3366" max="3366" width="10" style="121" bestFit="1" customWidth="1"/>
    <col min="3367" max="3367" width="14.42578125" style="121" bestFit="1" customWidth="1"/>
    <col min="3368" max="3378" width="0" style="121" hidden="1" customWidth="1"/>
    <col min="3379" max="3599" width="9.140625" style="121"/>
    <col min="3600" max="3600" width="54.140625" style="121" bestFit="1" customWidth="1"/>
    <col min="3601" max="3601" width="14.7109375" style="121" customWidth="1"/>
    <col min="3602" max="3602" width="10.140625" style="121" customWidth="1"/>
    <col min="3603" max="3603" width="10.42578125" style="121" bestFit="1" customWidth="1"/>
    <col min="3604" max="3605" width="9.42578125" style="121" bestFit="1" customWidth="1"/>
    <col min="3606" max="3607" width="9.42578125" style="121" customWidth="1"/>
    <col min="3608" max="3608" width="10.140625" style="121" bestFit="1" customWidth="1"/>
    <col min="3609" max="3612" width="9.140625" style="121"/>
    <col min="3613" max="3613" width="7.28515625" style="121" customWidth="1"/>
    <col min="3614" max="3616" width="7.42578125" style="121" customWidth="1"/>
    <col min="3617" max="3617" width="10.42578125" style="121" bestFit="1" customWidth="1"/>
    <col min="3618" max="3618" width="12" style="121" bestFit="1" customWidth="1"/>
    <col min="3619" max="3619" width="11" style="121" bestFit="1" customWidth="1"/>
    <col min="3620" max="3621" width="11" style="121" customWidth="1"/>
    <col min="3622" max="3622" width="10" style="121" bestFit="1" customWidth="1"/>
    <col min="3623" max="3623" width="14.42578125" style="121" bestFit="1" customWidth="1"/>
    <col min="3624" max="3634" width="0" style="121" hidden="1" customWidth="1"/>
    <col min="3635" max="3855" width="9.140625" style="121"/>
    <col min="3856" max="3856" width="54.140625" style="121" bestFit="1" customWidth="1"/>
    <col min="3857" max="3857" width="14.7109375" style="121" customWidth="1"/>
    <col min="3858" max="3858" width="10.140625" style="121" customWidth="1"/>
    <col min="3859" max="3859" width="10.42578125" style="121" bestFit="1" customWidth="1"/>
    <col min="3860" max="3861" width="9.42578125" style="121" bestFit="1" customWidth="1"/>
    <col min="3862" max="3863" width="9.42578125" style="121" customWidth="1"/>
    <col min="3864" max="3864" width="10.140625" style="121" bestFit="1" customWidth="1"/>
    <col min="3865" max="3868" width="9.140625" style="121"/>
    <col min="3869" max="3869" width="7.28515625" style="121" customWidth="1"/>
    <col min="3870" max="3872" width="7.42578125" style="121" customWidth="1"/>
    <col min="3873" max="3873" width="10.42578125" style="121" bestFit="1" customWidth="1"/>
    <col min="3874" max="3874" width="12" style="121" bestFit="1" customWidth="1"/>
    <col min="3875" max="3875" width="11" style="121" bestFit="1" customWidth="1"/>
    <col min="3876" max="3877" width="11" style="121" customWidth="1"/>
    <col min="3878" max="3878" width="10" style="121" bestFit="1" customWidth="1"/>
    <col min="3879" max="3879" width="14.42578125" style="121" bestFit="1" customWidth="1"/>
    <col min="3880" max="3890" width="0" style="121" hidden="1" customWidth="1"/>
    <col min="3891" max="4111" width="9.140625" style="121"/>
    <col min="4112" max="4112" width="54.140625" style="121" bestFit="1" customWidth="1"/>
    <col min="4113" max="4113" width="14.7109375" style="121" customWidth="1"/>
    <col min="4114" max="4114" width="10.140625" style="121" customWidth="1"/>
    <col min="4115" max="4115" width="10.42578125" style="121" bestFit="1" customWidth="1"/>
    <col min="4116" max="4117" width="9.42578125" style="121" bestFit="1" customWidth="1"/>
    <col min="4118" max="4119" width="9.42578125" style="121" customWidth="1"/>
    <col min="4120" max="4120" width="10.140625" style="121" bestFit="1" customWidth="1"/>
    <col min="4121" max="4124" width="9.140625" style="121"/>
    <col min="4125" max="4125" width="7.28515625" style="121" customWidth="1"/>
    <col min="4126" max="4128" width="7.42578125" style="121" customWidth="1"/>
    <col min="4129" max="4129" width="10.42578125" style="121" bestFit="1" customWidth="1"/>
    <col min="4130" max="4130" width="12" style="121" bestFit="1" customWidth="1"/>
    <col min="4131" max="4131" width="11" style="121" bestFit="1" customWidth="1"/>
    <col min="4132" max="4133" width="11" style="121" customWidth="1"/>
    <col min="4134" max="4134" width="10" style="121" bestFit="1" customWidth="1"/>
    <col min="4135" max="4135" width="14.42578125" style="121" bestFit="1" customWidth="1"/>
    <col min="4136" max="4146" width="0" style="121" hidden="1" customWidth="1"/>
    <col min="4147" max="4367" width="9.140625" style="121"/>
    <col min="4368" max="4368" width="54.140625" style="121" bestFit="1" customWidth="1"/>
    <col min="4369" max="4369" width="14.7109375" style="121" customWidth="1"/>
    <col min="4370" max="4370" width="10.140625" style="121" customWidth="1"/>
    <col min="4371" max="4371" width="10.42578125" style="121" bestFit="1" customWidth="1"/>
    <col min="4372" max="4373" width="9.42578125" style="121" bestFit="1" customWidth="1"/>
    <col min="4374" max="4375" width="9.42578125" style="121" customWidth="1"/>
    <col min="4376" max="4376" width="10.140625" style="121" bestFit="1" customWidth="1"/>
    <col min="4377" max="4380" width="9.140625" style="121"/>
    <col min="4381" max="4381" width="7.28515625" style="121" customWidth="1"/>
    <col min="4382" max="4384" width="7.42578125" style="121" customWidth="1"/>
    <col min="4385" max="4385" width="10.42578125" style="121" bestFit="1" customWidth="1"/>
    <col min="4386" max="4386" width="12" style="121" bestFit="1" customWidth="1"/>
    <col min="4387" max="4387" width="11" style="121" bestFit="1" customWidth="1"/>
    <col min="4388" max="4389" width="11" style="121" customWidth="1"/>
    <col min="4390" max="4390" width="10" style="121" bestFit="1" customWidth="1"/>
    <col min="4391" max="4391" width="14.42578125" style="121" bestFit="1" customWidth="1"/>
    <col min="4392" max="4402" width="0" style="121" hidden="1" customWidth="1"/>
    <col min="4403" max="4623" width="9.140625" style="121"/>
    <col min="4624" max="4624" width="54.140625" style="121" bestFit="1" customWidth="1"/>
    <col min="4625" max="4625" width="14.7109375" style="121" customWidth="1"/>
    <col min="4626" max="4626" width="10.140625" style="121" customWidth="1"/>
    <col min="4627" max="4627" width="10.42578125" style="121" bestFit="1" customWidth="1"/>
    <col min="4628" max="4629" width="9.42578125" style="121" bestFit="1" customWidth="1"/>
    <col min="4630" max="4631" width="9.42578125" style="121" customWidth="1"/>
    <col min="4632" max="4632" width="10.140625" style="121" bestFit="1" customWidth="1"/>
    <col min="4633" max="4636" width="9.140625" style="121"/>
    <col min="4637" max="4637" width="7.28515625" style="121" customWidth="1"/>
    <col min="4638" max="4640" width="7.42578125" style="121" customWidth="1"/>
    <col min="4641" max="4641" width="10.42578125" style="121" bestFit="1" customWidth="1"/>
    <col min="4642" max="4642" width="12" style="121" bestFit="1" customWidth="1"/>
    <col min="4643" max="4643" width="11" style="121" bestFit="1" customWidth="1"/>
    <col min="4644" max="4645" width="11" style="121" customWidth="1"/>
    <col min="4646" max="4646" width="10" style="121" bestFit="1" customWidth="1"/>
    <col min="4647" max="4647" width="14.42578125" style="121" bestFit="1" customWidth="1"/>
    <col min="4648" max="4658" width="0" style="121" hidden="1" customWidth="1"/>
    <col min="4659" max="4879" width="9.140625" style="121"/>
    <col min="4880" max="4880" width="54.140625" style="121" bestFit="1" customWidth="1"/>
    <col min="4881" max="4881" width="14.7109375" style="121" customWidth="1"/>
    <col min="4882" max="4882" width="10.140625" style="121" customWidth="1"/>
    <col min="4883" max="4883" width="10.42578125" style="121" bestFit="1" customWidth="1"/>
    <col min="4884" max="4885" width="9.42578125" style="121" bestFit="1" customWidth="1"/>
    <col min="4886" max="4887" width="9.42578125" style="121" customWidth="1"/>
    <col min="4888" max="4888" width="10.140625" style="121" bestFit="1" customWidth="1"/>
    <col min="4889" max="4892" width="9.140625" style="121"/>
    <col min="4893" max="4893" width="7.28515625" style="121" customWidth="1"/>
    <col min="4894" max="4896" width="7.42578125" style="121" customWidth="1"/>
    <col min="4897" max="4897" width="10.42578125" style="121" bestFit="1" customWidth="1"/>
    <col min="4898" max="4898" width="12" style="121" bestFit="1" customWidth="1"/>
    <col min="4899" max="4899" width="11" style="121" bestFit="1" customWidth="1"/>
    <col min="4900" max="4901" width="11" style="121" customWidth="1"/>
    <col min="4902" max="4902" width="10" style="121" bestFit="1" customWidth="1"/>
    <col min="4903" max="4903" width="14.42578125" style="121" bestFit="1" customWidth="1"/>
    <col min="4904" max="4914" width="0" style="121" hidden="1" customWidth="1"/>
    <col min="4915" max="5135" width="9.140625" style="121"/>
    <col min="5136" max="5136" width="54.140625" style="121" bestFit="1" customWidth="1"/>
    <col min="5137" max="5137" width="14.7109375" style="121" customWidth="1"/>
    <col min="5138" max="5138" width="10.140625" style="121" customWidth="1"/>
    <col min="5139" max="5139" width="10.42578125" style="121" bestFit="1" customWidth="1"/>
    <col min="5140" max="5141" width="9.42578125" style="121" bestFit="1" customWidth="1"/>
    <col min="5142" max="5143" width="9.42578125" style="121" customWidth="1"/>
    <col min="5144" max="5144" width="10.140625" style="121" bestFit="1" customWidth="1"/>
    <col min="5145" max="5148" width="9.140625" style="121"/>
    <col min="5149" max="5149" width="7.28515625" style="121" customWidth="1"/>
    <col min="5150" max="5152" width="7.42578125" style="121" customWidth="1"/>
    <col min="5153" max="5153" width="10.42578125" style="121" bestFit="1" customWidth="1"/>
    <col min="5154" max="5154" width="12" style="121" bestFit="1" customWidth="1"/>
    <col min="5155" max="5155" width="11" style="121" bestFit="1" customWidth="1"/>
    <col min="5156" max="5157" width="11" style="121" customWidth="1"/>
    <col min="5158" max="5158" width="10" style="121" bestFit="1" customWidth="1"/>
    <col min="5159" max="5159" width="14.42578125" style="121" bestFit="1" customWidth="1"/>
    <col min="5160" max="5170" width="0" style="121" hidden="1" customWidth="1"/>
    <col min="5171" max="5391" width="9.140625" style="121"/>
    <col min="5392" max="5392" width="54.140625" style="121" bestFit="1" customWidth="1"/>
    <col min="5393" max="5393" width="14.7109375" style="121" customWidth="1"/>
    <col min="5394" max="5394" width="10.140625" style="121" customWidth="1"/>
    <col min="5395" max="5395" width="10.42578125" style="121" bestFit="1" customWidth="1"/>
    <col min="5396" max="5397" width="9.42578125" style="121" bestFit="1" customWidth="1"/>
    <col min="5398" max="5399" width="9.42578125" style="121" customWidth="1"/>
    <col min="5400" max="5400" width="10.140625" style="121" bestFit="1" customWidth="1"/>
    <col min="5401" max="5404" width="9.140625" style="121"/>
    <col min="5405" max="5405" width="7.28515625" style="121" customWidth="1"/>
    <col min="5406" max="5408" width="7.42578125" style="121" customWidth="1"/>
    <col min="5409" max="5409" width="10.42578125" style="121" bestFit="1" customWidth="1"/>
    <col min="5410" max="5410" width="12" style="121" bestFit="1" customWidth="1"/>
    <col min="5411" max="5411" width="11" style="121" bestFit="1" customWidth="1"/>
    <col min="5412" max="5413" width="11" style="121" customWidth="1"/>
    <col min="5414" max="5414" width="10" style="121" bestFit="1" customWidth="1"/>
    <col min="5415" max="5415" width="14.42578125" style="121" bestFit="1" customWidth="1"/>
    <col min="5416" max="5426" width="0" style="121" hidden="1" customWidth="1"/>
    <col min="5427" max="5647" width="9.140625" style="121"/>
    <col min="5648" max="5648" width="54.140625" style="121" bestFit="1" customWidth="1"/>
    <col min="5649" max="5649" width="14.7109375" style="121" customWidth="1"/>
    <col min="5650" max="5650" width="10.140625" style="121" customWidth="1"/>
    <col min="5651" max="5651" width="10.42578125" style="121" bestFit="1" customWidth="1"/>
    <col min="5652" max="5653" width="9.42578125" style="121" bestFit="1" customWidth="1"/>
    <col min="5654" max="5655" width="9.42578125" style="121" customWidth="1"/>
    <col min="5656" max="5656" width="10.140625" style="121" bestFit="1" customWidth="1"/>
    <col min="5657" max="5660" width="9.140625" style="121"/>
    <col min="5661" max="5661" width="7.28515625" style="121" customWidth="1"/>
    <col min="5662" max="5664" width="7.42578125" style="121" customWidth="1"/>
    <col min="5665" max="5665" width="10.42578125" style="121" bestFit="1" customWidth="1"/>
    <col min="5666" max="5666" width="12" style="121" bestFit="1" customWidth="1"/>
    <col min="5667" max="5667" width="11" style="121" bestFit="1" customWidth="1"/>
    <col min="5668" max="5669" width="11" style="121" customWidth="1"/>
    <col min="5670" max="5670" width="10" style="121" bestFit="1" customWidth="1"/>
    <col min="5671" max="5671" width="14.42578125" style="121" bestFit="1" customWidth="1"/>
    <col min="5672" max="5682" width="0" style="121" hidden="1" customWidth="1"/>
    <col min="5683" max="5903" width="9.140625" style="121"/>
    <col min="5904" max="5904" width="54.140625" style="121" bestFit="1" customWidth="1"/>
    <col min="5905" max="5905" width="14.7109375" style="121" customWidth="1"/>
    <col min="5906" max="5906" width="10.140625" style="121" customWidth="1"/>
    <col min="5907" max="5907" width="10.42578125" style="121" bestFit="1" customWidth="1"/>
    <col min="5908" max="5909" width="9.42578125" style="121" bestFit="1" customWidth="1"/>
    <col min="5910" max="5911" width="9.42578125" style="121" customWidth="1"/>
    <col min="5912" max="5912" width="10.140625" style="121" bestFit="1" customWidth="1"/>
    <col min="5913" max="5916" width="9.140625" style="121"/>
    <col min="5917" max="5917" width="7.28515625" style="121" customWidth="1"/>
    <col min="5918" max="5920" width="7.42578125" style="121" customWidth="1"/>
    <col min="5921" max="5921" width="10.42578125" style="121" bestFit="1" customWidth="1"/>
    <col min="5922" max="5922" width="12" style="121" bestFit="1" customWidth="1"/>
    <col min="5923" max="5923" width="11" style="121" bestFit="1" customWidth="1"/>
    <col min="5924" max="5925" width="11" style="121" customWidth="1"/>
    <col min="5926" max="5926" width="10" style="121" bestFit="1" customWidth="1"/>
    <col min="5927" max="5927" width="14.42578125" style="121" bestFit="1" customWidth="1"/>
    <col min="5928" max="5938" width="0" style="121" hidden="1" customWidth="1"/>
    <col min="5939" max="6159" width="9.140625" style="121"/>
    <col min="6160" max="6160" width="54.140625" style="121" bestFit="1" customWidth="1"/>
    <col min="6161" max="6161" width="14.7109375" style="121" customWidth="1"/>
    <col min="6162" max="6162" width="10.140625" style="121" customWidth="1"/>
    <col min="6163" max="6163" width="10.42578125" style="121" bestFit="1" customWidth="1"/>
    <col min="6164" max="6165" width="9.42578125" style="121" bestFit="1" customWidth="1"/>
    <col min="6166" max="6167" width="9.42578125" style="121" customWidth="1"/>
    <col min="6168" max="6168" width="10.140625" style="121" bestFit="1" customWidth="1"/>
    <col min="6169" max="6172" width="9.140625" style="121"/>
    <col min="6173" max="6173" width="7.28515625" style="121" customWidth="1"/>
    <col min="6174" max="6176" width="7.42578125" style="121" customWidth="1"/>
    <col min="6177" max="6177" width="10.42578125" style="121" bestFit="1" customWidth="1"/>
    <col min="6178" max="6178" width="12" style="121" bestFit="1" customWidth="1"/>
    <col min="6179" max="6179" width="11" style="121" bestFit="1" customWidth="1"/>
    <col min="6180" max="6181" width="11" style="121" customWidth="1"/>
    <col min="6182" max="6182" width="10" style="121" bestFit="1" customWidth="1"/>
    <col min="6183" max="6183" width="14.42578125" style="121" bestFit="1" customWidth="1"/>
    <col min="6184" max="6194" width="0" style="121" hidden="1" customWidth="1"/>
    <col min="6195" max="6415" width="9.140625" style="121"/>
    <col min="6416" max="6416" width="54.140625" style="121" bestFit="1" customWidth="1"/>
    <col min="6417" max="6417" width="14.7109375" style="121" customWidth="1"/>
    <col min="6418" max="6418" width="10.140625" style="121" customWidth="1"/>
    <col min="6419" max="6419" width="10.42578125" style="121" bestFit="1" customWidth="1"/>
    <col min="6420" max="6421" width="9.42578125" style="121" bestFit="1" customWidth="1"/>
    <col min="6422" max="6423" width="9.42578125" style="121" customWidth="1"/>
    <col min="6424" max="6424" width="10.140625" style="121" bestFit="1" customWidth="1"/>
    <col min="6425" max="6428" width="9.140625" style="121"/>
    <col min="6429" max="6429" width="7.28515625" style="121" customWidth="1"/>
    <col min="6430" max="6432" width="7.42578125" style="121" customWidth="1"/>
    <col min="6433" max="6433" width="10.42578125" style="121" bestFit="1" customWidth="1"/>
    <col min="6434" max="6434" width="12" style="121" bestFit="1" customWidth="1"/>
    <col min="6435" max="6435" width="11" style="121" bestFit="1" customWidth="1"/>
    <col min="6436" max="6437" width="11" style="121" customWidth="1"/>
    <col min="6438" max="6438" width="10" style="121" bestFit="1" customWidth="1"/>
    <col min="6439" max="6439" width="14.42578125" style="121" bestFit="1" customWidth="1"/>
    <col min="6440" max="6450" width="0" style="121" hidden="1" customWidth="1"/>
    <col min="6451" max="6671" width="9.140625" style="121"/>
    <col min="6672" max="6672" width="54.140625" style="121" bestFit="1" customWidth="1"/>
    <col min="6673" max="6673" width="14.7109375" style="121" customWidth="1"/>
    <col min="6674" max="6674" width="10.140625" style="121" customWidth="1"/>
    <col min="6675" max="6675" width="10.42578125" style="121" bestFit="1" customWidth="1"/>
    <col min="6676" max="6677" width="9.42578125" style="121" bestFit="1" customWidth="1"/>
    <col min="6678" max="6679" width="9.42578125" style="121" customWidth="1"/>
    <col min="6680" max="6680" width="10.140625" style="121" bestFit="1" customWidth="1"/>
    <col min="6681" max="6684" width="9.140625" style="121"/>
    <col min="6685" max="6685" width="7.28515625" style="121" customWidth="1"/>
    <col min="6686" max="6688" width="7.42578125" style="121" customWidth="1"/>
    <col min="6689" max="6689" width="10.42578125" style="121" bestFit="1" customWidth="1"/>
    <col min="6690" max="6690" width="12" style="121" bestFit="1" customWidth="1"/>
    <col min="6691" max="6691" width="11" style="121" bestFit="1" customWidth="1"/>
    <col min="6692" max="6693" width="11" style="121" customWidth="1"/>
    <col min="6694" max="6694" width="10" style="121" bestFit="1" customWidth="1"/>
    <col min="6695" max="6695" width="14.42578125" style="121" bestFit="1" customWidth="1"/>
    <col min="6696" max="6706" width="0" style="121" hidden="1" customWidth="1"/>
    <col min="6707" max="6927" width="9.140625" style="121"/>
    <col min="6928" max="6928" width="54.140625" style="121" bestFit="1" customWidth="1"/>
    <col min="6929" max="6929" width="14.7109375" style="121" customWidth="1"/>
    <col min="6930" max="6930" width="10.140625" style="121" customWidth="1"/>
    <col min="6931" max="6931" width="10.42578125" style="121" bestFit="1" customWidth="1"/>
    <col min="6932" max="6933" width="9.42578125" style="121" bestFit="1" customWidth="1"/>
    <col min="6934" max="6935" width="9.42578125" style="121" customWidth="1"/>
    <col min="6936" max="6936" width="10.140625" style="121" bestFit="1" customWidth="1"/>
    <col min="6937" max="6940" width="9.140625" style="121"/>
    <col min="6941" max="6941" width="7.28515625" style="121" customWidth="1"/>
    <col min="6942" max="6944" width="7.42578125" style="121" customWidth="1"/>
    <col min="6945" max="6945" width="10.42578125" style="121" bestFit="1" customWidth="1"/>
    <col min="6946" max="6946" width="12" style="121" bestFit="1" customWidth="1"/>
    <col min="6947" max="6947" width="11" style="121" bestFit="1" customWidth="1"/>
    <col min="6948" max="6949" width="11" style="121" customWidth="1"/>
    <col min="6950" max="6950" width="10" style="121" bestFit="1" customWidth="1"/>
    <col min="6951" max="6951" width="14.42578125" style="121" bestFit="1" customWidth="1"/>
    <col min="6952" max="6962" width="0" style="121" hidden="1" customWidth="1"/>
    <col min="6963" max="7183" width="9.140625" style="121"/>
    <col min="7184" max="7184" width="54.140625" style="121" bestFit="1" customWidth="1"/>
    <col min="7185" max="7185" width="14.7109375" style="121" customWidth="1"/>
    <col min="7186" max="7186" width="10.140625" style="121" customWidth="1"/>
    <col min="7187" max="7187" width="10.42578125" style="121" bestFit="1" customWidth="1"/>
    <col min="7188" max="7189" width="9.42578125" style="121" bestFit="1" customWidth="1"/>
    <col min="7190" max="7191" width="9.42578125" style="121" customWidth="1"/>
    <col min="7192" max="7192" width="10.140625" style="121" bestFit="1" customWidth="1"/>
    <col min="7193" max="7196" width="9.140625" style="121"/>
    <col min="7197" max="7197" width="7.28515625" style="121" customWidth="1"/>
    <col min="7198" max="7200" width="7.42578125" style="121" customWidth="1"/>
    <col min="7201" max="7201" width="10.42578125" style="121" bestFit="1" customWidth="1"/>
    <col min="7202" max="7202" width="12" style="121" bestFit="1" customWidth="1"/>
    <col min="7203" max="7203" width="11" style="121" bestFit="1" customWidth="1"/>
    <col min="7204" max="7205" width="11" style="121" customWidth="1"/>
    <col min="7206" max="7206" width="10" style="121" bestFit="1" customWidth="1"/>
    <col min="7207" max="7207" width="14.42578125" style="121" bestFit="1" customWidth="1"/>
    <col min="7208" max="7218" width="0" style="121" hidden="1" customWidth="1"/>
    <col min="7219" max="7439" width="9.140625" style="121"/>
    <col min="7440" max="7440" width="54.140625" style="121" bestFit="1" customWidth="1"/>
    <col min="7441" max="7441" width="14.7109375" style="121" customWidth="1"/>
    <col min="7442" max="7442" width="10.140625" style="121" customWidth="1"/>
    <col min="7443" max="7443" width="10.42578125" style="121" bestFit="1" customWidth="1"/>
    <col min="7444" max="7445" width="9.42578125" style="121" bestFit="1" customWidth="1"/>
    <col min="7446" max="7447" width="9.42578125" style="121" customWidth="1"/>
    <col min="7448" max="7448" width="10.140625" style="121" bestFit="1" customWidth="1"/>
    <col min="7449" max="7452" width="9.140625" style="121"/>
    <col min="7453" max="7453" width="7.28515625" style="121" customWidth="1"/>
    <col min="7454" max="7456" width="7.42578125" style="121" customWidth="1"/>
    <col min="7457" max="7457" width="10.42578125" style="121" bestFit="1" customWidth="1"/>
    <col min="7458" max="7458" width="12" style="121" bestFit="1" customWidth="1"/>
    <col min="7459" max="7459" width="11" style="121" bestFit="1" customWidth="1"/>
    <col min="7460" max="7461" width="11" style="121" customWidth="1"/>
    <col min="7462" max="7462" width="10" style="121" bestFit="1" customWidth="1"/>
    <col min="7463" max="7463" width="14.42578125" style="121" bestFit="1" customWidth="1"/>
    <col min="7464" max="7474" width="0" style="121" hidden="1" customWidth="1"/>
    <col min="7475" max="7695" width="9.140625" style="121"/>
    <col min="7696" max="7696" width="54.140625" style="121" bestFit="1" customWidth="1"/>
    <col min="7697" max="7697" width="14.7109375" style="121" customWidth="1"/>
    <col min="7698" max="7698" width="10.140625" style="121" customWidth="1"/>
    <col min="7699" max="7699" width="10.42578125" style="121" bestFit="1" customWidth="1"/>
    <col min="7700" max="7701" width="9.42578125" style="121" bestFit="1" customWidth="1"/>
    <col min="7702" max="7703" width="9.42578125" style="121" customWidth="1"/>
    <col min="7704" max="7704" width="10.140625" style="121" bestFit="1" customWidth="1"/>
    <col min="7705" max="7708" width="9.140625" style="121"/>
    <col min="7709" max="7709" width="7.28515625" style="121" customWidth="1"/>
    <col min="7710" max="7712" width="7.42578125" style="121" customWidth="1"/>
    <col min="7713" max="7713" width="10.42578125" style="121" bestFit="1" customWidth="1"/>
    <col min="7714" max="7714" width="12" style="121" bestFit="1" customWidth="1"/>
    <col min="7715" max="7715" width="11" style="121" bestFit="1" customWidth="1"/>
    <col min="7716" max="7717" width="11" style="121" customWidth="1"/>
    <col min="7718" max="7718" width="10" style="121" bestFit="1" customWidth="1"/>
    <col min="7719" max="7719" width="14.42578125" style="121" bestFit="1" customWidth="1"/>
    <col min="7720" max="7730" width="0" style="121" hidden="1" customWidth="1"/>
    <col min="7731" max="7951" width="9.140625" style="121"/>
    <col min="7952" max="7952" width="54.140625" style="121" bestFit="1" customWidth="1"/>
    <col min="7953" max="7953" width="14.7109375" style="121" customWidth="1"/>
    <col min="7954" max="7954" width="10.140625" style="121" customWidth="1"/>
    <col min="7955" max="7955" width="10.42578125" style="121" bestFit="1" customWidth="1"/>
    <col min="7956" max="7957" width="9.42578125" style="121" bestFit="1" customWidth="1"/>
    <col min="7958" max="7959" width="9.42578125" style="121" customWidth="1"/>
    <col min="7960" max="7960" width="10.140625" style="121" bestFit="1" customWidth="1"/>
    <col min="7961" max="7964" width="9.140625" style="121"/>
    <col min="7965" max="7965" width="7.28515625" style="121" customWidth="1"/>
    <col min="7966" max="7968" width="7.42578125" style="121" customWidth="1"/>
    <col min="7969" max="7969" width="10.42578125" style="121" bestFit="1" customWidth="1"/>
    <col min="7970" max="7970" width="12" style="121" bestFit="1" customWidth="1"/>
    <col min="7971" max="7971" width="11" style="121" bestFit="1" customWidth="1"/>
    <col min="7972" max="7973" width="11" style="121" customWidth="1"/>
    <col min="7974" max="7974" width="10" style="121" bestFit="1" customWidth="1"/>
    <col min="7975" max="7975" width="14.42578125" style="121" bestFit="1" customWidth="1"/>
    <col min="7976" max="7986" width="0" style="121" hidden="1" customWidth="1"/>
    <col min="7987" max="8207" width="9.140625" style="121"/>
    <col min="8208" max="8208" width="54.140625" style="121" bestFit="1" customWidth="1"/>
    <col min="8209" max="8209" width="14.7109375" style="121" customWidth="1"/>
    <col min="8210" max="8210" width="10.140625" style="121" customWidth="1"/>
    <col min="8211" max="8211" width="10.42578125" style="121" bestFit="1" customWidth="1"/>
    <col min="8212" max="8213" width="9.42578125" style="121" bestFit="1" customWidth="1"/>
    <col min="8214" max="8215" width="9.42578125" style="121" customWidth="1"/>
    <col min="8216" max="8216" width="10.140625" style="121" bestFit="1" customWidth="1"/>
    <col min="8217" max="8220" width="9.140625" style="121"/>
    <col min="8221" max="8221" width="7.28515625" style="121" customWidth="1"/>
    <col min="8222" max="8224" width="7.42578125" style="121" customWidth="1"/>
    <col min="8225" max="8225" width="10.42578125" style="121" bestFit="1" customWidth="1"/>
    <col min="8226" max="8226" width="12" style="121" bestFit="1" customWidth="1"/>
    <col min="8227" max="8227" width="11" style="121" bestFit="1" customWidth="1"/>
    <col min="8228" max="8229" width="11" style="121" customWidth="1"/>
    <col min="8230" max="8230" width="10" style="121" bestFit="1" customWidth="1"/>
    <col min="8231" max="8231" width="14.42578125" style="121" bestFit="1" customWidth="1"/>
    <col min="8232" max="8242" width="0" style="121" hidden="1" customWidth="1"/>
    <col min="8243" max="8463" width="9.140625" style="121"/>
    <col min="8464" max="8464" width="54.140625" style="121" bestFit="1" customWidth="1"/>
    <col min="8465" max="8465" width="14.7109375" style="121" customWidth="1"/>
    <col min="8466" max="8466" width="10.140625" style="121" customWidth="1"/>
    <col min="8467" max="8467" width="10.42578125" style="121" bestFit="1" customWidth="1"/>
    <col min="8468" max="8469" width="9.42578125" style="121" bestFit="1" customWidth="1"/>
    <col min="8470" max="8471" width="9.42578125" style="121" customWidth="1"/>
    <col min="8472" max="8472" width="10.140625" style="121" bestFit="1" customWidth="1"/>
    <col min="8473" max="8476" width="9.140625" style="121"/>
    <col min="8477" max="8477" width="7.28515625" style="121" customWidth="1"/>
    <col min="8478" max="8480" width="7.42578125" style="121" customWidth="1"/>
    <col min="8481" max="8481" width="10.42578125" style="121" bestFit="1" customWidth="1"/>
    <col min="8482" max="8482" width="12" style="121" bestFit="1" customWidth="1"/>
    <col min="8483" max="8483" width="11" style="121" bestFit="1" customWidth="1"/>
    <col min="8484" max="8485" width="11" style="121" customWidth="1"/>
    <col min="8486" max="8486" width="10" style="121" bestFit="1" customWidth="1"/>
    <col min="8487" max="8487" width="14.42578125" style="121" bestFit="1" customWidth="1"/>
    <col min="8488" max="8498" width="0" style="121" hidden="1" customWidth="1"/>
    <col min="8499" max="8719" width="9.140625" style="121"/>
    <col min="8720" max="8720" width="54.140625" style="121" bestFit="1" customWidth="1"/>
    <col min="8721" max="8721" width="14.7109375" style="121" customWidth="1"/>
    <col min="8722" max="8722" width="10.140625" style="121" customWidth="1"/>
    <col min="8723" max="8723" width="10.42578125" style="121" bestFit="1" customWidth="1"/>
    <col min="8724" max="8725" width="9.42578125" style="121" bestFit="1" customWidth="1"/>
    <col min="8726" max="8727" width="9.42578125" style="121" customWidth="1"/>
    <col min="8728" max="8728" width="10.140625" style="121" bestFit="1" customWidth="1"/>
    <col min="8729" max="8732" width="9.140625" style="121"/>
    <col min="8733" max="8733" width="7.28515625" style="121" customWidth="1"/>
    <col min="8734" max="8736" width="7.42578125" style="121" customWidth="1"/>
    <col min="8737" max="8737" width="10.42578125" style="121" bestFit="1" customWidth="1"/>
    <col min="8738" max="8738" width="12" style="121" bestFit="1" customWidth="1"/>
    <col min="8739" max="8739" width="11" style="121" bestFit="1" customWidth="1"/>
    <col min="8740" max="8741" width="11" style="121" customWidth="1"/>
    <col min="8742" max="8742" width="10" style="121" bestFit="1" customWidth="1"/>
    <col min="8743" max="8743" width="14.42578125" style="121" bestFit="1" customWidth="1"/>
    <col min="8744" max="8754" width="0" style="121" hidden="1" customWidth="1"/>
    <col min="8755" max="8975" width="9.140625" style="121"/>
    <col min="8976" max="8976" width="54.140625" style="121" bestFit="1" customWidth="1"/>
    <col min="8977" max="8977" width="14.7109375" style="121" customWidth="1"/>
    <col min="8978" max="8978" width="10.140625" style="121" customWidth="1"/>
    <col min="8979" max="8979" width="10.42578125" style="121" bestFit="1" customWidth="1"/>
    <col min="8980" max="8981" width="9.42578125" style="121" bestFit="1" customWidth="1"/>
    <col min="8982" max="8983" width="9.42578125" style="121" customWidth="1"/>
    <col min="8984" max="8984" width="10.140625" style="121" bestFit="1" customWidth="1"/>
    <col min="8985" max="8988" width="9.140625" style="121"/>
    <col min="8989" max="8989" width="7.28515625" style="121" customWidth="1"/>
    <col min="8990" max="8992" width="7.42578125" style="121" customWidth="1"/>
    <col min="8993" max="8993" width="10.42578125" style="121" bestFit="1" customWidth="1"/>
    <col min="8994" max="8994" width="12" style="121" bestFit="1" customWidth="1"/>
    <col min="8995" max="8995" width="11" style="121" bestFit="1" customWidth="1"/>
    <col min="8996" max="8997" width="11" style="121" customWidth="1"/>
    <col min="8998" max="8998" width="10" style="121" bestFit="1" customWidth="1"/>
    <col min="8999" max="8999" width="14.42578125" style="121" bestFit="1" customWidth="1"/>
    <col min="9000" max="9010" width="0" style="121" hidden="1" customWidth="1"/>
    <col min="9011" max="9231" width="9.140625" style="121"/>
    <col min="9232" max="9232" width="54.140625" style="121" bestFit="1" customWidth="1"/>
    <col min="9233" max="9233" width="14.7109375" style="121" customWidth="1"/>
    <col min="9234" max="9234" width="10.140625" style="121" customWidth="1"/>
    <col min="9235" max="9235" width="10.42578125" style="121" bestFit="1" customWidth="1"/>
    <col min="9236" max="9237" width="9.42578125" style="121" bestFit="1" customWidth="1"/>
    <col min="9238" max="9239" width="9.42578125" style="121" customWidth="1"/>
    <col min="9240" max="9240" width="10.140625" style="121" bestFit="1" customWidth="1"/>
    <col min="9241" max="9244" width="9.140625" style="121"/>
    <col min="9245" max="9245" width="7.28515625" style="121" customWidth="1"/>
    <col min="9246" max="9248" width="7.42578125" style="121" customWidth="1"/>
    <col min="9249" max="9249" width="10.42578125" style="121" bestFit="1" customWidth="1"/>
    <col min="9250" max="9250" width="12" style="121" bestFit="1" customWidth="1"/>
    <col min="9251" max="9251" width="11" style="121" bestFit="1" customWidth="1"/>
    <col min="9252" max="9253" width="11" style="121" customWidth="1"/>
    <col min="9254" max="9254" width="10" style="121" bestFit="1" customWidth="1"/>
    <col min="9255" max="9255" width="14.42578125" style="121" bestFit="1" customWidth="1"/>
    <col min="9256" max="9266" width="0" style="121" hidden="1" customWidth="1"/>
    <col min="9267" max="9487" width="9.140625" style="121"/>
    <col min="9488" max="9488" width="54.140625" style="121" bestFit="1" customWidth="1"/>
    <col min="9489" max="9489" width="14.7109375" style="121" customWidth="1"/>
    <col min="9490" max="9490" width="10.140625" style="121" customWidth="1"/>
    <col min="9491" max="9491" width="10.42578125" style="121" bestFit="1" customWidth="1"/>
    <col min="9492" max="9493" width="9.42578125" style="121" bestFit="1" customWidth="1"/>
    <col min="9494" max="9495" width="9.42578125" style="121" customWidth="1"/>
    <col min="9496" max="9496" width="10.140625" style="121" bestFit="1" customWidth="1"/>
    <col min="9497" max="9500" width="9.140625" style="121"/>
    <col min="9501" max="9501" width="7.28515625" style="121" customWidth="1"/>
    <col min="9502" max="9504" width="7.42578125" style="121" customWidth="1"/>
    <col min="9505" max="9505" width="10.42578125" style="121" bestFit="1" customWidth="1"/>
    <col min="9506" max="9506" width="12" style="121" bestFit="1" customWidth="1"/>
    <col min="9507" max="9507" width="11" style="121" bestFit="1" customWidth="1"/>
    <col min="9508" max="9509" width="11" style="121" customWidth="1"/>
    <col min="9510" max="9510" width="10" style="121" bestFit="1" customWidth="1"/>
    <col min="9511" max="9511" width="14.42578125" style="121" bestFit="1" customWidth="1"/>
    <col min="9512" max="9522" width="0" style="121" hidden="1" customWidth="1"/>
    <col min="9523" max="9743" width="9.140625" style="121"/>
    <col min="9744" max="9744" width="54.140625" style="121" bestFit="1" customWidth="1"/>
    <col min="9745" max="9745" width="14.7109375" style="121" customWidth="1"/>
    <col min="9746" max="9746" width="10.140625" style="121" customWidth="1"/>
    <col min="9747" max="9747" width="10.42578125" style="121" bestFit="1" customWidth="1"/>
    <col min="9748" max="9749" width="9.42578125" style="121" bestFit="1" customWidth="1"/>
    <col min="9750" max="9751" width="9.42578125" style="121" customWidth="1"/>
    <col min="9752" max="9752" width="10.140625" style="121" bestFit="1" customWidth="1"/>
    <col min="9753" max="9756" width="9.140625" style="121"/>
    <col min="9757" max="9757" width="7.28515625" style="121" customWidth="1"/>
    <col min="9758" max="9760" width="7.42578125" style="121" customWidth="1"/>
    <col min="9761" max="9761" width="10.42578125" style="121" bestFit="1" customWidth="1"/>
    <col min="9762" max="9762" width="12" style="121" bestFit="1" customWidth="1"/>
    <col min="9763" max="9763" width="11" style="121" bestFit="1" customWidth="1"/>
    <col min="9764" max="9765" width="11" style="121" customWidth="1"/>
    <col min="9766" max="9766" width="10" style="121" bestFit="1" customWidth="1"/>
    <col min="9767" max="9767" width="14.42578125" style="121" bestFit="1" customWidth="1"/>
    <col min="9768" max="9778" width="0" style="121" hidden="1" customWidth="1"/>
    <col min="9779" max="9999" width="9.140625" style="121"/>
    <col min="10000" max="10000" width="54.140625" style="121" bestFit="1" customWidth="1"/>
    <col min="10001" max="10001" width="14.7109375" style="121" customWidth="1"/>
    <col min="10002" max="10002" width="10.140625" style="121" customWidth="1"/>
    <col min="10003" max="10003" width="10.42578125" style="121" bestFit="1" customWidth="1"/>
    <col min="10004" max="10005" width="9.42578125" style="121" bestFit="1" customWidth="1"/>
    <col min="10006" max="10007" width="9.42578125" style="121" customWidth="1"/>
    <col min="10008" max="10008" width="10.140625" style="121" bestFit="1" customWidth="1"/>
    <col min="10009" max="10012" width="9.140625" style="121"/>
    <col min="10013" max="10013" width="7.28515625" style="121" customWidth="1"/>
    <col min="10014" max="10016" width="7.42578125" style="121" customWidth="1"/>
    <col min="10017" max="10017" width="10.42578125" style="121" bestFit="1" customWidth="1"/>
    <col min="10018" max="10018" width="12" style="121" bestFit="1" customWidth="1"/>
    <col min="10019" max="10019" width="11" style="121" bestFit="1" customWidth="1"/>
    <col min="10020" max="10021" width="11" style="121" customWidth="1"/>
    <col min="10022" max="10022" width="10" style="121" bestFit="1" customWidth="1"/>
    <col min="10023" max="10023" width="14.42578125" style="121" bestFit="1" customWidth="1"/>
    <col min="10024" max="10034" width="0" style="121" hidden="1" customWidth="1"/>
    <col min="10035" max="10255" width="9.140625" style="121"/>
    <col min="10256" max="10256" width="54.140625" style="121" bestFit="1" customWidth="1"/>
    <col min="10257" max="10257" width="14.7109375" style="121" customWidth="1"/>
    <col min="10258" max="10258" width="10.140625" style="121" customWidth="1"/>
    <col min="10259" max="10259" width="10.42578125" style="121" bestFit="1" customWidth="1"/>
    <col min="10260" max="10261" width="9.42578125" style="121" bestFit="1" customWidth="1"/>
    <col min="10262" max="10263" width="9.42578125" style="121" customWidth="1"/>
    <col min="10264" max="10264" width="10.140625" style="121" bestFit="1" customWidth="1"/>
    <col min="10265" max="10268" width="9.140625" style="121"/>
    <col min="10269" max="10269" width="7.28515625" style="121" customWidth="1"/>
    <col min="10270" max="10272" width="7.42578125" style="121" customWidth="1"/>
    <col min="10273" max="10273" width="10.42578125" style="121" bestFit="1" customWidth="1"/>
    <col min="10274" max="10274" width="12" style="121" bestFit="1" customWidth="1"/>
    <col min="10275" max="10275" width="11" style="121" bestFit="1" customWidth="1"/>
    <col min="10276" max="10277" width="11" style="121" customWidth="1"/>
    <col min="10278" max="10278" width="10" style="121" bestFit="1" customWidth="1"/>
    <col min="10279" max="10279" width="14.42578125" style="121" bestFit="1" customWidth="1"/>
    <col min="10280" max="10290" width="0" style="121" hidden="1" customWidth="1"/>
    <col min="10291" max="10511" width="9.140625" style="121"/>
    <col min="10512" max="10512" width="54.140625" style="121" bestFit="1" customWidth="1"/>
    <col min="10513" max="10513" width="14.7109375" style="121" customWidth="1"/>
    <col min="10514" max="10514" width="10.140625" style="121" customWidth="1"/>
    <col min="10515" max="10515" width="10.42578125" style="121" bestFit="1" customWidth="1"/>
    <col min="10516" max="10517" width="9.42578125" style="121" bestFit="1" customWidth="1"/>
    <col min="10518" max="10519" width="9.42578125" style="121" customWidth="1"/>
    <col min="10520" max="10520" width="10.140625" style="121" bestFit="1" customWidth="1"/>
    <col min="10521" max="10524" width="9.140625" style="121"/>
    <col min="10525" max="10525" width="7.28515625" style="121" customWidth="1"/>
    <col min="10526" max="10528" width="7.42578125" style="121" customWidth="1"/>
    <col min="10529" max="10529" width="10.42578125" style="121" bestFit="1" customWidth="1"/>
    <col min="10530" max="10530" width="12" style="121" bestFit="1" customWidth="1"/>
    <col min="10531" max="10531" width="11" style="121" bestFit="1" customWidth="1"/>
    <col min="10532" max="10533" width="11" style="121" customWidth="1"/>
    <col min="10534" max="10534" width="10" style="121" bestFit="1" customWidth="1"/>
    <col min="10535" max="10535" width="14.42578125" style="121" bestFit="1" customWidth="1"/>
    <col min="10536" max="10546" width="0" style="121" hidden="1" customWidth="1"/>
    <col min="10547" max="10767" width="9.140625" style="121"/>
    <col min="10768" max="10768" width="54.140625" style="121" bestFit="1" customWidth="1"/>
    <col min="10769" max="10769" width="14.7109375" style="121" customWidth="1"/>
    <col min="10770" max="10770" width="10.140625" style="121" customWidth="1"/>
    <col min="10771" max="10771" width="10.42578125" style="121" bestFit="1" customWidth="1"/>
    <col min="10772" max="10773" width="9.42578125" style="121" bestFit="1" customWidth="1"/>
    <col min="10774" max="10775" width="9.42578125" style="121" customWidth="1"/>
    <col min="10776" max="10776" width="10.140625" style="121" bestFit="1" customWidth="1"/>
    <col min="10777" max="10780" width="9.140625" style="121"/>
    <col min="10781" max="10781" width="7.28515625" style="121" customWidth="1"/>
    <col min="10782" max="10784" width="7.42578125" style="121" customWidth="1"/>
    <col min="10785" max="10785" width="10.42578125" style="121" bestFit="1" customWidth="1"/>
    <col min="10786" max="10786" width="12" style="121" bestFit="1" customWidth="1"/>
    <col min="10787" max="10787" width="11" style="121" bestFit="1" customWidth="1"/>
    <col min="10788" max="10789" width="11" style="121" customWidth="1"/>
    <col min="10790" max="10790" width="10" style="121" bestFit="1" customWidth="1"/>
    <col min="10791" max="10791" width="14.42578125" style="121" bestFit="1" customWidth="1"/>
    <col min="10792" max="10802" width="0" style="121" hidden="1" customWidth="1"/>
    <col min="10803" max="11023" width="9.140625" style="121"/>
    <col min="11024" max="11024" width="54.140625" style="121" bestFit="1" customWidth="1"/>
    <col min="11025" max="11025" width="14.7109375" style="121" customWidth="1"/>
    <col min="11026" max="11026" width="10.140625" style="121" customWidth="1"/>
    <col min="11027" max="11027" width="10.42578125" style="121" bestFit="1" customWidth="1"/>
    <col min="11028" max="11029" width="9.42578125" style="121" bestFit="1" customWidth="1"/>
    <col min="11030" max="11031" width="9.42578125" style="121" customWidth="1"/>
    <col min="11032" max="11032" width="10.140625" style="121" bestFit="1" customWidth="1"/>
    <col min="11033" max="11036" width="9.140625" style="121"/>
    <col min="11037" max="11037" width="7.28515625" style="121" customWidth="1"/>
    <col min="11038" max="11040" width="7.42578125" style="121" customWidth="1"/>
    <col min="11041" max="11041" width="10.42578125" style="121" bestFit="1" customWidth="1"/>
    <col min="11042" max="11042" width="12" style="121" bestFit="1" customWidth="1"/>
    <col min="11043" max="11043" width="11" style="121" bestFit="1" customWidth="1"/>
    <col min="11044" max="11045" width="11" style="121" customWidth="1"/>
    <col min="11046" max="11046" width="10" style="121" bestFit="1" customWidth="1"/>
    <col min="11047" max="11047" width="14.42578125" style="121" bestFit="1" customWidth="1"/>
    <col min="11048" max="11058" width="0" style="121" hidden="1" customWidth="1"/>
    <col min="11059" max="11279" width="9.140625" style="121"/>
    <col min="11280" max="11280" width="54.140625" style="121" bestFit="1" customWidth="1"/>
    <col min="11281" max="11281" width="14.7109375" style="121" customWidth="1"/>
    <col min="11282" max="11282" width="10.140625" style="121" customWidth="1"/>
    <col min="11283" max="11283" width="10.42578125" style="121" bestFit="1" customWidth="1"/>
    <col min="11284" max="11285" width="9.42578125" style="121" bestFit="1" customWidth="1"/>
    <col min="11286" max="11287" width="9.42578125" style="121" customWidth="1"/>
    <col min="11288" max="11288" width="10.140625" style="121" bestFit="1" customWidth="1"/>
    <col min="11289" max="11292" width="9.140625" style="121"/>
    <col min="11293" max="11293" width="7.28515625" style="121" customWidth="1"/>
    <col min="11294" max="11296" width="7.42578125" style="121" customWidth="1"/>
    <col min="11297" max="11297" width="10.42578125" style="121" bestFit="1" customWidth="1"/>
    <col min="11298" max="11298" width="12" style="121" bestFit="1" customWidth="1"/>
    <col min="11299" max="11299" width="11" style="121" bestFit="1" customWidth="1"/>
    <col min="11300" max="11301" width="11" style="121" customWidth="1"/>
    <col min="11302" max="11302" width="10" style="121" bestFit="1" customWidth="1"/>
    <col min="11303" max="11303" width="14.42578125" style="121" bestFit="1" customWidth="1"/>
    <col min="11304" max="11314" width="0" style="121" hidden="1" customWidth="1"/>
    <col min="11315" max="11535" width="9.140625" style="121"/>
    <col min="11536" max="11536" width="54.140625" style="121" bestFit="1" customWidth="1"/>
    <col min="11537" max="11537" width="14.7109375" style="121" customWidth="1"/>
    <col min="11538" max="11538" width="10.140625" style="121" customWidth="1"/>
    <col min="11539" max="11539" width="10.42578125" style="121" bestFit="1" customWidth="1"/>
    <col min="11540" max="11541" width="9.42578125" style="121" bestFit="1" customWidth="1"/>
    <col min="11542" max="11543" width="9.42578125" style="121" customWidth="1"/>
    <col min="11544" max="11544" width="10.140625" style="121" bestFit="1" customWidth="1"/>
    <col min="11545" max="11548" width="9.140625" style="121"/>
    <col min="11549" max="11549" width="7.28515625" style="121" customWidth="1"/>
    <col min="11550" max="11552" width="7.42578125" style="121" customWidth="1"/>
    <col min="11553" max="11553" width="10.42578125" style="121" bestFit="1" customWidth="1"/>
    <col min="11554" max="11554" width="12" style="121" bestFit="1" customWidth="1"/>
    <col min="11555" max="11555" width="11" style="121" bestFit="1" customWidth="1"/>
    <col min="11556" max="11557" width="11" style="121" customWidth="1"/>
    <col min="11558" max="11558" width="10" style="121" bestFit="1" customWidth="1"/>
    <col min="11559" max="11559" width="14.42578125" style="121" bestFit="1" customWidth="1"/>
    <col min="11560" max="11570" width="0" style="121" hidden="1" customWidth="1"/>
    <col min="11571" max="11791" width="9.140625" style="121"/>
    <col min="11792" max="11792" width="54.140625" style="121" bestFit="1" customWidth="1"/>
    <col min="11793" max="11793" width="14.7109375" style="121" customWidth="1"/>
    <col min="11794" max="11794" width="10.140625" style="121" customWidth="1"/>
    <col min="11795" max="11795" width="10.42578125" style="121" bestFit="1" customWidth="1"/>
    <col min="11796" max="11797" width="9.42578125" style="121" bestFit="1" customWidth="1"/>
    <col min="11798" max="11799" width="9.42578125" style="121" customWidth="1"/>
    <col min="11800" max="11800" width="10.140625" style="121" bestFit="1" customWidth="1"/>
    <col min="11801" max="11804" width="9.140625" style="121"/>
    <col min="11805" max="11805" width="7.28515625" style="121" customWidth="1"/>
    <col min="11806" max="11808" width="7.42578125" style="121" customWidth="1"/>
    <col min="11809" max="11809" width="10.42578125" style="121" bestFit="1" customWidth="1"/>
    <col min="11810" max="11810" width="12" style="121" bestFit="1" customWidth="1"/>
    <col min="11811" max="11811" width="11" style="121" bestFit="1" customWidth="1"/>
    <col min="11812" max="11813" width="11" style="121" customWidth="1"/>
    <col min="11814" max="11814" width="10" style="121" bestFit="1" customWidth="1"/>
    <col min="11815" max="11815" width="14.42578125" style="121" bestFit="1" customWidth="1"/>
    <col min="11816" max="11826" width="0" style="121" hidden="1" customWidth="1"/>
    <col min="11827" max="12047" width="9.140625" style="121"/>
    <col min="12048" max="12048" width="54.140625" style="121" bestFit="1" customWidth="1"/>
    <col min="12049" max="12049" width="14.7109375" style="121" customWidth="1"/>
    <col min="12050" max="12050" width="10.140625" style="121" customWidth="1"/>
    <col min="12051" max="12051" width="10.42578125" style="121" bestFit="1" customWidth="1"/>
    <col min="12052" max="12053" width="9.42578125" style="121" bestFit="1" customWidth="1"/>
    <col min="12054" max="12055" width="9.42578125" style="121" customWidth="1"/>
    <col min="12056" max="12056" width="10.140625" style="121" bestFit="1" customWidth="1"/>
    <col min="12057" max="12060" width="9.140625" style="121"/>
    <col min="12061" max="12061" width="7.28515625" style="121" customWidth="1"/>
    <col min="12062" max="12064" width="7.42578125" style="121" customWidth="1"/>
    <col min="12065" max="12065" width="10.42578125" style="121" bestFit="1" customWidth="1"/>
    <col min="12066" max="12066" width="12" style="121" bestFit="1" customWidth="1"/>
    <col min="12067" max="12067" width="11" style="121" bestFit="1" customWidth="1"/>
    <col min="12068" max="12069" width="11" style="121" customWidth="1"/>
    <col min="12070" max="12070" width="10" style="121" bestFit="1" customWidth="1"/>
    <col min="12071" max="12071" width="14.42578125" style="121" bestFit="1" customWidth="1"/>
    <col min="12072" max="12082" width="0" style="121" hidden="1" customWidth="1"/>
    <col min="12083" max="12303" width="9.140625" style="121"/>
    <col min="12304" max="12304" width="54.140625" style="121" bestFit="1" customWidth="1"/>
    <col min="12305" max="12305" width="14.7109375" style="121" customWidth="1"/>
    <col min="12306" max="12306" width="10.140625" style="121" customWidth="1"/>
    <col min="12307" max="12307" width="10.42578125" style="121" bestFit="1" customWidth="1"/>
    <col min="12308" max="12309" width="9.42578125" style="121" bestFit="1" customWidth="1"/>
    <col min="12310" max="12311" width="9.42578125" style="121" customWidth="1"/>
    <col min="12312" max="12312" width="10.140625" style="121" bestFit="1" customWidth="1"/>
    <col min="12313" max="12316" width="9.140625" style="121"/>
    <col min="12317" max="12317" width="7.28515625" style="121" customWidth="1"/>
    <col min="12318" max="12320" width="7.42578125" style="121" customWidth="1"/>
    <col min="12321" max="12321" width="10.42578125" style="121" bestFit="1" customWidth="1"/>
    <col min="12322" max="12322" width="12" style="121" bestFit="1" customWidth="1"/>
    <col min="12323" max="12323" width="11" style="121" bestFit="1" customWidth="1"/>
    <col min="12324" max="12325" width="11" style="121" customWidth="1"/>
    <col min="12326" max="12326" width="10" style="121" bestFit="1" customWidth="1"/>
    <col min="12327" max="12327" width="14.42578125" style="121" bestFit="1" customWidth="1"/>
    <col min="12328" max="12338" width="0" style="121" hidden="1" customWidth="1"/>
    <col min="12339" max="12559" width="9.140625" style="121"/>
    <col min="12560" max="12560" width="54.140625" style="121" bestFit="1" customWidth="1"/>
    <col min="12561" max="12561" width="14.7109375" style="121" customWidth="1"/>
    <col min="12562" max="12562" width="10.140625" style="121" customWidth="1"/>
    <col min="12563" max="12563" width="10.42578125" style="121" bestFit="1" customWidth="1"/>
    <col min="12564" max="12565" width="9.42578125" style="121" bestFit="1" customWidth="1"/>
    <col min="12566" max="12567" width="9.42578125" style="121" customWidth="1"/>
    <col min="12568" max="12568" width="10.140625" style="121" bestFit="1" customWidth="1"/>
    <col min="12569" max="12572" width="9.140625" style="121"/>
    <col min="12573" max="12573" width="7.28515625" style="121" customWidth="1"/>
    <col min="12574" max="12576" width="7.42578125" style="121" customWidth="1"/>
    <col min="12577" max="12577" width="10.42578125" style="121" bestFit="1" customWidth="1"/>
    <col min="12578" max="12578" width="12" style="121" bestFit="1" customWidth="1"/>
    <col min="12579" max="12579" width="11" style="121" bestFit="1" customWidth="1"/>
    <col min="12580" max="12581" width="11" style="121" customWidth="1"/>
    <col min="12582" max="12582" width="10" style="121" bestFit="1" customWidth="1"/>
    <col min="12583" max="12583" width="14.42578125" style="121" bestFit="1" customWidth="1"/>
    <col min="12584" max="12594" width="0" style="121" hidden="1" customWidth="1"/>
    <col min="12595" max="12815" width="9.140625" style="121"/>
    <col min="12816" max="12816" width="54.140625" style="121" bestFit="1" customWidth="1"/>
    <col min="12817" max="12817" width="14.7109375" style="121" customWidth="1"/>
    <col min="12818" max="12818" width="10.140625" style="121" customWidth="1"/>
    <col min="12819" max="12819" width="10.42578125" style="121" bestFit="1" customWidth="1"/>
    <col min="12820" max="12821" width="9.42578125" style="121" bestFit="1" customWidth="1"/>
    <col min="12822" max="12823" width="9.42578125" style="121" customWidth="1"/>
    <col min="12824" max="12824" width="10.140625" style="121" bestFit="1" customWidth="1"/>
    <col min="12825" max="12828" width="9.140625" style="121"/>
    <col min="12829" max="12829" width="7.28515625" style="121" customWidth="1"/>
    <col min="12830" max="12832" width="7.42578125" style="121" customWidth="1"/>
    <col min="12833" max="12833" width="10.42578125" style="121" bestFit="1" customWidth="1"/>
    <col min="12834" max="12834" width="12" style="121" bestFit="1" customWidth="1"/>
    <col min="12835" max="12835" width="11" style="121" bestFit="1" customWidth="1"/>
    <col min="12836" max="12837" width="11" style="121" customWidth="1"/>
    <col min="12838" max="12838" width="10" style="121" bestFit="1" customWidth="1"/>
    <col min="12839" max="12839" width="14.42578125" style="121" bestFit="1" customWidth="1"/>
    <col min="12840" max="12850" width="0" style="121" hidden="1" customWidth="1"/>
    <col min="12851" max="13071" width="9.140625" style="121"/>
    <col min="13072" max="13072" width="54.140625" style="121" bestFit="1" customWidth="1"/>
    <col min="13073" max="13073" width="14.7109375" style="121" customWidth="1"/>
    <col min="13074" max="13074" width="10.140625" style="121" customWidth="1"/>
    <col min="13075" max="13075" width="10.42578125" style="121" bestFit="1" customWidth="1"/>
    <col min="13076" max="13077" width="9.42578125" style="121" bestFit="1" customWidth="1"/>
    <col min="13078" max="13079" width="9.42578125" style="121" customWidth="1"/>
    <col min="13080" max="13080" width="10.140625" style="121" bestFit="1" customWidth="1"/>
    <col min="13081" max="13084" width="9.140625" style="121"/>
    <col min="13085" max="13085" width="7.28515625" style="121" customWidth="1"/>
    <col min="13086" max="13088" width="7.42578125" style="121" customWidth="1"/>
    <col min="13089" max="13089" width="10.42578125" style="121" bestFit="1" customWidth="1"/>
    <col min="13090" max="13090" width="12" style="121" bestFit="1" customWidth="1"/>
    <col min="13091" max="13091" width="11" style="121" bestFit="1" customWidth="1"/>
    <col min="13092" max="13093" width="11" style="121" customWidth="1"/>
    <col min="13094" max="13094" width="10" style="121" bestFit="1" customWidth="1"/>
    <col min="13095" max="13095" width="14.42578125" style="121" bestFit="1" customWidth="1"/>
    <col min="13096" max="13106" width="0" style="121" hidden="1" customWidth="1"/>
    <col min="13107" max="13327" width="9.140625" style="121"/>
    <col min="13328" max="13328" width="54.140625" style="121" bestFit="1" customWidth="1"/>
    <col min="13329" max="13329" width="14.7109375" style="121" customWidth="1"/>
    <col min="13330" max="13330" width="10.140625" style="121" customWidth="1"/>
    <col min="13331" max="13331" width="10.42578125" style="121" bestFit="1" customWidth="1"/>
    <col min="13332" max="13333" width="9.42578125" style="121" bestFit="1" customWidth="1"/>
    <col min="13334" max="13335" width="9.42578125" style="121" customWidth="1"/>
    <col min="13336" max="13336" width="10.140625" style="121" bestFit="1" customWidth="1"/>
    <col min="13337" max="13340" width="9.140625" style="121"/>
    <col min="13341" max="13341" width="7.28515625" style="121" customWidth="1"/>
    <col min="13342" max="13344" width="7.42578125" style="121" customWidth="1"/>
    <col min="13345" max="13345" width="10.42578125" style="121" bestFit="1" customWidth="1"/>
    <col min="13346" max="13346" width="12" style="121" bestFit="1" customWidth="1"/>
    <col min="13347" max="13347" width="11" style="121" bestFit="1" customWidth="1"/>
    <col min="13348" max="13349" width="11" style="121" customWidth="1"/>
    <col min="13350" max="13350" width="10" style="121" bestFit="1" customWidth="1"/>
    <col min="13351" max="13351" width="14.42578125" style="121" bestFit="1" customWidth="1"/>
    <col min="13352" max="13362" width="0" style="121" hidden="1" customWidth="1"/>
    <col min="13363" max="13583" width="9.140625" style="121"/>
    <col min="13584" max="13584" width="54.140625" style="121" bestFit="1" customWidth="1"/>
    <col min="13585" max="13585" width="14.7109375" style="121" customWidth="1"/>
    <col min="13586" max="13586" width="10.140625" style="121" customWidth="1"/>
    <col min="13587" max="13587" width="10.42578125" style="121" bestFit="1" customWidth="1"/>
    <col min="13588" max="13589" width="9.42578125" style="121" bestFit="1" customWidth="1"/>
    <col min="13590" max="13591" width="9.42578125" style="121" customWidth="1"/>
    <col min="13592" max="13592" width="10.140625" style="121" bestFit="1" customWidth="1"/>
    <col min="13593" max="13596" width="9.140625" style="121"/>
    <col min="13597" max="13597" width="7.28515625" style="121" customWidth="1"/>
    <col min="13598" max="13600" width="7.42578125" style="121" customWidth="1"/>
    <col min="13601" max="13601" width="10.42578125" style="121" bestFit="1" customWidth="1"/>
    <col min="13602" max="13602" width="12" style="121" bestFit="1" customWidth="1"/>
    <col min="13603" max="13603" width="11" style="121" bestFit="1" customWidth="1"/>
    <col min="13604" max="13605" width="11" style="121" customWidth="1"/>
    <col min="13606" max="13606" width="10" style="121" bestFit="1" customWidth="1"/>
    <col min="13607" max="13607" width="14.42578125" style="121" bestFit="1" customWidth="1"/>
    <col min="13608" max="13618" width="0" style="121" hidden="1" customWidth="1"/>
    <col min="13619" max="13839" width="9.140625" style="121"/>
    <col min="13840" max="13840" width="54.140625" style="121" bestFit="1" customWidth="1"/>
    <col min="13841" max="13841" width="14.7109375" style="121" customWidth="1"/>
    <col min="13842" max="13842" width="10.140625" style="121" customWidth="1"/>
    <col min="13843" max="13843" width="10.42578125" style="121" bestFit="1" customWidth="1"/>
    <col min="13844" max="13845" width="9.42578125" style="121" bestFit="1" customWidth="1"/>
    <col min="13846" max="13847" width="9.42578125" style="121" customWidth="1"/>
    <col min="13848" max="13848" width="10.140625" style="121" bestFit="1" customWidth="1"/>
    <col min="13849" max="13852" width="9.140625" style="121"/>
    <col min="13853" max="13853" width="7.28515625" style="121" customWidth="1"/>
    <col min="13854" max="13856" width="7.42578125" style="121" customWidth="1"/>
    <col min="13857" max="13857" width="10.42578125" style="121" bestFit="1" customWidth="1"/>
    <col min="13858" max="13858" width="12" style="121" bestFit="1" customWidth="1"/>
    <col min="13859" max="13859" width="11" style="121" bestFit="1" customWidth="1"/>
    <col min="13860" max="13861" width="11" style="121" customWidth="1"/>
    <col min="13862" max="13862" width="10" style="121" bestFit="1" customWidth="1"/>
    <col min="13863" max="13863" width="14.42578125" style="121" bestFit="1" customWidth="1"/>
    <col min="13864" max="13874" width="0" style="121" hidden="1" customWidth="1"/>
    <col min="13875" max="14095" width="9.140625" style="121"/>
    <col min="14096" max="14096" width="54.140625" style="121" bestFit="1" customWidth="1"/>
    <col min="14097" max="14097" width="14.7109375" style="121" customWidth="1"/>
    <col min="14098" max="14098" width="10.140625" style="121" customWidth="1"/>
    <col min="14099" max="14099" width="10.42578125" style="121" bestFit="1" customWidth="1"/>
    <col min="14100" max="14101" width="9.42578125" style="121" bestFit="1" customWidth="1"/>
    <col min="14102" max="14103" width="9.42578125" style="121" customWidth="1"/>
    <col min="14104" max="14104" width="10.140625" style="121" bestFit="1" customWidth="1"/>
    <col min="14105" max="14108" width="9.140625" style="121"/>
    <col min="14109" max="14109" width="7.28515625" style="121" customWidth="1"/>
    <col min="14110" max="14112" width="7.42578125" style="121" customWidth="1"/>
    <col min="14113" max="14113" width="10.42578125" style="121" bestFit="1" customWidth="1"/>
    <col min="14114" max="14114" width="12" style="121" bestFit="1" customWidth="1"/>
    <col min="14115" max="14115" width="11" style="121" bestFit="1" customWidth="1"/>
    <col min="14116" max="14117" width="11" style="121" customWidth="1"/>
    <col min="14118" max="14118" width="10" style="121" bestFit="1" customWidth="1"/>
    <col min="14119" max="14119" width="14.42578125" style="121" bestFit="1" customWidth="1"/>
    <col min="14120" max="14130" width="0" style="121" hidden="1" customWidth="1"/>
    <col min="14131" max="14351" width="9.140625" style="121"/>
    <col min="14352" max="14352" width="54.140625" style="121" bestFit="1" customWidth="1"/>
    <col min="14353" max="14353" width="14.7109375" style="121" customWidth="1"/>
    <col min="14354" max="14354" width="10.140625" style="121" customWidth="1"/>
    <col min="14355" max="14355" width="10.42578125" style="121" bestFit="1" customWidth="1"/>
    <col min="14356" max="14357" width="9.42578125" style="121" bestFit="1" customWidth="1"/>
    <col min="14358" max="14359" width="9.42578125" style="121" customWidth="1"/>
    <col min="14360" max="14360" width="10.140625" style="121" bestFit="1" customWidth="1"/>
    <col min="14361" max="14364" width="9.140625" style="121"/>
    <col min="14365" max="14365" width="7.28515625" style="121" customWidth="1"/>
    <col min="14366" max="14368" width="7.42578125" style="121" customWidth="1"/>
    <col min="14369" max="14369" width="10.42578125" style="121" bestFit="1" customWidth="1"/>
    <col min="14370" max="14370" width="12" style="121" bestFit="1" customWidth="1"/>
    <col min="14371" max="14371" width="11" style="121" bestFit="1" customWidth="1"/>
    <col min="14372" max="14373" width="11" style="121" customWidth="1"/>
    <col min="14374" max="14374" width="10" style="121" bestFit="1" customWidth="1"/>
    <col min="14375" max="14375" width="14.42578125" style="121" bestFit="1" customWidth="1"/>
    <col min="14376" max="14386" width="0" style="121" hidden="1" customWidth="1"/>
    <col min="14387" max="14607" width="9.140625" style="121"/>
    <col min="14608" max="14608" width="54.140625" style="121" bestFit="1" customWidth="1"/>
    <col min="14609" max="14609" width="14.7109375" style="121" customWidth="1"/>
    <col min="14610" max="14610" width="10.140625" style="121" customWidth="1"/>
    <col min="14611" max="14611" width="10.42578125" style="121" bestFit="1" customWidth="1"/>
    <col min="14612" max="14613" width="9.42578125" style="121" bestFit="1" customWidth="1"/>
    <col min="14614" max="14615" width="9.42578125" style="121" customWidth="1"/>
    <col min="14616" max="14616" width="10.140625" style="121" bestFit="1" customWidth="1"/>
    <col min="14617" max="14620" width="9.140625" style="121"/>
    <col min="14621" max="14621" width="7.28515625" style="121" customWidth="1"/>
    <col min="14622" max="14624" width="7.42578125" style="121" customWidth="1"/>
    <col min="14625" max="14625" width="10.42578125" style="121" bestFit="1" customWidth="1"/>
    <col min="14626" max="14626" width="12" style="121" bestFit="1" customWidth="1"/>
    <col min="14627" max="14627" width="11" style="121" bestFit="1" customWidth="1"/>
    <col min="14628" max="14629" width="11" style="121" customWidth="1"/>
    <col min="14630" max="14630" width="10" style="121" bestFit="1" customWidth="1"/>
    <col min="14631" max="14631" width="14.42578125" style="121" bestFit="1" customWidth="1"/>
    <col min="14632" max="14642" width="0" style="121" hidden="1" customWidth="1"/>
    <col min="14643" max="14863" width="9.140625" style="121"/>
    <col min="14864" max="14864" width="54.140625" style="121" bestFit="1" customWidth="1"/>
    <col min="14865" max="14865" width="14.7109375" style="121" customWidth="1"/>
    <col min="14866" max="14866" width="10.140625" style="121" customWidth="1"/>
    <col min="14867" max="14867" width="10.42578125" style="121" bestFit="1" customWidth="1"/>
    <col min="14868" max="14869" width="9.42578125" style="121" bestFit="1" customWidth="1"/>
    <col min="14870" max="14871" width="9.42578125" style="121" customWidth="1"/>
    <col min="14872" max="14872" width="10.140625" style="121" bestFit="1" customWidth="1"/>
    <col min="14873" max="14876" width="9.140625" style="121"/>
    <col min="14877" max="14877" width="7.28515625" style="121" customWidth="1"/>
    <col min="14878" max="14880" width="7.42578125" style="121" customWidth="1"/>
    <col min="14881" max="14881" width="10.42578125" style="121" bestFit="1" customWidth="1"/>
    <col min="14882" max="14882" width="12" style="121" bestFit="1" customWidth="1"/>
    <col min="14883" max="14883" width="11" style="121" bestFit="1" customWidth="1"/>
    <col min="14884" max="14885" width="11" style="121" customWidth="1"/>
    <col min="14886" max="14886" width="10" style="121" bestFit="1" customWidth="1"/>
    <col min="14887" max="14887" width="14.42578125" style="121" bestFit="1" customWidth="1"/>
    <col min="14888" max="14898" width="0" style="121" hidden="1" customWidth="1"/>
    <col min="14899" max="15119" width="9.140625" style="121"/>
    <col min="15120" max="15120" width="54.140625" style="121" bestFit="1" customWidth="1"/>
    <col min="15121" max="15121" width="14.7109375" style="121" customWidth="1"/>
    <col min="15122" max="15122" width="10.140625" style="121" customWidth="1"/>
    <col min="15123" max="15123" width="10.42578125" style="121" bestFit="1" customWidth="1"/>
    <col min="15124" max="15125" width="9.42578125" style="121" bestFit="1" customWidth="1"/>
    <col min="15126" max="15127" width="9.42578125" style="121" customWidth="1"/>
    <col min="15128" max="15128" width="10.140625" style="121" bestFit="1" customWidth="1"/>
    <col min="15129" max="15132" width="9.140625" style="121"/>
    <col min="15133" max="15133" width="7.28515625" style="121" customWidth="1"/>
    <col min="15134" max="15136" width="7.42578125" style="121" customWidth="1"/>
    <col min="15137" max="15137" width="10.42578125" style="121" bestFit="1" customWidth="1"/>
    <col min="15138" max="15138" width="12" style="121" bestFit="1" customWidth="1"/>
    <col min="15139" max="15139" width="11" style="121" bestFit="1" customWidth="1"/>
    <col min="15140" max="15141" width="11" style="121" customWidth="1"/>
    <col min="15142" max="15142" width="10" style="121" bestFit="1" customWidth="1"/>
    <col min="15143" max="15143" width="14.42578125" style="121" bestFit="1" customWidth="1"/>
    <col min="15144" max="15154" width="0" style="121" hidden="1" customWidth="1"/>
    <col min="15155" max="15375" width="9.140625" style="121"/>
    <col min="15376" max="15376" width="54.140625" style="121" bestFit="1" customWidth="1"/>
    <col min="15377" max="15377" width="14.7109375" style="121" customWidth="1"/>
    <col min="15378" max="15378" width="10.140625" style="121" customWidth="1"/>
    <col min="15379" max="15379" width="10.42578125" style="121" bestFit="1" customWidth="1"/>
    <col min="15380" max="15381" width="9.42578125" style="121" bestFit="1" customWidth="1"/>
    <col min="15382" max="15383" width="9.42578125" style="121" customWidth="1"/>
    <col min="15384" max="15384" width="10.140625" style="121" bestFit="1" customWidth="1"/>
    <col min="15385" max="15388" width="9.140625" style="121"/>
    <col min="15389" max="15389" width="7.28515625" style="121" customWidth="1"/>
    <col min="15390" max="15392" width="7.42578125" style="121" customWidth="1"/>
    <col min="15393" max="15393" width="10.42578125" style="121" bestFit="1" customWidth="1"/>
    <col min="15394" max="15394" width="12" style="121" bestFit="1" customWidth="1"/>
    <col min="15395" max="15395" width="11" style="121" bestFit="1" customWidth="1"/>
    <col min="15396" max="15397" width="11" style="121" customWidth="1"/>
    <col min="15398" max="15398" width="10" style="121" bestFit="1" customWidth="1"/>
    <col min="15399" max="15399" width="14.42578125" style="121" bestFit="1" customWidth="1"/>
    <col min="15400" max="15410" width="0" style="121" hidden="1" customWidth="1"/>
    <col min="15411" max="15631" width="9.140625" style="121"/>
    <col min="15632" max="15632" width="54.140625" style="121" bestFit="1" customWidth="1"/>
    <col min="15633" max="15633" width="14.7109375" style="121" customWidth="1"/>
    <col min="15634" max="15634" width="10.140625" style="121" customWidth="1"/>
    <col min="15635" max="15635" width="10.42578125" style="121" bestFit="1" customWidth="1"/>
    <col min="15636" max="15637" width="9.42578125" style="121" bestFit="1" customWidth="1"/>
    <col min="15638" max="15639" width="9.42578125" style="121" customWidth="1"/>
    <col min="15640" max="15640" width="10.140625" style="121" bestFit="1" customWidth="1"/>
    <col min="15641" max="15644" width="9.140625" style="121"/>
    <col min="15645" max="15645" width="7.28515625" style="121" customWidth="1"/>
    <col min="15646" max="15648" width="7.42578125" style="121" customWidth="1"/>
    <col min="15649" max="15649" width="10.42578125" style="121" bestFit="1" customWidth="1"/>
    <col min="15650" max="15650" width="12" style="121" bestFit="1" customWidth="1"/>
    <col min="15651" max="15651" width="11" style="121" bestFit="1" customWidth="1"/>
    <col min="15652" max="15653" width="11" style="121" customWidth="1"/>
    <col min="15654" max="15654" width="10" style="121" bestFit="1" customWidth="1"/>
    <col min="15655" max="15655" width="14.42578125" style="121" bestFit="1" customWidth="1"/>
    <col min="15656" max="15666" width="0" style="121" hidden="1" customWidth="1"/>
    <col min="15667" max="15887" width="9.140625" style="121"/>
    <col min="15888" max="15888" width="54.140625" style="121" bestFit="1" customWidth="1"/>
    <col min="15889" max="15889" width="14.7109375" style="121" customWidth="1"/>
    <col min="15890" max="15890" width="10.140625" style="121" customWidth="1"/>
    <col min="15891" max="15891" width="10.42578125" style="121" bestFit="1" customWidth="1"/>
    <col min="15892" max="15893" width="9.42578125" style="121" bestFit="1" customWidth="1"/>
    <col min="15894" max="15895" width="9.42578125" style="121" customWidth="1"/>
    <col min="15896" max="15896" width="10.140625" style="121" bestFit="1" customWidth="1"/>
    <col min="15897" max="15900" width="9.140625" style="121"/>
    <col min="15901" max="15901" width="7.28515625" style="121" customWidth="1"/>
    <col min="15902" max="15904" width="7.42578125" style="121" customWidth="1"/>
    <col min="15905" max="15905" width="10.42578125" style="121" bestFit="1" customWidth="1"/>
    <col min="15906" max="15906" width="12" style="121" bestFit="1" customWidth="1"/>
    <col min="15907" max="15907" width="11" style="121" bestFit="1" customWidth="1"/>
    <col min="15908" max="15909" width="11" style="121" customWidth="1"/>
    <col min="15910" max="15910" width="10" style="121" bestFit="1" customWidth="1"/>
    <col min="15911" max="15911" width="14.42578125" style="121" bestFit="1" customWidth="1"/>
    <col min="15912" max="15922" width="0" style="121" hidden="1" customWidth="1"/>
    <col min="15923" max="16143" width="9.140625" style="121"/>
    <col min="16144" max="16144" width="54.140625" style="121" bestFit="1" customWidth="1"/>
    <col min="16145" max="16145" width="14.7109375" style="121" customWidth="1"/>
    <col min="16146" max="16146" width="10.140625" style="121" customWidth="1"/>
    <col min="16147" max="16147" width="10.42578125" style="121" bestFit="1" customWidth="1"/>
    <col min="16148" max="16149" width="9.42578125" style="121" bestFit="1" customWidth="1"/>
    <col min="16150" max="16151" width="9.42578125" style="121" customWidth="1"/>
    <col min="16152" max="16152" width="10.140625" style="121" bestFit="1" customWidth="1"/>
    <col min="16153" max="16156" width="9.140625" style="121"/>
    <col min="16157" max="16157" width="7.28515625" style="121" customWidth="1"/>
    <col min="16158" max="16160" width="7.42578125" style="121" customWidth="1"/>
    <col min="16161" max="16161" width="10.42578125" style="121" bestFit="1" customWidth="1"/>
    <col min="16162" max="16162" width="12" style="121" bestFit="1" customWidth="1"/>
    <col min="16163" max="16163" width="11" style="121" bestFit="1" customWidth="1"/>
    <col min="16164" max="16165" width="11" style="121" customWidth="1"/>
    <col min="16166" max="16166" width="10" style="121" bestFit="1" customWidth="1"/>
    <col min="16167" max="16167" width="14.42578125" style="121" bestFit="1" customWidth="1"/>
    <col min="16168" max="16178" width="0" style="121" hidden="1" customWidth="1"/>
    <col min="16179" max="16384" width="9.140625" style="121"/>
  </cols>
  <sheetData>
    <row r="1" spans="1:57" s="115" customFormat="1" ht="45.75" customHeight="1" x14ac:dyDescent="0.25">
      <c r="A1" s="112" t="s">
        <v>147</v>
      </c>
      <c r="B1" s="199">
        <v>46143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1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4"/>
      <c r="AE1" s="114"/>
    </row>
    <row r="2" spans="1:57" ht="15.75" x14ac:dyDescent="0.2">
      <c r="A2" s="202" t="s">
        <v>238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3"/>
      <c r="N2" s="116"/>
      <c r="O2" s="117"/>
      <c r="P2" s="117"/>
      <c r="Q2" s="117"/>
      <c r="R2" s="118"/>
      <c r="S2" s="117"/>
      <c r="T2" s="117"/>
      <c r="U2" s="119"/>
      <c r="V2" s="119"/>
      <c r="W2" s="119"/>
      <c r="X2" s="119"/>
      <c r="Y2" s="119"/>
      <c r="Z2" s="119"/>
      <c r="AA2" s="119"/>
      <c r="AB2" s="119"/>
      <c r="AC2" s="119"/>
      <c r="AD2" s="120"/>
      <c r="AE2" s="120"/>
    </row>
    <row r="3" spans="1:57" ht="15" customHeight="1" x14ac:dyDescent="0.2">
      <c r="A3" s="204" t="s">
        <v>239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3"/>
      <c r="N3" s="122"/>
      <c r="O3" s="123"/>
      <c r="P3" s="123"/>
      <c r="Q3" s="123"/>
      <c r="R3" s="123"/>
      <c r="S3" s="123"/>
      <c r="T3" s="123"/>
      <c r="U3" s="119"/>
      <c r="V3" s="119"/>
      <c r="W3" s="119"/>
    </row>
    <row r="4" spans="1:57" ht="15.75" customHeight="1" x14ac:dyDescent="0.2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3"/>
      <c r="N4" s="122"/>
      <c r="O4" s="123"/>
      <c r="P4" s="123"/>
      <c r="Q4" s="123"/>
      <c r="R4" s="123"/>
      <c r="S4" s="123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0"/>
      <c r="AE4" s="120"/>
    </row>
    <row r="5" spans="1:57" x14ac:dyDescent="0.2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205"/>
      <c r="AE5" s="205"/>
    </row>
    <row r="6" spans="1:57" ht="18" customHeight="1" thickBot="1" x14ac:dyDescent="0.25"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24"/>
      <c r="Q6" s="124"/>
      <c r="R6" s="124"/>
      <c r="S6" s="124"/>
      <c r="T6" s="124"/>
      <c r="U6" s="124"/>
      <c r="V6" s="124"/>
      <c r="W6" s="124"/>
      <c r="X6" s="126"/>
      <c r="Y6" s="126"/>
      <c r="Z6" s="124"/>
      <c r="AA6" s="124"/>
      <c r="AB6" s="124"/>
      <c r="AC6" s="124"/>
      <c r="AD6" s="125"/>
      <c r="AE6" s="125"/>
    </row>
    <row r="7" spans="1:57" ht="13.5" thickBot="1" x14ac:dyDescent="0.25">
      <c r="C7" s="127"/>
      <c r="D7" s="128"/>
      <c r="E7" s="124"/>
      <c r="F7" s="124"/>
      <c r="G7" s="124"/>
      <c r="H7" s="124"/>
      <c r="I7" s="124"/>
      <c r="J7" s="124"/>
      <c r="K7" s="124"/>
      <c r="L7" s="124"/>
      <c r="M7" s="124"/>
      <c r="N7" s="113"/>
      <c r="O7" s="113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5"/>
      <c r="AE7" s="125"/>
      <c r="AF7" s="206" t="s">
        <v>240</v>
      </c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8"/>
    </row>
    <row r="8" spans="1:57" ht="26.25" customHeight="1" x14ac:dyDescent="0.2">
      <c r="A8" s="212" t="s">
        <v>241</v>
      </c>
      <c r="B8" s="214" t="s">
        <v>242</v>
      </c>
      <c r="C8" s="216" t="s">
        <v>243</v>
      </c>
      <c r="D8" s="219" t="s">
        <v>244</v>
      </c>
      <c r="E8" s="220"/>
      <c r="F8" s="220"/>
      <c r="G8" s="220"/>
      <c r="H8" s="220"/>
      <c r="I8" s="221"/>
      <c r="J8" s="219" t="s">
        <v>85</v>
      </c>
      <c r="K8" s="220"/>
      <c r="L8" s="220"/>
      <c r="M8" s="220"/>
      <c r="N8" s="220"/>
      <c r="O8" s="222"/>
      <c r="P8" s="219" t="s">
        <v>245</v>
      </c>
      <c r="Q8" s="220"/>
      <c r="R8" s="220"/>
      <c r="S8" s="220"/>
      <c r="T8" s="220"/>
      <c r="U8" s="220"/>
      <c r="V8" s="221"/>
      <c r="W8" s="226" t="s">
        <v>246</v>
      </c>
      <c r="X8" s="219" t="s">
        <v>247</v>
      </c>
      <c r="Y8" s="220" t="s">
        <v>248</v>
      </c>
      <c r="Z8" s="220" t="s">
        <v>249</v>
      </c>
      <c r="AA8" s="220" t="s">
        <v>250</v>
      </c>
      <c r="AB8" s="220" t="s">
        <v>251</v>
      </c>
      <c r="AC8" s="221" t="s">
        <v>252</v>
      </c>
      <c r="AD8" s="226" t="s">
        <v>253</v>
      </c>
      <c r="AE8" s="226" t="s">
        <v>254</v>
      </c>
      <c r="AF8" s="209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1"/>
    </row>
    <row r="9" spans="1:57" ht="39" customHeight="1" x14ac:dyDescent="0.2">
      <c r="A9" s="213"/>
      <c r="B9" s="215"/>
      <c r="C9" s="217"/>
      <c r="D9" s="224" t="s">
        <v>255</v>
      </c>
      <c r="E9" s="225" t="s">
        <v>256</v>
      </c>
      <c r="F9" s="225" t="s">
        <v>257</v>
      </c>
      <c r="G9" s="225" t="s">
        <v>258</v>
      </c>
      <c r="H9" s="225" t="s">
        <v>259</v>
      </c>
      <c r="I9" s="223" t="s">
        <v>260</v>
      </c>
      <c r="J9" s="224" t="s">
        <v>255</v>
      </c>
      <c r="K9" s="225" t="s">
        <v>261</v>
      </c>
      <c r="L9" s="225" t="s">
        <v>262</v>
      </c>
      <c r="M9" s="225" t="s">
        <v>263</v>
      </c>
      <c r="N9" s="230" t="s">
        <v>264</v>
      </c>
      <c r="O9" s="228" t="s">
        <v>265</v>
      </c>
      <c r="P9" s="224"/>
      <c r="Q9" s="225"/>
      <c r="R9" s="225"/>
      <c r="S9" s="225"/>
      <c r="T9" s="225"/>
      <c r="U9" s="225"/>
      <c r="V9" s="223"/>
      <c r="W9" s="227"/>
      <c r="X9" s="224"/>
      <c r="Y9" s="225"/>
      <c r="Z9" s="225"/>
      <c r="AA9" s="225"/>
      <c r="AB9" s="225"/>
      <c r="AC9" s="223"/>
      <c r="AD9" s="227"/>
      <c r="AE9" s="227"/>
      <c r="AF9" s="132" t="str">
        <f>'[1]AUTO CALCULATION SHEET (2)'!N2</f>
        <v>Alumimium</v>
      </c>
      <c r="AG9" s="133" t="str">
        <f>'[1]AUTO CALCULATION SHEET (2)'!P2</f>
        <v>Copper</v>
      </c>
      <c r="AH9" s="133" t="str">
        <f>'[1]AUTO CALCULATION SHEET (2)'!W2</f>
        <v>Alumimium ALLOY</v>
      </c>
      <c r="AI9" s="133" t="str">
        <f>'[1]AUTO CALCULATION SHEET (2)'!Y2</f>
        <v>Copper Tape - 0.03 mm</v>
      </c>
      <c r="AJ9" s="133" t="str">
        <f>'[1]AUTO CALCULATION SHEET (2)'!AF2</f>
        <v>Extruded semiconductive</v>
      </c>
      <c r="AK9" s="133" t="s">
        <v>284</v>
      </c>
      <c r="AL9" s="133" t="str">
        <f>'[1]AUTO CALCULATION SHEET (2)'!AI2</f>
        <v>LT-XLPE</v>
      </c>
      <c r="AM9" s="133" t="str">
        <f>'[1]AUTO CALCULATION SHEET (2)'!AM2</f>
        <v>Type A PVC-1.45</v>
      </c>
      <c r="AN9" s="133" t="str">
        <f>'[1]AUTO CALCULATION SHEET (2)'!AV2</f>
        <v>PVC Type ST-1</v>
      </c>
      <c r="AO9" s="133" t="str">
        <f>'[1]AUTO CALCULATION SHEET (2)'!AX2</f>
        <v>PVC Type ST-2</v>
      </c>
      <c r="AP9" s="133" t="str">
        <f>'[1]AUTO CALCULATION SHEET (2)'!BA2</f>
        <v>ACSR CORE WIRE</v>
      </c>
      <c r="AQ9" s="133" t="str">
        <f>'[1]AUTO CALCULATION SHEET (2)'!BB2</f>
        <v>ACSR DOG STEEL WIRE</v>
      </c>
      <c r="AR9" s="133" t="str">
        <f>'[1]AUTO CALCULATION SHEET (2)'!BG2</f>
        <v>Galvanised Steel Flat Strip</v>
      </c>
      <c r="AS9" s="133" t="str">
        <f>'[1]AUTO CALCULATION SHEET (2)'!BS2</f>
        <v>PVC Type ST-1</v>
      </c>
      <c r="AT9" s="133" t="str">
        <f>'[1]AUTO CALCULATION SHEET (2)'!BT2</f>
        <v>PVC Type ST-2</v>
      </c>
      <c r="AU9" s="133" t="str">
        <f>'[1]AUTO CALCULATION SHEET (2)'!BX2</f>
        <v>FILLER</v>
      </c>
      <c r="AV9" s="186" t="s">
        <v>15</v>
      </c>
      <c r="AW9" s="232" t="s">
        <v>266</v>
      </c>
      <c r="AX9" s="232" t="s">
        <v>267</v>
      </c>
      <c r="AY9" s="232" t="s">
        <v>268</v>
      </c>
      <c r="AZ9" s="232" t="s">
        <v>269</v>
      </c>
      <c r="BA9" s="232" t="s">
        <v>270</v>
      </c>
      <c r="BB9" s="232" t="s">
        <v>271</v>
      </c>
      <c r="BC9" s="232" t="s">
        <v>272</v>
      </c>
      <c r="BD9" s="232" t="s">
        <v>273</v>
      </c>
      <c r="BE9" s="235" t="s">
        <v>274</v>
      </c>
    </row>
    <row r="10" spans="1:57" ht="21.75" customHeight="1" thickBot="1" x14ac:dyDescent="0.25">
      <c r="A10" s="213"/>
      <c r="B10" s="215"/>
      <c r="C10" s="218"/>
      <c r="D10" s="224"/>
      <c r="E10" s="225"/>
      <c r="F10" s="225"/>
      <c r="G10" s="225"/>
      <c r="H10" s="225"/>
      <c r="I10" s="223"/>
      <c r="J10" s="224"/>
      <c r="K10" s="225"/>
      <c r="L10" s="225"/>
      <c r="M10" s="225"/>
      <c r="N10" s="231"/>
      <c r="O10" s="229"/>
      <c r="P10" s="129" t="s">
        <v>275</v>
      </c>
      <c r="Q10" s="130" t="s">
        <v>257</v>
      </c>
      <c r="R10" s="130" t="s">
        <v>276</v>
      </c>
      <c r="S10" s="130" t="s">
        <v>277</v>
      </c>
      <c r="T10" s="130" t="s">
        <v>278</v>
      </c>
      <c r="U10" s="130" t="s">
        <v>279</v>
      </c>
      <c r="V10" s="131" t="s">
        <v>280</v>
      </c>
      <c r="W10" s="227"/>
      <c r="X10" s="224"/>
      <c r="Y10" s="225"/>
      <c r="Z10" s="225"/>
      <c r="AA10" s="225"/>
      <c r="AB10" s="225"/>
      <c r="AC10" s="223"/>
      <c r="AD10" s="227"/>
      <c r="AE10" s="227"/>
      <c r="AF10" s="134">
        <v>380</v>
      </c>
      <c r="AG10" s="134"/>
      <c r="AH10" s="134"/>
      <c r="AI10" s="134">
        <v>1529</v>
      </c>
      <c r="AJ10" s="134"/>
      <c r="AK10" s="134">
        <v>280</v>
      </c>
      <c r="AL10" s="134"/>
      <c r="AM10" s="134"/>
      <c r="AN10" s="134"/>
      <c r="AO10" s="134">
        <v>77</v>
      </c>
      <c r="AP10" s="134"/>
      <c r="AQ10" s="134"/>
      <c r="AR10" s="134">
        <v>90</v>
      </c>
      <c r="AS10" s="134"/>
      <c r="AT10" s="134">
        <f>77+5</f>
        <v>82</v>
      </c>
      <c r="AU10" s="134">
        <v>32</v>
      </c>
      <c r="AV10" s="134">
        <v>365</v>
      </c>
      <c r="AW10" s="233"/>
      <c r="AX10" s="233"/>
      <c r="AY10" s="233"/>
      <c r="AZ10" s="233"/>
      <c r="BA10" s="233"/>
      <c r="BB10" s="233"/>
      <c r="BC10" s="233"/>
      <c r="BD10" s="233"/>
      <c r="BE10" s="236"/>
    </row>
    <row r="11" spans="1:57" ht="24" customHeight="1" x14ac:dyDescent="0.2">
      <c r="A11" s="135"/>
      <c r="B11" s="135"/>
      <c r="C11" s="120"/>
      <c r="D11" s="136"/>
      <c r="E11" s="137"/>
      <c r="F11" s="137"/>
      <c r="G11" s="137"/>
      <c r="H11" s="137"/>
      <c r="I11" s="138"/>
      <c r="J11" s="139"/>
      <c r="K11" s="137"/>
      <c r="L11" s="137"/>
      <c r="M11" s="137"/>
      <c r="N11" s="137"/>
      <c r="O11" s="140"/>
      <c r="P11" s="141"/>
      <c r="Q11" s="142"/>
      <c r="R11" s="142"/>
      <c r="S11" s="142"/>
      <c r="T11" s="142"/>
      <c r="U11" s="142"/>
      <c r="V11" s="143"/>
      <c r="W11" s="144"/>
      <c r="X11" s="129"/>
      <c r="Y11" s="130"/>
      <c r="Z11" s="130"/>
      <c r="AA11" s="130"/>
      <c r="AB11" s="130"/>
      <c r="AC11" s="131"/>
      <c r="AD11" s="145"/>
      <c r="AE11" s="145"/>
      <c r="AF11" s="134" t="s">
        <v>281</v>
      </c>
      <c r="AG11" s="134" t="s">
        <v>281</v>
      </c>
      <c r="AH11" s="134" t="s">
        <v>281</v>
      </c>
      <c r="AI11" s="134" t="s">
        <v>281</v>
      </c>
      <c r="AJ11" s="134" t="s">
        <v>281</v>
      </c>
      <c r="AK11" s="134" t="s">
        <v>281</v>
      </c>
      <c r="AL11" s="134" t="s">
        <v>281</v>
      </c>
      <c r="AM11" s="134" t="s">
        <v>281</v>
      </c>
      <c r="AN11" s="134" t="s">
        <v>281</v>
      </c>
      <c r="AO11" s="134" t="s">
        <v>281</v>
      </c>
      <c r="AP11" s="134" t="s">
        <v>281</v>
      </c>
      <c r="AQ11" s="134" t="s">
        <v>281</v>
      </c>
      <c r="AR11" s="134" t="s">
        <v>281</v>
      </c>
      <c r="AS11" s="134" t="s">
        <v>281</v>
      </c>
      <c r="AT11" s="134" t="s">
        <v>281</v>
      </c>
      <c r="AU11" s="134" t="s">
        <v>281</v>
      </c>
      <c r="AV11" s="134" t="s">
        <v>281</v>
      </c>
      <c r="AW11" s="234"/>
      <c r="AX11" s="234"/>
      <c r="AY11" s="234"/>
      <c r="AZ11" s="234"/>
      <c r="BA11" s="234"/>
      <c r="BB11" s="234"/>
      <c r="BC11" s="234"/>
      <c r="BD11" s="234"/>
      <c r="BE11" s="237"/>
    </row>
    <row r="12" spans="1:57" ht="54" customHeight="1" x14ac:dyDescent="0.2">
      <c r="A12" s="185" t="s">
        <v>283</v>
      </c>
      <c r="B12" s="146"/>
      <c r="C12" s="147" t="s">
        <v>282</v>
      </c>
      <c r="D12" s="148">
        <v>46199</v>
      </c>
      <c r="E12" s="149">
        <v>403135.71</v>
      </c>
      <c r="F12" s="150">
        <v>1388640.86</v>
      </c>
      <c r="G12" s="151">
        <v>219178</v>
      </c>
      <c r="H12" s="151">
        <v>178375</v>
      </c>
      <c r="I12" s="152">
        <v>89250</v>
      </c>
      <c r="J12" s="153">
        <f t="shared" ref="J12" si="0">$B$1</f>
        <v>46143</v>
      </c>
      <c r="K12" s="151">
        <v>418401</v>
      </c>
      <c r="L12" s="151">
        <v>1385582</v>
      </c>
      <c r="M12" s="151">
        <v>219178</v>
      </c>
      <c r="N12" s="151">
        <v>178375</v>
      </c>
      <c r="O12" s="152">
        <v>89250</v>
      </c>
      <c r="P12" s="154">
        <v>0.30199999999999999</v>
      </c>
      <c r="Q12" s="155">
        <v>0</v>
      </c>
      <c r="R12" s="155">
        <v>0.54500000000000004</v>
      </c>
      <c r="S12" s="155">
        <v>1.1419999999999999</v>
      </c>
      <c r="T12" s="155">
        <v>0</v>
      </c>
      <c r="U12" s="155">
        <v>0.73099999999999998</v>
      </c>
      <c r="V12" s="156">
        <v>6.0999999999999999E-2</v>
      </c>
      <c r="W12" s="157">
        <f>'AUTO CALCULATION SHEET (2)'!E4</f>
        <v>722387.12</v>
      </c>
      <c r="X12" s="158">
        <f>(P12*(E12-K12))</f>
        <v>-4610.1175799999937</v>
      </c>
      <c r="Y12" s="159">
        <f>(Q12*(F12-L12))</f>
        <v>0</v>
      </c>
      <c r="Z12" s="155">
        <f>(R12*(G12-M12))</f>
        <v>0</v>
      </c>
      <c r="AA12" s="155">
        <f>(S12*(H12-N12))</f>
        <v>0</v>
      </c>
      <c r="AB12" s="155">
        <f t="shared" ref="AB12" si="1">(U12*(I12-O12))</f>
        <v>0</v>
      </c>
      <c r="AC12" s="160">
        <f t="shared" ref="AC12" si="2">V12*(F12-L12)</f>
        <v>186.59046000000623</v>
      </c>
      <c r="AD12" s="157">
        <f>X12+Y12+Z12+AA12+AB12+AC12</f>
        <v>-4423.5271199999879</v>
      </c>
      <c r="AE12" s="161">
        <f>+W12+AD12</f>
        <v>717963.59288000001</v>
      </c>
      <c r="AF12" s="162">
        <f>'AUTO CALCULATION SHEET (2)'!O4</f>
        <v>284</v>
      </c>
      <c r="AG12" s="163"/>
      <c r="AH12" s="163"/>
      <c r="AI12" s="163">
        <f>'AUTO CALCULATION SHEET (2)'!Z4</f>
        <v>64</v>
      </c>
      <c r="AJ12" s="163"/>
      <c r="AK12" s="163">
        <f>'AUTO CALCULATION SHEET (2)'!AK4</f>
        <v>384</v>
      </c>
      <c r="AL12" s="163"/>
      <c r="AM12" s="163"/>
      <c r="AN12" s="163"/>
      <c r="AO12" s="163">
        <f>'AUTO CALCULATION SHEET (2)'!AY4</f>
        <v>122</v>
      </c>
      <c r="AP12" s="163"/>
      <c r="AQ12" s="163"/>
      <c r="AR12" s="163">
        <f>'AUTO CALCULATION SHEET (2)'!BH4</f>
        <v>650</v>
      </c>
      <c r="AS12" s="163"/>
      <c r="AT12" s="163">
        <f>'AUTO CALCULATION SHEET (2)'!BU4</f>
        <v>383</v>
      </c>
      <c r="AU12" s="163">
        <f>'AUTO CALCULATION SHEET (2)'!BY4</f>
        <v>422</v>
      </c>
      <c r="AV12" s="163">
        <f>'AUTO CALCULATION SHEET (2)'!CC4</f>
        <v>150</v>
      </c>
      <c r="AW12" s="164">
        <f t="shared" ref="AW12" si="3">SUMPRODUCT(AF12:AV12,$AF$10:$AV$10)</f>
        <v>480850</v>
      </c>
      <c r="AX12" s="165">
        <f>'AUTO CALCULATION SHEET (2)'!CL4</f>
        <v>8289</v>
      </c>
      <c r="AY12" s="164">
        <f>AW12+AX12</f>
        <v>489139</v>
      </c>
      <c r="AZ12" s="165">
        <f>AE12-AY12</f>
        <v>228824.59288000001</v>
      </c>
      <c r="BA12" s="164">
        <f>ROUND((AZ12/AY12)*100,2)</f>
        <v>46.78</v>
      </c>
      <c r="BB12" s="165">
        <v>25</v>
      </c>
      <c r="BC12" s="165">
        <v>2</v>
      </c>
      <c r="BD12" s="165">
        <v>10</v>
      </c>
      <c r="BE12" s="166">
        <f>BA12-BB12-BC12-BD12</f>
        <v>9.7800000000000011</v>
      </c>
    </row>
    <row r="13" spans="1:57" s="182" customFormat="1" ht="31.5" customHeight="1" thickBot="1" x14ac:dyDescent="0.25">
      <c r="A13" s="167"/>
      <c r="B13" s="167"/>
      <c r="C13" s="168"/>
      <c r="D13" s="169"/>
      <c r="E13" s="170"/>
      <c r="F13" s="170"/>
      <c r="G13" s="170"/>
      <c r="H13" s="170"/>
      <c r="I13" s="171"/>
      <c r="J13" s="172"/>
      <c r="K13" s="173"/>
      <c r="L13" s="173"/>
      <c r="M13" s="173"/>
      <c r="N13" s="173"/>
      <c r="O13" s="174"/>
      <c r="P13" s="172"/>
      <c r="Q13" s="170"/>
      <c r="R13" s="170"/>
      <c r="S13" s="170"/>
      <c r="T13" s="170"/>
      <c r="U13" s="170"/>
      <c r="V13" s="171"/>
      <c r="W13" s="175"/>
      <c r="X13" s="176"/>
      <c r="Y13" s="177"/>
      <c r="Z13" s="177"/>
      <c r="AA13" s="177"/>
      <c r="AB13" s="177"/>
      <c r="AC13" s="178"/>
      <c r="AD13" s="179"/>
      <c r="AE13" s="175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1"/>
    </row>
    <row r="14" spans="1:57" s="182" customFormat="1" x14ac:dyDescent="0.2">
      <c r="A14" s="121"/>
      <c r="B14" s="121"/>
      <c r="C14" s="121"/>
      <c r="D14" s="121"/>
      <c r="E14" s="183"/>
      <c r="F14" s="183"/>
      <c r="G14" s="121"/>
      <c r="H14" s="121"/>
      <c r="I14" s="121"/>
      <c r="J14" s="121"/>
      <c r="K14" s="121"/>
      <c r="L14" s="121"/>
      <c r="M14" s="121"/>
    </row>
    <row r="16" spans="1:57" x14ac:dyDescent="0.2">
      <c r="J16" s="184"/>
    </row>
    <row r="17" spans="10:10" x14ac:dyDescent="0.2">
      <c r="J17" s="184"/>
    </row>
  </sheetData>
  <mergeCells count="41">
    <mergeCell ref="BC9:BC11"/>
    <mergeCell ref="BD9:BD11"/>
    <mergeCell ref="BE9:BE11"/>
    <mergeCell ref="AW9:AW11"/>
    <mergeCell ref="AX9:AX11"/>
    <mergeCell ref="AY9:AY11"/>
    <mergeCell ref="AZ9:AZ11"/>
    <mergeCell ref="BA9:BA11"/>
    <mergeCell ref="BB9:BB11"/>
    <mergeCell ref="AB8:AB10"/>
    <mergeCell ref="AC8:AC10"/>
    <mergeCell ref="AD8:AD10"/>
    <mergeCell ref="AE8:AE10"/>
    <mergeCell ref="Z8:Z10"/>
    <mergeCell ref="AA8:AA10"/>
    <mergeCell ref="E9:E10"/>
    <mergeCell ref="F9:F10"/>
    <mergeCell ref="G9:G10"/>
    <mergeCell ref="H9:H10"/>
    <mergeCell ref="O9:O10"/>
    <mergeCell ref="J9:J10"/>
    <mergeCell ref="K9:K10"/>
    <mergeCell ref="L9:L10"/>
    <mergeCell ref="M9:M10"/>
    <mergeCell ref="N9:N10"/>
    <mergeCell ref="B1:M1"/>
    <mergeCell ref="A2:M2"/>
    <mergeCell ref="A3:M4"/>
    <mergeCell ref="AD5:AE5"/>
    <mergeCell ref="AF7:BE8"/>
    <mergeCell ref="A8:A10"/>
    <mergeCell ref="B8:B10"/>
    <mergeCell ref="C8:C10"/>
    <mergeCell ref="D8:I8"/>
    <mergeCell ref="J8:O8"/>
    <mergeCell ref="I9:I10"/>
    <mergeCell ref="P8:V9"/>
    <mergeCell ref="W8:W10"/>
    <mergeCell ref="X8:X10"/>
    <mergeCell ref="Y8:Y10"/>
    <mergeCell ref="D9:D10"/>
  </mergeCells>
  <pageMargins left="0.17" right="0.17" top="4.3499999999999996" bottom="0.75" header="0.3" footer="0.3"/>
  <pageSetup paperSize="9" scale="2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AUTO CALCULATION SHEET (2)</vt:lpstr>
      <vt:lpstr>NORMAL</vt:lpstr>
      <vt:lpstr>HT&amp;LT PC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CHANDAN PAUL</cp:lastModifiedBy>
  <dcterms:created xsi:type="dcterms:W3CDTF">2021-04-03T12:13:55Z</dcterms:created>
  <dcterms:modified xsi:type="dcterms:W3CDTF">2026-06-26T07:54:41Z</dcterms:modified>
</cp:coreProperties>
</file>