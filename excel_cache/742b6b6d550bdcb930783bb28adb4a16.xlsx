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430"/>
  <workbookPr defaultThemeVersion="124226"/>
  <mc:AlternateContent xmlns:mc="http://schemas.openxmlformats.org/markup-compatibility/2006">
    <mc:Choice Requires="x15">
      <x15ac:absPath xmlns:x15ac="http://schemas.microsoft.com/office/spreadsheetml/2010/11/ac" url="E:\working\2023-24\10_OCTOBER 2023\KSEB-COVERED-11221\"/>
    </mc:Choice>
  </mc:AlternateContent>
  <xr:revisionPtr revIDLastSave="0" documentId="13_ncr:1_{B0DC8FF7-5486-469C-A52D-317128C07C0D}" xr6:coauthVersionLast="47" xr6:coauthVersionMax="47" xr10:uidLastSave="{00000000-0000-0000-0000-000000000000}"/>
  <bookViews>
    <workbookView xWindow="0" yWindow="5595" windowWidth="26775" windowHeight="9855" activeTab="1" xr2:uid="{00000000-000D-0000-FFFF-FFFF00000000}"/>
  </bookViews>
  <sheets>
    <sheet name="Sheet1" sheetId="1" r:id="rId1"/>
    <sheet name="AUTO CALCULATION SHEET (2)" sheetId="4" r:id="rId2"/>
  </sheets>
  <definedNames>
    <definedName name="_xlnm._FilterDatabase" localSheetId="0" hidden="1">Sheet1!$A$1:$CU$1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8" i="4" l="1"/>
  <c r="J22" i="4" l="1"/>
  <c r="BY19" i="4" l="1"/>
  <c r="BY17" i="4"/>
  <c r="B19" i="4" l="1"/>
  <c r="BX19" i="4" l="1"/>
  <c r="BW19" i="4"/>
  <c r="BX17" i="4"/>
  <c r="BW17" i="4"/>
  <c r="BV19" i="4"/>
  <c r="BV17" i="4"/>
  <c r="B17" i="4"/>
  <c r="T18" i="4" l="1"/>
  <c r="S18" i="4"/>
  <c r="AB19" i="4" l="1"/>
  <c r="AA19" i="4"/>
  <c r="Z19" i="4"/>
  <c r="Y19" i="4"/>
  <c r="X19" i="4"/>
  <c r="W19" i="4"/>
  <c r="V19" i="4"/>
  <c r="U19" i="4"/>
  <c r="T19" i="4"/>
  <c r="S19" i="4"/>
  <c r="BT19" i="4"/>
  <c r="BS19" i="4"/>
  <c r="BR19" i="4"/>
  <c r="BQ19" i="4"/>
  <c r="BP19" i="4"/>
  <c r="BO19" i="4"/>
  <c r="BN19" i="4"/>
  <c r="BS18" i="4"/>
  <c r="BT18" i="4"/>
  <c r="BR18" i="4"/>
  <c r="BQ18" i="4"/>
  <c r="BP18" i="4"/>
  <c r="BN18" i="4"/>
  <c r="BO18" i="4"/>
  <c r="BM18" i="4"/>
  <c r="BM19" i="4"/>
  <c r="BK19" i="4"/>
  <c r="BJ19" i="4"/>
  <c r="BI19" i="4"/>
  <c r="BH19" i="4"/>
  <c r="BG19" i="4"/>
  <c r="BF19" i="4"/>
  <c r="BE19" i="4"/>
  <c r="BD19" i="4"/>
  <c r="BC19" i="4"/>
  <c r="BL18" i="4"/>
  <c r="BK18" i="4"/>
  <c r="BJ18" i="4"/>
  <c r="BI18" i="4"/>
  <c r="BH18" i="4"/>
  <c r="BG18" i="4"/>
  <c r="BF18" i="4"/>
  <c r="BE18" i="4"/>
  <c r="BD18" i="4"/>
  <c r="BC18" i="4"/>
  <c r="BB19" i="4"/>
  <c r="BA19" i="4"/>
  <c r="AZ19" i="4"/>
  <c r="AY19" i="4"/>
  <c r="AX19" i="4"/>
  <c r="AW19" i="4"/>
  <c r="AV19" i="4"/>
  <c r="AU19" i="4"/>
  <c r="AT19" i="4"/>
  <c r="AS19" i="4"/>
  <c r="BB18" i="4"/>
  <c r="BA18" i="4"/>
  <c r="AZ18" i="4"/>
  <c r="AY18" i="4"/>
  <c r="AX18" i="4"/>
  <c r="AW18" i="4"/>
  <c r="AV18" i="4"/>
  <c r="AU18" i="4"/>
  <c r="AT18" i="4"/>
  <c r="AS18" i="4"/>
  <c r="AR18" i="4"/>
  <c r="AR19" i="4"/>
  <c r="AQ19" i="4"/>
  <c r="AP19" i="4"/>
  <c r="AO19" i="4"/>
  <c r="AN19" i="4"/>
  <c r="AM19" i="4"/>
  <c r="AL19" i="4"/>
  <c r="AQ18" i="4"/>
  <c r="AP18" i="4"/>
  <c r="AO18" i="4"/>
  <c r="AN18" i="4"/>
  <c r="AM18" i="4"/>
  <c r="AL18" i="4"/>
  <c r="AK18" i="4"/>
  <c r="AK19" i="4"/>
  <c r="AJ19" i="4"/>
  <c r="AI19" i="4"/>
  <c r="AH19" i="4"/>
  <c r="AG19" i="4"/>
  <c r="AF19" i="4"/>
  <c r="AJ18" i="4"/>
  <c r="AI18" i="4"/>
  <c r="AH18" i="4"/>
  <c r="AE18" i="4"/>
  <c r="AG18" i="4"/>
  <c r="AF18" i="4"/>
  <c r="AD18" i="4"/>
  <c r="AD19" i="4"/>
  <c r="AC18" i="4"/>
  <c r="AB18" i="4" l="1"/>
  <c r="AA18" i="4"/>
  <c r="Z18" i="4"/>
  <c r="Y18" i="4"/>
  <c r="X18" i="4"/>
  <c r="W18" i="4"/>
  <c r="V18" i="4"/>
  <c r="U18" i="4"/>
  <c r="R18" i="4" l="1"/>
  <c r="Q18" i="4"/>
  <c r="P18" i="4"/>
  <c r="O18" i="4"/>
  <c r="R19" i="4"/>
  <c r="Q19" i="4"/>
  <c r="P19" i="4"/>
  <c r="O19" i="4"/>
  <c r="N16" i="4"/>
  <c r="L19" i="4"/>
  <c r="K19" i="4"/>
  <c r="E22" i="4" s="1"/>
  <c r="K22" i="4" s="1"/>
  <c r="M22" i="4" s="1"/>
  <c r="H19" i="4"/>
  <c r="CB19" i="4"/>
  <c r="BZ19" i="4"/>
  <c r="D19" i="4"/>
  <c r="C19" i="4"/>
  <c r="A19" i="4"/>
  <c r="F19" i="4" l="1"/>
  <c r="L22" i="4"/>
  <c r="CA19" i="4"/>
  <c r="CC19" i="4" l="1"/>
  <c r="CE19" i="4"/>
  <c r="CG19" i="4"/>
  <c r="CH19" i="4" l="1"/>
  <c r="CJ19" i="4" l="1"/>
  <c r="CL19" i="4"/>
  <c r="E19" i="4" l="1"/>
  <c r="G19" i="4" l="1"/>
  <c r="I19" i="4" s="1"/>
  <c r="J19" i="4" s="1"/>
  <c r="M19"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I21" authorId="0" shapeId="0" xr:uid="{00000000-0006-0000-0100-000001000000}">
      <text>
        <r>
          <rPr>
            <b/>
            <sz val="9"/>
            <color indexed="81"/>
            <rFont val="Tahoma"/>
            <family val="2"/>
          </rPr>
          <t>Author:</t>
        </r>
        <r>
          <rPr>
            <sz val="9"/>
            <color indexed="81"/>
            <rFont val="Tahoma"/>
            <family val="2"/>
          </rPr>
          <t xml:space="preserve">
Take from BI BOM Master</t>
        </r>
      </text>
    </comment>
  </commentList>
</comments>
</file>

<file path=xl/sharedStrings.xml><?xml version="1.0" encoding="utf-8"?>
<sst xmlns="http://schemas.openxmlformats.org/spreadsheetml/2006/main" count="249" uniqueCount="189">
  <si>
    <t>DOCKET NO.</t>
  </si>
  <si>
    <t>ITEM CODE</t>
  </si>
  <si>
    <t>PROPOSE ERP ITEM NAME</t>
  </si>
  <si>
    <t>Insulation Screening (Metallic)</t>
  </si>
  <si>
    <t>Weight (Insulation Screening (Metallic))</t>
  </si>
  <si>
    <t>COST(Insulation Screening (Metallic))</t>
  </si>
  <si>
    <t>Conductor</t>
  </si>
  <si>
    <t>WEIGHT(Conductor)</t>
  </si>
  <si>
    <t>COST(Conductor)</t>
  </si>
  <si>
    <t>AL ALLOY</t>
  </si>
  <si>
    <t>WEIGHT(Alu Alloy)</t>
  </si>
  <si>
    <t>COST(Alu Alloy)</t>
  </si>
  <si>
    <t>Insulation Screening (Non-Metallic)</t>
  </si>
  <si>
    <t>WEIGHT(Insulation Screening (Non-Metallic))</t>
  </si>
  <si>
    <t>COST(Insulation Screening (Non-Metallic))</t>
  </si>
  <si>
    <t>Insulation</t>
  </si>
  <si>
    <t>WEIGHT(Insulation)</t>
  </si>
  <si>
    <t>COST(Insulation)</t>
  </si>
  <si>
    <t>POLY TAPE</t>
  </si>
  <si>
    <t>WEIGHT (Poly Tape)</t>
  </si>
  <si>
    <t>COST(Poly Tape)</t>
  </si>
  <si>
    <t>Inner Sheath</t>
  </si>
  <si>
    <t>WEIGHT(Inner Sheath)</t>
  </si>
  <si>
    <t>COST(Inner Sheath)</t>
  </si>
  <si>
    <t>Armouring</t>
  </si>
  <si>
    <t>WEIGHT(Armouring)</t>
  </si>
  <si>
    <t>COST(Armouring)</t>
  </si>
  <si>
    <t>Outer Sheath</t>
  </si>
  <si>
    <t>WEIGHT(Outer Sheath)</t>
  </si>
  <si>
    <t>COST(Outer Sheath)</t>
  </si>
  <si>
    <t>FILLER</t>
  </si>
  <si>
    <t>WEIGHT(Filler)</t>
  </si>
  <si>
    <t>COST(Filler)</t>
  </si>
  <si>
    <t>GREASE</t>
  </si>
  <si>
    <t>WEIGHT(Grease)</t>
  </si>
  <si>
    <t>COST(Grease)</t>
  </si>
  <si>
    <t>Water swellable Tape</t>
  </si>
  <si>
    <t>WEIGHT(Water swellable Tape)</t>
  </si>
  <si>
    <t>COST(Water swellable Tape)</t>
  </si>
  <si>
    <t>Semi conducting Water Swellable tape</t>
  </si>
  <si>
    <t>WEIGHT(Semi conducting Water Swellable tape)</t>
  </si>
  <si>
    <t>COST(Semi conducting Water Swellable tape)</t>
  </si>
  <si>
    <t>SEMICON TAPE</t>
  </si>
  <si>
    <t>WEIGHT(SEMICON TAPE)</t>
  </si>
  <si>
    <t>COST(SEMICON TAPE)</t>
  </si>
  <si>
    <t>GLASS FIBER TAPE</t>
  </si>
  <si>
    <t>WEIGHT(GLASS FIBER TAPE)</t>
  </si>
  <si>
    <t>COST(GLASS FIBER TAPE)</t>
  </si>
  <si>
    <t>COPPER WIRE 0.8 MM</t>
  </si>
  <si>
    <t>WEIGHT(COPPER WIRE 0.8 MM)</t>
  </si>
  <si>
    <t>COST(COPPER WIRE 0.8 MM)</t>
  </si>
  <si>
    <t>RUBBERIZED COTTON TAPE</t>
  </si>
  <si>
    <t>WEIGHT(RUBBERIZED COTTON TAPE)</t>
  </si>
  <si>
    <t>COST(RUBBERIZED COTTON TAPE)</t>
  </si>
  <si>
    <t>Water Tight Compound</t>
  </si>
  <si>
    <t>WEIGHT(Water Tight Compound)</t>
  </si>
  <si>
    <t>COST(Water Tight Compound)</t>
  </si>
  <si>
    <t>DRUM COST PER KM</t>
  </si>
  <si>
    <t>TOTAL RM COST</t>
  </si>
  <si>
    <t>FIRM %</t>
  </si>
  <si>
    <t>FIRM VALUE</t>
  </si>
  <si>
    <t>MFG%</t>
  </si>
  <si>
    <t>MFG VALUE</t>
  </si>
  <si>
    <t>PROF%</t>
  </si>
  <si>
    <t>PROFIT VALUE</t>
  </si>
  <si>
    <t>1ST EX-WORKS</t>
  </si>
  <si>
    <t>Intt %</t>
  </si>
  <si>
    <t>INTT VALUE</t>
  </si>
  <si>
    <t>insp%</t>
  </si>
  <si>
    <t>INSP VALUE</t>
  </si>
  <si>
    <t>EX-WORKS (PER KM)</t>
  </si>
  <si>
    <t>FREIGHT PER KM</t>
  </si>
  <si>
    <t>PRICE INCLUDING FREIGHT (PER KM)</t>
  </si>
  <si>
    <t>GST %</t>
  </si>
  <si>
    <t>GST VALUE</t>
  </si>
  <si>
    <t>PRICE INCLUDING GST &amp; FREIGHT (PER KM)</t>
  </si>
  <si>
    <t>QTY</t>
  </si>
  <si>
    <t>Unit</t>
  </si>
  <si>
    <t>TOTAL PRICE OF FULL QTY (INCLUDING FRIGHT &amp; GST)</t>
  </si>
  <si>
    <t>EXTRA CONSUMPTION</t>
  </si>
  <si>
    <t>Alumimium</t>
  </si>
  <si>
    <t>ACSR DOG STEEL WIRE</t>
  </si>
  <si>
    <t>Copper</t>
  </si>
  <si>
    <t>Flexible Copper</t>
  </si>
  <si>
    <t>Galvanized steel wire</t>
  </si>
  <si>
    <t>Alumimium ALLOY</t>
  </si>
  <si>
    <t>LT-XLPE</t>
  </si>
  <si>
    <t>PVC Type ST-2</t>
  </si>
  <si>
    <t>Galvanised Steel Flat Strip</t>
  </si>
  <si>
    <t>Grease</t>
  </si>
  <si>
    <t>HT-XLPE</t>
  </si>
  <si>
    <t>Extruded semiconductive</t>
  </si>
  <si>
    <t>Coper tape - 0.1 mm</t>
  </si>
  <si>
    <t>FR PVC Type ST-1</t>
  </si>
  <si>
    <t>ACSR CORE WIRE</t>
  </si>
  <si>
    <t>Extruded Semiconductive(Stripable)</t>
  </si>
  <si>
    <t>Copper Tape - 0.03 mm</t>
  </si>
  <si>
    <t>FR PVC Type ST-2</t>
  </si>
  <si>
    <t>TR XLPE</t>
  </si>
  <si>
    <t>Copper Tape - 0.035 mm</t>
  </si>
  <si>
    <t>FRLSH PVC Type ST-2</t>
  </si>
  <si>
    <t>Aluminium Flat Strip</t>
  </si>
  <si>
    <t>FRLSH PVC Type ST-1</t>
  </si>
  <si>
    <t>Type A PVC</t>
  </si>
  <si>
    <t>Copper Tape - 0.04 mm</t>
  </si>
  <si>
    <t>PVC Type ST-1</t>
  </si>
  <si>
    <t>Aluminium Round Wire</t>
  </si>
  <si>
    <t>Type C PVC (HR)</t>
  </si>
  <si>
    <t>Copper Tape - 0.045 mm</t>
  </si>
  <si>
    <t>PVC Type ST-1-PRESSURE EXTRUDED</t>
  </si>
  <si>
    <t>PE, ST-3</t>
  </si>
  <si>
    <t>XLPE</t>
  </si>
  <si>
    <t>Copper Tape - 0.050 mm</t>
  </si>
  <si>
    <t>Double Steel Tape</t>
  </si>
  <si>
    <t>PE, ST-7</t>
  </si>
  <si>
    <t>Copper Tape - 0.060 mm</t>
  </si>
  <si>
    <t>PVC Type ST-2-PRESSURE EXTRUDED</t>
  </si>
  <si>
    <t>Copper Tape - 0.075 mm(DOUBLE)</t>
  </si>
  <si>
    <t>Galvanised Steel Flat Strip (Double)</t>
  </si>
  <si>
    <t>Galvanised Steel Flat Strip-B</t>
  </si>
  <si>
    <t>Galvanised Steel Round Wire</t>
  </si>
  <si>
    <t>UV &amp; Track Resistant XLPE</t>
  </si>
  <si>
    <t>Galvanised Steel Round Wire (Double)</t>
  </si>
  <si>
    <t>EXTRA CONSUMPTION VALUE</t>
  </si>
  <si>
    <t>REVERSE AUCTION</t>
  </si>
  <si>
    <t>TENDER SPECIFICATION NO ()</t>
  </si>
  <si>
    <t>TENDER DESCRIPTION  ()</t>
  </si>
  <si>
    <t>Last Date &amp; Time of Submission ()</t>
  </si>
  <si>
    <t>Price ()</t>
  </si>
  <si>
    <t>Validity  ()</t>
  </si>
  <si>
    <t>Delivery Period  ()</t>
  </si>
  <si>
    <t>Payment Terms ()</t>
  </si>
  <si>
    <t>Standard length ()</t>
  </si>
  <si>
    <t>Packing  ()</t>
  </si>
  <si>
    <t>Technical Specification</t>
  </si>
  <si>
    <t>Base Date</t>
  </si>
  <si>
    <t>PROPOSE DRUM TYPE</t>
  </si>
  <si>
    <t>DRUM CODE</t>
  </si>
  <si>
    <t>DRUM SIZE (FxbXtx Ft)</t>
  </si>
  <si>
    <t>KERALA STATE ELECTRICITY BOARD LTD</t>
  </si>
  <si>
    <t>KSEB/SCM/eP.25/2023-24 dated 08/09/202</t>
  </si>
  <si>
    <t>The validity period of this bid shall be for four months from the date of opening of the pre- qualification bid. The date of opening of the pre-qualification bid will be as specified in the Notice Inviting Tender (NIT). Any change in the date and time of opening of bids will be duly intimated in the web site. Offers with lesser validity period are liable to be rejected.</t>
  </si>
  <si>
    <t xml:space="preserve">Supply shall commence within 60 days from the date of Purchase order and completed with in 2 months therafter as as detailed below:
Within 60 days from the date of P.O (km) - 1100
Within 90 days from the date of P.O.(km) - 1000
Within 120 days from the date of P.O.(km) - 1000
</t>
  </si>
  <si>
    <t>Not Mention.</t>
  </si>
  <si>
    <t>95% Basic rate with 100% taxes, and Freight and insurance charges will be paid through KSEB Limited's funds in due course on State Bank of India or its subsidiaries by the consignee after receipt, verification and acceptance by the consignee and balance 5% after completion of guarantee period as per Clause-33 or on production of Bank Guarantee from a Nationalized /Scheduled Bank for an amount equivalent to 5% of contract value valid for entire guarantee period plus three months.</t>
  </si>
  <si>
    <t>The standard Drum Length will be 500/1000 metres in each Drum for cables subject to a maximum tolerance of +/- 5%. The total quantity of cables after taking into consideration of all cable drums for each size shall be within the tolerance of ± 1%.</t>
  </si>
  <si>
    <t>18/10/2023 at 3.00 pm</t>
  </si>
  <si>
    <t>RM RATE (Insulation Screening (Metallic))</t>
  </si>
  <si>
    <t>RM RATE(Conductor)</t>
  </si>
  <si>
    <t>RM RATE(Alu Alloy)</t>
  </si>
  <si>
    <t>RM RATE(Insulation Screening (Non-Metallic))</t>
  </si>
  <si>
    <t>RM RATE(Insulation)</t>
  </si>
  <si>
    <t>RM RATE (Poly Tape)</t>
  </si>
  <si>
    <t>RM RATE(Inner Sheath)</t>
  </si>
  <si>
    <t>RM RATE(Armouring)</t>
  </si>
  <si>
    <t>RM RATE(Outer Sheath)</t>
  </si>
  <si>
    <t>RM RATE(Filler)</t>
  </si>
  <si>
    <t>RM RATE(Grease)</t>
  </si>
  <si>
    <t>RM RATE(Water swellable Tape)</t>
  </si>
  <si>
    <t>RM RATE(Semi conducting Water Swellable tape)</t>
  </si>
  <si>
    <t>RM RATE(SEMICON TAPE)</t>
  </si>
  <si>
    <t>RM RATE(GLASS FIBER TAPE)</t>
  </si>
  <si>
    <t>RM RATE(COPPER WIRE 0.8 MM)</t>
  </si>
  <si>
    <t>RM RATE(RUBBERIZED COTTON TAPE)</t>
  </si>
  <si>
    <t>RM RATE(Water Tight Compound)</t>
  </si>
  <si>
    <t xml:space="preserve">PARTY STANDARD LENGTH (MTR) </t>
  </si>
  <si>
    <t>ENQ-11221-22-23</t>
  </si>
  <si>
    <t>FA2900004</t>
  </si>
  <si>
    <t>COVERED CONDUCTOR - 1 CORE x 100 SQ. MM. (AAAC) - 11KV</t>
  </si>
  <si>
    <t>Hybrid</t>
  </si>
  <si>
    <t>AL-7</t>
  </si>
  <si>
    <t>Extruded Semiconductive</t>
  </si>
  <si>
    <t>KMS</t>
  </si>
  <si>
    <t>MD0100106</t>
  </si>
  <si>
    <t>DRUM - 42 X 15 X 23 X 2 (LOMBU-HYBRID)</t>
  </si>
  <si>
    <t xml:space="preserve">Order Quantity </t>
  </si>
  <si>
    <t>Stnd Length</t>
  </si>
  <si>
    <t>Truck type</t>
  </si>
  <si>
    <t xml:space="preserve">Fare of one truck </t>
  </si>
  <si>
    <t>No of Drum in one truck</t>
  </si>
  <si>
    <t>Total length in one Truck</t>
  </si>
  <si>
    <t xml:space="preserve">No of Truck </t>
  </si>
  <si>
    <t>Total Freight</t>
  </si>
  <si>
    <t>Freight per KM</t>
  </si>
  <si>
    <t>16 MT</t>
  </si>
  <si>
    <t>BID DOCUMENTS FOR THE SUPPLY OF 3100KM 11KV 99 sq.mm AAAC COVERED CONDUCTOR</t>
  </si>
  <si>
    <t>Prices quoted by the Bidder shall be fixed during the bidder's performance of the contract and not subject to variation on any account. A bid submitted with an adjustable/ variable price quotation will be treated as non -responsive and rejected.</t>
  </si>
  <si>
    <t>The Cables shall be supplied in non-returnable wooden drums conforming to IS: 10418 and packed in drums suitable for vertical / horizontal transport, as the case may be and shall be suitable to withstand rough handling during transport and outer storage.</t>
  </si>
  <si>
    <t>SOMBHU SIR CONFIRMED OVERPHONE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</si>
</sst>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0.000%"/>
    <numFmt numFmtId="165" formatCode="_(* #,##0.00_);_(* \(#,##0.00\);_(* &quot;-&quot;??_);_(@_)"/>
  </numFmts>
  <fonts count="1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1"/>
      <color rgb="FF000000"/>
      <name val="Calibri"/>
      <family val="2"/>
      <scheme val="minor"/>
    </font>
    <font>
      <sz val="11"/>
      <color indexed="8"/>
      <name val="Calibri"/>
      <family val="2"/>
      <scheme val="minor"/>
    </font>
    <font>
      <sz val="10"/>
      <color rgb="FF000000"/>
      <name val="Arial"/>
      <family val="2"/>
    </font>
    <font>
      <sz val="10"/>
      <color rgb="FF000000"/>
      <name val="Arial"/>
      <family val="2"/>
    </font>
    <font>
      <sz val="14"/>
      <color theme="1"/>
      <name val="Arial Black"/>
      <family val="2"/>
    </font>
    <font>
      <sz val="11"/>
      <name val="Calibri"/>
      <family val="2"/>
      <scheme val="minor"/>
    </font>
    <font>
      <sz val="10"/>
      <name val="Verdana"/>
      <family val="2"/>
    </font>
    <font>
      <sz val="10"/>
      <name val="Arial"/>
      <family val="2"/>
    </font>
    <font>
      <b/>
      <sz val="9"/>
      <color indexed="81"/>
      <name val="Tahoma"/>
      <family val="2"/>
    </font>
    <font>
      <sz val="9"/>
      <color indexed="81"/>
      <name val="Tahoma"/>
      <family val="2"/>
    </font>
  </fonts>
  <fills count="9">
    <fill>
      <patternFill patternType="none"/>
    </fill>
    <fill>
      <patternFill patternType="gray125"/>
    </fill>
    <fill>
      <patternFill patternType="solid">
        <fgColor theme="9" tint="0.39997558519241921"/>
        <bgColor indexed="65"/>
      </patternFill>
    </fill>
    <fill>
      <patternFill patternType="solid">
        <fgColor theme="9" tint="0.39997558519241921"/>
        <bgColor indexed="64"/>
      </patternFill>
    </fill>
    <fill>
      <patternFill patternType="solid">
        <fgColor theme="9" tint="0.39997558519241921"/>
        <bgColor rgb="FF000000"/>
      </patternFill>
    </fill>
    <fill>
      <patternFill patternType="solid">
        <fgColor theme="5" tint="0.59999389629810485"/>
        <bgColor indexed="64"/>
      </patternFill>
    </fill>
    <fill>
      <patternFill patternType="solid">
        <fgColor rgb="FF00B0F0"/>
        <bgColor indexed="64"/>
      </patternFill>
    </fill>
    <fill>
      <patternFill patternType="solid">
        <fgColor theme="5" tint="0.39997558519241921"/>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8">
    <xf numFmtId="0" fontId="0" fillId="0" borderId="0"/>
    <xf numFmtId="43" fontId="1" fillId="0" borderId="0" applyFont="0" applyFill="0" applyBorder="0" applyAlignment="0" applyProtection="0"/>
    <xf numFmtId="9" fontId="1" fillId="0" borderId="0" applyFont="0" applyFill="0" applyBorder="0" applyAlignment="0" applyProtection="0"/>
    <xf numFmtId="0" fontId="6" fillId="0" borderId="0"/>
    <xf numFmtId="0" fontId="11" fillId="0" borderId="0"/>
    <xf numFmtId="0" fontId="12" fillId="0" borderId="0"/>
    <xf numFmtId="0" fontId="12" fillId="0" borderId="0"/>
    <xf numFmtId="165" fontId="1" fillId="0" borderId="0" applyFont="0" applyFill="0" applyBorder="0" applyAlignment="0" applyProtection="0"/>
  </cellStyleXfs>
  <cellXfs count="81">
    <xf numFmtId="0" fontId="0" fillId="0" borderId="0" xfId="0"/>
    <xf numFmtId="0" fontId="0" fillId="0" borderId="1" xfId="0" applyBorder="1" applyAlignment="1">
      <alignment wrapText="1"/>
    </xf>
    <xf numFmtId="0" fontId="2" fillId="0" borderId="1" xfId="0" applyFont="1" applyBorder="1" applyAlignment="1">
      <alignment horizontal="center" vertical="center" wrapText="1"/>
    </xf>
    <xf numFmtId="43" fontId="0" fillId="0" borderId="1" xfId="1" applyFont="1" applyBorder="1" applyAlignment="1">
      <alignment wrapText="1"/>
    </xf>
    <xf numFmtId="43" fontId="0" fillId="0" borderId="0" xfId="1" applyFont="1"/>
    <xf numFmtId="43" fontId="3" fillId="0" borderId="1" xfId="1" applyFont="1" applyBorder="1" applyAlignment="1">
      <alignment horizontal="center" vertical="center" wrapText="1"/>
    </xf>
    <xf numFmtId="9" fontId="3" fillId="0" borderId="1" xfId="2" applyFont="1" applyBorder="1" applyAlignment="1">
      <alignment horizontal="center" vertical="center" wrapText="1"/>
    </xf>
    <xf numFmtId="9" fontId="0" fillId="0" borderId="1" xfId="2" applyFont="1" applyBorder="1" applyAlignment="1">
      <alignment wrapText="1"/>
    </xf>
    <xf numFmtId="9" fontId="0" fillId="0" borderId="0" xfId="2" applyFont="1"/>
    <xf numFmtId="43" fontId="0" fillId="0" borderId="1" xfId="0" applyNumberFormat="1" applyBorder="1" applyAlignment="1">
      <alignment wrapText="1"/>
    </xf>
    <xf numFmtId="0" fontId="0" fillId="0" borderId="1" xfId="0" applyBorder="1" applyAlignment="1">
      <alignment horizontal="center" vertical="center" wrapText="1"/>
    </xf>
    <xf numFmtId="10"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164" fontId="3" fillId="0" borderId="1" xfId="2" applyNumberFormat="1" applyFont="1" applyBorder="1" applyAlignment="1">
      <alignment horizontal="center" vertical="center" wrapText="1"/>
    </xf>
    <xf numFmtId="164" fontId="0" fillId="0" borderId="0" xfId="2" applyNumberFormat="1" applyFont="1"/>
    <xf numFmtId="0" fontId="3" fillId="0" borderId="1" xfId="0" applyFont="1" applyBorder="1" applyAlignment="1">
      <alignment horizontal="center" vertical="center" wrapText="1"/>
    </xf>
    <xf numFmtId="10" fontId="0" fillId="0" borderId="1" xfId="0" applyNumberFormat="1" applyBorder="1" applyAlignment="1">
      <alignment wrapText="1"/>
    </xf>
    <xf numFmtId="3" fontId="0" fillId="0" borderId="1" xfId="0" applyNumberFormat="1" applyBorder="1" applyAlignment="1">
      <alignment wrapText="1"/>
    </xf>
    <xf numFmtId="0" fontId="2" fillId="0" borderId="0" xfId="0" applyFont="1" applyAlignment="1">
      <alignment horizontal="center" vertical="center" wrapText="1"/>
    </xf>
    <xf numFmtId="0" fontId="4" fillId="0" borderId="0" xfId="0" applyFont="1" applyAlignment="1">
      <alignment horizontal="center" vertical="center" wrapText="1"/>
    </xf>
    <xf numFmtId="0" fontId="8" fillId="4" borderId="1" xfId="0" applyFont="1" applyFill="1" applyBorder="1" applyAlignment="1">
      <alignment vertical="center" wrapText="1"/>
    </xf>
    <xf numFmtId="0" fontId="8" fillId="3" borderId="1" xfId="0" applyFont="1" applyFill="1" applyBorder="1" applyAlignment="1">
      <alignment vertical="center" wrapText="1"/>
    </xf>
    <xf numFmtId="0" fontId="3" fillId="3" borderId="1" xfId="0" applyFont="1" applyFill="1" applyBorder="1" applyAlignment="1">
      <alignment vertical="center" wrapText="1"/>
    </xf>
    <xf numFmtId="0" fontId="5" fillId="3" borderId="1" xfId="0" applyFont="1" applyFill="1" applyBorder="1" applyAlignment="1">
      <alignment vertical="center" wrapText="1"/>
    </xf>
    <xf numFmtId="0" fontId="7" fillId="2" borderId="1" xfId="3" applyFont="1" applyFill="1" applyBorder="1" applyAlignment="1">
      <alignment vertical="center" wrapText="1"/>
    </xf>
    <xf numFmtId="0" fontId="4" fillId="3" borderId="1" xfId="0" applyFont="1" applyFill="1" applyBorder="1" applyAlignment="1">
      <alignment vertical="center" wrapText="1"/>
    </xf>
    <xf numFmtId="10" fontId="4" fillId="0" borderId="0" xfId="2" applyNumberFormat="1" applyFont="1" applyAlignment="1">
      <alignment horizontal="center" vertical="center" wrapText="1"/>
    </xf>
    <xf numFmtId="10" fontId="0" fillId="0" borderId="1" xfId="2" applyNumberFormat="1" applyFont="1" applyBorder="1" applyAlignment="1">
      <alignment wrapText="1"/>
    </xf>
    <xf numFmtId="10" fontId="0" fillId="0" borderId="0" xfId="2" applyNumberFormat="1" applyFont="1"/>
    <xf numFmtId="43" fontId="4" fillId="0" borderId="0" xfId="1" applyFont="1" applyAlignment="1">
      <alignment horizontal="center" vertical="center" wrapText="1"/>
    </xf>
    <xf numFmtId="0" fontId="0" fillId="0" borderId="0" xfId="0" applyAlignment="1">
      <alignment wrapText="1"/>
    </xf>
    <xf numFmtId="43" fontId="3" fillId="3" borderId="1" xfId="1" applyFont="1" applyFill="1" applyBorder="1" applyAlignment="1">
      <alignment vertical="center" wrapText="1"/>
    </xf>
    <xf numFmtId="43" fontId="5" fillId="3" borderId="1" xfId="1" applyFont="1" applyFill="1" applyBorder="1" applyAlignment="1">
      <alignment vertical="center" wrapText="1"/>
    </xf>
    <xf numFmtId="43" fontId="7" fillId="2" borderId="1" xfId="1" applyFont="1" applyFill="1" applyBorder="1" applyAlignment="1">
      <alignment vertical="center" wrapText="1"/>
    </xf>
    <xf numFmtId="43" fontId="8" fillId="4" borderId="1" xfId="1" applyFont="1" applyFill="1" applyBorder="1" applyAlignment="1">
      <alignment vertical="center" wrapText="1"/>
    </xf>
    <xf numFmtId="43" fontId="8" fillId="3" borderId="1" xfId="1" applyFont="1" applyFill="1" applyBorder="1" applyAlignment="1">
      <alignment vertical="center" wrapText="1"/>
    </xf>
    <xf numFmtId="43" fontId="4" fillId="3" borderId="1" xfId="1" applyFont="1" applyFill="1" applyBorder="1" applyAlignment="1">
      <alignment vertical="center" wrapText="1"/>
    </xf>
    <xf numFmtId="0" fontId="0" fillId="0" borderId="0" xfId="0" applyAlignment="1">
      <alignment horizontal="center" vertical="center"/>
    </xf>
    <xf numFmtId="0" fontId="0" fillId="0" borderId="4" xfId="0" applyBorder="1" applyAlignment="1">
      <alignment horizontal="center" vertical="center" wrapText="1"/>
    </xf>
    <xf numFmtId="43" fontId="0" fillId="0" borderId="1" xfId="1" applyFont="1" applyBorder="1" applyAlignment="1">
      <alignment horizontal="center" vertical="center" wrapText="1"/>
    </xf>
    <xf numFmtId="10" fontId="0" fillId="0" borderId="1" xfId="2" applyNumberFormat="1" applyFont="1" applyBorder="1" applyAlignment="1">
      <alignment horizontal="center" vertical="center" wrapText="1"/>
    </xf>
    <xf numFmtId="164" fontId="0" fillId="0" borderId="0" xfId="2" applyNumberFormat="1" applyFont="1" applyAlignment="1">
      <alignment horizontal="center" vertical="center"/>
    </xf>
    <xf numFmtId="43" fontId="0" fillId="0" borderId="0" xfId="1" applyFont="1" applyAlignment="1">
      <alignment horizontal="center" vertical="center"/>
    </xf>
    <xf numFmtId="9" fontId="0" fillId="0" borderId="0" xfId="2" applyFont="1" applyAlignment="1">
      <alignment horizontal="center" vertical="center"/>
    </xf>
    <xf numFmtId="0" fontId="0" fillId="0" borderId="0" xfId="0" applyAlignment="1">
      <alignment vertical="center"/>
    </xf>
    <xf numFmtId="0" fontId="2" fillId="5" borderId="5" xfId="0" applyFont="1" applyFill="1" applyBorder="1" applyAlignment="1">
      <alignment vertical="top" wrapText="1"/>
    </xf>
    <xf numFmtId="0" fontId="2" fillId="5" borderId="6" xfId="0" applyFont="1" applyFill="1" applyBorder="1" applyAlignment="1">
      <alignment vertical="top" wrapText="1"/>
    </xf>
    <xf numFmtId="0" fontId="9" fillId="0" borderId="0" xfId="0" applyFont="1"/>
    <xf numFmtId="10" fontId="2" fillId="0" borderId="1" xfId="2" applyNumberFormat="1" applyFont="1" applyBorder="1" applyAlignment="1">
      <alignment wrapText="1"/>
    </xf>
    <xf numFmtId="0" fontId="2" fillId="5" borderId="1" xfId="0" applyFont="1" applyFill="1" applyBorder="1" applyAlignment="1">
      <alignment vertical="center" wrapText="1"/>
    </xf>
    <xf numFmtId="0" fontId="2" fillId="0" borderId="0" xfId="0" applyFont="1" applyAlignment="1">
      <alignment vertical="center" wrapText="1"/>
    </xf>
    <xf numFmtId="14" fontId="2" fillId="0" borderId="1" xfId="0" applyNumberFormat="1" applyFont="1" applyBorder="1" applyAlignment="1">
      <alignment horizontal="center" vertical="center" wrapText="1"/>
    </xf>
    <xf numFmtId="14" fontId="0" fillId="0" borderId="1" xfId="0" applyNumberFormat="1" applyBorder="1" applyAlignment="1">
      <alignment wrapText="1"/>
    </xf>
    <xf numFmtId="43" fontId="8" fillId="0" borderId="0" xfId="1" applyFont="1" applyFill="1" applyBorder="1" applyAlignment="1">
      <alignment vertical="center" wrapText="1"/>
    </xf>
    <xf numFmtId="0" fontId="8" fillId="5" borderId="1" xfId="0" applyFont="1" applyFill="1" applyBorder="1" applyAlignment="1">
      <alignment vertical="center" wrapText="1"/>
    </xf>
    <xf numFmtId="14" fontId="0" fillId="0" borderId="0" xfId="0" applyNumberFormat="1"/>
    <xf numFmtId="10" fontId="0" fillId="0" borderId="0" xfId="0" applyNumberFormat="1"/>
    <xf numFmtId="3" fontId="0" fillId="0" borderId="0" xfId="0" applyNumberFormat="1"/>
    <xf numFmtId="0" fontId="2" fillId="0" borderId="1" xfId="0" applyFont="1" applyBorder="1" applyAlignment="1">
      <alignment horizontal="center" vertical="center"/>
    </xf>
    <xf numFmtId="0" fontId="2" fillId="6" borderId="1" xfId="0" applyFont="1" applyFill="1" applyBorder="1" applyAlignment="1">
      <alignment horizontal="center" vertical="center" wrapText="1"/>
    </xf>
    <xf numFmtId="0" fontId="2" fillId="7" borderId="1" xfId="0" applyFont="1" applyFill="1" applyBorder="1" applyAlignment="1">
      <alignment horizontal="center" vertical="center"/>
    </xf>
    <xf numFmtId="165" fontId="2" fillId="0" borderId="1" xfId="7" applyFont="1" applyFill="1" applyBorder="1" applyAlignment="1">
      <alignment horizontal="center" vertical="center"/>
    </xf>
    <xf numFmtId="165" fontId="2" fillId="6" borderId="1" xfId="7" applyFont="1" applyFill="1" applyBorder="1" applyAlignment="1">
      <alignment horizontal="center" vertical="center"/>
    </xf>
    <xf numFmtId="165" fontId="0" fillId="0" borderId="1" xfId="0" applyNumberFormat="1" applyBorder="1" applyAlignment="1">
      <alignment wrapText="1"/>
    </xf>
    <xf numFmtId="0" fontId="10" fillId="0" borderId="2" xfId="0" applyFont="1" applyBorder="1" applyAlignment="1">
      <alignment horizontal="justify" vertical="top" wrapText="1"/>
    </xf>
    <xf numFmtId="0" fontId="10" fillId="0" borderId="3" xfId="0" applyFont="1" applyBorder="1" applyAlignment="1">
      <alignment horizontal="justify" vertical="top" wrapText="1"/>
    </xf>
    <xf numFmtId="0" fontId="10" fillId="0" borderId="4" xfId="0" applyFont="1" applyBorder="1" applyAlignment="1">
      <alignment horizontal="justify" vertical="top" wrapText="1"/>
    </xf>
    <xf numFmtId="0" fontId="0" fillId="0" borderId="1" xfId="0" applyBorder="1" applyAlignment="1">
      <alignment vertical="center" wrapText="1"/>
    </xf>
    <xf numFmtId="0" fontId="10" fillId="0" borderId="1" xfId="0" applyFont="1" applyBorder="1" applyAlignment="1">
      <alignment horizontal="left" vertical="top"/>
    </xf>
    <xf numFmtId="0" fontId="10" fillId="0" borderId="1" xfId="0" applyFont="1" applyBorder="1" applyAlignment="1">
      <alignment horizontal="left" vertical="top"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1" xfId="0" applyBorder="1" applyAlignment="1">
      <alignment horizontal="center" vertical="center" wrapText="1"/>
    </xf>
    <xf numFmtId="0" fontId="10" fillId="0" borderId="2" xfId="0" applyFont="1" applyBorder="1" applyAlignment="1">
      <alignment horizontal="left" vertical="top" wrapText="1"/>
    </xf>
    <xf numFmtId="0" fontId="10" fillId="0" borderId="3" xfId="0" applyFont="1" applyBorder="1" applyAlignment="1">
      <alignment horizontal="left" vertical="top" wrapText="1"/>
    </xf>
    <xf numFmtId="0" fontId="10" fillId="0" borderId="4" xfId="0" applyFont="1" applyBorder="1" applyAlignment="1">
      <alignment horizontal="left" vertical="top" wrapText="1"/>
    </xf>
    <xf numFmtId="0" fontId="9" fillId="0" borderId="7" xfId="0" applyFont="1" applyBorder="1" applyAlignment="1">
      <alignment horizontal="center"/>
    </xf>
    <xf numFmtId="0" fontId="9" fillId="0" borderId="8" xfId="0" applyFont="1" applyBorder="1" applyAlignment="1">
      <alignment horizontal="center"/>
    </xf>
    <xf numFmtId="0" fontId="9" fillId="0" borderId="9" xfId="0" applyFont="1" applyBorder="1" applyAlignment="1">
      <alignment horizontal="center"/>
    </xf>
    <xf numFmtId="0" fontId="2"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cellXfs>
  <cellStyles count="8">
    <cellStyle name="Comma" xfId="1" builtinId="3"/>
    <cellStyle name="Comma 3" xfId="7" xr:uid="{00000000-0005-0000-0000-000001000000}"/>
    <cellStyle name="Normal" xfId="0" builtinId="0"/>
    <cellStyle name="Normal 2" xfId="3" xr:uid="{00000000-0005-0000-0000-000003000000}"/>
    <cellStyle name="Normal 2 2" xfId="5" xr:uid="{00000000-0005-0000-0000-000004000000}"/>
    <cellStyle name="Normal 2 2 2" xfId="6" xr:uid="{00000000-0005-0000-0000-000005000000}"/>
    <cellStyle name="Normal 6 2" xfId="4" xr:uid="{00000000-0005-0000-0000-00000600000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Y20"/>
  <sheetViews>
    <sheetView topLeftCell="BY1" workbookViewId="0">
      <selection sqref="A1:CY2"/>
    </sheetView>
  </sheetViews>
  <sheetFormatPr defaultRowHeight="15" x14ac:dyDescent="0.25"/>
  <cols>
    <col min="1" max="2" width="16" customWidth="1"/>
    <col min="3" max="3" width="16.140625" customWidth="1"/>
    <col min="4" max="5" width="69.7109375" customWidth="1"/>
    <col min="6" max="17" width="8.85546875" customWidth="1"/>
    <col min="18" max="18" width="37.85546875" bestFit="1" customWidth="1"/>
    <col min="19" max="19" width="8.85546875" customWidth="1"/>
    <col min="20" max="20" width="47" bestFit="1" customWidth="1"/>
    <col min="21" max="78" width="8.85546875" customWidth="1"/>
    <col min="79" max="79" width="9.5703125" customWidth="1"/>
    <col min="80" max="82" width="8.85546875" customWidth="1"/>
    <col min="83" max="83" width="10.5703125" customWidth="1"/>
    <col min="84" max="84" width="8.85546875" customWidth="1"/>
    <col min="85" max="85" width="10.5703125" customWidth="1"/>
    <col min="86" max="86" width="11.5703125" customWidth="1"/>
    <col min="87" max="87" width="8.85546875" customWidth="1"/>
    <col min="88" max="88" width="11.5703125" customWidth="1"/>
    <col min="89" max="90" width="8.85546875" customWidth="1"/>
    <col min="91" max="91" width="11.5703125" style="4" bestFit="1" customWidth="1"/>
    <col min="92" max="92" width="8.85546875" customWidth="1"/>
    <col min="93" max="93" width="11.5703125" customWidth="1"/>
    <col min="94" max="94" width="8.85546875" customWidth="1"/>
    <col min="95" max="96" width="11.5703125" customWidth="1"/>
    <col min="99" max="99" width="11.5703125" bestFit="1" customWidth="1"/>
  </cols>
  <sheetData>
    <row r="1" spans="1:103" s="18" customFormat="1" x14ac:dyDescent="0.25">
      <c r="A1" t="s">
        <v>0</v>
      </c>
      <c r="B1" t="s">
        <v>135</v>
      </c>
      <c r="C1" t="s">
        <v>1</v>
      </c>
      <c r="D1" t="s">
        <v>2</v>
      </c>
      <c r="E1" t="s">
        <v>136</v>
      </c>
      <c r="F1" t="s">
        <v>3</v>
      </c>
      <c r="G1" t="s">
        <v>147</v>
      </c>
      <c r="H1" t="s">
        <v>4</v>
      </c>
      <c r="I1" t="s">
        <v>5</v>
      </c>
      <c r="J1" t="s">
        <v>6</v>
      </c>
      <c r="K1" t="s">
        <v>148</v>
      </c>
      <c r="L1" t="s">
        <v>7</v>
      </c>
      <c r="M1" t="s">
        <v>8</v>
      </c>
      <c r="N1" t="s">
        <v>9</v>
      </c>
      <c r="O1" t="s">
        <v>149</v>
      </c>
      <c r="P1" t="s">
        <v>10</v>
      </c>
      <c r="Q1" t="s">
        <v>11</v>
      </c>
      <c r="R1" t="s">
        <v>12</v>
      </c>
      <c r="S1" t="s">
        <v>150</v>
      </c>
      <c r="T1" t="s">
        <v>13</v>
      </c>
      <c r="U1" t="s">
        <v>14</v>
      </c>
      <c r="V1" t="s">
        <v>15</v>
      </c>
      <c r="W1" t="s">
        <v>151</v>
      </c>
      <c r="X1" t="s">
        <v>16</v>
      </c>
      <c r="Y1" t="s">
        <v>17</v>
      </c>
      <c r="Z1" t="s">
        <v>18</v>
      </c>
      <c r="AA1" t="s">
        <v>152</v>
      </c>
      <c r="AB1" t="s">
        <v>19</v>
      </c>
      <c r="AC1" t="s">
        <v>20</v>
      </c>
      <c r="AD1" t="s">
        <v>21</v>
      </c>
      <c r="AE1" t="s">
        <v>153</v>
      </c>
      <c r="AF1" t="s">
        <v>22</v>
      </c>
      <c r="AG1" t="s">
        <v>23</v>
      </c>
      <c r="AH1" t="s">
        <v>24</v>
      </c>
      <c r="AI1" t="s">
        <v>154</v>
      </c>
      <c r="AJ1" t="s">
        <v>25</v>
      </c>
      <c r="AK1" t="s">
        <v>26</v>
      </c>
      <c r="AL1" t="s">
        <v>27</v>
      </c>
      <c r="AM1" t="s">
        <v>155</v>
      </c>
      <c r="AN1" t="s">
        <v>28</v>
      </c>
      <c r="AO1" t="s">
        <v>29</v>
      </c>
      <c r="AP1" t="s">
        <v>30</v>
      </c>
      <c r="AQ1" t="s">
        <v>156</v>
      </c>
      <c r="AR1" t="s">
        <v>31</v>
      </c>
      <c r="AS1" t="s">
        <v>32</v>
      </c>
      <c r="AT1" t="s">
        <v>33</v>
      </c>
      <c r="AU1" t="s">
        <v>157</v>
      </c>
      <c r="AV1" t="s">
        <v>34</v>
      </c>
      <c r="AW1" t="s">
        <v>35</v>
      </c>
      <c r="AX1" t="s">
        <v>36</v>
      </c>
      <c r="AY1" t="s">
        <v>158</v>
      </c>
      <c r="AZ1" t="s">
        <v>37</v>
      </c>
      <c r="BA1" t="s">
        <v>38</v>
      </c>
      <c r="BB1" t="s">
        <v>39</v>
      </c>
      <c r="BC1" t="s">
        <v>159</v>
      </c>
      <c r="BD1" t="s">
        <v>40</v>
      </c>
      <c r="BE1" t="s">
        <v>41</v>
      </c>
      <c r="BF1" t="s">
        <v>42</v>
      </c>
      <c r="BG1" t="s">
        <v>160</v>
      </c>
      <c r="BH1" t="s">
        <v>43</v>
      </c>
      <c r="BI1" t="s">
        <v>44</v>
      </c>
      <c r="BJ1" t="s">
        <v>45</v>
      </c>
      <c r="BK1" t="s">
        <v>161</v>
      </c>
      <c r="BL1" t="s">
        <v>46</v>
      </c>
      <c r="BM1" t="s">
        <v>47</v>
      </c>
      <c r="BN1" t="s">
        <v>48</v>
      </c>
      <c r="BO1" t="s">
        <v>162</v>
      </c>
      <c r="BP1" t="s">
        <v>49</v>
      </c>
      <c r="BQ1" t="s">
        <v>50</v>
      </c>
      <c r="BR1" t="s">
        <v>51</v>
      </c>
      <c r="BS1" t="s">
        <v>163</v>
      </c>
      <c r="BT1" t="s">
        <v>52</v>
      </c>
      <c r="BU1" t="s">
        <v>53</v>
      </c>
      <c r="BV1" t="s">
        <v>54</v>
      </c>
      <c r="BW1" t="s">
        <v>164</v>
      </c>
      <c r="BX1" t="s">
        <v>55</v>
      </c>
      <c r="BY1" t="s">
        <v>56</v>
      </c>
      <c r="BZ1" t="s">
        <v>57</v>
      </c>
      <c r="CA1" t="s">
        <v>58</v>
      </c>
      <c r="CB1" t="s">
        <v>59</v>
      </c>
      <c r="CC1" t="s">
        <v>60</v>
      </c>
      <c r="CD1" t="s">
        <v>61</v>
      </c>
      <c r="CE1" t="s">
        <v>62</v>
      </c>
      <c r="CF1" t="s">
        <v>63</v>
      </c>
      <c r="CG1" t="s">
        <v>64</v>
      </c>
      <c r="CH1" t="s">
        <v>65</v>
      </c>
      <c r="CI1" t="s">
        <v>66</v>
      </c>
      <c r="CJ1" t="s">
        <v>67</v>
      </c>
      <c r="CK1" t="s">
        <v>68</v>
      </c>
      <c r="CL1" t="s">
        <v>69</v>
      </c>
      <c r="CM1" t="s">
        <v>70</v>
      </c>
      <c r="CN1" t="s">
        <v>71</v>
      </c>
      <c r="CO1" t="s">
        <v>72</v>
      </c>
      <c r="CP1" t="s">
        <v>73</v>
      </c>
      <c r="CQ1" t="s">
        <v>74</v>
      </c>
      <c r="CR1" t="s">
        <v>75</v>
      </c>
      <c r="CS1" t="s">
        <v>76</v>
      </c>
      <c r="CT1" t="s">
        <v>77</v>
      </c>
      <c r="CU1" t="s">
        <v>78</v>
      </c>
      <c r="CV1" t="s">
        <v>137</v>
      </c>
      <c r="CW1" t="s">
        <v>138</v>
      </c>
      <c r="CX1" t="s">
        <v>165</v>
      </c>
      <c r="CY1"/>
    </row>
    <row r="2" spans="1:103" x14ac:dyDescent="0.25">
      <c r="A2" t="s">
        <v>166</v>
      </c>
      <c r="B2" s="55">
        <v>45211</v>
      </c>
      <c r="C2" t="s">
        <v>167</v>
      </c>
      <c r="D2" t="s">
        <v>168</v>
      </c>
      <c r="E2" t="s">
        <v>169</v>
      </c>
      <c r="J2" t="s">
        <v>170</v>
      </c>
      <c r="R2" t="s">
        <v>171</v>
      </c>
      <c r="S2">
        <v>197</v>
      </c>
      <c r="V2" t="s">
        <v>90</v>
      </c>
      <c r="W2">
        <v>150</v>
      </c>
      <c r="AL2" t="s">
        <v>121</v>
      </c>
      <c r="AM2">
        <v>272</v>
      </c>
      <c r="BV2" t="s">
        <v>54</v>
      </c>
      <c r="BW2">
        <v>230</v>
      </c>
      <c r="BZ2">
        <v>14488</v>
      </c>
      <c r="CA2">
        <v>14488</v>
      </c>
      <c r="CB2" s="56">
        <v>0</v>
      </c>
      <c r="CC2">
        <v>0</v>
      </c>
      <c r="CH2">
        <v>14488</v>
      </c>
      <c r="CM2">
        <v>14488</v>
      </c>
      <c r="CO2">
        <v>14488</v>
      </c>
      <c r="CP2" s="56">
        <v>0.18</v>
      </c>
      <c r="CQ2">
        <v>2607.84</v>
      </c>
      <c r="CR2">
        <v>17095.84</v>
      </c>
      <c r="CS2">
        <v>3100</v>
      </c>
      <c r="CT2" t="s">
        <v>172</v>
      </c>
      <c r="CU2" s="57">
        <v>52997104</v>
      </c>
      <c r="CV2" t="s">
        <v>173</v>
      </c>
      <c r="CW2" t="s">
        <v>174</v>
      </c>
      <c r="CX2">
        <v>500</v>
      </c>
    </row>
    <row r="3" spans="1:103" x14ac:dyDescent="0.25">
      <c r="A3" s="2"/>
      <c r="B3" s="51"/>
      <c r="C3" s="2"/>
      <c r="D3" s="2"/>
      <c r="E3" s="2"/>
      <c r="F3" s="10"/>
      <c r="G3" s="10"/>
      <c r="H3" s="10"/>
      <c r="I3" s="10"/>
      <c r="J3" s="10"/>
      <c r="K3" s="10"/>
      <c r="L3" s="10"/>
      <c r="M3" s="10"/>
      <c r="N3" s="10"/>
      <c r="O3" s="10"/>
      <c r="P3" s="10"/>
      <c r="Q3" s="10"/>
      <c r="R3" s="10"/>
      <c r="S3" s="10"/>
      <c r="T3" s="10"/>
      <c r="U3" s="10"/>
      <c r="V3" s="10"/>
      <c r="W3" s="10"/>
      <c r="X3" s="10"/>
      <c r="Y3" s="10"/>
      <c r="Z3" s="10"/>
      <c r="AA3" s="10"/>
      <c r="AB3" s="10"/>
      <c r="AC3" s="10"/>
      <c r="AD3" s="10"/>
      <c r="AE3" s="10"/>
      <c r="AF3" s="10"/>
      <c r="AG3" s="10"/>
      <c r="AH3" s="24"/>
      <c r="AI3" s="10"/>
      <c r="AJ3" s="10"/>
      <c r="AK3" s="10"/>
      <c r="AL3" s="24"/>
      <c r="AM3" s="10"/>
      <c r="AN3" s="10"/>
      <c r="AO3" s="10"/>
      <c r="AP3" s="10"/>
      <c r="AQ3" s="10"/>
      <c r="AR3" s="10"/>
      <c r="AS3" s="10"/>
      <c r="AT3" s="10"/>
      <c r="AU3" s="10"/>
      <c r="AV3" s="10"/>
      <c r="AW3" s="10"/>
      <c r="AX3" s="10"/>
      <c r="AY3" s="10"/>
      <c r="AZ3" s="10"/>
      <c r="BA3" s="10"/>
      <c r="BB3" s="10"/>
      <c r="BC3" s="10"/>
      <c r="BD3" s="10"/>
      <c r="BE3" s="10"/>
      <c r="BF3" s="10"/>
      <c r="BG3" s="10"/>
      <c r="BH3" s="10"/>
      <c r="BI3" s="10"/>
      <c r="BJ3" s="10"/>
      <c r="BK3" s="10"/>
      <c r="BL3" s="10"/>
      <c r="BM3" s="10"/>
      <c r="BN3" s="10"/>
      <c r="BO3" s="10"/>
      <c r="BP3" s="10"/>
      <c r="BQ3" s="10"/>
      <c r="BR3" s="10"/>
      <c r="BS3" s="10"/>
      <c r="BT3" s="10"/>
      <c r="BU3" s="10"/>
      <c r="BV3" s="10"/>
      <c r="BW3" s="10"/>
      <c r="BX3" s="10"/>
      <c r="BY3" s="10"/>
      <c r="BZ3" s="10"/>
      <c r="CA3" s="10"/>
      <c r="CB3" s="11"/>
      <c r="CC3" s="10"/>
      <c r="CD3" s="11"/>
      <c r="CE3" s="10"/>
      <c r="CF3" s="11"/>
      <c r="CG3" s="10"/>
      <c r="CH3" s="10"/>
      <c r="CI3" s="11"/>
      <c r="CJ3" s="10"/>
      <c r="CK3" s="11"/>
      <c r="CL3" s="10"/>
      <c r="CM3" s="10"/>
      <c r="CN3" s="10"/>
      <c r="CO3" s="10"/>
      <c r="CP3" s="11"/>
      <c r="CQ3" s="10"/>
      <c r="CR3" s="10"/>
      <c r="CS3" s="10"/>
      <c r="CT3" s="10"/>
      <c r="CU3" s="12"/>
    </row>
    <row r="4" spans="1:103" x14ac:dyDescent="0.25">
      <c r="A4" s="2"/>
      <c r="B4" s="51"/>
      <c r="C4" s="2"/>
      <c r="D4" s="2"/>
      <c r="E4" s="2"/>
      <c r="F4" s="10"/>
      <c r="G4" s="10"/>
      <c r="H4" s="10"/>
      <c r="I4" s="10"/>
      <c r="J4" s="10"/>
      <c r="K4" s="10"/>
      <c r="L4" s="10"/>
      <c r="M4" s="10"/>
      <c r="N4" s="10"/>
      <c r="O4" s="10"/>
      <c r="P4" s="10"/>
      <c r="Q4" s="10"/>
      <c r="R4" s="10"/>
      <c r="S4" s="10"/>
      <c r="T4" s="10"/>
      <c r="U4" s="10"/>
      <c r="V4" s="10"/>
      <c r="W4" s="10"/>
      <c r="X4" s="10"/>
      <c r="Y4" s="10"/>
      <c r="Z4" s="10"/>
      <c r="AA4" s="10"/>
      <c r="AB4" s="10"/>
      <c r="AC4" s="10"/>
      <c r="AD4" s="10"/>
      <c r="AE4" s="10"/>
      <c r="AF4" s="10"/>
      <c r="AG4" s="10"/>
      <c r="AH4" s="24"/>
      <c r="AI4" s="10"/>
      <c r="AJ4" s="10"/>
      <c r="AK4" s="10"/>
      <c r="AL4" s="24"/>
      <c r="AM4" s="10"/>
      <c r="AN4" s="10"/>
      <c r="AO4" s="10"/>
      <c r="AP4" s="10"/>
      <c r="AQ4" s="10"/>
      <c r="AR4" s="10"/>
      <c r="AS4" s="10"/>
      <c r="AT4" s="10"/>
      <c r="AU4" s="10"/>
      <c r="AV4" s="10"/>
      <c r="AW4" s="10"/>
      <c r="AX4" s="10"/>
      <c r="AY4" s="10"/>
      <c r="AZ4" s="10"/>
      <c r="BA4" s="10"/>
      <c r="BB4" s="10"/>
      <c r="BC4" s="10"/>
      <c r="BD4" s="10"/>
      <c r="BE4" s="10"/>
      <c r="BF4" s="10"/>
      <c r="BG4" s="10"/>
      <c r="BH4" s="10"/>
      <c r="BI4" s="10"/>
      <c r="BJ4" s="10"/>
      <c r="BK4" s="10"/>
      <c r="BL4" s="10"/>
      <c r="BM4" s="10"/>
      <c r="BN4" s="10"/>
      <c r="BO4" s="10"/>
      <c r="BP4" s="10"/>
      <c r="BQ4" s="10"/>
      <c r="BR4" s="10"/>
      <c r="BS4" s="10"/>
      <c r="BT4" s="10"/>
      <c r="BU4" s="10"/>
      <c r="BV4" s="10"/>
      <c r="BW4" s="10"/>
      <c r="BX4" s="10"/>
      <c r="BY4" s="10"/>
      <c r="BZ4" s="10"/>
      <c r="CA4" s="10"/>
      <c r="CB4" s="11"/>
      <c r="CC4" s="10"/>
      <c r="CD4" s="11"/>
      <c r="CE4" s="10"/>
      <c r="CF4" s="11"/>
      <c r="CG4" s="10"/>
      <c r="CH4" s="10"/>
      <c r="CI4" s="11"/>
      <c r="CJ4" s="10"/>
      <c r="CK4" s="11"/>
      <c r="CL4" s="10"/>
      <c r="CM4" s="10"/>
      <c r="CN4" s="10"/>
      <c r="CO4" s="10"/>
      <c r="CP4" s="11"/>
      <c r="CQ4" s="10"/>
      <c r="CR4" s="10"/>
      <c r="CS4" s="10"/>
      <c r="CT4" s="10"/>
      <c r="CU4" s="12"/>
    </row>
    <row r="5" spans="1:103" x14ac:dyDescent="0.25">
      <c r="A5" s="2"/>
      <c r="B5" s="2"/>
      <c r="C5" s="2"/>
      <c r="D5" s="2"/>
      <c r="E5" s="2"/>
      <c r="F5" s="10"/>
      <c r="G5" s="10"/>
      <c r="H5" s="10"/>
      <c r="I5" s="10"/>
      <c r="J5" s="10"/>
      <c r="K5" s="10"/>
      <c r="L5" s="10"/>
      <c r="M5" s="10"/>
      <c r="N5" s="10"/>
      <c r="O5" s="10"/>
      <c r="P5" s="10"/>
      <c r="Q5" s="10"/>
      <c r="R5" s="10"/>
      <c r="S5" s="10"/>
      <c r="T5" s="10"/>
      <c r="U5" s="10"/>
      <c r="V5" s="10"/>
      <c r="W5" s="10"/>
      <c r="X5" s="10"/>
      <c r="Y5" s="10"/>
      <c r="Z5" s="10"/>
      <c r="AA5" s="10"/>
      <c r="AB5" s="10"/>
      <c r="AC5" s="10"/>
      <c r="AD5" s="10"/>
      <c r="AE5" s="10"/>
      <c r="AF5" s="10"/>
      <c r="AG5" s="10"/>
      <c r="AH5" s="24"/>
      <c r="AI5" s="10"/>
      <c r="AJ5" s="10"/>
      <c r="AK5" s="10"/>
      <c r="AL5" s="24"/>
      <c r="AM5" s="10"/>
      <c r="AN5" s="10"/>
      <c r="AO5" s="10"/>
      <c r="AP5" s="10"/>
      <c r="AQ5" s="10"/>
      <c r="AR5" s="10"/>
      <c r="AS5" s="10"/>
      <c r="AT5" s="10"/>
      <c r="AU5" s="10"/>
      <c r="AV5" s="10"/>
      <c r="AW5" s="10"/>
      <c r="AX5" s="10"/>
      <c r="AY5" s="10"/>
      <c r="AZ5" s="10"/>
      <c r="BA5" s="10"/>
      <c r="BB5" s="10"/>
      <c r="BC5" s="10"/>
      <c r="BD5" s="10"/>
      <c r="BE5" s="10"/>
      <c r="BF5" s="10"/>
      <c r="BG5" s="10"/>
      <c r="BH5" s="10"/>
      <c r="BI5" s="10"/>
      <c r="BJ5" s="10"/>
      <c r="BK5" s="10"/>
      <c r="BL5" s="10"/>
      <c r="BM5" s="10"/>
      <c r="BN5" s="10"/>
      <c r="BO5" s="10"/>
      <c r="BP5" s="10"/>
      <c r="BQ5" s="10"/>
      <c r="BR5" s="10"/>
      <c r="BS5" s="10"/>
      <c r="BT5" s="10"/>
      <c r="BU5" s="10"/>
      <c r="BV5" s="10"/>
      <c r="BW5" s="10"/>
      <c r="BX5" s="10"/>
      <c r="BY5" s="10"/>
      <c r="BZ5" s="10"/>
      <c r="CA5" s="10"/>
      <c r="CB5" s="11"/>
      <c r="CC5" s="10"/>
      <c r="CD5" s="11"/>
      <c r="CE5" s="10"/>
      <c r="CF5" s="11"/>
      <c r="CG5" s="10"/>
      <c r="CH5" s="10"/>
      <c r="CI5" s="11"/>
      <c r="CJ5" s="10"/>
      <c r="CK5" s="11"/>
      <c r="CL5" s="10"/>
      <c r="CM5" s="10"/>
      <c r="CN5" s="10"/>
      <c r="CO5" s="10"/>
      <c r="CP5" s="11"/>
      <c r="CQ5" s="10"/>
      <c r="CR5" s="10"/>
      <c r="CS5" s="10"/>
      <c r="CT5" s="10"/>
      <c r="CU5" s="12"/>
    </row>
    <row r="6" spans="1:103" x14ac:dyDescent="0.25">
      <c r="A6" s="2"/>
      <c r="B6" s="2"/>
      <c r="C6" s="2"/>
      <c r="D6" s="2"/>
      <c r="E6" s="2"/>
      <c r="F6" s="10"/>
      <c r="G6" s="10"/>
      <c r="H6" s="10"/>
      <c r="I6" s="10"/>
      <c r="J6" s="10"/>
      <c r="K6" s="10"/>
      <c r="L6" s="10"/>
      <c r="M6" s="10"/>
      <c r="N6" s="10"/>
      <c r="O6" s="10"/>
      <c r="P6" s="10"/>
      <c r="Q6" s="10"/>
      <c r="R6" s="10"/>
      <c r="S6" s="10"/>
      <c r="T6" s="10"/>
      <c r="U6" s="10"/>
      <c r="V6" s="10"/>
      <c r="W6" s="10"/>
      <c r="X6" s="10"/>
      <c r="Y6" s="10"/>
      <c r="Z6" s="10"/>
      <c r="AA6" s="10"/>
      <c r="AB6" s="10"/>
      <c r="AC6" s="10"/>
      <c r="AD6" s="10"/>
      <c r="AE6" s="10"/>
      <c r="AF6" s="10"/>
      <c r="AG6" s="10"/>
      <c r="AH6" s="24"/>
      <c r="AI6" s="10"/>
      <c r="AJ6" s="10"/>
      <c r="AK6" s="10"/>
      <c r="AL6" s="24"/>
      <c r="AM6" s="10"/>
      <c r="AN6" s="10"/>
      <c r="AO6" s="10"/>
      <c r="AP6" s="10"/>
      <c r="AQ6" s="10"/>
      <c r="AR6" s="10"/>
      <c r="AS6" s="10"/>
      <c r="AT6" s="10"/>
      <c r="AU6" s="10"/>
      <c r="AV6" s="10"/>
      <c r="AW6" s="10"/>
      <c r="AX6" s="10"/>
      <c r="AY6" s="10"/>
      <c r="AZ6" s="10"/>
      <c r="BA6" s="10"/>
      <c r="BB6" s="10"/>
      <c r="BC6" s="10"/>
      <c r="BD6" s="10"/>
      <c r="BE6" s="10"/>
      <c r="BF6" s="10"/>
      <c r="BG6" s="10"/>
      <c r="BH6" s="10"/>
      <c r="BI6" s="10"/>
      <c r="BJ6" s="10"/>
      <c r="BK6" s="10"/>
      <c r="BL6" s="10"/>
      <c r="BM6" s="10"/>
      <c r="BN6" s="10"/>
      <c r="BO6" s="10"/>
      <c r="BP6" s="10"/>
      <c r="BQ6" s="10"/>
      <c r="BR6" s="10"/>
      <c r="BS6" s="10"/>
      <c r="BT6" s="10"/>
      <c r="BU6" s="10"/>
      <c r="BV6" s="10"/>
      <c r="BW6" s="10"/>
      <c r="BX6" s="10"/>
      <c r="BY6" s="10"/>
      <c r="BZ6" s="10"/>
      <c r="CA6" s="10"/>
      <c r="CB6" s="11"/>
      <c r="CC6" s="10"/>
      <c r="CD6" s="11"/>
      <c r="CE6" s="10"/>
      <c r="CF6" s="11"/>
      <c r="CG6" s="10"/>
      <c r="CH6" s="10"/>
      <c r="CI6" s="11"/>
      <c r="CJ6" s="10"/>
      <c r="CK6" s="11"/>
      <c r="CL6" s="10"/>
      <c r="CM6" s="10"/>
      <c r="CN6" s="10"/>
      <c r="CO6" s="10"/>
      <c r="CP6" s="11"/>
      <c r="CQ6" s="10"/>
      <c r="CR6" s="10"/>
      <c r="CS6" s="10"/>
      <c r="CT6" s="10"/>
      <c r="CU6" s="12"/>
    </row>
    <row r="7" spans="1:103" x14ac:dyDescent="0.25">
      <c r="A7" s="2"/>
      <c r="B7" s="2"/>
      <c r="C7" s="2"/>
      <c r="D7" s="2"/>
      <c r="E7" s="2"/>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24"/>
      <c r="AI7" s="10"/>
      <c r="AJ7" s="10"/>
      <c r="AK7" s="10"/>
      <c r="AL7" s="24"/>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1"/>
      <c r="CC7" s="10"/>
      <c r="CD7" s="11"/>
      <c r="CE7" s="10"/>
      <c r="CF7" s="11"/>
      <c r="CG7" s="10"/>
      <c r="CH7" s="10"/>
      <c r="CI7" s="11"/>
      <c r="CJ7" s="10"/>
      <c r="CK7" s="11"/>
      <c r="CL7" s="10"/>
      <c r="CM7" s="10"/>
      <c r="CN7" s="10"/>
      <c r="CO7" s="10"/>
      <c r="CP7" s="11"/>
      <c r="CQ7" s="10"/>
      <c r="CR7" s="10"/>
      <c r="CS7" s="10"/>
      <c r="CT7" s="10"/>
      <c r="CU7" s="12"/>
    </row>
    <row r="8" spans="1:103" x14ac:dyDescent="0.25">
      <c r="A8" s="2"/>
      <c r="B8" s="2"/>
      <c r="C8" s="2"/>
      <c r="D8" s="2"/>
      <c r="E8" s="2"/>
      <c r="F8" s="10"/>
      <c r="G8" s="10"/>
      <c r="H8" s="10"/>
      <c r="I8" s="10"/>
      <c r="J8" s="10"/>
      <c r="K8" s="10"/>
      <c r="L8" s="10"/>
      <c r="M8" s="10"/>
      <c r="N8" s="10"/>
      <c r="O8" s="10"/>
      <c r="P8" s="10"/>
      <c r="Q8" s="10"/>
      <c r="R8" s="10"/>
      <c r="S8" s="10"/>
      <c r="T8" s="10"/>
      <c r="U8" s="10"/>
      <c r="V8" s="10"/>
      <c r="W8" s="10"/>
      <c r="X8" s="10"/>
      <c r="Y8" s="10"/>
      <c r="Z8" s="10"/>
      <c r="AA8" s="10"/>
      <c r="AB8" s="10"/>
      <c r="AC8" s="10"/>
      <c r="AD8" s="10"/>
      <c r="AE8" s="10"/>
      <c r="AF8" s="10"/>
      <c r="AG8" s="10"/>
      <c r="AH8" s="24"/>
      <c r="AI8" s="10"/>
      <c r="AJ8" s="10"/>
      <c r="AK8" s="10"/>
      <c r="AL8" s="24"/>
      <c r="AM8" s="10"/>
      <c r="AN8" s="10"/>
      <c r="AO8" s="10"/>
      <c r="AP8" s="10"/>
      <c r="AQ8" s="10"/>
      <c r="AR8" s="10"/>
      <c r="AS8" s="10"/>
      <c r="AT8" s="10"/>
      <c r="AU8" s="10"/>
      <c r="AV8" s="10"/>
      <c r="AW8" s="10"/>
      <c r="AX8" s="10"/>
      <c r="AY8" s="10"/>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1"/>
      <c r="CC8" s="10"/>
      <c r="CD8" s="11"/>
      <c r="CE8" s="10"/>
      <c r="CF8" s="11"/>
      <c r="CG8" s="10"/>
      <c r="CH8" s="10"/>
      <c r="CI8" s="11"/>
      <c r="CJ8" s="10"/>
      <c r="CK8" s="11"/>
      <c r="CL8" s="10"/>
      <c r="CM8" s="10"/>
      <c r="CN8" s="10"/>
      <c r="CO8" s="10"/>
      <c r="CP8" s="11"/>
      <c r="CQ8" s="10"/>
      <c r="CR8" s="10"/>
      <c r="CS8" s="10"/>
      <c r="CT8" s="10"/>
      <c r="CU8" s="12"/>
    </row>
    <row r="9" spans="1:103" x14ac:dyDescent="0.25">
      <c r="A9" s="2"/>
      <c r="B9" s="2"/>
      <c r="C9" s="2"/>
      <c r="D9" s="2"/>
      <c r="E9" s="2"/>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H9" s="24"/>
      <c r="AI9" s="10"/>
      <c r="AJ9" s="10"/>
      <c r="AK9" s="10"/>
      <c r="AL9" s="24"/>
      <c r="AM9" s="10"/>
      <c r="AN9" s="10"/>
      <c r="AO9" s="10"/>
      <c r="AP9" s="10"/>
      <c r="AQ9" s="10"/>
      <c r="AR9" s="10"/>
      <c r="AS9" s="10"/>
      <c r="AT9" s="10"/>
      <c r="AU9" s="10"/>
      <c r="AV9" s="10"/>
      <c r="AW9" s="10"/>
      <c r="AX9" s="10"/>
      <c r="AY9" s="10"/>
      <c r="AZ9" s="10"/>
      <c r="BA9" s="10"/>
      <c r="BB9" s="10"/>
      <c r="BC9" s="10"/>
      <c r="BD9" s="10"/>
      <c r="BE9" s="10"/>
      <c r="BF9" s="10"/>
      <c r="BG9" s="10"/>
      <c r="BH9" s="10"/>
      <c r="BI9" s="10"/>
      <c r="BJ9" s="10"/>
      <c r="BK9" s="10"/>
      <c r="BL9" s="10"/>
      <c r="BM9" s="10"/>
      <c r="BN9" s="10"/>
      <c r="BO9" s="10"/>
      <c r="BP9" s="10"/>
      <c r="BQ9" s="10"/>
      <c r="BR9" s="10"/>
      <c r="BS9" s="10"/>
      <c r="BT9" s="10"/>
      <c r="BU9" s="10"/>
      <c r="BV9" s="10"/>
      <c r="BW9" s="10"/>
      <c r="BX9" s="10"/>
      <c r="BY9" s="10"/>
      <c r="BZ9" s="10"/>
      <c r="CA9" s="10"/>
      <c r="CB9" s="11"/>
      <c r="CC9" s="10"/>
      <c r="CD9" s="11"/>
      <c r="CE9" s="10"/>
      <c r="CF9" s="11"/>
      <c r="CG9" s="10"/>
      <c r="CH9" s="10"/>
      <c r="CI9" s="11"/>
      <c r="CJ9" s="10"/>
      <c r="CK9" s="11"/>
      <c r="CL9" s="10"/>
      <c r="CM9" s="10"/>
      <c r="CN9" s="10"/>
      <c r="CO9" s="10"/>
      <c r="CP9" s="11"/>
      <c r="CQ9" s="10"/>
      <c r="CR9" s="10"/>
      <c r="CS9" s="10"/>
      <c r="CT9" s="10"/>
      <c r="CU9" s="12"/>
    </row>
    <row r="10" spans="1:103" x14ac:dyDescent="0.25">
      <c r="A10" s="2"/>
      <c r="B10" s="2"/>
      <c r="C10" s="2"/>
      <c r="D10" s="2"/>
      <c r="E10" s="2"/>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0"/>
      <c r="AG10" s="10"/>
      <c r="AH10" s="24"/>
      <c r="AI10" s="10"/>
      <c r="AJ10" s="10"/>
      <c r="AK10" s="10"/>
      <c r="AL10" s="24"/>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1"/>
      <c r="CC10" s="10"/>
      <c r="CD10" s="11"/>
      <c r="CE10" s="10"/>
      <c r="CF10" s="11"/>
      <c r="CG10" s="10"/>
      <c r="CH10" s="10"/>
      <c r="CI10" s="11"/>
      <c r="CJ10" s="10"/>
      <c r="CK10" s="11"/>
      <c r="CL10" s="10"/>
      <c r="CM10" s="10"/>
      <c r="CN10" s="10"/>
      <c r="CO10" s="10"/>
      <c r="CP10" s="11"/>
      <c r="CQ10" s="10"/>
      <c r="CR10" s="10"/>
      <c r="CS10" s="10"/>
      <c r="CT10" s="10"/>
      <c r="CU10" s="12"/>
    </row>
    <row r="11" spans="1:103" x14ac:dyDescent="0.2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0"/>
      <c r="AQ11" s="10"/>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6"/>
      <c r="CC11" s="1"/>
      <c r="CD11" s="16"/>
      <c r="CE11" s="1"/>
      <c r="CF11" s="16"/>
      <c r="CG11" s="1"/>
      <c r="CH11" s="1"/>
      <c r="CI11" s="16"/>
      <c r="CJ11" s="1"/>
      <c r="CK11" s="16"/>
      <c r="CL11" s="1"/>
      <c r="CM11" s="3"/>
      <c r="CN11" s="1"/>
      <c r="CO11" s="1"/>
      <c r="CP11" s="16"/>
      <c r="CQ11" s="1"/>
      <c r="CR11" s="1"/>
      <c r="CS11" s="1"/>
      <c r="CT11" s="1"/>
      <c r="CU11" s="17"/>
    </row>
    <row r="12" spans="1:103" x14ac:dyDescent="0.2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0"/>
      <c r="AE12" s="10"/>
      <c r="AF12" s="10"/>
      <c r="AG12" s="10"/>
      <c r="AH12" s="1"/>
      <c r="AI12" s="1"/>
      <c r="AJ12" s="1"/>
      <c r="AK12" s="1"/>
      <c r="AL12" s="1"/>
      <c r="AM12" s="1"/>
      <c r="AN12" s="1"/>
      <c r="AO12" s="1"/>
      <c r="AP12" s="10"/>
      <c r="AQ12" s="10"/>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6"/>
      <c r="CC12" s="1"/>
      <c r="CD12" s="16"/>
      <c r="CE12" s="1"/>
      <c r="CF12" s="16"/>
      <c r="CG12" s="1"/>
      <c r="CH12" s="1"/>
      <c r="CI12" s="16"/>
      <c r="CJ12" s="1"/>
      <c r="CK12" s="16"/>
      <c r="CL12" s="1"/>
      <c r="CM12" s="3"/>
      <c r="CN12" s="1"/>
      <c r="CO12" s="1"/>
      <c r="CP12" s="16"/>
      <c r="CQ12" s="1"/>
      <c r="CR12" s="1"/>
      <c r="CS12" s="1"/>
      <c r="CT12" s="1"/>
      <c r="CU12" s="17"/>
    </row>
    <row r="13" spans="1:103" x14ac:dyDescent="0.2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0"/>
      <c r="AE13" s="10"/>
      <c r="AF13" s="10"/>
      <c r="AG13" s="10"/>
      <c r="AH13" s="1"/>
      <c r="AI13" s="1"/>
      <c r="AJ13" s="1"/>
      <c r="AK13" s="1"/>
      <c r="AL13" s="1"/>
      <c r="AM13" s="1"/>
      <c r="AN13" s="1"/>
      <c r="AO13" s="1"/>
      <c r="AP13" s="10"/>
      <c r="AQ13" s="10"/>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6"/>
      <c r="CC13" s="1"/>
      <c r="CD13" s="16"/>
      <c r="CE13" s="1"/>
      <c r="CF13" s="16"/>
      <c r="CG13" s="1"/>
      <c r="CH13" s="1"/>
      <c r="CI13" s="16"/>
      <c r="CJ13" s="1"/>
      <c r="CK13" s="16"/>
      <c r="CL13" s="1"/>
      <c r="CM13" s="3"/>
      <c r="CN13" s="1"/>
      <c r="CO13" s="1"/>
      <c r="CP13" s="16"/>
      <c r="CQ13" s="1"/>
      <c r="CR13" s="1"/>
      <c r="CS13" s="1"/>
      <c r="CT13" s="1"/>
      <c r="CU13" s="17"/>
    </row>
    <row r="14" spans="1:103" x14ac:dyDescent="0.2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24"/>
      <c r="AE14" s="1"/>
      <c r="AF14" s="1"/>
      <c r="AG14" s="1"/>
      <c r="AH14" s="1"/>
      <c r="AI14" s="1"/>
      <c r="AJ14" s="1"/>
      <c r="AK14" s="1"/>
      <c r="AL14" s="1"/>
      <c r="AM14" s="1"/>
      <c r="AN14" s="1"/>
      <c r="AO14" s="1"/>
      <c r="AP14" s="10"/>
      <c r="AQ14" s="10"/>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6"/>
      <c r="CC14" s="1"/>
      <c r="CD14" s="16"/>
      <c r="CE14" s="1"/>
      <c r="CF14" s="16"/>
      <c r="CG14" s="1"/>
      <c r="CH14" s="1"/>
      <c r="CI14" s="16"/>
      <c r="CJ14" s="1"/>
      <c r="CK14" s="16"/>
      <c r="CL14" s="1"/>
      <c r="CM14" s="3"/>
      <c r="CN14" s="1"/>
      <c r="CO14" s="1"/>
      <c r="CP14" s="16"/>
      <c r="CQ14" s="1"/>
      <c r="CR14" s="1"/>
      <c r="CS14" s="1"/>
      <c r="CT14" s="1"/>
      <c r="CU14" s="17"/>
    </row>
    <row r="15" spans="1:103" x14ac:dyDescent="0.2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0"/>
      <c r="AQ15" s="10"/>
      <c r="AR15" s="1"/>
      <c r="AS15" s="1"/>
      <c r="AT15" s="1"/>
      <c r="AU15" s="1"/>
      <c r="AV15" s="1"/>
      <c r="AW15" s="1"/>
      <c r="AX15" s="1"/>
      <c r="AY15" s="1"/>
      <c r="AZ15" s="1"/>
      <c r="BA15" s="1"/>
      <c r="BB15" s="1"/>
      <c r="BC15" s="1"/>
      <c r="BD15" s="1"/>
      <c r="BE15" s="1"/>
      <c r="BF15" s="1"/>
      <c r="BG15" s="1"/>
      <c r="BH15" s="1"/>
      <c r="BI15" s="1"/>
      <c r="BJ15" s="1"/>
      <c r="BK15" s="1"/>
      <c r="BL15" s="1"/>
      <c r="BM15" s="1"/>
      <c r="BN15" s="1"/>
      <c r="BO15" s="1"/>
      <c r="BP15" s="1"/>
      <c r="BQ15" s="1"/>
      <c r="BR15" s="1"/>
      <c r="BS15" s="1"/>
      <c r="BT15" s="1"/>
      <c r="BU15" s="1"/>
      <c r="BV15" s="1"/>
      <c r="BW15" s="1"/>
      <c r="BX15" s="1"/>
      <c r="BY15" s="1"/>
      <c r="BZ15" s="1"/>
      <c r="CA15" s="1"/>
      <c r="CB15" s="16"/>
      <c r="CC15" s="1"/>
      <c r="CD15" s="16"/>
      <c r="CE15" s="1"/>
      <c r="CF15" s="16"/>
      <c r="CG15" s="1"/>
      <c r="CH15" s="1"/>
      <c r="CI15" s="16"/>
      <c r="CJ15" s="1"/>
      <c r="CK15" s="16"/>
      <c r="CL15" s="1"/>
      <c r="CM15" s="3"/>
      <c r="CN15" s="1"/>
      <c r="CO15" s="1"/>
      <c r="CP15" s="16"/>
      <c r="CQ15" s="1"/>
      <c r="CR15" s="1"/>
      <c r="CS15" s="1"/>
      <c r="CT15" s="1"/>
      <c r="CU15" s="17"/>
    </row>
    <row r="16" spans="1:103" x14ac:dyDescent="0.2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0"/>
      <c r="AQ16" s="10"/>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6"/>
      <c r="CC16" s="1"/>
      <c r="CD16" s="16"/>
      <c r="CE16" s="1"/>
      <c r="CF16" s="16"/>
      <c r="CG16" s="1"/>
      <c r="CH16" s="1"/>
      <c r="CI16" s="16"/>
      <c r="CJ16" s="1"/>
      <c r="CK16" s="16"/>
      <c r="CL16" s="1"/>
      <c r="CM16" s="3"/>
      <c r="CN16" s="1"/>
      <c r="CO16" s="1"/>
      <c r="CP16" s="16"/>
      <c r="CQ16" s="1"/>
      <c r="CR16" s="1"/>
      <c r="CS16" s="1"/>
      <c r="CT16" s="1"/>
      <c r="CU16" s="17"/>
    </row>
    <row r="17" spans="1:99" x14ac:dyDescent="0.2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0"/>
      <c r="AQ17" s="10"/>
      <c r="AR17" s="1"/>
      <c r="AS17" s="1"/>
      <c r="AT17" s="1"/>
      <c r="AU17" s="1"/>
      <c r="AV17" s="1"/>
      <c r="AW17" s="1"/>
      <c r="AX17" s="1"/>
      <c r="AY17" s="1"/>
      <c r="AZ17" s="1"/>
      <c r="BA17" s="1"/>
      <c r="BB17" s="1"/>
      <c r="BC17" s="1"/>
      <c r="BD17" s="1"/>
      <c r="BE17" s="1"/>
      <c r="BF17" s="1"/>
      <c r="BG17" s="1"/>
      <c r="BH17" s="1"/>
      <c r="BI17" s="1"/>
      <c r="BJ17" s="1"/>
      <c r="BK17" s="1"/>
      <c r="BL17" s="1"/>
      <c r="BM17" s="1"/>
      <c r="BN17" s="1"/>
      <c r="BO17" s="1"/>
      <c r="BP17" s="1"/>
      <c r="BQ17" s="1"/>
      <c r="BR17" s="1"/>
      <c r="BS17" s="1"/>
      <c r="BT17" s="1"/>
      <c r="BU17" s="1"/>
      <c r="BV17" s="1"/>
      <c r="BW17" s="1"/>
      <c r="BX17" s="1"/>
      <c r="BY17" s="1"/>
      <c r="BZ17" s="1"/>
      <c r="CA17" s="1"/>
      <c r="CB17" s="16"/>
      <c r="CC17" s="1"/>
      <c r="CD17" s="16"/>
      <c r="CE17" s="1"/>
      <c r="CF17" s="16"/>
      <c r="CG17" s="1"/>
      <c r="CH17" s="1"/>
      <c r="CI17" s="16"/>
      <c r="CJ17" s="1"/>
      <c r="CK17" s="16"/>
      <c r="CL17" s="1"/>
      <c r="CM17" s="3"/>
      <c r="CN17" s="1"/>
      <c r="CO17" s="1"/>
      <c r="CP17" s="16"/>
      <c r="CQ17" s="1"/>
      <c r="CR17" s="1"/>
      <c r="CS17" s="1"/>
      <c r="CT17" s="1"/>
      <c r="CU17" s="17"/>
    </row>
    <row r="18" spans="1:99" x14ac:dyDescent="0.2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0"/>
      <c r="AQ18" s="10"/>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6"/>
      <c r="CC18" s="1"/>
      <c r="CD18" s="16"/>
      <c r="CE18" s="1"/>
      <c r="CF18" s="16"/>
      <c r="CG18" s="1"/>
      <c r="CH18" s="1"/>
      <c r="CI18" s="16"/>
      <c r="CJ18" s="1"/>
      <c r="CK18" s="16"/>
      <c r="CL18" s="1"/>
      <c r="CM18" s="3"/>
      <c r="CN18" s="1"/>
      <c r="CO18" s="1"/>
      <c r="CP18" s="16"/>
      <c r="CQ18" s="1"/>
      <c r="CR18" s="1"/>
      <c r="CS18" s="1"/>
      <c r="CT18" s="1"/>
      <c r="CU18" s="17"/>
    </row>
    <row r="19" spans="1:99" x14ac:dyDescent="0.2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1"/>
      <c r="BK19" s="1"/>
      <c r="BL19" s="1"/>
      <c r="BM19" s="1"/>
      <c r="BN19" s="1"/>
      <c r="BO19" s="1"/>
      <c r="BP19" s="1"/>
      <c r="BQ19" s="1"/>
      <c r="BR19" s="1"/>
      <c r="BS19" s="1"/>
      <c r="BT19" s="1"/>
      <c r="BU19" s="1"/>
      <c r="BV19" s="1"/>
      <c r="BW19" s="1"/>
      <c r="BX19" s="1"/>
      <c r="BY19" s="1"/>
      <c r="BZ19" s="1"/>
      <c r="CA19" s="1"/>
      <c r="CB19" s="1"/>
      <c r="CC19" s="1"/>
      <c r="CD19" s="16"/>
      <c r="CE19" s="1"/>
      <c r="CF19" s="16"/>
      <c r="CG19" s="1"/>
      <c r="CH19" s="1"/>
      <c r="CI19" s="16"/>
      <c r="CJ19" s="1"/>
      <c r="CK19" s="16"/>
      <c r="CL19" s="1"/>
      <c r="CM19" s="3"/>
      <c r="CN19" s="1"/>
      <c r="CO19" s="1"/>
      <c r="CP19" s="16"/>
      <c r="CQ19" s="1"/>
      <c r="CR19" s="1"/>
      <c r="CS19" s="1"/>
      <c r="CT19" s="1"/>
      <c r="CU19" s="17"/>
    </row>
    <row r="20" spans="1:99" x14ac:dyDescent="0.2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6"/>
      <c r="CE20" s="1"/>
      <c r="CF20" s="16"/>
      <c r="CG20" s="1"/>
      <c r="CH20" s="1"/>
      <c r="CI20" s="16"/>
      <c r="CJ20" s="1"/>
      <c r="CK20" s="16"/>
      <c r="CL20" s="1"/>
      <c r="CM20" s="3"/>
      <c r="CN20" s="1"/>
      <c r="CO20" s="1"/>
      <c r="CP20" s="16"/>
      <c r="CQ20" s="1"/>
      <c r="CR20" s="1"/>
      <c r="CS20" s="1"/>
      <c r="CT20" s="1"/>
      <c r="CU20" s="17"/>
    </row>
  </sheetData>
  <autoFilter ref="A1:CU1" xr:uid="{00000000-0009-0000-0000-000000000000}"/>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23"/>
  <sheetViews>
    <sheetView tabSelected="1" topLeftCell="A16" workbookViewId="0">
      <selection activeCell="AC23" sqref="AC23"/>
    </sheetView>
  </sheetViews>
  <sheetFormatPr defaultRowHeight="15" x14ac:dyDescent="0.25"/>
  <cols>
    <col min="1" max="1" width="15.140625" bestFit="1" customWidth="1"/>
    <col min="2" max="2" width="10.42578125" bestFit="1" customWidth="1"/>
    <col min="3" max="3" width="10.28515625" bestFit="1" customWidth="1"/>
    <col min="4" max="4" width="29.5703125" customWidth="1"/>
    <col min="5" max="5" width="13.85546875" style="4" bestFit="1" customWidth="1"/>
    <col min="6" max="6" width="9.140625" customWidth="1"/>
    <col min="7" max="7" width="13.85546875" bestFit="1" customWidth="1"/>
    <col min="8" max="8" width="12.140625" style="8" bestFit="1" customWidth="1"/>
    <col min="9" max="9" width="12.28515625" bestFit="1" customWidth="1"/>
    <col min="10" max="10" width="13.85546875" bestFit="1" customWidth="1"/>
    <col min="13" max="13" width="15.28515625" bestFit="1" customWidth="1"/>
    <col min="14" max="14" width="7.85546875" style="30" customWidth="1"/>
    <col min="15" max="28" width="7.85546875" style="30" hidden="1" customWidth="1"/>
    <col min="29" max="29" width="7.85546875" style="30" customWidth="1"/>
    <col min="30" max="30" width="7.85546875" style="30" hidden="1" customWidth="1"/>
    <col min="31" max="31" width="7.85546875" style="30" customWidth="1"/>
    <col min="32" max="63" width="7.85546875" style="30" hidden="1" customWidth="1"/>
    <col min="64" max="64" width="7.85546875" style="30" customWidth="1"/>
    <col min="65" max="72" width="7.85546875" style="30" hidden="1" customWidth="1"/>
    <col min="73" max="74" width="7.85546875" style="30" customWidth="1"/>
    <col min="75" max="75" width="10.7109375" style="30" customWidth="1"/>
    <col min="76" max="77" width="11.28515625" style="30" customWidth="1"/>
    <col min="78" max="78" width="9.85546875" style="4" bestFit="1" customWidth="1"/>
    <col min="79" max="79" width="13.85546875" style="4" bestFit="1" customWidth="1"/>
    <col min="80" max="80" width="9.140625" style="28" hidden="1" customWidth="1"/>
    <col min="81" max="81" width="9.140625" style="4" hidden="1" customWidth="1"/>
    <col min="82" max="82" width="9.140625" style="14" customWidth="1"/>
    <col min="83" max="83" width="12" style="4" bestFit="1" customWidth="1"/>
    <col min="84" max="84" width="9.140625" style="8" customWidth="1"/>
    <col min="85" max="85" width="12.28515625" style="4" bestFit="1" customWidth="1"/>
    <col min="86" max="86" width="13.85546875" style="4" bestFit="1" customWidth="1"/>
    <col min="87" max="87" width="9.140625" style="8" customWidth="1"/>
    <col min="88" max="88" width="11.5703125" customWidth="1"/>
    <col min="89" max="89" width="9.140625" style="8" customWidth="1"/>
    <col min="90" max="90" width="9.140625" customWidth="1"/>
  </cols>
  <sheetData>
    <row r="1" spans="1:89" s="44" customFormat="1" ht="15.75" thickBot="1" x14ac:dyDescent="0.3"/>
    <row r="2" spans="1:89" s="44" customFormat="1" ht="23.25" thickBot="1" x14ac:dyDescent="0.5">
      <c r="A2" s="76" t="s">
        <v>139</v>
      </c>
      <c r="B2" s="77"/>
      <c r="C2" s="77"/>
      <c r="D2" s="77"/>
      <c r="E2" s="77"/>
      <c r="F2" s="77"/>
      <c r="G2" s="77"/>
      <c r="H2" s="77"/>
      <c r="I2" s="77"/>
      <c r="J2" s="77"/>
      <c r="K2" s="77"/>
      <c r="L2" s="77"/>
      <c r="M2" s="77"/>
      <c r="N2" s="77"/>
      <c r="O2" s="77"/>
      <c r="P2" s="77"/>
      <c r="Q2" s="77"/>
      <c r="R2" s="78"/>
      <c r="S2" s="47"/>
      <c r="T2" s="47"/>
    </row>
    <row r="3" spans="1:89" s="44" customFormat="1" ht="15.75" thickBot="1" x14ac:dyDescent="0.3">
      <c r="A3"/>
      <c r="B3"/>
      <c r="C3"/>
      <c r="D3"/>
      <c r="E3"/>
      <c r="F3"/>
      <c r="G3"/>
      <c r="H3"/>
      <c r="I3"/>
      <c r="J3"/>
      <c r="K3"/>
      <c r="L3"/>
      <c r="M3"/>
      <c r="N3"/>
      <c r="O3"/>
      <c r="P3"/>
      <c r="Q3"/>
      <c r="R3"/>
      <c r="S3"/>
    </row>
    <row r="4" spans="1:89" s="44" customFormat="1" ht="51.75" customHeight="1" thickBot="1" x14ac:dyDescent="0.3">
      <c r="A4" s="45" t="s">
        <v>125</v>
      </c>
      <c r="B4" s="68" t="s">
        <v>140</v>
      </c>
      <c r="C4" s="68"/>
      <c r="D4" s="68"/>
      <c r="E4" s="68"/>
      <c r="F4" s="68"/>
      <c r="G4" s="68"/>
      <c r="H4" s="68"/>
      <c r="I4" s="68"/>
      <c r="J4" s="68"/>
      <c r="K4" s="68"/>
      <c r="L4" s="68"/>
      <c r="M4" s="68"/>
      <c r="N4" s="68"/>
      <c r="O4" s="68"/>
      <c r="P4" s="68"/>
      <c r="Q4" s="68"/>
      <c r="R4" s="68"/>
      <c r="S4"/>
    </row>
    <row r="5" spans="1:89" s="44" customFormat="1" ht="34.5" customHeight="1" x14ac:dyDescent="0.25">
      <c r="A5" s="45" t="s">
        <v>126</v>
      </c>
      <c r="B5" s="68" t="s">
        <v>185</v>
      </c>
      <c r="C5" s="68"/>
      <c r="D5" s="68"/>
      <c r="E5" s="68"/>
      <c r="F5" s="68"/>
      <c r="G5" s="68"/>
      <c r="H5" s="68"/>
      <c r="I5" s="68"/>
      <c r="J5" s="68"/>
      <c r="K5" s="68"/>
      <c r="L5" s="68"/>
      <c r="M5" s="68"/>
      <c r="N5" s="68"/>
      <c r="O5" s="68"/>
      <c r="P5" s="68"/>
      <c r="Q5" s="68"/>
      <c r="R5" s="68"/>
      <c r="S5"/>
    </row>
    <row r="6" spans="1:89" s="44" customFormat="1" ht="48" customHeight="1" x14ac:dyDescent="0.25">
      <c r="A6" s="46" t="s">
        <v>127</v>
      </c>
      <c r="B6" s="69" t="s">
        <v>146</v>
      </c>
      <c r="C6" s="68"/>
      <c r="D6" s="68"/>
      <c r="E6" s="68"/>
      <c r="F6" s="68"/>
      <c r="G6" s="68"/>
      <c r="H6" s="68"/>
      <c r="I6" s="68"/>
      <c r="J6" s="68"/>
      <c r="K6" s="68"/>
      <c r="L6" s="68"/>
      <c r="M6" s="68"/>
      <c r="N6" s="68"/>
      <c r="O6" s="68"/>
      <c r="P6" s="68"/>
      <c r="Q6" s="68"/>
      <c r="R6" s="68"/>
      <c r="S6"/>
    </row>
    <row r="7" spans="1:89" s="44" customFormat="1" ht="30" x14ac:dyDescent="0.25">
      <c r="A7" s="46" t="s">
        <v>124</v>
      </c>
      <c r="B7" s="69" t="s">
        <v>143</v>
      </c>
      <c r="C7" s="68"/>
      <c r="D7" s="68"/>
      <c r="E7" s="68"/>
      <c r="F7" s="68"/>
      <c r="G7" s="68"/>
      <c r="H7" s="68"/>
      <c r="I7" s="68"/>
      <c r="J7" s="68"/>
      <c r="K7" s="68"/>
      <c r="L7" s="68"/>
      <c r="M7" s="68"/>
      <c r="N7" s="68"/>
      <c r="O7" s="68"/>
      <c r="P7" s="68"/>
      <c r="Q7" s="68"/>
      <c r="R7" s="68"/>
      <c r="S7"/>
    </row>
    <row r="8" spans="1:89" s="44" customFormat="1" ht="32.25" customHeight="1" x14ac:dyDescent="0.25">
      <c r="A8" s="46" t="s">
        <v>128</v>
      </c>
      <c r="B8" s="69" t="s">
        <v>186</v>
      </c>
      <c r="C8" s="69"/>
      <c r="D8" s="69"/>
      <c r="E8" s="69"/>
      <c r="F8" s="69"/>
      <c r="G8" s="69"/>
      <c r="H8" s="69"/>
      <c r="I8" s="69"/>
      <c r="J8" s="69"/>
      <c r="K8" s="69"/>
      <c r="L8" s="69"/>
      <c r="M8" s="69"/>
      <c r="N8" s="69"/>
      <c r="O8" s="69"/>
      <c r="P8" s="69"/>
      <c r="Q8" s="69"/>
      <c r="R8" s="69"/>
      <c r="S8"/>
    </row>
    <row r="9" spans="1:89" s="44" customFormat="1" ht="39.75" customHeight="1" x14ac:dyDescent="0.25">
      <c r="A9" s="46" t="s">
        <v>129</v>
      </c>
      <c r="B9" s="73" t="s">
        <v>141</v>
      </c>
      <c r="C9" s="74"/>
      <c r="D9" s="74"/>
      <c r="E9" s="74"/>
      <c r="F9" s="74"/>
      <c r="G9" s="74"/>
      <c r="H9" s="74"/>
      <c r="I9" s="74"/>
      <c r="J9" s="74"/>
      <c r="K9" s="74"/>
      <c r="L9" s="74"/>
      <c r="M9" s="74"/>
      <c r="N9" s="74"/>
      <c r="O9" s="74"/>
      <c r="P9" s="74"/>
      <c r="Q9" s="74"/>
      <c r="R9" s="75"/>
    </row>
    <row r="10" spans="1:89" s="44" customFormat="1" ht="61.5" customHeight="1" x14ac:dyDescent="0.25">
      <c r="A10" s="46" t="s">
        <v>130</v>
      </c>
      <c r="B10" s="69" t="s">
        <v>142</v>
      </c>
      <c r="C10" s="69"/>
      <c r="D10" s="69"/>
      <c r="E10" s="69"/>
      <c r="F10" s="69"/>
      <c r="G10" s="69"/>
      <c r="H10" s="69"/>
      <c r="I10" s="69"/>
      <c r="J10" s="69"/>
      <c r="K10" s="69"/>
      <c r="L10" s="69"/>
      <c r="M10" s="69"/>
      <c r="N10" s="69"/>
      <c r="O10" s="69"/>
      <c r="P10" s="69"/>
      <c r="Q10" s="69"/>
      <c r="R10" s="69"/>
      <c r="S10"/>
    </row>
    <row r="11" spans="1:89" s="44" customFormat="1" ht="53.25" customHeight="1" x14ac:dyDescent="0.25">
      <c r="A11" s="46" t="s">
        <v>131</v>
      </c>
      <c r="B11" s="64" t="s">
        <v>144</v>
      </c>
      <c r="C11" s="65"/>
      <c r="D11" s="65"/>
      <c r="E11" s="65"/>
      <c r="F11" s="65"/>
      <c r="G11" s="65"/>
      <c r="H11" s="65"/>
      <c r="I11" s="65"/>
      <c r="J11" s="65"/>
      <c r="K11" s="65"/>
      <c r="L11" s="65"/>
      <c r="M11" s="65"/>
      <c r="N11" s="65"/>
      <c r="O11" s="65"/>
      <c r="P11" s="65"/>
      <c r="Q11" s="65"/>
      <c r="R11" s="66"/>
      <c r="S11"/>
    </row>
    <row r="12" spans="1:89" s="44" customFormat="1" ht="30" x14ac:dyDescent="0.25">
      <c r="A12" s="49" t="s">
        <v>132</v>
      </c>
      <c r="B12" s="67" t="s">
        <v>145</v>
      </c>
      <c r="C12" s="67"/>
      <c r="D12" s="67"/>
      <c r="E12" s="67"/>
      <c r="F12" s="67"/>
      <c r="G12" s="67"/>
      <c r="H12" s="67"/>
      <c r="I12" s="67"/>
      <c r="J12" s="67"/>
      <c r="K12" s="67"/>
      <c r="L12" s="67"/>
      <c r="M12" s="67"/>
      <c r="N12" s="67"/>
      <c r="O12" s="67"/>
      <c r="P12" s="67"/>
      <c r="Q12" s="67"/>
      <c r="R12" s="67"/>
    </row>
    <row r="13" spans="1:89" s="44" customFormat="1" ht="31.5" customHeight="1" x14ac:dyDescent="0.25">
      <c r="A13" s="49" t="s">
        <v>133</v>
      </c>
      <c r="B13" s="67" t="s">
        <v>187</v>
      </c>
      <c r="C13" s="67"/>
      <c r="D13" s="67"/>
      <c r="E13" s="67"/>
      <c r="F13" s="67"/>
      <c r="G13" s="67"/>
      <c r="H13" s="67"/>
      <c r="I13" s="67"/>
      <c r="J13" s="67"/>
      <c r="K13" s="67"/>
      <c r="L13" s="67"/>
      <c r="M13" s="67"/>
      <c r="N13" s="67"/>
      <c r="O13" s="67"/>
      <c r="P13" s="67"/>
      <c r="Q13" s="67"/>
      <c r="R13" s="67"/>
    </row>
    <row r="14" spans="1:89" s="44" customFormat="1" ht="30" x14ac:dyDescent="0.25">
      <c r="A14" s="50" t="s">
        <v>134</v>
      </c>
      <c r="B14" s="67"/>
      <c r="C14" s="67"/>
      <c r="D14" s="67"/>
      <c r="E14" s="67"/>
      <c r="F14" s="67"/>
      <c r="G14" s="67"/>
      <c r="H14" s="67"/>
      <c r="I14" s="67"/>
      <c r="J14" s="67"/>
      <c r="K14" s="67"/>
      <c r="L14" s="67"/>
      <c r="M14" s="67"/>
      <c r="N14" s="67"/>
      <c r="O14" s="67"/>
      <c r="P14" s="67"/>
      <c r="Q14" s="67"/>
      <c r="R14" s="67"/>
    </row>
    <row r="16" spans="1:89" s="37" customFormat="1" ht="28.9" customHeight="1" x14ac:dyDescent="0.25">
      <c r="E16" s="42"/>
      <c r="H16" s="43"/>
      <c r="N16" s="72" t="str">
        <f>Sheet1!J1</f>
        <v>Conductor</v>
      </c>
      <c r="O16" s="72"/>
      <c r="P16" s="72"/>
      <c r="Q16" s="72"/>
      <c r="R16" s="72"/>
      <c r="S16" s="72" t="s">
        <v>9</v>
      </c>
      <c r="T16" s="72"/>
      <c r="U16" s="72" t="s">
        <v>3</v>
      </c>
      <c r="V16" s="72"/>
      <c r="W16" s="72"/>
      <c r="X16" s="72"/>
      <c r="Y16" s="72"/>
      <c r="Z16" s="72"/>
      <c r="AA16" s="72"/>
      <c r="AB16" s="72"/>
      <c r="AC16" s="72" t="s">
        <v>12</v>
      </c>
      <c r="AD16" s="72"/>
      <c r="AE16" s="72" t="s">
        <v>15</v>
      </c>
      <c r="AF16" s="72"/>
      <c r="AG16" s="72"/>
      <c r="AH16" s="72"/>
      <c r="AI16" s="72"/>
      <c r="AJ16" s="72"/>
      <c r="AK16" s="10" t="s">
        <v>18</v>
      </c>
      <c r="AL16" s="70" t="s">
        <v>21</v>
      </c>
      <c r="AM16" s="71"/>
      <c r="AN16" s="71"/>
      <c r="AO16" s="71"/>
      <c r="AP16" s="71"/>
      <c r="AQ16" s="71"/>
      <c r="AR16" s="71"/>
      <c r="AS16" s="72" t="s">
        <v>24</v>
      </c>
      <c r="AT16" s="72"/>
      <c r="AU16" s="72"/>
      <c r="AV16" s="72"/>
      <c r="AW16" s="72"/>
      <c r="AX16" s="72"/>
      <c r="AY16" s="72"/>
      <c r="AZ16" s="72"/>
      <c r="BA16" s="72"/>
      <c r="BB16" s="72"/>
      <c r="BC16" s="72" t="s">
        <v>27</v>
      </c>
      <c r="BD16" s="72"/>
      <c r="BE16" s="72"/>
      <c r="BF16" s="72"/>
      <c r="BG16" s="72"/>
      <c r="BH16" s="72"/>
      <c r="BI16" s="72"/>
      <c r="BJ16" s="72"/>
      <c r="BK16" s="72"/>
      <c r="BL16" s="72"/>
      <c r="BM16" s="38" t="s">
        <v>30</v>
      </c>
      <c r="BN16" s="10" t="s">
        <v>33</v>
      </c>
      <c r="BO16" s="10" t="s">
        <v>36</v>
      </c>
      <c r="BP16" s="10" t="s">
        <v>39</v>
      </c>
      <c r="BQ16" s="10" t="s">
        <v>42</v>
      </c>
      <c r="BR16" s="10" t="s">
        <v>45</v>
      </c>
      <c r="BS16" s="10" t="s">
        <v>48</v>
      </c>
      <c r="BT16" s="10" t="s">
        <v>51</v>
      </c>
      <c r="BU16" s="10" t="s">
        <v>54</v>
      </c>
      <c r="BV16" s="10"/>
      <c r="BW16" s="10"/>
      <c r="BX16" s="10"/>
      <c r="BY16" s="10"/>
      <c r="BZ16" s="39" t="s">
        <v>57</v>
      </c>
      <c r="CA16" s="39" t="s">
        <v>58</v>
      </c>
      <c r="CB16" s="40" t="s">
        <v>79</v>
      </c>
      <c r="CC16" s="39" t="s">
        <v>123</v>
      </c>
      <c r="CD16" s="41"/>
      <c r="CE16" s="42"/>
      <c r="CF16" s="43"/>
      <c r="CG16" s="42"/>
      <c r="CH16" s="42"/>
      <c r="CI16" s="43"/>
      <c r="CK16" s="43"/>
    </row>
    <row r="17" spans="1:90" s="19" customFormat="1" ht="89.25" x14ac:dyDescent="0.25">
      <c r="A17" s="22" t="s">
        <v>0</v>
      </c>
      <c r="B17" s="22" t="str">
        <f>Sheet1!B1</f>
        <v>Base Date</v>
      </c>
      <c r="C17" s="22" t="s">
        <v>1</v>
      </c>
      <c r="D17" s="22" t="s">
        <v>2</v>
      </c>
      <c r="E17" s="5" t="s">
        <v>70</v>
      </c>
      <c r="F17" s="15" t="s">
        <v>71</v>
      </c>
      <c r="G17" s="15" t="s">
        <v>72</v>
      </c>
      <c r="H17" s="6" t="s">
        <v>73</v>
      </c>
      <c r="I17" s="15" t="s">
        <v>74</v>
      </c>
      <c r="J17" s="15" t="s">
        <v>75</v>
      </c>
      <c r="K17" s="15" t="s">
        <v>76</v>
      </c>
      <c r="L17" s="15" t="s">
        <v>77</v>
      </c>
      <c r="M17" s="15" t="s">
        <v>78</v>
      </c>
      <c r="N17" s="23" t="s">
        <v>170</v>
      </c>
      <c r="O17" s="23" t="s">
        <v>85</v>
      </c>
      <c r="P17" s="23" t="s">
        <v>82</v>
      </c>
      <c r="Q17" s="23" t="s">
        <v>83</v>
      </c>
      <c r="R17" s="23" t="s">
        <v>84</v>
      </c>
      <c r="S17" s="23" t="s">
        <v>80</v>
      </c>
      <c r="T17" s="23" t="s">
        <v>85</v>
      </c>
      <c r="U17" s="24" t="s">
        <v>92</v>
      </c>
      <c r="V17" s="24" t="s">
        <v>96</v>
      </c>
      <c r="W17" s="24" t="s">
        <v>99</v>
      </c>
      <c r="X17" s="24" t="s">
        <v>104</v>
      </c>
      <c r="Y17" s="24" t="s">
        <v>108</v>
      </c>
      <c r="Z17" s="24" t="s">
        <v>112</v>
      </c>
      <c r="AA17" s="24" t="s">
        <v>115</v>
      </c>
      <c r="AB17" s="24" t="s">
        <v>117</v>
      </c>
      <c r="AC17" s="24" t="s">
        <v>91</v>
      </c>
      <c r="AD17" s="24" t="s">
        <v>95</v>
      </c>
      <c r="AE17" s="24" t="s">
        <v>90</v>
      </c>
      <c r="AF17" s="24" t="s">
        <v>86</v>
      </c>
      <c r="AG17" s="24" t="s">
        <v>98</v>
      </c>
      <c r="AH17" s="24" t="s">
        <v>103</v>
      </c>
      <c r="AI17" s="24" t="s">
        <v>107</v>
      </c>
      <c r="AJ17" s="24" t="s">
        <v>111</v>
      </c>
      <c r="AK17" s="20" t="s">
        <v>18</v>
      </c>
      <c r="AL17" s="24" t="s">
        <v>93</v>
      </c>
      <c r="AM17" s="24" t="s">
        <v>97</v>
      </c>
      <c r="AN17" s="24" t="s">
        <v>100</v>
      </c>
      <c r="AO17" s="24" t="s">
        <v>105</v>
      </c>
      <c r="AP17" s="24" t="s">
        <v>109</v>
      </c>
      <c r="AQ17" s="24" t="s">
        <v>87</v>
      </c>
      <c r="AR17" s="24" t="s">
        <v>116</v>
      </c>
      <c r="AS17" s="24" t="s">
        <v>94</v>
      </c>
      <c r="AT17" s="24" t="s">
        <v>81</v>
      </c>
      <c r="AU17" s="24" t="s">
        <v>101</v>
      </c>
      <c r="AV17" s="24" t="s">
        <v>106</v>
      </c>
      <c r="AW17" s="24" t="s">
        <v>113</v>
      </c>
      <c r="AX17" s="24" t="s">
        <v>88</v>
      </c>
      <c r="AY17" s="24" t="s">
        <v>118</v>
      </c>
      <c r="AZ17" s="24" t="s">
        <v>119</v>
      </c>
      <c r="BA17" s="24" t="s">
        <v>120</v>
      </c>
      <c r="BB17" s="24" t="s">
        <v>122</v>
      </c>
      <c r="BC17" s="24" t="s">
        <v>93</v>
      </c>
      <c r="BD17" s="24" t="s">
        <v>97</v>
      </c>
      <c r="BE17" s="24" t="s">
        <v>102</v>
      </c>
      <c r="BF17" s="24" t="s">
        <v>100</v>
      </c>
      <c r="BG17" s="24" t="s">
        <v>110</v>
      </c>
      <c r="BH17" s="24" t="s">
        <v>114</v>
      </c>
      <c r="BI17" s="24" t="s">
        <v>105</v>
      </c>
      <c r="BJ17" s="24" t="s">
        <v>87</v>
      </c>
      <c r="BK17" s="24" t="s">
        <v>116</v>
      </c>
      <c r="BL17" s="24" t="s">
        <v>121</v>
      </c>
      <c r="BM17" s="20" t="s">
        <v>30</v>
      </c>
      <c r="BN17" s="20" t="s">
        <v>89</v>
      </c>
      <c r="BO17" s="21" t="s">
        <v>36</v>
      </c>
      <c r="BP17" s="25" t="s">
        <v>39</v>
      </c>
      <c r="BQ17" s="21" t="s">
        <v>42</v>
      </c>
      <c r="BR17" s="21" t="s">
        <v>45</v>
      </c>
      <c r="BS17" s="21" t="s">
        <v>48</v>
      </c>
      <c r="BT17" s="25" t="s">
        <v>51</v>
      </c>
      <c r="BU17" s="21" t="s">
        <v>54</v>
      </c>
      <c r="BV17" s="21" t="str">
        <f>Sheet1!E1</f>
        <v>PROPOSE DRUM TYPE</v>
      </c>
      <c r="BW17" s="54" t="str">
        <f>Sheet1!CV1</f>
        <v>DRUM CODE</v>
      </c>
      <c r="BX17" s="54" t="str">
        <f>Sheet1!CW1</f>
        <v>DRUM SIZE (FxbXtx Ft)</v>
      </c>
      <c r="BY17" s="54" t="str">
        <f>Sheet1!CX1</f>
        <v xml:space="preserve">PARTY STANDARD LENGTH (MTR) </v>
      </c>
      <c r="BZ17" s="29"/>
      <c r="CA17" s="29"/>
      <c r="CB17" s="26"/>
      <c r="CC17" s="29"/>
      <c r="CD17" s="13" t="s">
        <v>61</v>
      </c>
      <c r="CE17" s="5" t="s">
        <v>62</v>
      </c>
      <c r="CF17" s="6" t="s">
        <v>63</v>
      </c>
      <c r="CG17" s="5" t="s">
        <v>64</v>
      </c>
      <c r="CH17" s="5" t="s">
        <v>65</v>
      </c>
      <c r="CI17" s="6" t="s">
        <v>66</v>
      </c>
      <c r="CJ17" s="15" t="s">
        <v>67</v>
      </c>
      <c r="CK17" s="6" t="s">
        <v>68</v>
      </c>
      <c r="CL17" s="15" t="s">
        <v>69</v>
      </c>
    </row>
    <row r="18" spans="1:90" s="29" customFormat="1" x14ac:dyDescent="0.25">
      <c r="A18" s="31"/>
      <c r="B18" s="31"/>
      <c r="C18" s="31"/>
      <c r="D18" s="31"/>
      <c r="E18" s="5"/>
      <c r="F18" s="5"/>
      <c r="G18" s="5"/>
      <c r="H18" s="5"/>
      <c r="I18" s="5"/>
      <c r="J18" s="5"/>
      <c r="K18" s="5"/>
      <c r="L18" s="5"/>
      <c r="M18" s="5"/>
      <c r="N18" s="32">
        <f>(225+7)+10</f>
        <v>242</v>
      </c>
      <c r="O18" s="32">
        <f>+IFERROR(VLOOKUP($O$17,Sheet1!J:L,2,0),0)</f>
        <v>0</v>
      </c>
      <c r="P18" s="32">
        <f>+IFERROR(VLOOKUP($P$17,Sheet1!J:M,2,0),0)</f>
        <v>0</v>
      </c>
      <c r="Q18" s="32">
        <f>+IFERROR(VLOOKUP($Q$17,Sheet1!J:M,2,0),0)</f>
        <v>0</v>
      </c>
      <c r="R18" s="32">
        <f>+IFERROR(VLOOKUP($R$17,Sheet1!J:M,2,0),0)</f>
        <v>0</v>
      </c>
      <c r="S18" s="32">
        <f>+IFERROR(VLOOKUP($S$17,Sheet1!N:Q,2,0),0)</f>
        <v>0</v>
      </c>
      <c r="T18" s="32">
        <f>+IFERROR(VLOOKUP($T$17,Sheet1!N:O,2,0),0)</f>
        <v>0</v>
      </c>
      <c r="U18" s="33">
        <f>+IFERROR(VLOOKUP($U$17,Sheet1!F:I,2,0),0)</f>
        <v>0</v>
      </c>
      <c r="V18" s="33">
        <f>+IFERROR(VLOOKUP($V$17,Sheet1!F:I,2,0),0)</f>
        <v>0</v>
      </c>
      <c r="W18" s="33">
        <f>+IFERROR(VLOOKUP($W$17,Sheet1!F:I,2,0),0)</f>
        <v>0</v>
      </c>
      <c r="X18" s="33">
        <f>+IFERROR(VLOOKUP($X$17,Sheet1!F:I,2,0),0)</f>
        <v>0</v>
      </c>
      <c r="Y18" s="33">
        <f>+IFERROR(VLOOKUP($Y$17,Sheet1!F:I,2,0),0)</f>
        <v>0</v>
      </c>
      <c r="Z18" s="33">
        <f>+IFERROR(VLOOKUP($Z$17,Sheet1!F:I,2,0),0)</f>
        <v>0</v>
      </c>
      <c r="AA18" s="33">
        <f>+IFERROR(VLOOKUP($AA$17,Sheet1!F:I,2,0),0)</f>
        <v>0</v>
      </c>
      <c r="AB18" s="33">
        <f>+IFERROR(VLOOKUP($AB$17,Sheet1!F:I,2,0),0)</f>
        <v>0</v>
      </c>
      <c r="AC18" s="33">
        <f>+IFERROR(VLOOKUP($AC$17,Sheet1!R:U,2,0),0)</f>
        <v>197</v>
      </c>
      <c r="AD18" s="33">
        <f>+IFERROR(VLOOKUP($AD$17,Sheet1!R:U,2,0),0)</f>
        <v>0</v>
      </c>
      <c r="AE18" s="33">
        <f>+IFERROR(VLOOKUP($AE$17,Sheet1!V:Y,2,0),0)</f>
        <v>150</v>
      </c>
      <c r="AF18" s="33">
        <f>+IFERROR(VLOOKUP($AF$17,Sheet1!V:Y,2,0),0)</f>
        <v>0</v>
      </c>
      <c r="AG18" s="33">
        <f>+IFERROR(VLOOKUP($AG$17,Sheet1!V:Y,2,0),0)</f>
        <v>0</v>
      </c>
      <c r="AH18" s="33">
        <f>+IFERROR(VLOOKUP($AH$17,Sheet1!V:Y,2,0),0)</f>
        <v>0</v>
      </c>
      <c r="AI18" s="33">
        <f>+IFERROR(VLOOKUP($AI$17,Sheet1!V:Y,2,0),0)</f>
        <v>0</v>
      </c>
      <c r="AJ18" s="33">
        <f>+IFERROR(VLOOKUP($AJ$17,Sheet1!V:Y,2,0),0)</f>
        <v>0</v>
      </c>
      <c r="AK18" s="34">
        <f>+IFERROR(VLOOKUP($AK$17,Sheet1!Z2:AA840,2,0),0)</f>
        <v>0</v>
      </c>
      <c r="AL18" s="33">
        <f>+IFERROR(VLOOKUP($AL$17,Sheet1!AD2:AG840,2,0),0)</f>
        <v>0</v>
      </c>
      <c r="AM18" s="33">
        <f>+IFERROR(VLOOKUP($AM$17,Sheet1!AD2:AG840,2,0),0)</f>
        <v>0</v>
      </c>
      <c r="AN18" s="33">
        <f>+IFERROR(VLOOKUP($AN$17,Sheet1!AD2:AG840,2,0),0)</f>
        <v>0</v>
      </c>
      <c r="AO18" s="33">
        <f>+IFERROR(VLOOKUP($AO$17,Sheet1!AD2:AG840,2,0),0)</f>
        <v>0</v>
      </c>
      <c r="AP18" s="33">
        <f>+IFERROR(VLOOKUP($AP$17,Sheet1!AD2:AG840,2,0),0)</f>
        <v>0</v>
      </c>
      <c r="AQ18" s="33">
        <f>+IFERROR(VLOOKUP($AQ$17,Sheet1!AD2:AG840,2,0),0)</f>
        <v>0</v>
      </c>
      <c r="AR18" s="33">
        <f>+IFERROR(VLOOKUP($AR$17,Sheet1!AD2:AG840,2,0),0)</f>
        <v>0</v>
      </c>
      <c r="AS18" s="33">
        <f>+IFERROR(VLOOKUP($AS$17,Sheet1!AH2:AK840,2,0),0)</f>
        <v>0</v>
      </c>
      <c r="AT18" s="33">
        <f>+IFERROR(VLOOKUP($AT$17,Sheet1!AH2:AK840,2,0),0)</f>
        <v>0</v>
      </c>
      <c r="AU18" s="33">
        <f>+IFERROR(VLOOKUP($AU$17,Sheet1!AH2:AK840,2,0),0)</f>
        <v>0</v>
      </c>
      <c r="AV18" s="33">
        <f>+IFERROR(VLOOKUP($AV$17,Sheet1!AH2:AK840,2,0),0)</f>
        <v>0</v>
      </c>
      <c r="AW18" s="33">
        <f>+IFERROR(VLOOKUP($AW$17,Sheet1!AH2:AK840,2,0),0)</f>
        <v>0</v>
      </c>
      <c r="AX18" s="33">
        <f>+IFERROR(VLOOKUP($AX$17,Sheet1!AH2:AK840,2,0),0)</f>
        <v>0</v>
      </c>
      <c r="AY18" s="33">
        <f>+IFERROR(VLOOKUP($AY$17,Sheet1!AH2:AK840,2,0),0)</f>
        <v>0</v>
      </c>
      <c r="AZ18" s="33">
        <f>+IFERROR(VLOOKUP($AZ$17,Sheet1!AH2:AK840,2,0),0)</f>
        <v>0</v>
      </c>
      <c r="BA18" s="33">
        <f>+IFERROR(VLOOKUP($BA$17,Sheet1!AH2:AK840,2,0),0)</f>
        <v>0</v>
      </c>
      <c r="BB18" s="33">
        <f>+IFERROR(VLOOKUP($BB$17,Sheet1!AH2:AK840,2,0),0)</f>
        <v>0</v>
      </c>
      <c r="BC18" s="33">
        <f>+IFERROR(VLOOKUP($BC$17,Sheet1!AL2:AO840,2,0),0)</f>
        <v>0</v>
      </c>
      <c r="BD18" s="33">
        <f>+IFERROR(VLOOKUP($BD$17,Sheet1!AL2:AO840,2,0),0)</f>
        <v>0</v>
      </c>
      <c r="BE18" s="33">
        <f>+IFERROR(VLOOKUP($BE$17,Sheet1!AL2:AO840,2,0),0)</f>
        <v>0</v>
      </c>
      <c r="BF18" s="33">
        <f>+IFERROR(VLOOKUP($BF$17,Sheet1!AL2:AO840,2,0),0)</f>
        <v>0</v>
      </c>
      <c r="BG18" s="33">
        <f>+IFERROR(VLOOKUP($BG$17,Sheet1!AL2:AO840,2,0),0)</f>
        <v>0</v>
      </c>
      <c r="BH18" s="33">
        <f>+IFERROR(VLOOKUP($BH$17,Sheet1!AL2:AO840,2,0),0)</f>
        <v>0</v>
      </c>
      <c r="BI18" s="33">
        <f>+IFERROR(VLOOKUP($BI$17,Sheet1!AL2:AO840,2,0),0)</f>
        <v>0</v>
      </c>
      <c r="BJ18" s="33">
        <f>+IFERROR(VLOOKUP($BJ$17,Sheet1!AL2:AO840,2,0),0)</f>
        <v>0</v>
      </c>
      <c r="BK18" s="33">
        <f>+IFERROR(VLOOKUP($BK$17,Sheet1!AL2:AO840,2,0),0)</f>
        <v>0</v>
      </c>
      <c r="BL18" s="33">
        <f>+IFERROR(VLOOKUP($BL$17,Sheet1!AL2:AO840,2,0),0)</f>
        <v>272</v>
      </c>
      <c r="BM18" s="34">
        <f>+IFERROR(VLOOKUP($BM$17,Sheet1!AP2:AS840,2,0),0)</f>
        <v>0</v>
      </c>
      <c r="BN18" s="34">
        <f>+IFERROR(VLOOKUP($BN$17,Sheet1!AT2:AW840,2,0),0)</f>
        <v>0</v>
      </c>
      <c r="BO18" s="35">
        <f>+IFERROR(VLOOKUP($BO$17,Sheet1!AX2:BA840,2,0),0)</f>
        <v>0</v>
      </c>
      <c r="BP18" s="36">
        <f>+IFERROR(VLOOKUP($BP$17,Sheet1!BB2:BE840,2,0),0)</f>
        <v>0</v>
      </c>
      <c r="BQ18" s="35">
        <f>+IFERROR(VLOOKUP($BQ$17,Sheet1!BF2:BI840,2,0),0)</f>
        <v>0</v>
      </c>
      <c r="BR18" s="35">
        <f>+IFERROR(VLOOKUP($BR$17,Sheet1!BJ2:BM840,2,0),0)</f>
        <v>0</v>
      </c>
      <c r="BS18" s="35">
        <f>+IFERROR(VLOOKUP($BS$17,Sheet1!BN2:BQ840,2,0),0)</f>
        <v>0</v>
      </c>
      <c r="BT18" s="36">
        <f>+IFERROR(VLOOKUP($BT$17,Sheet1!BR2:BU840,2,0),0)</f>
        <v>0</v>
      </c>
      <c r="BU18" s="35">
        <v>235</v>
      </c>
      <c r="BV18" s="53"/>
      <c r="BW18" s="53"/>
      <c r="BX18" s="53"/>
      <c r="BY18" s="53"/>
      <c r="CD18" s="5"/>
      <c r="CE18" s="5"/>
      <c r="CF18" s="5"/>
      <c r="CG18" s="5"/>
      <c r="CH18" s="5"/>
      <c r="CI18" s="5"/>
      <c r="CJ18" s="5"/>
      <c r="CK18" s="5"/>
      <c r="CL18" s="5"/>
    </row>
    <row r="19" spans="1:90" ht="51" x14ac:dyDescent="0.25">
      <c r="A19" s="1" t="str">
        <f>Sheet1!A2</f>
        <v>ENQ-11221-22-23</v>
      </c>
      <c r="B19" s="52">
        <f>Sheet1!B2</f>
        <v>45211</v>
      </c>
      <c r="C19" s="1" t="str">
        <f>Sheet1!C2</f>
        <v>FA2900004</v>
      </c>
      <c r="D19" s="1" t="str">
        <f>Sheet1!D2</f>
        <v>COVERED CONDUCTOR - 1 CORE x 100 SQ. MM. (AAAC) - 11KV</v>
      </c>
      <c r="E19" s="3">
        <f>CH19+CJ19+CL19</f>
        <v>169481.0925</v>
      </c>
      <c r="F19" s="63">
        <f>ROUNDUP(M22,0)</f>
        <v>6418</v>
      </c>
      <c r="G19" s="9">
        <f>E19+F19</f>
        <v>175899.0925</v>
      </c>
      <c r="H19" s="7">
        <f>Sheet1!CP2</f>
        <v>0.18</v>
      </c>
      <c r="I19" s="9">
        <f>G19*H19</f>
        <v>31661.836649999997</v>
      </c>
      <c r="J19" s="9">
        <f>G19+I19</f>
        <v>207560.92914999998</v>
      </c>
      <c r="K19" s="1">
        <f>Sheet1!CS2</f>
        <v>3100</v>
      </c>
      <c r="L19" s="1" t="str">
        <f>Sheet1!CT2</f>
        <v>KMS</v>
      </c>
      <c r="M19" s="3">
        <f>J19*K19</f>
        <v>643438880.36499989</v>
      </c>
      <c r="N19" s="79">
        <v>273</v>
      </c>
      <c r="O19" s="2">
        <f>+IFERROR(VLOOKUP($O$17,Sheet1!J2:L2,3,0),0)</f>
        <v>0</v>
      </c>
      <c r="P19" s="2">
        <f>+IFERROR(VLOOKUP($P$17,Sheet1!J2:M2,3,0),0)</f>
        <v>0</v>
      </c>
      <c r="Q19" s="2">
        <f>+IFERROR(VLOOKUP($Q$17,Sheet1!J2:M2,3,0),0)</f>
        <v>0</v>
      </c>
      <c r="R19" s="2">
        <f>+IFERROR(VLOOKUP($R$17,Sheet1!J2:M2,3,0),0)</f>
        <v>0</v>
      </c>
      <c r="S19" s="2">
        <f>+IFERROR(VLOOKUP($S$17,Sheet1!N2:Q2,3,0),0)</f>
        <v>0</v>
      </c>
      <c r="T19" s="2">
        <f>+IFERROR(VLOOKUP($T$17,Sheet1!N2:Q2,3,0),0)</f>
        <v>0</v>
      </c>
      <c r="U19" s="2">
        <f>+IFERROR(VLOOKUP($U$17,Sheet1!F2:I2,3,0),0)</f>
        <v>0</v>
      </c>
      <c r="V19" s="2">
        <f>+IFERROR(VLOOKUP($V$17,Sheet1!F2:I2,3,0),0)</f>
        <v>0</v>
      </c>
      <c r="W19" s="2">
        <f>+IFERROR(VLOOKUP($W$17,Sheet1!F2:I2,3,0),0)</f>
        <v>0</v>
      </c>
      <c r="X19" s="2">
        <f>+IFERROR(VLOOKUP($X$17,Sheet1!F2:I2,3,0),0)</f>
        <v>0</v>
      </c>
      <c r="Y19" s="2">
        <f>+IFERROR(VLOOKUP($Y$17,Sheet1!F2:I2,3,0),0)</f>
        <v>0</v>
      </c>
      <c r="Z19" s="2">
        <f>+IFERROR(VLOOKUP($Z$17,Sheet1!F2:I2,3,0),0)</f>
        <v>0</v>
      </c>
      <c r="AA19" s="2">
        <f>+IFERROR(VLOOKUP($AA$17,Sheet1!F2:I2,3,0),0)</f>
        <v>0</v>
      </c>
      <c r="AB19" s="2">
        <f>+IFERROR(VLOOKUP($AB$17,Sheet1!F2:I2,3,0),0)</f>
        <v>0</v>
      </c>
      <c r="AC19" s="79">
        <v>45</v>
      </c>
      <c r="AD19" s="15">
        <f>+IFERROR(VLOOKUP($AD$17,Sheet1!R2:U2,2,0),0)</f>
        <v>0</v>
      </c>
      <c r="AE19" s="79">
        <v>59</v>
      </c>
      <c r="AF19" s="15">
        <f>+IFERROR(VLOOKUP($AF$17,Sheet1!V2:Y2,3,0),0)</f>
        <v>0</v>
      </c>
      <c r="AG19" s="15">
        <f>+IFERROR(VLOOKUP($AG$17,Sheet1!V2:Y2,3,0),0)</f>
        <v>0</v>
      </c>
      <c r="AH19" s="15">
        <f>+IFERROR(VLOOKUP($AH$17,Sheet1!V2:Y2,3,0),0)</f>
        <v>0</v>
      </c>
      <c r="AI19" s="15">
        <f>+IFERROR(VLOOKUP($AI$17,Sheet1!V2:Y2,3,0),0)</f>
        <v>0</v>
      </c>
      <c r="AJ19" s="15">
        <f>+IFERROR(VLOOKUP($AJ$17,Sheet1!V2:Y2,3,0),0)</f>
        <v>0</v>
      </c>
      <c r="AK19" s="15">
        <f>+IFERROR(VLOOKUP($AK$17,Sheet1!Z2:AB2,3,0),0)</f>
        <v>0</v>
      </c>
      <c r="AL19" s="15">
        <f>+IFERROR(VLOOKUP($AL$17,Sheet1!AD2:AG2,3,0),0)</f>
        <v>0</v>
      </c>
      <c r="AM19" s="15">
        <f>+IFERROR(VLOOKUP($AM$17,Sheet1!AD2:AG2,3,0),0)</f>
        <v>0</v>
      </c>
      <c r="AN19" s="15">
        <f>+IFERROR(VLOOKUP($AN$17,Sheet1!AD2:AG2,3,0),0)</f>
        <v>0</v>
      </c>
      <c r="AO19" s="15">
        <f>+IFERROR(VLOOKUP($AO$17,Sheet1!AD2:AG2,3,0),0)</f>
        <v>0</v>
      </c>
      <c r="AP19" s="15">
        <f>+IFERROR(VLOOKUP($AP$17,Sheet1!AD2:AG2,3,0),0)</f>
        <v>0</v>
      </c>
      <c r="AQ19" s="15">
        <f>+IFERROR(VLOOKUP($AQ$17,Sheet1!AD2:AG2,3,0),0)</f>
        <v>0</v>
      </c>
      <c r="AR19" s="15">
        <f>+IFERROR(VLOOKUP($AR$17,Sheet1!AD2:AG2,3,0),0)</f>
        <v>0</v>
      </c>
      <c r="AS19" s="15">
        <f>+IFERROR(VLOOKUP($AS$17,Sheet1!AH2:AK2,3,0),0)</f>
        <v>0</v>
      </c>
      <c r="AT19" s="15">
        <f>+IFERROR(VLOOKUP($AT$17,Sheet1!AH2:AK2,3,0),0)</f>
        <v>0</v>
      </c>
      <c r="AU19" s="15">
        <f>+IFERROR(VLOOKUP($AU$17,Sheet1!AH2:AK2,3,0),0)</f>
        <v>0</v>
      </c>
      <c r="AV19" s="15">
        <f>+IFERROR(VLOOKUP($AV$17,Sheet1!AH2:AK2,3,0),0)</f>
        <v>0</v>
      </c>
      <c r="AW19" s="15">
        <f>+IFERROR(VLOOKUP($AW$17,Sheet1!AH2:AK2,3,0),0)</f>
        <v>0</v>
      </c>
      <c r="AX19" s="15">
        <f>+IFERROR(VLOOKUP($AX$17,Sheet1!AH2:AK2,3,0),0)</f>
        <v>0</v>
      </c>
      <c r="AY19" s="15">
        <f>+IFERROR(VLOOKUP($AY$17,Sheet1!AH2:AK2,3,0),0)</f>
        <v>0</v>
      </c>
      <c r="AZ19" s="15">
        <f>+IFERROR(VLOOKUP($AZ$17,Sheet1!AH2:AK2,3,0),0)</f>
        <v>0</v>
      </c>
      <c r="BA19" s="15">
        <f>+IFERROR(VLOOKUP($BA$17,Sheet1!AH2:AK2,3,0),0)</f>
        <v>0</v>
      </c>
      <c r="BB19" s="15">
        <f>+IFERROR(VLOOKUP($BB$17,Sheet1!AH2:AK2,3,0),0)</f>
        <v>0</v>
      </c>
      <c r="BC19" s="15">
        <f>+IFERROR(VLOOKUP($BC$17,Sheet1!AL2:AO2,3,0),0)</f>
        <v>0</v>
      </c>
      <c r="BD19" s="15">
        <f>+IFERROR(VLOOKUP($BD$17,Sheet1!AL2:AO2,3,0),0)</f>
        <v>0</v>
      </c>
      <c r="BE19" s="15">
        <f>+IFERROR(VLOOKUP($BE$17,Sheet1!AL2:AO2,3,0),0)</f>
        <v>0</v>
      </c>
      <c r="BF19" s="15">
        <f>+IFERROR(VLOOKUP($BF$17,Sheet1!AL2:AO2,3,0),0)</f>
        <v>0</v>
      </c>
      <c r="BG19" s="15">
        <f>+IFERROR(VLOOKUP($BG$17,Sheet1!AL2:AO2,3,0),0)</f>
        <v>0</v>
      </c>
      <c r="BH19" s="15">
        <f>+IFERROR(VLOOKUP($BH$17,Sheet1!AL2:AO2,3,0),0)</f>
        <v>0</v>
      </c>
      <c r="BI19" s="15">
        <f>+IFERROR(VLOOKUP($BI$17,Sheet1!AL2:AO2,3,0),0)</f>
        <v>0</v>
      </c>
      <c r="BJ19" s="15">
        <f>+IFERROR(VLOOKUP($BJ$17,Sheet1!AL2:AO2,3,0),0)</f>
        <v>0</v>
      </c>
      <c r="BK19" s="15">
        <f>+IFERROR(VLOOKUP($BK$17,Sheet1!AL2:AO2,3,0),0)</f>
        <v>0</v>
      </c>
      <c r="BL19" s="80">
        <v>73</v>
      </c>
      <c r="BM19" s="15">
        <f>+IFERROR(VLOOKUP($BM$17,Sheet1!AP2:AS2,3,0),0)</f>
        <v>0</v>
      </c>
      <c r="BN19" s="15">
        <f>+IFERROR(VLOOKUP($BN$17,Sheet1!AT2:AW2,3,0),0)</f>
        <v>0</v>
      </c>
      <c r="BO19" s="15">
        <f>+IFERROR(VLOOKUP($BO$17,Sheet1!AX2:BA2,3,0),0)</f>
        <v>0</v>
      </c>
      <c r="BP19" s="15">
        <f>+IFERROR(VLOOKUP($BP$17,Sheet1!BB2:BE2,3,0),0)</f>
        <v>0</v>
      </c>
      <c r="BQ19" s="15">
        <f>+IFERROR(VLOOKUP($BQ$17,Sheet1!BF2:BI2,3,0),0)</f>
        <v>0</v>
      </c>
      <c r="BR19" s="15">
        <f>+IFERROR(VLOOKUP($BR$17,Sheet1!BJ2:BM2,3,0),0)</f>
        <v>0</v>
      </c>
      <c r="BS19" s="15">
        <f>+IFERROR(VLOOKUP($BS$17,Sheet1!BN2:BQ2,3,0),0)</f>
        <v>0</v>
      </c>
      <c r="BT19" s="15">
        <f>+IFERROR(VLOOKUP($BT$17,Sheet1!BR2:BU2,3,0),0)</f>
        <v>0</v>
      </c>
      <c r="BU19" s="80">
        <v>16</v>
      </c>
      <c r="BV19" s="15" t="str">
        <f>Sheet1!E2</f>
        <v>Hybrid</v>
      </c>
      <c r="BW19" s="15" t="str">
        <f>Sheet1!CV2</f>
        <v>MD0100106</v>
      </c>
      <c r="BX19" s="15" t="str">
        <f>Sheet1!CW2</f>
        <v>DRUM - 42 X 15 X 23 X 2 (LOMBU-HYBRID)</v>
      </c>
      <c r="BY19" s="15">
        <f>Sheet1!CX2</f>
        <v>500</v>
      </c>
      <c r="BZ19" s="3">
        <f>Sheet1!BZ2</f>
        <v>14488</v>
      </c>
      <c r="CA19" s="3">
        <f>SUMPRODUCT($N$18:$BU$18,N19:BU19)+BZ19</f>
        <v>121885</v>
      </c>
      <c r="CB19" s="27">
        <f>Sheet1!CB2</f>
        <v>0</v>
      </c>
      <c r="CC19" s="3">
        <f>CA19*CB19</f>
        <v>0</v>
      </c>
      <c r="CD19" s="48">
        <v>0.35</v>
      </c>
      <c r="CE19" s="3">
        <f>CA19*CD19</f>
        <v>42659.75</v>
      </c>
      <c r="CF19" s="48">
        <v>0</v>
      </c>
      <c r="CG19" s="3">
        <f>CA19*CF19</f>
        <v>0</v>
      </c>
      <c r="CH19" s="3">
        <f>CA19+CC19+CE19+CG19</f>
        <v>164544.75</v>
      </c>
      <c r="CI19" s="48">
        <v>0.02</v>
      </c>
      <c r="CJ19" s="1">
        <f>CH19*CI19</f>
        <v>3290.895</v>
      </c>
      <c r="CK19" s="48">
        <v>0.01</v>
      </c>
      <c r="CL19" s="1">
        <f>CH19*CK19</f>
        <v>1645.4475</v>
      </c>
    </row>
    <row r="21" spans="1:90" ht="30" x14ac:dyDescent="0.25">
      <c r="E21" s="2" t="s">
        <v>175</v>
      </c>
      <c r="F21" s="2" t="s">
        <v>176</v>
      </c>
      <c r="G21" s="58" t="s">
        <v>177</v>
      </c>
      <c r="H21" s="2" t="s">
        <v>178</v>
      </c>
      <c r="I21" s="2" t="s">
        <v>179</v>
      </c>
      <c r="J21" s="2" t="s">
        <v>180</v>
      </c>
      <c r="K21" s="2" t="s">
        <v>181</v>
      </c>
      <c r="L21" s="2" t="s">
        <v>182</v>
      </c>
      <c r="M21" s="59" t="s">
        <v>183</v>
      </c>
    </row>
    <row r="22" spans="1:90" x14ac:dyDescent="0.25">
      <c r="E22" s="58">
        <f>K19</f>
        <v>3100</v>
      </c>
      <c r="F22" s="60">
        <v>0.5</v>
      </c>
      <c r="G22" s="58" t="s">
        <v>184</v>
      </c>
      <c r="H22" s="61">
        <v>115000</v>
      </c>
      <c r="I22" s="60">
        <v>36</v>
      </c>
      <c r="J22" s="58">
        <f>F22*I22</f>
        <v>18</v>
      </c>
      <c r="K22" s="58">
        <f>ROUNDUP((E22/J22),0)</f>
        <v>173</v>
      </c>
      <c r="L22" s="58">
        <f>M22*E22</f>
        <v>19895000</v>
      </c>
      <c r="M22" s="62">
        <f>(H22*K22)/E22</f>
        <v>6417.7419354838712</v>
      </c>
    </row>
    <row r="23" spans="1:90" x14ac:dyDescent="0.25">
      <c r="I23" t="s">
        <v>188</v>
      </c>
    </row>
  </sheetData>
  <mergeCells count="20">
    <mergeCell ref="A2:R2"/>
    <mergeCell ref="AL16:AR16"/>
    <mergeCell ref="AS16:BB16"/>
    <mergeCell ref="BC16:BL16"/>
    <mergeCell ref="N16:R16"/>
    <mergeCell ref="S16:T16"/>
    <mergeCell ref="U16:AB16"/>
    <mergeCell ref="AC16:AD16"/>
    <mergeCell ref="AE16:AJ16"/>
    <mergeCell ref="B11:R11"/>
    <mergeCell ref="B12:R12"/>
    <mergeCell ref="B13:R13"/>
    <mergeCell ref="B14:R14"/>
    <mergeCell ref="B4:R4"/>
    <mergeCell ref="B5:R5"/>
    <mergeCell ref="B6:R6"/>
    <mergeCell ref="B7:R7"/>
    <mergeCell ref="B8:R8"/>
    <mergeCell ref="B9:R9"/>
    <mergeCell ref="B10:R10"/>
  </mergeCells>
  <dataValidations count="1">
    <dataValidation type="list" allowBlank="1" showInputMessage="1" showErrorMessage="1" sqref="G22" xr:uid="{00000000-0002-0000-0100-000000000000}">
      <formula1>$Q$4:$Q$6</formula1>
    </dataValidation>
  </dataValidations>
  <pageMargins left="0.7" right="0.7" top="0.75" bottom="0.75" header="0.3" footer="0.3"/>
  <pageSetup orientation="landscape" horizontalDpi="1200" verticalDpi="120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AUTO CALCULATION SHEET (2)</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Puja_Lapy</dc:creator>
  <cp:lastModifiedBy>DIPANKAR ROY</cp:lastModifiedBy>
  <cp:lastPrinted>2023-10-13T06:36:23Z</cp:lastPrinted>
  <dcterms:created xsi:type="dcterms:W3CDTF">2021-04-03T12:13:55Z</dcterms:created>
  <dcterms:modified xsi:type="dcterms:W3CDTF">2023-10-13T06:54:24Z</dcterms:modified>
</cp:coreProperties>
</file>