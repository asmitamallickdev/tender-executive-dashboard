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4-25\03_MARCH 2025\NPCL-029-HTABC-15363\"/>
    </mc:Choice>
  </mc:AlternateContent>
  <xr:revisionPtr revIDLastSave="0" documentId="13_ncr:1_{9B0F27A4-2699-464A-8B84-564A39E482BC}" xr6:coauthVersionLast="47" xr6:coauthVersionMax="47" xr10:uidLastSave="{00000000-0000-0000-0000-000000000000}"/>
  <bookViews>
    <workbookView xWindow="-120" yWindow="-120" windowWidth="29040" windowHeight="15840" firstSheet="1" activeTab="1" xr2:uid="{00000000-000D-0000-FFFF-FFFF00000000}"/>
  </bookViews>
  <sheets>
    <sheet name="Sheet1" sheetId="1" state="hidden" r:id="rId1"/>
    <sheet name="AUTO CALCULATION SHEET (2)" sheetId="4" r:id="rId2"/>
    <sheet name="PV" sheetId="6" r:id="rId3"/>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14" i="6" l="1"/>
  <c r="AR13" i="6"/>
  <c r="AR12" i="6"/>
  <c r="AR11" i="6"/>
  <c r="G23" i="4"/>
  <c r="G22" i="4"/>
  <c r="G21" i="4"/>
  <c r="G20" i="4"/>
  <c r="G19" i="4"/>
  <c r="F23" i="4"/>
  <c r="F22" i="4"/>
  <c r="F21" i="4"/>
  <c r="F20" i="4"/>
  <c r="F19" i="4"/>
  <c r="CO23" i="4"/>
  <c r="CO22" i="4"/>
  <c r="CO21" i="4"/>
  <c r="CO20" i="4"/>
  <c r="CO19" i="4"/>
  <c r="CM23" i="4"/>
  <c r="CM22" i="4"/>
  <c r="CM21" i="4"/>
  <c r="CM20" i="4"/>
  <c r="CM19" i="4"/>
  <c r="CK23" i="4"/>
  <c r="CK22" i="4"/>
  <c r="CK21" i="4"/>
  <c r="CK20" i="4"/>
  <c r="CK19" i="4"/>
  <c r="CJ23" i="4"/>
  <c r="CJ22" i="4"/>
  <c r="CJ21" i="4"/>
  <c r="CJ20" i="4"/>
  <c r="CJ19" i="4"/>
  <c r="CH23" i="4"/>
  <c r="CH22" i="4"/>
  <c r="CH21" i="4"/>
  <c r="CH20" i="4"/>
  <c r="CH19" i="4"/>
  <c r="CD23" i="4"/>
  <c r="CD22" i="4"/>
  <c r="CD21" i="4"/>
  <c r="CD20" i="4"/>
  <c r="CD19" i="4"/>
  <c r="L38" i="4"/>
  <c r="L39" i="4"/>
  <c r="L40" i="4"/>
  <c r="L41" i="4"/>
  <c r="L37" i="4"/>
  <c r="I38" i="4"/>
  <c r="I39" i="4"/>
  <c r="I40" i="4"/>
  <c r="I41" i="4"/>
  <c r="I37" i="4"/>
  <c r="G41" i="4"/>
  <c r="G40" i="4"/>
  <c r="G39" i="4"/>
  <c r="G38" i="4"/>
  <c r="G37" i="4"/>
  <c r="E38" i="4"/>
  <c r="E39" i="4"/>
  <c r="E40" i="4"/>
  <c r="E41" i="4"/>
  <c r="E37" i="4"/>
  <c r="D38" i="4"/>
  <c r="D39" i="4"/>
  <c r="D40" i="4"/>
  <c r="D41" i="4"/>
  <c r="D37" i="4"/>
  <c r="C38" i="4"/>
  <c r="C39" i="4"/>
  <c r="C40" i="4"/>
  <c r="C41" i="4"/>
  <c r="C37" i="4"/>
  <c r="B38" i="4"/>
  <c r="B39" i="4"/>
  <c r="B40" i="4"/>
  <c r="B41" i="4"/>
  <c r="B37" i="4"/>
  <c r="A38" i="4"/>
  <c r="A39" i="4"/>
  <c r="A40" i="4"/>
  <c r="A41" i="4"/>
  <c r="A37" i="4"/>
  <c r="Y31" i="4" l="1"/>
  <c r="Y30" i="4"/>
  <c r="Y29" i="4"/>
  <c r="Y28" i="4"/>
  <c r="Y27" i="4"/>
  <c r="E31" i="4"/>
  <c r="G28" i="4"/>
  <c r="K28" i="4"/>
  <c r="G29" i="4"/>
  <c r="K29" i="4"/>
  <c r="G30" i="4"/>
  <c r="K30" i="4" s="1"/>
  <c r="G31" i="4"/>
  <c r="K31" i="4" s="1"/>
  <c r="G27" i="4"/>
  <c r="K27" i="4" s="1"/>
  <c r="U18" i="4" l="1"/>
  <c r="AK21" i="6"/>
  <c r="AS22" i="6"/>
  <c r="AJ22" i="6"/>
  <c r="AK22" i="6"/>
  <c r="AL22" i="6"/>
  <c r="AM22" i="6"/>
  <c r="AO22" i="6"/>
  <c r="AP22" i="6"/>
  <c r="AS12" i="6"/>
  <c r="AS13" i="6"/>
  <c r="AS14" i="6"/>
  <c r="AS11" i="6"/>
  <c r="AJ12" i="6"/>
  <c r="AK12" i="6"/>
  <c r="AL12" i="6"/>
  <c r="AM12" i="6"/>
  <c r="AN12" i="6"/>
  <c r="AO12" i="6"/>
  <c r="AP12" i="6"/>
  <c r="AQ12" i="6"/>
  <c r="AJ13" i="6"/>
  <c r="AK13" i="6"/>
  <c r="AL13" i="6"/>
  <c r="AM13" i="6"/>
  <c r="AN13" i="6"/>
  <c r="AO13" i="6"/>
  <c r="AP13" i="6"/>
  <c r="AQ13" i="6"/>
  <c r="AJ14" i="6"/>
  <c r="AK14" i="6"/>
  <c r="AL14" i="6"/>
  <c r="AM14" i="6"/>
  <c r="AN14" i="6"/>
  <c r="AO14" i="6"/>
  <c r="AP14" i="6"/>
  <c r="AQ14" i="6"/>
  <c r="AQ11" i="6"/>
  <c r="AP11" i="6"/>
  <c r="AO11" i="6"/>
  <c r="AN11" i="6"/>
  <c r="AM11" i="6"/>
  <c r="AL11" i="6"/>
  <c r="AK11" i="6"/>
  <c r="AJ11" i="6"/>
  <c r="AP20" i="6"/>
  <c r="AO20" i="6"/>
  <c r="AN20" i="6"/>
  <c r="AM20" i="6"/>
  <c r="AL20" i="6"/>
  <c r="AK20" i="6"/>
  <c r="AJ20" i="6"/>
  <c r="AQ9" i="6"/>
  <c r="AP9" i="6"/>
  <c r="AO9" i="6"/>
  <c r="AN9" i="6"/>
  <c r="AM9" i="6"/>
  <c r="AL9" i="6"/>
  <c r="AK9" i="6"/>
  <c r="AJ9" i="6"/>
  <c r="A22" i="6"/>
  <c r="AD14" i="6"/>
  <c r="AC14" i="6"/>
  <c r="AB14" i="6"/>
  <c r="AA14" i="6"/>
  <c r="Z14" i="6"/>
  <c r="J14" i="6"/>
  <c r="AD13" i="6"/>
  <c r="AC13" i="6"/>
  <c r="AB13" i="6"/>
  <c r="AA13" i="6"/>
  <c r="Z13" i="6"/>
  <c r="J13" i="6"/>
  <c r="AD12" i="6"/>
  <c r="AC12" i="6"/>
  <c r="AB12" i="6"/>
  <c r="AA12" i="6"/>
  <c r="Z12" i="6"/>
  <c r="J12" i="6"/>
  <c r="AD11" i="6"/>
  <c r="AC11" i="6"/>
  <c r="AB11" i="6"/>
  <c r="AA11" i="6"/>
  <c r="Z11" i="6"/>
  <c r="J11" i="6"/>
  <c r="AG22" i="6"/>
  <c r="AF22" i="6"/>
  <c r="AE22" i="6"/>
  <c r="AD22" i="6"/>
  <c r="AC22" i="6"/>
  <c r="AB22" i="6"/>
  <c r="AA22" i="6"/>
  <c r="Z22" i="6"/>
  <c r="J22" i="6"/>
  <c r="AT14" i="6" l="1"/>
  <c r="AH12" i="6"/>
  <c r="AH11" i="6"/>
  <c r="AH13" i="6"/>
  <c r="AH14" i="6"/>
  <c r="AH22" i="6"/>
  <c r="AT13" i="6"/>
  <c r="AT12" i="6"/>
  <c r="AT11" i="6"/>
  <c r="CB17" i="4" l="1"/>
  <c r="A21" i="4"/>
  <c r="B21" i="4"/>
  <c r="C21" i="4"/>
  <c r="D21" i="4"/>
  <c r="I21" i="4"/>
  <c r="L21" i="4"/>
  <c r="F29" i="4" s="1"/>
  <c r="L29" i="4" s="1"/>
  <c r="N29" i="4" s="1"/>
  <c r="M21" i="4"/>
  <c r="P21" i="4"/>
  <c r="Q21" i="4"/>
  <c r="R21" i="4"/>
  <c r="S21" i="4"/>
  <c r="T21" i="4"/>
  <c r="U21" i="4"/>
  <c r="V21" i="4"/>
  <c r="W21" i="4"/>
  <c r="X21" i="4"/>
  <c r="Z21" i="4"/>
  <c r="AA21" i="4"/>
  <c r="AB21" i="4"/>
  <c r="AC21" i="4"/>
  <c r="AE21" i="4"/>
  <c r="AG21" i="4"/>
  <c r="AH21" i="4"/>
  <c r="AI21" i="4"/>
  <c r="AJ21" i="4"/>
  <c r="AK21" i="4"/>
  <c r="AL21" i="4"/>
  <c r="AM21" i="4"/>
  <c r="AN21" i="4"/>
  <c r="AO21" i="4"/>
  <c r="AP21" i="4"/>
  <c r="AQ21" i="4"/>
  <c r="AS21" i="4"/>
  <c r="AT21" i="4"/>
  <c r="AU21" i="4"/>
  <c r="AV21" i="4"/>
  <c r="AW21" i="4"/>
  <c r="AX21" i="4"/>
  <c r="AZ21" i="4"/>
  <c r="BA21" i="4"/>
  <c r="BB21" i="4"/>
  <c r="BC21" i="4"/>
  <c r="BD21" i="4"/>
  <c r="BE21" i="4"/>
  <c r="BF21" i="4"/>
  <c r="BG21" i="4"/>
  <c r="BH21" i="4"/>
  <c r="BI21" i="4"/>
  <c r="BJ21" i="4"/>
  <c r="BL21" i="4"/>
  <c r="BM21" i="4"/>
  <c r="BO21" i="4"/>
  <c r="BP21" i="4"/>
  <c r="BQ21" i="4"/>
  <c r="BR21" i="4"/>
  <c r="BS21" i="4"/>
  <c r="BT21" i="4"/>
  <c r="BU21" i="4"/>
  <c r="BV21" i="4"/>
  <c r="CE21" i="4"/>
  <c r="CI21" i="4"/>
  <c r="A19" i="4"/>
  <c r="B19" i="4"/>
  <c r="C19" i="4"/>
  <c r="D19" i="4"/>
  <c r="I19" i="4"/>
  <c r="L19" i="4"/>
  <c r="F27" i="4" s="1"/>
  <c r="L27" i="4" s="1"/>
  <c r="N27" i="4" s="1"/>
  <c r="M19" i="4"/>
  <c r="P19" i="4"/>
  <c r="Q19" i="4"/>
  <c r="R19" i="4"/>
  <c r="S19" i="4"/>
  <c r="T19" i="4"/>
  <c r="U19" i="4"/>
  <c r="V19" i="4"/>
  <c r="W19" i="4"/>
  <c r="X19" i="4"/>
  <c r="Z19" i="4"/>
  <c r="AA19" i="4"/>
  <c r="AB19" i="4"/>
  <c r="AC19" i="4"/>
  <c r="AE19" i="4"/>
  <c r="AG19" i="4"/>
  <c r="AH19" i="4"/>
  <c r="AI19" i="4"/>
  <c r="AJ19" i="4"/>
  <c r="AK19" i="4"/>
  <c r="AL19" i="4"/>
  <c r="AM19" i="4"/>
  <c r="AN19" i="4"/>
  <c r="AO19" i="4"/>
  <c r="AP19" i="4"/>
  <c r="AQ19" i="4"/>
  <c r="AS19" i="4"/>
  <c r="AT19" i="4"/>
  <c r="AU19" i="4"/>
  <c r="AV19" i="4"/>
  <c r="AW19" i="4"/>
  <c r="AX19" i="4"/>
  <c r="AZ19" i="4"/>
  <c r="BA19" i="4"/>
  <c r="BB19" i="4"/>
  <c r="BC19" i="4"/>
  <c r="BD19" i="4"/>
  <c r="BE19" i="4"/>
  <c r="BF19" i="4"/>
  <c r="BG19" i="4"/>
  <c r="BH19" i="4"/>
  <c r="BI19" i="4"/>
  <c r="BJ19" i="4"/>
  <c r="BL19" i="4"/>
  <c r="BM19" i="4"/>
  <c r="BO19" i="4"/>
  <c r="BP19" i="4"/>
  <c r="BQ19" i="4"/>
  <c r="BR19" i="4"/>
  <c r="BS19" i="4"/>
  <c r="BT19" i="4"/>
  <c r="BU19" i="4"/>
  <c r="BV19" i="4"/>
  <c r="CE19" i="4"/>
  <c r="CI19" i="4"/>
  <c r="A22" i="4"/>
  <c r="B22" i="4"/>
  <c r="C22" i="4"/>
  <c r="D22" i="4"/>
  <c r="I22" i="4"/>
  <c r="L22" i="4"/>
  <c r="F30" i="4" s="1"/>
  <c r="L30" i="4" s="1"/>
  <c r="N30" i="4" s="1"/>
  <c r="M22" i="4"/>
  <c r="P22" i="4"/>
  <c r="Q22" i="4"/>
  <c r="R22" i="4"/>
  <c r="S22" i="4"/>
  <c r="T22" i="4"/>
  <c r="U22" i="4"/>
  <c r="V22" i="4"/>
  <c r="W22" i="4"/>
  <c r="X22" i="4"/>
  <c r="Z22" i="4"/>
  <c r="AA22" i="4"/>
  <c r="AB22" i="4"/>
  <c r="AC22" i="4"/>
  <c r="AE22" i="4"/>
  <c r="AG22" i="4"/>
  <c r="AH22" i="4"/>
  <c r="AI22" i="4"/>
  <c r="AJ22" i="4"/>
  <c r="AK22" i="4"/>
  <c r="AL22" i="4"/>
  <c r="AM22" i="4"/>
  <c r="AN22" i="4"/>
  <c r="AO22" i="4"/>
  <c r="AP22" i="4"/>
  <c r="AQ22" i="4"/>
  <c r="AS22" i="4"/>
  <c r="AT22" i="4"/>
  <c r="AU22" i="4"/>
  <c r="AV22" i="4"/>
  <c r="AW22" i="4"/>
  <c r="AX22" i="4"/>
  <c r="AZ22" i="4"/>
  <c r="BA22" i="4"/>
  <c r="BB22" i="4"/>
  <c r="BC22" i="4"/>
  <c r="BD22" i="4"/>
  <c r="BE22" i="4"/>
  <c r="BF22" i="4"/>
  <c r="BG22" i="4"/>
  <c r="BH22" i="4"/>
  <c r="BI22" i="4"/>
  <c r="BJ22" i="4"/>
  <c r="BL22" i="4"/>
  <c r="BM22" i="4"/>
  <c r="BO22" i="4"/>
  <c r="BP22" i="4"/>
  <c r="BQ22" i="4"/>
  <c r="BR22" i="4"/>
  <c r="BS22" i="4"/>
  <c r="BT22" i="4"/>
  <c r="BU22" i="4"/>
  <c r="BV22" i="4"/>
  <c r="CE22" i="4"/>
  <c r="CI22" i="4"/>
  <c r="A20" i="4"/>
  <c r="B20" i="4"/>
  <c r="C20" i="4"/>
  <c r="D20" i="4"/>
  <c r="I20" i="4"/>
  <c r="L20" i="4"/>
  <c r="F28" i="4" s="1"/>
  <c r="L28" i="4" s="1"/>
  <c r="N28" i="4" s="1"/>
  <c r="M20" i="4"/>
  <c r="P20" i="4"/>
  <c r="Q20" i="4"/>
  <c r="R20" i="4"/>
  <c r="S20" i="4"/>
  <c r="T20" i="4"/>
  <c r="U20" i="4"/>
  <c r="V20" i="4"/>
  <c r="W20" i="4"/>
  <c r="X20" i="4"/>
  <c r="Z20" i="4"/>
  <c r="AA20" i="4"/>
  <c r="AB20" i="4"/>
  <c r="AC20" i="4"/>
  <c r="AE20" i="4"/>
  <c r="AG20" i="4"/>
  <c r="AH20" i="4"/>
  <c r="AI20" i="4"/>
  <c r="AJ20" i="4"/>
  <c r="AK20" i="4"/>
  <c r="AL20" i="4"/>
  <c r="AM20" i="4"/>
  <c r="AN20" i="4"/>
  <c r="AO20" i="4"/>
  <c r="AP20" i="4"/>
  <c r="AQ20" i="4"/>
  <c r="AS20" i="4"/>
  <c r="AT20" i="4"/>
  <c r="AU20" i="4"/>
  <c r="AV20" i="4"/>
  <c r="AW20" i="4"/>
  <c r="AX20" i="4"/>
  <c r="AZ20" i="4"/>
  <c r="BA20" i="4"/>
  <c r="BB20" i="4"/>
  <c r="BC20" i="4"/>
  <c r="BD20" i="4"/>
  <c r="BE20" i="4"/>
  <c r="BF20" i="4"/>
  <c r="BG20" i="4"/>
  <c r="BH20" i="4"/>
  <c r="BI20" i="4"/>
  <c r="BJ20" i="4"/>
  <c r="BL20" i="4"/>
  <c r="BM20" i="4"/>
  <c r="BO20" i="4"/>
  <c r="BP20" i="4"/>
  <c r="BQ20" i="4"/>
  <c r="BR20" i="4"/>
  <c r="BS20" i="4"/>
  <c r="BT20" i="4"/>
  <c r="BU20" i="4"/>
  <c r="BV20" i="4"/>
  <c r="CE20" i="4"/>
  <c r="CI20" i="4"/>
  <c r="U28" i="4" l="1"/>
  <c r="AB28" i="4" s="1"/>
  <c r="AD28" i="4" s="1"/>
  <c r="U27" i="4"/>
  <c r="AB27" i="4" s="1"/>
  <c r="AD27" i="4" s="1"/>
  <c r="U30" i="4"/>
  <c r="AB30" i="4" s="1"/>
  <c r="AD30" i="4" s="1"/>
  <c r="BX21" i="4"/>
  <c r="U29" i="4"/>
  <c r="AB29" i="4" s="1"/>
  <c r="AD29" i="4" s="1"/>
  <c r="M29" i="4"/>
  <c r="M30" i="4"/>
  <c r="M28" i="4"/>
  <c r="M27" i="4"/>
  <c r="BX22" i="4"/>
  <c r="E28" i="4"/>
  <c r="A12" i="6"/>
  <c r="E30" i="4"/>
  <c r="A14" i="6"/>
  <c r="BX19" i="4"/>
  <c r="E27" i="4"/>
  <c r="A11" i="6"/>
  <c r="BX20" i="4"/>
  <c r="E29" i="4"/>
  <c r="A13" i="6"/>
  <c r="B23" i="4"/>
  <c r="CA17" i="4" l="1"/>
  <c r="BZ17" i="4"/>
  <c r="BW23" i="4"/>
  <c r="BW17" i="4"/>
  <c r="B17" i="4"/>
  <c r="AC23" i="4" l="1"/>
  <c r="AA23" i="4"/>
  <c r="Z23" i="4"/>
  <c r="Y23" i="4"/>
  <c r="X23" i="4"/>
  <c r="W23" i="4"/>
  <c r="V23" i="4"/>
  <c r="T23" i="4"/>
  <c r="BV23" i="4"/>
  <c r="BU23" i="4"/>
  <c r="BT23" i="4"/>
  <c r="BS23" i="4"/>
  <c r="BR23" i="4"/>
  <c r="BQ23" i="4"/>
  <c r="BP23" i="4"/>
  <c r="BO23" i="4"/>
  <c r="BT18" i="4"/>
  <c r="BU18" i="4"/>
  <c r="BV18" i="4"/>
  <c r="BS18" i="4"/>
  <c r="BR18" i="4"/>
  <c r="BQ18" i="4"/>
  <c r="BO18" i="4"/>
  <c r="BP18" i="4"/>
  <c r="BN23" i="4"/>
  <c r="BM23" i="4"/>
  <c r="BL23" i="4"/>
  <c r="BJ23" i="4"/>
  <c r="BI23" i="4"/>
  <c r="BH23" i="4"/>
  <c r="BG23" i="4"/>
  <c r="BF23" i="4"/>
  <c r="BE23" i="4"/>
  <c r="BD23" i="4"/>
  <c r="BC23" i="4"/>
  <c r="BB23" i="4"/>
  <c r="BA23" i="4"/>
  <c r="AZ23" i="4"/>
  <c r="AY23" i="4"/>
  <c r="AX23" i="4"/>
  <c r="AW23" i="4"/>
  <c r="AV23" i="4"/>
  <c r="AU23" i="4"/>
  <c r="AT23" i="4"/>
  <c r="AS23" i="4"/>
  <c r="AQ23" i="4"/>
  <c r="AP23" i="4"/>
  <c r="AO23" i="4"/>
  <c r="AN23" i="4"/>
  <c r="AM23" i="4"/>
  <c r="CI23" i="4"/>
  <c r="AL23" i="4"/>
  <c r="AK23" i="4"/>
  <c r="AJ23" i="4"/>
  <c r="AI23" i="4"/>
  <c r="AH23" i="4"/>
  <c r="AG23" i="4"/>
  <c r="AF23" i="4"/>
  <c r="AN22" i="6" s="1"/>
  <c r="AR22" i="6" s="1"/>
  <c r="AT22" i="6" s="1"/>
  <c r="AE23" i="4"/>
  <c r="S23" i="4" l="1"/>
  <c r="R23" i="4"/>
  <c r="Q23" i="4"/>
  <c r="P23" i="4"/>
  <c r="O16" i="4"/>
  <c r="M23" i="4"/>
  <c r="L23" i="4"/>
  <c r="F31" i="4" s="1"/>
  <c r="L31" i="4" s="1"/>
  <c r="N31" i="4" s="1"/>
  <c r="I23" i="4"/>
  <c r="CE23" i="4"/>
  <c r="D23" i="4"/>
  <c r="C23" i="4"/>
  <c r="A23" i="4"/>
  <c r="BX23" i="4" l="1"/>
  <c r="U31" i="4"/>
  <c r="AB31" i="4" s="1"/>
  <c r="AD31" i="4" s="1"/>
  <c r="M31" i="4"/>
  <c r="CF21" i="4" l="1"/>
  <c r="CF19" i="4"/>
  <c r="CF20" i="4"/>
  <c r="CF22" i="4"/>
  <c r="CF23" i="4"/>
  <c r="Y13" i="6" l="1"/>
  <c r="AI13" i="6" s="1"/>
  <c r="AU13" i="6" s="1"/>
  <c r="AV13" i="6" s="1"/>
  <c r="AZ13" i="6" s="1"/>
  <c r="F39" i="4"/>
  <c r="H39" i="4" s="1"/>
  <c r="H21" i="4"/>
  <c r="J21" i="4" s="1"/>
  <c r="K21" i="4" s="1"/>
  <c r="N21" i="4" s="1"/>
  <c r="Y22" i="6" l="1"/>
  <c r="AI22" i="6" s="1"/>
  <c r="AU22" i="6" s="1"/>
  <c r="AV22" i="6" s="1"/>
  <c r="AZ22" i="6" s="1"/>
  <c r="F41" i="4"/>
  <c r="H41" i="4" s="1"/>
  <c r="Y14" i="6"/>
  <c r="F40" i="4"/>
  <c r="H40" i="4" s="1"/>
  <c r="J39" i="4"/>
  <c r="K39" i="4" s="1"/>
  <c r="N39" i="4" s="1"/>
  <c r="Y12" i="6"/>
  <c r="F38" i="4"/>
  <c r="H38" i="4" s="1"/>
  <c r="Y11" i="6"/>
  <c r="AI11" i="6" s="1"/>
  <c r="AU11" i="6" s="1"/>
  <c r="AV11" i="6" s="1"/>
  <c r="AZ11" i="6" s="1"/>
  <c r="F37" i="4"/>
  <c r="H37" i="4" s="1"/>
  <c r="H20" i="4"/>
  <c r="J20" i="4" s="1"/>
  <c r="K20" i="4" s="1"/>
  <c r="N20" i="4" s="1"/>
  <c r="AI12" i="6"/>
  <c r="AU12" i="6" s="1"/>
  <c r="AV12" i="6" s="1"/>
  <c r="AZ12" i="6" s="1"/>
  <c r="H19" i="4"/>
  <c r="J19" i="4" s="1"/>
  <c r="K19" i="4" s="1"/>
  <c r="N19" i="4" s="1"/>
  <c r="H22" i="4"/>
  <c r="J22" i="4" s="1"/>
  <c r="K22" i="4" s="1"/>
  <c r="N22" i="4" s="1"/>
  <c r="AI14" i="6"/>
  <c r="AU14" i="6" s="1"/>
  <c r="AV14" i="6" s="1"/>
  <c r="AZ14" i="6" s="1"/>
  <c r="H23" i="4"/>
  <c r="J23" i="4" s="1"/>
  <c r="K23" i="4" s="1"/>
  <c r="N23" i="4" s="1"/>
  <c r="J41" i="4" l="1"/>
  <c r="K41" i="4" s="1"/>
  <c r="N41" i="4" s="1"/>
  <c r="J40" i="4"/>
  <c r="K40" i="4" s="1"/>
  <c r="N40" i="4" s="1"/>
  <c r="N24" i="4"/>
  <c r="J38" i="4"/>
  <c r="K38" i="4" s="1"/>
  <c r="N38" i="4" s="1"/>
  <c r="J37" i="4"/>
  <c r="K37" i="4" s="1"/>
  <c r="N37" i="4" s="1"/>
  <c r="N42" i="4" l="1"/>
  <c r="N4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J26" authorId="0" shapeId="0" xr:uid="{78788966-655F-424D-9B90-0C7B31EFEF0D}">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<sst xmlns="http://schemas.openxmlformats.org/spreadsheetml/2006/main" count="395" uniqueCount="299">
  <si>
    <t>DOCKET NO.</t>
  </si>
  <si>
    <t>ITEM CODE</t>
  </si>
  <si>
    <t>PROPOSE ERP ITEM NAME</t>
  </si>
  <si>
    <t>Insulation Screening (Metallic)</t>
  </si>
  <si>
    <t>Weight (Insulation Screening (Metallic))</t>
  </si>
  <si>
    <t>Conductor</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</si>
  <si>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</si>
  <si>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</si>
  <si>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</si>
  <si>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</si>
  <si>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</si>
  <si>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</si>
  <si>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</si>
  <si>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</si>
  <si>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</si>
  <si>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</si>
  <si>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</si>
  <si>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</si>
  <si>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</si>
  <si>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</si>
  <si>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</si>
  <si>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</si>
  <si>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</si>
  <si>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</si>
  <si>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FIRM %</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</si>
  <si>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</si>
  <si>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</si>
  <si>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</si>
  <si>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</si>
  <si>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</si>
  <si>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</si>
  <si>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</si>
  <si>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</si>
  <si>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</si>
  <si>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</si>
  <si>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</si>
  <si>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</si>
  <si>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</si>
  <si>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</si>
  <si>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</si>
  <si>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</si>
  <si>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</si>
  <si>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</si>
  <si>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</si>
  <si>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</si>
  <si>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</si>
  <si>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</si>
  <si>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</si>
  <si>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</si>
  <si>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</si>
  <si>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</si>
  <si>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</si>
  <si>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</si>
  <si>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</si>
  <si>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</si>
  <si>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</si>
  <si>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</si>
  <si>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</si>
  <si>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</si>
  <si>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</si>
  <si>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</si>
  <si>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</si>
  <si>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</si>
  <si>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</si>
  <si>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</si>
  <si>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</si>
  <si>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</si>
  <si>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</si>
  <si>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</si>
  <si>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</si>
  <si>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</si>
  <si>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</si>
  <si>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</si>
  <si>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</si>
  <si>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</si>
  <si>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</si>
  <si>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</si>
  <si>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</si>
  <si>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</si>
  <si>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</si>
  <si>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</si>
  <si>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</si>
  <si>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</si>
  <si>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</si>
  <si>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</si>
  <si>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</si>
  <si>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</si>
  <si>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</si>
  <si>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</si>
  <si>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</si>
  <si>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</si>
  <si>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</si>
  <si>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</si>
  <si>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</si>
  <si>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</si>
  <si>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</si>
  <si>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</si>
  <si>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</si>
  <si>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</si>
  <si>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</si>
  <si>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DRUM CODE</t>
  </si>
  <si>
    <t>DRUM SIZE (FxbXtx Ft)</t>
  </si>
  <si>
    <t xml:space="preserve">NPCL/FY24-25/HTCAB/029 Dated 11.02.2025 </t>
  </si>
  <si>
    <t xml:space="preserve">04.03.2025 (up to 15:30 hours) </t>
  </si>
  <si>
    <t xml:space="preserve">TENDER NOTIFICATION  FOR ANNUAL RATE CONTRACT OF SUPPLY OF HT and HT ABC CABLE </t>
  </si>
  <si>
    <t xml:space="preserve">Purchaser reserves the right to use Reverse Auction through SAP-SRM as an optional tool as an integral part of the entire tendering process. All techno-commercially qualified bidders shall participate in this event. </t>
  </si>
  <si>
    <t>Prices quoted by the Bidder shall be “As per latest IEEMA Price Variation Clause”.
After finalization of the tender, Rate Contract shall be issued to the successful bidder with a validity period of One Year. FEB 2025 is the Base Month for PVC (IEEMA Circular JAN 2025). Within the validity of the rate contract and as per requirement of material, release order shall be issued from time to time.</t>
  </si>
  <si>
    <t xml:space="preserve">Bids shall remain valid for 120 days from the due date of submission of the Bid &amp; subsequent corrigendum / amendment / extension of due date of submission. </t>
  </si>
  <si>
    <t xml:space="preserve">45 Days from the date of issuance of LOI / Order; however, firm delivery dates will be mentioned in the LOI / Order. </t>
  </si>
  <si>
    <t xml:space="preserve">20% payment shall be paid as interest free advance against submission of Advance Bank Guarantee (ABG) of a nationalized/scheduled bank(s) located at State Capital/Delhi NCR, payable at Delhi/Noida / Corporate Guarantee as may be acceptable to the NPCL, for the equal amount valid up to the PO supply completion period plus 3 months claim period. In case of delay, the BG shall be extended suitably by the bidder. Bidder can request to submit Corporate guarantee in place of ABG, Same request can be considered with discretion of NPCL management only. 
75% Payment shall be released on pro-rata basic within 45 days from the receipt of material at NPCL site with complete set of documents as mentioned in order. Your invoices complete in all respect along with all required documents should reach our office within 3 days. Any delay in submission of any of these documents will be to your account. It may please be noted that  for payment purposes the date of receipt of documents will be considered on the basis of the date of receipt of last document, in case partial documents were received earlier. </t>
  </si>
  <si>
    <t>Noida Power Company Ltd.</t>
  </si>
  <si>
    <t>Propose Drum Type</t>
  </si>
  <si>
    <t>Insulation Screening(Metallic)</t>
  </si>
  <si>
    <t>RM Rate(Insulation Screening(Metallic))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</si>
  <si>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</si>
  <si>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</si>
  <si>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</si>
  <si>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</si>
  <si>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</si>
  <si>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</si>
  <si>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</si>
  <si>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</si>
  <si>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</si>
  <si>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</si>
  <si>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</si>
  <si>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</si>
  <si>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</si>
  <si>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</si>
  <si>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</si>
  <si>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</si>
  <si>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</si>
  <si>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</si>
  <si>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</si>
  <si>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</si>
  <si>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</si>
  <si>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</si>
  <si>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</si>
  <si>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</si>
  <si>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</si>
  <si>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</si>
  <si>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</si>
  <si>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</si>
  <si>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</si>
  <si>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</si>
  <si>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</si>
  <si>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</si>
  <si>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</si>
  <si>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</si>
  <si>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</si>
  <si>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</si>
  <si>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</si>
  <si>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</si>
  <si>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</si>
  <si>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</si>
  <si>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</si>
  <si>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</si>
  <si>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</si>
  <si>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</si>
  <si>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</si>
  <si>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</si>
  <si>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</si>
  <si>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</si>
  <si>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</si>
  <si>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</si>
  <si>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</si>
  <si>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</si>
  <si>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</si>
  <si>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</si>
  <si>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</si>
  <si>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</si>
  <si>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</si>
  <si>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</si>
  <si>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</si>
  <si>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</si>
  <si>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</si>
  <si>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</si>
  <si>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</si>
  <si>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Value</t>
  </si>
  <si>
    <t>MFG Value</t>
  </si>
  <si>
    <t>Profit Value</t>
  </si>
  <si>
    <t>1st EX-Works</t>
  </si>
  <si>
    <t>Intt Value</t>
  </si>
  <si>
    <t>Insp Value</t>
  </si>
  <si>
    <t>EX-Works Per KM</t>
  </si>
  <si>
    <t>Freight Per KM</t>
  </si>
  <si>
    <t>Price Including Freight Per KM</t>
  </si>
  <si>
    <t>GST Value</t>
  </si>
  <si>
    <t>Price Including GST &amp; Freight Per KM</t>
  </si>
  <si>
    <t>Total Price Of Full QTY(Including Freight&amp;GST)</t>
  </si>
  <si>
    <t>Party Standard Length(MTR)</t>
  </si>
  <si>
    <t>ENQ-15363-22-23</t>
  </si>
  <si>
    <t>FA0400012</t>
  </si>
  <si>
    <t>3 CORE X 120 SQ MM + 1 CORE X 120 SQ MM (AB CABLES) (BARE) - 11 KV</t>
  </si>
  <si>
    <t>STEEL</t>
  </si>
  <si>
    <t>Alumimium Alloy</t>
  </si>
  <si>
    <t>Extruded Semiconductive</t>
  </si>
  <si>
    <t>KMS</t>
  </si>
  <si>
    <t>SP0400141</t>
  </si>
  <si>
    <t>CORRUGATED DISPATCH STEEL DRUM 2080 X 1000 X 1400 MM</t>
  </si>
  <si>
    <t>FA1300004</t>
  </si>
  <si>
    <t>3 CORE X 300 SQ. MM. AL/ARM - STRIP (XLPE) - 11 KV</t>
  </si>
  <si>
    <t>FA1300006</t>
  </si>
  <si>
    <t>3 CORE X 70 SQ. MM. AL/ARM - STRIP (XLPE) - 11 KV</t>
  </si>
  <si>
    <t>FA1300010</t>
  </si>
  <si>
    <t>3 CORE X 400 SQ. MM. AL/ARM - STRIP (XLPE) - 33 KV</t>
  </si>
  <si>
    <t>FA1300052</t>
  </si>
  <si>
    <t>3 CORE X 150 SQ. MM. AL/ARM - STRIP (XLPE) - 11 KV</t>
  </si>
  <si>
    <t>OD</t>
  </si>
  <si>
    <t>WEIGHT OF CABLE</t>
  </si>
  <si>
    <t>ERP NAME</t>
  </si>
  <si>
    <t xml:space="preserve">3 CORE X 120 SQ MM + 1 CORE X 125 SQ MM (AB CABLES) (INSULATED) - 11 KV			</t>
  </si>
  <si>
    <t>PV Terms()</t>
  </si>
  <si>
    <t>PV FORMULA (IEEMA)</t>
  </si>
  <si>
    <t>n</t>
  </si>
  <si>
    <t xml:space="preserve">Alph </t>
  </si>
  <si>
    <t>Alm</t>
  </si>
  <si>
    <t>CCFAIph</t>
  </si>
  <si>
    <t>CCFAIm</t>
  </si>
  <si>
    <t>Item</t>
  </si>
  <si>
    <t>Calculation part</t>
  </si>
  <si>
    <t>Date of Inspection</t>
  </si>
  <si>
    <t>Applicable Date</t>
  </si>
  <si>
    <t>BASE DATE</t>
  </si>
  <si>
    <t>FACTORS</t>
  </si>
  <si>
    <t>Ex-Work
Po</t>
  </si>
  <si>
    <t>PVC of Al</t>
  </si>
  <si>
    <t>PVC of AlM</t>
  </si>
  <si>
    <t>PVC of Alsl</t>
  </si>
  <si>
    <t>PVC of CUFtph</t>
  </si>
  <si>
    <t xml:space="preserve">PVC of CCFAIph </t>
  </si>
  <si>
    <t>PVC of CCFAIm</t>
  </si>
  <si>
    <t>PVC of CCFAIsl</t>
  </si>
  <si>
    <t>PVC of CCFAlph</t>
  </si>
  <si>
    <t>PV/PKM</t>
  </si>
  <si>
    <t>Billing Price/PKM</t>
  </si>
  <si>
    <r>
      <t>VALUE ADDITION CALCULATION</t>
    </r>
    <r>
      <rPr>
        <b/>
        <sz val="10"/>
        <color indexed="10"/>
        <rFont val="Arial"/>
        <family val="2"/>
      </rPr>
      <t xml:space="preserve"> WITH RESPECT TO PERCENTAGE</t>
    </r>
  </si>
  <si>
    <t>Date</t>
  </si>
  <si>
    <t>Al</t>
  </si>
  <si>
    <t>Cu</t>
  </si>
  <si>
    <t>CC</t>
  </si>
  <si>
    <t>PVCC</t>
  </si>
  <si>
    <t>Alo</t>
  </si>
  <si>
    <t>Cuo</t>
  </si>
  <si>
    <t>Cco</t>
  </si>
  <si>
    <t>PVCco</t>
  </si>
  <si>
    <t>Alsl</t>
  </si>
  <si>
    <t>CUFtph</t>
  </si>
  <si>
    <t>CCFAIsl</t>
  </si>
  <si>
    <t>CCFAlph</t>
  </si>
  <si>
    <t>RMC</t>
  </si>
  <si>
    <t>Drum</t>
  </si>
  <si>
    <t>RMC+Drum</t>
  </si>
  <si>
    <t>VA</t>
  </si>
  <si>
    <t>Groos VA%</t>
  </si>
  <si>
    <t>Mfg %</t>
  </si>
  <si>
    <t>Int %</t>
  </si>
  <si>
    <t>Ins%</t>
  </si>
  <si>
    <t>Net VA %</t>
  </si>
  <si>
    <t>PROVISIONAL</t>
  </si>
  <si>
    <t>Fe</t>
  </si>
  <si>
    <t>PVCCo</t>
  </si>
  <si>
    <t>Feo</t>
  </si>
  <si>
    <t>ALF</t>
  </si>
  <si>
    <t>SMIF</t>
  </si>
  <si>
    <t>XLFL</t>
  </si>
  <si>
    <t>CCFAI</t>
  </si>
  <si>
    <t>FEF</t>
  </si>
  <si>
    <t>PVC of Cu Tape</t>
  </si>
  <si>
    <t>PVC of XLPE</t>
  </si>
  <si>
    <t>PVC of PVCC</t>
  </si>
  <si>
    <t>PVC OF FE</t>
  </si>
  <si>
    <t>SP0400118</t>
  </si>
  <si>
    <t>CORRUGATED DISPATCH STEEL DRUM 1700 X 1000 X 1200</t>
  </si>
  <si>
    <t>SP0400123</t>
  </si>
  <si>
    <t>CORRUGATED DISPATCH STEEL DRUM 2000 X 1000 X 1200 MM</t>
  </si>
  <si>
    <t>SP0400109</t>
  </si>
  <si>
    <t>CORRUGATED DISPATCH STEEL DRUM 2200 X 1000 X 1450 MM</t>
  </si>
  <si>
    <t>SP0400094</t>
  </si>
  <si>
    <t>CORRUGATED DISPATCH STEEL DRUM 2750 X 1400 X 1750</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</si>
  <si>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</si>
  <si>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</si>
  <si>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</si>
  <si>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</si>
  <si>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</si>
  <si>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</si>
  <si>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</si>
  <si>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</si>
  <si>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</si>
  <si>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25 MT TRAILER</t>
  </si>
  <si>
    <t>CABLE WEIGHT KG/KM</t>
  </si>
  <si>
    <t>DRUM WEIGHT</t>
  </si>
  <si>
    <t>CABLE+DRUM WEIGHT</t>
  </si>
  <si>
    <t>TRAILOR WEIGHT</t>
  </si>
  <si>
    <t>SOMBHU SIR CONFIRMED OVERPHONE</t>
  </si>
  <si>
    <t>EX-WORKS (PER MTR)</t>
  </si>
  <si>
    <t>FREIGHT PER MTR</t>
  </si>
  <si>
    <t>PRICE INCLUDING FREIGHT (PER MTR)</t>
  </si>
  <si>
    <t>PRICE INCLUDING GST &amp; FREIGHT (PER MTR)</t>
  </si>
  <si>
    <t>MTR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</si>
</sst>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0.000%"/>
    <numFmt numFmtId="166" formatCode="0.0"/>
    <numFmt numFmtId="167" formatCode="0.0000"/>
    <numFmt numFmtId="168" formatCode="&quot;Rs.&quot;#,##0"/>
    <numFmt numFmtId="169" formatCode="0.000"/>
    <numFmt numFmtId="170" formatCode="0.00000"/>
  </numFmts>
  <fonts count="2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sz val="11"/>
      <color rgb="FFFF0000"/>
      <name val="Calibri"/>
      <family val="2"/>
      <scheme val="minor"/>
    </font>
    <font>
      <b/>
      <sz val="10"/>
      <name val="Calibri"/>
      <family val="2"/>
      <scheme val="minor"/>
    </font>
    <font>
      <sz val="10"/>
      <name val="Calibri"/>
      <family val="2"/>
      <scheme val="minor"/>
    </font>
    <font>
      <b/>
      <sz val="10"/>
      <name val="Verdana"/>
      <family val="2"/>
    </font>
    <font>
      <b/>
      <sz val="11"/>
      <name val="Calibri"/>
      <family val="2"/>
      <scheme val="minor"/>
    </font>
    <font>
      <b/>
      <sz val="10"/>
      <name val="Arial"/>
      <family val="2"/>
    </font>
    <font>
      <b/>
      <sz val="10"/>
      <color indexed="10"/>
      <name val="Arial"/>
      <family val="2"/>
    </font>
    <font>
      <sz val="10"/>
      <color rgb="FFFF0000"/>
      <name val="Calibri"/>
      <family val="2"/>
      <scheme val="minor"/>
    </font>
    <font>
      <sz val="10"/>
      <color rgb="FF000000"/>
      <name val="Calibri"/>
      <family val="2"/>
      <scheme val="minor"/>
    </font>
    <font>
      <b/>
      <sz val="9"/>
      <color indexed="81"/>
      <name val="Tahoma"/>
      <family val="2"/>
    </font>
    <font>
      <sz val="9"/>
      <color indexed="81"/>
      <name val="Tahoma"/>
      <family val="2"/>
    </font>
  </fonts>
  <fills count="12">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B0F0"/>
        <bgColor indexed="64"/>
      </patternFill>
    </fill>
    <fill>
      <patternFill patternType="solid">
        <fgColor theme="5" tint="0.39997558519241921"/>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43" fontId="1" fillId="0" borderId="0" applyFont="0" applyFill="0" applyBorder="0" applyAlignment="0" applyProtection="0"/>
  </cellStyleXfs>
  <cellXfs count="284">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164" fontId="0" fillId="0" borderId="1" xfId="1" applyFont="1" applyBorder="1" applyAlignment="1">
      <alignment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164"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0" fillId="0" borderId="1" xfId="0" applyNumberFormat="1" applyBorder="1" applyAlignment="1">
      <alignment wrapText="1"/>
    </xf>
    <xf numFmtId="164"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166" fontId="2" fillId="0" borderId="1" xfId="0" applyNumberFormat="1" applyFont="1" applyBorder="1" applyAlignment="1">
      <alignment horizontal="center" vertical="center"/>
    </xf>
    <xf numFmtId="0" fontId="7" fillId="3" borderId="1" xfId="0" applyFont="1" applyFill="1" applyBorder="1" applyAlignment="1">
      <alignment vertical="center" wrapText="1"/>
    </xf>
    <xf numFmtId="0" fontId="14" fillId="0" borderId="0" xfId="4" applyFont="1" applyAlignment="1">
      <alignment horizontal="center" wrapText="1"/>
    </xf>
    <xf numFmtId="0" fontId="14" fillId="0" borderId="0" xfId="4" applyFont="1"/>
    <xf numFmtId="0" fontId="15" fillId="0" borderId="0" xfId="6" applyFont="1"/>
    <xf numFmtId="0" fontId="11" fillId="0" borderId="0" xfId="4"/>
    <xf numFmtId="0" fontId="16" fillId="0" borderId="1" xfId="4" applyFont="1" applyBorder="1" applyAlignment="1">
      <alignment horizontal="center" vertical="center"/>
    </xf>
    <xf numFmtId="0" fontId="11" fillId="0" borderId="0" xfId="4" applyAlignment="1">
      <alignment horizontal="center" vertical="center"/>
    </xf>
    <xf numFmtId="0" fontId="15" fillId="0" borderId="0" xfId="4" applyFont="1" applyAlignment="1">
      <alignment horizontal="center"/>
    </xf>
    <xf numFmtId="0" fontId="17" fillId="0" borderId="1" xfId="4" applyFont="1" applyBorder="1" applyAlignment="1">
      <alignment horizontal="center" vertical="center" wrapText="1"/>
    </xf>
    <xf numFmtId="0" fontId="14" fillId="0" borderId="0" xfId="4" applyFont="1" applyAlignment="1">
      <alignment horizontal="center"/>
    </xf>
    <xf numFmtId="0" fontId="15" fillId="0" borderId="0" xfId="6" applyFont="1" applyAlignment="1">
      <alignment horizontal="center"/>
    </xf>
    <xf numFmtId="0" fontId="11" fillId="0" borderId="0" xfId="4" applyAlignment="1">
      <alignment horizontal="center"/>
    </xf>
    <xf numFmtId="0" fontId="14" fillId="0" borderId="0" xfId="4" applyFont="1" applyAlignment="1">
      <alignment horizontal="center" vertical="center"/>
    </xf>
    <xf numFmtId="0" fontId="14" fillId="0" borderId="0" xfId="4" applyFont="1" applyAlignment="1">
      <alignment vertical="center"/>
    </xf>
    <xf numFmtId="14" fontId="15" fillId="0" borderId="0" xfId="4" applyNumberFormat="1" applyFont="1" applyAlignment="1">
      <alignment horizontal="center"/>
    </xf>
    <xf numFmtId="0" fontId="16" fillId="0" borderId="11" xfId="4" applyFont="1" applyBorder="1" applyAlignment="1">
      <alignment horizontal="center" vertical="center" wrapText="1"/>
    </xf>
    <xf numFmtId="0" fontId="14" fillId="0" borderId="34" xfId="6" applyFont="1" applyBorder="1" applyAlignment="1">
      <alignment horizontal="center" vertical="center" wrapText="1"/>
    </xf>
    <xf numFmtId="0" fontId="14" fillId="0" borderId="35" xfId="6" applyFont="1" applyBorder="1" applyAlignment="1">
      <alignment horizontal="center" vertical="center" wrapText="1"/>
    </xf>
    <xf numFmtId="0" fontId="18" fillId="0" borderId="6" xfId="6" applyFont="1" applyBorder="1" applyAlignment="1">
      <alignment horizontal="center" vertical="center" wrapText="1"/>
    </xf>
    <xf numFmtId="0" fontId="18" fillId="0" borderId="1" xfId="6" applyFont="1" applyBorder="1" applyAlignment="1">
      <alignment horizontal="center" vertical="center" wrapText="1"/>
    </xf>
    <xf numFmtId="0" fontId="12" fillId="0" borderId="1" xfId="6" applyBorder="1" applyAlignment="1">
      <alignment horizontal="center" vertical="center" wrapText="1"/>
    </xf>
    <xf numFmtId="0" fontId="18" fillId="0" borderId="31" xfId="6" applyFont="1" applyBorder="1" applyAlignment="1">
      <alignment horizontal="center" vertical="center" wrapText="1"/>
    </xf>
    <xf numFmtId="0" fontId="11" fillId="0" borderId="23" xfId="4" applyBorder="1"/>
    <xf numFmtId="0" fontId="15" fillId="0" borderId="24" xfId="6" applyFont="1" applyBorder="1"/>
    <xf numFmtId="0" fontId="15" fillId="0" borderId="6" xfId="6" applyFont="1" applyBorder="1" applyAlignment="1">
      <alignment horizontal="left" vertical="center" wrapText="1"/>
    </xf>
    <xf numFmtId="14" fontId="15" fillId="0" borderId="1" xfId="6" applyNumberFormat="1" applyFont="1" applyBorder="1" applyAlignment="1">
      <alignment horizontal="center" vertical="center" wrapText="1"/>
    </xf>
    <xf numFmtId="14" fontId="14" fillId="0" borderId="1" xfId="6" applyNumberFormat="1" applyFont="1" applyBorder="1" applyAlignment="1">
      <alignment horizontal="center" vertical="center" wrapText="1"/>
    </xf>
    <xf numFmtId="14" fontId="14" fillId="0" borderId="25" xfId="6" applyNumberFormat="1" applyFont="1" applyBorder="1" applyAlignment="1">
      <alignment horizontal="center" vertical="center" wrapText="1"/>
    </xf>
    <xf numFmtId="14" fontId="15" fillId="0" borderId="6" xfId="6" applyNumberFormat="1" applyFont="1" applyBorder="1" applyAlignment="1">
      <alignment horizontal="center" vertical="center" wrapText="1"/>
    </xf>
    <xf numFmtId="2" fontId="14" fillId="0" borderId="4" xfId="6" applyNumberFormat="1" applyFont="1" applyBorder="1" applyAlignment="1">
      <alignment horizontal="center" vertical="center" wrapText="1"/>
    </xf>
    <xf numFmtId="2" fontId="14" fillId="0" borderId="2" xfId="6" applyNumberFormat="1" applyFont="1" applyBorder="1" applyAlignment="1">
      <alignment horizontal="center" vertical="center" wrapText="1"/>
    </xf>
    <xf numFmtId="2" fontId="14" fillId="0" borderId="29" xfId="6" applyNumberFormat="1" applyFont="1" applyBorder="1" applyAlignment="1">
      <alignment horizontal="center" vertical="center" wrapText="1"/>
    </xf>
    <xf numFmtId="0" fontId="14" fillId="0" borderId="37" xfId="6" applyFont="1" applyBorder="1" applyAlignment="1">
      <alignment horizontal="center" vertical="center" wrapText="1"/>
    </xf>
    <xf numFmtId="0" fontId="14" fillId="0" borderId="0" xfId="6" applyFont="1" applyAlignment="1">
      <alignment horizontal="center" vertical="center" wrapText="1"/>
    </xf>
    <xf numFmtId="0" fontId="15" fillId="0" borderId="23" xfId="6" applyFont="1" applyBorder="1" applyAlignment="1">
      <alignment horizontal="center" vertical="center" wrapText="1"/>
    </xf>
    <xf numFmtId="168" fontId="18" fillId="0" borderId="3" xfId="6" applyNumberFormat="1" applyFont="1" applyBorder="1" applyAlignment="1">
      <alignment horizontal="center" vertical="center" wrapText="1"/>
    </xf>
    <xf numFmtId="168" fontId="18" fillId="0" borderId="6" xfId="6" applyNumberFormat="1" applyFont="1" applyBorder="1" applyAlignment="1">
      <alignment horizontal="center"/>
    </xf>
    <xf numFmtId="168" fontId="18" fillId="0" borderId="1" xfId="6" applyNumberFormat="1" applyFont="1" applyBorder="1" applyAlignment="1">
      <alignment horizontal="center"/>
    </xf>
    <xf numFmtId="1" fontId="12" fillId="0" borderId="1" xfId="6" applyNumberFormat="1" applyBorder="1"/>
    <xf numFmtId="1" fontId="18" fillId="0" borderId="1" xfId="6" applyNumberFormat="1" applyFont="1" applyBorder="1"/>
    <xf numFmtId="1" fontId="12" fillId="0" borderId="1" xfId="6" applyNumberFormat="1" applyBorder="1" applyAlignment="1">
      <alignment horizontal="center"/>
    </xf>
    <xf numFmtId="0" fontId="12" fillId="0" borderId="1" xfId="6" applyBorder="1"/>
    <xf numFmtId="0" fontId="11" fillId="0" borderId="31" xfId="4" applyBorder="1"/>
    <xf numFmtId="0" fontId="11" fillId="0" borderId="2" xfId="4" applyBorder="1" applyAlignment="1">
      <alignment horizontal="center" wrapText="1"/>
    </xf>
    <xf numFmtId="14" fontId="15" fillId="0" borderId="25" xfId="6" applyNumberFormat="1" applyFont="1" applyBorder="1" applyAlignment="1">
      <alignment horizontal="center" vertical="center" wrapText="1"/>
    </xf>
    <xf numFmtId="14" fontId="14" fillId="7" borderId="6" xfId="6" applyNumberFormat="1" applyFont="1" applyFill="1" applyBorder="1" applyAlignment="1">
      <alignment horizontal="center" vertical="center" wrapText="1"/>
    </xf>
    <xf numFmtId="166" fontId="15" fillId="0" borderId="1" xfId="6" applyNumberFormat="1" applyFont="1" applyBorder="1" applyAlignment="1">
      <alignment horizontal="center" vertical="center" wrapText="1"/>
    </xf>
    <xf numFmtId="166" fontId="15" fillId="0" borderId="25" xfId="6" applyNumberFormat="1" applyFont="1" applyBorder="1" applyAlignment="1">
      <alignment horizontal="center" vertical="center" wrapText="1"/>
    </xf>
    <xf numFmtId="169" fontId="15" fillId="0" borderId="4" xfId="6" applyNumberFormat="1" applyFont="1" applyBorder="1" applyAlignment="1">
      <alignment horizontal="center" vertical="center" wrapText="1"/>
    </xf>
    <xf numFmtId="169" fontId="15" fillId="0" borderId="2" xfId="6" applyNumberFormat="1" applyFont="1" applyBorder="1" applyAlignment="1">
      <alignment horizontal="center" vertical="center" wrapText="1"/>
    </xf>
    <xf numFmtId="2" fontId="15" fillId="0" borderId="29" xfId="6" applyNumberFormat="1" applyFont="1" applyBorder="1" applyAlignment="1">
      <alignment horizontal="center" vertical="center" wrapText="1"/>
    </xf>
    <xf numFmtId="167" fontId="15" fillId="0" borderId="4" xfId="6" applyNumberFormat="1" applyFont="1" applyBorder="1" applyAlignment="1">
      <alignment vertical="center" wrapText="1"/>
    </xf>
    <xf numFmtId="167" fontId="15" fillId="0" borderId="3" xfId="6" applyNumberFormat="1" applyFont="1" applyBorder="1" applyAlignment="1">
      <alignment vertical="center" wrapText="1"/>
    </xf>
    <xf numFmtId="2" fontId="15" fillId="8" borderId="29" xfId="6" applyNumberFormat="1" applyFont="1" applyFill="1" applyBorder="1" applyAlignment="1">
      <alignment horizontal="center" vertical="center" wrapText="1"/>
    </xf>
    <xf numFmtId="2" fontId="12" fillId="0" borderId="3" xfId="6" applyNumberFormat="1" applyBorder="1" applyAlignment="1">
      <alignment horizontal="center" vertical="center" wrapText="1"/>
    </xf>
    <xf numFmtId="0" fontId="5" fillId="0" borderId="6" xfId="0" applyFont="1" applyBorder="1" applyAlignment="1">
      <alignment horizontal="center" vertical="center" wrapText="1"/>
    </xf>
    <xf numFmtId="0" fontId="5" fillId="0" borderId="1" xfId="0" applyFont="1" applyBorder="1" applyAlignment="1">
      <alignment horizontal="center" vertical="center" wrapText="1"/>
    </xf>
    <xf numFmtId="0" fontId="21" fillId="0" borderId="1" xfId="0" applyFont="1" applyBorder="1" applyAlignment="1">
      <alignment horizontal="center" vertical="center" wrapText="1"/>
    </xf>
    <xf numFmtId="2" fontId="18" fillId="0" borderId="1" xfId="6" applyNumberFormat="1" applyFont="1" applyBorder="1" applyAlignment="1">
      <alignment vertical="center" wrapText="1"/>
    </xf>
    <xf numFmtId="2" fontId="12" fillId="0" borderId="1" xfId="6" applyNumberFormat="1" applyBorder="1" applyAlignment="1">
      <alignment vertical="center" wrapText="1"/>
    </xf>
    <xf numFmtId="10" fontId="18" fillId="9" borderId="1" xfId="2" applyNumberFormat="1" applyFont="1" applyFill="1" applyBorder="1" applyAlignment="1">
      <alignment vertical="center" wrapText="1"/>
    </xf>
    <xf numFmtId="10" fontId="12" fillId="0" borderId="1" xfId="2" applyNumberFormat="1" applyFont="1" applyFill="1" applyBorder="1" applyAlignment="1">
      <alignment vertical="center" wrapText="1"/>
    </xf>
    <xf numFmtId="10" fontId="16" fillId="0" borderId="31" xfId="2" applyNumberFormat="1" applyFont="1" applyBorder="1" applyAlignment="1">
      <alignment vertical="center" wrapText="1"/>
    </xf>
    <xf numFmtId="164" fontId="11" fillId="0" borderId="0" xfId="1" applyFont="1" applyAlignment="1">
      <alignment wrapText="1"/>
    </xf>
    <xf numFmtId="0" fontId="11" fillId="0" borderId="0" xfId="4" applyAlignment="1">
      <alignment wrapText="1"/>
    </xf>
    <xf numFmtId="169" fontId="15" fillId="0" borderId="39" xfId="6" applyNumberFormat="1" applyFont="1" applyBorder="1" applyAlignment="1">
      <alignment horizontal="center" vertical="center" wrapText="1"/>
    </xf>
    <xf numFmtId="169" fontId="15" fillId="0" borderId="38" xfId="6" applyNumberFormat="1" applyFont="1" applyBorder="1" applyAlignment="1">
      <alignment horizontal="center" vertical="center" wrapText="1"/>
    </xf>
    <xf numFmtId="0" fontId="11" fillId="0" borderId="26" xfId="4" applyBorder="1" applyAlignment="1">
      <alignment wrapText="1"/>
    </xf>
    <xf numFmtId="0" fontId="11" fillId="0" borderId="27" xfId="4" applyBorder="1" applyAlignment="1">
      <alignment wrapText="1"/>
    </xf>
    <xf numFmtId="0" fontId="11" fillId="0" borderId="7" xfId="4" applyBorder="1" applyAlignment="1">
      <alignment wrapText="1"/>
    </xf>
    <xf numFmtId="0" fontId="16" fillId="0" borderId="40" xfId="4" applyFont="1" applyBorder="1" applyAlignment="1">
      <alignment horizontal="center" vertical="center" wrapText="1"/>
    </xf>
    <xf numFmtId="0" fontId="16" fillId="0" borderId="41" xfId="4" applyFont="1" applyBorder="1" applyAlignment="1">
      <alignment horizontal="center" vertical="center" wrapText="1"/>
    </xf>
    <xf numFmtId="0" fontId="16" fillId="0" borderId="42" xfId="4" applyFont="1" applyBorder="1" applyAlignment="1">
      <alignment horizontal="center" vertical="center" wrapText="1"/>
    </xf>
    <xf numFmtId="169" fontId="15" fillId="0" borderId="43" xfId="6" applyNumberFormat="1" applyFont="1" applyBorder="1" applyAlignment="1">
      <alignment horizontal="center" vertical="center" wrapText="1"/>
    </xf>
    <xf numFmtId="2" fontId="14" fillId="0" borderId="40" xfId="6" applyNumberFormat="1" applyFont="1" applyBorder="1" applyAlignment="1">
      <alignment horizontal="center" vertical="center" wrapText="1"/>
    </xf>
    <xf numFmtId="2" fontId="15" fillId="0" borderId="8" xfId="6" applyNumberFormat="1" applyFont="1" applyBorder="1" applyAlignment="1">
      <alignment vertical="center" wrapText="1"/>
    </xf>
    <xf numFmtId="0" fontId="11" fillId="0" borderId="35" xfId="4" applyBorder="1" applyAlignment="1">
      <alignment horizontal="center" wrapText="1"/>
    </xf>
    <xf numFmtId="0" fontId="11" fillId="0" borderId="23" xfId="4" applyBorder="1" applyAlignment="1">
      <alignment wrapText="1"/>
    </xf>
    <xf numFmtId="14" fontId="14" fillId="7" borderId="29" xfId="6" applyNumberFormat="1" applyFont="1" applyFill="1" applyBorder="1" applyAlignment="1">
      <alignment horizontal="center" vertical="center" wrapText="1"/>
    </xf>
    <xf numFmtId="169" fontId="15" fillId="0" borderId="37" xfId="6" applyNumberFormat="1" applyFont="1" applyBorder="1" applyAlignment="1">
      <alignment horizontal="center" vertical="center" wrapText="1"/>
    </xf>
    <xf numFmtId="169" fontId="15" fillId="0" borderId="10" xfId="6" applyNumberFormat="1" applyFont="1" applyBorder="1" applyAlignment="1">
      <alignment horizontal="center" vertical="center" wrapText="1"/>
    </xf>
    <xf numFmtId="2" fontId="15" fillId="0" borderId="32" xfId="6" applyNumberFormat="1" applyFont="1" applyBorder="1" applyAlignment="1">
      <alignment horizontal="center" vertical="center" wrapText="1"/>
    </xf>
    <xf numFmtId="167" fontId="15" fillId="0" borderId="34" xfId="6" applyNumberFormat="1" applyFont="1" applyBorder="1" applyAlignment="1">
      <alignment vertical="center" wrapText="1"/>
    </xf>
    <xf numFmtId="167" fontId="15" fillId="0" borderId="44" xfId="6" applyNumberFormat="1" applyFont="1" applyBorder="1" applyAlignment="1">
      <alignment vertical="center" wrapText="1"/>
    </xf>
    <xf numFmtId="2" fontId="15" fillId="8" borderId="32" xfId="6" applyNumberFormat="1" applyFont="1" applyFill="1" applyBorder="1" applyAlignment="1">
      <alignment horizontal="center" vertical="center" wrapText="1"/>
    </xf>
    <xf numFmtId="2" fontId="12" fillId="0" borderId="44" xfId="6" applyNumberFormat="1" applyBorder="1" applyAlignment="1">
      <alignment horizontal="center" vertical="center" wrapText="1"/>
    </xf>
    <xf numFmtId="0" fontId="11" fillId="0" borderId="46" xfId="4" applyBorder="1" applyAlignment="1">
      <alignment wrapText="1"/>
    </xf>
    <xf numFmtId="14" fontId="15" fillId="0" borderId="47" xfId="6" applyNumberFormat="1" applyFont="1" applyBorder="1" applyAlignment="1">
      <alignment horizontal="center" vertical="center" wrapText="1"/>
    </xf>
    <xf numFmtId="14" fontId="15" fillId="0" borderId="48" xfId="6" applyNumberFormat="1" applyFont="1" applyBorder="1" applyAlignment="1">
      <alignment horizontal="center" vertical="center" wrapText="1"/>
    </xf>
    <xf numFmtId="2" fontId="15" fillId="0" borderId="49" xfId="6" applyNumberFormat="1" applyFont="1" applyBorder="1" applyAlignment="1">
      <alignment horizontal="center" vertical="center" wrapText="1"/>
    </xf>
    <xf numFmtId="2" fontId="15" fillId="0" borderId="50" xfId="6" applyNumberFormat="1" applyFont="1" applyBorder="1" applyAlignment="1">
      <alignment horizontal="center" vertical="center" wrapText="1"/>
    </xf>
    <xf numFmtId="2" fontId="15" fillId="0" borderId="51" xfId="6" applyNumberFormat="1" applyFont="1" applyBorder="1" applyAlignment="1">
      <alignment horizontal="center" vertical="center" wrapText="1"/>
    </xf>
    <xf numFmtId="2" fontId="15" fillId="0" borderId="52" xfId="6" applyNumberFormat="1" applyFont="1" applyBorder="1" applyAlignment="1">
      <alignment horizontal="center" vertical="center" wrapText="1"/>
    </xf>
    <xf numFmtId="166" fontId="15" fillId="0" borderId="50" xfId="6" applyNumberFormat="1" applyFont="1" applyBorder="1" applyAlignment="1">
      <alignment horizontal="center" vertical="center" wrapText="1"/>
    </xf>
    <xf numFmtId="166" fontId="15" fillId="0" borderId="51" xfId="6" applyNumberFormat="1" applyFont="1" applyBorder="1" applyAlignment="1">
      <alignment horizontal="center" vertical="center" wrapText="1"/>
    </xf>
    <xf numFmtId="2" fontId="15" fillId="0" borderId="53" xfId="6" applyNumberFormat="1" applyFont="1" applyBorder="1" applyAlignment="1">
      <alignment horizontal="center" vertical="center" wrapText="1"/>
    </xf>
    <xf numFmtId="2" fontId="15" fillId="0" borderId="48" xfId="6" applyNumberFormat="1" applyFont="1" applyBorder="1" applyAlignment="1">
      <alignment horizontal="center" vertical="center" wrapText="1"/>
    </xf>
    <xf numFmtId="170" fontId="15" fillId="0" borderId="49" xfId="6" applyNumberFormat="1" applyFont="1" applyBorder="1" applyAlignment="1">
      <alignment vertical="center" wrapText="1"/>
    </xf>
    <xf numFmtId="170" fontId="15" fillId="0" borderId="47" xfId="6" applyNumberFormat="1" applyFont="1" applyBorder="1" applyAlignment="1">
      <alignment vertical="center" wrapText="1"/>
    </xf>
    <xf numFmtId="2" fontId="15" fillId="0" borderId="46" xfId="6" applyNumberFormat="1" applyFont="1" applyBorder="1" applyAlignment="1">
      <alignment horizontal="center" vertical="center" wrapText="1"/>
    </xf>
    <xf numFmtId="0" fontId="11" fillId="0" borderId="52" xfId="4" applyBorder="1" applyAlignment="1">
      <alignment wrapText="1"/>
    </xf>
    <xf numFmtId="0" fontId="11" fillId="0" borderId="50" xfId="4" applyBorder="1" applyAlignment="1">
      <alignment wrapText="1"/>
    </xf>
    <xf numFmtId="0" fontId="11" fillId="0" borderId="54" xfId="4" applyBorder="1" applyAlignment="1">
      <alignment wrapText="1"/>
    </xf>
    <xf numFmtId="0" fontId="16" fillId="0" borderId="0" xfId="4" applyFont="1"/>
    <xf numFmtId="0" fontId="11" fillId="0" borderId="11" xfId="4" applyBorder="1" applyAlignment="1">
      <alignment horizontal="center" wrapText="1"/>
    </xf>
    <xf numFmtId="0" fontId="11" fillId="0" borderId="8" xfId="4" applyBorder="1" applyAlignment="1">
      <alignment wrapText="1"/>
    </xf>
    <xf numFmtId="0" fontId="11" fillId="0" borderId="17" xfId="4" applyBorder="1" applyAlignment="1">
      <alignment wrapText="1"/>
    </xf>
    <xf numFmtId="0" fontId="5" fillId="0" borderId="45" xfId="0" applyFont="1" applyBorder="1" applyAlignment="1">
      <alignment horizontal="center" vertical="center" wrapText="1"/>
    </xf>
    <xf numFmtId="0" fontId="5" fillId="0" borderId="55" xfId="0" applyFont="1" applyBorder="1" applyAlignment="1">
      <alignment horizontal="center" vertical="center" wrapText="1"/>
    </xf>
    <xf numFmtId="0" fontId="21" fillId="0" borderId="55" xfId="0" applyFont="1" applyBorder="1" applyAlignment="1">
      <alignment horizontal="center" vertical="center" wrapText="1"/>
    </xf>
    <xf numFmtId="2" fontId="18" fillId="0" borderId="4" xfId="6" applyNumberFormat="1" applyFont="1" applyBorder="1" applyAlignment="1">
      <alignment vertical="center" wrapText="1"/>
    </xf>
    <xf numFmtId="0" fontId="11" fillId="0" borderId="57" xfId="4" applyBorder="1" applyAlignment="1">
      <alignment wrapText="1"/>
    </xf>
    <xf numFmtId="0" fontId="11" fillId="0" borderId="58" xfId="4" applyBorder="1" applyAlignment="1">
      <alignment wrapText="1"/>
    </xf>
    <xf numFmtId="0" fontId="21" fillId="0" borderId="31" xfId="0" applyFont="1" applyBorder="1" applyAlignment="1">
      <alignment horizontal="center" vertical="center" wrapText="1"/>
    </xf>
    <xf numFmtId="0" fontId="5" fillId="0" borderId="52" xfId="0" applyFont="1" applyBorder="1" applyAlignment="1">
      <alignment horizontal="center" vertical="center" wrapText="1"/>
    </xf>
    <xf numFmtId="0" fontId="5" fillId="0" borderId="50" xfId="0" applyFont="1" applyBorder="1" applyAlignment="1">
      <alignment horizontal="center" vertical="center" wrapText="1"/>
    </xf>
    <xf numFmtId="0" fontId="21" fillId="0" borderId="50" xfId="0" applyFont="1" applyBorder="1" applyAlignment="1">
      <alignment horizontal="center" vertical="center" wrapText="1"/>
    </xf>
    <xf numFmtId="0" fontId="21" fillId="0" borderId="54" xfId="0" applyFont="1" applyBorder="1" applyAlignment="1">
      <alignment horizontal="center" vertical="center" wrapText="1"/>
    </xf>
    <xf numFmtId="0" fontId="18" fillId="0" borderId="5" xfId="6" applyFont="1" applyBorder="1" applyAlignment="1">
      <alignment horizontal="center" vertical="center" wrapText="1"/>
    </xf>
    <xf numFmtId="0" fontId="18" fillId="0" borderId="20" xfId="6" applyFont="1" applyBorder="1" applyAlignment="1">
      <alignment horizontal="center" vertical="center" wrapText="1"/>
    </xf>
    <xf numFmtId="0" fontId="12" fillId="0" borderId="20" xfId="6" applyBorder="1" applyAlignment="1">
      <alignment horizontal="center" vertical="center" wrapText="1"/>
    </xf>
    <xf numFmtId="0" fontId="18" fillId="0" borderId="22" xfId="6" applyFont="1" applyBorder="1" applyAlignment="1">
      <alignment horizontal="center" vertical="center" wrapText="1"/>
    </xf>
    <xf numFmtId="0" fontId="18" fillId="0" borderId="19" xfId="6" applyFont="1" applyBorder="1" applyAlignment="1">
      <alignment horizontal="center" vertical="center" wrapText="1"/>
    </xf>
    <xf numFmtId="1" fontId="12" fillId="0" borderId="4" xfId="6" applyNumberFormat="1" applyBorder="1"/>
    <xf numFmtId="0" fontId="11" fillId="0" borderId="49" xfId="4" applyBorder="1" applyAlignment="1">
      <alignment wrapText="1"/>
    </xf>
    <xf numFmtId="0" fontId="11" fillId="0" borderId="48" xfId="4" applyBorder="1" applyAlignment="1">
      <alignment wrapText="1"/>
    </xf>
    <xf numFmtId="0" fontId="12" fillId="0" borderId="18" xfId="6" applyBorder="1" applyAlignment="1">
      <alignment horizontal="center" vertical="center" wrapText="1"/>
    </xf>
    <xf numFmtId="1" fontId="18" fillId="0" borderId="29" xfId="6" applyNumberFormat="1" applyFont="1" applyBorder="1"/>
    <xf numFmtId="2" fontId="12" fillId="0" borderId="29" xfId="6" applyNumberFormat="1" applyBorder="1" applyAlignment="1">
      <alignment vertical="center" wrapText="1"/>
    </xf>
    <xf numFmtId="0" fontId="18" fillId="0" borderId="15" xfId="6" applyFont="1" applyBorder="1" applyAlignment="1">
      <alignment horizontal="center" vertical="center" wrapText="1"/>
    </xf>
    <xf numFmtId="1" fontId="12" fillId="0" borderId="25" xfId="6" applyNumberFormat="1" applyBorder="1"/>
    <xf numFmtId="2" fontId="18" fillId="0" borderId="25" xfId="6" applyNumberFormat="1" applyFont="1" applyBorder="1" applyAlignment="1">
      <alignment vertical="center" wrapText="1"/>
    </xf>
    <xf numFmtId="0" fontId="11" fillId="0" borderId="51" xfId="4" applyBorder="1" applyAlignment="1">
      <alignment wrapText="1"/>
    </xf>
    <xf numFmtId="168" fontId="18" fillId="0" borderId="31" xfId="6" applyNumberFormat="1" applyFont="1" applyBorder="1" applyAlignment="1">
      <alignment horizontal="center"/>
    </xf>
    <xf numFmtId="0" fontId="21" fillId="0" borderId="56" xfId="0" applyFont="1" applyBorder="1" applyAlignment="1">
      <alignment horizontal="center" vertical="center" wrapText="1"/>
    </xf>
    <xf numFmtId="0" fontId="11" fillId="0" borderId="60" xfId="4" applyBorder="1" applyAlignment="1">
      <alignment wrapText="1"/>
    </xf>
    <xf numFmtId="166" fontId="15" fillId="0" borderId="55" xfId="6" applyNumberFormat="1" applyFont="1" applyBorder="1" applyAlignment="1">
      <alignment horizontal="center" vertical="center" wrapText="1"/>
    </xf>
    <xf numFmtId="0" fontId="16" fillId="0" borderId="7" xfId="4" applyFont="1" applyBorder="1" applyAlignment="1">
      <alignment horizontal="center" vertical="center" wrapText="1"/>
    </xf>
    <xf numFmtId="14" fontId="14" fillId="7" borderId="36" xfId="6" applyNumberFormat="1" applyFont="1" applyFill="1" applyBorder="1" applyAlignment="1">
      <alignment horizontal="center" vertical="center" wrapText="1"/>
    </xf>
    <xf numFmtId="14" fontId="14" fillId="7" borderId="61" xfId="6" applyNumberFormat="1" applyFont="1" applyFill="1" applyBorder="1" applyAlignment="1">
      <alignment horizontal="center" vertical="center" wrapText="1"/>
    </xf>
    <xf numFmtId="2" fontId="15" fillId="0" borderId="62" xfId="6" applyNumberFormat="1" applyFont="1" applyBorder="1" applyAlignment="1">
      <alignment horizontal="center" vertical="center" wrapText="1"/>
    </xf>
    <xf numFmtId="169" fontId="15" fillId="0" borderId="59" xfId="6" applyNumberFormat="1" applyFont="1" applyBorder="1" applyAlignment="1">
      <alignment horizontal="center" vertical="center" wrapText="1"/>
    </xf>
    <xf numFmtId="166" fontId="15" fillId="0" borderId="45" xfId="6" applyNumberFormat="1" applyFont="1" applyBorder="1" applyAlignment="1">
      <alignment horizontal="center" vertical="center" wrapText="1"/>
    </xf>
    <xf numFmtId="166" fontId="15" fillId="0" borderId="56" xfId="6" applyNumberFormat="1" applyFont="1" applyBorder="1" applyAlignment="1">
      <alignment horizontal="center" vertical="center" wrapText="1"/>
    </xf>
    <xf numFmtId="166" fontId="15" fillId="0" borderId="6" xfId="6" applyNumberFormat="1" applyFont="1" applyBorder="1" applyAlignment="1">
      <alignment horizontal="center" vertical="center" wrapText="1"/>
    </xf>
    <xf numFmtId="166" fontId="15" fillId="0" borderId="31" xfId="6" applyNumberFormat="1" applyFont="1" applyBorder="1" applyAlignment="1">
      <alignment horizontal="center" vertical="center" wrapText="1"/>
    </xf>
    <xf numFmtId="166" fontId="15" fillId="0" borderId="52" xfId="6" applyNumberFormat="1" applyFont="1" applyBorder="1" applyAlignment="1">
      <alignment horizontal="center" vertical="center" wrapText="1"/>
    </xf>
    <xf numFmtId="166" fontId="20" fillId="0" borderId="45" xfId="6" applyNumberFormat="1" applyFont="1" applyBorder="1" applyAlignment="1">
      <alignment horizontal="center" vertical="center" wrapText="1"/>
    </xf>
    <xf numFmtId="166" fontId="20" fillId="0" borderId="1" xfId="6" applyNumberFormat="1" applyFont="1" applyBorder="1" applyAlignment="1">
      <alignment horizontal="center" vertical="center" wrapText="1"/>
    </xf>
    <xf numFmtId="166" fontId="20" fillId="0" borderId="55" xfId="6" applyNumberFormat="1" applyFont="1" applyBorder="1" applyAlignment="1">
      <alignment horizontal="center" vertical="center" wrapText="1"/>
    </xf>
    <xf numFmtId="2" fontId="14" fillId="0" borderId="59" xfId="6" applyNumberFormat="1" applyFont="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horizontal="center" vertical="center"/>
    </xf>
    <xf numFmtId="43" fontId="2" fillId="0" borderId="1" xfId="7" applyFont="1" applyFill="1" applyBorder="1" applyAlignment="1">
      <alignment horizontal="center" vertical="center"/>
    </xf>
    <xf numFmtId="43" fontId="2" fillId="10" borderId="1" xfId="7" applyFont="1" applyFill="1" applyBorder="1" applyAlignment="1">
      <alignment horizontal="center" vertical="center"/>
    </xf>
    <xf numFmtId="43" fontId="0" fillId="0" borderId="1" xfId="0" applyNumberFormat="1" applyBorder="1" applyAlignment="1">
      <alignment wrapText="1"/>
    </xf>
    <xf numFmtId="0" fontId="2" fillId="9" borderId="1" xfId="0" applyFont="1" applyFill="1" applyBorder="1" applyAlignment="1">
      <alignment horizontal="center" vertical="center" wrapText="1"/>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wrapText="1"/>
    </xf>
    <xf numFmtId="164" fontId="0" fillId="0" borderId="0" xfId="0" applyNumberFormat="1"/>
    <xf numFmtId="43" fontId="0" fillId="0" borderId="0" xfId="0" applyNumberFormat="1"/>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14" fillId="0" borderId="2" xfId="4" applyFont="1" applyBorder="1" applyAlignment="1">
      <alignment horizontal="center" vertical="center" wrapText="1"/>
    </xf>
    <xf numFmtId="0" fontId="14" fillId="0" borderId="3" xfId="4" applyFont="1" applyBorder="1" applyAlignment="1">
      <alignment horizontal="center" vertical="center" wrapText="1"/>
    </xf>
    <xf numFmtId="0" fontId="14" fillId="0" borderId="4" xfId="4" applyFont="1" applyBorder="1" applyAlignment="1">
      <alignment horizontal="center" vertical="center" wrapText="1"/>
    </xf>
    <xf numFmtId="14" fontId="16" fillId="6" borderId="1" xfId="4" applyNumberFormat="1" applyFont="1" applyFill="1" applyBorder="1" applyAlignment="1">
      <alignment horizontal="center" vertical="center"/>
    </xf>
    <xf numFmtId="0" fontId="16" fillId="6" borderId="1" xfId="4" applyFont="1" applyFill="1" applyBorder="1" applyAlignment="1">
      <alignment horizontal="center" vertical="center"/>
    </xf>
    <xf numFmtId="0" fontId="10" fillId="0" borderId="1" xfId="4" applyFont="1" applyBorder="1" applyAlignment="1">
      <alignment horizontal="left" vertical="center" wrapText="1"/>
    </xf>
    <xf numFmtId="0" fontId="14" fillId="0" borderId="1" xfId="4" applyFont="1" applyBorder="1" applyAlignment="1">
      <alignment horizontal="left" vertical="center" wrapText="1"/>
    </xf>
    <xf numFmtId="0" fontId="13" fillId="0" borderId="0" xfId="4" applyFont="1" applyAlignment="1">
      <alignment horizontal="left" vertical="center" wrapText="1"/>
    </xf>
    <xf numFmtId="0" fontId="14" fillId="0" borderId="1" xfId="4" applyFont="1" applyBorder="1" applyAlignment="1">
      <alignment horizontal="center"/>
    </xf>
    <xf numFmtId="0" fontId="14" fillId="0" borderId="1" xfId="4" applyFont="1" applyBorder="1" applyAlignment="1">
      <alignment horizontal="center" wrapText="1"/>
    </xf>
    <xf numFmtId="0" fontId="11" fillId="0" borderId="0" xfId="4" applyAlignment="1">
      <alignment horizontal="center"/>
    </xf>
    <xf numFmtId="0" fontId="16" fillId="0" borderId="11" xfId="4" applyFont="1" applyBorder="1" applyAlignment="1">
      <alignment horizontal="center" vertical="center"/>
    </xf>
    <xf numFmtId="0" fontId="16" fillId="0" borderId="23" xfId="4" applyFont="1" applyBorder="1" applyAlignment="1">
      <alignment horizontal="center" vertical="center"/>
    </xf>
    <xf numFmtId="0" fontId="16" fillId="0" borderId="32" xfId="4" applyFont="1" applyBorder="1" applyAlignment="1">
      <alignment horizontal="center" vertical="center"/>
    </xf>
    <xf numFmtId="0" fontId="16" fillId="0" borderId="11" xfId="4" applyFont="1" applyBorder="1" applyAlignment="1">
      <alignment horizontal="center" vertical="center" wrapText="1"/>
    </xf>
    <xf numFmtId="0" fontId="16" fillId="0" borderId="23" xfId="4" applyFont="1" applyBorder="1" applyAlignment="1">
      <alignment horizontal="center" vertical="center" wrapText="1"/>
    </xf>
    <xf numFmtId="0" fontId="16" fillId="0" borderId="32" xfId="4" applyFont="1" applyBorder="1" applyAlignment="1">
      <alignment horizontal="center" vertical="center" wrapText="1"/>
    </xf>
    <xf numFmtId="0" fontId="14" fillId="0" borderId="12" xfId="6" applyFont="1" applyBorder="1" applyAlignment="1">
      <alignment horizontal="center" vertical="center" wrapText="1"/>
    </xf>
    <xf numFmtId="0" fontId="14" fillId="0" borderId="24" xfId="6" applyFont="1" applyBorder="1" applyAlignment="1">
      <alignment horizontal="center" vertical="center" wrapText="1"/>
    </xf>
    <xf numFmtId="0" fontId="14" fillId="0" borderId="33" xfId="6" applyFont="1" applyBorder="1" applyAlignment="1">
      <alignment horizontal="center" vertical="center" wrapText="1"/>
    </xf>
    <xf numFmtId="0" fontId="14" fillId="0" borderId="13" xfId="6" applyFont="1" applyBorder="1" applyAlignment="1">
      <alignment horizontal="center" vertical="center" wrapText="1"/>
    </xf>
    <xf numFmtId="0" fontId="14" fillId="0" borderId="14" xfId="6" applyFont="1" applyBorder="1" applyAlignment="1">
      <alignment horizontal="center" vertical="center" wrapText="1"/>
    </xf>
    <xf numFmtId="0" fontId="14" fillId="0" borderId="15" xfId="6" applyFont="1" applyBorder="1" applyAlignment="1">
      <alignment horizontal="center" vertical="center" wrapText="1"/>
    </xf>
    <xf numFmtId="0" fontId="14" fillId="0" borderId="16" xfId="6" applyFont="1" applyBorder="1" applyAlignment="1">
      <alignment horizontal="center" vertical="center" wrapText="1"/>
    </xf>
    <xf numFmtId="0" fontId="14" fillId="0" borderId="17" xfId="6" applyFont="1" applyBorder="1" applyAlignment="1">
      <alignment horizontal="center" vertical="center" wrapText="1"/>
    </xf>
    <xf numFmtId="0" fontId="14" fillId="0" borderId="26" xfId="6" applyFont="1" applyBorder="1" applyAlignment="1">
      <alignment horizontal="center" vertical="center" wrapText="1"/>
    </xf>
    <xf numFmtId="0" fontId="14" fillId="0" borderId="27" xfId="6" applyFont="1" applyBorder="1" applyAlignment="1">
      <alignment horizontal="center" vertical="center" wrapText="1"/>
    </xf>
    <xf numFmtId="0" fontId="14" fillId="0" borderId="28" xfId="6" applyFont="1" applyBorder="1" applyAlignment="1">
      <alignment horizontal="center" vertical="center" wrapText="1"/>
    </xf>
    <xf numFmtId="0" fontId="14" fillId="0" borderId="18" xfId="6" applyFont="1" applyBorder="1" applyAlignment="1">
      <alignment horizontal="center" vertical="center" wrapText="1"/>
    </xf>
    <xf numFmtId="0" fontId="14" fillId="0" borderId="29" xfId="6" applyFont="1" applyBorder="1" applyAlignment="1">
      <alignment horizontal="center" vertical="center" wrapText="1"/>
    </xf>
    <xf numFmtId="0" fontId="14" fillId="0" borderId="19" xfId="6" applyFont="1" applyBorder="1" applyAlignment="1">
      <alignment horizontal="center" vertical="center" wrapText="1"/>
    </xf>
    <xf numFmtId="0" fontId="14" fillId="0" borderId="4" xfId="6" applyFont="1" applyBorder="1" applyAlignment="1">
      <alignment horizontal="center" vertical="center" wrapText="1"/>
    </xf>
    <xf numFmtId="0" fontId="14" fillId="0" borderId="20" xfId="6" applyFont="1" applyBorder="1" applyAlignment="1">
      <alignment horizontal="center" vertical="center" wrapText="1"/>
    </xf>
    <xf numFmtId="0" fontId="14" fillId="0" borderId="1" xfId="6" applyFont="1" applyBorder="1" applyAlignment="1">
      <alignment horizontal="center" vertical="center" wrapText="1"/>
    </xf>
    <xf numFmtId="2" fontId="14" fillId="0" borderId="11" xfId="6" applyNumberFormat="1" applyFont="1" applyBorder="1" applyAlignment="1">
      <alignment horizontal="center" vertical="center" wrapText="1"/>
    </xf>
    <xf numFmtId="2" fontId="14" fillId="0" borderId="46" xfId="6" applyNumberFormat="1" applyFont="1" applyBorder="1" applyAlignment="1">
      <alignment horizontal="center" vertical="center" wrapText="1"/>
    </xf>
    <xf numFmtId="0" fontId="14" fillId="0" borderId="25" xfId="6" applyFont="1" applyBorder="1" applyAlignment="1">
      <alignment horizontal="center" vertical="center" wrapText="1"/>
    </xf>
    <xf numFmtId="0" fontId="14" fillId="0" borderId="30" xfId="6" applyFont="1" applyBorder="1" applyAlignment="1">
      <alignment horizontal="center" vertical="center" wrapText="1"/>
    </xf>
    <xf numFmtId="0" fontId="14" fillId="0" borderId="36" xfId="6" applyFont="1" applyBorder="1" applyAlignment="1">
      <alignment horizontal="center" vertical="center" wrapText="1"/>
    </xf>
    <xf numFmtId="0" fontId="18" fillId="0" borderId="5" xfId="6" applyFont="1" applyBorder="1" applyAlignment="1">
      <alignment horizontal="center" vertical="center"/>
    </xf>
    <xf numFmtId="0" fontId="18" fillId="0" borderId="20" xfId="6" applyFont="1" applyBorder="1" applyAlignment="1">
      <alignment horizontal="center" vertical="center"/>
    </xf>
    <xf numFmtId="0" fontId="18" fillId="0" borderId="22" xfId="6" applyFont="1" applyBorder="1" applyAlignment="1">
      <alignment horizontal="center" vertical="center"/>
    </xf>
    <xf numFmtId="0" fontId="18" fillId="0" borderId="6" xfId="6" applyFont="1" applyBorder="1" applyAlignment="1">
      <alignment horizontal="center" vertical="center"/>
    </xf>
    <xf numFmtId="0" fontId="18" fillId="0" borderId="1" xfId="6" applyFont="1" applyBorder="1" applyAlignment="1">
      <alignment horizontal="center" vertical="center"/>
    </xf>
    <xf numFmtId="0" fontId="18" fillId="0" borderId="31" xfId="6" applyFont="1" applyBorder="1" applyAlignment="1">
      <alignment horizontal="center" vertical="center"/>
    </xf>
    <xf numFmtId="0" fontId="14" fillId="0" borderId="6" xfId="6" applyFont="1" applyBorder="1" applyAlignment="1">
      <alignment horizontal="center" vertical="center" wrapText="1"/>
    </xf>
    <xf numFmtId="0" fontId="14" fillId="0" borderId="21" xfId="6" applyFont="1" applyBorder="1" applyAlignment="1">
      <alignment horizontal="center" vertical="center" wrapText="1"/>
    </xf>
    <xf numFmtId="0" fontId="14" fillId="0" borderId="2" xfId="6" applyFont="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sqref="A1:CY6"/>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99</v>
      </c>
      <c r="C1" t="s">
        <v>1</v>
      </c>
      <c r="D1" t="s">
        <v>2</v>
      </c>
      <c r="E1" t="s">
        <v>111</v>
      </c>
      <c r="F1" t="s">
        <v>112</v>
      </c>
      <c r="G1" t="s">
        <v>113</v>
      </c>
      <c r="H1" t="s">
        <v>4</v>
      </c>
      <c r="I1" t="s">
        <v>114</v>
      </c>
      <c r="J1" t="s">
        <v>5</v>
      </c>
      <c r="K1" t="s">
        <v>115</v>
      </c>
      <c r="L1" t="s">
        <v>116</v>
      </c>
      <c r="M1" t="s">
        <v>117</v>
      </c>
      <c r="N1" t="s">
        <v>6</v>
      </c>
      <c r="O1" t="s">
        <v>118</v>
      </c>
      <c r="P1" t="s">
        <v>119</v>
      </c>
      <c r="Q1" t="s">
        <v>120</v>
      </c>
      <c r="R1" t="s">
        <v>121</v>
      </c>
      <c r="S1" t="s">
        <v>122</v>
      </c>
      <c r="T1" t="s">
        <v>123</v>
      </c>
      <c r="U1" t="s">
        <v>124</v>
      </c>
      <c r="V1" t="s">
        <v>8</v>
      </c>
      <c r="W1" t="s">
        <v>125</v>
      </c>
      <c r="X1" t="s">
        <v>126</v>
      </c>
      <c r="Y1" t="s">
        <v>127</v>
      </c>
      <c r="Z1" t="s">
        <v>128</v>
      </c>
      <c r="AA1" t="s">
        <v>129</v>
      </c>
      <c r="AB1" t="s">
        <v>130</v>
      </c>
      <c r="AC1" t="s">
        <v>131</v>
      </c>
      <c r="AD1" t="s">
        <v>10</v>
      </c>
      <c r="AE1" t="s">
        <v>132</v>
      </c>
      <c r="AF1" t="s">
        <v>133</v>
      </c>
      <c r="AG1" t="s">
        <v>134</v>
      </c>
      <c r="AH1" t="s">
        <v>11</v>
      </c>
      <c r="AI1" t="s">
        <v>135</v>
      </c>
      <c r="AJ1" t="s">
        <v>136</v>
      </c>
      <c r="AK1" t="s">
        <v>137</v>
      </c>
      <c r="AL1" t="s">
        <v>12</v>
      </c>
      <c r="AM1" t="s">
        <v>138</v>
      </c>
      <c r="AN1" t="s">
        <v>139</v>
      </c>
      <c r="AO1" t="s">
        <v>140</v>
      </c>
      <c r="AP1" t="s">
        <v>141</v>
      </c>
      <c r="AQ1" t="s">
        <v>142</v>
      </c>
      <c r="AR1" t="s">
        <v>143</v>
      </c>
      <c r="AS1" t="s">
        <v>144</v>
      </c>
      <c r="AT1" t="s">
        <v>53</v>
      </c>
      <c r="AU1" t="s">
        <v>145</v>
      </c>
      <c r="AV1" t="s">
        <v>146</v>
      </c>
      <c r="AW1" t="s">
        <v>147</v>
      </c>
      <c r="AX1" t="s">
        <v>148</v>
      </c>
      <c r="AY1" t="s">
        <v>149</v>
      </c>
      <c r="AZ1" t="s">
        <v>150</v>
      </c>
      <c r="BA1" t="s">
        <v>151</v>
      </c>
      <c r="BB1" t="s">
        <v>152</v>
      </c>
      <c r="BC1" t="s">
        <v>153</v>
      </c>
      <c r="BD1" t="s">
        <v>154</v>
      </c>
      <c r="BE1" t="s">
        <v>155</v>
      </c>
      <c r="BF1" t="s">
        <v>156</v>
      </c>
      <c r="BG1" t="s">
        <v>157</v>
      </c>
      <c r="BH1" t="s">
        <v>158</v>
      </c>
      <c r="BI1" t="s">
        <v>159</v>
      </c>
      <c r="BJ1" t="s">
        <v>160</v>
      </c>
      <c r="BK1" t="s">
        <v>161</v>
      </c>
      <c r="BL1" t="s">
        <v>162</v>
      </c>
      <c r="BM1" t="s">
        <v>163</v>
      </c>
      <c r="BN1" t="s">
        <v>164</v>
      </c>
      <c r="BO1" t="s">
        <v>165</v>
      </c>
      <c r="BP1" t="s">
        <v>166</v>
      </c>
      <c r="BQ1" t="s">
        <v>167</v>
      </c>
      <c r="BR1" t="s">
        <v>168</v>
      </c>
      <c r="BS1" t="s">
        <v>169</v>
      </c>
      <c r="BT1" t="s">
        <v>170</v>
      </c>
      <c r="BU1" t="s">
        <v>171</v>
      </c>
      <c r="BV1" t="s">
        <v>21</v>
      </c>
      <c r="BW1" t="s">
        <v>172</v>
      </c>
      <c r="BX1" t="s">
        <v>173</v>
      </c>
      <c r="BY1" t="s">
        <v>174</v>
      </c>
      <c r="BZ1" t="s">
        <v>175</v>
      </c>
      <c r="CA1" t="s">
        <v>176</v>
      </c>
      <c r="CB1" t="s">
        <v>24</v>
      </c>
      <c r="CC1" t="s">
        <v>177</v>
      </c>
      <c r="CD1" t="s">
        <v>25</v>
      </c>
      <c r="CE1" t="s">
        <v>178</v>
      </c>
      <c r="CF1" t="s">
        <v>27</v>
      </c>
      <c r="CG1" t="s">
        <v>179</v>
      </c>
      <c r="CH1" t="s">
        <v>180</v>
      </c>
      <c r="CI1" t="s">
        <v>30</v>
      </c>
      <c r="CJ1" t="s">
        <v>181</v>
      </c>
      <c r="CK1" t="s">
        <v>32</v>
      </c>
      <c r="CL1" t="s">
        <v>182</v>
      </c>
      <c r="CM1" t="s">
        <v>183</v>
      </c>
      <c r="CN1" t="s">
        <v>184</v>
      </c>
      <c r="CO1" t="s">
        <v>185</v>
      </c>
      <c r="CP1" t="s">
        <v>37</v>
      </c>
      <c r="CQ1" t="s">
        <v>186</v>
      </c>
      <c r="CR1" t="s">
        <v>187</v>
      </c>
      <c r="CS1" t="s">
        <v>40</v>
      </c>
      <c r="CT1" t="s">
        <v>41</v>
      </c>
      <c r="CU1" t="s">
        <v>188</v>
      </c>
      <c r="CV1" t="s">
        <v>100</v>
      </c>
      <c r="CW1" t="s">
        <v>101</v>
      </c>
      <c r="CX1" t="s">
        <v>189</v>
      </c>
      <c r="CY1"/>
    </row>
    <row r="2" spans="1:103" x14ac:dyDescent="0.25">
      <c r="A2" t="s">
        <v>190</v>
      </c>
      <c r="B2" s="54">
        <v>45658</v>
      </c>
      <c r="C2" t="s">
        <v>191</v>
      </c>
      <c r="D2" t="s">
        <v>192</v>
      </c>
      <c r="E2" t="s">
        <v>193</v>
      </c>
      <c r="F2" t="s">
        <v>79</v>
      </c>
      <c r="G2">
        <v>940.2</v>
      </c>
      <c r="H2">
        <v>124</v>
      </c>
      <c r="I2">
        <v>116584.8</v>
      </c>
      <c r="J2" t="s">
        <v>44</v>
      </c>
      <c r="K2">
        <v>254.47</v>
      </c>
      <c r="L2">
        <v>977</v>
      </c>
      <c r="M2">
        <v>248617.19</v>
      </c>
      <c r="N2" t="s">
        <v>194</v>
      </c>
      <c r="O2">
        <v>261.47000000000003</v>
      </c>
      <c r="P2">
        <v>325</v>
      </c>
      <c r="Q2" s="55">
        <v>84977.75</v>
      </c>
      <c r="R2" t="s">
        <v>195</v>
      </c>
      <c r="S2">
        <v>180</v>
      </c>
      <c r="T2">
        <v>191</v>
      </c>
      <c r="U2" s="55">
        <v>34380</v>
      </c>
      <c r="V2" t="s">
        <v>54</v>
      </c>
      <c r="W2">
        <v>140</v>
      </c>
      <c r="X2">
        <v>577</v>
      </c>
      <c r="Y2" s="55">
        <v>80780</v>
      </c>
      <c r="AB2">
        <v>31</v>
      </c>
      <c r="AF2">
        <v>0</v>
      </c>
      <c r="AJ2">
        <v>0</v>
      </c>
      <c r="AL2" t="s">
        <v>51</v>
      </c>
      <c r="AM2">
        <v>71.739999999999995</v>
      </c>
      <c r="AN2">
        <v>706</v>
      </c>
      <c r="AO2">
        <v>50648.44</v>
      </c>
      <c r="AR2">
        <v>0</v>
      </c>
      <c r="AV2">
        <v>0</v>
      </c>
      <c r="AZ2">
        <v>0</v>
      </c>
      <c r="BD2">
        <v>0</v>
      </c>
      <c r="BH2">
        <v>0</v>
      </c>
      <c r="BL2">
        <v>0</v>
      </c>
      <c r="BP2">
        <v>0</v>
      </c>
      <c r="BT2">
        <v>0</v>
      </c>
      <c r="BX2">
        <v>0</v>
      </c>
      <c r="BZ2">
        <v>60800</v>
      </c>
      <c r="CA2">
        <v>676788.18</v>
      </c>
      <c r="CH2">
        <v>676788.18</v>
      </c>
      <c r="CM2">
        <v>676788.18</v>
      </c>
      <c r="CO2">
        <v>676788.18</v>
      </c>
      <c r="CP2" s="56">
        <v>0.18</v>
      </c>
      <c r="CQ2">
        <v>121821.87</v>
      </c>
      <c r="CR2">
        <v>798610.05</v>
      </c>
      <c r="CS2">
        <v>22</v>
      </c>
      <c r="CT2" t="s">
        <v>196</v>
      </c>
      <c r="CU2" s="57">
        <v>17569421</v>
      </c>
      <c r="CV2" t="s">
        <v>197</v>
      </c>
      <c r="CW2" t="s">
        <v>198</v>
      </c>
    </row>
    <row r="3" spans="1:103" x14ac:dyDescent="0.25">
      <c r="A3" t="s">
        <v>190</v>
      </c>
      <c r="B3" s="54">
        <v>45658</v>
      </c>
      <c r="C3" t="s">
        <v>199</v>
      </c>
      <c r="D3" t="s">
        <v>200</v>
      </c>
      <c r="H3">
        <v>0</v>
      </c>
      <c r="L3">
        <v>2430</v>
      </c>
      <c r="P3">
        <v>0</v>
      </c>
      <c r="T3">
        <v>337</v>
      </c>
      <c r="X3">
        <v>802</v>
      </c>
      <c r="AB3">
        <v>0</v>
      </c>
      <c r="AF3">
        <v>277</v>
      </c>
      <c r="AJ3">
        <v>1125</v>
      </c>
      <c r="AN3">
        <v>995</v>
      </c>
      <c r="AR3">
        <v>1258</v>
      </c>
      <c r="AV3">
        <v>0</v>
      </c>
      <c r="AZ3">
        <v>0</v>
      </c>
      <c r="BD3">
        <v>0</v>
      </c>
      <c r="BH3">
        <v>0</v>
      </c>
      <c r="BL3">
        <v>88</v>
      </c>
      <c r="BP3">
        <v>0</v>
      </c>
      <c r="BT3">
        <v>0</v>
      </c>
      <c r="BX3">
        <v>0</v>
      </c>
      <c r="CM3"/>
      <c r="CP3" s="56">
        <v>0.18</v>
      </c>
      <c r="CS3">
        <v>150</v>
      </c>
      <c r="CT3" t="s">
        <v>196</v>
      </c>
    </row>
    <row r="4" spans="1:103" x14ac:dyDescent="0.25">
      <c r="A4" t="s">
        <v>190</v>
      </c>
      <c r="B4" s="54">
        <v>45658</v>
      </c>
      <c r="C4" t="s">
        <v>201</v>
      </c>
      <c r="D4" t="s">
        <v>202</v>
      </c>
      <c r="H4">
        <v>0</v>
      </c>
      <c r="L4">
        <v>567</v>
      </c>
      <c r="P4">
        <v>0</v>
      </c>
      <c r="T4">
        <v>188</v>
      </c>
      <c r="X4">
        <v>474</v>
      </c>
      <c r="AB4">
        <v>0</v>
      </c>
      <c r="AF4">
        <v>142</v>
      </c>
      <c r="AJ4">
        <v>750</v>
      </c>
      <c r="AN4">
        <v>474</v>
      </c>
      <c r="AR4">
        <v>533</v>
      </c>
      <c r="AV4">
        <v>0</v>
      </c>
      <c r="AZ4">
        <v>0</v>
      </c>
      <c r="BD4">
        <v>0</v>
      </c>
      <c r="BH4">
        <v>0</v>
      </c>
      <c r="BL4">
        <v>0</v>
      </c>
      <c r="BP4">
        <v>0</v>
      </c>
      <c r="BT4">
        <v>0</v>
      </c>
      <c r="BX4">
        <v>0</v>
      </c>
      <c r="CM4"/>
      <c r="CP4" s="56">
        <v>0.18</v>
      </c>
      <c r="CS4">
        <v>14</v>
      </c>
      <c r="CT4" t="s">
        <v>196</v>
      </c>
    </row>
    <row r="5" spans="1:103" x14ac:dyDescent="0.25">
      <c r="A5" t="s">
        <v>190</v>
      </c>
      <c r="B5" s="54">
        <v>45658</v>
      </c>
      <c r="C5" t="s">
        <v>203</v>
      </c>
      <c r="D5" t="s">
        <v>204</v>
      </c>
      <c r="H5">
        <v>0</v>
      </c>
      <c r="L5">
        <v>3240</v>
      </c>
      <c r="P5">
        <v>0</v>
      </c>
      <c r="T5">
        <v>427</v>
      </c>
      <c r="X5">
        <v>2621</v>
      </c>
      <c r="AB5">
        <v>0</v>
      </c>
      <c r="AF5">
        <v>405</v>
      </c>
      <c r="AJ5">
        <v>1600</v>
      </c>
      <c r="AN5">
        <v>1560</v>
      </c>
      <c r="AR5">
        <v>2672</v>
      </c>
      <c r="AV5">
        <v>0</v>
      </c>
      <c r="AZ5">
        <v>162</v>
      </c>
      <c r="BD5">
        <v>0</v>
      </c>
      <c r="BH5">
        <v>52</v>
      </c>
      <c r="BL5">
        <v>129</v>
      </c>
      <c r="BP5">
        <v>0</v>
      </c>
      <c r="BT5">
        <v>0</v>
      </c>
      <c r="BX5">
        <v>0</v>
      </c>
      <c r="CM5"/>
      <c r="CP5" s="56">
        <v>0.18</v>
      </c>
      <c r="CS5">
        <v>77</v>
      </c>
      <c r="CT5" t="s">
        <v>196</v>
      </c>
    </row>
    <row r="6" spans="1:103" x14ac:dyDescent="0.25">
      <c r="A6" t="s">
        <v>190</v>
      </c>
      <c r="B6" s="54">
        <v>45658</v>
      </c>
      <c r="C6" t="s">
        <v>205</v>
      </c>
      <c r="D6" t="s">
        <v>206</v>
      </c>
      <c r="H6">
        <v>0</v>
      </c>
      <c r="L6">
        <v>1215</v>
      </c>
      <c r="P6">
        <v>0</v>
      </c>
      <c r="T6">
        <v>246</v>
      </c>
      <c r="X6">
        <v>620</v>
      </c>
      <c r="AB6">
        <v>0</v>
      </c>
      <c r="AF6">
        <v>200</v>
      </c>
      <c r="AJ6">
        <v>900</v>
      </c>
      <c r="AN6">
        <v>672</v>
      </c>
      <c r="AR6">
        <v>809</v>
      </c>
      <c r="AV6">
        <v>0</v>
      </c>
      <c r="AZ6">
        <v>0</v>
      </c>
      <c r="BD6">
        <v>0</v>
      </c>
      <c r="BH6">
        <v>0</v>
      </c>
      <c r="BL6">
        <v>0</v>
      </c>
      <c r="BP6">
        <v>0</v>
      </c>
      <c r="BT6">
        <v>0</v>
      </c>
      <c r="BX6">
        <v>0</v>
      </c>
      <c r="CM6"/>
      <c r="CP6" s="56">
        <v>0.18</v>
      </c>
      <c r="CS6">
        <v>12</v>
      </c>
      <c r="CT6" t="s">
        <v>196</v>
      </c>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O43"/>
  <sheetViews>
    <sheetView showZeros="0" tabSelected="1" topLeftCell="A12" workbookViewId="0">
      <selection activeCell="G24" sqref="G24"/>
    </sheetView>
  </sheetViews>
  <sheetFormatPr defaultRowHeight="15" x14ac:dyDescent="0.25"/>
  <cols>
    <col min="1" max="1" width="15.140625" bestFit="1" customWidth="1"/>
    <col min="2" max="2" width="11.5703125" customWidth="1"/>
    <col min="3" max="3" width="10.28515625" bestFit="1" customWidth="1"/>
    <col min="4" max="4" width="29.5703125" customWidth="1"/>
    <col min="5" max="5" width="38.85546875" customWidth="1"/>
    <col min="6" max="6" width="13.85546875" style="4" customWidth="1"/>
    <col min="7" max="7" width="11.7109375" customWidth="1"/>
    <col min="8" max="8" width="13.85546875" customWidth="1"/>
    <col min="9" max="9" width="12.140625" style="8" customWidth="1"/>
    <col min="10" max="10" width="12.28515625" customWidth="1"/>
    <col min="11" max="11" width="13.85546875" customWidth="1"/>
    <col min="12" max="13" width="9.140625" customWidth="1"/>
    <col min="14" max="14" width="15.7109375" customWidth="1"/>
    <col min="15" max="15" width="7.85546875" style="30" customWidth="1"/>
    <col min="16" max="20" width="7.85546875" style="30" hidden="1" customWidth="1"/>
    <col min="21" max="21" width="7.85546875" style="30" customWidth="1"/>
    <col min="22" max="24" width="7.85546875" style="30" hidden="1" customWidth="1"/>
    <col min="25" max="25" width="7.85546875" style="30" customWidth="1"/>
    <col min="26" max="27" width="7.85546875" style="30" hidden="1" customWidth="1"/>
    <col min="28" max="28" width="7.85546875" style="30" customWidth="1"/>
    <col min="29" max="29" width="7.85546875" style="30" hidden="1" customWidth="1"/>
    <col min="30" max="30" width="7.85546875" style="30" customWidth="1"/>
    <col min="31" max="31" width="7.85546875" style="30" hidden="1" customWidth="1"/>
    <col min="32" max="32" width="7.85546875" style="30" customWidth="1"/>
    <col min="33" max="43" width="7.85546875" style="30" hidden="1" customWidth="1"/>
    <col min="44" max="44" width="7.85546875" style="30" customWidth="1"/>
    <col min="45" max="50" width="7.85546875" style="30" hidden="1" customWidth="1"/>
    <col min="51" max="51" width="7.85546875" style="30" customWidth="1"/>
    <col min="52" max="62" width="7.85546875" style="30" hidden="1" customWidth="1"/>
    <col min="63" max="63" width="7.85546875" style="30" customWidth="1"/>
    <col min="64" max="65" width="7.85546875" style="30" hidden="1" customWidth="1"/>
    <col min="66" max="66" width="7.85546875" style="30" customWidth="1"/>
    <col min="67" max="74" width="7.85546875" style="30" hidden="1" customWidth="1"/>
    <col min="75" max="75" width="7.85546875" style="30" customWidth="1"/>
    <col min="76" max="76" width="10.5703125" style="30" customWidth="1"/>
    <col min="77" max="77" width="7.85546875" style="30" customWidth="1"/>
    <col min="78" max="78" width="11.7109375" style="30" customWidth="1"/>
    <col min="79" max="79" width="27.7109375" style="30" customWidth="1"/>
    <col min="80" max="80" width="13" style="30" customWidth="1"/>
    <col min="81" max="81" width="11.5703125" style="4" bestFit="1" customWidth="1"/>
    <col min="82" max="82" width="13.85546875" style="4" bestFit="1" customWidth="1"/>
    <col min="83" max="83" width="9.140625" style="28" hidden="1" customWidth="1"/>
    <col min="84" max="84" width="9.140625" style="4" hidden="1" customWidth="1"/>
    <col min="85" max="85" width="9.140625" style="14" customWidth="1"/>
    <col min="86" max="86" width="12" style="4" bestFit="1" customWidth="1"/>
    <col min="87" max="87" width="9.140625" style="8" customWidth="1"/>
    <col min="88" max="88" width="12.28515625" style="4" bestFit="1" customWidth="1"/>
    <col min="89" max="89" width="13.85546875" style="4" bestFit="1" customWidth="1"/>
    <col min="90" max="90" width="9.140625" style="8" customWidth="1"/>
    <col min="91" max="91" width="11.5703125" customWidth="1"/>
    <col min="92" max="92" width="9.140625" style="8" customWidth="1"/>
    <col min="93" max="93" width="10" bestFit="1" customWidth="1"/>
  </cols>
  <sheetData>
    <row r="1" spans="1:92" s="44" customFormat="1" ht="15.75" thickBot="1" x14ac:dyDescent="0.3"/>
    <row r="2" spans="1:92" s="44" customFormat="1" ht="23.25" thickBot="1" x14ac:dyDescent="0.5">
      <c r="A2" s="233" t="s">
        <v>110</v>
      </c>
      <c r="B2" s="234"/>
      <c r="C2" s="234"/>
      <c r="D2" s="234"/>
      <c r="E2" s="234"/>
      <c r="F2" s="234"/>
      <c r="G2" s="234"/>
      <c r="H2" s="234"/>
      <c r="I2" s="234"/>
      <c r="J2" s="234"/>
      <c r="K2" s="234"/>
      <c r="L2" s="234"/>
      <c r="M2" s="234"/>
      <c r="N2" s="234"/>
      <c r="O2" s="234"/>
      <c r="P2" s="234"/>
      <c r="Q2" s="234"/>
      <c r="R2" s="234"/>
      <c r="S2" s="235"/>
      <c r="T2" s="47"/>
      <c r="U2" s="47"/>
    </row>
    <row r="3" spans="1:92" s="44" customFormat="1" ht="15.75" thickBot="1" x14ac:dyDescent="0.3">
      <c r="A3"/>
      <c r="B3"/>
      <c r="C3"/>
      <c r="D3"/>
      <c r="E3"/>
      <c r="F3"/>
      <c r="G3"/>
      <c r="H3"/>
      <c r="I3"/>
      <c r="J3"/>
      <c r="K3"/>
      <c r="L3"/>
      <c r="M3"/>
      <c r="N3"/>
      <c r="O3"/>
      <c r="P3"/>
      <c r="Q3"/>
      <c r="R3"/>
      <c r="S3"/>
      <c r="T3"/>
    </row>
    <row r="4" spans="1:92" s="44" customFormat="1" ht="51.75" customHeight="1" thickBot="1" x14ac:dyDescent="0.3">
      <c r="A4" s="45" t="s">
        <v>89</v>
      </c>
      <c r="B4" s="225" t="s">
        <v>102</v>
      </c>
      <c r="C4" s="225"/>
      <c r="D4" s="225"/>
      <c r="E4" s="225"/>
      <c r="F4" s="225"/>
      <c r="G4" s="225"/>
      <c r="H4" s="225"/>
      <c r="I4" s="225"/>
      <c r="J4" s="225"/>
      <c r="K4" s="225"/>
      <c r="L4" s="225"/>
      <c r="M4" s="225"/>
      <c r="N4" s="225"/>
      <c r="O4" s="225"/>
      <c r="P4" s="225"/>
      <c r="Q4" s="225"/>
      <c r="R4" s="225"/>
      <c r="S4" s="225"/>
      <c r="T4"/>
    </row>
    <row r="5" spans="1:92" s="44" customFormat="1" ht="34.5" customHeight="1" x14ac:dyDescent="0.25">
      <c r="A5" s="45" t="s">
        <v>90</v>
      </c>
      <c r="B5" s="225" t="s">
        <v>104</v>
      </c>
      <c r="C5" s="225"/>
      <c r="D5" s="225"/>
      <c r="E5" s="225"/>
      <c r="F5" s="225"/>
      <c r="G5" s="225"/>
      <c r="H5" s="225"/>
      <c r="I5" s="225"/>
      <c r="J5" s="225"/>
      <c r="K5" s="225"/>
      <c r="L5" s="225"/>
      <c r="M5" s="225"/>
      <c r="N5" s="225"/>
      <c r="O5" s="225"/>
      <c r="P5" s="225"/>
      <c r="Q5" s="225"/>
      <c r="R5" s="225"/>
      <c r="S5" s="225"/>
      <c r="T5"/>
    </row>
    <row r="6" spans="1:92" s="44" customFormat="1" ht="48" customHeight="1" x14ac:dyDescent="0.25">
      <c r="A6" s="46" t="s">
        <v>91</v>
      </c>
      <c r="B6" s="226" t="s">
        <v>103</v>
      </c>
      <c r="C6" s="225"/>
      <c r="D6" s="225"/>
      <c r="E6" s="225"/>
      <c r="F6" s="225"/>
      <c r="G6" s="225"/>
      <c r="H6" s="225"/>
      <c r="I6" s="225"/>
      <c r="J6" s="225"/>
      <c r="K6" s="225"/>
      <c r="L6" s="225"/>
      <c r="M6" s="225"/>
      <c r="N6" s="225"/>
      <c r="O6" s="225"/>
      <c r="P6" s="225"/>
      <c r="Q6" s="225"/>
      <c r="R6" s="225"/>
      <c r="S6" s="225"/>
      <c r="T6"/>
    </row>
    <row r="7" spans="1:92" s="44" customFormat="1" ht="30" x14ac:dyDescent="0.25">
      <c r="A7" s="46" t="s">
        <v>88</v>
      </c>
      <c r="B7" s="226" t="s">
        <v>105</v>
      </c>
      <c r="C7" s="225"/>
      <c r="D7" s="225"/>
      <c r="E7" s="225"/>
      <c r="F7" s="225"/>
      <c r="G7" s="225"/>
      <c r="H7" s="225"/>
      <c r="I7" s="225"/>
      <c r="J7" s="225"/>
      <c r="K7" s="225"/>
      <c r="L7" s="225"/>
      <c r="M7" s="225"/>
      <c r="N7" s="225"/>
      <c r="O7" s="225"/>
      <c r="P7" s="225"/>
      <c r="Q7" s="225"/>
      <c r="R7" s="225"/>
      <c r="S7" s="225"/>
      <c r="T7"/>
    </row>
    <row r="8" spans="1:92" s="44" customFormat="1" ht="51" customHeight="1" x14ac:dyDescent="0.25">
      <c r="A8" s="46" t="s">
        <v>92</v>
      </c>
      <c r="B8" s="226" t="s">
        <v>106</v>
      </c>
      <c r="C8" s="226"/>
      <c r="D8" s="226"/>
      <c r="E8" s="226"/>
      <c r="F8" s="226"/>
      <c r="G8" s="226"/>
      <c r="H8" s="226"/>
      <c r="I8" s="226"/>
      <c r="J8" s="226"/>
      <c r="K8" s="226"/>
      <c r="L8" s="226"/>
      <c r="M8" s="226"/>
      <c r="N8" s="226"/>
      <c r="O8" s="226"/>
      <c r="P8" s="226"/>
      <c r="Q8" s="226"/>
      <c r="R8" s="226"/>
      <c r="S8" s="226"/>
      <c r="T8"/>
    </row>
    <row r="9" spans="1:92" s="44" customFormat="1" ht="39.75" customHeight="1" x14ac:dyDescent="0.25">
      <c r="A9" s="46" t="s">
        <v>93</v>
      </c>
      <c r="B9" s="230" t="s">
        <v>107</v>
      </c>
      <c r="C9" s="231"/>
      <c r="D9" s="231"/>
      <c r="E9" s="231"/>
      <c r="F9" s="231"/>
      <c r="G9" s="231"/>
      <c r="H9" s="231"/>
      <c r="I9" s="231"/>
      <c r="J9" s="231"/>
      <c r="K9" s="231"/>
      <c r="L9" s="231"/>
      <c r="M9" s="231"/>
      <c r="N9" s="231"/>
      <c r="O9" s="231"/>
      <c r="P9" s="231"/>
      <c r="Q9" s="231"/>
      <c r="R9" s="231"/>
      <c r="S9" s="232"/>
    </row>
    <row r="10" spans="1:92" s="44" customFormat="1" ht="37.5" customHeight="1" x14ac:dyDescent="0.25">
      <c r="A10" s="46" t="s">
        <v>94</v>
      </c>
      <c r="B10" s="226" t="s">
        <v>108</v>
      </c>
      <c r="C10" s="226"/>
      <c r="D10" s="226"/>
      <c r="E10" s="226"/>
      <c r="F10" s="226"/>
      <c r="G10" s="226"/>
      <c r="H10" s="226"/>
      <c r="I10" s="226"/>
      <c r="J10" s="226"/>
      <c r="K10" s="226"/>
      <c r="L10" s="226"/>
      <c r="M10" s="226"/>
      <c r="N10" s="226"/>
      <c r="O10" s="226"/>
      <c r="P10" s="226"/>
      <c r="Q10" s="226"/>
      <c r="R10" s="226"/>
      <c r="S10" s="226"/>
      <c r="T10"/>
    </row>
    <row r="11" spans="1:92" s="44" customFormat="1" ht="96" customHeight="1" x14ac:dyDescent="0.25">
      <c r="A11" s="46" t="s">
        <v>95</v>
      </c>
      <c r="B11" s="221" t="s">
        <v>109</v>
      </c>
      <c r="C11" s="222"/>
      <c r="D11" s="222"/>
      <c r="E11" s="222"/>
      <c r="F11" s="222"/>
      <c r="G11" s="222"/>
      <c r="H11" s="222"/>
      <c r="I11" s="222"/>
      <c r="J11" s="222"/>
      <c r="K11" s="222"/>
      <c r="L11" s="222"/>
      <c r="M11" s="222"/>
      <c r="N11" s="222"/>
      <c r="O11" s="222"/>
      <c r="P11" s="222"/>
      <c r="Q11" s="222"/>
      <c r="R11" s="222"/>
      <c r="S11" s="223"/>
      <c r="T11"/>
    </row>
    <row r="12" spans="1:92" s="44" customFormat="1" ht="30" x14ac:dyDescent="0.25">
      <c r="A12" s="49" t="s">
        <v>96</v>
      </c>
      <c r="B12" s="224"/>
      <c r="C12" s="224"/>
      <c r="D12" s="224"/>
      <c r="E12" s="224"/>
      <c r="F12" s="224"/>
      <c r="G12" s="224"/>
      <c r="H12" s="224"/>
      <c r="I12" s="224"/>
      <c r="J12" s="224"/>
      <c r="K12" s="224"/>
      <c r="L12" s="224"/>
      <c r="M12" s="224"/>
      <c r="N12" s="224"/>
      <c r="O12" s="224"/>
      <c r="P12" s="224"/>
      <c r="Q12" s="224"/>
      <c r="R12" s="224"/>
      <c r="S12" s="224"/>
    </row>
    <row r="13" spans="1:92" s="44" customFormat="1" ht="24.75" customHeight="1" x14ac:dyDescent="0.25">
      <c r="A13" s="49" t="s">
        <v>97</v>
      </c>
      <c r="B13" s="224"/>
      <c r="C13" s="224"/>
      <c r="D13" s="224"/>
      <c r="E13" s="224"/>
      <c r="F13" s="224"/>
      <c r="G13" s="224"/>
      <c r="H13" s="224"/>
      <c r="I13" s="224"/>
      <c r="J13" s="224"/>
      <c r="K13" s="224"/>
      <c r="L13" s="224"/>
      <c r="M13" s="224"/>
      <c r="N13" s="224"/>
      <c r="O13" s="224"/>
      <c r="P13" s="224"/>
      <c r="Q13" s="224"/>
      <c r="R13" s="224"/>
      <c r="S13" s="224"/>
    </row>
    <row r="14" spans="1:92" s="44" customFormat="1" ht="30" x14ac:dyDescent="0.25">
      <c r="A14" s="50" t="s">
        <v>98</v>
      </c>
      <c r="B14" s="224"/>
      <c r="C14" s="224"/>
      <c r="D14" s="224"/>
      <c r="E14" s="224"/>
      <c r="F14" s="224"/>
      <c r="G14" s="224"/>
      <c r="H14" s="224"/>
      <c r="I14" s="224"/>
      <c r="J14" s="224"/>
      <c r="K14" s="224"/>
      <c r="L14" s="224"/>
      <c r="M14" s="224"/>
      <c r="N14" s="224"/>
      <c r="O14" s="224"/>
      <c r="P14" s="224"/>
      <c r="Q14" s="224"/>
      <c r="R14" s="224"/>
      <c r="S14" s="224"/>
    </row>
    <row r="16" spans="1:92" s="37" customFormat="1" ht="28.9" customHeight="1" x14ac:dyDescent="0.25">
      <c r="F16" s="42"/>
      <c r="I16" s="43"/>
      <c r="O16" s="229" t="str">
        <f>Sheet1!J1</f>
        <v>Conductor</v>
      </c>
      <c r="P16" s="229"/>
      <c r="Q16" s="229"/>
      <c r="R16" s="229"/>
      <c r="S16" s="229"/>
      <c r="T16" s="229" t="s">
        <v>6</v>
      </c>
      <c r="U16" s="229"/>
      <c r="V16" s="229" t="s">
        <v>3</v>
      </c>
      <c r="W16" s="229"/>
      <c r="X16" s="229"/>
      <c r="Y16" s="229"/>
      <c r="Z16" s="229"/>
      <c r="AA16" s="229"/>
      <c r="AB16" s="229"/>
      <c r="AC16" s="229"/>
      <c r="AD16" s="229" t="s">
        <v>7</v>
      </c>
      <c r="AE16" s="229"/>
      <c r="AF16" s="229" t="s">
        <v>8</v>
      </c>
      <c r="AG16" s="229"/>
      <c r="AH16" s="229"/>
      <c r="AI16" s="229"/>
      <c r="AJ16" s="229"/>
      <c r="AK16" s="229"/>
      <c r="AL16" s="10" t="s">
        <v>9</v>
      </c>
      <c r="AM16" s="227" t="s">
        <v>10</v>
      </c>
      <c r="AN16" s="228"/>
      <c r="AO16" s="228"/>
      <c r="AP16" s="228"/>
      <c r="AQ16" s="228"/>
      <c r="AR16" s="228"/>
      <c r="AS16" s="228"/>
      <c r="AT16" s="229" t="s">
        <v>11</v>
      </c>
      <c r="AU16" s="229"/>
      <c r="AV16" s="229"/>
      <c r="AW16" s="229"/>
      <c r="AX16" s="229"/>
      <c r="AY16" s="229"/>
      <c r="AZ16" s="229"/>
      <c r="BA16" s="229"/>
      <c r="BB16" s="229"/>
      <c r="BC16" s="229"/>
      <c r="BD16" s="229" t="s">
        <v>12</v>
      </c>
      <c r="BE16" s="229"/>
      <c r="BF16" s="229"/>
      <c r="BG16" s="229"/>
      <c r="BH16" s="229"/>
      <c r="BI16" s="229"/>
      <c r="BJ16" s="229"/>
      <c r="BK16" s="229"/>
      <c r="BL16" s="229"/>
      <c r="BM16" s="229"/>
      <c r="BN16" s="38" t="s">
        <v>13</v>
      </c>
      <c r="BO16" s="10" t="s">
        <v>14</v>
      </c>
      <c r="BP16" s="10" t="s">
        <v>15</v>
      </c>
      <c r="BQ16" s="10" t="s">
        <v>16</v>
      </c>
      <c r="BR16" s="10" t="s">
        <v>17</v>
      </c>
      <c r="BS16" s="10" t="s">
        <v>18</v>
      </c>
      <c r="BT16" s="10" t="s">
        <v>19</v>
      </c>
      <c r="BU16" s="10" t="s">
        <v>20</v>
      </c>
      <c r="BV16" s="10" t="s">
        <v>21</v>
      </c>
      <c r="BW16" s="10"/>
      <c r="BX16" s="10"/>
      <c r="BY16" s="10"/>
      <c r="BZ16" s="10"/>
      <c r="CA16" s="10"/>
      <c r="CB16" s="10"/>
      <c r="CC16" s="39" t="s">
        <v>22</v>
      </c>
      <c r="CD16" s="39" t="s">
        <v>23</v>
      </c>
      <c r="CE16" s="40" t="s">
        <v>43</v>
      </c>
      <c r="CF16" s="39" t="s">
        <v>87</v>
      </c>
      <c r="CG16" s="41"/>
      <c r="CH16" s="42"/>
      <c r="CI16" s="43"/>
      <c r="CJ16" s="42"/>
      <c r="CK16" s="42"/>
      <c r="CL16" s="43"/>
      <c r="CN16" s="43"/>
    </row>
    <row r="17" spans="1:93" s="19" customFormat="1" ht="89.25" x14ac:dyDescent="0.25">
      <c r="A17" s="22" t="s">
        <v>0</v>
      </c>
      <c r="B17" s="22" t="str">
        <f>Sheet1!B1</f>
        <v>Base Date</v>
      </c>
      <c r="C17" s="22" t="s">
        <v>1</v>
      </c>
      <c r="D17" s="22" t="s">
        <v>2</v>
      </c>
      <c r="E17" s="22" t="s">
        <v>209</v>
      </c>
      <c r="F17" s="5" t="s">
        <v>34</v>
      </c>
      <c r="G17" s="15" t="s">
        <v>35</v>
      </c>
      <c r="H17" s="15" t="s">
        <v>36</v>
      </c>
      <c r="I17" s="6" t="s">
        <v>37</v>
      </c>
      <c r="J17" s="15" t="s">
        <v>38</v>
      </c>
      <c r="K17" s="15" t="s">
        <v>39</v>
      </c>
      <c r="L17" s="15" t="s">
        <v>40</v>
      </c>
      <c r="M17" s="15" t="s">
        <v>41</v>
      </c>
      <c r="N17" s="15" t="s">
        <v>42</v>
      </c>
      <c r="O17" s="23" t="s">
        <v>44</v>
      </c>
      <c r="P17" s="23" t="s">
        <v>49</v>
      </c>
      <c r="Q17" s="23" t="s">
        <v>46</v>
      </c>
      <c r="R17" s="23" t="s">
        <v>47</v>
      </c>
      <c r="S17" s="23" t="s">
        <v>48</v>
      </c>
      <c r="T17" s="23" t="s">
        <v>44</v>
      </c>
      <c r="U17" s="23" t="s">
        <v>49</v>
      </c>
      <c r="V17" s="24" t="s">
        <v>56</v>
      </c>
      <c r="W17" s="24" t="s">
        <v>60</v>
      </c>
      <c r="X17" s="24" t="s">
        <v>63</v>
      </c>
      <c r="Y17" s="24" t="s">
        <v>68</v>
      </c>
      <c r="Z17" s="24" t="s">
        <v>72</v>
      </c>
      <c r="AA17" s="24" t="s">
        <v>76</v>
      </c>
      <c r="AB17" s="24" t="s">
        <v>79</v>
      </c>
      <c r="AC17" s="24" t="s">
        <v>81</v>
      </c>
      <c r="AD17" s="24" t="s">
        <v>55</v>
      </c>
      <c r="AE17" s="24" t="s">
        <v>59</v>
      </c>
      <c r="AF17" s="24" t="s">
        <v>54</v>
      </c>
      <c r="AG17" s="24" t="s">
        <v>50</v>
      </c>
      <c r="AH17" s="24" t="s">
        <v>62</v>
      </c>
      <c r="AI17" s="24" t="s">
        <v>67</v>
      </c>
      <c r="AJ17" s="24" t="s">
        <v>71</v>
      </c>
      <c r="AK17" s="24" t="s">
        <v>75</v>
      </c>
      <c r="AL17" s="20" t="s">
        <v>9</v>
      </c>
      <c r="AM17" s="24" t="s">
        <v>57</v>
      </c>
      <c r="AN17" s="24" t="s">
        <v>61</v>
      </c>
      <c r="AO17" s="24" t="s">
        <v>64</v>
      </c>
      <c r="AP17" s="24" t="s">
        <v>69</v>
      </c>
      <c r="AQ17" s="24" t="s">
        <v>73</v>
      </c>
      <c r="AR17" s="24" t="s">
        <v>51</v>
      </c>
      <c r="AS17" s="24" t="s">
        <v>80</v>
      </c>
      <c r="AT17" s="24" t="s">
        <v>58</v>
      </c>
      <c r="AU17" s="24" t="s">
        <v>45</v>
      </c>
      <c r="AV17" s="24" t="s">
        <v>65</v>
      </c>
      <c r="AW17" s="24" t="s">
        <v>70</v>
      </c>
      <c r="AX17" s="24" t="s">
        <v>77</v>
      </c>
      <c r="AY17" s="24" t="s">
        <v>52</v>
      </c>
      <c r="AZ17" s="24" t="s">
        <v>82</v>
      </c>
      <c r="BA17" s="24" t="s">
        <v>83</v>
      </c>
      <c r="BB17" s="24" t="s">
        <v>84</v>
      </c>
      <c r="BC17" s="24" t="s">
        <v>86</v>
      </c>
      <c r="BD17" s="24" t="s">
        <v>57</v>
      </c>
      <c r="BE17" s="24" t="s">
        <v>61</v>
      </c>
      <c r="BF17" s="24" t="s">
        <v>66</v>
      </c>
      <c r="BG17" s="24" t="s">
        <v>64</v>
      </c>
      <c r="BH17" s="24" t="s">
        <v>74</v>
      </c>
      <c r="BI17" s="24" t="s">
        <v>78</v>
      </c>
      <c r="BJ17" s="24" t="s">
        <v>69</v>
      </c>
      <c r="BK17" s="24" t="s">
        <v>51</v>
      </c>
      <c r="BL17" s="24" t="s">
        <v>80</v>
      </c>
      <c r="BM17" s="24" t="s">
        <v>85</v>
      </c>
      <c r="BN17" s="20" t="s">
        <v>13</v>
      </c>
      <c r="BO17" s="20" t="s">
        <v>53</v>
      </c>
      <c r="BP17" s="21" t="s">
        <v>15</v>
      </c>
      <c r="BQ17" s="25" t="s">
        <v>16</v>
      </c>
      <c r="BR17" s="21" t="s">
        <v>17</v>
      </c>
      <c r="BS17" s="21" t="s">
        <v>18</v>
      </c>
      <c r="BT17" s="21" t="s">
        <v>19</v>
      </c>
      <c r="BU17" s="25" t="s">
        <v>20</v>
      </c>
      <c r="BV17" s="21" t="s">
        <v>21</v>
      </c>
      <c r="BW17" s="21" t="str">
        <f>Sheet1!E1</f>
        <v>Propose Drum Type</v>
      </c>
      <c r="BX17" s="60" t="s">
        <v>208</v>
      </c>
      <c r="BY17" s="60" t="s">
        <v>207</v>
      </c>
      <c r="BZ17" s="53" t="str">
        <f>Sheet1!CV1</f>
        <v>DRUM CODE</v>
      </c>
      <c r="CA17" s="53" t="str">
        <f>Sheet1!CW1</f>
        <v>DRUM SIZE (FxbXtx Ft)</v>
      </c>
      <c r="CB17" s="53" t="str">
        <f>Sheet1!CX1</f>
        <v>Party Standard Length(MTR)</v>
      </c>
      <c r="CC17" s="29"/>
      <c r="CD17" s="29"/>
      <c r="CE17" s="26"/>
      <c r="CF17" s="29"/>
      <c r="CG17" s="13" t="s">
        <v>25</v>
      </c>
      <c r="CH17" s="5" t="s">
        <v>26</v>
      </c>
      <c r="CI17" s="6" t="s">
        <v>27</v>
      </c>
      <c r="CJ17" s="5" t="s">
        <v>28</v>
      </c>
      <c r="CK17" s="5" t="s">
        <v>29</v>
      </c>
      <c r="CL17" s="6" t="s">
        <v>30</v>
      </c>
      <c r="CM17" s="15" t="s">
        <v>31</v>
      </c>
      <c r="CN17" s="6" t="s">
        <v>32</v>
      </c>
      <c r="CO17" s="15" t="s">
        <v>33</v>
      </c>
    </row>
    <row r="18" spans="1:93" s="29" customFormat="1" x14ac:dyDescent="0.25">
      <c r="A18" s="31"/>
      <c r="B18" s="31"/>
      <c r="C18" s="31"/>
      <c r="D18" s="31"/>
      <c r="E18" s="31"/>
      <c r="F18" s="5"/>
      <c r="G18" s="5"/>
      <c r="H18" s="5"/>
      <c r="I18" s="5"/>
      <c r="J18" s="5"/>
      <c r="K18" s="5"/>
      <c r="L18" s="5"/>
      <c r="M18" s="5"/>
      <c r="N18" s="5"/>
      <c r="O18" s="32">
        <v>262</v>
      </c>
      <c r="P18" s="32"/>
      <c r="Q18" s="32"/>
      <c r="R18" s="32"/>
      <c r="S18" s="32"/>
      <c r="T18" s="32"/>
      <c r="U18" s="32">
        <f>O18+7</f>
        <v>269</v>
      </c>
      <c r="V18" s="33"/>
      <c r="W18" s="33"/>
      <c r="X18" s="33"/>
      <c r="Y18" s="33">
        <v>984</v>
      </c>
      <c r="Z18" s="33"/>
      <c r="AA18" s="33"/>
      <c r="AB18" s="33">
        <v>984</v>
      </c>
      <c r="AC18" s="33"/>
      <c r="AD18" s="33">
        <v>175</v>
      </c>
      <c r="AE18" s="33"/>
      <c r="AF18" s="33">
        <v>160</v>
      </c>
      <c r="AG18" s="33"/>
      <c r="AH18" s="33"/>
      <c r="AI18" s="33"/>
      <c r="AJ18" s="33"/>
      <c r="AK18" s="33"/>
      <c r="AL18" s="34"/>
      <c r="AM18" s="33"/>
      <c r="AN18" s="33"/>
      <c r="AO18" s="33"/>
      <c r="AP18" s="33"/>
      <c r="AQ18" s="33"/>
      <c r="AR18" s="33">
        <v>69</v>
      </c>
      <c r="AS18" s="33"/>
      <c r="AT18" s="33"/>
      <c r="AU18" s="33"/>
      <c r="AV18" s="33"/>
      <c r="AW18" s="33"/>
      <c r="AX18" s="33"/>
      <c r="AY18" s="33">
        <v>72</v>
      </c>
      <c r="AZ18" s="33"/>
      <c r="BA18" s="33"/>
      <c r="BB18" s="33"/>
      <c r="BC18" s="33"/>
      <c r="BD18" s="33"/>
      <c r="BE18" s="33"/>
      <c r="BF18" s="33"/>
      <c r="BG18" s="33"/>
      <c r="BH18" s="33"/>
      <c r="BI18" s="33"/>
      <c r="BJ18" s="33"/>
      <c r="BK18" s="33">
        <v>69</v>
      </c>
      <c r="BL18" s="33"/>
      <c r="BM18" s="33"/>
      <c r="BN18" s="34">
        <v>28</v>
      </c>
      <c r="BO18" s="34">
        <f>+IFERROR(VLOOKUP($BO$17,Sheet1!AT2:AW840,2,0),0)</f>
        <v>0</v>
      </c>
      <c r="BP18" s="35">
        <f>+IFERROR(VLOOKUP($BP$17,Sheet1!AX2:BA840,2,0),0)</f>
        <v>0</v>
      </c>
      <c r="BQ18" s="36">
        <f>+IFERROR(VLOOKUP($BQ$17,Sheet1!BB2:BE840,2,0),0)</f>
        <v>0</v>
      </c>
      <c r="BR18" s="35">
        <f>+IFERROR(VLOOKUP($BR$17,Sheet1!BF2:BI840,2,0),0)</f>
        <v>0</v>
      </c>
      <c r="BS18" s="35">
        <f>+IFERROR(VLOOKUP($BS$17,Sheet1!BJ2:BM840,2,0),0)</f>
        <v>0</v>
      </c>
      <c r="BT18" s="35">
        <f>+IFERROR(VLOOKUP($BT$17,Sheet1!BN2:BQ840,2,0),0)</f>
        <v>0</v>
      </c>
      <c r="BU18" s="36">
        <f>+IFERROR(VLOOKUP($BU$17,Sheet1!BR2:BU840,2,0),0)</f>
        <v>0</v>
      </c>
      <c r="BV18" s="35">
        <f>+IFERROR(VLOOKUP($BV$17,Sheet1!BV2:BY840,2,0),0)</f>
        <v>0</v>
      </c>
      <c r="BW18" s="52"/>
      <c r="BX18" s="52"/>
      <c r="BY18" s="52"/>
      <c r="BZ18" s="52"/>
      <c r="CA18" s="52"/>
      <c r="CB18" s="52"/>
      <c r="CG18" s="5"/>
      <c r="CH18" s="5"/>
      <c r="CI18" s="5"/>
      <c r="CJ18" s="5"/>
      <c r="CK18" s="5"/>
      <c r="CL18" s="5"/>
      <c r="CM18" s="5"/>
      <c r="CN18" s="5"/>
      <c r="CO18" s="5"/>
    </row>
    <row r="19" spans="1:93" ht="30" x14ac:dyDescent="0.25">
      <c r="A19" s="1" t="str">
        <f>Sheet1!A4</f>
        <v>ENQ-15363-22-23</v>
      </c>
      <c r="B19" s="51">
        <f>Sheet1!B4</f>
        <v>45658</v>
      </c>
      <c r="C19" s="1" t="str">
        <f>Sheet1!C4</f>
        <v>FA1300006</v>
      </c>
      <c r="D19" s="1" t="str">
        <f>Sheet1!D4</f>
        <v>3 CORE X 70 SQ. MM. AL/ARM - STRIP (XLPE) - 11 KV</v>
      </c>
      <c r="E19" s="1"/>
      <c r="F19" s="3">
        <f>CK19+CM19+CO19</f>
        <v>774262.84499999997</v>
      </c>
      <c r="G19" s="215">
        <f>ROUNDUP(N27,0)</f>
        <v>25715</v>
      </c>
      <c r="H19" s="9">
        <f>F19+G19</f>
        <v>799977.84499999997</v>
      </c>
      <c r="I19" s="7">
        <f>Sheet1!CP4</f>
        <v>0.18</v>
      </c>
      <c r="J19" s="9">
        <f>H19*I19</f>
        <v>143996.01209999999</v>
      </c>
      <c r="K19" s="9">
        <f>H19+J19</f>
        <v>943973.85709999991</v>
      </c>
      <c r="L19" s="1">
        <f>Sheet1!CS4</f>
        <v>14</v>
      </c>
      <c r="M19" s="1" t="str">
        <f>Sheet1!CT4</f>
        <v>KMS</v>
      </c>
      <c r="N19" s="3">
        <f>K19*L19</f>
        <v>13215633.999399999</v>
      </c>
      <c r="O19" s="216">
        <v>567</v>
      </c>
      <c r="P19" s="2">
        <f>+IFERROR(VLOOKUP($P$17,Sheet1!J4:L4,3,0),0)</f>
        <v>0</v>
      </c>
      <c r="Q19" s="2">
        <f>+IFERROR(VLOOKUP($Q$17,Sheet1!J4:M4,3,0),0)</f>
        <v>0</v>
      </c>
      <c r="R19" s="2">
        <f>+IFERROR(VLOOKUP($R$17,Sheet1!J4:M4,3,0),0)</f>
        <v>0</v>
      </c>
      <c r="S19" s="2">
        <f>+IFERROR(VLOOKUP($S$17,Sheet1!J4:M4,3,0),0)</f>
        <v>0</v>
      </c>
      <c r="T19" s="2">
        <f>+IFERROR(VLOOKUP($T$17,Sheet1!N4:Q4,3,0),0)</f>
        <v>0</v>
      </c>
      <c r="U19" s="2">
        <f>+IFERROR(VLOOKUP($U$17,Sheet1!N4:Q4,3,0),0)</f>
        <v>0</v>
      </c>
      <c r="V19" s="2">
        <f>+IFERROR(VLOOKUP($V$17,Sheet1!F4:I4,3,0),0)</f>
        <v>0</v>
      </c>
      <c r="W19" s="2">
        <f>+IFERROR(VLOOKUP($W$17,Sheet1!F4:I4,3,0),0)</f>
        <v>0</v>
      </c>
      <c r="X19" s="2">
        <f>+IFERROR(VLOOKUP($X$17,Sheet1!F4:I4,3,0),0)</f>
        <v>0</v>
      </c>
      <c r="Y19" s="216">
        <v>78</v>
      </c>
      <c r="Z19" s="2">
        <f>+IFERROR(VLOOKUP($Z$17,Sheet1!F4:I4,3,0),0)</f>
        <v>0</v>
      </c>
      <c r="AA19" s="2">
        <f>+IFERROR(VLOOKUP($AA$17,Sheet1!F4:I4,3,0),0)</f>
        <v>0</v>
      </c>
      <c r="AB19" s="2">
        <f>+IFERROR(VLOOKUP($AB$17,Sheet1!F4:I4,3,0),0)</f>
        <v>0</v>
      </c>
      <c r="AC19" s="2">
        <f>+IFERROR(VLOOKUP($AC$17,Sheet1!F4:I4,3,0),0)</f>
        <v>0</v>
      </c>
      <c r="AD19" s="217">
        <v>190</v>
      </c>
      <c r="AE19" s="15">
        <f>+IFERROR(VLOOKUP($AE$17,Sheet1!R4:U4,2,0),0)</f>
        <v>0</v>
      </c>
      <c r="AF19" s="217">
        <v>510</v>
      </c>
      <c r="AG19" s="15">
        <f>+IFERROR(VLOOKUP($AG$17,Sheet1!V4:Y4,3,0),0)</f>
        <v>0</v>
      </c>
      <c r="AH19" s="15">
        <f>+IFERROR(VLOOKUP($AH$17,Sheet1!V4:Y4,3,0),0)</f>
        <v>0</v>
      </c>
      <c r="AI19" s="15">
        <f>+IFERROR(VLOOKUP($AI$17,Sheet1!V4:Y4,3,0),0)</f>
        <v>0</v>
      </c>
      <c r="AJ19" s="15">
        <f>+IFERROR(VLOOKUP($AJ$17,Sheet1!V4:Y4,3,0),0)</f>
        <v>0</v>
      </c>
      <c r="AK19" s="15">
        <f>+IFERROR(VLOOKUP($AK$17,Sheet1!V4:Y4,3,0),0)</f>
        <v>0</v>
      </c>
      <c r="AL19" s="15">
        <f>+IFERROR(VLOOKUP($AL$17,Sheet1!Z4:AB4,3,0),0)</f>
        <v>0</v>
      </c>
      <c r="AM19" s="15">
        <f>+IFERROR(VLOOKUP($AM$17,Sheet1!AD4:AG4,3,0),0)</f>
        <v>0</v>
      </c>
      <c r="AN19" s="15">
        <f>+IFERROR(VLOOKUP($AN$17,Sheet1!AD4:AG4,3,0),0)</f>
        <v>0</v>
      </c>
      <c r="AO19" s="15">
        <f>+IFERROR(VLOOKUP($AO$17,Sheet1!AD4:AG4,3,0),0)</f>
        <v>0</v>
      </c>
      <c r="AP19" s="15">
        <f>+IFERROR(VLOOKUP($AP$17,Sheet1!AD4:AG4,3,0),0)</f>
        <v>0</v>
      </c>
      <c r="AQ19" s="15">
        <f>+IFERROR(VLOOKUP($AQ$17,Sheet1!AD4:AG4,3,0),0)</f>
        <v>0</v>
      </c>
      <c r="AR19" s="218">
        <v>155</v>
      </c>
      <c r="AS19" s="15">
        <f>+IFERROR(VLOOKUP($AS$17,Sheet1!AD4:AG4,3,0),0)</f>
        <v>0</v>
      </c>
      <c r="AT19" s="15">
        <f>+IFERROR(VLOOKUP($AT$17,Sheet1!AH4:AK4,3,0),0)</f>
        <v>0</v>
      </c>
      <c r="AU19" s="15">
        <f>+IFERROR(VLOOKUP($AU$17,Sheet1!AH4:AK4,3,0),0)</f>
        <v>0</v>
      </c>
      <c r="AV19" s="15">
        <f>+IFERROR(VLOOKUP($AV$17,Sheet1!AH4:AK4,3,0),0)</f>
        <v>0</v>
      </c>
      <c r="AW19" s="15">
        <f>+IFERROR(VLOOKUP($AW$17,Sheet1!AH4:AK4,3,0),0)</f>
        <v>0</v>
      </c>
      <c r="AX19" s="15">
        <f>+IFERROR(VLOOKUP($AX$17,Sheet1!AH4:AK4,3,0),0)</f>
        <v>0</v>
      </c>
      <c r="AY19" s="218">
        <v>775</v>
      </c>
      <c r="AZ19" s="15">
        <f>+IFERROR(VLOOKUP($AZ$17,Sheet1!AH4:AK4,3,0),0)</f>
        <v>0</v>
      </c>
      <c r="BA19" s="15">
        <f>+IFERROR(VLOOKUP($BA$17,Sheet1!AH4:AK4,3,0),0)</f>
        <v>0</v>
      </c>
      <c r="BB19" s="15">
        <f>+IFERROR(VLOOKUP($BB$17,Sheet1!AH4:AK4,3,0),0)</f>
        <v>0</v>
      </c>
      <c r="BC19" s="15">
        <f>+IFERROR(VLOOKUP($BC$17,Sheet1!AH4:AK4,3,0),0)</f>
        <v>0</v>
      </c>
      <c r="BD19" s="15">
        <f>+IFERROR(VLOOKUP($BD$17,Sheet1!AL4:AO4,3,0),0)</f>
        <v>0</v>
      </c>
      <c r="BE19" s="15">
        <f>+IFERROR(VLOOKUP($BE$17,Sheet1!AL4:AO4,3,0),0)</f>
        <v>0</v>
      </c>
      <c r="BF19" s="15">
        <f>+IFERROR(VLOOKUP($BF$17,Sheet1!AL4:AO4,3,0),0)</f>
        <v>0</v>
      </c>
      <c r="BG19" s="15">
        <f>+IFERROR(VLOOKUP($BG$17,Sheet1!AL4:AO4,3,0),0)</f>
        <v>0</v>
      </c>
      <c r="BH19" s="15">
        <f>+IFERROR(VLOOKUP($BH$17,Sheet1!AL4:AO4,3,0),0)</f>
        <v>0</v>
      </c>
      <c r="BI19" s="15">
        <f>+IFERROR(VLOOKUP($BI$17,Sheet1!AL4:AO4,3,0),0)</f>
        <v>0</v>
      </c>
      <c r="BJ19" s="15">
        <f>+IFERROR(VLOOKUP($BJ$17,Sheet1!AL4:AO4,3,0),0)</f>
        <v>0</v>
      </c>
      <c r="BK19" s="217">
        <v>490</v>
      </c>
      <c r="BL19" s="15">
        <f>+IFERROR(VLOOKUP($BL$17,Sheet1!AL4:AO4,3,0),0)</f>
        <v>0</v>
      </c>
      <c r="BM19" s="15">
        <f>+IFERROR(VLOOKUP($BM$17,Sheet1!AL4:AO4,3,0),0)</f>
        <v>0</v>
      </c>
      <c r="BN19" s="218">
        <v>560</v>
      </c>
      <c r="BO19" s="15">
        <f>+IFERROR(VLOOKUP($BO$17,Sheet1!AT4:AW4,3,0),0)</f>
        <v>0</v>
      </c>
      <c r="BP19" s="15">
        <f>+IFERROR(VLOOKUP($BP$17,Sheet1!AX4:BA4,3,0),0)</f>
        <v>0</v>
      </c>
      <c r="BQ19" s="15">
        <f>+IFERROR(VLOOKUP($BQ$17,Sheet1!BB4:BE4,3,0),0)</f>
        <v>0</v>
      </c>
      <c r="BR19" s="15">
        <f>+IFERROR(VLOOKUP($BR$17,Sheet1!BF4:BI4,3,0),0)</f>
        <v>0</v>
      </c>
      <c r="BS19" s="15">
        <f>+IFERROR(VLOOKUP($BS$17,Sheet1!BJ4:BM4,3,0),0)</f>
        <v>0</v>
      </c>
      <c r="BT19" s="15">
        <f>+IFERROR(VLOOKUP($BT$17,Sheet1!BN4:BQ4,3,0),0)</f>
        <v>0</v>
      </c>
      <c r="BU19" s="15">
        <f>+IFERROR(VLOOKUP($BU$17,Sheet1!BR4:BU4,3,0),0)</f>
        <v>0</v>
      </c>
      <c r="BV19" s="15">
        <f>+IFERROR(VLOOKUP($BV$17,Sheet1!BV4:BY4,3,0),0)</f>
        <v>0</v>
      </c>
      <c r="BW19" s="218" t="s">
        <v>193</v>
      </c>
      <c r="BX19" s="15">
        <f>SUM(O19:BN19)</f>
        <v>3325</v>
      </c>
      <c r="BY19" s="59">
        <v>50</v>
      </c>
      <c r="BZ19" s="15" t="s">
        <v>271</v>
      </c>
      <c r="CA19" s="15" t="s">
        <v>272</v>
      </c>
      <c r="CB19" s="218">
        <v>500</v>
      </c>
      <c r="CC19" s="3">
        <v>45000</v>
      </c>
      <c r="CD19" s="3">
        <f>SUMPRODUCT($O$18:$BV$18,O19:BV19)+CC19</f>
        <v>501141</v>
      </c>
      <c r="CE19" s="27">
        <f>Sheet1!CB4</f>
        <v>0</v>
      </c>
      <c r="CF19" s="3">
        <f>CD19*CE19</f>
        <v>0</v>
      </c>
      <c r="CG19" s="48">
        <v>0.5</v>
      </c>
      <c r="CH19" s="3">
        <f>CD19*CG19</f>
        <v>250570.5</v>
      </c>
      <c r="CI19" s="48">
        <f>Sheet1!CF4</f>
        <v>0</v>
      </c>
      <c r="CJ19" s="3">
        <f>CD19*CI19</f>
        <v>0</v>
      </c>
      <c r="CK19" s="3">
        <f>CD19+CF19+CH19+CJ19</f>
        <v>751711.5</v>
      </c>
      <c r="CL19" s="48">
        <v>0.02</v>
      </c>
      <c r="CM19" s="215">
        <f>CK19*CL19</f>
        <v>15034.23</v>
      </c>
      <c r="CN19" s="48">
        <v>0.01</v>
      </c>
      <c r="CO19" s="215">
        <f>CK19*CN19</f>
        <v>7517.1149999999998</v>
      </c>
    </row>
    <row r="20" spans="1:93" ht="30" x14ac:dyDescent="0.25">
      <c r="A20" s="1" t="str">
        <f>Sheet1!A6</f>
        <v>ENQ-15363-22-23</v>
      </c>
      <c r="B20" s="51">
        <f>Sheet1!B6</f>
        <v>45658</v>
      </c>
      <c r="C20" s="1" t="str">
        <f>Sheet1!C6</f>
        <v>FA1300052</v>
      </c>
      <c r="D20" s="1" t="str">
        <f>Sheet1!D6</f>
        <v>3 CORE X 150 SQ. MM. AL/ARM - STRIP (XLPE) - 11 KV</v>
      </c>
      <c r="E20" s="1"/>
      <c r="F20" s="3">
        <f>CK20+CM20+CO20</f>
        <v>1172727.615</v>
      </c>
      <c r="G20" s="215">
        <f>ROUNDUP(N28,0)</f>
        <v>30000</v>
      </c>
      <c r="H20" s="9">
        <f>F20+G20</f>
        <v>1202727.615</v>
      </c>
      <c r="I20" s="7">
        <f>Sheet1!CP6</f>
        <v>0.18</v>
      </c>
      <c r="J20" s="9">
        <f>H20*I20</f>
        <v>216490.97069999998</v>
      </c>
      <c r="K20" s="9">
        <f>H20+J20</f>
        <v>1419218.5856999999</v>
      </c>
      <c r="L20" s="1">
        <f>Sheet1!CS6</f>
        <v>12</v>
      </c>
      <c r="M20" s="1" t="str">
        <f>Sheet1!CT6</f>
        <v>KMS</v>
      </c>
      <c r="N20" s="3">
        <f>K20*L20</f>
        <v>17030623.0284</v>
      </c>
      <c r="O20" s="216">
        <v>1215</v>
      </c>
      <c r="P20" s="2">
        <f>+IFERROR(VLOOKUP($P$17,Sheet1!J6:L6,3,0),0)</f>
        <v>0</v>
      </c>
      <c r="Q20" s="2">
        <f>+IFERROR(VLOOKUP($Q$17,Sheet1!J6:M6,3,0),0)</f>
        <v>0</v>
      </c>
      <c r="R20" s="2">
        <f>+IFERROR(VLOOKUP($R$17,Sheet1!J6:M6,3,0),0)</f>
        <v>0</v>
      </c>
      <c r="S20" s="2">
        <f>+IFERROR(VLOOKUP($S$17,Sheet1!J6:M6,3,0),0)</f>
        <v>0</v>
      </c>
      <c r="T20" s="2">
        <f>+IFERROR(VLOOKUP($T$17,Sheet1!N6:Q6,3,0),0)</f>
        <v>0</v>
      </c>
      <c r="U20" s="2">
        <f>+IFERROR(VLOOKUP($U$17,Sheet1!N6:Q6,3,0),0)</f>
        <v>0</v>
      </c>
      <c r="V20" s="2">
        <f>+IFERROR(VLOOKUP($V$17,Sheet1!F6:I6,3,0),0)</f>
        <v>0</v>
      </c>
      <c r="W20" s="2">
        <f>+IFERROR(VLOOKUP($W$17,Sheet1!F6:I6,3,0),0)</f>
        <v>0</v>
      </c>
      <c r="X20" s="2">
        <f>+IFERROR(VLOOKUP($X$17,Sheet1!F6:I6,3,0),0)</f>
        <v>0</v>
      </c>
      <c r="Y20" s="216">
        <v>96</v>
      </c>
      <c r="Z20" s="2">
        <f>+IFERROR(VLOOKUP($Z$17,Sheet1!F6:I6,3,0),0)</f>
        <v>0</v>
      </c>
      <c r="AA20" s="2">
        <f>+IFERROR(VLOOKUP($AA$17,Sheet1!F6:I6,3,0),0)</f>
        <v>0</v>
      </c>
      <c r="AB20" s="2">
        <f>+IFERROR(VLOOKUP($AB$17,Sheet1!F6:I6,3,0),0)</f>
        <v>0</v>
      </c>
      <c r="AC20" s="2">
        <f>+IFERROR(VLOOKUP($AC$17,Sheet1!F6:I6,3,0),0)</f>
        <v>0</v>
      </c>
      <c r="AD20" s="217">
        <v>250</v>
      </c>
      <c r="AE20" s="15">
        <f>+IFERROR(VLOOKUP($AE$17,Sheet1!R6:U6,2,0),0)</f>
        <v>0</v>
      </c>
      <c r="AF20" s="217">
        <v>663</v>
      </c>
      <c r="AG20" s="15">
        <f>+IFERROR(VLOOKUP($AG$17,Sheet1!V6:Y6,3,0),0)</f>
        <v>0</v>
      </c>
      <c r="AH20" s="15">
        <f>+IFERROR(VLOOKUP($AH$17,Sheet1!V6:Y6,3,0),0)</f>
        <v>0</v>
      </c>
      <c r="AI20" s="15">
        <f>+IFERROR(VLOOKUP($AI$17,Sheet1!V6:Y6,3,0),0)</f>
        <v>0</v>
      </c>
      <c r="AJ20" s="15">
        <f>+IFERROR(VLOOKUP($AJ$17,Sheet1!V6:Y6,3,0),0)</f>
        <v>0</v>
      </c>
      <c r="AK20" s="15">
        <f>+IFERROR(VLOOKUP($AK$17,Sheet1!V6:Y6,3,0),0)</f>
        <v>0</v>
      </c>
      <c r="AL20" s="15">
        <f>+IFERROR(VLOOKUP($AL$17,Sheet1!Z6:AB6,3,0),0)</f>
        <v>0</v>
      </c>
      <c r="AM20" s="15">
        <f>+IFERROR(VLOOKUP($AM$17,Sheet1!AD6:AG6,3,0),0)</f>
        <v>0</v>
      </c>
      <c r="AN20" s="15">
        <f>+IFERROR(VLOOKUP($AN$17,Sheet1!AD6:AG6,3,0),0)</f>
        <v>0</v>
      </c>
      <c r="AO20" s="15">
        <f>+IFERROR(VLOOKUP($AO$17,Sheet1!AD6:AG6,3,0),0)</f>
        <v>0</v>
      </c>
      <c r="AP20" s="15">
        <f>+IFERROR(VLOOKUP($AP$17,Sheet1!AD6:AG6,3,0),0)</f>
        <v>0</v>
      </c>
      <c r="AQ20" s="15">
        <f>+IFERROR(VLOOKUP($AQ$17,Sheet1!AD6:AG6,3,0),0)</f>
        <v>0</v>
      </c>
      <c r="AR20" s="218">
        <v>214</v>
      </c>
      <c r="AS20" s="15">
        <f>+IFERROR(VLOOKUP($AS$17,Sheet1!AD6:AG6,3,0),0)</f>
        <v>0</v>
      </c>
      <c r="AT20" s="15">
        <f>+IFERROR(VLOOKUP($AT$17,Sheet1!AH6:AK6,3,0),0)</f>
        <v>0</v>
      </c>
      <c r="AU20" s="15">
        <f>+IFERROR(VLOOKUP($AU$17,Sheet1!AH6:AK6,3,0),0)</f>
        <v>0</v>
      </c>
      <c r="AV20" s="15">
        <f>+IFERROR(VLOOKUP($AV$17,Sheet1!AH6:AK6,3,0),0)</f>
        <v>0</v>
      </c>
      <c r="AW20" s="15">
        <f>+IFERROR(VLOOKUP($AW$17,Sheet1!AH6:AK6,3,0),0)</f>
        <v>0</v>
      </c>
      <c r="AX20" s="15">
        <f>+IFERROR(VLOOKUP($AX$17,Sheet1!AH6:AK6,3,0),0)</f>
        <v>0</v>
      </c>
      <c r="AY20" s="218">
        <v>925</v>
      </c>
      <c r="AZ20" s="15">
        <f>+IFERROR(VLOOKUP($AZ$17,Sheet1!AH6:AK6,3,0),0)</f>
        <v>0</v>
      </c>
      <c r="BA20" s="15">
        <f>+IFERROR(VLOOKUP($BA$17,Sheet1!AH6:AK6,3,0),0)</f>
        <v>0</v>
      </c>
      <c r="BB20" s="15">
        <f>+IFERROR(VLOOKUP($BB$17,Sheet1!AH6:AK6,3,0),0)</f>
        <v>0</v>
      </c>
      <c r="BC20" s="15">
        <f>+IFERROR(VLOOKUP($BC$17,Sheet1!AH6:AK6,3,0),0)</f>
        <v>0</v>
      </c>
      <c r="BD20" s="15">
        <f>+IFERROR(VLOOKUP($BD$17,Sheet1!AL6:AO6,3,0),0)</f>
        <v>0</v>
      </c>
      <c r="BE20" s="15">
        <f>+IFERROR(VLOOKUP($BE$17,Sheet1!AL6:AO6,3,0),0)</f>
        <v>0</v>
      </c>
      <c r="BF20" s="15">
        <f>+IFERROR(VLOOKUP($BF$17,Sheet1!AL6:AO6,3,0),0)</f>
        <v>0</v>
      </c>
      <c r="BG20" s="15">
        <f>+IFERROR(VLOOKUP($BG$17,Sheet1!AL6:AO6,3,0),0)</f>
        <v>0</v>
      </c>
      <c r="BH20" s="15">
        <f>+IFERROR(VLOOKUP($BH$17,Sheet1!AL6:AO6,3,0),0)</f>
        <v>0</v>
      </c>
      <c r="BI20" s="15">
        <f>+IFERROR(VLOOKUP($BI$17,Sheet1!AL6:AO6,3,0),0)</f>
        <v>0</v>
      </c>
      <c r="BJ20" s="15">
        <f>+IFERROR(VLOOKUP($BJ$17,Sheet1!AL6:AO6,3,0),0)</f>
        <v>0</v>
      </c>
      <c r="BK20" s="217">
        <v>725</v>
      </c>
      <c r="BL20" s="15">
        <f>+IFERROR(VLOOKUP($BL$17,Sheet1!AL6:AO6,3,0),0)</f>
        <v>0</v>
      </c>
      <c r="BM20" s="15">
        <f>+IFERROR(VLOOKUP($BM$17,Sheet1!AL6:AO6,3,0),0)</f>
        <v>0</v>
      </c>
      <c r="BN20" s="218">
        <v>844</v>
      </c>
      <c r="BO20" s="15">
        <f>+IFERROR(VLOOKUP($BO$17,Sheet1!AT6:AW6,3,0),0)</f>
        <v>0</v>
      </c>
      <c r="BP20" s="15">
        <f>+IFERROR(VLOOKUP($BP$17,Sheet1!AX6:BA6,3,0),0)</f>
        <v>0</v>
      </c>
      <c r="BQ20" s="15">
        <f>+IFERROR(VLOOKUP($BQ$17,Sheet1!BB6:BE6,3,0),0)</f>
        <v>0</v>
      </c>
      <c r="BR20" s="15">
        <f>+IFERROR(VLOOKUP($BR$17,Sheet1!BF6:BI6,3,0),0)</f>
        <v>0</v>
      </c>
      <c r="BS20" s="15">
        <f>+IFERROR(VLOOKUP($BS$17,Sheet1!BJ6:BM6,3,0),0)</f>
        <v>0</v>
      </c>
      <c r="BT20" s="15">
        <f>+IFERROR(VLOOKUP($BT$17,Sheet1!BN6:BQ6,3,0),0)</f>
        <v>0</v>
      </c>
      <c r="BU20" s="15">
        <f>+IFERROR(VLOOKUP($BU$17,Sheet1!BR6:BU6,3,0),0)</f>
        <v>0</v>
      </c>
      <c r="BV20" s="15">
        <f>+IFERROR(VLOOKUP($BV$17,Sheet1!BV6:BY6,3,0),0)</f>
        <v>0</v>
      </c>
      <c r="BW20" s="218" t="s">
        <v>193</v>
      </c>
      <c r="BX20" s="15">
        <f t="shared" ref="BX20:BX23" si="0">SUM(O20:BN20)</f>
        <v>4932</v>
      </c>
      <c r="BY20" s="59">
        <v>61</v>
      </c>
      <c r="BZ20" s="15" t="s">
        <v>273</v>
      </c>
      <c r="CA20" s="15" t="s">
        <v>274</v>
      </c>
      <c r="CB20" s="218">
        <v>500</v>
      </c>
      <c r="CC20" s="3">
        <v>41400</v>
      </c>
      <c r="CD20" s="3">
        <f>SUMPRODUCT($O$18:$BV$18,O20:BV20)+CC20</f>
        <v>759047</v>
      </c>
      <c r="CE20" s="27">
        <f>Sheet1!CB6</f>
        <v>0</v>
      </c>
      <c r="CF20" s="3">
        <f>CD20*CE20</f>
        <v>0</v>
      </c>
      <c r="CG20" s="48">
        <v>0.5</v>
      </c>
      <c r="CH20" s="3">
        <f>CD20*CG20</f>
        <v>379523.5</v>
      </c>
      <c r="CI20" s="48">
        <f>Sheet1!CF6</f>
        <v>0</v>
      </c>
      <c r="CJ20" s="3">
        <f>CD20*CI20</f>
        <v>0</v>
      </c>
      <c r="CK20" s="3">
        <f>CD20+CF20+CH20+CJ20</f>
        <v>1138570.5</v>
      </c>
      <c r="CL20" s="48">
        <v>0.02</v>
      </c>
      <c r="CM20" s="215">
        <f>CK20*CL20</f>
        <v>22771.41</v>
      </c>
      <c r="CN20" s="48">
        <v>0.01</v>
      </c>
      <c r="CO20" s="215">
        <f>CK20*CN20</f>
        <v>11385.705</v>
      </c>
    </row>
    <row r="21" spans="1:93" ht="30" x14ac:dyDescent="0.25">
      <c r="A21" s="1" t="str">
        <f>Sheet1!A3</f>
        <v>ENQ-15363-22-23</v>
      </c>
      <c r="B21" s="51">
        <f>Sheet1!B3</f>
        <v>45658</v>
      </c>
      <c r="C21" s="1" t="str">
        <f>Sheet1!C3</f>
        <v>FA1300004</v>
      </c>
      <c r="D21" s="1" t="str">
        <f>Sheet1!D3</f>
        <v>3 CORE X 300 SQ. MM. AL/ARM - STRIP (XLPE) - 11 KV</v>
      </c>
      <c r="E21" s="1"/>
      <c r="F21" s="3">
        <f>CK21+CM21+CO21</f>
        <v>1904002.38</v>
      </c>
      <c r="G21" s="215">
        <f>ROUNDUP(N29,0)</f>
        <v>48000</v>
      </c>
      <c r="H21" s="9">
        <f>F21+G21</f>
        <v>1952002.38</v>
      </c>
      <c r="I21" s="7">
        <f>Sheet1!CP3</f>
        <v>0.18</v>
      </c>
      <c r="J21" s="9">
        <f>H21*I21</f>
        <v>351360.42839999998</v>
      </c>
      <c r="K21" s="9">
        <f>H21+J21</f>
        <v>2303362.8084</v>
      </c>
      <c r="L21" s="1">
        <f>Sheet1!CS3</f>
        <v>150</v>
      </c>
      <c r="M21" s="1" t="str">
        <f>Sheet1!CT3</f>
        <v>KMS</v>
      </c>
      <c r="N21" s="3">
        <f>K21*L21</f>
        <v>345504421.25999999</v>
      </c>
      <c r="O21" s="216">
        <v>2430</v>
      </c>
      <c r="P21" s="2">
        <f>+IFERROR(VLOOKUP($P$17,Sheet1!J3:L3,3,0),0)</f>
        <v>0</v>
      </c>
      <c r="Q21" s="2">
        <f>+IFERROR(VLOOKUP($Q$17,Sheet1!J3:M3,3,0),0)</f>
        <v>0</v>
      </c>
      <c r="R21" s="2">
        <f>+IFERROR(VLOOKUP($R$17,Sheet1!J3:M3,3,0),0)</f>
        <v>0</v>
      </c>
      <c r="S21" s="2">
        <f>+IFERROR(VLOOKUP($S$17,Sheet1!J3:M3,3,0),0)</f>
        <v>0</v>
      </c>
      <c r="T21" s="2">
        <f>+IFERROR(VLOOKUP($T$17,Sheet1!N3:Q3,3,0),0)</f>
        <v>0</v>
      </c>
      <c r="U21" s="2">
        <f>+IFERROR(VLOOKUP($U$17,Sheet1!N3:Q3,3,0),0)</f>
        <v>0</v>
      </c>
      <c r="V21" s="2">
        <f>+IFERROR(VLOOKUP($V$17,Sheet1!F3:I3,3,0),0)</f>
        <v>0</v>
      </c>
      <c r="W21" s="2">
        <f>+IFERROR(VLOOKUP($W$17,Sheet1!F3:I3,3,0),0)</f>
        <v>0</v>
      </c>
      <c r="X21" s="2">
        <f>+IFERROR(VLOOKUP($X$17,Sheet1!F3:I3,3,0),0)</f>
        <v>0</v>
      </c>
      <c r="Y21" s="216">
        <v>119</v>
      </c>
      <c r="Z21" s="2">
        <f>+IFERROR(VLOOKUP($Z$17,Sheet1!F3:I3,3,0),0)</f>
        <v>0</v>
      </c>
      <c r="AA21" s="2">
        <f>+IFERROR(VLOOKUP($AA$17,Sheet1!F3:I3,3,0),0)</f>
        <v>0</v>
      </c>
      <c r="AB21" s="2">
        <f>+IFERROR(VLOOKUP($AB$17,Sheet1!F3:I3,3,0),0)</f>
        <v>0</v>
      </c>
      <c r="AC21" s="2">
        <f>+IFERROR(VLOOKUP($AC$17,Sheet1!F3:I3,3,0),0)</f>
        <v>0</v>
      </c>
      <c r="AD21" s="217">
        <v>328</v>
      </c>
      <c r="AE21" s="15">
        <f>+IFERROR(VLOOKUP($AE$17,Sheet1!R3:U3,2,0),0)</f>
        <v>0</v>
      </c>
      <c r="AF21" s="217">
        <v>870</v>
      </c>
      <c r="AG21" s="15">
        <f>+IFERROR(VLOOKUP($AG$17,Sheet1!V3:Y3,3,0),0)</f>
        <v>0</v>
      </c>
      <c r="AH21" s="15">
        <f>+IFERROR(VLOOKUP($AH$17,Sheet1!V3:Y3,3,0),0)</f>
        <v>0</v>
      </c>
      <c r="AI21" s="15">
        <f>+IFERROR(VLOOKUP($AI$17,Sheet1!V3:Y3,3,0),0)</f>
        <v>0</v>
      </c>
      <c r="AJ21" s="15">
        <f>+IFERROR(VLOOKUP($AJ$17,Sheet1!V3:Y3,3,0),0)</f>
        <v>0</v>
      </c>
      <c r="AK21" s="15">
        <f>+IFERROR(VLOOKUP($AK$17,Sheet1!V3:Y3,3,0),0)</f>
        <v>0</v>
      </c>
      <c r="AL21" s="15">
        <f>+IFERROR(VLOOKUP($AL$17,Sheet1!Z3:AB3,3,0),0)</f>
        <v>0</v>
      </c>
      <c r="AM21" s="15">
        <f>+IFERROR(VLOOKUP($AM$17,Sheet1!AD3:AG3,3,0),0)</f>
        <v>0</v>
      </c>
      <c r="AN21" s="15">
        <f>+IFERROR(VLOOKUP($AN$17,Sheet1!AD3:AG3,3,0),0)</f>
        <v>0</v>
      </c>
      <c r="AO21" s="15">
        <f>+IFERROR(VLOOKUP($AO$17,Sheet1!AD3:AG3,3,0),0)</f>
        <v>0</v>
      </c>
      <c r="AP21" s="15">
        <f>+IFERROR(VLOOKUP($AP$17,Sheet1!AD3:AG3,3,0),0)</f>
        <v>0</v>
      </c>
      <c r="AQ21" s="15">
        <f>+IFERROR(VLOOKUP($AQ$17,Sheet1!AD3:AG3,3,0),0)</f>
        <v>0</v>
      </c>
      <c r="AR21" s="218">
        <v>300</v>
      </c>
      <c r="AS21" s="15">
        <f>+IFERROR(VLOOKUP($AS$17,Sheet1!AD3:AG3,3,0),0)</f>
        <v>0</v>
      </c>
      <c r="AT21" s="15">
        <f>+IFERROR(VLOOKUP($AT$17,Sheet1!AH3:AK3,3,0),0)</f>
        <v>0</v>
      </c>
      <c r="AU21" s="15">
        <f>+IFERROR(VLOOKUP($AU$17,Sheet1!AH3:AK3,3,0),0)</f>
        <v>0</v>
      </c>
      <c r="AV21" s="15">
        <f>+IFERROR(VLOOKUP($AV$17,Sheet1!AH3:AK3,3,0),0)</f>
        <v>0</v>
      </c>
      <c r="AW21" s="15">
        <f>+IFERROR(VLOOKUP($AW$17,Sheet1!AH3:AK3,3,0),0)</f>
        <v>0</v>
      </c>
      <c r="AX21" s="15">
        <f>+IFERROR(VLOOKUP($AX$17,Sheet1!AH3:AK3,3,0),0)</f>
        <v>0</v>
      </c>
      <c r="AY21" s="218">
        <v>1150</v>
      </c>
      <c r="AZ21" s="15">
        <f>+IFERROR(VLOOKUP($AZ$17,Sheet1!AH3:AK3,3,0),0)</f>
        <v>0</v>
      </c>
      <c r="BA21" s="15">
        <f>+IFERROR(VLOOKUP($BA$17,Sheet1!AH3:AK3,3,0),0)</f>
        <v>0</v>
      </c>
      <c r="BB21" s="15">
        <f>+IFERROR(VLOOKUP($BB$17,Sheet1!AH3:AK3,3,0),0)</f>
        <v>0</v>
      </c>
      <c r="BC21" s="15">
        <f>+IFERROR(VLOOKUP($BC$17,Sheet1!AH3:AK3,3,0),0)</f>
        <v>0</v>
      </c>
      <c r="BD21" s="15">
        <f>+IFERROR(VLOOKUP($BD$17,Sheet1!AL3:AO3,3,0),0)</f>
        <v>0</v>
      </c>
      <c r="BE21" s="15">
        <f>+IFERROR(VLOOKUP($BE$17,Sheet1!AL3:AO3,3,0),0)</f>
        <v>0</v>
      </c>
      <c r="BF21" s="15">
        <f>+IFERROR(VLOOKUP($BF$17,Sheet1!AL3:AO3,3,0),0)</f>
        <v>0</v>
      </c>
      <c r="BG21" s="15">
        <f>+IFERROR(VLOOKUP($BG$17,Sheet1!AL3:AO3,3,0),0)</f>
        <v>0</v>
      </c>
      <c r="BH21" s="15">
        <f>+IFERROR(VLOOKUP($BH$17,Sheet1!AL3:AO3,3,0),0)</f>
        <v>0</v>
      </c>
      <c r="BI21" s="15">
        <f>+IFERROR(VLOOKUP($BI$17,Sheet1!AL3:AO3,3,0),0)</f>
        <v>0</v>
      </c>
      <c r="BJ21" s="15">
        <f>+IFERROR(VLOOKUP($BJ$17,Sheet1!AL3:AO3,3,0),0)</f>
        <v>0</v>
      </c>
      <c r="BK21" s="217">
        <v>1012</v>
      </c>
      <c r="BL21" s="15">
        <f>+IFERROR(VLOOKUP($BL$17,Sheet1!AL3:AO3,3,0),0)</f>
        <v>0</v>
      </c>
      <c r="BM21" s="15">
        <f>+IFERROR(VLOOKUP($BM$17,Sheet1!AL3:AO3,3,0),0)</f>
        <v>0</v>
      </c>
      <c r="BN21" s="218">
        <v>1310</v>
      </c>
      <c r="BO21" s="15">
        <f>+IFERROR(VLOOKUP($BO$17,Sheet1!AT3:AW3,3,0),0)</f>
        <v>0</v>
      </c>
      <c r="BP21" s="15">
        <f>+IFERROR(VLOOKUP($BP$17,Sheet1!AX3:BA3,3,0),0)</f>
        <v>0</v>
      </c>
      <c r="BQ21" s="15">
        <f>+IFERROR(VLOOKUP($BQ$17,Sheet1!BB3:BE3,3,0),0)</f>
        <v>0</v>
      </c>
      <c r="BR21" s="15">
        <f>+IFERROR(VLOOKUP($BR$17,Sheet1!BF3:BI3,3,0),0)</f>
        <v>0</v>
      </c>
      <c r="BS21" s="15">
        <f>+IFERROR(VLOOKUP($BS$17,Sheet1!BJ3:BM3,3,0),0)</f>
        <v>0</v>
      </c>
      <c r="BT21" s="15">
        <f>+IFERROR(VLOOKUP($BT$17,Sheet1!BN3:BQ3,3,0),0)</f>
        <v>0</v>
      </c>
      <c r="BU21" s="15">
        <f>+IFERROR(VLOOKUP($BU$17,Sheet1!BR3:BU3,3,0),0)</f>
        <v>0</v>
      </c>
      <c r="BV21" s="15">
        <f>+IFERROR(VLOOKUP($BV$17,Sheet1!BV3:BY3,3,0),0)</f>
        <v>0</v>
      </c>
      <c r="BW21" s="218" t="s">
        <v>193</v>
      </c>
      <c r="BX21" s="15">
        <f t="shared" si="0"/>
        <v>7519</v>
      </c>
      <c r="BY21" s="59">
        <v>75</v>
      </c>
      <c r="BZ21" s="15" t="s">
        <v>275</v>
      </c>
      <c r="CA21" s="15" t="s">
        <v>276</v>
      </c>
      <c r="CB21" s="218">
        <v>500</v>
      </c>
      <c r="CC21" s="3">
        <v>72000</v>
      </c>
      <c r="CD21" s="3">
        <f>SUMPRODUCT($O$18:$BV$18,O21:BV21)+CC21</f>
        <v>1232364</v>
      </c>
      <c r="CE21" s="27">
        <f>Sheet1!CB3</f>
        <v>0</v>
      </c>
      <c r="CF21" s="3">
        <f>CD21*CE21</f>
        <v>0</v>
      </c>
      <c r="CG21" s="48">
        <v>0.5</v>
      </c>
      <c r="CH21" s="3">
        <f>CD21*CG21</f>
        <v>616182</v>
      </c>
      <c r="CI21" s="48">
        <f>Sheet1!CF3</f>
        <v>0</v>
      </c>
      <c r="CJ21" s="3">
        <f>CD21*CI21</f>
        <v>0</v>
      </c>
      <c r="CK21" s="3">
        <f>CD21+CF21+CH21+CJ21</f>
        <v>1848546</v>
      </c>
      <c r="CL21" s="48">
        <v>0.02</v>
      </c>
      <c r="CM21" s="215">
        <f>CK21*CL21</f>
        <v>36970.92</v>
      </c>
      <c r="CN21" s="48">
        <v>0.01</v>
      </c>
      <c r="CO21" s="215">
        <f>CK21*CN21</f>
        <v>18485.46</v>
      </c>
    </row>
    <row r="22" spans="1:93" ht="30" x14ac:dyDescent="0.25">
      <c r="A22" s="1" t="str">
        <f>Sheet1!A5</f>
        <v>ENQ-15363-22-23</v>
      </c>
      <c r="B22" s="51">
        <f>Sheet1!B5</f>
        <v>45658</v>
      </c>
      <c r="C22" s="1" t="str">
        <f>Sheet1!C5</f>
        <v>FA1300010</v>
      </c>
      <c r="D22" s="1" t="str">
        <f>Sheet1!D5</f>
        <v>3 CORE X 400 SQ. MM. AL/ARM - STRIP (XLPE) - 33 KV</v>
      </c>
      <c r="E22" s="1"/>
      <c r="F22" s="3">
        <f>CK22+CM22+CO22</f>
        <v>3044048.6100000003</v>
      </c>
      <c r="G22" s="215">
        <f>ROUNDUP(N30,0)</f>
        <v>81039</v>
      </c>
      <c r="H22" s="9">
        <f>F22+G22</f>
        <v>3125087.6100000003</v>
      </c>
      <c r="I22" s="7">
        <f>Sheet1!CP5</f>
        <v>0.18</v>
      </c>
      <c r="J22" s="9">
        <f>H22*I22</f>
        <v>562515.76980000001</v>
      </c>
      <c r="K22" s="9">
        <f>H22+J22</f>
        <v>3687603.3798000002</v>
      </c>
      <c r="L22" s="1">
        <f>Sheet1!CS5</f>
        <v>77</v>
      </c>
      <c r="M22" s="1" t="str">
        <f>Sheet1!CT5</f>
        <v>KMS</v>
      </c>
      <c r="N22" s="3">
        <f>K22*L22</f>
        <v>283945460.2446</v>
      </c>
      <c r="O22" s="216">
        <v>3240</v>
      </c>
      <c r="P22" s="2">
        <f>+IFERROR(VLOOKUP($P$17,Sheet1!J5:L5,3,0),0)</f>
        <v>0</v>
      </c>
      <c r="Q22" s="2">
        <f>+IFERROR(VLOOKUP($Q$17,Sheet1!J5:M5,3,0),0)</f>
        <v>0</v>
      </c>
      <c r="R22" s="2">
        <f>+IFERROR(VLOOKUP($R$17,Sheet1!J5:M5,3,0),0)</f>
        <v>0</v>
      </c>
      <c r="S22" s="2">
        <f>+IFERROR(VLOOKUP($S$17,Sheet1!J5:M5,3,0),0)</f>
        <v>0</v>
      </c>
      <c r="T22" s="2">
        <f>+IFERROR(VLOOKUP($T$17,Sheet1!N5:Q5,3,0),0)</f>
        <v>0</v>
      </c>
      <c r="U22" s="2">
        <f>+IFERROR(VLOOKUP($U$17,Sheet1!N5:Q5,3,0),0)</f>
        <v>0</v>
      </c>
      <c r="V22" s="2">
        <f>+IFERROR(VLOOKUP($V$17,Sheet1!F5:I5,3,0),0)</f>
        <v>0</v>
      </c>
      <c r="W22" s="2">
        <f>+IFERROR(VLOOKUP($W$17,Sheet1!F5:I5,3,0),0)</f>
        <v>0</v>
      </c>
      <c r="X22" s="2">
        <f>+IFERROR(VLOOKUP($X$17,Sheet1!F5:I5,3,0),0)</f>
        <v>0</v>
      </c>
      <c r="Y22" s="216">
        <v>172</v>
      </c>
      <c r="Z22" s="2">
        <f>+IFERROR(VLOOKUP($Z$17,Sheet1!F5:I5,3,0),0)</f>
        <v>0</v>
      </c>
      <c r="AA22" s="2">
        <f>+IFERROR(VLOOKUP($AA$17,Sheet1!F5:I5,3,0),0)</f>
        <v>0</v>
      </c>
      <c r="AB22" s="2">
        <f>+IFERROR(VLOOKUP($AB$17,Sheet1!F5:I5,3,0),0)</f>
        <v>0</v>
      </c>
      <c r="AC22" s="2">
        <f>+IFERROR(VLOOKUP($AC$17,Sheet1!F5:I5,3,0),0)</f>
        <v>0</v>
      </c>
      <c r="AD22" s="217">
        <v>424</v>
      </c>
      <c r="AE22" s="15">
        <f>+IFERROR(VLOOKUP($AE$17,Sheet1!R5:U5,2,0),0)</f>
        <v>0</v>
      </c>
      <c r="AF22" s="217">
        <v>2725</v>
      </c>
      <c r="AG22" s="15">
        <f>+IFERROR(VLOOKUP($AG$17,Sheet1!V5:Y5,3,0),0)</f>
        <v>0</v>
      </c>
      <c r="AH22" s="15">
        <f>+IFERROR(VLOOKUP($AH$17,Sheet1!V5:Y5,3,0),0)</f>
        <v>0</v>
      </c>
      <c r="AI22" s="15">
        <f>+IFERROR(VLOOKUP($AI$17,Sheet1!V5:Y5,3,0),0)</f>
        <v>0</v>
      </c>
      <c r="AJ22" s="15">
        <f>+IFERROR(VLOOKUP($AJ$17,Sheet1!V5:Y5,3,0),0)</f>
        <v>0</v>
      </c>
      <c r="AK22" s="15">
        <f>+IFERROR(VLOOKUP($AK$17,Sheet1!V5:Y5,3,0),0)</f>
        <v>0</v>
      </c>
      <c r="AL22" s="15">
        <f>+IFERROR(VLOOKUP($AL$17,Sheet1!Z5:AB5,3,0),0)</f>
        <v>0</v>
      </c>
      <c r="AM22" s="15">
        <f>+IFERROR(VLOOKUP($AM$17,Sheet1!AD5:AG5,3,0),0)</f>
        <v>0</v>
      </c>
      <c r="AN22" s="15">
        <f>+IFERROR(VLOOKUP($AN$17,Sheet1!AD5:AG5,3,0),0)</f>
        <v>0</v>
      </c>
      <c r="AO22" s="15">
        <f>+IFERROR(VLOOKUP($AO$17,Sheet1!AD5:AG5,3,0),0)</f>
        <v>0</v>
      </c>
      <c r="AP22" s="15">
        <f>+IFERROR(VLOOKUP($AP$17,Sheet1!AD5:AG5,3,0),0)</f>
        <v>0</v>
      </c>
      <c r="AQ22" s="15">
        <f>+IFERROR(VLOOKUP($AQ$17,Sheet1!AD5:AG5,3,0),0)</f>
        <v>0</v>
      </c>
      <c r="AR22" s="218">
        <v>430</v>
      </c>
      <c r="AS22" s="15">
        <f>+IFERROR(VLOOKUP($AS$17,Sheet1!AD5:AG5,3,0),0)</f>
        <v>0</v>
      </c>
      <c r="AT22" s="15">
        <f>+IFERROR(VLOOKUP($AT$17,Sheet1!AH5:AK5,3,0),0)</f>
        <v>0</v>
      </c>
      <c r="AU22" s="15">
        <f>+IFERROR(VLOOKUP($AU$17,Sheet1!AH5:AK5,3,0),0)</f>
        <v>0</v>
      </c>
      <c r="AV22" s="15">
        <f>+IFERROR(VLOOKUP($AV$17,Sheet1!AH5:AK5,3,0),0)</f>
        <v>0</v>
      </c>
      <c r="AW22" s="15">
        <f>+IFERROR(VLOOKUP($AW$17,Sheet1!AH5:AK5,3,0),0)</f>
        <v>0</v>
      </c>
      <c r="AX22" s="15">
        <f>+IFERROR(VLOOKUP($AX$17,Sheet1!AH5:AK5,3,0),0)</f>
        <v>0</v>
      </c>
      <c r="AY22" s="218">
        <v>1625</v>
      </c>
      <c r="AZ22" s="15">
        <f>+IFERROR(VLOOKUP($AZ$17,Sheet1!AH5:AK5,3,0),0)</f>
        <v>0</v>
      </c>
      <c r="BA22" s="15">
        <f>+IFERROR(VLOOKUP($BA$17,Sheet1!AH5:AK5,3,0),0)</f>
        <v>0</v>
      </c>
      <c r="BB22" s="15">
        <f>+IFERROR(VLOOKUP($BB$17,Sheet1!AH5:AK5,3,0),0)</f>
        <v>0</v>
      </c>
      <c r="BC22" s="15">
        <f>+IFERROR(VLOOKUP($BC$17,Sheet1!AH5:AK5,3,0),0)</f>
        <v>0</v>
      </c>
      <c r="BD22" s="15">
        <f>+IFERROR(VLOOKUP($BD$17,Sheet1!AL5:AO5,3,0),0)</f>
        <v>0</v>
      </c>
      <c r="BE22" s="15">
        <f>+IFERROR(VLOOKUP($BE$17,Sheet1!AL5:AO5,3,0),0)</f>
        <v>0</v>
      </c>
      <c r="BF22" s="15">
        <f>+IFERROR(VLOOKUP($BF$17,Sheet1!AL5:AO5,3,0),0)</f>
        <v>0</v>
      </c>
      <c r="BG22" s="15">
        <f>+IFERROR(VLOOKUP($BG$17,Sheet1!AL5:AO5,3,0),0)</f>
        <v>0</v>
      </c>
      <c r="BH22" s="15">
        <f>+IFERROR(VLOOKUP($BH$17,Sheet1!AL5:AO5,3,0),0)</f>
        <v>0</v>
      </c>
      <c r="BI22" s="15">
        <f>+IFERROR(VLOOKUP($BI$17,Sheet1!AL5:AO5,3,0),0)</f>
        <v>0</v>
      </c>
      <c r="BJ22" s="15">
        <f>+IFERROR(VLOOKUP($BJ$17,Sheet1!AL5:AO5,3,0),0)</f>
        <v>0</v>
      </c>
      <c r="BK22" s="217">
        <v>1600</v>
      </c>
      <c r="BL22" s="15">
        <f>+IFERROR(VLOOKUP($BL$17,Sheet1!AL5:AO5,3,0),0)</f>
        <v>0</v>
      </c>
      <c r="BM22" s="15">
        <f>+IFERROR(VLOOKUP($BM$17,Sheet1!AL5:AO5,3,0),0)</f>
        <v>0</v>
      </c>
      <c r="BN22" s="218">
        <v>2745</v>
      </c>
      <c r="BO22" s="15">
        <f>+IFERROR(VLOOKUP($BO$17,Sheet1!AT5:AW5,3,0),0)</f>
        <v>0</v>
      </c>
      <c r="BP22" s="15">
        <f>+IFERROR(VLOOKUP($BP$17,Sheet1!AX5:BA5,3,0),0)</f>
        <v>0</v>
      </c>
      <c r="BQ22" s="15">
        <f>+IFERROR(VLOOKUP($BQ$17,Sheet1!BB5:BE5,3,0),0)</f>
        <v>0</v>
      </c>
      <c r="BR22" s="15">
        <f>+IFERROR(VLOOKUP($BR$17,Sheet1!BF5:BI5,3,0),0)</f>
        <v>0</v>
      </c>
      <c r="BS22" s="15">
        <f>+IFERROR(VLOOKUP($BS$17,Sheet1!BJ5:BM5,3,0),0)</f>
        <v>0</v>
      </c>
      <c r="BT22" s="15">
        <f>+IFERROR(VLOOKUP($BT$17,Sheet1!BN5:BQ5,3,0),0)</f>
        <v>0</v>
      </c>
      <c r="BU22" s="15">
        <f>+IFERROR(VLOOKUP($BU$17,Sheet1!BR5:BU5,3,0),0)</f>
        <v>0</v>
      </c>
      <c r="BV22" s="15">
        <f>+IFERROR(VLOOKUP($BV$17,Sheet1!BV5:BY5,3,0),0)</f>
        <v>0</v>
      </c>
      <c r="BW22" s="218" t="s">
        <v>193</v>
      </c>
      <c r="BX22" s="15">
        <f t="shared" si="0"/>
        <v>12961</v>
      </c>
      <c r="BY22" s="59">
        <v>105</v>
      </c>
      <c r="BZ22" s="15" t="s">
        <v>277</v>
      </c>
      <c r="CA22" s="15" t="s">
        <v>278</v>
      </c>
      <c r="CB22" s="218">
        <v>500</v>
      </c>
      <c r="CC22" s="3">
        <v>108000</v>
      </c>
      <c r="CD22" s="3">
        <f>SUMPRODUCT($O$18:$BV$18,O22:BV22)+CC22</f>
        <v>1970258</v>
      </c>
      <c r="CE22" s="27">
        <f>Sheet1!CB5</f>
        <v>0</v>
      </c>
      <c r="CF22" s="3">
        <f>CD22*CE22</f>
        <v>0</v>
      </c>
      <c r="CG22" s="48">
        <v>0.5</v>
      </c>
      <c r="CH22" s="3">
        <f>CD22*CG22</f>
        <v>985129</v>
      </c>
      <c r="CI22" s="48">
        <f>Sheet1!CF5</f>
        <v>0</v>
      </c>
      <c r="CJ22" s="3">
        <f>CD22*CI22</f>
        <v>0</v>
      </c>
      <c r="CK22" s="3">
        <f>CD22+CF22+CH22+CJ22</f>
        <v>2955387</v>
      </c>
      <c r="CL22" s="48">
        <v>0.02</v>
      </c>
      <c r="CM22" s="215">
        <f>CK22*CL22</f>
        <v>59107.74</v>
      </c>
      <c r="CN22" s="48">
        <v>0.01</v>
      </c>
      <c r="CO22" s="215">
        <f>CK22*CN22</f>
        <v>29553.87</v>
      </c>
    </row>
    <row r="23" spans="1:93" ht="44.25" customHeight="1" x14ac:dyDescent="0.25">
      <c r="A23" s="1" t="str">
        <f>Sheet1!A2</f>
        <v>ENQ-15363-22-23</v>
      </c>
      <c r="B23" s="51">
        <f>Sheet1!B2</f>
        <v>45658</v>
      </c>
      <c r="C23" s="1" t="str">
        <f>Sheet1!C2</f>
        <v>FA0400012</v>
      </c>
      <c r="D23" s="1" t="str">
        <f>Sheet1!D2</f>
        <v>3 CORE X 120 SQ MM + 1 CORE X 120 SQ MM (AB CABLES) (BARE) - 11 KV</v>
      </c>
      <c r="E23" s="1" t="s">
        <v>210</v>
      </c>
      <c r="F23" s="3">
        <f>CK23+CM23+CO23</f>
        <v>1111947.3149999999</v>
      </c>
      <c r="G23" s="215">
        <f>ROUNDUP(N31,0)</f>
        <v>32728</v>
      </c>
      <c r="H23" s="9">
        <f>F23+G23</f>
        <v>1144675.3149999999</v>
      </c>
      <c r="I23" s="7">
        <f>Sheet1!CP2</f>
        <v>0.18</v>
      </c>
      <c r="J23" s="9">
        <f>H23*I23</f>
        <v>206041.55669999999</v>
      </c>
      <c r="K23" s="9">
        <f>H23+J23</f>
        <v>1350716.8717</v>
      </c>
      <c r="L23" s="1">
        <f>Sheet1!CS2</f>
        <v>22</v>
      </c>
      <c r="M23" s="1" t="str">
        <f>Sheet1!CT2</f>
        <v>KMS</v>
      </c>
      <c r="N23" s="3">
        <f>K23*L23</f>
        <v>29715771.1774</v>
      </c>
      <c r="O23" s="216">
        <v>972</v>
      </c>
      <c r="P23" s="2">
        <f>+IFERROR(VLOOKUP($P$17,Sheet1!J2:L2,3,0),0)</f>
        <v>0</v>
      </c>
      <c r="Q23" s="2">
        <f>+IFERROR(VLOOKUP($Q$17,Sheet1!J2:M2,3,0),0)</f>
        <v>0</v>
      </c>
      <c r="R23" s="2">
        <f>+IFERROR(VLOOKUP($R$17,Sheet1!J2:M2,3,0),0)</f>
        <v>0</v>
      </c>
      <c r="S23" s="2">
        <f>+IFERROR(VLOOKUP($S$17,Sheet1!J2:M2,3,0),0)</f>
        <v>0</v>
      </c>
      <c r="T23" s="2">
        <f>+IFERROR(VLOOKUP($T$17,Sheet1!N2:Q2,3,0),0)</f>
        <v>0</v>
      </c>
      <c r="U23" s="216">
        <v>348</v>
      </c>
      <c r="V23" s="2">
        <f>+IFERROR(VLOOKUP($V$17,Sheet1!F2:I2,3,0),0)</f>
        <v>0</v>
      </c>
      <c r="W23" s="2">
        <f>+IFERROR(VLOOKUP($W$17,Sheet1!F2:I2,3,0),0)</f>
        <v>0</v>
      </c>
      <c r="X23" s="2">
        <f>+IFERROR(VLOOKUP($X$17,Sheet1!F2:I2,3,0),0)</f>
        <v>0</v>
      </c>
      <c r="Y23" s="2">
        <f>+IFERROR(VLOOKUP($Y$17,Sheet1!F2:I2,3,0),0)</f>
        <v>0</v>
      </c>
      <c r="Z23" s="2">
        <f>+IFERROR(VLOOKUP($Z$17,Sheet1!F2:I2,3,0),0)</f>
        <v>0</v>
      </c>
      <c r="AA23" s="2">
        <f>+IFERROR(VLOOKUP($AA$17,Sheet1!F2:I2,3,0),0)</f>
        <v>0</v>
      </c>
      <c r="AB23" s="216">
        <v>134</v>
      </c>
      <c r="AC23" s="2">
        <f>+IFERROR(VLOOKUP($AC$17,Sheet1!F2:I2,3,0),0)</f>
        <v>0</v>
      </c>
      <c r="AD23" s="216">
        <v>252</v>
      </c>
      <c r="AE23" s="15">
        <f>+IFERROR(VLOOKUP($AE$17,Sheet1!R2:U2,2,0),0)</f>
        <v>0</v>
      </c>
      <c r="AF23" s="216">
        <f>+IFERROR(VLOOKUP($AF$17,Sheet1!V2:Y2,3,0),0)</f>
        <v>577</v>
      </c>
      <c r="AG23" s="15">
        <f>+IFERROR(VLOOKUP($AG$17,Sheet1!V2:Y2,3,0),0)</f>
        <v>0</v>
      </c>
      <c r="AH23" s="15">
        <f>+IFERROR(VLOOKUP($AH$17,Sheet1!V2:Y2,3,0),0)</f>
        <v>0</v>
      </c>
      <c r="AI23" s="15">
        <f>+IFERROR(VLOOKUP($AI$17,Sheet1!V2:Y2,3,0),0)</f>
        <v>0</v>
      </c>
      <c r="AJ23" s="15">
        <f>+IFERROR(VLOOKUP($AJ$17,Sheet1!V2:Y2,3,0),0)</f>
        <v>0</v>
      </c>
      <c r="AK23" s="15">
        <f>+IFERROR(VLOOKUP($AK$17,Sheet1!V2:Y2,3,0),0)</f>
        <v>0</v>
      </c>
      <c r="AL23" s="15">
        <f>+IFERROR(VLOOKUP($AL$17,Sheet1!Z2:AB2,3,0),0)</f>
        <v>0</v>
      </c>
      <c r="AM23" s="15">
        <f>+IFERROR(VLOOKUP($AM$17,Sheet1!AD2:AG2,3,0),0)</f>
        <v>0</v>
      </c>
      <c r="AN23" s="15">
        <f>+IFERROR(VLOOKUP($AN$17,Sheet1!AD2:AG2,3,0),0)</f>
        <v>0</v>
      </c>
      <c r="AO23" s="15">
        <f>+IFERROR(VLOOKUP($AO$17,Sheet1!AD2:AG2,3,0),0)</f>
        <v>0</v>
      </c>
      <c r="AP23" s="15">
        <f>+IFERROR(VLOOKUP($AP$17,Sheet1!AD2:AG2,3,0),0)</f>
        <v>0</v>
      </c>
      <c r="AQ23" s="15">
        <f>+IFERROR(VLOOKUP($AQ$17,Sheet1!AD2:AG2,3,0),0)</f>
        <v>0</v>
      </c>
      <c r="AR23" s="218">
        <v>135</v>
      </c>
      <c r="AS23" s="15">
        <f>+IFERROR(VLOOKUP($AS$17,Sheet1!AD2:AG2,3,0),0)</f>
        <v>0</v>
      </c>
      <c r="AT23" s="15">
        <f>+IFERROR(VLOOKUP($AT$17,Sheet1!AH2:AK2,3,0),0)</f>
        <v>0</v>
      </c>
      <c r="AU23" s="15">
        <f>+IFERROR(VLOOKUP($AU$17,Sheet1!AH2:AK2,3,0),0)</f>
        <v>0</v>
      </c>
      <c r="AV23" s="15">
        <f>+IFERROR(VLOOKUP($AV$17,Sheet1!AH2:AK2,3,0),0)</f>
        <v>0</v>
      </c>
      <c r="AW23" s="15">
        <f>+IFERROR(VLOOKUP($AW$17,Sheet1!AH2:AK2,3,0),0)</f>
        <v>0</v>
      </c>
      <c r="AX23" s="15">
        <f>+IFERROR(VLOOKUP($AX$17,Sheet1!AH2:AK2,3,0),0)</f>
        <v>0</v>
      </c>
      <c r="AY23" s="15">
        <f>+IFERROR(VLOOKUP($AY$17,Sheet1!AH2:AK2,3,0),0)</f>
        <v>0</v>
      </c>
      <c r="AZ23" s="15">
        <f>+IFERROR(VLOOKUP($AZ$17,Sheet1!AH2:AK2,3,0),0)</f>
        <v>0</v>
      </c>
      <c r="BA23" s="15">
        <f>+IFERROR(VLOOKUP($BA$17,Sheet1!AH2:AK2,3,0),0)</f>
        <v>0</v>
      </c>
      <c r="BB23" s="15">
        <f>+IFERROR(VLOOKUP($BB$17,Sheet1!AH2:AK2,3,0),0)</f>
        <v>0</v>
      </c>
      <c r="BC23" s="15">
        <f>+IFERROR(VLOOKUP($BC$17,Sheet1!AH2:AK2,3,0),0)</f>
        <v>0</v>
      </c>
      <c r="BD23" s="15">
        <f>+IFERROR(VLOOKUP($BD$17,Sheet1!AL2:AO2,3,0),0)</f>
        <v>0</v>
      </c>
      <c r="BE23" s="15">
        <f>+IFERROR(VLOOKUP($BE$17,Sheet1!AL2:AO2,3,0),0)</f>
        <v>0</v>
      </c>
      <c r="BF23" s="15">
        <f>+IFERROR(VLOOKUP($BF$17,Sheet1!AL2:AO2,3,0),0)</f>
        <v>0</v>
      </c>
      <c r="BG23" s="15">
        <f>+IFERROR(VLOOKUP($BG$17,Sheet1!AL2:AO2,3,0),0)</f>
        <v>0</v>
      </c>
      <c r="BH23" s="15">
        <f>+IFERROR(VLOOKUP($BH$17,Sheet1!AL2:AO2,3,0),0)</f>
        <v>0</v>
      </c>
      <c r="BI23" s="15">
        <f>+IFERROR(VLOOKUP($BI$17,Sheet1!AL2:AO2,3,0),0)</f>
        <v>0</v>
      </c>
      <c r="BJ23" s="15">
        <f>+IFERROR(VLOOKUP($BJ$17,Sheet1!AL2:AO2,3,0),0)</f>
        <v>0</v>
      </c>
      <c r="BK23" s="218">
        <v>760</v>
      </c>
      <c r="BL23" s="15">
        <f>+IFERROR(VLOOKUP($BL$17,Sheet1!AL2:AO2,3,0),0)</f>
        <v>0</v>
      </c>
      <c r="BM23" s="15">
        <f>+IFERROR(VLOOKUP($BM$17,Sheet1!AL2:AO2,3,0),0)</f>
        <v>0</v>
      </c>
      <c r="BN23" s="15">
        <f>+IFERROR(VLOOKUP($BN$17,Sheet1!AP2:AS2,3,0),0)</f>
        <v>0</v>
      </c>
      <c r="BO23" s="15">
        <f>+IFERROR(VLOOKUP($BO$17,Sheet1!AT2:AW2,3,0),0)</f>
        <v>0</v>
      </c>
      <c r="BP23" s="15">
        <f>+IFERROR(VLOOKUP($BP$17,Sheet1!AX2:BA2,3,0),0)</f>
        <v>0</v>
      </c>
      <c r="BQ23" s="15">
        <f>+IFERROR(VLOOKUP($BQ$17,Sheet1!BB2:BE2,3,0),0)</f>
        <v>0</v>
      </c>
      <c r="BR23" s="15">
        <f>+IFERROR(VLOOKUP($BR$17,Sheet1!BF2:BI2,3,0),0)</f>
        <v>0</v>
      </c>
      <c r="BS23" s="15">
        <f>+IFERROR(VLOOKUP($BS$17,Sheet1!BJ2:BM2,3,0),0)</f>
        <v>0</v>
      </c>
      <c r="BT23" s="15">
        <f>+IFERROR(VLOOKUP($BT$17,Sheet1!BN2:BQ2,3,0),0)</f>
        <v>0</v>
      </c>
      <c r="BU23" s="15">
        <f>+IFERROR(VLOOKUP($BU$17,Sheet1!BR2:BU2,3,0),0)</f>
        <v>0</v>
      </c>
      <c r="BV23" s="15">
        <f>+IFERROR(VLOOKUP($BV$17,Sheet1!BV2:BY2,3,0),0)</f>
        <v>0</v>
      </c>
      <c r="BW23" s="218" t="str">
        <f>Sheet1!E2</f>
        <v>STEEL</v>
      </c>
      <c r="BX23" s="15">
        <f t="shared" si="0"/>
        <v>3178</v>
      </c>
      <c r="BY23" s="15">
        <v>63</v>
      </c>
      <c r="BZ23" s="15" t="s">
        <v>273</v>
      </c>
      <c r="CA23" s="15" t="s">
        <v>274</v>
      </c>
      <c r="CB23" s="218">
        <v>500</v>
      </c>
      <c r="CC23" s="3">
        <v>41400</v>
      </c>
      <c r="CD23" s="3">
        <f>SUMPRODUCT($O$18:$BV$18,O23:BV23)+CC23</f>
        <v>719707</v>
      </c>
      <c r="CE23" s="27">
        <f>Sheet1!CB2</f>
        <v>0</v>
      </c>
      <c r="CF23" s="3">
        <f>CD23*CE23</f>
        <v>0</v>
      </c>
      <c r="CG23" s="48">
        <v>0.5</v>
      </c>
      <c r="CH23" s="3">
        <f>CD23*CG23</f>
        <v>359853.5</v>
      </c>
      <c r="CI23" s="48">
        <f>Sheet1!CF2</f>
        <v>0</v>
      </c>
      <c r="CJ23" s="3">
        <f>CD23*CI23</f>
        <v>0</v>
      </c>
      <c r="CK23" s="3">
        <f>CD23+CF23+CH23+CJ23</f>
        <v>1079560.5</v>
      </c>
      <c r="CL23" s="48">
        <v>0.02</v>
      </c>
      <c r="CM23" s="215">
        <f>CK23*CL23</f>
        <v>21591.21</v>
      </c>
      <c r="CN23" s="48">
        <v>0.01</v>
      </c>
      <c r="CO23" s="215">
        <f>CK23*CN23</f>
        <v>10795.605</v>
      </c>
    </row>
    <row r="24" spans="1:93" x14ac:dyDescent="0.25">
      <c r="N24" s="219">
        <f>SUM(N19:N23)</f>
        <v>689411909.7098</v>
      </c>
    </row>
    <row r="26" spans="1:93" ht="60" x14ac:dyDescent="0.25">
      <c r="F26" s="2" t="s">
        <v>279</v>
      </c>
      <c r="G26" s="2" t="s">
        <v>280</v>
      </c>
      <c r="H26" s="58" t="s">
        <v>281</v>
      </c>
      <c r="I26" s="2" t="s">
        <v>282</v>
      </c>
      <c r="J26" s="2" t="s">
        <v>283</v>
      </c>
      <c r="K26" s="2" t="s">
        <v>284</v>
      </c>
      <c r="L26" s="2" t="s">
        <v>285</v>
      </c>
      <c r="M26" s="2" t="s">
        <v>286</v>
      </c>
      <c r="N26" s="211" t="s">
        <v>287</v>
      </c>
      <c r="U26" s="30" t="s">
        <v>289</v>
      </c>
      <c r="Y26" s="30" t="s">
        <v>290</v>
      </c>
      <c r="AB26" s="30" t="s">
        <v>291</v>
      </c>
      <c r="AD26" s="30" t="s">
        <v>292</v>
      </c>
    </row>
    <row r="27" spans="1:93" ht="30" x14ac:dyDescent="0.25">
      <c r="E27" s="30" t="str">
        <f>D19</f>
        <v>3 CORE X 70 SQ. MM. AL/ARM - STRIP (XLPE) - 11 KV</v>
      </c>
      <c r="F27" s="58">
        <f>L19</f>
        <v>14</v>
      </c>
      <c r="G27" s="212">
        <f>CB19/1000</f>
        <v>0.5</v>
      </c>
      <c r="H27" s="58" t="s">
        <v>288</v>
      </c>
      <c r="I27" s="213">
        <v>120000</v>
      </c>
      <c r="J27" s="212">
        <v>10</v>
      </c>
      <c r="K27" s="58">
        <f>G27*J27</f>
        <v>5</v>
      </c>
      <c r="L27" s="58">
        <f>ROUNDUP((F27/K27),0)</f>
        <v>3</v>
      </c>
      <c r="M27" s="58">
        <f>N27*F27</f>
        <v>360000</v>
      </c>
      <c r="N27" s="214">
        <f>(I27*L27)/F27</f>
        <v>25714.285714285714</v>
      </c>
      <c r="U27" s="30">
        <f>SUM(O19:BN19)</f>
        <v>3325</v>
      </c>
      <c r="Y27" s="30">
        <f>22500/90</f>
        <v>250</v>
      </c>
      <c r="AB27" s="30">
        <f>((U27*G27)+Y27)</f>
        <v>1912.5</v>
      </c>
      <c r="AD27" s="30">
        <f>J27*AB27</f>
        <v>19125</v>
      </c>
    </row>
    <row r="28" spans="1:93" ht="30" x14ac:dyDescent="0.25">
      <c r="E28" s="30" t="str">
        <f>D20</f>
        <v>3 CORE X 150 SQ. MM. AL/ARM - STRIP (XLPE) - 11 KV</v>
      </c>
      <c r="F28" s="58">
        <f>L20</f>
        <v>12</v>
      </c>
      <c r="G28" s="212">
        <f>CB20/1000</f>
        <v>0.5</v>
      </c>
      <c r="H28" s="58" t="s">
        <v>288</v>
      </c>
      <c r="I28" s="213">
        <v>120000</v>
      </c>
      <c r="J28" s="212">
        <v>8</v>
      </c>
      <c r="K28" s="58">
        <f t="shared" ref="K28:K31" si="1">G28*J28</f>
        <v>4</v>
      </c>
      <c r="L28" s="58">
        <f t="shared" ref="L28:L31" si="2">ROUNDUP((F28/K28),0)</f>
        <v>3</v>
      </c>
      <c r="M28" s="58">
        <f t="shared" ref="M28:M31" si="3">N28*F28</f>
        <v>360000</v>
      </c>
      <c r="N28" s="214">
        <f t="shared" ref="N28:N31" si="4">(I28*L28)/F28</f>
        <v>30000</v>
      </c>
      <c r="U28" s="30">
        <f>SUM(O20:BN20)</f>
        <v>4932</v>
      </c>
      <c r="Y28" s="30">
        <f>20700/90</f>
        <v>230</v>
      </c>
      <c r="AB28" s="30">
        <f>((U28*G28)+Y28)</f>
        <v>2696</v>
      </c>
      <c r="AD28" s="30">
        <f t="shared" ref="AD28:AD31" si="5">J28*AB28</f>
        <v>21568</v>
      </c>
    </row>
    <row r="29" spans="1:93" ht="30" x14ac:dyDescent="0.25">
      <c r="E29" s="30" t="str">
        <f>D21</f>
        <v>3 CORE X 300 SQ. MM. AL/ARM - STRIP (XLPE) - 11 KV</v>
      </c>
      <c r="F29" s="58">
        <f>L21</f>
        <v>150</v>
      </c>
      <c r="G29" s="212">
        <f>CB21/1000</f>
        <v>0.5</v>
      </c>
      <c r="H29" s="58" t="s">
        <v>288</v>
      </c>
      <c r="I29" s="213">
        <v>120000</v>
      </c>
      <c r="J29" s="212">
        <v>5</v>
      </c>
      <c r="K29" s="58">
        <f t="shared" si="1"/>
        <v>2.5</v>
      </c>
      <c r="L29" s="58">
        <f t="shared" si="2"/>
        <v>60</v>
      </c>
      <c r="M29" s="58">
        <f t="shared" si="3"/>
        <v>7200000</v>
      </c>
      <c r="N29" s="214">
        <f t="shared" si="4"/>
        <v>48000</v>
      </c>
      <c r="U29" s="30">
        <f>SUM(O21:BN21)</f>
        <v>7519</v>
      </c>
      <c r="Y29" s="30">
        <f>36000/90</f>
        <v>400</v>
      </c>
      <c r="AB29" s="30">
        <f>((U29*G29)+Y29)</f>
        <v>4159.5</v>
      </c>
      <c r="AD29" s="30">
        <f t="shared" si="5"/>
        <v>20797.5</v>
      </c>
    </row>
    <row r="30" spans="1:93" ht="30" x14ac:dyDescent="0.25">
      <c r="E30" s="30" t="str">
        <f>D22</f>
        <v>3 CORE X 400 SQ. MM. AL/ARM - STRIP (XLPE) - 33 KV</v>
      </c>
      <c r="F30" s="58">
        <f>L22</f>
        <v>77</v>
      </c>
      <c r="G30" s="212">
        <f>CB22/1000</f>
        <v>0.5</v>
      </c>
      <c r="H30" s="58" t="s">
        <v>288</v>
      </c>
      <c r="I30" s="213">
        <v>120000</v>
      </c>
      <c r="J30" s="212">
        <v>3</v>
      </c>
      <c r="K30" s="58">
        <f t="shared" si="1"/>
        <v>1.5</v>
      </c>
      <c r="L30" s="58">
        <f t="shared" si="2"/>
        <v>52</v>
      </c>
      <c r="M30" s="58">
        <f t="shared" si="3"/>
        <v>6240000.0000000009</v>
      </c>
      <c r="N30" s="214">
        <f t="shared" si="4"/>
        <v>81038.961038961046</v>
      </c>
      <c r="U30" s="30">
        <f>SUM(O22:BN22)</f>
        <v>12961</v>
      </c>
      <c r="Y30" s="30">
        <f>54000/90</f>
        <v>600</v>
      </c>
      <c r="AB30" s="30">
        <f>((U30*G30)+Y30)</f>
        <v>7080.5</v>
      </c>
      <c r="AD30" s="30">
        <f t="shared" si="5"/>
        <v>21241.5</v>
      </c>
    </row>
    <row r="31" spans="1:93" ht="30" x14ac:dyDescent="0.25">
      <c r="E31" s="30" t="str">
        <f>E23</f>
        <v xml:space="preserve">3 CORE X 120 SQ MM + 1 CORE X 125 SQ MM (AB CABLES) (INSULATED) - 11 KV			</v>
      </c>
      <c r="F31" s="58">
        <f>L23</f>
        <v>22</v>
      </c>
      <c r="G31" s="212">
        <f>CB23/1000</f>
        <v>0.5</v>
      </c>
      <c r="H31" s="58" t="s">
        <v>288</v>
      </c>
      <c r="I31" s="213">
        <v>120000</v>
      </c>
      <c r="J31" s="212">
        <v>8</v>
      </c>
      <c r="K31" s="58">
        <f t="shared" si="1"/>
        <v>4</v>
      </c>
      <c r="L31" s="58">
        <f t="shared" si="2"/>
        <v>6</v>
      </c>
      <c r="M31" s="58">
        <f t="shared" si="3"/>
        <v>720000</v>
      </c>
      <c r="N31" s="214">
        <f t="shared" si="4"/>
        <v>32727.272727272728</v>
      </c>
      <c r="U31" s="30">
        <f>SUM(O23:BN23)</f>
        <v>3178</v>
      </c>
      <c r="Y31" s="30">
        <f>20700/90</f>
        <v>230</v>
      </c>
      <c r="AB31" s="30">
        <f>((U31*G31)+Y31)</f>
        <v>1819</v>
      </c>
      <c r="AD31" s="30">
        <f t="shared" si="5"/>
        <v>14552</v>
      </c>
    </row>
    <row r="32" spans="1:93" x14ac:dyDescent="0.25">
      <c r="J32" t="s">
        <v>293</v>
      </c>
    </row>
    <row r="35" spans="1:14" ht="51" x14ac:dyDescent="0.25">
      <c r="A35" s="22" t="s">
        <v>0</v>
      </c>
      <c r="B35" s="22" t="s">
        <v>99</v>
      </c>
      <c r="C35" s="22" t="s">
        <v>1</v>
      </c>
      <c r="D35" s="22" t="s">
        <v>2</v>
      </c>
      <c r="E35" s="22" t="s">
        <v>209</v>
      </c>
      <c r="F35" s="5" t="s">
        <v>294</v>
      </c>
      <c r="G35" s="15" t="s">
        <v>295</v>
      </c>
      <c r="H35" s="15" t="s">
        <v>296</v>
      </c>
      <c r="I35" s="6" t="s">
        <v>37</v>
      </c>
      <c r="J35" s="15" t="s">
        <v>38</v>
      </c>
      <c r="K35" s="15" t="s">
        <v>297</v>
      </c>
      <c r="L35" s="15" t="s">
        <v>40</v>
      </c>
      <c r="M35" s="15" t="s">
        <v>41</v>
      </c>
      <c r="N35" s="15" t="s">
        <v>42</v>
      </c>
    </row>
    <row r="36" spans="1:14" x14ac:dyDescent="0.25">
      <c r="A36" s="31"/>
      <c r="B36" s="31"/>
      <c r="C36" s="31"/>
      <c r="D36" s="31"/>
      <c r="E36" s="31"/>
      <c r="F36" s="5"/>
      <c r="G36" s="5"/>
      <c r="H36" s="5"/>
      <c r="I36" s="5"/>
      <c r="J36" s="5"/>
      <c r="K36" s="5"/>
      <c r="L36" s="5"/>
      <c r="M36" s="5"/>
      <c r="N36" s="5"/>
    </row>
    <row r="37" spans="1:14" ht="30" x14ac:dyDescent="0.25">
      <c r="A37" s="1" t="str">
        <f>A19</f>
        <v>ENQ-15363-22-23</v>
      </c>
      <c r="B37" s="51">
        <f>B19</f>
        <v>45658</v>
      </c>
      <c r="C37" s="1" t="str">
        <f>C19</f>
        <v>FA1300006</v>
      </c>
      <c r="D37" s="1" t="str">
        <f>D19</f>
        <v>3 CORE X 70 SQ. MM. AL/ARM - STRIP (XLPE) - 11 KV</v>
      </c>
      <c r="E37" s="1">
        <f>E19</f>
        <v>0</v>
      </c>
      <c r="F37" s="3">
        <f>ROUNDUP(F19/1000,2)</f>
        <v>774.27</v>
      </c>
      <c r="G37" s="215">
        <f>ROUNDUP(G19/1000,2)</f>
        <v>25.720000000000002</v>
      </c>
      <c r="H37" s="9">
        <f>F37+G37</f>
        <v>799.99</v>
      </c>
      <c r="I37" s="7">
        <f>I19</f>
        <v>0.18</v>
      </c>
      <c r="J37" s="9">
        <f>ROUND(H37*I37,2)</f>
        <v>144</v>
      </c>
      <c r="K37" s="9">
        <f>ROUND(H37+J37,2)</f>
        <v>943.99</v>
      </c>
      <c r="L37" s="1">
        <f>L19*1000</f>
        <v>14000</v>
      </c>
      <c r="M37" s="1" t="s">
        <v>298</v>
      </c>
      <c r="N37" s="3">
        <f>K37*L37</f>
        <v>13215860</v>
      </c>
    </row>
    <row r="38" spans="1:14" ht="30" x14ac:dyDescent="0.25">
      <c r="A38" s="1" t="str">
        <f t="shared" ref="A38:E41" si="6">A20</f>
        <v>ENQ-15363-22-23</v>
      </c>
      <c r="B38" s="51">
        <f t="shared" si="6"/>
        <v>45658</v>
      </c>
      <c r="C38" s="1" t="str">
        <f t="shared" si="6"/>
        <v>FA1300052</v>
      </c>
      <c r="D38" s="1" t="str">
        <f t="shared" si="6"/>
        <v>3 CORE X 150 SQ. MM. AL/ARM - STRIP (XLPE) - 11 KV</v>
      </c>
      <c r="E38" s="1">
        <f t="shared" si="6"/>
        <v>0</v>
      </c>
      <c r="F38" s="3">
        <f t="shared" ref="F38:G41" si="7">ROUNDUP(F20/1000,2)</f>
        <v>1172.73</v>
      </c>
      <c r="G38" s="215">
        <f t="shared" si="7"/>
        <v>30</v>
      </c>
      <c r="H38" s="9">
        <f>F38+G38</f>
        <v>1202.73</v>
      </c>
      <c r="I38" s="7">
        <f t="shared" ref="I38:I41" si="8">I20</f>
        <v>0.18</v>
      </c>
      <c r="J38" s="9">
        <f>ROUND(H38*I38,2)</f>
        <v>216.49</v>
      </c>
      <c r="K38" s="9">
        <f t="shared" ref="K38:K41" si="9">ROUND(H38+J38,2)</f>
        <v>1419.22</v>
      </c>
      <c r="L38" s="1">
        <f t="shared" ref="L38:L41" si="10">L20*1000</f>
        <v>12000</v>
      </c>
      <c r="M38" s="1" t="s">
        <v>298</v>
      </c>
      <c r="N38" s="3">
        <f>K38*L38</f>
        <v>17030640</v>
      </c>
    </row>
    <row r="39" spans="1:14" ht="30" x14ac:dyDescent="0.25">
      <c r="A39" s="1" t="str">
        <f t="shared" si="6"/>
        <v>ENQ-15363-22-23</v>
      </c>
      <c r="B39" s="51">
        <f t="shared" si="6"/>
        <v>45658</v>
      </c>
      <c r="C39" s="1" t="str">
        <f t="shared" si="6"/>
        <v>FA1300004</v>
      </c>
      <c r="D39" s="1" t="str">
        <f t="shared" si="6"/>
        <v>3 CORE X 300 SQ. MM. AL/ARM - STRIP (XLPE) - 11 KV</v>
      </c>
      <c r="E39" s="1">
        <f t="shared" si="6"/>
        <v>0</v>
      </c>
      <c r="F39" s="3">
        <f t="shared" si="7"/>
        <v>1904.01</v>
      </c>
      <c r="G39" s="215">
        <f t="shared" si="7"/>
        <v>48</v>
      </c>
      <c r="H39" s="9">
        <f>F39+G39</f>
        <v>1952.01</v>
      </c>
      <c r="I39" s="7">
        <f t="shared" si="8"/>
        <v>0.18</v>
      </c>
      <c r="J39" s="9">
        <f>ROUND(H39*I39,2)</f>
        <v>351.36</v>
      </c>
      <c r="K39" s="9">
        <f t="shared" si="9"/>
        <v>2303.37</v>
      </c>
      <c r="L39" s="1">
        <f t="shared" si="10"/>
        <v>150000</v>
      </c>
      <c r="M39" s="1" t="s">
        <v>298</v>
      </c>
      <c r="N39" s="3">
        <f>K39*L39</f>
        <v>345505500</v>
      </c>
    </row>
    <row r="40" spans="1:14" ht="30" x14ac:dyDescent="0.25">
      <c r="A40" s="1" t="str">
        <f t="shared" si="6"/>
        <v>ENQ-15363-22-23</v>
      </c>
      <c r="B40" s="51">
        <f t="shared" si="6"/>
        <v>45658</v>
      </c>
      <c r="C40" s="1" t="str">
        <f t="shared" si="6"/>
        <v>FA1300010</v>
      </c>
      <c r="D40" s="1" t="str">
        <f t="shared" si="6"/>
        <v>3 CORE X 400 SQ. MM. AL/ARM - STRIP (XLPE) - 33 KV</v>
      </c>
      <c r="E40" s="1">
        <f t="shared" si="6"/>
        <v>0</v>
      </c>
      <c r="F40" s="3">
        <f t="shared" si="7"/>
        <v>3044.05</v>
      </c>
      <c r="G40" s="215">
        <f t="shared" si="7"/>
        <v>81.040000000000006</v>
      </c>
      <c r="H40" s="9">
        <f>F40+G40</f>
        <v>3125.09</v>
      </c>
      <c r="I40" s="7">
        <f t="shared" si="8"/>
        <v>0.18</v>
      </c>
      <c r="J40" s="9">
        <f>ROUND(H40*I40,2)</f>
        <v>562.52</v>
      </c>
      <c r="K40" s="9">
        <f t="shared" si="9"/>
        <v>3687.61</v>
      </c>
      <c r="L40" s="1">
        <f t="shared" si="10"/>
        <v>77000</v>
      </c>
      <c r="M40" s="1" t="s">
        <v>298</v>
      </c>
      <c r="N40" s="3">
        <f>K40*L40</f>
        <v>283945970</v>
      </c>
    </row>
    <row r="41" spans="1:14" ht="45" x14ac:dyDescent="0.25">
      <c r="A41" s="1" t="str">
        <f t="shared" si="6"/>
        <v>ENQ-15363-22-23</v>
      </c>
      <c r="B41" s="51">
        <f t="shared" si="6"/>
        <v>45658</v>
      </c>
      <c r="C41" s="1" t="str">
        <f t="shared" si="6"/>
        <v>FA0400012</v>
      </c>
      <c r="D41" s="1" t="str">
        <f t="shared" si="6"/>
        <v>3 CORE X 120 SQ MM + 1 CORE X 120 SQ MM (AB CABLES) (BARE) - 11 KV</v>
      </c>
      <c r="E41" s="1" t="str">
        <f t="shared" si="6"/>
        <v xml:space="preserve">3 CORE X 120 SQ MM + 1 CORE X 125 SQ MM (AB CABLES) (INSULATED) - 11 KV			</v>
      </c>
      <c r="F41" s="3">
        <f t="shared" si="7"/>
        <v>1111.95</v>
      </c>
      <c r="G41" s="215">
        <f t="shared" si="7"/>
        <v>32.729999999999997</v>
      </c>
      <c r="H41" s="9">
        <f>F41+G41</f>
        <v>1144.68</v>
      </c>
      <c r="I41" s="7">
        <f t="shared" si="8"/>
        <v>0.18</v>
      </c>
      <c r="J41" s="9">
        <f>ROUND(H41*I41,2)</f>
        <v>206.04</v>
      </c>
      <c r="K41" s="9">
        <f t="shared" si="9"/>
        <v>1350.72</v>
      </c>
      <c r="L41" s="1">
        <f t="shared" si="10"/>
        <v>22000</v>
      </c>
      <c r="M41" s="1" t="s">
        <v>298</v>
      </c>
      <c r="N41" s="3">
        <f>K41*L41</f>
        <v>29715840</v>
      </c>
    </row>
    <row r="42" spans="1:14" x14ac:dyDescent="0.25">
      <c r="N42" s="219">
        <f>SUM(N37:N41)</f>
        <v>689413810</v>
      </c>
    </row>
    <row r="43" spans="1:14" x14ac:dyDescent="0.25">
      <c r="N43" s="220">
        <f>N42-N24</f>
        <v>1900.2901999950409</v>
      </c>
    </row>
  </sheetData>
  <mergeCells count="20">
    <mergeCell ref="A2:S2"/>
    <mergeCell ref="AM16:AS16"/>
    <mergeCell ref="AT16:BC16"/>
    <mergeCell ref="BD16:BM16"/>
    <mergeCell ref="O16:S16"/>
    <mergeCell ref="T16:U16"/>
    <mergeCell ref="V16:AC16"/>
    <mergeCell ref="AD16:AE16"/>
    <mergeCell ref="AF16:AK16"/>
    <mergeCell ref="B11:S11"/>
    <mergeCell ref="B12:S12"/>
    <mergeCell ref="B13:S13"/>
    <mergeCell ref="B14:S14"/>
    <mergeCell ref="B4:S4"/>
    <mergeCell ref="B5:S5"/>
    <mergeCell ref="B6:S6"/>
    <mergeCell ref="B7:S7"/>
    <mergeCell ref="B8:S8"/>
    <mergeCell ref="B9:S9"/>
    <mergeCell ref="B10:S10"/>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D51A2-2DFF-4B33-8DDC-F98C86870C35}">
  <sheetPr>
    <tabColor rgb="FFFF0000"/>
  </sheetPr>
  <dimension ref="A1:BA23"/>
  <sheetViews>
    <sheetView showZeros="0" topLeftCell="AE4" zoomScaleNormal="100" workbookViewId="0">
      <selection activeCell="AZ11" sqref="AZ11:AZ14"/>
    </sheetView>
  </sheetViews>
  <sheetFormatPr defaultRowHeight="12.75" x14ac:dyDescent="0.2"/>
  <cols>
    <col min="1" max="1" width="41" style="64" customWidth="1"/>
    <col min="2" max="2" width="19.5703125" style="64" bestFit="1" customWidth="1"/>
    <col min="3" max="3" width="11.7109375" style="64" customWidth="1"/>
    <col min="4" max="4" width="11.5703125" style="64" customWidth="1"/>
    <col min="5" max="5" width="9.42578125" style="64" bestFit="1" customWidth="1"/>
    <col min="6" max="6" width="9.42578125" style="64" customWidth="1"/>
    <col min="7" max="8" width="8.42578125" style="64" bestFit="1" customWidth="1"/>
    <col min="9" max="9" width="8.42578125" style="64" customWidth="1"/>
    <col min="10" max="10" width="10.7109375" style="64" bestFit="1" customWidth="1"/>
    <col min="11" max="11" width="9.140625" style="64"/>
    <col min="12" max="12" width="8.42578125" style="64" bestFit="1" customWidth="1"/>
    <col min="13" max="13" width="8.42578125" style="64" customWidth="1"/>
    <col min="14" max="14" width="8.42578125" style="64" bestFit="1" customWidth="1"/>
    <col min="15" max="15" width="8.42578125" style="64" customWidth="1"/>
    <col min="16" max="16" width="9.42578125" style="64" customWidth="1"/>
    <col min="17" max="17" width="10" style="64" customWidth="1"/>
    <col min="18" max="18" width="10.7109375" style="64" customWidth="1"/>
    <col min="19" max="20" width="9" style="64" customWidth="1"/>
    <col min="21" max="21" width="7.42578125" style="64" bestFit="1" customWidth="1"/>
    <col min="22" max="22" width="7" style="64" bestFit="1" customWidth="1"/>
    <col min="23" max="23" width="6.5703125" style="64" bestFit="1" customWidth="1"/>
    <col min="24" max="24" width="7.42578125" style="64" bestFit="1" customWidth="1"/>
    <col min="25" max="25" width="12.140625" style="64" customWidth="1"/>
    <col min="26" max="29" width="12" style="64" bestFit="1" customWidth="1"/>
    <col min="30" max="30" width="13.140625" style="64" bestFit="1" customWidth="1"/>
    <col min="31" max="31" width="10" style="64" customWidth="1"/>
    <col min="32" max="32" width="8.85546875" style="64" customWidth="1"/>
    <col min="33" max="33" width="10.85546875" style="64" bestFit="1" customWidth="1"/>
    <col min="34" max="36" width="10.85546875" style="64" customWidth="1"/>
    <col min="37" max="38" width="9.5703125" style="64" customWidth="1"/>
    <col min="39" max="39" width="9.140625" style="64" bestFit="1" customWidth="1"/>
    <col min="40" max="41" width="9.5703125" style="64" bestFit="1" customWidth="1"/>
    <col min="42" max="42" width="10.140625" style="64" bestFit="1" customWidth="1"/>
    <col min="43" max="43" width="10.140625" style="64" customWidth="1"/>
    <col min="44" max="44" width="10.5703125" style="64" bestFit="1" customWidth="1"/>
    <col min="45" max="45" width="9.5703125" style="64" customWidth="1"/>
    <col min="46" max="46" width="10.5703125" style="64" bestFit="1" customWidth="1"/>
    <col min="47" max="47" width="11.140625" style="64" bestFit="1" customWidth="1"/>
    <col min="48" max="48" width="8.5703125" style="64" bestFit="1" customWidth="1"/>
    <col min="49" max="49" width="8.85546875" style="64" customWidth="1"/>
    <col min="50" max="51" width="9.140625" style="64"/>
    <col min="52" max="52" width="11.85546875" style="64" bestFit="1" customWidth="1"/>
    <col min="53" max="267" width="9.140625" style="64"/>
    <col min="268" max="268" width="41" style="64" customWidth="1"/>
    <col min="269" max="269" width="19.5703125" style="64" bestFit="1" customWidth="1"/>
    <col min="270" max="270" width="10.140625" style="64" customWidth="1"/>
    <col min="271" max="271" width="10.42578125" style="64" bestFit="1" customWidth="1"/>
    <col min="272" max="272" width="11.28515625" style="64" customWidth="1"/>
    <col min="273" max="273" width="9.42578125" style="64" customWidth="1"/>
    <col min="274" max="274" width="10.140625" style="64" bestFit="1" customWidth="1"/>
    <col min="275" max="276" width="9.140625" style="64"/>
    <col min="277" max="277" width="7.28515625" style="64" customWidth="1"/>
    <col min="278" max="283" width="7.42578125" style="64" customWidth="1"/>
    <col min="284" max="284" width="9.42578125" style="64" bestFit="1" customWidth="1"/>
    <col min="285" max="285" width="12" style="64" bestFit="1" customWidth="1"/>
    <col min="286" max="287" width="12" style="64" customWidth="1"/>
    <col min="288" max="288" width="13.140625" style="64" bestFit="1" customWidth="1"/>
    <col min="289" max="290" width="13.140625" style="64" customWidth="1"/>
    <col min="291" max="292" width="14.42578125" style="64" bestFit="1" customWidth="1"/>
    <col min="293" max="294" width="9.140625" style="64" customWidth="1"/>
    <col min="295" max="295" width="9.5703125" style="64" customWidth="1"/>
    <col min="296" max="297" width="9.5703125" style="64" bestFit="1" customWidth="1"/>
    <col min="298" max="299" width="10.140625" style="64" bestFit="1" customWidth="1"/>
    <col min="300" max="300" width="9.5703125" style="64" bestFit="1" customWidth="1"/>
    <col min="301" max="301" width="9.5703125" style="64" customWidth="1"/>
    <col min="302" max="302" width="9" style="64" customWidth="1"/>
    <col min="303" max="303" width="10.5703125" style="64" bestFit="1" customWidth="1"/>
    <col min="304" max="304" width="11.42578125" style="64" bestFit="1" customWidth="1"/>
    <col min="305" max="305" width="18" style="64" bestFit="1" customWidth="1"/>
    <col min="306" max="523" width="9.140625" style="64"/>
    <col min="524" max="524" width="41" style="64" customWidth="1"/>
    <col min="525" max="525" width="19.5703125" style="64" bestFit="1" customWidth="1"/>
    <col min="526" max="526" width="10.140625" style="64" customWidth="1"/>
    <col min="527" max="527" width="10.42578125" style="64" bestFit="1" customWidth="1"/>
    <col min="528" max="528" width="11.28515625" style="64" customWidth="1"/>
    <col min="529" max="529" width="9.42578125" style="64" customWidth="1"/>
    <col min="530" max="530" width="10.140625" style="64" bestFit="1" customWidth="1"/>
    <col min="531" max="532" width="9.140625" style="64"/>
    <col min="533" max="533" width="7.28515625" style="64" customWidth="1"/>
    <col min="534" max="539" width="7.42578125" style="64" customWidth="1"/>
    <col min="540" max="540" width="9.42578125" style="64" bestFit="1" customWidth="1"/>
    <col min="541" max="541" width="12" style="64" bestFit="1" customWidth="1"/>
    <col min="542" max="543" width="12" style="64" customWidth="1"/>
    <col min="544" max="544" width="13.140625" style="64" bestFit="1" customWidth="1"/>
    <col min="545" max="546" width="13.140625" style="64" customWidth="1"/>
    <col min="547" max="548" width="14.42578125" style="64" bestFit="1" customWidth="1"/>
    <col min="549" max="550" width="9.140625" style="64" customWidth="1"/>
    <col min="551" max="551" width="9.5703125" style="64" customWidth="1"/>
    <col min="552" max="553" width="9.5703125" style="64" bestFit="1" customWidth="1"/>
    <col min="554" max="555" width="10.140625" style="64" bestFit="1" customWidth="1"/>
    <col min="556" max="556" width="9.5703125" style="64" bestFit="1" customWidth="1"/>
    <col min="557" max="557" width="9.5703125" style="64" customWidth="1"/>
    <col min="558" max="558" width="9" style="64" customWidth="1"/>
    <col min="559" max="559" width="10.5703125" style="64" bestFit="1" customWidth="1"/>
    <col min="560" max="560" width="11.42578125" style="64" bestFit="1" customWidth="1"/>
    <col min="561" max="561" width="18" style="64" bestFit="1" customWidth="1"/>
    <col min="562" max="779" width="9.140625" style="64"/>
    <col min="780" max="780" width="41" style="64" customWidth="1"/>
    <col min="781" max="781" width="19.5703125" style="64" bestFit="1" customWidth="1"/>
    <col min="782" max="782" width="10.140625" style="64" customWidth="1"/>
    <col min="783" max="783" width="10.42578125" style="64" bestFit="1" customWidth="1"/>
    <col min="784" max="784" width="11.28515625" style="64" customWidth="1"/>
    <col min="785" max="785" width="9.42578125" style="64" customWidth="1"/>
    <col min="786" max="786" width="10.140625" style="64" bestFit="1" customWidth="1"/>
    <col min="787" max="788" width="9.140625" style="64"/>
    <col min="789" max="789" width="7.28515625" style="64" customWidth="1"/>
    <col min="790" max="795" width="7.42578125" style="64" customWidth="1"/>
    <col min="796" max="796" width="9.42578125" style="64" bestFit="1" customWidth="1"/>
    <col min="797" max="797" width="12" style="64" bestFit="1" customWidth="1"/>
    <col min="798" max="799" width="12" style="64" customWidth="1"/>
    <col min="800" max="800" width="13.140625" style="64" bestFit="1" customWidth="1"/>
    <col min="801" max="802" width="13.140625" style="64" customWidth="1"/>
    <col min="803" max="804" width="14.42578125" style="64" bestFit="1" customWidth="1"/>
    <col min="805" max="806" width="9.140625" style="64" customWidth="1"/>
    <col min="807" max="807" width="9.5703125" style="64" customWidth="1"/>
    <col min="808" max="809" width="9.5703125" style="64" bestFit="1" customWidth="1"/>
    <col min="810" max="811" width="10.140625" style="64" bestFit="1" customWidth="1"/>
    <col min="812" max="812" width="9.5703125" style="64" bestFit="1" customWidth="1"/>
    <col min="813" max="813" width="9.5703125" style="64" customWidth="1"/>
    <col min="814" max="814" width="9" style="64" customWidth="1"/>
    <col min="815" max="815" width="10.5703125" style="64" bestFit="1" customWidth="1"/>
    <col min="816" max="816" width="11.42578125" style="64" bestFit="1" customWidth="1"/>
    <col min="817" max="817" width="18" style="64" bestFit="1" customWidth="1"/>
    <col min="818" max="1035" width="9.140625" style="64"/>
    <col min="1036" max="1036" width="41" style="64" customWidth="1"/>
    <col min="1037" max="1037" width="19.5703125" style="64" bestFit="1" customWidth="1"/>
    <col min="1038" max="1038" width="10.140625" style="64" customWidth="1"/>
    <col min="1039" max="1039" width="10.42578125" style="64" bestFit="1" customWidth="1"/>
    <col min="1040" max="1040" width="11.28515625" style="64" customWidth="1"/>
    <col min="1041" max="1041" width="9.42578125" style="64" customWidth="1"/>
    <col min="1042" max="1042" width="10.140625" style="64" bestFit="1" customWidth="1"/>
    <col min="1043" max="1044" width="9.140625" style="64"/>
    <col min="1045" max="1045" width="7.28515625" style="64" customWidth="1"/>
    <col min="1046" max="1051" width="7.42578125" style="64" customWidth="1"/>
    <col min="1052" max="1052" width="9.42578125" style="64" bestFit="1" customWidth="1"/>
    <col min="1053" max="1053" width="12" style="64" bestFit="1" customWidth="1"/>
    <col min="1054" max="1055" width="12" style="64" customWidth="1"/>
    <col min="1056" max="1056" width="13.140625" style="64" bestFit="1" customWidth="1"/>
    <col min="1057" max="1058" width="13.140625" style="64" customWidth="1"/>
    <col min="1059" max="1060" width="14.42578125" style="64" bestFit="1" customWidth="1"/>
    <col min="1061" max="1062" width="9.140625" style="64" customWidth="1"/>
    <col min="1063" max="1063" width="9.5703125" style="64" customWidth="1"/>
    <col min="1064" max="1065" width="9.5703125" style="64" bestFit="1" customWidth="1"/>
    <col min="1066" max="1067" width="10.140625" style="64" bestFit="1" customWidth="1"/>
    <col min="1068" max="1068" width="9.5703125" style="64" bestFit="1" customWidth="1"/>
    <col min="1069" max="1069" width="9.5703125" style="64" customWidth="1"/>
    <col min="1070" max="1070" width="9" style="64" customWidth="1"/>
    <col min="1071" max="1071" width="10.5703125" style="64" bestFit="1" customWidth="1"/>
    <col min="1072" max="1072" width="11.42578125" style="64" bestFit="1" customWidth="1"/>
    <col min="1073" max="1073" width="18" style="64" bestFit="1" customWidth="1"/>
    <col min="1074" max="1291" width="9.140625" style="64"/>
    <col min="1292" max="1292" width="41" style="64" customWidth="1"/>
    <col min="1293" max="1293" width="19.5703125" style="64" bestFit="1" customWidth="1"/>
    <col min="1294" max="1294" width="10.140625" style="64" customWidth="1"/>
    <col min="1295" max="1295" width="10.42578125" style="64" bestFit="1" customWidth="1"/>
    <col min="1296" max="1296" width="11.28515625" style="64" customWidth="1"/>
    <col min="1297" max="1297" width="9.42578125" style="64" customWidth="1"/>
    <col min="1298" max="1298" width="10.140625" style="64" bestFit="1" customWidth="1"/>
    <col min="1299" max="1300" width="9.140625" style="64"/>
    <col min="1301" max="1301" width="7.28515625" style="64" customWidth="1"/>
    <col min="1302" max="1307" width="7.42578125" style="64" customWidth="1"/>
    <col min="1308" max="1308" width="9.42578125" style="64" bestFit="1" customWidth="1"/>
    <col min="1309" max="1309" width="12" style="64" bestFit="1" customWidth="1"/>
    <col min="1310" max="1311" width="12" style="64" customWidth="1"/>
    <col min="1312" max="1312" width="13.140625" style="64" bestFit="1" customWidth="1"/>
    <col min="1313" max="1314" width="13.140625" style="64" customWidth="1"/>
    <col min="1315" max="1316" width="14.42578125" style="64" bestFit="1" customWidth="1"/>
    <col min="1317" max="1318" width="9.140625" style="64" customWidth="1"/>
    <col min="1319" max="1319" width="9.5703125" style="64" customWidth="1"/>
    <col min="1320" max="1321" width="9.5703125" style="64" bestFit="1" customWidth="1"/>
    <col min="1322" max="1323" width="10.140625" style="64" bestFit="1" customWidth="1"/>
    <col min="1324" max="1324" width="9.5703125" style="64" bestFit="1" customWidth="1"/>
    <col min="1325" max="1325" width="9.5703125" style="64" customWidth="1"/>
    <col min="1326" max="1326" width="9" style="64" customWidth="1"/>
    <col min="1327" max="1327" width="10.5703125" style="64" bestFit="1" customWidth="1"/>
    <col min="1328" max="1328" width="11.42578125" style="64" bestFit="1" customWidth="1"/>
    <col min="1329" max="1329" width="18" style="64" bestFit="1" customWidth="1"/>
    <col min="1330" max="1547" width="9.140625" style="64"/>
    <col min="1548" max="1548" width="41" style="64" customWidth="1"/>
    <col min="1549" max="1549" width="19.5703125" style="64" bestFit="1" customWidth="1"/>
    <col min="1550" max="1550" width="10.140625" style="64" customWidth="1"/>
    <col min="1551" max="1551" width="10.42578125" style="64" bestFit="1" customWidth="1"/>
    <col min="1552" max="1552" width="11.28515625" style="64" customWidth="1"/>
    <col min="1553" max="1553" width="9.42578125" style="64" customWidth="1"/>
    <col min="1554" max="1554" width="10.140625" style="64" bestFit="1" customWidth="1"/>
    <col min="1555" max="1556" width="9.140625" style="64"/>
    <col min="1557" max="1557" width="7.28515625" style="64" customWidth="1"/>
    <col min="1558" max="1563" width="7.42578125" style="64" customWidth="1"/>
    <col min="1564" max="1564" width="9.42578125" style="64" bestFit="1" customWidth="1"/>
    <col min="1565" max="1565" width="12" style="64" bestFit="1" customWidth="1"/>
    <col min="1566" max="1567" width="12" style="64" customWidth="1"/>
    <col min="1568" max="1568" width="13.140625" style="64" bestFit="1" customWidth="1"/>
    <col min="1569" max="1570" width="13.140625" style="64" customWidth="1"/>
    <col min="1571" max="1572" width="14.42578125" style="64" bestFit="1" customWidth="1"/>
    <col min="1573" max="1574" width="9.140625" style="64" customWidth="1"/>
    <col min="1575" max="1575" width="9.5703125" style="64" customWidth="1"/>
    <col min="1576" max="1577" width="9.5703125" style="64" bestFit="1" customWidth="1"/>
    <col min="1578" max="1579" width="10.140625" style="64" bestFit="1" customWidth="1"/>
    <col min="1580" max="1580" width="9.5703125" style="64" bestFit="1" customWidth="1"/>
    <col min="1581" max="1581" width="9.5703125" style="64" customWidth="1"/>
    <col min="1582" max="1582" width="9" style="64" customWidth="1"/>
    <col min="1583" max="1583" width="10.5703125" style="64" bestFit="1" customWidth="1"/>
    <col min="1584" max="1584" width="11.42578125" style="64" bestFit="1" customWidth="1"/>
    <col min="1585" max="1585" width="18" style="64" bestFit="1" customWidth="1"/>
    <col min="1586" max="1803" width="9.140625" style="64"/>
    <col min="1804" max="1804" width="41" style="64" customWidth="1"/>
    <col min="1805" max="1805" width="19.5703125" style="64" bestFit="1" customWidth="1"/>
    <col min="1806" max="1806" width="10.140625" style="64" customWidth="1"/>
    <col min="1807" max="1807" width="10.42578125" style="64" bestFit="1" customWidth="1"/>
    <col min="1808" max="1808" width="11.28515625" style="64" customWidth="1"/>
    <col min="1809" max="1809" width="9.42578125" style="64" customWidth="1"/>
    <col min="1810" max="1810" width="10.140625" style="64" bestFit="1" customWidth="1"/>
    <col min="1811" max="1812" width="9.140625" style="64"/>
    <col min="1813" max="1813" width="7.28515625" style="64" customWidth="1"/>
    <col min="1814" max="1819" width="7.42578125" style="64" customWidth="1"/>
    <col min="1820" max="1820" width="9.42578125" style="64" bestFit="1" customWidth="1"/>
    <col min="1821" max="1821" width="12" style="64" bestFit="1" customWidth="1"/>
    <col min="1822" max="1823" width="12" style="64" customWidth="1"/>
    <col min="1824" max="1824" width="13.140625" style="64" bestFit="1" customWidth="1"/>
    <col min="1825" max="1826" width="13.140625" style="64" customWidth="1"/>
    <col min="1827" max="1828" width="14.42578125" style="64" bestFit="1" customWidth="1"/>
    <col min="1829" max="1830" width="9.140625" style="64" customWidth="1"/>
    <col min="1831" max="1831" width="9.5703125" style="64" customWidth="1"/>
    <col min="1832" max="1833" width="9.5703125" style="64" bestFit="1" customWidth="1"/>
    <col min="1834" max="1835" width="10.140625" style="64" bestFit="1" customWidth="1"/>
    <col min="1836" max="1836" width="9.5703125" style="64" bestFit="1" customWidth="1"/>
    <col min="1837" max="1837" width="9.5703125" style="64" customWidth="1"/>
    <col min="1838" max="1838" width="9" style="64" customWidth="1"/>
    <col min="1839" max="1839" width="10.5703125" style="64" bestFit="1" customWidth="1"/>
    <col min="1840" max="1840" width="11.42578125" style="64" bestFit="1" customWidth="1"/>
    <col min="1841" max="1841" width="18" style="64" bestFit="1" customWidth="1"/>
    <col min="1842" max="2059" width="9.140625" style="64"/>
    <col min="2060" max="2060" width="41" style="64" customWidth="1"/>
    <col min="2061" max="2061" width="19.5703125" style="64" bestFit="1" customWidth="1"/>
    <col min="2062" max="2062" width="10.140625" style="64" customWidth="1"/>
    <col min="2063" max="2063" width="10.42578125" style="64" bestFit="1" customWidth="1"/>
    <col min="2064" max="2064" width="11.28515625" style="64" customWidth="1"/>
    <col min="2065" max="2065" width="9.42578125" style="64" customWidth="1"/>
    <col min="2066" max="2066" width="10.140625" style="64" bestFit="1" customWidth="1"/>
    <col min="2067" max="2068" width="9.140625" style="64"/>
    <col min="2069" max="2069" width="7.28515625" style="64" customWidth="1"/>
    <col min="2070" max="2075" width="7.42578125" style="64" customWidth="1"/>
    <col min="2076" max="2076" width="9.42578125" style="64" bestFit="1" customWidth="1"/>
    <col min="2077" max="2077" width="12" style="64" bestFit="1" customWidth="1"/>
    <col min="2078" max="2079" width="12" style="64" customWidth="1"/>
    <col min="2080" max="2080" width="13.140625" style="64" bestFit="1" customWidth="1"/>
    <col min="2081" max="2082" width="13.140625" style="64" customWidth="1"/>
    <col min="2083" max="2084" width="14.42578125" style="64" bestFit="1" customWidth="1"/>
    <col min="2085" max="2086" width="9.140625" style="64" customWidth="1"/>
    <col min="2087" max="2087" width="9.5703125" style="64" customWidth="1"/>
    <col min="2088" max="2089" width="9.5703125" style="64" bestFit="1" customWidth="1"/>
    <col min="2090" max="2091" width="10.140625" style="64" bestFit="1" customWidth="1"/>
    <col min="2092" max="2092" width="9.5703125" style="64" bestFit="1" customWidth="1"/>
    <col min="2093" max="2093" width="9.5703125" style="64" customWidth="1"/>
    <col min="2094" max="2094" width="9" style="64" customWidth="1"/>
    <col min="2095" max="2095" width="10.5703125" style="64" bestFit="1" customWidth="1"/>
    <col min="2096" max="2096" width="11.42578125" style="64" bestFit="1" customWidth="1"/>
    <col min="2097" max="2097" width="18" style="64" bestFit="1" customWidth="1"/>
    <col min="2098" max="2315" width="9.140625" style="64"/>
    <col min="2316" max="2316" width="41" style="64" customWidth="1"/>
    <col min="2317" max="2317" width="19.5703125" style="64" bestFit="1" customWidth="1"/>
    <col min="2318" max="2318" width="10.140625" style="64" customWidth="1"/>
    <col min="2319" max="2319" width="10.42578125" style="64" bestFit="1" customWidth="1"/>
    <col min="2320" max="2320" width="11.28515625" style="64" customWidth="1"/>
    <col min="2321" max="2321" width="9.42578125" style="64" customWidth="1"/>
    <col min="2322" max="2322" width="10.140625" style="64" bestFit="1" customWidth="1"/>
    <col min="2323" max="2324" width="9.140625" style="64"/>
    <col min="2325" max="2325" width="7.28515625" style="64" customWidth="1"/>
    <col min="2326" max="2331" width="7.42578125" style="64" customWidth="1"/>
    <col min="2332" max="2332" width="9.42578125" style="64" bestFit="1" customWidth="1"/>
    <col min="2333" max="2333" width="12" style="64" bestFit="1" customWidth="1"/>
    <col min="2334" max="2335" width="12" style="64" customWidth="1"/>
    <col min="2336" max="2336" width="13.140625" style="64" bestFit="1" customWidth="1"/>
    <col min="2337" max="2338" width="13.140625" style="64" customWidth="1"/>
    <col min="2339" max="2340" width="14.42578125" style="64" bestFit="1" customWidth="1"/>
    <col min="2341" max="2342" width="9.140625" style="64" customWidth="1"/>
    <col min="2343" max="2343" width="9.5703125" style="64" customWidth="1"/>
    <col min="2344" max="2345" width="9.5703125" style="64" bestFit="1" customWidth="1"/>
    <col min="2346" max="2347" width="10.140625" style="64" bestFit="1" customWidth="1"/>
    <col min="2348" max="2348" width="9.5703125" style="64" bestFit="1" customWidth="1"/>
    <col min="2349" max="2349" width="9.5703125" style="64" customWidth="1"/>
    <col min="2350" max="2350" width="9" style="64" customWidth="1"/>
    <col min="2351" max="2351" width="10.5703125" style="64" bestFit="1" customWidth="1"/>
    <col min="2352" max="2352" width="11.42578125" style="64" bestFit="1" customWidth="1"/>
    <col min="2353" max="2353" width="18" style="64" bestFit="1" customWidth="1"/>
    <col min="2354" max="2571" width="9.140625" style="64"/>
    <col min="2572" max="2572" width="41" style="64" customWidth="1"/>
    <col min="2573" max="2573" width="19.5703125" style="64" bestFit="1" customWidth="1"/>
    <col min="2574" max="2574" width="10.140625" style="64" customWidth="1"/>
    <col min="2575" max="2575" width="10.42578125" style="64" bestFit="1" customWidth="1"/>
    <col min="2576" max="2576" width="11.28515625" style="64" customWidth="1"/>
    <col min="2577" max="2577" width="9.42578125" style="64" customWidth="1"/>
    <col min="2578" max="2578" width="10.140625" style="64" bestFit="1" customWidth="1"/>
    <col min="2579" max="2580" width="9.140625" style="64"/>
    <col min="2581" max="2581" width="7.28515625" style="64" customWidth="1"/>
    <col min="2582" max="2587" width="7.42578125" style="64" customWidth="1"/>
    <col min="2588" max="2588" width="9.42578125" style="64" bestFit="1" customWidth="1"/>
    <col min="2589" max="2589" width="12" style="64" bestFit="1" customWidth="1"/>
    <col min="2590" max="2591" width="12" style="64" customWidth="1"/>
    <col min="2592" max="2592" width="13.140625" style="64" bestFit="1" customWidth="1"/>
    <col min="2593" max="2594" width="13.140625" style="64" customWidth="1"/>
    <col min="2595" max="2596" width="14.42578125" style="64" bestFit="1" customWidth="1"/>
    <col min="2597" max="2598" width="9.140625" style="64" customWidth="1"/>
    <col min="2599" max="2599" width="9.5703125" style="64" customWidth="1"/>
    <col min="2600" max="2601" width="9.5703125" style="64" bestFit="1" customWidth="1"/>
    <col min="2602" max="2603" width="10.140625" style="64" bestFit="1" customWidth="1"/>
    <col min="2604" max="2604" width="9.5703125" style="64" bestFit="1" customWidth="1"/>
    <col min="2605" max="2605" width="9.5703125" style="64" customWidth="1"/>
    <col min="2606" max="2606" width="9" style="64" customWidth="1"/>
    <col min="2607" max="2607" width="10.5703125" style="64" bestFit="1" customWidth="1"/>
    <col min="2608" max="2608" width="11.42578125" style="64" bestFit="1" customWidth="1"/>
    <col min="2609" max="2609" width="18" style="64" bestFit="1" customWidth="1"/>
    <col min="2610" max="2827" width="9.140625" style="64"/>
    <col min="2828" max="2828" width="41" style="64" customWidth="1"/>
    <col min="2829" max="2829" width="19.5703125" style="64" bestFit="1" customWidth="1"/>
    <col min="2830" max="2830" width="10.140625" style="64" customWidth="1"/>
    <col min="2831" max="2831" width="10.42578125" style="64" bestFit="1" customWidth="1"/>
    <col min="2832" max="2832" width="11.28515625" style="64" customWidth="1"/>
    <col min="2833" max="2833" width="9.42578125" style="64" customWidth="1"/>
    <col min="2834" max="2834" width="10.140625" style="64" bestFit="1" customWidth="1"/>
    <col min="2835" max="2836" width="9.140625" style="64"/>
    <col min="2837" max="2837" width="7.28515625" style="64" customWidth="1"/>
    <col min="2838" max="2843" width="7.42578125" style="64" customWidth="1"/>
    <col min="2844" max="2844" width="9.42578125" style="64" bestFit="1" customWidth="1"/>
    <col min="2845" max="2845" width="12" style="64" bestFit="1" customWidth="1"/>
    <col min="2846" max="2847" width="12" style="64" customWidth="1"/>
    <col min="2848" max="2848" width="13.140625" style="64" bestFit="1" customWidth="1"/>
    <col min="2849" max="2850" width="13.140625" style="64" customWidth="1"/>
    <col min="2851" max="2852" width="14.42578125" style="64" bestFit="1" customWidth="1"/>
    <col min="2853" max="2854" width="9.140625" style="64" customWidth="1"/>
    <col min="2855" max="2855" width="9.5703125" style="64" customWidth="1"/>
    <col min="2856" max="2857" width="9.5703125" style="64" bestFit="1" customWidth="1"/>
    <col min="2858" max="2859" width="10.140625" style="64" bestFit="1" customWidth="1"/>
    <col min="2860" max="2860" width="9.5703125" style="64" bestFit="1" customWidth="1"/>
    <col min="2861" max="2861" width="9.5703125" style="64" customWidth="1"/>
    <col min="2862" max="2862" width="9" style="64" customWidth="1"/>
    <col min="2863" max="2863" width="10.5703125" style="64" bestFit="1" customWidth="1"/>
    <col min="2864" max="2864" width="11.42578125" style="64" bestFit="1" customWidth="1"/>
    <col min="2865" max="2865" width="18" style="64" bestFit="1" customWidth="1"/>
    <col min="2866" max="3083" width="9.140625" style="64"/>
    <col min="3084" max="3084" width="41" style="64" customWidth="1"/>
    <col min="3085" max="3085" width="19.5703125" style="64" bestFit="1" customWidth="1"/>
    <col min="3086" max="3086" width="10.140625" style="64" customWidth="1"/>
    <col min="3087" max="3087" width="10.42578125" style="64" bestFit="1" customWidth="1"/>
    <col min="3088" max="3088" width="11.28515625" style="64" customWidth="1"/>
    <col min="3089" max="3089" width="9.42578125" style="64" customWidth="1"/>
    <col min="3090" max="3090" width="10.140625" style="64" bestFit="1" customWidth="1"/>
    <col min="3091" max="3092" width="9.140625" style="64"/>
    <col min="3093" max="3093" width="7.28515625" style="64" customWidth="1"/>
    <col min="3094" max="3099" width="7.42578125" style="64" customWidth="1"/>
    <col min="3100" max="3100" width="9.42578125" style="64" bestFit="1" customWidth="1"/>
    <col min="3101" max="3101" width="12" style="64" bestFit="1" customWidth="1"/>
    <col min="3102" max="3103" width="12" style="64" customWidth="1"/>
    <col min="3104" max="3104" width="13.140625" style="64" bestFit="1" customWidth="1"/>
    <col min="3105" max="3106" width="13.140625" style="64" customWidth="1"/>
    <col min="3107" max="3108" width="14.42578125" style="64" bestFit="1" customWidth="1"/>
    <col min="3109" max="3110" width="9.140625" style="64" customWidth="1"/>
    <col min="3111" max="3111" width="9.5703125" style="64" customWidth="1"/>
    <col min="3112" max="3113" width="9.5703125" style="64" bestFit="1" customWidth="1"/>
    <col min="3114" max="3115" width="10.140625" style="64" bestFit="1" customWidth="1"/>
    <col min="3116" max="3116" width="9.5703125" style="64" bestFit="1" customWidth="1"/>
    <col min="3117" max="3117" width="9.5703125" style="64" customWidth="1"/>
    <col min="3118" max="3118" width="9" style="64" customWidth="1"/>
    <col min="3119" max="3119" width="10.5703125" style="64" bestFit="1" customWidth="1"/>
    <col min="3120" max="3120" width="11.42578125" style="64" bestFit="1" customWidth="1"/>
    <col min="3121" max="3121" width="18" style="64" bestFit="1" customWidth="1"/>
    <col min="3122" max="3339" width="9.140625" style="64"/>
    <col min="3340" max="3340" width="41" style="64" customWidth="1"/>
    <col min="3341" max="3341" width="19.5703125" style="64" bestFit="1" customWidth="1"/>
    <col min="3342" max="3342" width="10.140625" style="64" customWidth="1"/>
    <col min="3343" max="3343" width="10.42578125" style="64" bestFit="1" customWidth="1"/>
    <col min="3344" max="3344" width="11.28515625" style="64" customWidth="1"/>
    <col min="3345" max="3345" width="9.42578125" style="64" customWidth="1"/>
    <col min="3346" max="3346" width="10.140625" style="64" bestFit="1" customWidth="1"/>
    <col min="3347" max="3348" width="9.140625" style="64"/>
    <col min="3349" max="3349" width="7.28515625" style="64" customWidth="1"/>
    <col min="3350" max="3355" width="7.42578125" style="64" customWidth="1"/>
    <col min="3356" max="3356" width="9.42578125" style="64" bestFit="1" customWidth="1"/>
    <col min="3357" max="3357" width="12" style="64" bestFit="1" customWidth="1"/>
    <col min="3358" max="3359" width="12" style="64" customWidth="1"/>
    <col min="3360" max="3360" width="13.140625" style="64" bestFit="1" customWidth="1"/>
    <col min="3361" max="3362" width="13.140625" style="64" customWidth="1"/>
    <col min="3363" max="3364" width="14.42578125" style="64" bestFit="1" customWidth="1"/>
    <col min="3365" max="3366" width="9.140625" style="64" customWidth="1"/>
    <col min="3367" max="3367" width="9.5703125" style="64" customWidth="1"/>
    <col min="3368" max="3369" width="9.5703125" style="64" bestFit="1" customWidth="1"/>
    <col min="3370" max="3371" width="10.140625" style="64" bestFit="1" customWidth="1"/>
    <col min="3372" max="3372" width="9.5703125" style="64" bestFit="1" customWidth="1"/>
    <col min="3373" max="3373" width="9.5703125" style="64" customWidth="1"/>
    <col min="3374" max="3374" width="9" style="64" customWidth="1"/>
    <col min="3375" max="3375" width="10.5703125" style="64" bestFit="1" customWidth="1"/>
    <col min="3376" max="3376" width="11.42578125" style="64" bestFit="1" customWidth="1"/>
    <col min="3377" max="3377" width="18" style="64" bestFit="1" customWidth="1"/>
    <col min="3378" max="3595" width="9.140625" style="64"/>
    <col min="3596" max="3596" width="41" style="64" customWidth="1"/>
    <col min="3597" max="3597" width="19.5703125" style="64" bestFit="1" customWidth="1"/>
    <col min="3598" max="3598" width="10.140625" style="64" customWidth="1"/>
    <col min="3599" max="3599" width="10.42578125" style="64" bestFit="1" customWidth="1"/>
    <col min="3600" max="3600" width="11.28515625" style="64" customWidth="1"/>
    <col min="3601" max="3601" width="9.42578125" style="64" customWidth="1"/>
    <col min="3602" max="3602" width="10.140625" style="64" bestFit="1" customWidth="1"/>
    <col min="3603" max="3604" width="9.140625" style="64"/>
    <col min="3605" max="3605" width="7.28515625" style="64" customWidth="1"/>
    <col min="3606" max="3611" width="7.42578125" style="64" customWidth="1"/>
    <col min="3612" max="3612" width="9.42578125" style="64" bestFit="1" customWidth="1"/>
    <col min="3613" max="3613" width="12" style="64" bestFit="1" customWidth="1"/>
    <col min="3614" max="3615" width="12" style="64" customWidth="1"/>
    <col min="3616" max="3616" width="13.140625" style="64" bestFit="1" customWidth="1"/>
    <col min="3617" max="3618" width="13.140625" style="64" customWidth="1"/>
    <col min="3619" max="3620" width="14.42578125" style="64" bestFit="1" customWidth="1"/>
    <col min="3621" max="3622" width="9.140625" style="64" customWidth="1"/>
    <col min="3623" max="3623" width="9.5703125" style="64" customWidth="1"/>
    <col min="3624" max="3625" width="9.5703125" style="64" bestFit="1" customWidth="1"/>
    <col min="3626" max="3627" width="10.140625" style="64" bestFit="1" customWidth="1"/>
    <col min="3628" max="3628" width="9.5703125" style="64" bestFit="1" customWidth="1"/>
    <col min="3629" max="3629" width="9.5703125" style="64" customWidth="1"/>
    <col min="3630" max="3630" width="9" style="64" customWidth="1"/>
    <col min="3631" max="3631" width="10.5703125" style="64" bestFit="1" customWidth="1"/>
    <col min="3632" max="3632" width="11.42578125" style="64" bestFit="1" customWidth="1"/>
    <col min="3633" max="3633" width="18" style="64" bestFit="1" customWidth="1"/>
    <col min="3634" max="3851" width="9.140625" style="64"/>
    <col min="3852" max="3852" width="41" style="64" customWidth="1"/>
    <col min="3853" max="3853" width="19.5703125" style="64" bestFit="1" customWidth="1"/>
    <col min="3854" max="3854" width="10.140625" style="64" customWidth="1"/>
    <col min="3855" max="3855" width="10.42578125" style="64" bestFit="1" customWidth="1"/>
    <col min="3856" max="3856" width="11.28515625" style="64" customWidth="1"/>
    <col min="3857" max="3857" width="9.42578125" style="64" customWidth="1"/>
    <col min="3858" max="3858" width="10.140625" style="64" bestFit="1" customWidth="1"/>
    <col min="3859" max="3860" width="9.140625" style="64"/>
    <col min="3861" max="3861" width="7.28515625" style="64" customWidth="1"/>
    <col min="3862" max="3867" width="7.42578125" style="64" customWidth="1"/>
    <col min="3868" max="3868" width="9.42578125" style="64" bestFit="1" customWidth="1"/>
    <col min="3869" max="3869" width="12" style="64" bestFit="1" customWidth="1"/>
    <col min="3870" max="3871" width="12" style="64" customWidth="1"/>
    <col min="3872" max="3872" width="13.140625" style="64" bestFit="1" customWidth="1"/>
    <col min="3873" max="3874" width="13.140625" style="64" customWidth="1"/>
    <col min="3875" max="3876" width="14.42578125" style="64" bestFit="1" customWidth="1"/>
    <col min="3877" max="3878" width="9.140625" style="64" customWidth="1"/>
    <col min="3879" max="3879" width="9.5703125" style="64" customWidth="1"/>
    <col min="3880" max="3881" width="9.5703125" style="64" bestFit="1" customWidth="1"/>
    <col min="3882" max="3883" width="10.140625" style="64" bestFit="1" customWidth="1"/>
    <col min="3884" max="3884" width="9.5703125" style="64" bestFit="1" customWidth="1"/>
    <col min="3885" max="3885" width="9.5703125" style="64" customWidth="1"/>
    <col min="3886" max="3886" width="9" style="64" customWidth="1"/>
    <col min="3887" max="3887" width="10.5703125" style="64" bestFit="1" customWidth="1"/>
    <col min="3888" max="3888" width="11.42578125" style="64" bestFit="1" customWidth="1"/>
    <col min="3889" max="3889" width="18" style="64" bestFit="1" customWidth="1"/>
    <col min="3890" max="4107" width="9.140625" style="64"/>
    <col min="4108" max="4108" width="41" style="64" customWidth="1"/>
    <col min="4109" max="4109" width="19.5703125" style="64" bestFit="1" customWidth="1"/>
    <col min="4110" max="4110" width="10.140625" style="64" customWidth="1"/>
    <col min="4111" max="4111" width="10.42578125" style="64" bestFit="1" customWidth="1"/>
    <col min="4112" max="4112" width="11.28515625" style="64" customWidth="1"/>
    <col min="4113" max="4113" width="9.42578125" style="64" customWidth="1"/>
    <col min="4114" max="4114" width="10.140625" style="64" bestFit="1" customWidth="1"/>
    <col min="4115" max="4116" width="9.140625" style="64"/>
    <col min="4117" max="4117" width="7.28515625" style="64" customWidth="1"/>
    <col min="4118" max="4123" width="7.42578125" style="64" customWidth="1"/>
    <col min="4124" max="4124" width="9.42578125" style="64" bestFit="1" customWidth="1"/>
    <col min="4125" max="4125" width="12" style="64" bestFit="1" customWidth="1"/>
    <col min="4126" max="4127" width="12" style="64" customWidth="1"/>
    <col min="4128" max="4128" width="13.140625" style="64" bestFit="1" customWidth="1"/>
    <col min="4129" max="4130" width="13.140625" style="64" customWidth="1"/>
    <col min="4131" max="4132" width="14.42578125" style="64" bestFit="1" customWidth="1"/>
    <col min="4133" max="4134" width="9.140625" style="64" customWidth="1"/>
    <col min="4135" max="4135" width="9.5703125" style="64" customWidth="1"/>
    <col min="4136" max="4137" width="9.5703125" style="64" bestFit="1" customWidth="1"/>
    <col min="4138" max="4139" width="10.140625" style="64" bestFit="1" customWidth="1"/>
    <col min="4140" max="4140" width="9.5703125" style="64" bestFit="1" customWidth="1"/>
    <col min="4141" max="4141" width="9.5703125" style="64" customWidth="1"/>
    <col min="4142" max="4142" width="9" style="64" customWidth="1"/>
    <col min="4143" max="4143" width="10.5703125" style="64" bestFit="1" customWidth="1"/>
    <col min="4144" max="4144" width="11.42578125" style="64" bestFit="1" customWidth="1"/>
    <col min="4145" max="4145" width="18" style="64" bestFit="1" customWidth="1"/>
    <col min="4146" max="4363" width="9.140625" style="64"/>
    <col min="4364" max="4364" width="41" style="64" customWidth="1"/>
    <col min="4365" max="4365" width="19.5703125" style="64" bestFit="1" customWidth="1"/>
    <col min="4366" max="4366" width="10.140625" style="64" customWidth="1"/>
    <col min="4367" max="4367" width="10.42578125" style="64" bestFit="1" customWidth="1"/>
    <col min="4368" max="4368" width="11.28515625" style="64" customWidth="1"/>
    <col min="4369" max="4369" width="9.42578125" style="64" customWidth="1"/>
    <col min="4370" max="4370" width="10.140625" style="64" bestFit="1" customWidth="1"/>
    <col min="4371" max="4372" width="9.140625" style="64"/>
    <col min="4373" max="4373" width="7.28515625" style="64" customWidth="1"/>
    <col min="4374" max="4379" width="7.42578125" style="64" customWidth="1"/>
    <col min="4380" max="4380" width="9.42578125" style="64" bestFit="1" customWidth="1"/>
    <col min="4381" max="4381" width="12" style="64" bestFit="1" customWidth="1"/>
    <col min="4382" max="4383" width="12" style="64" customWidth="1"/>
    <col min="4384" max="4384" width="13.140625" style="64" bestFit="1" customWidth="1"/>
    <col min="4385" max="4386" width="13.140625" style="64" customWidth="1"/>
    <col min="4387" max="4388" width="14.42578125" style="64" bestFit="1" customWidth="1"/>
    <col min="4389" max="4390" width="9.140625" style="64" customWidth="1"/>
    <col min="4391" max="4391" width="9.5703125" style="64" customWidth="1"/>
    <col min="4392" max="4393" width="9.5703125" style="64" bestFit="1" customWidth="1"/>
    <col min="4394" max="4395" width="10.140625" style="64" bestFit="1" customWidth="1"/>
    <col min="4396" max="4396" width="9.5703125" style="64" bestFit="1" customWidth="1"/>
    <col min="4397" max="4397" width="9.5703125" style="64" customWidth="1"/>
    <col min="4398" max="4398" width="9" style="64" customWidth="1"/>
    <col min="4399" max="4399" width="10.5703125" style="64" bestFit="1" customWidth="1"/>
    <col min="4400" max="4400" width="11.42578125" style="64" bestFit="1" customWidth="1"/>
    <col min="4401" max="4401" width="18" style="64" bestFit="1" customWidth="1"/>
    <col min="4402" max="4619" width="9.140625" style="64"/>
    <col min="4620" max="4620" width="41" style="64" customWidth="1"/>
    <col min="4621" max="4621" width="19.5703125" style="64" bestFit="1" customWidth="1"/>
    <col min="4622" max="4622" width="10.140625" style="64" customWidth="1"/>
    <col min="4623" max="4623" width="10.42578125" style="64" bestFit="1" customWidth="1"/>
    <col min="4624" max="4624" width="11.28515625" style="64" customWidth="1"/>
    <col min="4625" max="4625" width="9.42578125" style="64" customWidth="1"/>
    <col min="4626" max="4626" width="10.140625" style="64" bestFit="1" customWidth="1"/>
    <col min="4627" max="4628" width="9.140625" style="64"/>
    <col min="4629" max="4629" width="7.28515625" style="64" customWidth="1"/>
    <col min="4630" max="4635" width="7.42578125" style="64" customWidth="1"/>
    <col min="4636" max="4636" width="9.42578125" style="64" bestFit="1" customWidth="1"/>
    <col min="4637" max="4637" width="12" style="64" bestFit="1" customWidth="1"/>
    <col min="4638" max="4639" width="12" style="64" customWidth="1"/>
    <col min="4640" max="4640" width="13.140625" style="64" bestFit="1" customWidth="1"/>
    <col min="4641" max="4642" width="13.140625" style="64" customWidth="1"/>
    <col min="4643" max="4644" width="14.42578125" style="64" bestFit="1" customWidth="1"/>
    <col min="4645" max="4646" width="9.140625" style="64" customWidth="1"/>
    <col min="4647" max="4647" width="9.5703125" style="64" customWidth="1"/>
    <col min="4648" max="4649" width="9.5703125" style="64" bestFit="1" customWidth="1"/>
    <col min="4650" max="4651" width="10.140625" style="64" bestFit="1" customWidth="1"/>
    <col min="4652" max="4652" width="9.5703125" style="64" bestFit="1" customWidth="1"/>
    <col min="4653" max="4653" width="9.5703125" style="64" customWidth="1"/>
    <col min="4654" max="4654" width="9" style="64" customWidth="1"/>
    <col min="4655" max="4655" width="10.5703125" style="64" bestFit="1" customWidth="1"/>
    <col min="4656" max="4656" width="11.42578125" style="64" bestFit="1" customWidth="1"/>
    <col min="4657" max="4657" width="18" style="64" bestFit="1" customWidth="1"/>
    <col min="4658" max="4875" width="9.140625" style="64"/>
    <col min="4876" max="4876" width="41" style="64" customWidth="1"/>
    <col min="4877" max="4877" width="19.5703125" style="64" bestFit="1" customWidth="1"/>
    <col min="4878" max="4878" width="10.140625" style="64" customWidth="1"/>
    <col min="4879" max="4879" width="10.42578125" style="64" bestFit="1" customWidth="1"/>
    <col min="4880" max="4880" width="11.28515625" style="64" customWidth="1"/>
    <col min="4881" max="4881" width="9.42578125" style="64" customWidth="1"/>
    <col min="4882" max="4882" width="10.140625" style="64" bestFit="1" customWidth="1"/>
    <col min="4883" max="4884" width="9.140625" style="64"/>
    <col min="4885" max="4885" width="7.28515625" style="64" customWidth="1"/>
    <col min="4886" max="4891" width="7.42578125" style="64" customWidth="1"/>
    <col min="4892" max="4892" width="9.42578125" style="64" bestFit="1" customWidth="1"/>
    <col min="4893" max="4893" width="12" style="64" bestFit="1" customWidth="1"/>
    <col min="4894" max="4895" width="12" style="64" customWidth="1"/>
    <col min="4896" max="4896" width="13.140625" style="64" bestFit="1" customWidth="1"/>
    <col min="4897" max="4898" width="13.140625" style="64" customWidth="1"/>
    <col min="4899" max="4900" width="14.42578125" style="64" bestFit="1" customWidth="1"/>
    <col min="4901" max="4902" width="9.140625" style="64" customWidth="1"/>
    <col min="4903" max="4903" width="9.5703125" style="64" customWidth="1"/>
    <col min="4904" max="4905" width="9.5703125" style="64" bestFit="1" customWidth="1"/>
    <col min="4906" max="4907" width="10.140625" style="64" bestFit="1" customWidth="1"/>
    <col min="4908" max="4908" width="9.5703125" style="64" bestFit="1" customWidth="1"/>
    <col min="4909" max="4909" width="9.5703125" style="64" customWidth="1"/>
    <col min="4910" max="4910" width="9" style="64" customWidth="1"/>
    <col min="4911" max="4911" width="10.5703125" style="64" bestFit="1" customWidth="1"/>
    <col min="4912" max="4912" width="11.42578125" style="64" bestFit="1" customWidth="1"/>
    <col min="4913" max="4913" width="18" style="64" bestFit="1" customWidth="1"/>
    <col min="4914" max="5131" width="9.140625" style="64"/>
    <col min="5132" max="5132" width="41" style="64" customWidth="1"/>
    <col min="5133" max="5133" width="19.5703125" style="64" bestFit="1" customWidth="1"/>
    <col min="5134" max="5134" width="10.140625" style="64" customWidth="1"/>
    <col min="5135" max="5135" width="10.42578125" style="64" bestFit="1" customWidth="1"/>
    <col min="5136" max="5136" width="11.28515625" style="64" customWidth="1"/>
    <col min="5137" max="5137" width="9.42578125" style="64" customWidth="1"/>
    <col min="5138" max="5138" width="10.140625" style="64" bestFit="1" customWidth="1"/>
    <col min="5139" max="5140" width="9.140625" style="64"/>
    <col min="5141" max="5141" width="7.28515625" style="64" customWidth="1"/>
    <col min="5142" max="5147" width="7.42578125" style="64" customWidth="1"/>
    <col min="5148" max="5148" width="9.42578125" style="64" bestFit="1" customWidth="1"/>
    <col min="5149" max="5149" width="12" style="64" bestFit="1" customWidth="1"/>
    <col min="5150" max="5151" width="12" style="64" customWidth="1"/>
    <col min="5152" max="5152" width="13.140625" style="64" bestFit="1" customWidth="1"/>
    <col min="5153" max="5154" width="13.140625" style="64" customWidth="1"/>
    <col min="5155" max="5156" width="14.42578125" style="64" bestFit="1" customWidth="1"/>
    <col min="5157" max="5158" width="9.140625" style="64" customWidth="1"/>
    <col min="5159" max="5159" width="9.5703125" style="64" customWidth="1"/>
    <col min="5160" max="5161" width="9.5703125" style="64" bestFit="1" customWidth="1"/>
    <col min="5162" max="5163" width="10.140625" style="64" bestFit="1" customWidth="1"/>
    <col min="5164" max="5164" width="9.5703125" style="64" bestFit="1" customWidth="1"/>
    <col min="5165" max="5165" width="9.5703125" style="64" customWidth="1"/>
    <col min="5166" max="5166" width="9" style="64" customWidth="1"/>
    <col min="5167" max="5167" width="10.5703125" style="64" bestFit="1" customWidth="1"/>
    <col min="5168" max="5168" width="11.42578125" style="64" bestFit="1" customWidth="1"/>
    <col min="5169" max="5169" width="18" style="64" bestFit="1" customWidth="1"/>
    <col min="5170" max="5387" width="9.140625" style="64"/>
    <col min="5388" max="5388" width="41" style="64" customWidth="1"/>
    <col min="5389" max="5389" width="19.5703125" style="64" bestFit="1" customWidth="1"/>
    <col min="5390" max="5390" width="10.140625" style="64" customWidth="1"/>
    <col min="5391" max="5391" width="10.42578125" style="64" bestFit="1" customWidth="1"/>
    <col min="5392" max="5392" width="11.28515625" style="64" customWidth="1"/>
    <col min="5393" max="5393" width="9.42578125" style="64" customWidth="1"/>
    <col min="5394" max="5394" width="10.140625" style="64" bestFit="1" customWidth="1"/>
    <col min="5395" max="5396" width="9.140625" style="64"/>
    <col min="5397" max="5397" width="7.28515625" style="64" customWidth="1"/>
    <col min="5398" max="5403" width="7.42578125" style="64" customWidth="1"/>
    <col min="5404" max="5404" width="9.42578125" style="64" bestFit="1" customWidth="1"/>
    <col min="5405" max="5405" width="12" style="64" bestFit="1" customWidth="1"/>
    <col min="5406" max="5407" width="12" style="64" customWidth="1"/>
    <col min="5408" max="5408" width="13.140625" style="64" bestFit="1" customWidth="1"/>
    <col min="5409" max="5410" width="13.140625" style="64" customWidth="1"/>
    <col min="5411" max="5412" width="14.42578125" style="64" bestFit="1" customWidth="1"/>
    <col min="5413" max="5414" width="9.140625" style="64" customWidth="1"/>
    <col min="5415" max="5415" width="9.5703125" style="64" customWidth="1"/>
    <col min="5416" max="5417" width="9.5703125" style="64" bestFit="1" customWidth="1"/>
    <col min="5418" max="5419" width="10.140625" style="64" bestFit="1" customWidth="1"/>
    <col min="5420" max="5420" width="9.5703125" style="64" bestFit="1" customWidth="1"/>
    <col min="5421" max="5421" width="9.5703125" style="64" customWidth="1"/>
    <col min="5422" max="5422" width="9" style="64" customWidth="1"/>
    <col min="5423" max="5423" width="10.5703125" style="64" bestFit="1" customWidth="1"/>
    <col min="5424" max="5424" width="11.42578125" style="64" bestFit="1" customWidth="1"/>
    <col min="5425" max="5425" width="18" style="64" bestFit="1" customWidth="1"/>
    <col min="5426" max="5643" width="9.140625" style="64"/>
    <col min="5644" max="5644" width="41" style="64" customWidth="1"/>
    <col min="5645" max="5645" width="19.5703125" style="64" bestFit="1" customWidth="1"/>
    <col min="5646" max="5646" width="10.140625" style="64" customWidth="1"/>
    <col min="5647" max="5647" width="10.42578125" style="64" bestFit="1" customWidth="1"/>
    <col min="5648" max="5648" width="11.28515625" style="64" customWidth="1"/>
    <col min="5649" max="5649" width="9.42578125" style="64" customWidth="1"/>
    <col min="5650" max="5650" width="10.140625" style="64" bestFit="1" customWidth="1"/>
    <col min="5651" max="5652" width="9.140625" style="64"/>
    <col min="5653" max="5653" width="7.28515625" style="64" customWidth="1"/>
    <col min="5654" max="5659" width="7.42578125" style="64" customWidth="1"/>
    <col min="5660" max="5660" width="9.42578125" style="64" bestFit="1" customWidth="1"/>
    <col min="5661" max="5661" width="12" style="64" bestFit="1" customWidth="1"/>
    <col min="5662" max="5663" width="12" style="64" customWidth="1"/>
    <col min="5664" max="5664" width="13.140625" style="64" bestFit="1" customWidth="1"/>
    <col min="5665" max="5666" width="13.140625" style="64" customWidth="1"/>
    <col min="5667" max="5668" width="14.42578125" style="64" bestFit="1" customWidth="1"/>
    <col min="5669" max="5670" width="9.140625" style="64" customWidth="1"/>
    <col min="5671" max="5671" width="9.5703125" style="64" customWidth="1"/>
    <col min="5672" max="5673" width="9.5703125" style="64" bestFit="1" customWidth="1"/>
    <col min="5674" max="5675" width="10.140625" style="64" bestFit="1" customWidth="1"/>
    <col min="5676" max="5676" width="9.5703125" style="64" bestFit="1" customWidth="1"/>
    <col min="5677" max="5677" width="9.5703125" style="64" customWidth="1"/>
    <col min="5678" max="5678" width="9" style="64" customWidth="1"/>
    <col min="5679" max="5679" width="10.5703125" style="64" bestFit="1" customWidth="1"/>
    <col min="5680" max="5680" width="11.42578125" style="64" bestFit="1" customWidth="1"/>
    <col min="5681" max="5681" width="18" style="64" bestFit="1" customWidth="1"/>
    <col min="5682" max="5899" width="9.140625" style="64"/>
    <col min="5900" max="5900" width="41" style="64" customWidth="1"/>
    <col min="5901" max="5901" width="19.5703125" style="64" bestFit="1" customWidth="1"/>
    <col min="5902" max="5902" width="10.140625" style="64" customWidth="1"/>
    <col min="5903" max="5903" width="10.42578125" style="64" bestFit="1" customWidth="1"/>
    <col min="5904" max="5904" width="11.28515625" style="64" customWidth="1"/>
    <col min="5905" max="5905" width="9.42578125" style="64" customWidth="1"/>
    <col min="5906" max="5906" width="10.140625" style="64" bestFit="1" customWidth="1"/>
    <col min="5907" max="5908" width="9.140625" style="64"/>
    <col min="5909" max="5909" width="7.28515625" style="64" customWidth="1"/>
    <col min="5910" max="5915" width="7.42578125" style="64" customWidth="1"/>
    <col min="5916" max="5916" width="9.42578125" style="64" bestFit="1" customWidth="1"/>
    <col min="5917" max="5917" width="12" style="64" bestFit="1" customWidth="1"/>
    <col min="5918" max="5919" width="12" style="64" customWidth="1"/>
    <col min="5920" max="5920" width="13.140625" style="64" bestFit="1" customWidth="1"/>
    <col min="5921" max="5922" width="13.140625" style="64" customWidth="1"/>
    <col min="5923" max="5924" width="14.42578125" style="64" bestFit="1" customWidth="1"/>
    <col min="5925" max="5926" width="9.140625" style="64" customWidth="1"/>
    <col min="5927" max="5927" width="9.5703125" style="64" customWidth="1"/>
    <col min="5928" max="5929" width="9.5703125" style="64" bestFit="1" customWidth="1"/>
    <col min="5930" max="5931" width="10.140625" style="64" bestFit="1" customWidth="1"/>
    <col min="5932" max="5932" width="9.5703125" style="64" bestFit="1" customWidth="1"/>
    <col min="5933" max="5933" width="9.5703125" style="64" customWidth="1"/>
    <col min="5934" max="5934" width="9" style="64" customWidth="1"/>
    <col min="5935" max="5935" width="10.5703125" style="64" bestFit="1" customWidth="1"/>
    <col min="5936" max="5936" width="11.42578125" style="64" bestFit="1" customWidth="1"/>
    <col min="5937" max="5937" width="18" style="64" bestFit="1" customWidth="1"/>
    <col min="5938" max="6155" width="9.140625" style="64"/>
    <col min="6156" max="6156" width="41" style="64" customWidth="1"/>
    <col min="6157" max="6157" width="19.5703125" style="64" bestFit="1" customWidth="1"/>
    <col min="6158" max="6158" width="10.140625" style="64" customWidth="1"/>
    <col min="6159" max="6159" width="10.42578125" style="64" bestFit="1" customWidth="1"/>
    <col min="6160" max="6160" width="11.28515625" style="64" customWidth="1"/>
    <col min="6161" max="6161" width="9.42578125" style="64" customWidth="1"/>
    <col min="6162" max="6162" width="10.140625" style="64" bestFit="1" customWidth="1"/>
    <col min="6163" max="6164" width="9.140625" style="64"/>
    <col min="6165" max="6165" width="7.28515625" style="64" customWidth="1"/>
    <col min="6166" max="6171" width="7.42578125" style="64" customWidth="1"/>
    <col min="6172" max="6172" width="9.42578125" style="64" bestFit="1" customWidth="1"/>
    <col min="6173" max="6173" width="12" style="64" bestFit="1" customWidth="1"/>
    <col min="6174" max="6175" width="12" style="64" customWidth="1"/>
    <col min="6176" max="6176" width="13.140625" style="64" bestFit="1" customWidth="1"/>
    <col min="6177" max="6178" width="13.140625" style="64" customWidth="1"/>
    <col min="6179" max="6180" width="14.42578125" style="64" bestFit="1" customWidth="1"/>
    <col min="6181" max="6182" width="9.140625" style="64" customWidth="1"/>
    <col min="6183" max="6183" width="9.5703125" style="64" customWidth="1"/>
    <col min="6184" max="6185" width="9.5703125" style="64" bestFit="1" customWidth="1"/>
    <col min="6186" max="6187" width="10.140625" style="64" bestFit="1" customWidth="1"/>
    <col min="6188" max="6188" width="9.5703125" style="64" bestFit="1" customWidth="1"/>
    <col min="6189" max="6189" width="9.5703125" style="64" customWidth="1"/>
    <col min="6190" max="6190" width="9" style="64" customWidth="1"/>
    <col min="6191" max="6191" width="10.5703125" style="64" bestFit="1" customWidth="1"/>
    <col min="6192" max="6192" width="11.42578125" style="64" bestFit="1" customWidth="1"/>
    <col min="6193" max="6193" width="18" style="64" bestFit="1" customWidth="1"/>
    <col min="6194" max="6411" width="9.140625" style="64"/>
    <col min="6412" max="6412" width="41" style="64" customWidth="1"/>
    <col min="6413" max="6413" width="19.5703125" style="64" bestFit="1" customWidth="1"/>
    <col min="6414" max="6414" width="10.140625" style="64" customWidth="1"/>
    <col min="6415" max="6415" width="10.42578125" style="64" bestFit="1" customWidth="1"/>
    <col min="6416" max="6416" width="11.28515625" style="64" customWidth="1"/>
    <col min="6417" max="6417" width="9.42578125" style="64" customWidth="1"/>
    <col min="6418" max="6418" width="10.140625" style="64" bestFit="1" customWidth="1"/>
    <col min="6419" max="6420" width="9.140625" style="64"/>
    <col min="6421" max="6421" width="7.28515625" style="64" customWidth="1"/>
    <col min="6422" max="6427" width="7.42578125" style="64" customWidth="1"/>
    <col min="6428" max="6428" width="9.42578125" style="64" bestFit="1" customWidth="1"/>
    <col min="6429" max="6429" width="12" style="64" bestFit="1" customWidth="1"/>
    <col min="6430" max="6431" width="12" style="64" customWidth="1"/>
    <col min="6432" max="6432" width="13.140625" style="64" bestFit="1" customWidth="1"/>
    <col min="6433" max="6434" width="13.140625" style="64" customWidth="1"/>
    <col min="6435" max="6436" width="14.42578125" style="64" bestFit="1" customWidth="1"/>
    <col min="6437" max="6438" width="9.140625" style="64" customWidth="1"/>
    <col min="6439" max="6439" width="9.5703125" style="64" customWidth="1"/>
    <col min="6440" max="6441" width="9.5703125" style="64" bestFit="1" customWidth="1"/>
    <col min="6442" max="6443" width="10.140625" style="64" bestFit="1" customWidth="1"/>
    <col min="6444" max="6444" width="9.5703125" style="64" bestFit="1" customWidth="1"/>
    <col min="6445" max="6445" width="9.5703125" style="64" customWidth="1"/>
    <col min="6446" max="6446" width="9" style="64" customWidth="1"/>
    <col min="6447" max="6447" width="10.5703125" style="64" bestFit="1" customWidth="1"/>
    <col min="6448" max="6448" width="11.42578125" style="64" bestFit="1" customWidth="1"/>
    <col min="6449" max="6449" width="18" style="64" bestFit="1" customWidth="1"/>
    <col min="6450" max="6667" width="9.140625" style="64"/>
    <col min="6668" max="6668" width="41" style="64" customWidth="1"/>
    <col min="6669" max="6669" width="19.5703125" style="64" bestFit="1" customWidth="1"/>
    <col min="6670" max="6670" width="10.140625" style="64" customWidth="1"/>
    <col min="6671" max="6671" width="10.42578125" style="64" bestFit="1" customWidth="1"/>
    <col min="6672" max="6672" width="11.28515625" style="64" customWidth="1"/>
    <col min="6673" max="6673" width="9.42578125" style="64" customWidth="1"/>
    <col min="6674" max="6674" width="10.140625" style="64" bestFit="1" customWidth="1"/>
    <col min="6675" max="6676" width="9.140625" style="64"/>
    <col min="6677" max="6677" width="7.28515625" style="64" customWidth="1"/>
    <col min="6678" max="6683" width="7.42578125" style="64" customWidth="1"/>
    <col min="6684" max="6684" width="9.42578125" style="64" bestFit="1" customWidth="1"/>
    <col min="6685" max="6685" width="12" style="64" bestFit="1" customWidth="1"/>
    <col min="6686" max="6687" width="12" style="64" customWidth="1"/>
    <col min="6688" max="6688" width="13.140625" style="64" bestFit="1" customWidth="1"/>
    <col min="6689" max="6690" width="13.140625" style="64" customWidth="1"/>
    <col min="6691" max="6692" width="14.42578125" style="64" bestFit="1" customWidth="1"/>
    <col min="6693" max="6694" width="9.140625" style="64" customWidth="1"/>
    <col min="6695" max="6695" width="9.5703125" style="64" customWidth="1"/>
    <col min="6696" max="6697" width="9.5703125" style="64" bestFit="1" customWidth="1"/>
    <col min="6698" max="6699" width="10.140625" style="64" bestFit="1" customWidth="1"/>
    <col min="6700" max="6700" width="9.5703125" style="64" bestFit="1" customWidth="1"/>
    <col min="6701" max="6701" width="9.5703125" style="64" customWidth="1"/>
    <col min="6702" max="6702" width="9" style="64" customWidth="1"/>
    <col min="6703" max="6703" width="10.5703125" style="64" bestFit="1" customWidth="1"/>
    <col min="6704" max="6704" width="11.42578125" style="64" bestFit="1" customWidth="1"/>
    <col min="6705" max="6705" width="18" style="64" bestFit="1" customWidth="1"/>
    <col min="6706" max="6923" width="9.140625" style="64"/>
    <col min="6924" max="6924" width="41" style="64" customWidth="1"/>
    <col min="6925" max="6925" width="19.5703125" style="64" bestFit="1" customWidth="1"/>
    <col min="6926" max="6926" width="10.140625" style="64" customWidth="1"/>
    <col min="6927" max="6927" width="10.42578125" style="64" bestFit="1" customWidth="1"/>
    <col min="6928" max="6928" width="11.28515625" style="64" customWidth="1"/>
    <col min="6929" max="6929" width="9.42578125" style="64" customWidth="1"/>
    <col min="6930" max="6930" width="10.140625" style="64" bestFit="1" customWidth="1"/>
    <col min="6931" max="6932" width="9.140625" style="64"/>
    <col min="6933" max="6933" width="7.28515625" style="64" customWidth="1"/>
    <col min="6934" max="6939" width="7.42578125" style="64" customWidth="1"/>
    <col min="6940" max="6940" width="9.42578125" style="64" bestFit="1" customWidth="1"/>
    <col min="6941" max="6941" width="12" style="64" bestFit="1" customWidth="1"/>
    <col min="6942" max="6943" width="12" style="64" customWidth="1"/>
    <col min="6944" max="6944" width="13.140625" style="64" bestFit="1" customWidth="1"/>
    <col min="6945" max="6946" width="13.140625" style="64" customWidth="1"/>
    <col min="6947" max="6948" width="14.42578125" style="64" bestFit="1" customWidth="1"/>
    <col min="6949" max="6950" width="9.140625" style="64" customWidth="1"/>
    <col min="6951" max="6951" width="9.5703125" style="64" customWidth="1"/>
    <col min="6952" max="6953" width="9.5703125" style="64" bestFit="1" customWidth="1"/>
    <col min="6954" max="6955" width="10.140625" style="64" bestFit="1" customWidth="1"/>
    <col min="6956" max="6956" width="9.5703125" style="64" bestFit="1" customWidth="1"/>
    <col min="6957" max="6957" width="9.5703125" style="64" customWidth="1"/>
    <col min="6958" max="6958" width="9" style="64" customWidth="1"/>
    <col min="6959" max="6959" width="10.5703125" style="64" bestFit="1" customWidth="1"/>
    <col min="6960" max="6960" width="11.42578125" style="64" bestFit="1" customWidth="1"/>
    <col min="6961" max="6961" width="18" style="64" bestFit="1" customWidth="1"/>
    <col min="6962" max="7179" width="9.140625" style="64"/>
    <col min="7180" max="7180" width="41" style="64" customWidth="1"/>
    <col min="7181" max="7181" width="19.5703125" style="64" bestFit="1" customWidth="1"/>
    <col min="7182" max="7182" width="10.140625" style="64" customWidth="1"/>
    <col min="7183" max="7183" width="10.42578125" style="64" bestFit="1" customWidth="1"/>
    <col min="7184" max="7184" width="11.28515625" style="64" customWidth="1"/>
    <col min="7185" max="7185" width="9.42578125" style="64" customWidth="1"/>
    <col min="7186" max="7186" width="10.140625" style="64" bestFit="1" customWidth="1"/>
    <col min="7187" max="7188" width="9.140625" style="64"/>
    <col min="7189" max="7189" width="7.28515625" style="64" customWidth="1"/>
    <col min="7190" max="7195" width="7.42578125" style="64" customWidth="1"/>
    <col min="7196" max="7196" width="9.42578125" style="64" bestFit="1" customWidth="1"/>
    <col min="7197" max="7197" width="12" style="64" bestFit="1" customWidth="1"/>
    <col min="7198" max="7199" width="12" style="64" customWidth="1"/>
    <col min="7200" max="7200" width="13.140625" style="64" bestFit="1" customWidth="1"/>
    <col min="7201" max="7202" width="13.140625" style="64" customWidth="1"/>
    <col min="7203" max="7204" width="14.42578125" style="64" bestFit="1" customWidth="1"/>
    <col min="7205" max="7206" width="9.140625" style="64" customWidth="1"/>
    <col min="7207" max="7207" width="9.5703125" style="64" customWidth="1"/>
    <col min="7208" max="7209" width="9.5703125" style="64" bestFit="1" customWidth="1"/>
    <col min="7210" max="7211" width="10.140625" style="64" bestFit="1" customWidth="1"/>
    <col min="7212" max="7212" width="9.5703125" style="64" bestFit="1" customWidth="1"/>
    <col min="7213" max="7213" width="9.5703125" style="64" customWidth="1"/>
    <col min="7214" max="7214" width="9" style="64" customWidth="1"/>
    <col min="7215" max="7215" width="10.5703125" style="64" bestFit="1" customWidth="1"/>
    <col min="7216" max="7216" width="11.42578125" style="64" bestFit="1" customWidth="1"/>
    <col min="7217" max="7217" width="18" style="64" bestFit="1" customWidth="1"/>
    <col min="7218" max="7435" width="9.140625" style="64"/>
    <col min="7436" max="7436" width="41" style="64" customWidth="1"/>
    <col min="7437" max="7437" width="19.5703125" style="64" bestFit="1" customWidth="1"/>
    <col min="7438" max="7438" width="10.140625" style="64" customWidth="1"/>
    <col min="7439" max="7439" width="10.42578125" style="64" bestFit="1" customWidth="1"/>
    <col min="7440" max="7440" width="11.28515625" style="64" customWidth="1"/>
    <col min="7441" max="7441" width="9.42578125" style="64" customWidth="1"/>
    <col min="7442" max="7442" width="10.140625" style="64" bestFit="1" customWidth="1"/>
    <col min="7443" max="7444" width="9.140625" style="64"/>
    <col min="7445" max="7445" width="7.28515625" style="64" customWidth="1"/>
    <col min="7446" max="7451" width="7.42578125" style="64" customWidth="1"/>
    <col min="7452" max="7452" width="9.42578125" style="64" bestFit="1" customWidth="1"/>
    <col min="7453" max="7453" width="12" style="64" bestFit="1" customWidth="1"/>
    <col min="7454" max="7455" width="12" style="64" customWidth="1"/>
    <col min="7456" max="7456" width="13.140625" style="64" bestFit="1" customWidth="1"/>
    <col min="7457" max="7458" width="13.140625" style="64" customWidth="1"/>
    <col min="7459" max="7460" width="14.42578125" style="64" bestFit="1" customWidth="1"/>
    <col min="7461" max="7462" width="9.140625" style="64" customWidth="1"/>
    <col min="7463" max="7463" width="9.5703125" style="64" customWidth="1"/>
    <col min="7464" max="7465" width="9.5703125" style="64" bestFit="1" customWidth="1"/>
    <col min="7466" max="7467" width="10.140625" style="64" bestFit="1" customWidth="1"/>
    <col min="7468" max="7468" width="9.5703125" style="64" bestFit="1" customWidth="1"/>
    <col min="7469" max="7469" width="9.5703125" style="64" customWidth="1"/>
    <col min="7470" max="7470" width="9" style="64" customWidth="1"/>
    <col min="7471" max="7471" width="10.5703125" style="64" bestFit="1" customWidth="1"/>
    <col min="7472" max="7472" width="11.42578125" style="64" bestFit="1" customWidth="1"/>
    <col min="7473" max="7473" width="18" style="64" bestFit="1" customWidth="1"/>
    <col min="7474" max="7691" width="9.140625" style="64"/>
    <col min="7692" max="7692" width="41" style="64" customWidth="1"/>
    <col min="7693" max="7693" width="19.5703125" style="64" bestFit="1" customWidth="1"/>
    <col min="7694" max="7694" width="10.140625" style="64" customWidth="1"/>
    <col min="7695" max="7695" width="10.42578125" style="64" bestFit="1" customWidth="1"/>
    <col min="7696" max="7696" width="11.28515625" style="64" customWidth="1"/>
    <col min="7697" max="7697" width="9.42578125" style="64" customWidth="1"/>
    <col min="7698" max="7698" width="10.140625" style="64" bestFit="1" customWidth="1"/>
    <col min="7699" max="7700" width="9.140625" style="64"/>
    <col min="7701" max="7701" width="7.28515625" style="64" customWidth="1"/>
    <col min="7702" max="7707" width="7.42578125" style="64" customWidth="1"/>
    <col min="7708" max="7708" width="9.42578125" style="64" bestFit="1" customWidth="1"/>
    <col min="7709" max="7709" width="12" style="64" bestFit="1" customWidth="1"/>
    <col min="7710" max="7711" width="12" style="64" customWidth="1"/>
    <col min="7712" max="7712" width="13.140625" style="64" bestFit="1" customWidth="1"/>
    <col min="7713" max="7714" width="13.140625" style="64" customWidth="1"/>
    <col min="7715" max="7716" width="14.42578125" style="64" bestFit="1" customWidth="1"/>
    <col min="7717" max="7718" width="9.140625" style="64" customWidth="1"/>
    <col min="7719" max="7719" width="9.5703125" style="64" customWidth="1"/>
    <col min="7720" max="7721" width="9.5703125" style="64" bestFit="1" customWidth="1"/>
    <col min="7722" max="7723" width="10.140625" style="64" bestFit="1" customWidth="1"/>
    <col min="7724" max="7724" width="9.5703125" style="64" bestFit="1" customWidth="1"/>
    <col min="7725" max="7725" width="9.5703125" style="64" customWidth="1"/>
    <col min="7726" max="7726" width="9" style="64" customWidth="1"/>
    <col min="7727" max="7727" width="10.5703125" style="64" bestFit="1" customWidth="1"/>
    <col min="7728" max="7728" width="11.42578125" style="64" bestFit="1" customWidth="1"/>
    <col min="7729" max="7729" width="18" style="64" bestFit="1" customWidth="1"/>
    <col min="7730" max="7947" width="9.140625" style="64"/>
    <col min="7948" max="7948" width="41" style="64" customWidth="1"/>
    <col min="7949" max="7949" width="19.5703125" style="64" bestFit="1" customWidth="1"/>
    <col min="7950" max="7950" width="10.140625" style="64" customWidth="1"/>
    <col min="7951" max="7951" width="10.42578125" style="64" bestFit="1" customWidth="1"/>
    <col min="7952" max="7952" width="11.28515625" style="64" customWidth="1"/>
    <col min="7953" max="7953" width="9.42578125" style="64" customWidth="1"/>
    <col min="7954" max="7954" width="10.140625" style="64" bestFit="1" customWidth="1"/>
    <col min="7955" max="7956" width="9.140625" style="64"/>
    <col min="7957" max="7957" width="7.28515625" style="64" customWidth="1"/>
    <col min="7958" max="7963" width="7.42578125" style="64" customWidth="1"/>
    <col min="7964" max="7964" width="9.42578125" style="64" bestFit="1" customWidth="1"/>
    <col min="7965" max="7965" width="12" style="64" bestFit="1" customWidth="1"/>
    <col min="7966" max="7967" width="12" style="64" customWidth="1"/>
    <col min="7968" max="7968" width="13.140625" style="64" bestFit="1" customWidth="1"/>
    <col min="7969" max="7970" width="13.140625" style="64" customWidth="1"/>
    <col min="7971" max="7972" width="14.42578125" style="64" bestFit="1" customWidth="1"/>
    <col min="7973" max="7974" width="9.140625" style="64" customWidth="1"/>
    <col min="7975" max="7975" width="9.5703125" style="64" customWidth="1"/>
    <col min="7976" max="7977" width="9.5703125" style="64" bestFit="1" customWidth="1"/>
    <col min="7978" max="7979" width="10.140625" style="64" bestFit="1" customWidth="1"/>
    <col min="7980" max="7980" width="9.5703125" style="64" bestFit="1" customWidth="1"/>
    <col min="7981" max="7981" width="9.5703125" style="64" customWidth="1"/>
    <col min="7982" max="7982" width="9" style="64" customWidth="1"/>
    <col min="7983" max="7983" width="10.5703125" style="64" bestFit="1" customWidth="1"/>
    <col min="7984" max="7984" width="11.42578125" style="64" bestFit="1" customWidth="1"/>
    <col min="7985" max="7985" width="18" style="64" bestFit="1" customWidth="1"/>
    <col min="7986" max="8203" width="9.140625" style="64"/>
    <col min="8204" max="8204" width="41" style="64" customWidth="1"/>
    <col min="8205" max="8205" width="19.5703125" style="64" bestFit="1" customWidth="1"/>
    <col min="8206" max="8206" width="10.140625" style="64" customWidth="1"/>
    <col min="8207" max="8207" width="10.42578125" style="64" bestFit="1" customWidth="1"/>
    <col min="8208" max="8208" width="11.28515625" style="64" customWidth="1"/>
    <col min="8209" max="8209" width="9.42578125" style="64" customWidth="1"/>
    <col min="8210" max="8210" width="10.140625" style="64" bestFit="1" customWidth="1"/>
    <col min="8211" max="8212" width="9.140625" style="64"/>
    <col min="8213" max="8213" width="7.28515625" style="64" customWidth="1"/>
    <col min="8214" max="8219" width="7.42578125" style="64" customWidth="1"/>
    <col min="8220" max="8220" width="9.42578125" style="64" bestFit="1" customWidth="1"/>
    <col min="8221" max="8221" width="12" style="64" bestFit="1" customWidth="1"/>
    <col min="8222" max="8223" width="12" style="64" customWidth="1"/>
    <col min="8224" max="8224" width="13.140625" style="64" bestFit="1" customWidth="1"/>
    <col min="8225" max="8226" width="13.140625" style="64" customWidth="1"/>
    <col min="8227" max="8228" width="14.42578125" style="64" bestFit="1" customWidth="1"/>
    <col min="8229" max="8230" width="9.140625" style="64" customWidth="1"/>
    <col min="8231" max="8231" width="9.5703125" style="64" customWidth="1"/>
    <col min="8232" max="8233" width="9.5703125" style="64" bestFit="1" customWidth="1"/>
    <col min="8234" max="8235" width="10.140625" style="64" bestFit="1" customWidth="1"/>
    <col min="8236" max="8236" width="9.5703125" style="64" bestFit="1" customWidth="1"/>
    <col min="8237" max="8237" width="9.5703125" style="64" customWidth="1"/>
    <col min="8238" max="8238" width="9" style="64" customWidth="1"/>
    <col min="8239" max="8239" width="10.5703125" style="64" bestFit="1" customWidth="1"/>
    <col min="8240" max="8240" width="11.42578125" style="64" bestFit="1" customWidth="1"/>
    <col min="8241" max="8241" width="18" style="64" bestFit="1" customWidth="1"/>
    <col min="8242" max="8459" width="9.140625" style="64"/>
    <col min="8460" max="8460" width="41" style="64" customWidth="1"/>
    <col min="8461" max="8461" width="19.5703125" style="64" bestFit="1" customWidth="1"/>
    <col min="8462" max="8462" width="10.140625" style="64" customWidth="1"/>
    <col min="8463" max="8463" width="10.42578125" style="64" bestFit="1" customWidth="1"/>
    <col min="8464" max="8464" width="11.28515625" style="64" customWidth="1"/>
    <col min="8465" max="8465" width="9.42578125" style="64" customWidth="1"/>
    <col min="8466" max="8466" width="10.140625" style="64" bestFit="1" customWidth="1"/>
    <col min="8467" max="8468" width="9.140625" style="64"/>
    <col min="8469" max="8469" width="7.28515625" style="64" customWidth="1"/>
    <col min="8470" max="8475" width="7.42578125" style="64" customWidth="1"/>
    <col min="8476" max="8476" width="9.42578125" style="64" bestFit="1" customWidth="1"/>
    <col min="8477" max="8477" width="12" style="64" bestFit="1" customWidth="1"/>
    <col min="8478" max="8479" width="12" style="64" customWidth="1"/>
    <col min="8480" max="8480" width="13.140625" style="64" bestFit="1" customWidth="1"/>
    <col min="8481" max="8482" width="13.140625" style="64" customWidth="1"/>
    <col min="8483" max="8484" width="14.42578125" style="64" bestFit="1" customWidth="1"/>
    <col min="8485" max="8486" width="9.140625" style="64" customWidth="1"/>
    <col min="8487" max="8487" width="9.5703125" style="64" customWidth="1"/>
    <col min="8488" max="8489" width="9.5703125" style="64" bestFit="1" customWidth="1"/>
    <col min="8490" max="8491" width="10.140625" style="64" bestFit="1" customWidth="1"/>
    <col min="8492" max="8492" width="9.5703125" style="64" bestFit="1" customWidth="1"/>
    <col min="8493" max="8493" width="9.5703125" style="64" customWidth="1"/>
    <col min="8494" max="8494" width="9" style="64" customWidth="1"/>
    <col min="8495" max="8495" width="10.5703125" style="64" bestFit="1" customWidth="1"/>
    <col min="8496" max="8496" width="11.42578125" style="64" bestFit="1" customWidth="1"/>
    <col min="8497" max="8497" width="18" style="64" bestFit="1" customWidth="1"/>
    <col min="8498" max="8715" width="9.140625" style="64"/>
    <col min="8716" max="8716" width="41" style="64" customWidth="1"/>
    <col min="8717" max="8717" width="19.5703125" style="64" bestFit="1" customWidth="1"/>
    <col min="8718" max="8718" width="10.140625" style="64" customWidth="1"/>
    <col min="8719" max="8719" width="10.42578125" style="64" bestFit="1" customWidth="1"/>
    <col min="8720" max="8720" width="11.28515625" style="64" customWidth="1"/>
    <col min="8721" max="8721" width="9.42578125" style="64" customWidth="1"/>
    <col min="8722" max="8722" width="10.140625" style="64" bestFit="1" customWidth="1"/>
    <col min="8723" max="8724" width="9.140625" style="64"/>
    <col min="8725" max="8725" width="7.28515625" style="64" customWidth="1"/>
    <col min="8726" max="8731" width="7.42578125" style="64" customWidth="1"/>
    <col min="8732" max="8732" width="9.42578125" style="64" bestFit="1" customWidth="1"/>
    <col min="8733" max="8733" width="12" style="64" bestFit="1" customWidth="1"/>
    <col min="8734" max="8735" width="12" style="64" customWidth="1"/>
    <col min="8736" max="8736" width="13.140625" style="64" bestFit="1" customWidth="1"/>
    <col min="8737" max="8738" width="13.140625" style="64" customWidth="1"/>
    <col min="8739" max="8740" width="14.42578125" style="64" bestFit="1" customWidth="1"/>
    <col min="8741" max="8742" width="9.140625" style="64" customWidth="1"/>
    <col min="8743" max="8743" width="9.5703125" style="64" customWidth="1"/>
    <col min="8744" max="8745" width="9.5703125" style="64" bestFit="1" customWidth="1"/>
    <col min="8746" max="8747" width="10.140625" style="64" bestFit="1" customWidth="1"/>
    <col min="8748" max="8748" width="9.5703125" style="64" bestFit="1" customWidth="1"/>
    <col min="8749" max="8749" width="9.5703125" style="64" customWidth="1"/>
    <col min="8750" max="8750" width="9" style="64" customWidth="1"/>
    <col min="8751" max="8751" width="10.5703125" style="64" bestFit="1" customWidth="1"/>
    <col min="8752" max="8752" width="11.42578125" style="64" bestFit="1" customWidth="1"/>
    <col min="8753" max="8753" width="18" style="64" bestFit="1" customWidth="1"/>
    <col min="8754" max="8971" width="9.140625" style="64"/>
    <col min="8972" max="8972" width="41" style="64" customWidth="1"/>
    <col min="8973" max="8973" width="19.5703125" style="64" bestFit="1" customWidth="1"/>
    <col min="8974" max="8974" width="10.140625" style="64" customWidth="1"/>
    <col min="8975" max="8975" width="10.42578125" style="64" bestFit="1" customWidth="1"/>
    <col min="8976" max="8976" width="11.28515625" style="64" customWidth="1"/>
    <col min="8977" max="8977" width="9.42578125" style="64" customWidth="1"/>
    <col min="8978" max="8978" width="10.140625" style="64" bestFit="1" customWidth="1"/>
    <col min="8979" max="8980" width="9.140625" style="64"/>
    <col min="8981" max="8981" width="7.28515625" style="64" customWidth="1"/>
    <col min="8982" max="8987" width="7.42578125" style="64" customWidth="1"/>
    <col min="8988" max="8988" width="9.42578125" style="64" bestFit="1" customWidth="1"/>
    <col min="8989" max="8989" width="12" style="64" bestFit="1" customWidth="1"/>
    <col min="8990" max="8991" width="12" style="64" customWidth="1"/>
    <col min="8992" max="8992" width="13.140625" style="64" bestFit="1" customWidth="1"/>
    <col min="8993" max="8994" width="13.140625" style="64" customWidth="1"/>
    <col min="8995" max="8996" width="14.42578125" style="64" bestFit="1" customWidth="1"/>
    <col min="8997" max="8998" width="9.140625" style="64" customWidth="1"/>
    <col min="8999" max="8999" width="9.5703125" style="64" customWidth="1"/>
    <col min="9000" max="9001" width="9.5703125" style="64" bestFit="1" customWidth="1"/>
    <col min="9002" max="9003" width="10.140625" style="64" bestFit="1" customWidth="1"/>
    <col min="9004" max="9004" width="9.5703125" style="64" bestFit="1" customWidth="1"/>
    <col min="9005" max="9005" width="9.5703125" style="64" customWidth="1"/>
    <col min="9006" max="9006" width="9" style="64" customWidth="1"/>
    <col min="9007" max="9007" width="10.5703125" style="64" bestFit="1" customWidth="1"/>
    <col min="9008" max="9008" width="11.42578125" style="64" bestFit="1" customWidth="1"/>
    <col min="9009" max="9009" width="18" style="64" bestFit="1" customWidth="1"/>
    <col min="9010" max="9227" width="9.140625" style="64"/>
    <col min="9228" max="9228" width="41" style="64" customWidth="1"/>
    <col min="9229" max="9229" width="19.5703125" style="64" bestFit="1" customWidth="1"/>
    <col min="9230" max="9230" width="10.140625" style="64" customWidth="1"/>
    <col min="9231" max="9231" width="10.42578125" style="64" bestFit="1" customWidth="1"/>
    <col min="9232" max="9232" width="11.28515625" style="64" customWidth="1"/>
    <col min="9233" max="9233" width="9.42578125" style="64" customWidth="1"/>
    <col min="9234" max="9234" width="10.140625" style="64" bestFit="1" customWidth="1"/>
    <col min="9235" max="9236" width="9.140625" style="64"/>
    <col min="9237" max="9237" width="7.28515625" style="64" customWidth="1"/>
    <col min="9238" max="9243" width="7.42578125" style="64" customWidth="1"/>
    <col min="9244" max="9244" width="9.42578125" style="64" bestFit="1" customWidth="1"/>
    <col min="9245" max="9245" width="12" style="64" bestFit="1" customWidth="1"/>
    <col min="9246" max="9247" width="12" style="64" customWidth="1"/>
    <col min="9248" max="9248" width="13.140625" style="64" bestFit="1" customWidth="1"/>
    <col min="9249" max="9250" width="13.140625" style="64" customWidth="1"/>
    <col min="9251" max="9252" width="14.42578125" style="64" bestFit="1" customWidth="1"/>
    <col min="9253" max="9254" width="9.140625" style="64" customWidth="1"/>
    <col min="9255" max="9255" width="9.5703125" style="64" customWidth="1"/>
    <col min="9256" max="9257" width="9.5703125" style="64" bestFit="1" customWidth="1"/>
    <col min="9258" max="9259" width="10.140625" style="64" bestFit="1" customWidth="1"/>
    <col min="9260" max="9260" width="9.5703125" style="64" bestFit="1" customWidth="1"/>
    <col min="9261" max="9261" width="9.5703125" style="64" customWidth="1"/>
    <col min="9262" max="9262" width="9" style="64" customWidth="1"/>
    <col min="9263" max="9263" width="10.5703125" style="64" bestFit="1" customWidth="1"/>
    <col min="9264" max="9264" width="11.42578125" style="64" bestFit="1" customWidth="1"/>
    <col min="9265" max="9265" width="18" style="64" bestFit="1" customWidth="1"/>
    <col min="9266" max="9483" width="9.140625" style="64"/>
    <col min="9484" max="9484" width="41" style="64" customWidth="1"/>
    <col min="9485" max="9485" width="19.5703125" style="64" bestFit="1" customWidth="1"/>
    <col min="9486" max="9486" width="10.140625" style="64" customWidth="1"/>
    <col min="9487" max="9487" width="10.42578125" style="64" bestFit="1" customWidth="1"/>
    <col min="9488" max="9488" width="11.28515625" style="64" customWidth="1"/>
    <col min="9489" max="9489" width="9.42578125" style="64" customWidth="1"/>
    <col min="9490" max="9490" width="10.140625" style="64" bestFit="1" customWidth="1"/>
    <col min="9491" max="9492" width="9.140625" style="64"/>
    <col min="9493" max="9493" width="7.28515625" style="64" customWidth="1"/>
    <col min="9494" max="9499" width="7.42578125" style="64" customWidth="1"/>
    <col min="9500" max="9500" width="9.42578125" style="64" bestFit="1" customWidth="1"/>
    <col min="9501" max="9501" width="12" style="64" bestFit="1" customWidth="1"/>
    <col min="9502" max="9503" width="12" style="64" customWidth="1"/>
    <col min="9504" max="9504" width="13.140625" style="64" bestFit="1" customWidth="1"/>
    <col min="9505" max="9506" width="13.140625" style="64" customWidth="1"/>
    <col min="9507" max="9508" width="14.42578125" style="64" bestFit="1" customWidth="1"/>
    <col min="9509" max="9510" width="9.140625" style="64" customWidth="1"/>
    <col min="9511" max="9511" width="9.5703125" style="64" customWidth="1"/>
    <col min="9512" max="9513" width="9.5703125" style="64" bestFit="1" customWidth="1"/>
    <col min="9514" max="9515" width="10.140625" style="64" bestFit="1" customWidth="1"/>
    <col min="9516" max="9516" width="9.5703125" style="64" bestFit="1" customWidth="1"/>
    <col min="9517" max="9517" width="9.5703125" style="64" customWidth="1"/>
    <col min="9518" max="9518" width="9" style="64" customWidth="1"/>
    <col min="9519" max="9519" width="10.5703125" style="64" bestFit="1" customWidth="1"/>
    <col min="9520" max="9520" width="11.42578125" style="64" bestFit="1" customWidth="1"/>
    <col min="9521" max="9521" width="18" style="64" bestFit="1" customWidth="1"/>
    <col min="9522" max="9739" width="9.140625" style="64"/>
    <col min="9740" max="9740" width="41" style="64" customWidth="1"/>
    <col min="9741" max="9741" width="19.5703125" style="64" bestFit="1" customWidth="1"/>
    <col min="9742" max="9742" width="10.140625" style="64" customWidth="1"/>
    <col min="9743" max="9743" width="10.42578125" style="64" bestFit="1" customWidth="1"/>
    <col min="9744" max="9744" width="11.28515625" style="64" customWidth="1"/>
    <col min="9745" max="9745" width="9.42578125" style="64" customWidth="1"/>
    <col min="9746" max="9746" width="10.140625" style="64" bestFit="1" customWidth="1"/>
    <col min="9747" max="9748" width="9.140625" style="64"/>
    <col min="9749" max="9749" width="7.28515625" style="64" customWidth="1"/>
    <col min="9750" max="9755" width="7.42578125" style="64" customWidth="1"/>
    <col min="9756" max="9756" width="9.42578125" style="64" bestFit="1" customWidth="1"/>
    <col min="9757" max="9757" width="12" style="64" bestFit="1" customWidth="1"/>
    <col min="9758" max="9759" width="12" style="64" customWidth="1"/>
    <col min="9760" max="9760" width="13.140625" style="64" bestFit="1" customWidth="1"/>
    <col min="9761" max="9762" width="13.140625" style="64" customWidth="1"/>
    <col min="9763" max="9764" width="14.42578125" style="64" bestFit="1" customWidth="1"/>
    <col min="9765" max="9766" width="9.140625" style="64" customWidth="1"/>
    <col min="9767" max="9767" width="9.5703125" style="64" customWidth="1"/>
    <col min="9768" max="9769" width="9.5703125" style="64" bestFit="1" customWidth="1"/>
    <col min="9770" max="9771" width="10.140625" style="64" bestFit="1" customWidth="1"/>
    <col min="9772" max="9772" width="9.5703125" style="64" bestFit="1" customWidth="1"/>
    <col min="9773" max="9773" width="9.5703125" style="64" customWidth="1"/>
    <col min="9774" max="9774" width="9" style="64" customWidth="1"/>
    <col min="9775" max="9775" width="10.5703125" style="64" bestFit="1" customWidth="1"/>
    <col min="9776" max="9776" width="11.42578125" style="64" bestFit="1" customWidth="1"/>
    <col min="9777" max="9777" width="18" style="64" bestFit="1" customWidth="1"/>
    <col min="9778" max="9995" width="9.140625" style="64"/>
    <col min="9996" max="9996" width="41" style="64" customWidth="1"/>
    <col min="9997" max="9997" width="19.5703125" style="64" bestFit="1" customWidth="1"/>
    <col min="9998" max="9998" width="10.140625" style="64" customWidth="1"/>
    <col min="9999" max="9999" width="10.42578125" style="64" bestFit="1" customWidth="1"/>
    <col min="10000" max="10000" width="11.28515625" style="64" customWidth="1"/>
    <col min="10001" max="10001" width="9.42578125" style="64" customWidth="1"/>
    <col min="10002" max="10002" width="10.140625" style="64" bestFit="1" customWidth="1"/>
    <col min="10003" max="10004" width="9.140625" style="64"/>
    <col min="10005" max="10005" width="7.28515625" style="64" customWidth="1"/>
    <col min="10006" max="10011" width="7.42578125" style="64" customWidth="1"/>
    <col min="10012" max="10012" width="9.42578125" style="64" bestFit="1" customWidth="1"/>
    <col min="10013" max="10013" width="12" style="64" bestFit="1" customWidth="1"/>
    <col min="10014" max="10015" width="12" style="64" customWidth="1"/>
    <col min="10016" max="10016" width="13.140625" style="64" bestFit="1" customWidth="1"/>
    <col min="10017" max="10018" width="13.140625" style="64" customWidth="1"/>
    <col min="10019" max="10020" width="14.42578125" style="64" bestFit="1" customWidth="1"/>
    <col min="10021" max="10022" width="9.140625" style="64" customWidth="1"/>
    <col min="10023" max="10023" width="9.5703125" style="64" customWidth="1"/>
    <col min="10024" max="10025" width="9.5703125" style="64" bestFit="1" customWidth="1"/>
    <col min="10026" max="10027" width="10.140625" style="64" bestFit="1" customWidth="1"/>
    <col min="10028" max="10028" width="9.5703125" style="64" bestFit="1" customWidth="1"/>
    <col min="10029" max="10029" width="9.5703125" style="64" customWidth="1"/>
    <col min="10030" max="10030" width="9" style="64" customWidth="1"/>
    <col min="10031" max="10031" width="10.5703125" style="64" bestFit="1" customWidth="1"/>
    <col min="10032" max="10032" width="11.42578125" style="64" bestFit="1" customWidth="1"/>
    <col min="10033" max="10033" width="18" style="64" bestFit="1" customWidth="1"/>
    <col min="10034" max="10251" width="9.140625" style="64"/>
    <col min="10252" max="10252" width="41" style="64" customWidth="1"/>
    <col min="10253" max="10253" width="19.5703125" style="64" bestFit="1" customWidth="1"/>
    <col min="10254" max="10254" width="10.140625" style="64" customWidth="1"/>
    <col min="10255" max="10255" width="10.42578125" style="64" bestFit="1" customWidth="1"/>
    <col min="10256" max="10256" width="11.28515625" style="64" customWidth="1"/>
    <col min="10257" max="10257" width="9.42578125" style="64" customWidth="1"/>
    <col min="10258" max="10258" width="10.140625" style="64" bestFit="1" customWidth="1"/>
    <col min="10259" max="10260" width="9.140625" style="64"/>
    <col min="10261" max="10261" width="7.28515625" style="64" customWidth="1"/>
    <col min="10262" max="10267" width="7.42578125" style="64" customWidth="1"/>
    <col min="10268" max="10268" width="9.42578125" style="64" bestFit="1" customWidth="1"/>
    <col min="10269" max="10269" width="12" style="64" bestFit="1" customWidth="1"/>
    <col min="10270" max="10271" width="12" style="64" customWidth="1"/>
    <col min="10272" max="10272" width="13.140625" style="64" bestFit="1" customWidth="1"/>
    <col min="10273" max="10274" width="13.140625" style="64" customWidth="1"/>
    <col min="10275" max="10276" width="14.42578125" style="64" bestFit="1" customWidth="1"/>
    <col min="10277" max="10278" width="9.140625" style="64" customWidth="1"/>
    <col min="10279" max="10279" width="9.5703125" style="64" customWidth="1"/>
    <col min="10280" max="10281" width="9.5703125" style="64" bestFit="1" customWidth="1"/>
    <col min="10282" max="10283" width="10.140625" style="64" bestFit="1" customWidth="1"/>
    <col min="10284" max="10284" width="9.5703125" style="64" bestFit="1" customWidth="1"/>
    <col min="10285" max="10285" width="9.5703125" style="64" customWidth="1"/>
    <col min="10286" max="10286" width="9" style="64" customWidth="1"/>
    <col min="10287" max="10287" width="10.5703125" style="64" bestFit="1" customWidth="1"/>
    <col min="10288" max="10288" width="11.42578125" style="64" bestFit="1" customWidth="1"/>
    <col min="10289" max="10289" width="18" style="64" bestFit="1" customWidth="1"/>
    <col min="10290" max="10507" width="9.140625" style="64"/>
    <col min="10508" max="10508" width="41" style="64" customWidth="1"/>
    <col min="10509" max="10509" width="19.5703125" style="64" bestFit="1" customWidth="1"/>
    <col min="10510" max="10510" width="10.140625" style="64" customWidth="1"/>
    <col min="10511" max="10511" width="10.42578125" style="64" bestFit="1" customWidth="1"/>
    <col min="10512" max="10512" width="11.28515625" style="64" customWidth="1"/>
    <col min="10513" max="10513" width="9.42578125" style="64" customWidth="1"/>
    <col min="10514" max="10514" width="10.140625" style="64" bestFit="1" customWidth="1"/>
    <col min="10515" max="10516" width="9.140625" style="64"/>
    <col min="10517" max="10517" width="7.28515625" style="64" customWidth="1"/>
    <col min="10518" max="10523" width="7.42578125" style="64" customWidth="1"/>
    <col min="10524" max="10524" width="9.42578125" style="64" bestFit="1" customWidth="1"/>
    <col min="10525" max="10525" width="12" style="64" bestFit="1" customWidth="1"/>
    <col min="10526" max="10527" width="12" style="64" customWidth="1"/>
    <col min="10528" max="10528" width="13.140625" style="64" bestFit="1" customWidth="1"/>
    <col min="10529" max="10530" width="13.140625" style="64" customWidth="1"/>
    <col min="10531" max="10532" width="14.42578125" style="64" bestFit="1" customWidth="1"/>
    <col min="10533" max="10534" width="9.140625" style="64" customWidth="1"/>
    <col min="10535" max="10535" width="9.5703125" style="64" customWidth="1"/>
    <col min="10536" max="10537" width="9.5703125" style="64" bestFit="1" customWidth="1"/>
    <col min="10538" max="10539" width="10.140625" style="64" bestFit="1" customWidth="1"/>
    <col min="10540" max="10540" width="9.5703125" style="64" bestFit="1" customWidth="1"/>
    <col min="10541" max="10541" width="9.5703125" style="64" customWidth="1"/>
    <col min="10542" max="10542" width="9" style="64" customWidth="1"/>
    <col min="10543" max="10543" width="10.5703125" style="64" bestFit="1" customWidth="1"/>
    <col min="10544" max="10544" width="11.42578125" style="64" bestFit="1" customWidth="1"/>
    <col min="10545" max="10545" width="18" style="64" bestFit="1" customWidth="1"/>
    <col min="10546" max="10763" width="9.140625" style="64"/>
    <col min="10764" max="10764" width="41" style="64" customWidth="1"/>
    <col min="10765" max="10765" width="19.5703125" style="64" bestFit="1" customWidth="1"/>
    <col min="10766" max="10766" width="10.140625" style="64" customWidth="1"/>
    <col min="10767" max="10767" width="10.42578125" style="64" bestFit="1" customWidth="1"/>
    <col min="10768" max="10768" width="11.28515625" style="64" customWidth="1"/>
    <col min="10769" max="10769" width="9.42578125" style="64" customWidth="1"/>
    <col min="10770" max="10770" width="10.140625" style="64" bestFit="1" customWidth="1"/>
    <col min="10771" max="10772" width="9.140625" style="64"/>
    <col min="10773" max="10773" width="7.28515625" style="64" customWidth="1"/>
    <col min="10774" max="10779" width="7.42578125" style="64" customWidth="1"/>
    <col min="10780" max="10780" width="9.42578125" style="64" bestFit="1" customWidth="1"/>
    <col min="10781" max="10781" width="12" style="64" bestFit="1" customWidth="1"/>
    <col min="10782" max="10783" width="12" style="64" customWidth="1"/>
    <col min="10784" max="10784" width="13.140625" style="64" bestFit="1" customWidth="1"/>
    <col min="10785" max="10786" width="13.140625" style="64" customWidth="1"/>
    <col min="10787" max="10788" width="14.42578125" style="64" bestFit="1" customWidth="1"/>
    <col min="10789" max="10790" width="9.140625" style="64" customWidth="1"/>
    <col min="10791" max="10791" width="9.5703125" style="64" customWidth="1"/>
    <col min="10792" max="10793" width="9.5703125" style="64" bestFit="1" customWidth="1"/>
    <col min="10794" max="10795" width="10.140625" style="64" bestFit="1" customWidth="1"/>
    <col min="10796" max="10796" width="9.5703125" style="64" bestFit="1" customWidth="1"/>
    <col min="10797" max="10797" width="9.5703125" style="64" customWidth="1"/>
    <col min="10798" max="10798" width="9" style="64" customWidth="1"/>
    <col min="10799" max="10799" width="10.5703125" style="64" bestFit="1" customWidth="1"/>
    <col min="10800" max="10800" width="11.42578125" style="64" bestFit="1" customWidth="1"/>
    <col min="10801" max="10801" width="18" style="64" bestFit="1" customWidth="1"/>
    <col min="10802" max="11019" width="9.140625" style="64"/>
    <col min="11020" max="11020" width="41" style="64" customWidth="1"/>
    <col min="11021" max="11021" width="19.5703125" style="64" bestFit="1" customWidth="1"/>
    <col min="11022" max="11022" width="10.140625" style="64" customWidth="1"/>
    <col min="11023" max="11023" width="10.42578125" style="64" bestFit="1" customWidth="1"/>
    <col min="11024" max="11024" width="11.28515625" style="64" customWidth="1"/>
    <col min="11025" max="11025" width="9.42578125" style="64" customWidth="1"/>
    <col min="11026" max="11026" width="10.140625" style="64" bestFit="1" customWidth="1"/>
    <col min="11027" max="11028" width="9.140625" style="64"/>
    <col min="11029" max="11029" width="7.28515625" style="64" customWidth="1"/>
    <col min="11030" max="11035" width="7.42578125" style="64" customWidth="1"/>
    <col min="11036" max="11036" width="9.42578125" style="64" bestFit="1" customWidth="1"/>
    <col min="11037" max="11037" width="12" style="64" bestFit="1" customWidth="1"/>
    <col min="11038" max="11039" width="12" style="64" customWidth="1"/>
    <col min="11040" max="11040" width="13.140625" style="64" bestFit="1" customWidth="1"/>
    <col min="11041" max="11042" width="13.140625" style="64" customWidth="1"/>
    <col min="11043" max="11044" width="14.42578125" style="64" bestFit="1" customWidth="1"/>
    <col min="11045" max="11046" width="9.140625" style="64" customWidth="1"/>
    <col min="11047" max="11047" width="9.5703125" style="64" customWidth="1"/>
    <col min="11048" max="11049" width="9.5703125" style="64" bestFit="1" customWidth="1"/>
    <col min="11050" max="11051" width="10.140625" style="64" bestFit="1" customWidth="1"/>
    <col min="11052" max="11052" width="9.5703125" style="64" bestFit="1" customWidth="1"/>
    <col min="11053" max="11053" width="9.5703125" style="64" customWidth="1"/>
    <col min="11054" max="11054" width="9" style="64" customWidth="1"/>
    <col min="11055" max="11055" width="10.5703125" style="64" bestFit="1" customWidth="1"/>
    <col min="11056" max="11056" width="11.42578125" style="64" bestFit="1" customWidth="1"/>
    <col min="11057" max="11057" width="18" style="64" bestFit="1" customWidth="1"/>
    <col min="11058" max="11275" width="9.140625" style="64"/>
    <col min="11276" max="11276" width="41" style="64" customWidth="1"/>
    <col min="11277" max="11277" width="19.5703125" style="64" bestFit="1" customWidth="1"/>
    <col min="11278" max="11278" width="10.140625" style="64" customWidth="1"/>
    <col min="11279" max="11279" width="10.42578125" style="64" bestFit="1" customWidth="1"/>
    <col min="11280" max="11280" width="11.28515625" style="64" customWidth="1"/>
    <col min="11281" max="11281" width="9.42578125" style="64" customWidth="1"/>
    <col min="11282" max="11282" width="10.140625" style="64" bestFit="1" customWidth="1"/>
    <col min="11283" max="11284" width="9.140625" style="64"/>
    <col min="11285" max="11285" width="7.28515625" style="64" customWidth="1"/>
    <col min="11286" max="11291" width="7.42578125" style="64" customWidth="1"/>
    <col min="11292" max="11292" width="9.42578125" style="64" bestFit="1" customWidth="1"/>
    <col min="11293" max="11293" width="12" style="64" bestFit="1" customWidth="1"/>
    <col min="11294" max="11295" width="12" style="64" customWidth="1"/>
    <col min="11296" max="11296" width="13.140625" style="64" bestFit="1" customWidth="1"/>
    <col min="11297" max="11298" width="13.140625" style="64" customWidth="1"/>
    <col min="11299" max="11300" width="14.42578125" style="64" bestFit="1" customWidth="1"/>
    <col min="11301" max="11302" width="9.140625" style="64" customWidth="1"/>
    <col min="11303" max="11303" width="9.5703125" style="64" customWidth="1"/>
    <col min="11304" max="11305" width="9.5703125" style="64" bestFit="1" customWidth="1"/>
    <col min="11306" max="11307" width="10.140625" style="64" bestFit="1" customWidth="1"/>
    <col min="11308" max="11308" width="9.5703125" style="64" bestFit="1" customWidth="1"/>
    <col min="11309" max="11309" width="9.5703125" style="64" customWidth="1"/>
    <col min="11310" max="11310" width="9" style="64" customWidth="1"/>
    <col min="11311" max="11311" width="10.5703125" style="64" bestFit="1" customWidth="1"/>
    <col min="11312" max="11312" width="11.42578125" style="64" bestFit="1" customWidth="1"/>
    <col min="11313" max="11313" width="18" style="64" bestFit="1" customWidth="1"/>
    <col min="11314" max="11531" width="9.140625" style="64"/>
    <col min="11532" max="11532" width="41" style="64" customWidth="1"/>
    <col min="11533" max="11533" width="19.5703125" style="64" bestFit="1" customWidth="1"/>
    <col min="11534" max="11534" width="10.140625" style="64" customWidth="1"/>
    <col min="11535" max="11535" width="10.42578125" style="64" bestFit="1" customWidth="1"/>
    <col min="11536" max="11536" width="11.28515625" style="64" customWidth="1"/>
    <col min="11537" max="11537" width="9.42578125" style="64" customWidth="1"/>
    <col min="11538" max="11538" width="10.140625" style="64" bestFit="1" customWidth="1"/>
    <col min="11539" max="11540" width="9.140625" style="64"/>
    <col min="11541" max="11541" width="7.28515625" style="64" customWidth="1"/>
    <col min="11542" max="11547" width="7.42578125" style="64" customWidth="1"/>
    <col min="11548" max="11548" width="9.42578125" style="64" bestFit="1" customWidth="1"/>
    <col min="11549" max="11549" width="12" style="64" bestFit="1" customWidth="1"/>
    <col min="11550" max="11551" width="12" style="64" customWidth="1"/>
    <col min="11552" max="11552" width="13.140625" style="64" bestFit="1" customWidth="1"/>
    <col min="11553" max="11554" width="13.140625" style="64" customWidth="1"/>
    <col min="11555" max="11556" width="14.42578125" style="64" bestFit="1" customWidth="1"/>
    <col min="11557" max="11558" width="9.140625" style="64" customWidth="1"/>
    <col min="11559" max="11559" width="9.5703125" style="64" customWidth="1"/>
    <col min="11560" max="11561" width="9.5703125" style="64" bestFit="1" customWidth="1"/>
    <col min="11562" max="11563" width="10.140625" style="64" bestFit="1" customWidth="1"/>
    <col min="11564" max="11564" width="9.5703125" style="64" bestFit="1" customWidth="1"/>
    <col min="11565" max="11565" width="9.5703125" style="64" customWidth="1"/>
    <col min="11566" max="11566" width="9" style="64" customWidth="1"/>
    <col min="11567" max="11567" width="10.5703125" style="64" bestFit="1" customWidth="1"/>
    <col min="11568" max="11568" width="11.42578125" style="64" bestFit="1" customWidth="1"/>
    <col min="11569" max="11569" width="18" style="64" bestFit="1" customWidth="1"/>
    <col min="11570" max="11787" width="9.140625" style="64"/>
    <col min="11788" max="11788" width="41" style="64" customWidth="1"/>
    <col min="11789" max="11789" width="19.5703125" style="64" bestFit="1" customWidth="1"/>
    <col min="11790" max="11790" width="10.140625" style="64" customWidth="1"/>
    <col min="11791" max="11791" width="10.42578125" style="64" bestFit="1" customWidth="1"/>
    <col min="11792" max="11792" width="11.28515625" style="64" customWidth="1"/>
    <col min="11793" max="11793" width="9.42578125" style="64" customWidth="1"/>
    <col min="11794" max="11794" width="10.140625" style="64" bestFit="1" customWidth="1"/>
    <col min="11795" max="11796" width="9.140625" style="64"/>
    <col min="11797" max="11797" width="7.28515625" style="64" customWidth="1"/>
    <col min="11798" max="11803" width="7.42578125" style="64" customWidth="1"/>
    <col min="11804" max="11804" width="9.42578125" style="64" bestFit="1" customWidth="1"/>
    <col min="11805" max="11805" width="12" style="64" bestFit="1" customWidth="1"/>
    <col min="11806" max="11807" width="12" style="64" customWidth="1"/>
    <col min="11808" max="11808" width="13.140625" style="64" bestFit="1" customWidth="1"/>
    <col min="11809" max="11810" width="13.140625" style="64" customWidth="1"/>
    <col min="11811" max="11812" width="14.42578125" style="64" bestFit="1" customWidth="1"/>
    <col min="11813" max="11814" width="9.140625" style="64" customWidth="1"/>
    <col min="11815" max="11815" width="9.5703125" style="64" customWidth="1"/>
    <col min="11816" max="11817" width="9.5703125" style="64" bestFit="1" customWidth="1"/>
    <col min="11818" max="11819" width="10.140625" style="64" bestFit="1" customWidth="1"/>
    <col min="11820" max="11820" width="9.5703125" style="64" bestFit="1" customWidth="1"/>
    <col min="11821" max="11821" width="9.5703125" style="64" customWidth="1"/>
    <col min="11822" max="11822" width="9" style="64" customWidth="1"/>
    <col min="11823" max="11823" width="10.5703125" style="64" bestFit="1" customWidth="1"/>
    <col min="11824" max="11824" width="11.42578125" style="64" bestFit="1" customWidth="1"/>
    <col min="11825" max="11825" width="18" style="64" bestFit="1" customWidth="1"/>
    <col min="11826" max="12043" width="9.140625" style="64"/>
    <col min="12044" max="12044" width="41" style="64" customWidth="1"/>
    <col min="12045" max="12045" width="19.5703125" style="64" bestFit="1" customWidth="1"/>
    <col min="12046" max="12046" width="10.140625" style="64" customWidth="1"/>
    <col min="12047" max="12047" width="10.42578125" style="64" bestFit="1" customWidth="1"/>
    <col min="12048" max="12048" width="11.28515625" style="64" customWidth="1"/>
    <col min="12049" max="12049" width="9.42578125" style="64" customWidth="1"/>
    <col min="12050" max="12050" width="10.140625" style="64" bestFit="1" customWidth="1"/>
    <col min="12051" max="12052" width="9.140625" style="64"/>
    <col min="12053" max="12053" width="7.28515625" style="64" customWidth="1"/>
    <col min="12054" max="12059" width="7.42578125" style="64" customWidth="1"/>
    <col min="12060" max="12060" width="9.42578125" style="64" bestFit="1" customWidth="1"/>
    <col min="12061" max="12061" width="12" style="64" bestFit="1" customWidth="1"/>
    <col min="12062" max="12063" width="12" style="64" customWidth="1"/>
    <col min="12064" max="12064" width="13.140625" style="64" bestFit="1" customWidth="1"/>
    <col min="12065" max="12066" width="13.140625" style="64" customWidth="1"/>
    <col min="12067" max="12068" width="14.42578125" style="64" bestFit="1" customWidth="1"/>
    <col min="12069" max="12070" width="9.140625" style="64" customWidth="1"/>
    <col min="12071" max="12071" width="9.5703125" style="64" customWidth="1"/>
    <col min="12072" max="12073" width="9.5703125" style="64" bestFit="1" customWidth="1"/>
    <col min="12074" max="12075" width="10.140625" style="64" bestFit="1" customWidth="1"/>
    <col min="12076" max="12076" width="9.5703125" style="64" bestFit="1" customWidth="1"/>
    <col min="12077" max="12077" width="9.5703125" style="64" customWidth="1"/>
    <col min="12078" max="12078" width="9" style="64" customWidth="1"/>
    <col min="12079" max="12079" width="10.5703125" style="64" bestFit="1" customWidth="1"/>
    <col min="12080" max="12080" width="11.42578125" style="64" bestFit="1" customWidth="1"/>
    <col min="12081" max="12081" width="18" style="64" bestFit="1" customWidth="1"/>
    <col min="12082" max="12299" width="9.140625" style="64"/>
    <col min="12300" max="12300" width="41" style="64" customWidth="1"/>
    <col min="12301" max="12301" width="19.5703125" style="64" bestFit="1" customWidth="1"/>
    <col min="12302" max="12302" width="10.140625" style="64" customWidth="1"/>
    <col min="12303" max="12303" width="10.42578125" style="64" bestFit="1" customWidth="1"/>
    <col min="12304" max="12304" width="11.28515625" style="64" customWidth="1"/>
    <col min="12305" max="12305" width="9.42578125" style="64" customWidth="1"/>
    <col min="12306" max="12306" width="10.140625" style="64" bestFit="1" customWidth="1"/>
    <col min="12307" max="12308" width="9.140625" style="64"/>
    <col min="12309" max="12309" width="7.28515625" style="64" customWidth="1"/>
    <col min="12310" max="12315" width="7.42578125" style="64" customWidth="1"/>
    <col min="12316" max="12316" width="9.42578125" style="64" bestFit="1" customWidth="1"/>
    <col min="12317" max="12317" width="12" style="64" bestFit="1" customWidth="1"/>
    <col min="12318" max="12319" width="12" style="64" customWidth="1"/>
    <col min="12320" max="12320" width="13.140625" style="64" bestFit="1" customWidth="1"/>
    <col min="12321" max="12322" width="13.140625" style="64" customWidth="1"/>
    <col min="12323" max="12324" width="14.42578125" style="64" bestFit="1" customWidth="1"/>
    <col min="12325" max="12326" width="9.140625" style="64" customWidth="1"/>
    <col min="12327" max="12327" width="9.5703125" style="64" customWidth="1"/>
    <col min="12328" max="12329" width="9.5703125" style="64" bestFit="1" customWidth="1"/>
    <col min="12330" max="12331" width="10.140625" style="64" bestFit="1" customWidth="1"/>
    <col min="12332" max="12332" width="9.5703125" style="64" bestFit="1" customWidth="1"/>
    <col min="12333" max="12333" width="9.5703125" style="64" customWidth="1"/>
    <col min="12334" max="12334" width="9" style="64" customWidth="1"/>
    <col min="12335" max="12335" width="10.5703125" style="64" bestFit="1" customWidth="1"/>
    <col min="12336" max="12336" width="11.42578125" style="64" bestFit="1" customWidth="1"/>
    <col min="12337" max="12337" width="18" style="64" bestFit="1" customWidth="1"/>
    <col min="12338" max="12555" width="9.140625" style="64"/>
    <col min="12556" max="12556" width="41" style="64" customWidth="1"/>
    <col min="12557" max="12557" width="19.5703125" style="64" bestFit="1" customWidth="1"/>
    <col min="12558" max="12558" width="10.140625" style="64" customWidth="1"/>
    <col min="12559" max="12559" width="10.42578125" style="64" bestFit="1" customWidth="1"/>
    <col min="12560" max="12560" width="11.28515625" style="64" customWidth="1"/>
    <col min="12561" max="12561" width="9.42578125" style="64" customWidth="1"/>
    <col min="12562" max="12562" width="10.140625" style="64" bestFit="1" customWidth="1"/>
    <col min="12563" max="12564" width="9.140625" style="64"/>
    <col min="12565" max="12565" width="7.28515625" style="64" customWidth="1"/>
    <col min="12566" max="12571" width="7.42578125" style="64" customWidth="1"/>
    <col min="12572" max="12572" width="9.42578125" style="64" bestFit="1" customWidth="1"/>
    <col min="12573" max="12573" width="12" style="64" bestFit="1" customWidth="1"/>
    <col min="12574" max="12575" width="12" style="64" customWidth="1"/>
    <col min="12576" max="12576" width="13.140625" style="64" bestFit="1" customWidth="1"/>
    <col min="12577" max="12578" width="13.140625" style="64" customWidth="1"/>
    <col min="12579" max="12580" width="14.42578125" style="64" bestFit="1" customWidth="1"/>
    <col min="12581" max="12582" width="9.140625" style="64" customWidth="1"/>
    <col min="12583" max="12583" width="9.5703125" style="64" customWidth="1"/>
    <col min="12584" max="12585" width="9.5703125" style="64" bestFit="1" customWidth="1"/>
    <col min="12586" max="12587" width="10.140625" style="64" bestFit="1" customWidth="1"/>
    <col min="12588" max="12588" width="9.5703125" style="64" bestFit="1" customWidth="1"/>
    <col min="12589" max="12589" width="9.5703125" style="64" customWidth="1"/>
    <col min="12590" max="12590" width="9" style="64" customWidth="1"/>
    <col min="12591" max="12591" width="10.5703125" style="64" bestFit="1" customWidth="1"/>
    <col min="12592" max="12592" width="11.42578125" style="64" bestFit="1" customWidth="1"/>
    <col min="12593" max="12593" width="18" style="64" bestFit="1" customWidth="1"/>
    <col min="12594" max="12811" width="9.140625" style="64"/>
    <col min="12812" max="12812" width="41" style="64" customWidth="1"/>
    <col min="12813" max="12813" width="19.5703125" style="64" bestFit="1" customWidth="1"/>
    <col min="12814" max="12814" width="10.140625" style="64" customWidth="1"/>
    <col min="12815" max="12815" width="10.42578125" style="64" bestFit="1" customWidth="1"/>
    <col min="12816" max="12816" width="11.28515625" style="64" customWidth="1"/>
    <col min="12817" max="12817" width="9.42578125" style="64" customWidth="1"/>
    <col min="12818" max="12818" width="10.140625" style="64" bestFit="1" customWidth="1"/>
    <col min="12819" max="12820" width="9.140625" style="64"/>
    <col min="12821" max="12821" width="7.28515625" style="64" customWidth="1"/>
    <col min="12822" max="12827" width="7.42578125" style="64" customWidth="1"/>
    <col min="12828" max="12828" width="9.42578125" style="64" bestFit="1" customWidth="1"/>
    <col min="12829" max="12829" width="12" style="64" bestFit="1" customWidth="1"/>
    <col min="12830" max="12831" width="12" style="64" customWidth="1"/>
    <col min="12832" max="12832" width="13.140625" style="64" bestFit="1" customWidth="1"/>
    <col min="12833" max="12834" width="13.140625" style="64" customWidth="1"/>
    <col min="12835" max="12836" width="14.42578125" style="64" bestFit="1" customWidth="1"/>
    <col min="12837" max="12838" width="9.140625" style="64" customWidth="1"/>
    <col min="12839" max="12839" width="9.5703125" style="64" customWidth="1"/>
    <col min="12840" max="12841" width="9.5703125" style="64" bestFit="1" customWidth="1"/>
    <col min="12842" max="12843" width="10.140625" style="64" bestFit="1" customWidth="1"/>
    <col min="12844" max="12844" width="9.5703125" style="64" bestFit="1" customWidth="1"/>
    <col min="12845" max="12845" width="9.5703125" style="64" customWidth="1"/>
    <col min="12846" max="12846" width="9" style="64" customWidth="1"/>
    <col min="12847" max="12847" width="10.5703125" style="64" bestFit="1" customWidth="1"/>
    <col min="12848" max="12848" width="11.42578125" style="64" bestFit="1" customWidth="1"/>
    <col min="12849" max="12849" width="18" style="64" bestFit="1" customWidth="1"/>
    <col min="12850" max="13067" width="9.140625" style="64"/>
    <col min="13068" max="13068" width="41" style="64" customWidth="1"/>
    <col min="13069" max="13069" width="19.5703125" style="64" bestFit="1" customWidth="1"/>
    <col min="13070" max="13070" width="10.140625" style="64" customWidth="1"/>
    <col min="13071" max="13071" width="10.42578125" style="64" bestFit="1" customWidth="1"/>
    <col min="13072" max="13072" width="11.28515625" style="64" customWidth="1"/>
    <col min="13073" max="13073" width="9.42578125" style="64" customWidth="1"/>
    <col min="13074" max="13074" width="10.140625" style="64" bestFit="1" customWidth="1"/>
    <col min="13075" max="13076" width="9.140625" style="64"/>
    <col min="13077" max="13077" width="7.28515625" style="64" customWidth="1"/>
    <col min="13078" max="13083" width="7.42578125" style="64" customWidth="1"/>
    <col min="13084" max="13084" width="9.42578125" style="64" bestFit="1" customWidth="1"/>
    <col min="13085" max="13085" width="12" style="64" bestFit="1" customWidth="1"/>
    <col min="13086" max="13087" width="12" style="64" customWidth="1"/>
    <col min="13088" max="13088" width="13.140625" style="64" bestFit="1" customWidth="1"/>
    <col min="13089" max="13090" width="13.140625" style="64" customWidth="1"/>
    <col min="13091" max="13092" width="14.42578125" style="64" bestFit="1" customWidth="1"/>
    <col min="13093" max="13094" width="9.140625" style="64" customWidth="1"/>
    <col min="13095" max="13095" width="9.5703125" style="64" customWidth="1"/>
    <col min="13096" max="13097" width="9.5703125" style="64" bestFit="1" customWidth="1"/>
    <col min="13098" max="13099" width="10.140625" style="64" bestFit="1" customWidth="1"/>
    <col min="13100" max="13100" width="9.5703125" style="64" bestFit="1" customWidth="1"/>
    <col min="13101" max="13101" width="9.5703125" style="64" customWidth="1"/>
    <col min="13102" max="13102" width="9" style="64" customWidth="1"/>
    <col min="13103" max="13103" width="10.5703125" style="64" bestFit="1" customWidth="1"/>
    <col min="13104" max="13104" width="11.42578125" style="64" bestFit="1" customWidth="1"/>
    <col min="13105" max="13105" width="18" style="64" bestFit="1" customWidth="1"/>
    <col min="13106" max="13323" width="9.140625" style="64"/>
    <col min="13324" max="13324" width="41" style="64" customWidth="1"/>
    <col min="13325" max="13325" width="19.5703125" style="64" bestFit="1" customWidth="1"/>
    <col min="13326" max="13326" width="10.140625" style="64" customWidth="1"/>
    <col min="13327" max="13327" width="10.42578125" style="64" bestFit="1" customWidth="1"/>
    <col min="13328" max="13328" width="11.28515625" style="64" customWidth="1"/>
    <col min="13329" max="13329" width="9.42578125" style="64" customWidth="1"/>
    <col min="13330" max="13330" width="10.140625" style="64" bestFit="1" customWidth="1"/>
    <col min="13331" max="13332" width="9.140625" style="64"/>
    <col min="13333" max="13333" width="7.28515625" style="64" customWidth="1"/>
    <col min="13334" max="13339" width="7.42578125" style="64" customWidth="1"/>
    <col min="13340" max="13340" width="9.42578125" style="64" bestFit="1" customWidth="1"/>
    <col min="13341" max="13341" width="12" style="64" bestFit="1" customWidth="1"/>
    <col min="13342" max="13343" width="12" style="64" customWidth="1"/>
    <col min="13344" max="13344" width="13.140625" style="64" bestFit="1" customWidth="1"/>
    <col min="13345" max="13346" width="13.140625" style="64" customWidth="1"/>
    <col min="13347" max="13348" width="14.42578125" style="64" bestFit="1" customWidth="1"/>
    <col min="13349" max="13350" width="9.140625" style="64" customWidth="1"/>
    <col min="13351" max="13351" width="9.5703125" style="64" customWidth="1"/>
    <col min="13352" max="13353" width="9.5703125" style="64" bestFit="1" customWidth="1"/>
    <col min="13354" max="13355" width="10.140625" style="64" bestFit="1" customWidth="1"/>
    <col min="13356" max="13356" width="9.5703125" style="64" bestFit="1" customWidth="1"/>
    <col min="13357" max="13357" width="9.5703125" style="64" customWidth="1"/>
    <col min="13358" max="13358" width="9" style="64" customWidth="1"/>
    <col min="13359" max="13359" width="10.5703125" style="64" bestFit="1" customWidth="1"/>
    <col min="13360" max="13360" width="11.42578125" style="64" bestFit="1" customWidth="1"/>
    <col min="13361" max="13361" width="18" style="64" bestFit="1" customWidth="1"/>
    <col min="13362" max="13579" width="9.140625" style="64"/>
    <col min="13580" max="13580" width="41" style="64" customWidth="1"/>
    <col min="13581" max="13581" width="19.5703125" style="64" bestFit="1" customWidth="1"/>
    <col min="13582" max="13582" width="10.140625" style="64" customWidth="1"/>
    <col min="13583" max="13583" width="10.42578125" style="64" bestFit="1" customWidth="1"/>
    <col min="13584" max="13584" width="11.28515625" style="64" customWidth="1"/>
    <col min="13585" max="13585" width="9.42578125" style="64" customWidth="1"/>
    <col min="13586" max="13586" width="10.140625" style="64" bestFit="1" customWidth="1"/>
    <col min="13587" max="13588" width="9.140625" style="64"/>
    <col min="13589" max="13589" width="7.28515625" style="64" customWidth="1"/>
    <col min="13590" max="13595" width="7.42578125" style="64" customWidth="1"/>
    <col min="13596" max="13596" width="9.42578125" style="64" bestFit="1" customWidth="1"/>
    <col min="13597" max="13597" width="12" style="64" bestFit="1" customWidth="1"/>
    <col min="13598" max="13599" width="12" style="64" customWidth="1"/>
    <col min="13600" max="13600" width="13.140625" style="64" bestFit="1" customWidth="1"/>
    <col min="13601" max="13602" width="13.140625" style="64" customWidth="1"/>
    <col min="13603" max="13604" width="14.42578125" style="64" bestFit="1" customWidth="1"/>
    <col min="13605" max="13606" width="9.140625" style="64" customWidth="1"/>
    <col min="13607" max="13607" width="9.5703125" style="64" customWidth="1"/>
    <col min="13608" max="13609" width="9.5703125" style="64" bestFit="1" customWidth="1"/>
    <col min="13610" max="13611" width="10.140625" style="64" bestFit="1" customWidth="1"/>
    <col min="13612" max="13612" width="9.5703125" style="64" bestFit="1" customWidth="1"/>
    <col min="13613" max="13613" width="9.5703125" style="64" customWidth="1"/>
    <col min="13614" max="13614" width="9" style="64" customWidth="1"/>
    <col min="13615" max="13615" width="10.5703125" style="64" bestFit="1" customWidth="1"/>
    <col min="13616" max="13616" width="11.42578125" style="64" bestFit="1" customWidth="1"/>
    <col min="13617" max="13617" width="18" style="64" bestFit="1" customWidth="1"/>
    <col min="13618" max="13835" width="9.140625" style="64"/>
    <col min="13836" max="13836" width="41" style="64" customWidth="1"/>
    <col min="13837" max="13837" width="19.5703125" style="64" bestFit="1" customWidth="1"/>
    <col min="13838" max="13838" width="10.140625" style="64" customWidth="1"/>
    <col min="13839" max="13839" width="10.42578125" style="64" bestFit="1" customWidth="1"/>
    <col min="13840" max="13840" width="11.28515625" style="64" customWidth="1"/>
    <col min="13841" max="13841" width="9.42578125" style="64" customWidth="1"/>
    <col min="13842" max="13842" width="10.140625" style="64" bestFit="1" customWidth="1"/>
    <col min="13843" max="13844" width="9.140625" style="64"/>
    <col min="13845" max="13845" width="7.28515625" style="64" customWidth="1"/>
    <col min="13846" max="13851" width="7.42578125" style="64" customWidth="1"/>
    <col min="13852" max="13852" width="9.42578125" style="64" bestFit="1" customWidth="1"/>
    <col min="13853" max="13853" width="12" style="64" bestFit="1" customWidth="1"/>
    <col min="13854" max="13855" width="12" style="64" customWidth="1"/>
    <col min="13856" max="13856" width="13.140625" style="64" bestFit="1" customWidth="1"/>
    <col min="13857" max="13858" width="13.140625" style="64" customWidth="1"/>
    <col min="13859" max="13860" width="14.42578125" style="64" bestFit="1" customWidth="1"/>
    <col min="13861" max="13862" width="9.140625" style="64" customWidth="1"/>
    <col min="13863" max="13863" width="9.5703125" style="64" customWidth="1"/>
    <col min="13864" max="13865" width="9.5703125" style="64" bestFit="1" customWidth="1"/>
    <col min="13866" max="13867" width="10.140625" style="64" bestFit="1" customWidth="1"/>
    <col min="13868" max="13868" width="9.5703125" style="64" bestFit="1" customWidth="1"/>
    <col min="13869" max="13869" width="9.5703125" style="64" customWidth="1"/>
    <col min="13870" max="13870" width="9" style="64" customWidth="1"/>
    <col min="13871" max="13871" width="10.5703125" style="64" bestFit="1" customWidth="1"/>
    <col min="13872" max="13872" width="11.42578125" style="64" bestFit="1" customWidth="1"/>
    <col min="13873" max="13873" width="18" style="64" bestFit="1" customWidth="1"/>
    <col min="13874" max="14091" width="9.140625" style="64"/>
    <col min="14092" max="14092" width="41" style="64" customWidth="1"/>
    <col min="14093" max="14093" width="19.5703125" style="64" bestFit="1" customWidth="1"/>
    <col min="14094" max="14094" width="10.140625" style="64" customWidth="1"/>
    <col min="14095" max="14095" width="10.42578125" style="64" bestFit="1" customWidth="1"/>
    <col min="14096" max="14096" width="11.28515625" style="64" customWidth="1"/>
    <col min="14097" max="14097" width="9.42578125" style="64" customWidth="1"/>
    <col min="14098" max="14098" width="10.140625" style="64" bestFit="1" customWidth="1"/>
    <col min="14099" max="14100" width="9.140625" style="64"/>
    <col min="14101" max="14101" width="7.28515625" style="64" customWidth="1"/>
    <col min="14102" max="14107" width="7.42578125" style="64" customWidth="1"/>
    <col min="14108" max="14108" width="9.42578125" style="64" bestFit="1" customWidth="1"/>
    <col min="14109" max="14109" width="12" style="64" bestFit="1" customWidth="1"/>
    <col min="14110" max="14111" width="12" style="64" customWidth="1"/>
    <col min="14112" max="14112" width="13.140625" style="64" bestFit="1" customWidth="1"/>
    <col min="14113" max="14114" width="13.140625" style="64" customWidth="1"/>
    <col min="14115" max="14116" width="14.42578125" style="64" bestFit="1" customWidth="1"/>
    <col min="14117" max="14118" width="9.140625" style="64" customWidth="1"/>
    <col min="14119" max="14119" width="9.5703125" style="64" customWidth="1"/>
    <col min="14120" max="14121" width="9.5703125" style="64" bestFit="1" customWidth="1"/>
    <col min="14122" max="14123" width="10.140625" style="64" bestFit="1" customWidth="1"/>
    <col min="14124" max="14124" width="9.5703125" style="64" bestFit="1" customWidth="1"/>
    <col min="14125" max="14125" width="9.5703125" style="64" customWidth="1"/>
    <col min="14126" max="14126" width="9" style="64" customWidth="1"/>
    <col min="14127" max="14127" width="10.5703125" style="64" bestFit="1" customWidth="1"/>
    <col min="14128" max="14128" width="11.42578125" style="64" bestFit="1" customWidth="1"/>
    <col min="14129" max="14129" width="18" style="64" bestFit="1" customWidth="1"/>
    <col min="14130" max="14347" width="9.140625" style="64"/>
    <col min="14348" max="14348" width="41" style="64" customWidth="1"/>
    <col min="14349" max="14349" width="19.5703125" style="64" bestFit="1" customWidth="1"/>
    <col min="14350" max="14350" width="10.140625" style="64" customWidth="1"/>
    <col min="14351" max="14351" width="10.42578125" style="64" bestFit="1" customWidth="1"/>
    <col min="14352" max="14352" width="11.28515625" style="64" customWidth="1"/>
    <col min="14353" max="14353" width="9.42578125" style="64" customWidth="1"/>
    <col min="14354" max="14354" width="10.140625" style="64" bestFit="1" customWidth="1"/>
    <col min="14355" max="14356" width="9.140625" style="64"/>
    <col min="14357" max="14357" width="7.28515625" style="64" customWidth="1"/>
    <col min="14358" max="14363" width="7.42578125" style="64" customWidth="1"/>
    <col min="14364" max="14364" width="9.42578125" style="64" bestFit="1" customWidth="1"/>
    <col min="14365" max="14365" width="12" style="64" bestFit="1" customWidth="1"/>
    <col min="14366" max="14367" width="12" style="64" customWidth="1"/>
    <col min="14368" max="14368" width="13.140625" style="64" bestFit="1" customWidth="1"/>
    <col min="14369" max="14370" width="13.140625" style="64" customWidth="1"/>
    <col min="14371" max="14372" width="14.42578125" style="64" bestFit="1" customWidth="1"/>
    <col min="14373" max="14374" width="9.140625" style="64" customWidth="1"/>
    <col min="14375" max="14375" width="9.5703125" style="64" customWidth="1"/>
    <col min="14376" max="14377" width="9.5703125" style="64" bestFit="1" customWidth="1"/>
    <col min="14378" max="14379" width="10.140625" style="64" bestFit="1" customWidth="1"/>
    <col min="14380" max="14380" width="9.5703125" style="64" bestFit="1" customWidth="1"/>
    <col min="14381" max="14381" width="9.5703125" style="64" customWidth="1"/>
    <col min="14382" max="14382" width="9" style="64" customWidth="1"/>
    <col min="14383" max="14383" width="10.5703125" style="64" bestFit="1" customWidth="1"/>
    <col min="14384" max="14384" width="11.42578125" style="64" bestFit="1" customWidth="1"/>
    <col min="14385" max="14385" width="18" style="64" bestFit="1" customWidth="1"/>
    <col min="14386" max="14603" width="9.140625" style="64"/>
    <col min="14604" max="14604" width="41" style="64" customWidth="1"/>
    <col min="14605" max="14605" width="19.5703125" style="64" bestFit="1" customWidth="1"/>
    <col min="14606" max="14606" width="10.140625" style="64" customWidth="1"/>
    <col min="14607" max="14607" width="10.42578125" style="64" bestFit="1" customWidth="1"/>
    <col min="14608" max="14608" width="11.28515625" style="64" customWidth="1"/>
    <col min="14609" max="14609" width="9.42578125" style="64" customWidth="1"/>
    <col min="14610" max="14610" width="10.140625" style="64" bestFit="1" customWidth="1"/>
    <col min="14611" max="14612" width="9.140625" style="64"/>
    <col min="14613" max="14613" width="7.28515625" style="64" customWidth="1"/>
    <col min="14614" max="14619" width="7.42578125" style="64" customWidth="1"/>
    <col min="14620" max="14620" width="9.42578125" style="64" bestFit="1" customWidth="1"/>
    <col min="14621" max="14621" width="12" style="64" bestFit="1" customWidth="1"/>
    <col min="14622" max="14623" width="12" style="64" customWidth="1"/>
    <col min="14624" max="14624" width="13.140625" style="64" bestFit="1" customWidth="1"/>
    <col min="14625" max="14626" width="13.140625" style="64" customWidth="1"/>
    <col min="14627" max="14628" width="14.42578125" style="64" bestFit="1" customWidth="1"/>
    <col min="14629" max="14630" width="9.140625" style="64" customWidth="1"/>
    <col min="14631" max="14631" width="9.5703125" style="64" customWidth="1"/>
    <col min="14632" max="14633" width="9.5703125" style="64" bestFit="1" customWidth="1"/>
    <col min="14634" max="14635" width="10.140625" style="64" bestFit="1" customWidth="1"/>
    <col min="14636" max="14636" width="9.5703125" style="64" bestFit="1" customWidth="1"/>
    <col min="14637" max="14637" width="9.5703125" style="64" customWidth="1"/>
    <col min="14638" max="14638" width="9" style="64" customWidth="1"/>
    <col min="14639" max="14639" width="10.5703125" style="64" bestFit="1" customWidth="1"/>
    <col min="14640" max="14640" width="11.42578125" style="64" bestFit="1" customWidth="1"/>
    <col min="14641" max="14641" width="18" style="64" bestFit="1" customWidth="1"/>
    <col min="14642" max="14859" width="9.140625" style="64"/>
    <col min="14860" max="14860" width="41" style="64" customWidth="1"/>
    <col min="14861" max="14861" width="19.5703125" style="64" bestFit="1" customWidth="1"/>
    <col min="14862" max="14862" width="10.140625" style="64" customWidth="1"/>
    <col min="14863" max="14863" width="10.42578125" style="64" bestFit="1" customWidth="1"/>
    <col min="14864" max="14864" width="11.28515625" style="64" customWidth="1"/>
    <col min="14865" max="14865" width="9.42578125" style="64" customWidth="1"/>
    <col min="14866" max="14866" width="10.140625" style="64" bestFit="1" customWidth="1"/>
    <col min="14867" max="14868" width="9.140625" style="64"/>
    <col min="14869" max="14869" width="7.28515625" style="64" customWidth="1"/>
    <col min="14870" max="14875" width="7.42578125" style="64" customWidth="1"/>
    <col min="14876" max="14876" width="9.42578125" style="64" bestFit="1" customWidth="1"/>
    <col min="14877" max="14877" width="12" style="64" bestFit="1" customWidth="1"/>
    <col min="14878" max="14879" width="12" style="64" customWidth="1"/>
    <col min="14880" max="14880" width="13.140625" style="64" bestFit="1" customWidth="1"/>
    <col min="14881" max="14882" width="13.140625" style="64" customWidth="1"/>
    <col min="14883" max="14884" width="14.42578125" style="64" bestFit="1" customWidth="1"/>
    <col min="14885" max="14886" width="9.140625" style="64" customWidth="1"/>
    <col min="14887" max="14887" width="9.5703125" style="64" customWidth="1"/>
    <col min="14888" max="14889" width="9.5703125" style="64" bestFit="1" customWidth="1"/>
    <col min="14890" max="14891" width="10.140625" style="64" bestFit="1" customWidth="1"/>
    <col min="14892" max="14892" width="9.5703125" style="64" bestFit="1" customWidth="1"/>
    <col min="14893" max="14893" width="9.5703125" style="64" customWidth="1"/>
    <col min="14894" max="14894" width="9" style="64" customWidth="1"/>
    <col min="14895" max="14895" width="10.5703125" style="64" bestFit="1" customWidth="1"/>
    <col min="14896" max="14896" width="11.42578125" style="64" bestFit="1" customWidth="1"/>
    <col min="14897" max="14897" width="18" style="64" bestFit="1" customWidth="1"/>
    <col min="14898" max="15115" width="9.140625" style="64"/>
    <col min="15116" max="15116" width="41" style="64" customWidth="1"/>
    <col min="15117" max="15117" width="19.5703125" style="64" bestFit="1" customWidth="1"/>
    <col min="15118" max="15118" width="10.140625" style="64" customWidth="1"/>
    <col min="15119" max="15119" width="10.42578125" style="64" bestFit="1" customWidth="1"/>
    <col min="15120" max="15120" width="11.28515625" style="64" customWidth="1"/>
    <col min="15121" max="15121" width="9.42578125" style="64" customWidth="1"/>
    <col min="15122" max="15122" width="10.140625" style="64" bestFit="1" customWidth="1"/>
    <col min="15123" max="15124" width="9.140625" style="64"/>
    <col min="15125" max="15125" width="7.28515625" style="64" customWidth="1"/>
    <col min="15126" max="15131" width="7.42578125" style="64" customWidth="1"/>
    <col min="15132" max="15132" width="9.42578125" style="64" bestFit="1" customWidth="1"/>
    <col min="15133" max="15133" width="12" style="64" bestFit="1" customWidth="1"/>
    <col min="15134" max="15135" width="12" style="64" customWidth="1"/>
    <col min="15136" max="15136" width="13.140625" style="64" bestFit="1" customWidth="1"/>
    <col min="15137" max="15138" width="13.140625" style="64" customWidth="1"/>
    <col min="15139" max="15140" width="14.42578125" style="64" bestFit="1" customWidth="1"/>
    <col min="15141" max="15142" width="9.140625" style="64" customWidth="1"/>
    <col min="15143" max="15143" width="9.5703125" style="64" customWidth="1"/>
    <col min="15144" max="15145" width="9.5703125" style="64" bestFit="1" customWidth="1"/>
    <col min="15146" max="15147" width="10.140625" style="64" bestFit="1" customWidth="1"/>
    <col min="15148" max="15148" width="9.5703125" style="64" bestFit="1" customWidth="1"/>
    <col min="15149" max="15149" width="9.5703125" style="64" customWidth="1"/>
    <col min="15150" max="15150" width="9" style="64" customWidth="1"/>
    <col min="15151" max="15151" width="10.5703125" style="64" bestFit="1" customWidth="1"/>
    <col min="15152" max="15152" width="11.42578125" style="64" bestFit="1" customWidth="1"/>
    <col min="15153" max="15153" width="18" style="64" bestFit="1" customWidth="1"/>
    <col min="15154" max="15371" width="9.140625" style="64"/>
    <col min="15372" max="15372" width="41" style="64" customWidth="1"/>
    <col min="15373" max="15373" width="19.5703125" style="64" bestFit="1" customWidth="1"/>
    <col min="15374" max="15374" width="10.140625" style="64" customWidth="1"/>
    <col min="15375" max="15375" width="10.42578125" style="64" bestFit="1" customWidth="1"/>
    <col min="15376" max="15376" width="11.28515625" style="64" customWidth="1"/>
    <col min="15377" max="15377" width="9.42578125" style="64" customWidth="1"/>
    <col min="15378" max="15378" width="10.140625" style="64" bestFit="1" customWidth="1"/>
    <col min="15379" max="15380" width="9.140625" style="64"/>
    <col min="15381" max="15381" width="7.28515625" style="64" customWidth="1"/>
    <col min="15382" max="15387" width="7.42578125" style="64" customWidth="1"/>
    <col min="15388" max="15388" width="9.42578125" style="64" bestFit="1" customWidth="1"/>
    <col min="15389" max="15389" width="12" style="64" bestFit="1" customWidth="1"/>
    <col min="15390" max="15391" width="12" style="64" customWidth="1"/>
    <col min="15392" max="15392" width="13.140625" style="64" bestFit="1" customWidth="1"/>
    <col min="15393" max="15394" width="13.140625" style="64" customWidth="1"/>
    <col min="15395" max="15396" width="14.42578125" style="64" bestFit="1" customWidth="1"/>
    <col min="15397" max="15398" width="9.140625" style="64" customWidth="1"/>
    <col min="15399" max="15399" width="9.5703125" style="64" customWidth="1"/>
    <col min="15400" max="15401" width="9.5703125" style="64" bestFit="1" customWidth="1"/>
    <col min="15402" max="15403" width="10.140625" style="64" bestFit="1" customWidth="1"/>
    <col min="15404" max="15404" width="9.5703125" style="64" bestFit="1" customWidth="1"/>
    <col min="15405" max="15405" width="9.5703125" style="64" customWidth="1"/>
    <col min="15406" max="15406" width="9" style="64" customWidth="1"/>
    <col min="15407" max="15407" width="10.5703125" style="64" bestFit="1" customWidth="1"/>
    <col min="15408" max="15408" width="11.42578125" style="64" bestFit="1" customWidth="1"/>
    <col min="15409" max="15409" width="18" style="64" bestFit="1" customWidth="1"/>
    <col min="15410" max="15627" width="9.140625" style="64"/>
    <col min="15628" max="15628" width="41" style="64" customWidth="1"/>
    <col min="15629" max="15629" width="19.5703125" style="64" bestFit="1" customWidth="1"/>
    <col min="15630" max="15630" width="10.140625" style="64" customWidth="1"/>
    <col min="15631" max="15631" width="10.42578125" style="64" bestFit="1" customWidth="1"/>
    <col min="15632" max="15632" width="11.28515625" style="64" customWidth="1"/>
    <col min="15633" max="15633" width="9.42578125" style="64" customWidth="1"/>
    <col min="15634" max="15634" width="10.140625" style="64" bestFit="1" customWidth="1"/>
    <col min="15635" max="15636" width="9.140625" style="64"/>
    <col min="15637" max="15637" width="7.28515625" style="64" customWidth="1"/>
    <col min="15638" max="15643" width="7.42578125" style="64" customWidth="1"/>
    <col min="15644" max="15644" width="9.42578125" style="64" bestFit="1" customWidth="1"/>
    <col min="15645" max="15645" width="12" style="64" bestFit="1" customWidth="1"/>
    <col min="15646" max="15647" width="12" style="64" customWidth="1"/>
    <col min="15648" max="15648" width="13.140625" style="64" bestFit="1" customWidth="1"/>
    <col min="15649" max="15650" width="13.140625" style="64" customWidth="1"/>
    <col min="15651" max="15652" width="14.42578125" style="64" bestFit="1" customWidth="1"/>
    <col min="15653" max="15654" width="9.140625" style="64" customWidth="1"/>
    <col min="15655" max="15655" width="9.5703125" style="64" customWidth="1"/>
    <col min="15656" max="15657" width="9.5703125" style="64" bestFit="1" customWidth="1"/>
    <col min="15658" max="15659" width="10.140625" style="64" bestFit="1" customWidth="1"/>
    <col min="15660" max="15660" width="9.5703125" style="64" bestFit="1" customWidth="1"/>
    <col min="15661" max="15661" width="9.5703125" style="64" customWidth="1"/>
    <col min="15662" max="15662" width="9" style="64" customWidth="1"/>
    <col min="15663" max="15663" width="10.5703125" style="64" bestFit="1" customWidth="1"/>
    <col min="15664" max="15664" width="11.42578125" style="64" bestFit="1" customWidth="1"/>
    <col min="15665" max="15665" width="18" style="64" bestFit="1" customWidth="1"/>
    <col min="15666" max="15883" width="9.140625" style="64"/>
    <col min="15884" max="15884" width="41" style="64" customWidth="1"/>
    <col min="15885" max="15885" width="19.5703125" style="64" bestFit="1" customWidth="1"/>
    <col min="15886" max="15886" width="10.140625" style="64" customWidth="1"/>
    <col min="15887" max="15887" width="10.42578125" style="64" bestFit="1" customWidth="1"/>
    <col min="15888" max="15888" width="11.28515625" style="64" customWidth="1"/>
    <col min="15889" max="15889" width="9.42578125" style="64" customWidth="1"/>
    <col min="15890" max="15890" width="10.140625" style="64" bestFit="1" customWidth="1"/>
    <col min="15891" max="15892" width="9.140625" style="64"/>
    <col min="15893" max="15893" width="7.28515625" style="64" customWidth="1"/>
    <col min="15894" max="15899" width="7.42578125" style="64" customWidth="1"/>
    <col min="15900" max="15900" width="9.42578125" style="64" bestFit="1" customWidth="1"/>
    <col min="15901" max="15901" width="12" style="64" bestFit="1" customWidth="1"/>
    <col min="15902" max="15903" width="12" style="64" customWidth="1"/>
    <col min="15904" max="15904" width="13.140625" style="64" bestFit="1" customWidth="1"/>
    <col min="15905" max="15906" width="13.140625" style="64" customWidth="1"/>
    <col min="15907" max="15908" width="14.42578125" style="64" bestFit="1" customWidth="1"/>
    <col min="15909" max="15910" width="9.140625" style="64" customWidth="1"/>
    <col min="15911" max="15911" width="9.5703125" style="64" customWidth="1"/>
    <col min="15912" max="15913" width="9.5703125" style="64" bestFit="1" customWidth="1"/>
    <col min="15914" max="15915" width="10.140625" style="64" bestFit="1" customWidth="1"/>
    <col min="15916" max="15916" width="9.5703125" style="64" bestFit="1" customWidth="1"/>
    <col min="15917" max="15917" width="9.5703125" style="64" customWidth="1"/>
    <col min="15918" max="15918" width="9" style="64" customWidth="1"/>
    <col min="15919" max="15919" width="10.5703125" style="64" bestFit="1" customWidth="1"/>
    <col min="15920" max="15920" width="11.42578125" style="64" bestFit="1" customWidth="1"/>
    <col min="15921" max="15921" width="18" style="64" bestFit="1" customWidth="1"/>
    <col min="15922" max="16139" width="9.140625" style="64"/>
    <col min="16140" max="16140" width="41" style="64" customWidth="1"/>
    <col min="16141" max="16141" width="19.5703125" style="64" bestFit="1" customWidth="1"/>
    <col min="16142" max="16142" width="10.140625" style="64" customWidth="1"/>
    <col min="16143" max="16143" width="10.42578125" style="64" bestFit="1" customWidth="1"/>
    <col min="16144" max="16144" width="11.28515625" style="64" customWidth="1"/>
    <col min="16145" max="16145" width="9.42578125" style="64" customWidth="1"/>
    <col min="16146" max="16146" width="10.140625" style="64" bestFit="1" customWidth="1"/>
    <col min="16147" max="16148" width="9.140625" style="64"/>
    <col min="16149" max="16149" width="7.28515625" style="64" customWidth="1"/>
    <col min="16150" max="16155" width="7.42578125" style="64" customWidth="1"/>
    <col min="16156" max="16156" width="9.42578125" style="64" bestFit="1" customWidth="1"/>
    <col min="16157" max="16157" width="12" style="64" bestFit="1" customWidth="1"/>
    <col min="16158" max="16159" width="12" style="64" customWidth="1"/>
    <col min="16160" max="16160" width="13.140625" style="64" bestFit="1" customWidth="1"/>
    <col min="16161" max="16162" width="13.140625" style="64" customWidth="1"/>
    <col min="16163" max="16164" width="14.42578125" style="64" bestFit="1" customWidth="1"/>
    <col min="16165" max="16166" width="9.140625" style="64" customWidth="1"/>
    <col min="16167" max="16167" width="9.5703125" style="64" customWidth="1"/>
    <col min="16168" max="16169" width="9.5703125" style="64" bestFit="1" customWidth="1"/>
    <col min="16170" max="16171" width="10.140625" style="64" bestFit="1" customWidth="1"/>
    <col min="16172" max="16172" width="9.5703125" style="64" bestFit="1" customWidth="1"/>
    <col min="16173" max="16173" width="9.5703125" style="64" customWidth="1"/>
    <col min="16174" max="16174" width="9" style="64" customWidth="1"/>
    <col min="16175" max="16175" width="10.5703125" style="64" bestFit="1" customWidth="1"/>
    <col min="16176" max="16176" width="11.42578125" style="64" bestFit="1" customWidth="1"/>
    <col min="16177" max="16177" width="18" style="64" bestFit="1" customWidth="1"/>
    <col min="16178" max="16384" width="9.140625" style="64"/>
  </cols>
  <sheetData>
    <row r="1" spans="1:53" ht="24" customHeight="1" x14ac:dyDescent="0.2">
      <c r="A1" s="236"/>
      <c r="B1" s="237"/>
      <c r="C1" s="237"/>
      <c r="D1" s="237"/>
      <c r="E1" s="237"/>
      <c r="F1" s="237"/>
      <c r="G1" s="237"/>
      <c r="H1" s="237"/>
      <c r="I1" s="237"/>
      <c r="J1" s="238"/>
      <c r="K1" s="61"/>
      <c r="L1" s="62"/>
      <c r="M1" s="62"/>
      <c r="N1" s="62"/>
      <c r="O1" s="62"/>
      <c r="P1" s="62"/>
      <c r="Q1" s="62"/>
      <c r="R1" s="62"/>
      <c r="S1" s="62"/>
      <c r="T1" s="62"/>
      <c r="U1" s="62"/>
      <c r="V1" s="62"/>
      <c r="W1" s="62"/>
      <c r="X1" s="62"/>
      <c r="Y1" s="62"/>
      <c r="Z1" s="63"/>
      <c r="AA1" s="63"/>
      <c r="AB1" s="63"/>
      <c r="AC1" s="63"/>
      <c r="AD1" s="63"/>
    </row>
    <row r="2" spans="1:53" ht="24.75" customHeight="1" x14ac:dyDescent="0.2">
      <c r="A2" s="65" t="s">
        <v>99</v>
      </c>
      <c r="B2" s="239">
        <v>45658</v>
      </c>
      <c r="C2" s="240"/>
      <c r="D2" s="240"/>
      <c r="E2" s="240"/>
      <c r="F2" s="240"/>
      <c r="G2" s="240"/>
      <c r="H2" s="240"/>
      <c r="I2" s="240"/>
      <c r="J2" s="240"/>
      <c r="K2" s="66"/>
      <c r="L2" s="67"/>
      <c r="M2" s="67"/>
      <c r="N2" s="67"/>
      <c r="O2" s="67"/>
      <c r="P2" s="67"/>
      <c r="Q2" s="67"/>
      <c r="R2" s="67"/>
      <c r="S2" s="67"/>
      <c r="T2" s="67"/>
      <c r="U2" s="67"/>
      <c r="V2" s="67"/>
      <c r="W2" s="67"/>
      <c r="X2" s="67"/>
      <c r="Y2" s="67"/>
      <c r="Z2" s="63"/>
      <c r="AA2" s="63"/>
      <c r="AB2" s="63"/>
      <c r="AC2" s="63"/>
      <c r="AD2" s="63"/>
    </row>
    <row r="3" spans="1:53" ht="99" customHeight="1" x14ac:dyDescent="0.2">
      <c r="A3" s="68" t="s">
        <v>211</v>
      </c>
      <c r="B3" s="241"/>
      <c r="C3" s="242"/>
      <c r="D3" s="242"/>
      <c r="E3" s="242"/>
      <c r="F3" s="242"/>
      <c r="G3" s="242"/>
      <c r="H3" s="242"/>
      <c r="I3" s="242"/>
      <c r="J3" s="242"/>
      <c r="K3" s="243"/>
      <c r="L3" s="243"/>
      <c r="M3" s="243"/>
      <c r="N3" s="243"/>
      <c r="O3" s="243"/>
      <c r="P3" s="243"/>
      <c r="Q3" s="243"/>
      <c r="R3" s="243"/>
      <c r="S3" s="243"/>
      <c r="T3" s="243"/>
      <c r="U3" s="243"/>
      <c r="V3" s="243"/>
      <c r="W3" s="243"/>
      <c r="X3" s="62"/>
      <c r="Y3" s="62"/>
      <c r="Z3" s="63"/>
      <c r="AA3" s="63"/>
      <c r="AB3" s="63"/>
      <c r="AC3" s="63"/>
      <c r="AD3" s="63"/>
    </row>
    <row r="4" spans="1:53" ht="12.75" customHeight="1" x14ac:dyDescent="0.2">
      <c r="A4" s="244" t="s">
        <v>212</v>
      </c>
      <c r="B4" s="244"/>
      <c r="C4" s="244"/>
      <c r="D4" s="244"/>
      <c r="E4" s="244"/>
      <c r="F4" s="244"/>
      <c r="G4" s="244"/>
      <c r="H4" s="244"/>
      <c r="I4" s="244"/>
      <c r="J4" s="244"/>
      <c r="K4" s="243"/>
      <c r="L4" s="243"/>
      <c r="M4" s="243"/>
      <c r="N4" s="243"/>
      <c r="O4" s="243"/>
      <c r="P4" s="243"/>
      <c r="Q4" s="243"/>
      <c r="R4" s="243"/>
      <c r="S4" s="243"/>
      <c r="T4" s="243"/>
      <c r="U4" s="243"/>
      <c r="V4" s="243"/>
      <c r="W4" s="243"/>
    </row>
    <row r="5" spans="1:53" s="71" customFormat="1" ht="12.75" customHeight="1" x14ac:dyDescent="0.2">
      <c r="A5" s="245"/>
      <c r="B5" s="244"/>
      <c r="C5" s="244"/>
      <c r="D5" s="244"/>
      <c r="E5" s="244"/>
      <c r="F5" s="244"/>
      <c r="G5" s="244"/>
      <c r="H5" s="244"/>
      <c r="I5" s="244"/>
      <c r="J5" s="244"/>
      <c r="K5" s="243"/>
      <c r="L5" s="243"/>
      <c r="M5" s="243"/>
      <c r="N5" s="243"/>
      <c r="O5" s="243"/>
      <c r="P5" s="243"/>
      <c r="Q5" s="243"/>
      <c r="R5" s="243"/>
      <c r="S5" s="243"/>
      <c r="T5" s="243"/>
      <c r="U5" s="243"/>
      <c r="V5" s="243"/>
      <c r="W5" s="243"/>
      <c r="X5" s="69"/>
      <c r="Y5" s="69"/>
      <c r="Z5" s="70"/>
      <c r="AA5" s="70"/>
      <c r="AB5" s="70"/>
      <c r="AC5" s="70"/>
      <c r="AD5" s="70"/>
    </row>
    <row r="6" spans="1:53" s="71" customFormat="1" ht="25.5" customHeight="1" x14ac:dyDescent="0.2">
      <c r="A6" s="244"/>
      <c r="B6" s="244"/>
      <c r="C6" s="244"/>
      <c r="D6" s="244"/>
      <c r="E6" s="244"/>
      <c r="F6" s="244"/>
      <c r="G6" s="244"/>
      <c r="H6" s="244"/>
      <c r="I6" s="244"/>
      <c r="J6" s="244"/>
      <c r="K6" s="69"/>
      <c r="L6" s="69"/>
      <c r="M6" s="69"/>
      <c r="N6" s="69"/>
      <c r="O6" s="69"/>
      <c r="P6" s="69"/>
      <c r="Q6" s="69"/>
      <c r="R6" s="69"/>
      <c r="S6" s="69"/>
      <c r="T6" s="69"/>
      <c r="U6" s="69"/>
      <c r="V6" s="69"/>
      <c r="W6" s="69"/>
      <c r="X6" s="69"/>
      <c r="Y6" s="69"/>
      <c r="Z6" s="246"/>
      <c r="AA6" s="246"/>
      <c r="AB6" s="246"/>
      <c r="AC6" s="246"/>
      <c r="AD6" s="246"/>
    </row>
    <row r="7" spans="1:53" x14ac:dyDescent="0.2">
      <c r="A7" s="72"/>
      <c r="B7" s="72"/>
      <c r="C7" s="72"/>
      <c r="D7" s="72"/>
      <c r="E7" s="72"/>
      <c r="F7" s="72"/>
      <c r="G7" s="72"/>
      <c r="H7" s="72"/>
      <c r="I7" s="72"/>
      <c r="J7" s="72"/>
      <c r="K7" s="72"/>
      <c r="L7" s="73"/>
      <c r="M7" s="73"/>
      <c r="N7" s="73"/>
      <c r="O7" s="73"/>
      <c r="P7" s="73"/>
      <c r="Q7" s="73"/>
      <c r="R7" s="73"/>
      <c r="S7" s="73"/>
      <c r="T7" s="73"/>
      <c r="U7" s="73"/>
      <c r="V7" s="73"/>
      <c r="W7" s="73"/>
      <c r="X7" s="73"/>
      <c r="Y7" s="73"/>
      <c r="Z7" s="71"/>
      <c r="AA7" s="71"/>
      <c r="AB7" s="71"/>
      <c r="AC7" s="71"/>
      <c r="AD7" s="71"/>
    </row>
    <row r="8" spans="1:53" ht="13.5" thickBot="1" x14ac:dyDescent="0.25"/>
    <row r="9" spans="1:53" s="124" customFormat="1" ht="38.25" customHeight="1" thickBot="1" x14ac:dyDescent="0.25">
      <c r="A9" s="129"/>
      <c r="B9" s="165"/>
      <c r="C9" s="166"/>
      <c r="D9" s="166"/>
      <c r="E9" s="166"/>
      <c r="F9" s="166"/>
      <c r="G9" s="166"/>
      <c r="H9" s="166"/>
      <c r="I9" s="166"/>
      <c r="J9" s="166"/>
      <c r="K9" s="166"/>
      <c r="L9" s="166"/>
      <c r="M9" s="166"/>
      <c r="N9" s="166"/>
      <c r="O9" s="166"/>
      <c r="P9" s="165"/>
      <c r="Q9" s="165"/>
      <c r="R9" s="165"/>
      <c r="S9" s="165"/>
      <c r="T9" s="165"/>
      <c r="U9" s="165"/>
      <c r="V9" s="165"/>
      <c r="W9" s="165"/>
      <c r="X9" s="165"/>
      <c r="Y9" s="270" t="s">
        <v>224</v>
      </c>
      <c r="Z9" s="166"/>
      <c r="AA9" s="166"/>
      <c r="AB9" s="166"/>
      <c r="AC9" s="166"/>
      <c r="AD9" s="166"/>
      <c r="AE9" s="166"/>
      <c r="AF9" s="166"/>
      <c r="AG9" s="166"/>
      <c r="AH9" s="166"/>
      <c r="AI9" s="166"/>
      <c r="AJ9" s="178" t="str">
        <f>'AUTO CALCULATION SHEET (2)'!O17</f>
        <v>Alumimium</v>
      </c>
      <c r="AK9" s="179" t="str">
        <f>'AUTO CALCULATION SHEET (2)'!Y17</f>
        <v>Copper Tape - 0.04 mm</v>
      </c>
      <c r="AL9" s="179" t="str">
        <f>'AUTO CALCULATION SHEET (2)'!AD17</f>
        <v>Extruded semiconductive</v>
      </c>
      <c r="AM9" s="179" t="str">
        <f>'AUTO CALCULATION SHEET (2)'!AF17</f>
        <v>HT-XLPE</v>
      </c>
      <c r="AN9" s="179" t="str">
        <f>'AUTO CALCULATION SHEET (2)'!AR17</f>
        <v>PVC Type ST-2</v>
      </c>
      <c r="AO9" s="179" t="str">
        <f>'AUTO CALCULATION SHEET (2)'!AY17</f>
        <v>Galvanised Steel Flat Strip</v>
      </c>
      <c r="AP9" s="179" t="str">
        <f>'AUTO CALCULATION SHEET (2)'!BK17</f>
        <v>PVC Type ST-2</v>
      </c>
      <c r="AQ9" s="181" t="str">
        <f>'AUTO CALCULATION SHEET (2)'!BN17</f>
        <v>FILLER</v>
      </c>
      <c r="AR9" s="189" t="s">
        <v>249</v>
      </c>
      <c r="AS9" s="186" t="s">
        <v>250</v>
      </c>
      <c r="AT9" s="182" t="s">
        <v>251</v>
      </c>
      <c r="AU9" s="180" t="s">
        <v>252</v>
      </c>
      <c r="AV9" s="179" t="s">
        <v>253</v>
      </c>
      <c r="AW9" s="180" t="s">
        <v>254</v>
      </c>
      <c r="AX9" s="180" t="s">
        <v>255</v>
      </c>
      <c r="AY9" s="180" t="s">
        <v>256</v>
      </c>
      <c r="AZ9" s="181" t="s">
        <v>257</v>
      </c>
      <c r="BA9" s="123"/>
    </row>
    <row r="10" spans="1:53" s="124" customFormat="1" ht="21" customHeight="1" thickBot="1" x14ac:dyDescent="0.25">
      <c r="A10" s="127"/>
      <c r="B10" s="128"/>
      <c r="C10" s="129"/>
      <c r="D10" s="75" t="s">
        <v>236</v>
      </c>
      <c r="E10" s="132" t="s">
        <v>237</v>
      </c>
      <c r="F10" s="130" t="s">
        <v>238</v>
      </c>
      <c r="G10" s="130" t="s">
        <v>239</v>
      </c>
      <c r="H10" s="130" t="s">
        <v>240</v>
      </c>
      <c r="I10" s="131" t="s">
        <v>259</v>
      </c>
      <c r="J10" s="197" t="s">
        <v>236</v>
      </c>
      <c r="K10" s="132" t="s">
        <v>241</v>
      </c>
      <c r="L10" s="130" t="s">
        <v>242</v>
      </c>
      <c r="M10" s="130" t="s">
        <v>243</v>
      </c>
      <c r="N10" s="130" t="s">
        <v>260</v>
      </c>
      <c r="O10" s="131" t="s">
        <v>261</v>
      </c>
      <c r="P10" s="201" t="s">
        <v>262</v>
      </c>
      <c r="Q10" s="133" t="s">
        <v>263</v>
      </c>
      <c r="R10" s="133" t="s">
        <v>264</v>
      </c>
      <c r="S10" s="133" t="s">
        <v>265</v>
      </c>
      <c r="T10" s="133" t="s">
        <v>266</v>
      </c>
      <c r="U10" s="133"/>
      <c r="V10" s="133"/>
      <c r="W10" s="133"/>
      <c r="X10" s="133"/>
      <c r="Y10" s="271"/>
      <c r="Z10" s="210" t="s">
        <v>225</v>
      </c>
      <c r="AA10" s="134" t="s">
        <v>267</v>
      </c>
      <c r="AB10" s="134" t="s">
        <v>268</v>
      </c>
      <c r="AC10" s="134" t="s">
        <v>269</v>
      </c>
      <c r="AD10" s="134" t="s">
        <v>270</v>
      </c>
      <c r="AE10" s="135"/>
      <c r="AF10" s="135"/>
      <c r="AG10" s="135"/>
      <c r="AH10" s="135"/>
      <c r="AI10" s="135"/>
      <c r="AJ10" s="96">
        <v>273</v>
      </c>
      <c r="AK10" s="97">
        <v>996</v>
      </c>
      <c r="AL10" s="97">
        <v>178</v>
      </c>
      <c r="AM10" s="97">
        <v>151</v>
      </c>
      <c r="AN10" s="97">
        <v>72</v>
      </c>
      <c r="AO10" s="97">
        <v>72</v>
      </c>
      <c r="AP10" s="97">
        <v>72</v>
      </c>
      <c r="AQ10" s="193">
        <v>28</v>
      </c>
      <c r="AR10" s="190"/>
      <c r="AS10" s="187"/>
      <c r="AT10" s="183"/>
      <c r="AU10" s="99"/>
      <c r="AV10" s="98"/>
      <c r="AW10" s="100"/>
      <c r="AX10" s="98"/>
      <c r="AY10" s="101"/>
      <c r="AZ10" s="102"/>
      <c r="BA10" s="123"/>
    </row>
    <row r="11" spans="1:53" s="124" customFormat="1" ht="28.5" customHeight="1" x14ac:dyDescent="0.2">
      <c r="A11" s="136" t="str">
        <f>'AUTO CALCULATION SHEET (2)'!D19</f>
        <v>3 CORE X 70 SQ. MM. AL/ARM - STRIP (XLPE) - 11 KV</v>
      </c>
      <c r="B11" s="137"/>
      <c r="C11" s="104" t="s">
        <v>258</v>
      </c>
      <c r="D11" s="138">
        <v>45719</v>
      </c>
      <c r="E11" s="207">
        <v>268999.31</v>
      </c>
      <c r="F11" s="209">
        <v>886720.47</v>
      </c>
      <c r="G11" s="196">
        <v>176136</v>
      </c>
      <c r="H11" s="196">
        <v>160825</v>
      </c>
      <c r="I11" s="203">
        <v>76250</v>
      </c>
      <c r="J11" s="198">
        <f t="shared" ref="J11:J14" si="0">$B$2</f>
        <v>45658</v>
      </c>
      <c r="K11" s="202">
        <v>264189</v>
      </c>
      <c r="L11" s="196">
        <v>837521</v>
      </c>
      <c r="M11" s="196">
        <v>176136</v>
      </c>
      <c r="N11" s="196">
        <v>160825</v>
      </c>
      <c r="O11" s="203">
        <v>76250</v>
      </c>
      <c r="P11" s="139">
        <v>0.59299999999999997</v>
      </c>
      <c r="Q11" s="140">
        <v>7.1199999999999999E-2</v>
      </c>
      <c r="R11" s="140">
        <v>0.67900000000000005</v>
      </c>
      <c r="S11" s="140">
        <v>1.3959999999999999</v>
      </c>
      <c r="T11" s="140">
        <v>0.84899999999999998</v>
      </c>
      <c r="U11" s="140"/>
      <c r="V11" s="140"/>
      <c r="W11" s="140"/>
      <c r="X11" s="140"/>
      <c r="Y11" s="141">
        <f>'AUTO CALCULATION SHEET (2)'!F19</f>
        <v>774262.84499999997</v>
      </c>
      <c r="Z11" s="142">
        <f>P11*(E11-K11)</f>
        <v>2852.5138299999985</v>
      </c>
      <c r="AA11" s="142">
        <f>Q11*(F11-L11)</f>
        <v>3503.0022639999979</v>
      </c>
      <c r="AB11" s="142">
        <f>R11*(G11-M11)</f>
        <v>0</v>
      </c>
      <c r="AC11" s="142">
        <f>S11*(H11-N11)</f>
        <v>0</v>
      </c>
      <c r="AD11" s="142">
        <f>T11*(I11-O11)</f>
        <v>0</v>
      </c>
      <c r="AE11" s="142"/>
      <c r="AF11" s="142"/>
      <c r="AG11" s="143"/>
      <c r="AH11" s="144">
        <f t="shared" ref="AH11:AH14" si="1">Z11+AA11+AB11+AC11+AD11+AE11+AF11+AG11</f>
        <v>6355.5160939999969</v>
      </c>
      <c r="AI11" s="145">
        <f t="shared" ref="AI11:AI14" si="2">Y11+AH11</f>
        <v>780618.36109399993</v>
      </c>
      <c r="AJ11" s="167">
        <f>'AUTO CALCULATION SHEET (2)'!O19</f>
        <v>567</v>
      </c>
      <c r="AK11" s="168">
        <f>'AUTO CALCULATION SHEET (2)'!Y19</f>
        <v>78</v>
      </c>
      <c r="AL11" s="168">
        <f>'AUTO CALCULATION SHEET (2)'!AD19</f>
        <v>190</v>
      </c>
      <c r="AM11" s="168">
        <f>'AUTO CALCULATION SHEET (2)'!AF19</f>
        <v>510</v>
      </c>
      <c r="AN11" s="168">
        <f>'AUTO CALCULATION SHEET (2)'!AR19</f>
        <v>155</v>
      </c>
      <c r="AO11" s="169">
        <f>'AUTO CALCULATION SHEET (2)'!AY19</f>
        <v>775</v>
      </c>
      <c r="AP11" s="169">
        <f>'AUTO CALCULATION SHEET (2)'!BK19</f>
        <v>490</v>
      </c>
      <c r="AQ11" s="194">
        <f>'AUTO CALCULATION SHEET (2)'!BN19</f>
        <v>560</v>
      </c>
      <c r="AR11" s="191">
        <f>SUMPRODUCT($AJ$10:$AQ$10,AJ11:AQ11)</f>
        <v>461229</v>
      </c>
      <c r="AS11" s="188">
        <f>'AUTO CALCULATION SHEET (2)'!CC19</f>
        <v>45000</v>
      </c>
      <c r="AT11" s="170">
        <f t="shared" ref="AT11:AT14" si="3">+AR11+AS11</f>
        <v>506229</v>
      </c>
      <c r="AU11" s="118">
        <f>+AI11-AT11</f>
        <v>274389.36109399993</v>
      </c>
      <c r="AV11" s="120">
        <f t="shared" ref="AV11:AV14" si="4">+AU11/AT11</f>
        <v>0.54202616028319184</v>
      </c>
      <c r="AW11" s="121"/>
      <c r="AX11" s="121">
        <v>0.02</v>
      </c>
      <c r="AY11" s="121">
        <v>0.01</v>
      </c>
      <c r="AZ11" s="122">
        <f t="shared" ref="AZ11:AZ14" si="5">+AV11-(AW11+AX11+AY11)</f>
        <v>0.51202616028319181</v>
      </c>
      <c r="BA11" s="123"/>
    </row>
    <row r="12" spans="1:53" s="124" customFormat="1" ht="28.5" customHeight="1" x14ac:dyDescent="0.2">
      <c r="A12" s="136" t="str">
        <f>'AUTO CALCULATION SHEET (2)'!D20</f>
        <v>3 CORE X 150 SQ. MM. AL/ARM - STRIP (XLPE) - 11 KV</v>
      </c>
      <c r="B12" s="137"/>
      <c r="C12" s="104" t="s">
        <v>258</v>
      </c>
      <c r="D12" s="138">
        <v>45719</v>
      </c>
      <c r="E12" s="207">
        <v>268999.31</v>
      </c>
      <c r="F12" s="209">
        <v>886720.47</v>
      </c>
      <c r="G12" s="106">
        <v>176136</v>
      </c>
      <c r="H12" s="106">
        <v>160825</v>
      </c>
      <c r="I12" s="205">
        <v>76250</v>
      </c>
      <c r="J12" s="199">
        <f t="shared" si="0"/>
        <v>45658</v>
      </c>
      <c r="K12" s="204">
        <v>264189</v>
      </c>
      <c r="L12" s="106">
        <v>837521</v>
      </c>
      <c r="M12" s="106">
        <v>176136</v>
      </c>
      <c r="N12" s="106">
        <v>160825</v>
      </c>
      <c r="O12" s="205">
        <v>76250</v>
      </c>
      <c r="P12" s="125">
        <v>1.2789999999999999</v>
      </c>
      <c r="Q12" s="126">
        <v>8.7800000000000003E-2</v>
      </c>
      <c r="R12" s="126">
        <v>0.89</v>
      </c>
      <c r="S12" s="126">
        <v>2.0609999999999999</v>
      </c>
      <c r="T12" s="126">
        <v>1.0549999999999999</v>
      </c>
      <c r="U12" s="126"/>
      <c r="V12" s="126"/>
      <c r="W12" s="126"/>
      <c r="X12" s="126"/>
      <c r="Y12" s="141">
        <f>'AUTO CALCULATION SHEET (2)'!F20</f>
        <v>1172727.615</v>
      </c>
      <c r="Z12" s="142">
        <f t="shared" ref="Z12:AD14" si="6">P12*(E12-K12)</f>
        <v>6152.3864899999962</v>
      </c>
      <c r="AA12" s="142">
        <f t="shared" si="6"/>
        <v>4319.7134659999974</v>
      </c>
      <c r="AB12" s="142">
        <f t="shared" si="6"/>
        <v>0</v>
      </c>
      <c r="AC12" s="142">
        <f t="shared" si="6"/>
        <v>0</v>
      </c>
      <c r="AD12" s="142">
        <f t="shared" si="6"/>
        <v>0</v>
      </c>
      <c r="AE12" s="142"/>
      <c r="AF12" s="142"/>
      <c r="AG12" s="143"/>
      <c r="AH12" s="113">
        <f t="shared" si="1"/>
        <v>10472.099955999995</v>
      </c>
      <c r="AI12" s="114">
        <f t="shared" si="2"/>
        <v>1183199.714956</v>
      </c>
      <c r="AJ12" s="115">
        <f>'AUTO CALCULATION SHEET (2)'!O20</f>
        <v>1215</v>
      </c>
      <c r="AK12" s="116">
        <f>'AUTO CALCULATION SHEET (2)'!Y20</f>
        <v>96</v>
      </c>
      <c r="AL12" s="116">
        <f>'AUTO CALCULATION SHEET (2)'!AD20</f>
        <v>250</v>
      </c>
      <c r="AM12" s="116">
        <f>'AUTO CALCULATION SHEET (2)'!AF20</f>
        <v>663</v>
      </c>
      <c r="AN12" s="116">
        <f>'AUTO CALCULATION SHEET (2)'!AR20</f>
        <v>214</v>
      </c>
      <c r="AO12" s="117">
        <f>'AUTO CALCULATION SHEET (2)'!AY20</f>
        <v>925</v>
      </c>
      <c r="AP12" s="117">
        <f>'AUTO CALCULATION SHEET (2)'!BK20</f>
        <v>725</v>
      </c>
      <c r="AQ12" s="173">
        <f>'AUTO CALCULATION SHEET (2)'!BN20</f>
        <v>844</v>
      </c>
      <c r="AR12" s="191">
        <f>SUMPRODUCT($AJ$10:$AQ$10,AJ12:AQ12)</f>
        <v>729764</v>
      </c>
      <c r="AS12" s="188">
        <f>'AUTO CALCULATION SHEET (2)'!CC20</f>
        <v>41400</v>
      </c>
      <c r="AT12" s="170">
        <f t="shared" si="3"/>
        <v>771164</v>
      </c>
      <c r="AU12" s="118">
        <f>+AI12-AT12</f>
        <v>412035.71495599998</v>
      </c>
      <c r="AV12" s="120">
        <f t="shared" si="4"/>
        <v>0.53430361759107015</v>
      </c>
      <c r="AW12" s="121"/>
      <c r="AX12" s="121">
        <v>0.02</v>
      </c>
      <c r="AY12" s="121">
        <v>0.01</v>
      </c>
      <c r="AZ12" s="122">
        <f t="shared" si="5"/>
        <v>0.50430361759107012</v>
      </c>
      <c r="BA12" s="123"/>
    </row>
    <row r="13" spans="1:53" s="124" customFormat="1" ht="28.5" customHeight="1" x14ac:dyDescent="0.2">
      <c r="A13" s="136" t="str">
        <f>'AUTO CALCULATION SHEET (2)'!D21</f>
        <v>3 CORE X 300 SQ. MM. AL/ARM - STRIP (XLPE) - 11 KV</v>
      </c>
      <c r="B13" s="137"/>
      <c r="C13" s="104" t="s">
        <v>258</v>
      </c>
      <c r="D13" s="138">
        <v>45719</v>
      </c>
      <c r="E13" s="207">
        <v>268999.31</v>
      </c>
      <c r="F13" s="209">
        <v>886720.47</v>
      </c>
      <c r="G13" s="106">
        <v>176136</v>
      </c>
      <c r="H13" s="106">
        <v>160825</v>
      </c>
      <c r="I13" s="205">
        <v>76250</v>
      </c>
      <c r="J13" s="199">
        <f t="shared" si="0"/>
        <v>45658</v>
      </c>
      <c r="K13" s="204">
        <v>264189</v>
      </c>
      <c r="L13" s="106">
        <v>837521</v>
      </c>
      <c r="M13" s="106">
        <v>176136</v>
      </c>
      <c r="N13" s="106">
        <v>160825</v>
      </c>
      <c r="O13" s="205">
        <v>76250</v>
      </c>
      <c r="P13" s="125">
        <v>2.6349999999999998</v>
      </c>
      <c r="Q13" s="126">
        <v>0.11020000000000001</v>
      </c>
      <c r="R13" s="126">
        <v>1.167</v>
      </c>
      <c r="S13" s="126">
        <v>3.161</v>
      </c>
      <c r="T13" s="126">
        <v>1.3180000000000001</v>
      </c>
      <c r="U13" s="126"/>
      <c r="V13" s="126"/>
      <c r="W13" s="126"/>
      <c r="X13" s="126"/>
      <c r="Y13" s="141">
        <f>'AUTO CALCULATION SHEET (2)'!F21</f>
        <v>1904002.38</v>
      </c>
      <c r="Z13" s="142">
        <f t="shared" si="6"/>
        <v>12675.166849999992</v>
      </c>
      <c r="AA13" s="142">
        <f t="shared" si="6"/>
        <v>5421.7815939999973</v>
      </c>
      <c r="AB13" s="142">
        <f t="shared" si="6"/>
        <v>0</v>
      </c>
      <c r="AC13" s="142">
        <f t="shared" si="6"/>
        <v>0</v>
      </c>
      <c r="AD13" s="142">
        <f t="shared" si="6"/>
        <v>0</v>
      </c>
      <c r="AE13" s="142"/>
      <c r="AF13" s="142"/>
      <c r="AG13" s="143"/>
      <c r="AH13" s="113">
        <f t="shared" si="1"/>
        <v>18096.948443999991</v>
      </c>
      <c r="AI13" s="114">
        <f t="shared" si="2"/>
        <v>1922099.3284439999</v>
      </c>
      <c r="AJ13" s="115">
        <f>'AUTO CALCULATION SHEET (2)'!O21</f>
        <v>2430</v>
      </c>
      <c r="AK13" s="116">
        <f>'AUTO CALCULATION SHEET (2)'!Y21</f>
        <v>119</v>
      </c>
      <c r="AL13" s="116">
        <f>'AUTO CALCULATION SHEET (2)'!AD21</f>
        <v>328</v>
      </c>
      <c r="AM13" s="116">
        <f>'AUTO CALCULATION SHEET (2)'!AF21</f>
        <v>870</v>
      </c>
      <c r="AN13" s="116">
        <f>'AUTO CALCULATION SHEET (2)'!AR21</f>
        <v>300</v>
      </c>
      <c r="AO13" s="117">
        <f>'AUTO CALCULATION SHEET (2)'!AY21</f>
        <v>1150</v>
      </c>
      <c r="AP13" s="117">
        <f>'AUTO CALCULATION SHEET (2)'!BK21</f>
        <v>1012</v>
      </c>
      <c r="AQ13" s="173">
        <f>'AUTO CALCULATION SHEET (2)'!BN21</f>
        <v>1310</v>
      </c>
      <c r="AR13" s="191">
        <f>SUMPRODUCT($AJ$10:$AQ$10,AJ13:AQ13)</f>
        <v>1185612</v>
      </c>
      <c r="AS13" s="188">
        <f>'AUTO CALCULATION SHEET (2)'!CC21</f>
        <v>72000</v>
      </c>
      <c r="AT13" s="170">
        <f t="shared" si="3"/>
        <v>1257612</v>
      </c>
      <c r="AU13" s="118">
        <f>+AI13-AT13</f>
        <v>664487.32844399987</v>
      </c>
      <c r="AV13" s="120">
        <f t="shared" si="4"/>
        <v>0.52837228687703353</v>
      </c>
      <c r="AW13" s="121"/>
      <c r="AX13" s="121">
        <v>0.02</v>
      </c>
      <c r="AY13" s="121">
        <v>0.01</v>
      </c>
      <c r="AZ13" s="122">
        <f t="shared" si="5"/>
        <v>0.4983722868770335</v>
      </c>
      <c r="BA13" s="123"/>
    </row>
    <row r="14" spans="1:53" s="124" customFormat="1" ht="28.5" customHeight="1" thickBot="1" x14ac:dyDescent="0.25">
      <c r="A14" s="136" t="str">
        <f>'AUTO CALCULATION SHEET (2)'!D22</f>
        <v>3 CORE X 400 SQ. MM. AL/ARM - STRIP (XLPE) - 33 KV</v>
      </c>
      <c r="B14" s="137"/>
      <c r="C14" s="104" t="s">
        <v>258</v>
      </c>
      <c r="D14" s="138">
        <v>45719</v>
      </c>
      <c r="E14" s="207">
        <v>268999.31</v>
      </c>
      <c r="F14" s="209">
        <v>886720.47</v>
      </c>
      <c r="G14" s="106">
        <v>176136</v>
      </c>
      <c r="H14" s="106">
        <v>160825</v>
      </c>
      <c r="I14" s="205">
        <v>76250</v>
      </c>
      <c r="J14" s="199">
        <f t="shared" si="0"/>
        <v>45658</v>
      </c>
      <c r="K14" s="204">
        <v>264189</v>
      </c>
      <c r="L14" s="106">
        <v>837521</v>
      </c>
      <c r="M14" s="106">
        <v>176136</v>
      </c>
      <c r="N14" s="106">
        <v>160825</v>
      </c>
      <c r="O14" s="205">
        <v>76250</v>
      </c>
      <c r="P14" s="125">
        <v>3.3740000000000001</v>
      </c>
      <c r="Q14" s="126">
        <v>0.1638</v>
      </c>
      <c r="R14" s="126">
        <v>3.2290000000000001</v>
      </c>
      <c r="S14" s="126">
        <v>5.7359999999999998</v>
      </c>
      <c r="T14" s="126">
        <v>1.8759999999999999</v>
      </c>
      <c r="U14" s="126"/>
      <c r="V14" s="126"/>
      <c r="W14" s="126"/>
      <c r="X14" s="126"/>
      <c r="Y14" s="141">
        <f>'AUTO CALCULATION SHEET (2)'!F22</f>
        <v>3044048.6100000003</v>
      </c>
      <c r="Z14" s="142">
        <f t="shared" si="6"/>
        <v>16229.985939999993</v>
      </c>
      <c r="AA14" s="142">
        <f t="shared" si="6"/>
        <v>8058.8731859999953</v>
      </c>
      <c r="AB14" s="142">
        <f t="shared" si="6"/>
        <v>0</v>
      </c>
      <c r="AC14" s="142">
        <f t="shared" si="6"/>
        <v>0</v>
      </c>
      <c r="AD14" s="142">
        <f t="shared" si="6"/>
        <v>0</v>
      </c>
      <c r="AE14" s="142"/>
      <c r="AF14" s="142"/>
      <c r="AG14" s="143"/>
      <c r="AH14" s="113">
        <f t="shared" si="1"/>
        <v>24288.859125999988</v>
      </c>
      <c r="AI14" s="114">
        <f t="shared" si="2"/>
        <v>3068337.4691260005</v>
      </c>
      <c r="AJ14" s="174">
        <f>'AUTO CALCULATION SHEET (2)'!O22</f>
        <v>3240</v>
      </c>
      <c r="AK14" s="175">
        <f>'AUTO CALCULATION SHEET (2)'!Y22</f>
        <v>172</v>
      </c>
      <c r="AL14" s="175">
        <f>'AUTO CALCULATION SHEET (2)'!AD22</f>
        <v>424</v>
      </c>
      <c r="AM14" s="175">
        <f>'AUTO CALCULATION SHEET (2)'!AF22</f>
        <v>2725</v>
      </c>
      <c r="AN14" s="175">
        <f>'AUTO CALCULATION SHEET (2)'!AR22</f>
        <v>430</v>
      </c>
      <c r="AO14" s="176">
        <f>'AUTO CALCULATION SHEET (2)'!AY22</f>
        <v>1625</v>
      </c>
      <c r="AP14" s="176">
        <f>'AUTO CALCULATION SHEET (2)'!BK22</f>
        <v>1600</v>
      </c>
      <c r="AQ14" s="177">
        <f>'AUTO CALCULATION SHEET (2)'!BN22</f>
        <v>2745</v>
      </c>
      <c r="AR14" s="191">
        <f>SUMPRODUCT($AJ$10:$AQ$10,AJ14:AQ14)</f>
        <v>1882799</v>
      </c>
      <c r="AS14" s="188">
        <f>'AUTO CALCULATION SHEET (2)'!CC22</f>
        <v>108000</v>
      </c>
      <c r="AT14" s="170">
        <f t="shared" si="3"/>
        <v>1990799</v>
      </c>
      <c r="AU14" s="118">
        <f>+AI14-AT14</f>
        <v>1077538.4691260005</v>
      </c>
      <c r="AV14" s="120">
        <f t="shared" si="4"/>
        <v>0.54125929796328032</v>
      </c>
      <c r="AW14" s="121"/>
      <c r="AX14" s="121">
        <v>0.02</v>
      </c>
      <c r="AY14" s="121">
        <v>0.01</v>
      </c>
      <c r="AZ14" s="122">
        <f t="shared" si="5"/>
        <v>0.51125929796328029</v>
      </c>
      <c r="BA14" s="123"/>
    </row>
    <row r="15" spans="1:53" s="124" customFormat="1" ht="15.75" customHeight="1" thickBot="1" x14ac:dyDescent="0.25">
      <c r="A15" s="146"/>
      <c r="B15" s="146"/>
      <c r="C15" s="147"/>
      <c r="D15" s="148"/>
      <c r="E15" s="149"/>
      <c r="F15" s="150"/>
      <c r="G15" s="150"/>
      <c r="H15" s="150"/>
      <c r="I15" s="151"/>
      <c r="J15" s="200"/>
      <c r="K15" s="206"/>
      <c r="L15" s="153"/>
      <c r="M15" s="153"/>
      <c r="N15" s="153"/>
      <c r="O15" s="154"/>
      <c r="P15" s="149"/>
      <c r="Q15" s="155"/>
      <c r="R15" s="155"/>
      <c r="S15" s="155"/>
      <c r="T15" s="155"/>
      <c r="U15" s="155"/>
      <c r="V15" s="155"/>
      <c r="W15" s="155"/>
      <c r="X15" s="155"/>
      <c r="Y15" s="156"/>
      <c r="Z15" s="157"/>
      <c r="AA15" s="157"/>
      <c r="AB15" s="157"/>
      <c r="AC15" s="157"/>
      <c r="AD15" s="157"/>
      <c r="AE15" s="158"/>
      <c r="AF15" s="158"/>
      <c r="AG15" s="158"/>
      <c r="AH15" s="159"/>
      <c r="AI15" s="128"/>
      <c r="AJ15" s="171"/>
      <c r="AK15" s="172"/>
      <c r="AL15" s="172"/>
      <c r="AM15" s="172"/>
      <c r="AN15" s="172"/>
      <c r="AO15" s="172"/>
      <c r="AP15" s="172"/>
      <c r="AQ15" s="195"/>
      <c r="AR15" s="192"/>
      <c r="AS15" s="185"/>
      <c r="AT15" s="184"/>
      <c r="AU15" s="161"/>
      <c r="AV15" s="161"/>
      <c r="AW15" s="161"/>
      <c r="AX15" s="161"/>
      <c r="AY15" s="161"/>
      <c r="AZ15" s="162"/>
    </row>
    <row r="16" spans="1:53" x14ac:dyDescent="0.2">
      <c r="E16" s="163"/>
    </row>
    <row r="17" spans="1:53" ht="30" customHeight="1" thickBot="1" x14ac:dyDescent="0.25">
      <c r="C17" s="67"/>
      <c r="D17" s="74"/>
      <c r="E17" s="73"/>
      <c r="F17" s="73"/>
      <c r="G17" s="73"/>
      <c r="H17" s="73"/>
      <c r="I17" s="73"/>
      <c r="J17" s="73"/>
      <c r="K17" s="73"/>
      <c r="L17" s="73"/>
      <c r="M17" s="73"/>
      <c r="N17" s="73"/>
      <c r="O17" s="73"/>
      <c r="P17" s="73"/>
      <c r="Q17" s="73"/>
      <c r="R17" s="73"/>
      <c r="S17" s="73"/>
      <c r="T17" s="73"/>
      <c r="U17" s="73"/>
      <c r="V17" s="73"/>
      <c r="W17" s="73"/>
      <c r="X17" s="73"/>
      <c r="Y17" s="73"/>
      <c r="Z17" s="63"/>
      <c r="AA17" s="63"/>
      <c r="AB17" s="63"/>
      <c r="AC17" s="63"/>
      <c r="AD17" s="63"/>
    </row>
    <row r="18" spans="1:53" ht="25.5" customHeight="1" x14ac:dyDescent="0.2">
      <c r="A18" s="247" t="s">
        <v>218</v>
      </c>
      <c r="B18" s="250" t="s">
        <v>219</v>
      </c>
      <c r="C18" s="253" t="s">
        <v>220</v>
      </c>
      <c r="D18" s="256" t="s">
        <v>221</v>
      </c>
      <c r="E18" s="257"/>
      <c r="F18" s="257"/>
      <c r="G18" s="257"/>
      <c r="H18" s="257"/>
      <c r="I18" s="258"/>
      <c r="J18" s="259" t="s">
        <v>222</v>
      </c>
      <c r="K18" s="260"/>
      <c r="L18" s="260"/>
      <c r="M18" s="260"/>
      <c r="N18" s="260"/>
      <c r="O18" s="253"/>
      <c r="P18" s="259" t="s">
        <v>223</v>
      </c>
      <c r="Q18" s="260"/>
      <c r="R18" s="260"/>
      <c r="S18" s="260"/>
      <c r="T18" s="260"/>
      <c r="U18" s="260"/>
      <c r="V18" s="260"/>
      <c r="W18" s="260"/>
      <c r="X18" s="253"/>
      <c r="Y18" s="264" t="s">
        <v>224</v>
      </c>
      <c r="Z18" s="266" t="s">
        <v>225</v>
      </c>
      <c r="AA18" s="268" t="s">
        <v>226</v>
      </c>
      <c r="AB18" s="268" t="s">
        <v>227</v>
      </c>
      <c r="AC18" s="268" t="s">
        <v>228</v>
      </c>
      <c r="AD18" s="268" t="s">
        <v>229</v>
      </c>
      <c r="AE18" s="268" t="s">
        <v>230</v>
      </c>
      <c r="AF18" s="268" t="s">
        <v>231</v>
      </c>
      <c r="AG18" s="282" t="s">
        <v>232</v>
      </c>
      <c r="AH18" s="264" t="s">
        <v>233</v>
      </c>
      <c r="AI18" s="259" t="s">
        <v>234</v>
      </c>
      <c r="AJ18" s="275" t="s">
        <v>235</v>
      </c>
      <c r="AK18" s="276"/>
      <c r="AL18" s="276"/>
      <c r="AM18" s="276"/>
      <c r="AN18" s="276"/>
      <c r="AO18" s="276"/>
      <c r="AP18" s="276"/>
      <c r="AQ18" s="276"/>
      <c r="AR18" s="276"/>
      <c r="AS18" s="276"/>
      <c r="AT18" s="276"/>
      <c r="AU18" s="276"/>
      <c r="AV18" s="276"/>
      <c r="AW18" s="276"/>
      <c r="AX18" s="276"/>
      <c r="AY18" s="276"/>
      <c r="AZ18" s="277"/>
    </row>
    <row r="19" spans="1:53" ht="13.5" thickBot="1" x14ac:dyDescent="0.25">
      <c r="A19" s="248"/>
      <c r="B19" s="251"/>
      <c r="C19" s="254"/>
      <c r="D19" s="281" t="s">
        <v>236</v>
      </c>
      <c r="E19" s="269" t="s">
        <v>237</v>
      </c>
      <c r="F19" s="269" t="s">
        <v>238</v>
      </c>
      <c r="G19" s="269" t="s">
        <v>239</v>
      </c>
      <c r="H19" s="269" t="s">
        <v>240</v>
      </c>
      <c r="I19" s="272"/>
      <c r="J19" s="281" t="s">
        <v>236</v>
      </c>
      <c r="K19" s="269" t="s">
        <v>241</v>
      </c>
      <c r="L19" s="269" t="s">
        <v>242</v>
      </c>
      <c r="M19" s="269" t="s">
        <v>243</v>
      </c>
      <c r="N19" s="269" t="s">
        <v>244</v>
      </c>
      <c r="O19" s="272"/>
      <c r="P19" s="261"/>
      <c r="Q19" s="262"/>
      <c r="R19" s="262"/>
      <c r="S19" s="262"/>
      <c r="T19" s="262"/>
      <c r="U19" s="262"/>
      <c r="V19" s="262"/>
      <c r="W19" s="262"/>
      <c r="X19" s="263"/>
      <c r="Y19" s="265"/>
      <c r="Z19" s="267"/>
      <c r="AA19" s="269"/>
      <c r="AB19" s="269"/>
      <c r="AC19" s="269"/>
      <c r="AD19" s="269"/>
      <c r="AE19" s="269"/>
      <c r="AF19" s="269"/>
      <c r="AG19" s="283"/>
      <c r="AH19" s="265"/>
      <c r="AI19" s="273"/>
      <c r="AJ19" s="278"/>
      <c r="AK19" s="279"/>
      <c r="AL19" s="279"/>
      <c r="AM19" s="279"/>
      <c r="AN19" s="279"/>
      <c r="AO19" s="279"/>
      <c r="AP19" s="279"/>
      <c r="AQ19" s="279"/>
      <c r="AR19" s="279"/>
      <c r="AS19" s="279"/>
      <c r="AT19" s="279"/>
      <c r="AU19" s="279"/>
      <c r="AV19" s="279"/>
      <c r="AW19" s="279"/>
      <c r="AX19" s="279"/>
      <c r="AY19" s="279"/>
      <c r="AZ19" s="280"/>
    </row>
    <row r="20" spans="1:53" ht="42.75" customHeight="1" x14ac:dyDescent="0.2">
      <c r="A20" s="249"/>
      <c r="B20" s="252"/>
      <c r="C20" s="255"/>
      <c r="D20" s="281"/>
      <c r="E20" s="269"/>
      <c r="F20" s="269"/>
      <c r="G20" s="269"/>
      <c r="H20" s="269"/>
      <c r="I20" s="272"/>
      <c r="J20" s="281"/>
      <c r="K20" s="269"/>
      <c r="L20" s="269"/>
      <c r="M20" s="269"/>
      <c r="N20" s="269"/>
      <c r="O20" s="272"/>
      <c r="P20" s="76" t="s">
        <v>213</v>
      </c>
      <c r="Q20" s="77" t="s">
        <v>214</v>
      </c>
      <c r="R20" s="77" t="s">
        <v>215</v>
      </c>
      <c r="S20" s="77" t="s">
        <v>245</v>
      </c>
      <c r="T20" s="77" t="s">
        <v>246</v>
      </c>
      <c r="U20" s="77" t="s">
        <v>216</v>
      </c>
      <c r="V20" s="77" t="s">
        <v>217</v>
      </c>
      <c r="W20" s="77" t="s">
        <v>247</v>
      </c>
      <c r="X20" s="77" t="s">
        <v>248</v>
      </c>
      <c r="Y20" s="265"/>
      <c r="Z20" s="267"/>
      <c r="AA20" s="269"/>
      <c r="AB20" s="269"/>
      <c r="AC20" s="269"/>
      <c r="AD20" s="269"/>
      <c r="AE20" s="269"/>
      <c r="AF20" s="269"/>
      <c r="AG20" s="283"/>
      <c r="AH20" s="265"/>
      <c r="AI20" s="274"/>
      <c r="AJ20" s="78" t="str">
        <f>'AUTO CALCULATION SHEET (2)'!O17</f>
        <v>Alumimium</v>
      </c>
      <c r="AK20" s="79" t="str">
        <f>'AUTO CALCULATION SHEET (2)'!U17</f>
        <v>Alumimium ALLOY</v>
      </c>
      <c r="AL20" s="79" t="str">
        <f>'AUTO CALCULATION SHEET (2)'!AB17</f>
        <v>Copper Tape - 0.060 mm</v>
      </c>
      <c r="AM20" s="79" t="str">
        <f>'AUTO CALCULATION SHEET (2)'!AD17</f>
        <v>Extruded semiconductive</v>
      </c>
      <c r="AN20" s="79" t="str">
        <f>'AUTO CALCULATION SHEET (2)'!AF17</f>
        <v>HT-XLPE</v>
      </c>
      <c r="AO20" s="79" t="str">
        <f>'AUTO CALCULATION SHEET (2)'!AR17</f>
        <v>PVC Type ST-2</v>
      </c>
      <c r="AP20" s="79" t="str">
        <f>'AUTO CALCULATION SHEET (2)'!BK17</f>
        <v>PVC Type ST-2</v>
      </c>
      <c r="AQ20" s="79"/>
      <c r="AR20" s="79" t="s">
        <v>249</v>
      </c>
      <c r="AS20" s="80" t="s">
        <v>250</v>
      </c>
      <c r="AT20" s="79" t="s">
        <v>251</v>
      </c>
      <c r="AU20" s="80" t="s">
        <v>252</v>
      </c>
      <c r="AV20" s="79" t="s">
        <v>253</v>
      </c>
      <c r="AW20" s="80" t="s">
        <v>254</v>
      </c>
      <c r="AX20" s="80" t="s">
        <v>255</v>
      </c>
      <c r="AY20" s="80" t="s">
        <v>256</v>
      </c>
      <c r="AZ20" s="81" t="s">
        <v>257</v>
      </c>
    </row>
    <row r="21" spans="1:53" ht="19.5" customHeight="1" thickBot="1" x14ac:dyDescent="0.25">
      <c r="A21" s="82"/>
      <c r="B21" s="82"/>
      <c r="C21" s="83"/>
      <c r="D21" s="84"/>
      <c r="E21" s="85"/>
      <c r="F21" s="85"/>
      <c r="G21" s="85"/>
      <c r="H21" s="86"/>
      <c r="I21" s="87"/>
      <c r="J21" s="88"/>
      <c r="K21" s="85"/>
      <c r="L21" s="85"/>
      <c r="M21" s="85"/>
      <c r="N21" s="86"/>
      <c r="O21" s="87"/>
      <c r="P21" s="89"/>
      <c r="Q21" s="90"/>
      <c r="R21" s="90"/>
      <c r="S21" s="90"/>
      <c r="T21" s="90"/>
      <c r="U21" s="90"/>
      <c r="V21" s="90"/>
      <c r="W21" s="90"/>
      <c r="X21" s="90"/>
      <c r="Y21" s="91"/>
      <c r="Z21" s="92"/>
      <c r="AA21" s="92"/>
      <c r="AB21" s="92"/>
      <c r="AC21" s="92"/>
      <c r="AD21" s="92"/>
      <c r="AE21" s="92"/>
      <c r="AF21" s="92"/>
      <c r="AG21" s="93"/>
      <c r="AH21" s="94"/>
      <c r="AI21" s="95"/>
      <c r="AJ21" s="96">
        <v>273</v>
      </c>
      <c r="AK21" s="97">
        <f>AJ21+7</f>
        <v>280</v>
      </c>
      <c r="AL21" s="97">
        <v>996</v>
      </c>
      <c r="AM21" s="97">
        <v>178</v>
      </c>
      <c r="AN21" s="97">
        <v>151</v>
      </c>
      <c r="AO21" s="97">
        <v>72</v>
      </c>
      <c r="AP21" s="97">
        <v>72</v>
      </c>
      <c r="AQ21" s="97"/>
      <c r="AR21" s="98"/>
      <c r="AS21" s="99"/>
      <c r="AT21" s="98"/>
      <c r="AU21" s="99"/>
      <c r="AV21" s="98"/>
      <c r="AW21" s="100"/>
      <c r="AX21" s="98"/>
      <c r="AY21" s="101"/>
      <c r="AZ21" s="102"/>
    </row>
    <row r="22" spans="1:53" s="124" customFormat="1" ht="38.25" x14ac:dyDescent="0.2">
      <c r="A22" s="103" t="str">
        <f>'AUTO CALCULATION SHEET (2)'!E23</f>
        <v xml:space="preserve">3 CORE X 120 SQ MM + 1 CORE X 125 SQ MM (AB CABLES) (INSULATED) - 11 KV			</v>
      </c>
      <c r="B22" s="164"/>
      <c r="C22" s="104" t="s">
        <v>258</v>
      </c>
      <c r="D22" s="105">
        <v>45719</v>
      </c>
      <c r="E22" s="208">
        <v>268999.31</v>
      </c>
      <c r="F22" s="208">
        <v>886720.47</v>
      </c>
      <c r="G22" s="106">
        <v>176136</v>
      </c>
      <c r="H22" s="106">
        <v>160825</v>
      </c>
      <c r="I22" s="107"/>
      <c r="J22" s="105">
        <f>$B$2</f>
        <v>45658</v>
      </c>
      <c r="K22" s="106">
        <v>264189</v>
      </c>
      <c r="L22" s="106">
        <v>837521</v>
      </c>
      <c r="M22" s="106">
        <v>176136</v>
      </c>
      <c r="N22" s="106">
        <v>160825</v>
      </c>
      <c r="O22" s="107"/>
      <c r="P22" s="108">
        <v>3</v>
      </c>
      <c r="Q22" s="109">
        <v>0.34599999999999997</v>
      </c>
      <c r="R22" s="109">
        <v>0.34599999999999997</v>
      </c>
      <c r="S22" s="109"/>
      <c r="T22" s="109">
        <v>3.5999999999999997E-2</v>
      </c>
      <c r="U22" s="109">
        <v>0.24099999999999999</v>
      </c>
      <c r="V22" s="109"/>
      <c r="W22" s="109"/>
      <c r="X22" s="109">
        <v>0.26500000000000001</v>
      </c>
      <c r="Y22" s="110">
        <f>'AUTO CALCULATION SHEET (2)'!F23</f>
        <v>1111947.3149999999</v>
      </c>
      <c r="Z22" s="111">
        <f>(Q22*P22*(E22-K22))</f>
        <v>4993.1017799999963</v>
      </c>
      <c r="AA22" s="111">
        <f>R22*(E22-K22)</f>
        <v>1664.3672599999991</v>
      </c>
      <c r="AB22" s="111">
        <f>S22*(E22-K22)</f>
        <v>0</v>
      </c>
      <c r="AC22" s="111">
        <f>P22*T22*(F22-L22)</f>
        <v>5313.5427599999966</v>
      </c>
      <c r="AD22" s="111">
        <f>(U22*P22*(G22-M22))</f>
        <v>0</v>
      </c>
      <c r="AE22" s="111">
        <f>V22*(G22-M22)</f>
        <v>0</v>
      </c>
      <c r="AF22" s="111">
        <f>W22*(G22-M22)</f>
        <v>0</v>
      </c>
      <c r="AG22" s="112">
        <f>P22*X22*(H22-N22)</f>
        <v>0</v>
      </c>
      <c r="AH22" s="113">
        <f>Z22+AA22+AB22+AC22+AD22+AE22+AF22+AG22</f>
        <v>11971.011799999993</v>
      </c>
      <c r="AI22" s="114">
        <f>Y22+AH22</f>
        <v>1123918.3267999999</v>
      </c>
      <c r="AJ22" s="115">
        <f>'AUTO CALCULATION SHEET (2)'!O23</f>
        <v>972</v>
      </c>
      <c r="AK22" s="116">
        <f>'AUTO CALCULATION SHEET (2)'!U23</f>
        <v>348</v>
      </c>
      <c r="AL22" s="116">
        <f>'AUTO CALCULATION SHEET (2)'!AB23</f>
        <v>134</v>
      </c>
      <c r="AM22" s="116">
        <f>'AUTO CALCULATION SHEET (2)'!AD23</f>
        <v>252</v>
      </c>
      <c r="AN22" s="116">
        <f>'AUTO CALCULATION SHEET (2)'!AF23</f>
        <v>577</v>
      </c>
      <c r="AO22" s="117">
        <f>'AUTO CALCULATION SHEET (2)'!AR23</f>
        <v>135</v>
      </c>
      <c r="AP22" s="117">
        <f>'AUTO CALCULATION SHEET (2)'!BK23</f>
        <v>760</v>
      </c>
      <c r="AQ22" s="117"/>
      <c r="AR22" s="118">
        <f>SUMPRODUCT($AJ$21:$AP$21,AJ22:AP22)</f>
        <v>692683</v>
      </c>
      <c r="AS22" s="119">
        <f>'AUTO CALCULATION SHEET (2)'!CC23</f>
        <v>41400</v>
      </c>
      <c r="AT22" s="118">
        <f>+AR22+AS22</f>
        <v>734083</v>
      </c>
      <c r="AU22" s="118">
        <f>+AI22-AT22</f>
        <v>389835.32679999992</v>
      </c>
      <c r="AV22" s="120">
        <f>+AU22/AT22</f>
        <v>0.53105074875729297</v>
      </c>
      <c r="AW22" s="121"/>
      <c r="AX22" s="121">
        <v>0.02</v>
      </c>
      <c r="AY22" s="121">
        <v>0.01</v>
      </c>
      <c r="AZ22" s="122">
        <f>+AV22-(AW22+AX22+AY22)</f>
        <v>0.50105074875729294</v>
      </c>
      <c r="BA22" s="123"/>
    </row>
    <row r="23" spans="1:53" s="124" customFormat="1" ht="15.75" customHeight="1" thickBot="1" x14ac:dyDescent="0.25">
      <c r="A23" s="146"/>
      <c r="B23" s="146"/>
      <c r="C23" s="147"/>
      <c r="D23" s="148"/>
      <c r="E23" s="149"/>
      <c r="F23" s="150"/>
      <c r="G23" s="150"/>
      <c r="H23" s="150"/>
      <c r="I23" s="151"/>
      <c r="J23" s="152"/>
      <c r="K23" s="153"/>
      <c r="L23" s="153"/>
      <c r="M23" s="153"/>
      <c r="N23" s="153"/>
      <c r="O23" s="154"/>
      <c r="P23" s="149"/>
      <c r="Q23" s="155"/>
      <c r="R23" s="155"/>
      <c r="S23" s="155"/>
      <c r="T23" s="155"/>
      <c r="U23" s="155"/>
      <c r="V23" s="155"/>
      <c r="W23" s="155"/>
      <c r="X23" s="155"/>
      <c r="Y23" s="156"/>
      <c r="Z23" s="157"/>
      <c r="AA23" s="157"/>
      <c r="AB23" s="157"/>
      <c r="AC23" s="157"/>
      <c r="AD23" s="157"/>
      <c r="AE23" s="158"/>
      <c r="AF23" s="158"/>
      <c r="AG23" s="158"/>
      <c r="AH23" s="159"/>
      <c r="AI23" s="128"/>
      <c r="AJ23" s="160"/>
      <c r="AK23" s="161"/>
      <c r="AL23" s="161"/>
      <c r="AM23" s="161"/>
      <c r="AN23" s="161"/>
      <c r="AO23" s="161"/>
      <c r="AP23" s="161"/>
      <c r="AQ23" s="161"/>
      <c r="AR23" s="161"/>
      <c r="AS23" s="161"/>
      <c r="AT23" s="161"/>
      <c r="AU23" s="161"/>
      <c r="AV23" s="161"/>
      <c r="AW23" s="161"/>
      <c r="AX23" s="161"/>
      <c r="AY23" s="161"/>
      <c r="AZ23" s="162"/>
    </row>
  </sheetData>
  <mergeCells count="38">
    <mergeCell ref="AH18:AH20"/>
    <mergeCell ref="AI18:AI20"/>
    <mergeCell ref="AJ18:AZ19"/>
    <mergeCell ref="D19:D20"/>
    <mergeCell ref="E19:E20"/>
    <mergeCell ref="F19:F20"/>
    <mergeCell ref="G19:G20"/>
    <mergeCell ref="H19:H20"/>
    <mergeCell ref="I19:I20"/>
    <mergeCell ref="J19:J20"/>
    <mergeCell ref="AB18:AB20"/>
    <mergeCell ref="AC18:AC20"/>
    <mergeCell ref="AD18:AD20"/>
    <mergeCell ref="AE18:AE20"/>
    <mergeCell ref="AF18:AF20"/>
    <mergeCell ref="AG18:AG20"/>
    <mergeCell ref="Z6:AD6"/>
    <mergeCell ref="A18:A20"/>
    <mergeCell ref="B18:B20"/>
    <mergeCell ref="C18:C20"/>
    <mergeCell ref="D18:I18"/>
    <mergeCell ref="J18:O18"/>
    <mergeCell ref="P18:X19"/>
    <mergeCell ref="Y18:Y20"/>
    <mergeCell ref="Z18:Z20"/>
    <mergeCell ref="AA18:AA20"/>
    <mergeCell ref="Y9:Y10"/>
    <mergeCell ref="K19:K20"/>
    <mergeCell ref="L19:L20"/>
    <mergeCell ref="M19:M20"/>
    <mergeCell ref="N19:N20"/>
    <mergeCell ref="O19:O20"/>
    <mergeCell ref="A1:J1"/>
    <mergeCell ref="B2:J2"/>
    <mergeCell ref="B3:J3"/>
    <mergeCell ref="K3:W5"/>
    <mergeCell ref="A4:J4"/>
    <mergeCell ref="A5:J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AUTO CALCULATION SHEET (2)</vt:lpstr>
      <vt:lpstr>PV</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dcterms:created xsi:type="dcterms:W3CDTF">2021-04-03T12:13:55Z</dcterms:created>
  <dcterms:modified xsi:type="dcterms:W3CDTF">2025-03-03T11:47:49Z</dcterms:modified>
</cp:coreProperties>
</file>