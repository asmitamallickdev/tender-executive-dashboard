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6_JUNE 2026\JDVVNL-11-03-2026-TN2143-LTXLPEACSRRABBIT-19907\"/>
    </mc:Choice>
  </mc:AlternateContent>
  <xr:revisionPtr revIDLastSave="0" documentId="13_ncr:1_{2C576559-602E-4D3B-9F7B-98F7C925A0C8}"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AUTO CALCULATION SHEET"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6" i="6" l="1"/>
  <c r="S16" i="6"/>
  <c r="S14" i="6"/>
  <c r="R16" i="6"/>
  <c r="R14" i="6"/>
  <c r="Q16" i="6"/>
  <c r="Q14" i="6"/>
  <c r="O16" i="6"/>
  <c r="N16" i="6"/>
  <c r="M16" i="6"/>
  <c r="A9" i="6"/>
  <c r="T16" i="6"/>
  <c r="V16" i="6" s="1"/>
  <c r="G16" i="6"/>
  <c r="A16" i="6"/>
  <c r="AJ26" i="4"/>
  <c r="CL21" i="4" l="1"/>
  <c r="BB26" i="4" l="1"/>
  <c r="CH26" i="4" s="1"/>
  <c r="O26" i="4"/>
  <c r="CK21" i="4"/>
  <c r="CJ21" i="4"/>
  <c r="CI21" i="4"/>
  <c r="F26" i="4"/>
  <c r="J26" i="4" s="1"/>
  <c r="T21" i="4" l="1"/>
  <c r="T20" i="4"/>
  <c r="S21" i="4"/>
  <c r="S20" i="4"/>
  <c r="AU21" i="4"/>
  <c r="AU20" i="4"/>
  <c r="R21" i="4"/>
  <c r="R20" i="4"/>
  <c r="BV21" i="4"/>
  <c r="BV20" i="4"/>
  <c r="AZ21" i="4"/>
  <c r="AZ20" i="4"/>
  <c r="L21" i="4"/>
  <c r="K21" i="4"/>
  <c r="E26" i="4" s="1"/>
  <c r="K26" i="4" s="1"/>
  <c r="L26" i="4" s="1"/>
  <c r="M26" i="4" s="1"/>
  <c r="F21" i="4" s="1"/>
  <c r="H21" i="4"/>
  <c r="CY21" i="4"/>
  <c r="BQ21" i="4" l="1"/>
  <c r="BQ20" i="4"/>
  <c r="BF21" i="4" l="1"/>
  <c r="BF20" i="4"/>
  <c r="AO21" i="4" l="1"/>
  <c r="AO20" i="4"/>
  <c r="AN21" i="4"/>
  <c r="AN20" i="4"/>
  <c r="AP21" i="4"/>
  <c r="AP20" i="4"/>
  <c r="CH21" i="4" l="1"/>
  <c r="AH21" i="4" l="1"/>
  <c r="CN21" i="4" l="1"/>
  <c r="A21" i="4" l="1"/>
  <c r="X20" i="4" l="1"/>
  <c r="W20" i="4"/>
  <c r="AF21" i="4" l="1"/>
  <c r="AE21" i="4"/>
  <c r="AD21" i="4"/>
  <c r="AC21" i="4"/>
  <c r="AB21" i="4"/>
  <c r="AA21" i="4"/>
  <c r="Z21" i="4"/>
  <c r="Y21" i="4"/>
  <c r="X21" i="4"/>
  <c r="W21" i="4"/>
  <c r="CG21" i="4"/>
  <c r="CF21" i="4"/>
  <c r="CE21" i="4"/>
  <c r="CD21" i="4"/>
  <c r="CC21" i="4"/>
  <c r="CB21" i="4"/>
  <c r="CA21" i="4"/>
  <c r="BZ21" i="4"/>
  <c r="CE20" i="4"/>
  <c r="CF20" i="4"/>
  <c r="CG20" i="4"/>
  <c r="CD20" i="4"/>
  <c r="CC20" i="4"/>
  <c r="CB20" i="4"/>
  <c r="BZ20" i="4"/>
  <c r="CA20" i="4"/>
  <c r="BY20" i="4"/>
  <c r="BY21" i="4"/>
  <c r="BX21" i="4"/>
  <c r="BW21" i="4"/>
  <c r="BU21" i="4"/>
  <c r="BT21" i="4"/>
  <c r="BS21" i="4"/>
  <c r="BR21" i="4"/>
  <c r="BP21" i="4"/>
  <c r="BO21" i="4"/>
  <c r="BN21" i="4"/>
  <c r="BM21" i="4"/>
  <c r="BX20" i="4"/>
  <c r="BW20" i="4"/>
  <c r="BU20" i="4"/>
  <c r="BT20" i="4"/>
  <c r="BS20" i="4"/>
  <c r="BR20" i="4"/>
  <c r="BP20" i="4"/>
  <c r="BO20" i="4"/>
  <c r="BN20" i="4"/>
  <c r="BM20" i="4"/>
  <c r="BL21" i="4"/>
  <c r="BK21" i="4"/>
  <c r="BJ21" i="4"/>
  <c r="BI21" i="4"/>
  <c r="BH21" i="4"/>
  <c r="BG21" i="4"/>
  <c r="BE21" i="4"/>
  <c r="BD21" i="4"/>
  <c r="BC21" i="4"/>
  <c r="BB21" i="4"/>
  <c r="BL20" i="4"/>
  <c r="BK20" i="4"/>
  <c r="BJ20" i="4"/>
  <c r="BI20" i="4"/>
  <c r="BH20" i="4"/>
  <c r="BG20" i="4"/>
  <c r="BE20" i="4"/>
  <c r="BD20" i="4"/>
  <c r="BC20" i="4"/>
  <c r="BA20" i="4"/>
  <c r="BA21" i="4"/>
  <c r="AY21" i="4"/>
  <c r="AX21" i="4"/>
  <c r="AW21" i="4"/>
  <c r="AV21" i="4"/>
  <c r="AT21" i="4"/>
  <c r="AS21" i="4"/>
  <c r="AY20" i="4"/>
  <c r="AX20" i="4"/>
  <c r="AW20" i="4"/>
  <c r="AV20" i="4"/>
  <c r="AT20" i="4"/>
  <c r="AS20" i="4"/>
  <c r="AR20" i="4"/>
  <c r="AR21" i="4"/>
  <c r="AQ21" i="4"/>
  <c r="AM21" i="4"/>
  <c r="AL21" i="4"/>
  <c r="AK21" i="4"/>
  <c r="AI21" i="4"/>
  <c r="AQ20" i="4"/>
  <c r="AM20" i="4"/>
  <c r="AL20" i="4"/>
  <c r="AI20" i="4"/>
  <c r="AK20" i="4"/>
  <c r="AH20" i="4"/>
  <c r="AG21" i="4"/>
  <c r="AG20" i="4"/>
  <c r="AF20" i="4" l="1"/>
  <c r="AE20" i="4"/>
  <c r="AD20" i="4"/>
  <c r="AC20" i="4"/>
  <c r="AB20" i="4"/>
  <c r="AA20" i="4"/>
  <c r="Z20" i="4"/>
  <c r="Y20" i="4"/>
  <c r="V20" i="4" l="1"/>
  <c r="U20" i="4"/>
  <c r="Q20" i="4"/>
  <c r="P20" i="4"/>
  <c r="O21" i="4"/>
  <c r="V21" i="4"/>
  <c r="U21" i="4"/>
  <c r="Q21" i="4"/>
  <c r="P21" i="4"/>
  <c r="D21" i="4"/>
  <c r="C21" i="4"/>
  <c r="CM21" i="4" l="1"/>
  <c r="CO21" i="4" l="1"/>
  <c r="CQ21" i="4"/>
  <c r="CS21" i="4"/>
  <c r="CT21" i="4" l="1"/>
  <c r="CZ21" i="4" l="1"/>
  <c r="CV21" i="4"/>
  <c r="CX21" i="4"/>
  <c r="E21" i="4" l="1"/>
  <c r="G21" i="4" l="1"/>
  <c r="B9" i="6"/>
  <c r="L16" i="6" s="1"/>
  <c r="P16" i="6" s="1"/>
  <c r="W16" i="6" s="1"/>
  <c r="X16" i="6" s="1"/>
  <c r="AB16" i="6" s="1"/>
  <c r="I21" i="4"/>
  <c r="J21" i="4" s="1"/>
  <c r="M21" i="4" l="1"/>
  <c r="F30" i="4"/>
  <c r="G3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<sst xmlns="http://schemas.openxmlformats.org/spreadsheetml/2006/main" count="339" uniqueCount="293">
  <si>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</si>
  <si>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</si>
  <si>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</si>
  <si>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</si>
  <si>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</si>
  <si>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</si>
  <si>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</si>
  <si>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</si>
  <si>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</si>
  <si>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</si>
  <si>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</si>
  <si>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</si>
  <si>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</si>
  <si>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</si>
  <si>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</si>
  <si>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</si>
  <si>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</si>
  <si>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</si>
  <si>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</si>
  <si>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</si>
  <si>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</si>
  <si>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</si>
  <si>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</si>
  <si>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</si>
  <si>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</si>
  <si>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</si>
  <si>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</si>
  <si>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</si>
  <si>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</si>
  <si>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</si>
  <si>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</si>
  <si>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</si>
  <si>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</si>
  <si>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</si>
  <si>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</si>
  <si>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</si>
  <si>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</si>
  <si>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</si>
  <si>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</si>
  <si>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</si>
  <si>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</si>
  <si>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</si>
  <si>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</si>
  <si>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</si>
  <si>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</si>
  <si>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</si>
  <si>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</si>
  <si>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</si>
  <si>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</si>
  <si>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</si>
  <si>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</si>
  <si>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</si>
  <si>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</si>
  <si>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</si>
  <si>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</si>
  <si>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</si>
  <si>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</si>
  <si>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</si>
  <si>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</si>
  <si>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</si>
  <si>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</si>
  <si>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</si>
  <si>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</si>
  <si>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</si>
  <si>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</si>
  <si>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</si>
  <si>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</si>
  <si>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</si>
  <si>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</si>
  <si>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</si>
  <si>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</si>
  <si>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</si>
  <si>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</si>
  <si>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</si>
  <si>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</si>
  <si>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</si>
  <si>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</si>
  <si>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</si>
  <si>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</si>
  <si>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</si>
  <si>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</si>
  <si>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</si>
  <si>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</si>
  <si>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</si>
  <si>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</si>
  <si>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</si>
  <si>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</si>
  <si>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</si>
  <si>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</si>
  <si>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</si>
  <si>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</si>
  <si>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</si>
  <si>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</si>
  <si>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</si>
  <si>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</si>
  <si>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</si>
  <si>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</si>
  <si>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</si>
  <si>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</si>
  <si>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</si>
  <si>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</si>
  <si>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</si>
  <si>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</si>
  <si>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</si>
  <si>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</si>
  <si>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</si>
  <si>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</si>
  <si>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</si>
  <si>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</si>
  <si>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</si>
  <si>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</si>
  <si>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</si>
  <si>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</si>
  <si>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</si>
  <si>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</si>
  <si>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</si>
  <si>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</si>
  <si>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</si>
  <si>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</si>
  <si>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</si>
  <si>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</si>
  <si>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</si>
  <si>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</si>
  <si>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</si>
  <si>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</si>
  <si>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</si>
  <si>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</si>
  <si>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</si>
  <si>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</si>
  <si>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</si>
  <si>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</si>
  <si>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</si>
  <si>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</si>
  <si>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</si>
  <si>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</si>
  <si>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</si>
  <si>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</si>
  <si>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</si>
  <si>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</si>
  <si>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</si>
  <si>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</si>
  <si>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</si>
  <si>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</si>
  <si>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</si>
  <si>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</si>
  <si>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</si>
  <si>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</si>
  <si>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</si>
  <si>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</si>
  <si>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</si>
  <si>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</si>
  <si>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</si>
  <si>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</si>
  <si>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</si>
  <si>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</si>
  <si>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</si>
  <si>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</si>
  <si>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</si>
  <si>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</si>
  <si>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</si>
  <si>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</si>
  <si>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</si>
  <si>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</si>
  <si>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</si>
  <si>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</si>
  <si>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</si>
  <si>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</si>
  <si>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</si>
  <si>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</si>
  <si>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</si>
  <si>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</si>
  <si>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</si>
  <si>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</si>
  <si>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</si>
  <si>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</si>
  <si>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</si>
  <si>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</si>
  <si>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</si>
  <si>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</si>
  <si>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</si>
  <si>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</si>
  <si>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</si>
  <si>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</si>
  <si>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</si>
  <si>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</si>
  <si>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</si>
  <si>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</si>
  <si>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</si>
  <si>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</si>
  <si>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</si>
  <si>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</si>
  <si>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</si>
  <si>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</si>
  <si>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</si>
  <si>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</si>
  <si>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</si>
  <si>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</si>
  <si>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</si>
  <si>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</si>
  <si>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</si>
  <si>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</si>
  <si>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</si>
  <si>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</si>
  <si>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</si>
  <si>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</si>
  <si>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</si>
  <si>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</si>
  <si>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</si>
  <si>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</si>
  <si>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</si>
  <si>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</si>
  <si>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</si>
  <si>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</si>
  <si>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</si>
  <si>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</si>
  <si>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</si>
  <si>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</si>
  <si>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</si>
  <si>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</si>
  <si>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</si>
  <si>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ENQ-19907-25-26</t>
  </si>
  <si>
    <t>FC0700035</t>
  </si>
  <si>
    <t>ACSR : RABBIT CONDUCTOR - 50 SQ. MM. (6/1/3.35) (XLPE INSULATED)</t>
  </si>
  <si>
    <t>WOOD</t>
  </si>
  <si>
    <t>KMS</t>
  </si>
  <si>
    <t>MD0100073</t>
  </si>
  <si>
    <t>DRUM - 48 X 14 X 26 X 2.25</t>
  </si>
  <si>
    <t>NON CHAIN BOM ID</t>
  </si>
  <si>
    <t>IS</t>
  </si>
  <si>
    <t>JODHPUR VIDYUT VITARAN NIGAM LIMITED</t>
  </si>
  <si>
    <t>TENDER SPECIFICATION NO ()</t>
  </si>
  <si>
    <t>TENDER DESCRIPTION  ()</t>
  </si>
  <si>
    <t>Last Date &amp; Time of Submission ()</t>
  </si>
  <si>
    <t>REVERSE AUCTION</t>
  </si>
  <si>
    <t>Price ()</t>
  </si>
  <si>
    <t>Validity  ()</t>
  </si>
  <si>
    <t>Delivery Period  ()</t>
  </si>
  <si>
    <t>Payment Terms ()</t>
  </si>
  <si>
    <t>Standard length ()</t>
  </si>
  <si>
    <t>Packing  ()</t>
  </si>
  <si>
    <t>The XLPE Insulated ACSR RABBIT Conductor shall be wound on a non returnable wooden drum conforming to IS: 10418/1982 of suitable size.</t>
  </si>
  <si>
    <t>Technical Specification</t>
  </si>
  <si>
    <t>TN2143 (2026_JdVVN_562439_1)</t>
  </si>
  <si>
    <t>LT XLPE Insulated ACSR Rabbit Conductor</t>
  </si>
  <si>
    <t>11-Jun-2026 12:00 PM
OPENING ON 11-Jun-2026 03:00 PM</t>
  </si>
  <si>
    <t>NOT MENTION</t>
  </si>
  <si>
    <t>120 days from the next date of opening of technocommercial bid.</t>
  </si>
  <si>
    <t>The 70% payment shall be released after receipt of successful Test reports from CTL, JdVVNL Jodhpur for the mandatory testing checking on the samples selected from the material received at stores against first lot and subsequent lot(s) in anticipation of successful type test reports.
The balance 30% payment shall be released after receipt of successful type test reports on the samples selected from the material received in the stores.</t>
  </si>
  <si>
    <t>The standard length of the insulated ACSR RABBIT conductor drum shall be 1000 meters. A tolerance of (+/-) 5% on the standard length offered by the Bidder shall be permitted. All length outside this limit of tolerance shall be treated as random lengths.
The maximum length in one drum shall be 3000 meter.</t>
  </si>
  <si>
    <t>The delivery of quoted quantity of conductor should be commenced after 30 days from the date of receipt of purchase order and shall be completed in 05 months thereafter at equal monthly
installments. In case of ordered quantity is different than the quoted quantity, then monthly delivery shall be adjusted proportionately. Bids of bidders in which monthly delivery schedule is not quoted shall be considered as Non Responsive.</t>
  </si>
  <si>
    <t>Base date for price variation : 01-05-2026
The price of XLPE Insulated ACSR RABBIT conductor shall be variable without any ceiling, based on the average prices of ex-prime producer of EC grade Aluminum rod and High Tensile Galvanized steel wire prevailing on 01-05-2026, as per CACMAI Circular. The average price of the EC grade Aluminum wire rod and price of High Tensile Galvanized steel wire shall be furnished along with the bid.
No Price Variation shall be allowed on XLPE Insulation.
No base price other than the prices prevailing on 01-05-2026 as per CACMAI Circular will be acceptable in any case.
A. For every one Rupee, increase / decrease per Kg. in the above price of EC grade Aluminum wire Rod, the price per Km. for ACSR Rabbit Conductor shall be increase / decrease by @ Rs.145.00.
B. For every one rupee, increase / decrease per Kg. in the above price of high tensile galvanized steel wire the price per Km. of ACSR Rabbit Conductor shall be increase / decrease by Rs.69.00.
The above price variation bears no ceiling limit.
PV1= (Al-Alo)*145/1000 ; PV2= (S- So)*69/1000 ; Net PV= PV1 + PV2</t>
  </si>
  <si>
    <t>CABLE WEIGHT KG/KM</t>
  </si>
  <si>
    <t>DRUM WEIGHT</t>
  </si>
  <si>
    <t>CABLE+DRUM WEIGHT</t>
  </si>
  <si>
    <t>TRUCK WEIGHT</t>
  </si>
  <si>
    <t>16 MT</t>
  </si>
  <si>
    <t>Estimated Unit FOR Destination Price</t>
  </si>
  <si>
    <t>Our Unit FOR Destination Price</t>
  </si>
  <si>
    <t>Diff % from our cost</t>
  </si>
  <si>
    <t>PV Terms (IEEMA CIRCULAR)</t>
  </si>
  <si>
    <t>PV FORMULA</t>
  </si>
  <si>
    <t>P=Po + W (Al - Alo) + Fe (fe-feo)</t>
  </si>
  <si>
    <t>Item</t>
  </si>
  <si>
    <t>Ex-Work</t>
  </si>
  <si>
    <t>Calculation part</t>
  </si>
  <si>
    <t>Date of Inspection</t>
  </si>
  <si>
    <t>Applicable Date</t>
  </si>
  <si>
    <t>FACTORS</t>
  </si>
  <si>
    <t>Ex-Work
Po</t>
  </si>
  <si>
    <t>PVC of Al</t>
  </si>
  <si>
    <t>PVC of Fe</t>
  </si>
  <si>
    <t>PVC per KM</t>
  </si>
  <si>
    <t>Billing Price/PKM</t>
  </si>
  <si>
    <t>VALUE ADDITION CALCULATION</t>
  </si>
  <si>
    <t>Date</t>
  </si>
  <si>
    <t>Al</t>
  </si>
  <si>
    <t>fe</t>
  </si>
  <si>
    <t>Alo</t>
  </si>
  <si>
    <t>feo</t>
  </si>
  <si>
    <t>W</t>
  </si>
  <si>
    <t>Fe</t>
  </si>
  <si>
    <t>RMC</t>
  </si>
  <si>
    <t>Drum</t>
  </si>
  <si>
    <t>RMC+DRUM</t>
  </si>
  <si>
    <t>VA</t>
  </si>
  <si>
    <t>Groos VA%</t>
  </si>
  <si>
    <t>Mfg %</t>
  </si>
  <si>
    <t>Int %</t>
  </si>
  <si>
    <t>Ins%</t>
  </si>
  <si>
    <t>Net VA</t>
  </si>
  <si>
    <t>PROVISIONAL</t>
  </si>
  <si>
    <t>Base date for price variation : 01-05-2026
The price of XLPE Insulated ACSR RABBIT conductor shall be variable without any ceiling, based on the average prices of ex-prime producer of EC grade Aluminum rod and High Tensile Galvanized steel wire prevailing on 01-05-2026, as per CACMAI Circular. The average price of the EC grade Aluminum wire rod and price of High Tensile Galvanized steel wire shall be furnished along with the bid.
PV1= (Al-Alo)*145/1000 ; PV2= (S- So)*69/1000 ; Net PV= PV1 + PV2
No Price Variation shall be allowed on XLPE Insulation.</t>
  </si>
  <si>
    <t>JODHPUR VIDYUT VITARAN NIGAM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</si>
</sst>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0"/>
    <numFmt numFmtId="171" formatCode="0.0000"/>
    <numFmt numFmtId="172" formatCode="0.000"/>
    <numFmt numFmtId="173" formatCode="&quot;Rs. &quot;#,##0.00"/>
    <numFmt numFmtId="174" formatCode="&quot;Rs.&quot;#,##0"/>
    <numFmt numFmtId="175" formatCode="0.0"/>
    <numFmt numFmtId="176" formatCode="&quot;Rs.&quot;#,##0.00"/>
  </numFmts>
  <fonts count="59"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sz val="10"/>
      <name val="Calibri"/>
      <family val="2"/>
      <scheme val="minor"/>
    </font>
    <font>
      <b/>
      <sz val="10"/>
      <name val="Calibri"/>
      <family val="2"/>
      <scheme val="minor"/>
    </font>
    <font>
      <b/>
      <sz val="11"/>
      <name val="Calibri"/>
      <family val="2"/>
      <scheme val="minor"/>
    </font>
    <font>
      <b/>
      <sz val="12"/>
      <name val="Calibri"/>
      <family val="2"/>
      <scheme val="minor"/>
    </font>
    <font>
      <sz val="10"/>
      <name val="Arial"/>
      <family val="2"/>
    </font>
    <font>
      <sz val="12"/>
      <name val="Calibri"/>
      <family val="2"/>
      <scheme val="minor"/>
    </font>
    <font>
      <sz val="12"/>
      <name val="Verdana"/>
      <family val="2"/>
    </font>
    <font>
      <b/>
      <sz val="10"/>
      <name val="Verdana"/>
      <family val="2"/>
    </font>
    <font>
      <b/>
      <sz val="10"/>
      <name val="Arial"/>
      <family val="2"/>
    </font>
    <font>
      <sz val="10"/>
      <color rgb="FFFF0000"/>
      <name val="Calibri"/>
      <family val="2"/>
      <scheme val="minor"/>
    </font>
  </fonts>
  <fills count="13">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4" fillId="0" borderId="0"/>
    <xf numFmtId="43" fontId="1" fillId="0" borderId="0" applyFont="0" applyFill="0" applyBorder="0" applyAlignment="0" applyProtection="0"/>
    <xf numFmtId="0" fontId="44" fillId="0" borderId="0"/>
    <xf numFmtId="0" fontId="53" fillId="0" borderId="0"/>
    <xf numFmtId="9" fontId="44" fillId="0" borderId="0" applyFont="0" applyFill="0" applyBorder="0" applyAlignment="0" applyProtection="0"/>
  </cellStyleXfs>
  <cellXfs count="251">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2" fillId="0" borderId="4" xfId="0" applyFont="1" applyBorder="1" applyAlignment="1">
      <alignment horizontal="center" vertical="center" wrapText="1"/>
    </xf>
    <xf numFmtId="0" fontId="23"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164" fontId="0" fillId="0" borderId="0" xfId="1" applyFont="1" applyAlignment="1">
      <alignment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3" fillId="5" borderId="1" xfId="0" applyFont="1" applyFill="1" applyBorder="1" applyAlignment="1">
      <alignment horizontal="center" vertical="center" wrapText="1"/>
    </xf>
    <xf numFmtId="3" fontId="43"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4"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2" fontId="2" fillId="0" borderId="0" xfId="5" applyNumberFormat="1" applyFont="1" applyFill="1" applyBorder="1" applyAlignment="1">
      <alignment horizontal="center" vertical="center"/>
    </xf>
    <xf numFmtId="0" fontId="3" fillId="8" borderId="1" xfId="0" applyFont="1" applyFill="1" applyBorder="1" applyAlignment="1">
      <alignment horizontal="center" vertical="center" wrapText="1"/>
    </xf>
    <xf numFmtId="164" fontId="3" fillId="8" borderId="1" xfId="1" applyFont="1" applyFill="1" applyBorder="1" applyAlignment="1">
      <alignment horizontal="center" vertical="center" wrapText="1"/>
    </xf>
    <xf numFmtId="164" fontId="0" fillId="8" borderId="1" xfId="1" applyFont="1" applyFill="1" applyBorder="1" applyAlignment="1">
      <alignment horizontal="center" vertical="center" wrapText="1"/>
    </xf>
    <xf numFmtId="0" fontId="0" fillId="0" borderId="0" xfId="0" applyAlignment="1">
      <alignment vertical="center"/>
    </xf>
    <xf numFmtId="0" fontId="2" fillId="9" borderId="9" xfId="0" applyFont="1" applyFill="1" applyBorder="1" applyAlignment="1">
      <alignment vertical="top" wrapText="1"/>
    </xf>
    <xf numFmtId="0" fontId="2" fillId="9" borderId="10" xfId="0" applyFont="1" applyFill="1" applyBorder="1" applyAlignment="1">
      <alignment vertical="top" wrapText="1"/>
    </xf>
    <xf numFmtId="0" fontId="2" fillId="9" borderId="1" xfId="0" applyFont="1" applyFill="1" applyBorder="1" applyAlignment="1">
      <alignment vertical="center" wrapText="1"/>
    </xf>
    <xf numFmtId="0" fontId="2" fillId="0" borderId="0" xfId="0" applyFont="1" applyAlignment="1">
      <alignment vertical="center" wrapText="1"/>
    </xf>
    <xf numFmtId="0" fontId="50" fillId="0" borderId="1" xfId="0" applyFont="1" applyBorder="1" applyAlignment="1">
      <alignment horizontal="center" vertical="center" wrapText="1"/>
    </xf>
    <xf numFmtId="0" fontId="51" fillId="0" borderId="1" xfId="0" applyFont="1" applyBorder="1" applyAlignment="1">
      <alignment horizontal="center" vertical="center" wrapText="1"/>
    </xf>
    <xf numFmtId="164" fontId="0" fillId="0" borderId="1" xfId="1" applyFont="1" applyBorder="1" applyAlignment="1">
      <alignment vertical="center" wrapText="1"/>
    </xf>
    <xf numFmtId="164" fontId="2" fillId="0" borderId="1" xfId="1" applyFont="1" applyBorder="1" applyAlignment="1">
      <alignment horizontal="center" vertical="top" wrapText="1"/>
    </xf>
    <xf numFmtId="0" fontId="2" fillId="0" borderId="1" xfId="0" applyFont="1" applyBorder="1" applyAlignment="1">
      <alignment wrapText="1"/>
    </xf>
    <xf numFmtId="164" fontId="2" fillId="0" borderId="1" xfId="1" applyFont="1" applyBorder="1"/>
    <xf numFmtId="164" fontId="2" fillId="0" borderId="1" xfId="0" applyNumberFormat="1" applyFont="1" applyBorder="1"/>
    <xf numFmtId="2" fontId="2" fillId="0" borderId="1" xfId="0" applyNumberFormat="1" applyFont="1" applyBorder="1" applyAlignment="1">
      <alignment horizontal="center"/>
    </xf>
    <xf numFmtId="0" fontId="52" fillId="0" borderId="0" xfId="6" applyFont="1" applyAlignment="1">
      <alignment horizontal="center" vertical="center"/>
    </xf>
    <xf numFmtId="0" fontId="52" fillId="0" borderId="0" xfId="6" applyFont="1" applyAlignment="1">
      <alignment vertical="center"/>
    </xf>
    <xf numFmtId="0" fontId="54" fillId="0" borderId="0" xfId="7" applyFont="1" applyAlignment="1">
      <alignment vertical="center"/>
    </xf>
    <xf numFmtId="0" fontId="55" fillId="0" borderId="0" xfId="6" applyFont="1" applyAlignment="1">
      <alignment vertical="center"/>
    </xf>
    <xf numFmtId="0" fontId="56" fillId="0" borderId="6" xfId="6" applyFont="1" applyBorder="1" applyAlignment="1">
      <alignment horizontal="center" vertical="center"/>
    </xf>
    <xf numFmtId="0" fontId="44" fillId="0" borderId="0" xfId="6" applyAlignment="1">
      <alignment horizontal="left"/>
    </xf>
    <xf numFmtId="0" fontId="49" fillId="0" borderId="0" xfId="6" applyFont="1" applyAlignment="1">
      <alignment horizontal="center"/>
    </xf>
    <xf numFmtId="0" fontId="49" fillId="0" borderId="0" xfId="7" applyFont="1"/>
    <xf numFmtId="0" fontId="44" fillId="0" borderId="0" xfId="6"/>
    <xf numFmtId="0" fontId="51" fillId="0" borderId="14" xfId="6" applyFont="1" applyBorder="1" applyAlignment="1">
      <alignment horizontal="center" vertical="center" wrapText="1"/>
    </xf>
    <xf numFmtId="0" fontId="49" fillId="0" borderId="0" xfId="6" applyFont="1" applyAlignment="1">
      <alignment horizontal="center" vertical="center" wrapText="1"/>
    </xf>
    <xf numFmtId="0" fontId="3" fillId="0" borderId="0" xfId="6" applyFont="1" applyAlignment="1">
      <alignment vertical="center"/>
    </xf>
    <xf numFmtId="0" fontId="3" fillId="0" borderId="0" xfId="6" applyFont="1" applyAlignment="1">
      <alignment horizontal="center" vertical="center" wrapText="1"/>
    </xf>
    <xf numFmtId="0" fontId="50" fillId="0" borderId="0" xfId="6" applyFont="1" applyAlignment="1">
      <alignment horizontal="center"/>
    </xf>
    <xf numFmtId="0" fontId="50" fillId="0" borderId="0" xfId="6" applyFont="1" applyAlignment="1">
      <alignment vertical="top"/>
    </xf>
    <xf numFmtId="0" fontId="50" fillId="0" borderId="0" xfId="6" applyFont="1" applyAlignment="1">
      <alignment horizontal="center" vertical="top" wrapText="1"/>
    </xf>
    <xf numFmtId="0" fontId="50" fillId="0" borderId="0" xfId="6" applyFont="1" applyAlignment="1">
      <alignment horizontal="center" vertical="center"/>
    </xf>
    <xf numFmtId="0" fontId="56" fillId="0" borderId="1" xfId="6" applyFont="1" applyBorder="1" applyAlignment="1">
      <alignment horizontal="center"/>
    </xf>
    <xf numFmtId="0" fontId="50" fillId="0" borderId="1" xfId="6" applyFont="1" applyBorder="1" applyAlignment="1">
      <alignment horizontal="center" vertical="center"/>
    </xf>
    <xf numFmtId="0" fontId="50" fillId="0" borderId="0" xfId="6" applyFont="1" applyAlignment="1">
      <alignment vertical="top" wrapText="1"/>
    </xf>
    <xf numFmtId="0" fontId="44" fillId="0" borderId="1" xfId="6" applyBorder="1" applyAlignment="1">
      <alignment horizontal="center" vertical="center" wrapText="1"/>
    </xf>
    <xf numFmtId="173" fontId="50" fillId="0" borderId="1" xfId="6" applyNumberFormat="1" applyFont="1" applyBorder="1" applyAlignment="1">
      <alignment vertical="center"/>
    </xf>
    <xf numFmtId="0" fontId="50" fillId="0" borderId="0" xfId="6" applyFont="1" applyAlignment="1">
      <alignment vertical="center"/>
    </xf>
    <xf numFmtId="0" fontId="44" fillId="0" borderId="0" xfId="6" applyAlignment="1">
      <alignment horizontal="center"/>
    </xf>
    <xf numFmtId="14" fontId="49" fillId="0" borderId="0" xfId="6" applyNumberFormat="1" applyFont="1" applyAlignment="1">
      <alignment horizontal="center"/>
    </xf>
    <xf numFmtId="0" fontId="50" fillId="0" borderId="10" xfId="7" applyFont="1" applyBorder="1" applyAlignment="1">
      <alignment horizontal="center" vertical="center" wrapText="1"/>
    </xf>
    <xf numFmtId="0" fontId="57" fillId="0" borderId="9" xfId="7" applyFont="1" applyBorder="1" applyAlignment="1">
      <alignment horizontal="center" vertical="center" wrapText="1"/>
    </xf>
    <xf numFmtId="0" fontId="57" fillId="0" borderId="23" xfId="7" applyFont="1" applyBorder="1" applyAlignment="1">
      <alignment horizontal="center" vertical="center" wrapText="1"/>
    </xf>
    <xf numFmtId="0" fontId="57" fillId="0" borderId="37" xfId="7" applyFont="1" applyBorder="1" applyAlignment="1">
      <alignment horizontal="center" vertical="center" wrapText="1"/>
    </xf>
    <xf numFmtId="0" fontId="57" fillId="0" borderId="16" xfId="7" applyFont="1" applyBorder="1" applyAlignment="1">
      <alignment horizontal="center" vertical="center" wrapText="1"/>
    </xf>
    <xf numFmtId="0" fontId="57" fillId="0" borderId="17" xfId="7" applyFont="1" applyBorder="1" applyAlignment="1">
      <alignment horizontal="center" vertical="center" wrapText="1"/>
    </xf>
    <xf numFmtId="0" fontId="44" fillId="0" borderId="28" xfId="6" applyBorder="1"/>
    <xf numFmtId="0" fontId="44" fillId="0" borderId="21" xfId="6" applyBorder="1"/>
    <xf numFmtId="0" fontId="49" fillId="0" borderId="29" xfId="7" applyFont="1" applyBorder="1"/>
    <xf numFmtId="0" fontId="49" fillId="0" borderId="38" xfId="7" applyFont="1" applyBorder="1" applyAlignment="1">
      <alignment horizontal="left" vertical="center" wrapText="1"/>
    </xf>
    <xf numFmtId="14" fontId="49" fillId="0" borderId="15" xfId="7" applyNumberFormat="1" applyFont="1" applyBorder="1" applyAlignment="1">
      <alignment horizontal="center" vertical="center" wrapText="1"/>
    </xf>
    <xf numFmtId="14" fontId="49" fillId="0" borderId="39" xfId="7" applyNumberFormat="1" applyFont="1" applyBorder="1" applyAlignment="1">
      <alignment horizontal="center" vertical="center" wrapText="1"/>
    </xf>
    <xf numFmtId="14" fontId="49" fillId="0" borderId="40" xfId="7" applyNumberFormat="1" applyFont="1" applyBorder="1" applyAlignment="1">
      <alignment horizontal="center" vertical="center" wrapText="1"/>
    </xf>
    <xf numFmtId="2" fontId="50" fillId="0" borderId="10" xfId="7" applyNumberFormat="1" applyFont="1" applyBorder="1" applyAlignment="1">
      <alignment horizontal="center" vertical="center" wrapText="1"/>
    </xf>
    <xf numFmtId="0" fontId="50" fillId="0" borderId="39" xfId="7" applyFont="1" applyBorder="1" applyAlignment="1">
      <alignment horizontal="center" vertical="center" wrapText="1"/>
    </xf>
    <xf numFmtId="0" fontId="49" fillId="0" borderId="15" xfId="7" applyFont="1" applyBorder="1" applyAlignment="1">
      <alignment horizontal="center" vertical="center" wrapText="1"/>
    </xf>
    <xf numFmtId="174" fontId="57" fillId="0" borderId="10" xfId="7" applyNumberFormat="1" applyFont="1" applyBorder="1" applyAlignment="1">
      <alignment horizontal="center" vertical="center" wrapText="1"/>
    </xf>
    <xf numFmtId="174" fontId="57" fillId="0" borderId="41" xfId="7" applyNumberFormat="1" applyFont="1" applyBorder="1" applyAlignment="1">
      <alignment horizontal="center" vertical="center" wrapText="1"/>
    </xf>
    <xf numFmtId="1" fontId="53" fillId="0" borderId="42" xfId="7" applyNumberFormat="1" applyBorder="1"/>
    <xf numFmtId="1" fontId="57" fillId="0" borderId="10" xfId="7" applyNumberFormat="1" applyFont="1" applyBorder="1"/>
    <xf numFmtId="1" fontId="53" fillId="0" borderId="1" xfId="7" applyNumberFormat="1" applyBorder="1"/>
    <xf numFmtId="1" fontId="53" fillId="0" borderId="1" xfId="7" applyNumberFormat="1" applyBorder="1" applyAlignment="1">
      <alignment horizontal="center"/>
    </xf>
    <xf numFmtId="0" fontId="53" fillId="0" borderId="43" xfId="7" applyBorder="1"/>
    <xf numFmtId="0" fontId="44" fillId="0" borderId="2" xfId="6" applyBorder="1" applyAlignment="1">
      <alignment horizontal="center" wrapText="1"/>
    </xf>
    <xf numFmtId="0" fontId="44" fillId="0" borderId="28" xfId="6" applyBorder="1" applyAlignment="1">
      <alignment wrapText="1"/>
    </xf>
    <xf numFmtId="14" fontId="49" fillId="0" borderId="44" xfId="7" applyNumberFormat="1" applyFont="1" applyBorder="1" applyAlignment="1">
      <alignment horizontal="center" vertical="center" wrapText="1"/>
    </xf>
    <xf numFmtId="14" fontId="49" fillId="10" borderId="10" xfId="7" applyNumberFormat="1" applyFont="1" applyFill="1" applyBorder="1" applyAlignment="1">
      <alignment horizontal="center" vertical="center" wrapText="1"/>
    </xf>
    <xf numFmtId="172" fontId="49" fillId="0" borderId="10" xfId="7" applyNumberFormat="1" applyFont="1" applyBorder="1" applyAlignment="1">
      <alignment horizontal="center" vertical="center" wrapText="1"/>
    </xf>
    <xf numFmtId="2" fontId="53" fillId="0" borderId="18" xfId="7" applyNumberFormat="1" applyBorder="1" applyAlignment="1">
      <alignment horizontal="center" vertical="center"/>
    </xf>
    <xf numFmtId="2" fontId="53" fillId="0" borderId="45" xfId="7" applyNumberFormat="1" applyBorder="1" applyAlignment="1">
      <alignment horizontal="center" vertical="center"/>
    </xf>
    <xf numFmtId="176" fontId="57" fillId="0" borderId="46" xfId="7" applyNumberFormat="1" applyFont="1" applyBorder="1" applyAlignment="1">
      <alignment vertical="center"/>
    </xf>
    <xf numFmtId="176" fontId="53" fillId="0" borderId="46" xfId="7" applyNumberFormat="1" applyBorder="1" applyAlignment="1">
      <alignment vertical="center"/>
    </xf>
    <xf numFmtId="10" fontId="56" fillId="0" borderId="18" xfId="8" applyNumberFormat="1" applyFont="1" applyFill="1" applyBorder="1" applyAlignment="1">
      <alignment vertical="center"/>
    </xf>
    <xf numFmtId="10" fontId="53" fillId="0" borderId="19" xfId="7" applyNumberFormat="1" applyBorder="1" applyAlignment="1">
      <alignment vertical="center"/>
    </xf>
    <xf numFmtId="10" fontId="56" fillId="0" borderId="20" xfId="7" applyNumberFormat="1" applyFont="1" applyBorder="1" applyAlignment="1">
      <alignment vertical="center"/>
    </xf>
    <xf numFmtId="0" fontId="44" fillId="0" borderId="0" xfId="6" applyAlignment="1">
      <alignment wrapText="1"/>
    </xf>
    <xf numFmtId="0" fontId="44" fillId="0" borderId="47" xfId="6" applyBorder="1" applyAlignment="1">
      <alignment wrapText="1"/>
    </xf>
    <xf numFmtId="14" fontId="49" fillId="0" borderId="48" xfId="7" applyNumberFormat="1" applyFont="1" applyBorder="1" applyAlignment="1">
      <alignment horizontal="center" vertical="center" wrapText="1"/>
    </xf>
    <xf numFmtId="14" fontId="49" fillId="0" borderId="18" xfId="7" applyNumberFormat="1" applyFont="1" applyBorder="1" applyAlignment="1">
      <alignment horizontal="center" vertical="center" wrapText="1"/>
    </xf>
    <xf numFmtId="2" fontId="49" fillId="0" borderId="19" xfId="7" applyNumberFormat="1" applyFont="1" applyBorder="1" applyAlignment="1">
      <alignment horizontal="center" vertical="center" wrapText="1"/>
    </xf>
    <xf numFmtId="2" fontId="49" fillId="0" borderId="49" xfId="7" applyNumberFormat="1" applyFont="1" applyBorder="1" applyAlignment="1">
      <alignment horizontal="center" vertical="center" wrapText="1"/>
    </xf>
    <xf numFmtId="2" fontId="49" fillId="0" borderId="18" xfId="7" applyNumberFormat="1" applyFont="1" applyBorder="1" applyAlignment="1">
      <alignment horizontal="center" vertical="center" wrapText="1"/>
    </xf>
    <xf numFmtId="175" fontId="49" fillId="0" borderId="49" xfId="7" applyNumberFormat="1" applyFont="1" applyBorder="1" applyAlignment="1">
      <alignment horizontal="center" vertical="center" wrapText="1"/>
    </xf>
    <xf numFmtId="170" fontId="49" fillId="0" borderId="49" xfId="7" applyNumberFormat="1" applyFont="1" applyBorder="1" applyAlignment="1">
      <alignment vertical="center" wrapText="1"/>
    </xf>
    <xf numFmtId="171" fontId="49" fillId="0" borderId="19" xfId="7" applyNumberFormat="1" applyFont="1" applyBorder="1" applyAlignment="1">
      <alignment horizontal="center" vertical="center" wrapText="1"/>
    </xf>
    <xf numFmtId="0" fontId="56" fillId="0" borderId="0" xfId="6" applyFont="1"/>
    <xf numFmtId="164" fontId="49" fillId="0" borderId="4" xfId="1" applyFont="1" applyBorder="1" applyAlignment="1">
      <alignment horizontal="center" vertical="center" wrapText="1"/>
    </xf>
    <xf numFmtId="164" fontId="58" fillId="0" borderId="1" xfId="1" applyFont="1" applyBorder="1" applyAlignment="1">
      <alignment horizontal="center" vertical="center" wrapText="1"/>
    </xf>
    <xf numFmtId="164" fontId="49" fillId="0" borderId="10" xfId="1" applyFont="1" applyBorder="1" applyAlignment="1">
      <alignment horizontal="center" vertical="center" wrapText="1"/>
    </xf>
    <xf numFmtId="164" fontId="49" fillId="0" borderId="4" xfId="1" applyFont="1" applyBorder="1" applyAlignment="1">
      <alignment vertical="center" wrapText="1"/>
    </xf>
    <xf numFmtId="164" fontId="49" fillId="11" borderId="1" xfId="1" applyFont="1" applyFill="1" applyBorder="1" applyAlignment="1">
      <alignment horizontal="center" vertical="center" wrapText="1"/>
    </xf>
    <xf numFmtId="164" fontId="49" fillId="12" borderId="1" xfId="1" applyFont="1" applyFill="1" applyBorder="1" applyAlignment="1">
      <alignment horizontal="center" vertical="center" wrapText="1"/>
    </xf>
    <xf numFmtId="0" fontId="0" fillId="0" borderId="1" xfId="0" applyBorder="1" applyAlignment="1">
      <alignment vertical="center" wrapText="1"/>
    </xf>
    <xf numFmtId="0" fontId="48" fillId="0" borderId="1" xfId="0" applyFont="1" applyBorder="1" applyAlignment="1">
      <alignment horizontal="left" vertical="top" wrapText="1"/>
    </xf>
    <xf numFmtId="0" fontId="48" fillId="0" borderId="2" xfId="0" applyFont="1" applyBorder="1" applyAlignment="1">
      <alignment horizontal="left" vertical="top" wrapText="1"/>
    </xf>
    <xf numFmtId="0" fontId="48" fillId="0" borderId="3" xfId="0" applyFont="1" applyBorder="1" applyAlignment="1">
      <alignment horizontal="left" vertical="top" wrapText="1"/>
    </xf>
    <xf numFmtId="0" fontId="48" fillId="0" borderId="4" xfId="0" applyFont="1" applyBorder="1" applyAlignment="1">
      <alignment horizontal="left" vertical="top" wrapText="1"/>
    </xf>
    <xf numFmtId="0" fontId="48" fillId="0" borderId="2" xfId="0" applyFont="1" applyBorder="1" applyAlignment="1">
      <alignment horizontal="justify" vertical="top" wrapText="1"/>
    </xf>
    <xf numFmtId="0" fontId="48" fillId="0" borderId="3" xfId="0" applyFont="1" applyBorder="1" applyAlignment="1">
      <alignment horizontal="justify" vertical="top" wrapText="1"/>
    </xf>
    <xf numFmtId="0" fontId="48" fillId="0" borderId="4" xfId="0" applyFont="1" applyBorder="1" applyAlignment="1">
      <alignment horizontal="justify" vertical="top" wrapText="1"/>
    </xf>
    <xf numFmtId="0" fontId="47" fillId="0" borderId="6" xfId="0" applyFont="1" applyBorder="1" applyAlignment="1">
      <alignment horizontal="center"/>
    </xf>
    <xf numFmtId="0" fontId="47" fillId="0" borderId="7" xfId="0" applyFont="1" applyBorder="1" applyAlignment="1">
      <alignment horizontal="center"/>
    </xf>
    <xf numFmtId="0" fontId="47" fillId="0" borderId="8" xfId="0" applyFont="1" applyBorder="1" applyAlignment="1">
      <alignment horizontal="center"/>
    </xf>
    <xf numFmtId="0" fontId="48" fillId="0" borderId="1" xfId="0" applyFont="1" applyBorder="1" applyAlignment="1">
      <alignment horizontal="left" vertical="top"/>
    </xf>
    <xf numFmtId="0" fontId="42" fillId="5" borderId="2" xfId="0" applyFont="1" applyFill="1" applyBorder="1" applyAlignment="1">
      <alignment horizontal="center" vertical="center" wrapText="1"/>
    </xf>
    <xf numFmtId="0" fontId="42" fillId="5" borderId="3" xfId="0" applyFont="1" applyFill="1" applyBorder="1" applyAlignment="1">
      <alignment horizontal="center" vertical="center" wrapText="1"/>
    </xf>
    <xf numFmtId="0" fontId="42" fillId="5" borderId="4" xfId="0" applyFont="1" applyFill="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6" fillId="0" borderId="21" xfId="6" applyFont="1" applyBorder="1" applyAlignment="1">
      <alignment horizontal="center" vertical="center"/>
    </xf>
    <xf numFmtId="0" fontId="56" fillId="0" borderId="28" xfId="6" applyFont="1" applyBorder="1" applyAlignment="1">
      <alignment horizontal="center" vertical="center"/>
    </xf>
    <xf numFmtId="0" fontId="56" fillId="0" borderId="36" xfId="6" applyFont="1" applyBorder="1" applyAlignment="1">
      <alignment horizontal="center" vertical="center"/>
    </xf>
    <xf numFmtId="0" fontId="56" fillId="0" borderId="21" xfId="6" applyFont="1" applyBorder="1" applyAlignment="1">
      <alignment horizontal="center" vertical="center" wrapText="1"/>
    </xf>
    <xf numFmtId="0" fontId="56" fillId="0" borderId="28" xfId="6" applyFont="1" applyBorder="1" applyAlignment="1">
      <alignment horizontal="center" vertical="center" wrapText="1"/>
    </xf>
    <xf numFmtId="0" fontId="50" fillId="0" borderId="22" xfId="7" applyFont="1" applyBorder="1" applyAlignment="1">
      <alignment horizontal="center" vertical="center" wrapText="1"/>
    </xf>
    <xf numFmtId="0" fontId="50" fillId="0" borderId="29" xfId="7" applyFont="1" applyBorder="1" applyAlignment="1">
      <alignment horizontal="center" vertical="center" wrapText="1"/>
    </xf>
    <xf numFmtId="0" fontId="50" fillId="0" borderId="32" xfId="7" applyFont="1" applyBorder="1" applyAlignment="1">
      <alignment horizontal="center" vertical="center" wrapText="1"/>
    </xf>
    <xf numFmtId="0" fontId="50" fillId="0" borderId="23" xfId="7" applyFont="1" applyBorder="1" applyAlignment="1">
      <alignment horizontal="center" vertical="center" wrapText="1"/>
    </xf>
    <xf numFmtId="0" fontId="50" fillId="0" borderId="24" xfId="7" applyFont="1" applyBorder="1" applyAlignment="1">
      <alignment horizontal="center" vertical="center" wrapText="1"/>
    </xf>
    <xf numFmtId="0" fontId="50" fillId="0" borderId="25" xfId="7" applyFont="1" applyBorder="1" applyAlignment="1">
      <alignment horizontal="center" vertical="center" wrapText="1"/>
    </xf>
    <xf numFmtId="0" fontId="52" fillId="0" borderId="11" xfId="6" applyFont="1" applyBorder="1" applyAlignment="1">
      <alignment horizontal="center" vertical="center" wrapText="1"/>
    </xf>
    <xf numFmtId="0" fontId="52" fillId="0" borderId="12" xfId="6" applyFont="1" applyBorder="1" applyAlignment="1">
      <alignment horizontal="center" vertical="center"/>
    </xf>
    <xf numFmtId="0" fontId="52" fillId="0" borderId="13" xfId="6" applyFont="1" applyBorder="1" applyAlignment="1">
      <alignment horizontal="center" vertical="center"/>
    </xf>
    <xf numFmtId="14" fontId="56" fillId="0" borderId="6" xfId="6" applyNumberFormat="1" applyFont="1" applyBorder="1" applyAlignment="1">
      <alignment horizontal="center" vertical="center"/>
    </xf>
    <xf numFmtId="0" fontId="56" fillId="0" borderId="7" xfId="6" applyFont="1" applyBorder="1" applyAlignment="1">
      <alignment horizontal="center" vertical="center"/>
    </xf>
    <xf numFmtId="0" fontId="56" fillId="0" borderId="8" xfId="6" applyFont="1" applyBorder="1" applyAlignment="1">
      <alignment horizontal="center" vertical="center"/>
    </xf>
    <xf numFmtId="0" fontId="48" fillId="0" borderId="6" xfId="6" applyFont="1" applyBorder="1" applyAlignment="1">
      <alignment horizontal="left" vertical="center" wrapText="1"/>
    </xf>
    <xf numFmtId="0" fontId="48" fillId="0" borderId="7" xfId="6" applyFont="1" applyBorder="1" applyAlignment="1">
      <alignment horizontal="left" vertical="center" wrapText="1"/>
    </xf>
    <xf numFmtId="0" fontId="48" fillId="0" borderId="8" xfId="6" applyFont="1" applyBorder="1" applyAlignment="1">
      <alignment horizontal="left" vertical="center" wrapText="1"/>
    </xf>
    <xf numFmtId="0" fontId="50" fillId="0" borderId="15" xfId="6" applyFont="1" applyBorder="1" applyAlignment="1">
      <alignment horizontal="center"/>
    </xf>
    <xf numFmtId="0" fontId="50" fillId="0" borderId="9" xfId="6" applyFont="1" applyBorder="1" applyAlignment="1">
      <alignment horizontal="center" vertical="center"/>
    </xf>
    <xf numFmtId="0" fontId="50" fillId="0" borderId="16" xfId="6" applyFont="1" applyBorder="1" applyAlignment="1">
      <alignment horizontal="center" vertical="center"/>
    </xf>
    <xf numFmtId="0" fontId="50" fillId="0" borderId="17" xfId="6" applyFont="1" applyBorder="1" applyAlignment="1">
      <alignment horizontal="center" vertical="center"/>
    </xf>
    <xf numFmtId="0" fontId="50" fillId="0" borderId="18" xfId="6" applyFont="1" applyBorder="1" applyAlignment="1">
      <alignment horizontal="center" vertical="center"/>
    </xf>
    <xf numFmtId="0" fontId="50" fillId="0" borderId="19" xfId="6" applyFont="1" applyBorder="1" applyAlignment="1">
      <alignment horizontal="center" vertical="center"/>
    </xf>
    <xf numFmtId="0" fontId="50" fillId="0" borderId="20" xfId="6" applyFont="1" applyBorder="1" applyAlignment="1">
      <alignment horizontal="center" vertical="center"/>
    </xf>
    <xf numFmtId="0" fontId="57" fillId="0" borderId="6" xfId="7" applyFont="1" applyBorder="1" applyAlignment="1">
      <alignment horizontal="center" vertical="center"/>
    </xf>
    <xf numFmtId="0" fontId="57" fillId="0" borderId="7" xfId="7" applyFont="1" applyBorder="1" applyAlignment="1">
      <alignment horizontal="center" vertical="center"/>
    </xf>
    <xf numFmtId="0" fontId="57" fillId="0" borderId="8" xfId="7" applyFont="1" applyBorder="1" applyAlignment="1">
      <alignment horizontal="center" vertical="center"/>
    </xf>
    <xf numFmtId="0" fontId="57" fillId="0" borderId="26" xfId="7" applyFont="1" applyBorder="1" applyAlignment="1">
      <alignment horizontal="center" vertical="center"/>
    </xf>
    <xf numFmtId="0" fontId="57" fillId="0" borderId="27" xfId="7" applyFont="1" applyBorder="1" applyAlignment="1">
      <alignment horizontal="center" vertical="center"/>
    </xf>
    <xf numFmtId="0" fontId="57" fillId="0" borderId="22" xfId="7" applyFont="1" applyBorder="1" applyAlignment="1">
      <alignment horizontal="center" vertical="center"/>
    </xf>
    <xf numFmtId="0" fontId="57" fillId="0" borderId="33" xfId="7" applyFont="1" applyBorder="1" applyAlignment="1">
      <alignment horizontal="center" vertical="center"/>
    </xf>
    <xf numFmtId="0" fontId="57" fillId="0" borderId="34" xfId="7" applyFont="1" applyBorder="1" applyAlignment="1">
      <alignment horizontal="center" vertical="center"/>
    </xf>
    <xf numFmtId="0" fontId="57" fillId="0" borderId="35" xfId="7" applyFont="1" applyBorder="1" applyAlignment="1">
      <alignment horizontal="center" vertical="center"/>
    </xf>
    <xf numFmtId="0" fontId="50" fillId="0" borderId="10" xfId="7" applyFont="1" applyBorder="1" applyAlignment="1">
      <alignment horizontal="center" vertical="center" wrapText="1"/>
    </xf>
    <xf numFmtId="0" fontId="50" fillId="0" borderId="1" xfId="7" applyFont="1" applyBorder="1" applyAlignment="1">
      <alignment horizontal="center" vertical="center" wrapText="1"/>
    </xf>
    <xf numFmtId="0" fontId="50" fillId="0" borderId="30" xfId="7" applyFont="1" applyBorder="1" applyAlignment="1">
      <alignment horizontal="center" vertical="center" wrapText="1"/>
    </xf>
    <xf numFmtId="0" fontId="50" fillId="0" borderId="31" xfId="7" applyFont="1" applyBorder="1" applyAlignment="1">
      <alignment horizontal="center" vertical="center" wrapText="1"/>
    </xf>
    <xf numFmtId="0" fontId="50" fillId="0" borderId="26" xfId="7" applyFont="1" applyBorder="1" applyAlignment="1">
      <alignment horizontal="center" vertical="center" wrapText="1"/>
    </xf>
    <xf numFmtId="0" fontId="50" fillId="0" borderId="9" xfId="7" applyFont="1" applyBorder="1" applyAlignment="1">
      <alignment horizontal="center" vertical="center" wrapText="1"/>
    </xf>
    <xf numFmtId="0" fontId="50" fillId="0" borderId="16" xfId="7" applyFont="1" applyBorder="1" applyAlignment="1">
      <alignment horizontal="center" vertical="center" wrapText="1"/>
    </xf>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832F94F9-8DA1-426F-B02A-E37D72217A63}"/>
    <cellStyle name="Normal 6 2" xfId="6" xr:uid="{8C6C3D69-755B-41E2-AFB0-464A557C87F3}"/>
    <cellStyle name="Percent" xfId="2" builtinId="5"/>
    <cellStyle name="Percent 2" xfId="8" xr:uid="{78455313-0B92-4D13-B0F1-924711019A66}"/>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8"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5" t="s">
        <v>138</v>
      </c>
      <c r="G1" s="55" t="s">
        <v>139</v>
      </c>
      <c r="H1" s="55" t="s">
        <v>140</v>
      </c>
      <c r="I1" s="55" t="s">
        <v>141</v>
      </c>
      <c r="J1" s="50" t="s">
        <v>82</v>
      </c>
      <c r="K1" s="50" t="s">
        <v>142</v>
      </c>
      <c r="L1" s="50" t="s">
        <v>143</v>
      </c>
      <c r="M1" s="50" t="s">
        <v>144</v>
      </c>
      <c r="N1" s="49" t="s">
        <v>4</v>
      </c>
      <c r="O1" s="49" t="s">
        <v>145</v>
      </c>
      <c r="P1" s="49" t="s">
        <v>146</v>
      </c>
      <c r="Q1" s="49" t="s">
        <v>147</v>
      </c>
      <c r="R1" s="53" t="s">
        <v>148</v>
      </c>
      <c r="S1" s="53" t="s">
        <v>149</v>
      </c>
      <c r="T1" s="53" t="s">
        <v>150</v>
      </c>
      <c r="U1" s="53" t="s">
        <v>151</v>
      </c>
      <c r="V1" s="52" t="s">
        <v>6</v>
      </c>
      <c r="W1" s="52" t="s">
        <v>152</v>
      </c>
      <c r="X1" s="52" t="s">
        <v>153</v>
      </c>
      <c r="Y1" s="52" t="s">
        <v>154</v>
      </c>
      <c r="Z1" s="1" t="s">
        <v>155</v>
      </c>
      <c r="AA1" s="1" t="s">
        <v>156</v>
      </c>
      <c r="AB1" s="1" t="s">
        <v>157</v>
      </c>
      <c r="AC1" s="1" t="s">
        <v>158</v>
      </c>
      <c r="AD1" s="51" t="s">
        <v>8</v>
      </c>
      <c r="AE1" s="51" t="s">
        <v>159</v>
      </c>
      <c r="AF1" s="51" t="s">
        <v>160</v>
      </c>
      <c r="AG1" s="51" t="s">
        <v>161</v>
      </c>
      <c r="AH1" s="52" t="s">
        <v>9</v>
      </c>
      <c r="AI1" s="52" t="s">
        <v>162</v>
      </c>
      <c r="AJ1" s="52" t="s">
        <v>163</v>
      </c>
      <c r="AK1" s="52" t="s">
        <v>164</v>
      </c>
      <c r="AL1" s="1" t="s">
        <v>10</v>
      </c>
      <c r="AM1" s="1" t="s">
        <v>165</v>
      </c>
      <c r="AN1" s="1" t="s">
        <v>166</v>
      </c>
      <c r="AO1" s="1" t="s">
        <v>167</v>
      </c>
      <c r="AP1" s="54" t="s">
        <v>168</v>
      </c>
      <c r="AQ1" s="54" t="s">
        <v>169</v>
      </c>
      <c r="AR1" s="54" t="s">
        <v>170</v>
      </c>
      <c r="AS1" s="54"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0"/>
      <c r="C2" s="1" t="s">
        <v>221</v>
      </c>
      <c r="D2" s="1" t="s">
        <v>222</v>
      </c>
      <c r="E2" s="1" t="s">
        <v>223</v>
      </c>
      <c r="F2" s="55"/>
      <c r="G2" s="55"/>
      <c r="H2" s="55">
        <v>0</v>
      </c>
      <c r="I2" s="55"/>
      <c r="J2" s="50" t="s">
        <v>41</v>
      </c>
      <c r="K2" s="50"/>
      <c r="L2" s="50">
        <v>145</v>
      </c>
      <c r="M2" s="50"/>
      <c r="N2" s="49"/>
      <c r="O2" s="49"/>
      <c r="P2" s="49">
        <v>0</v>
      </c>
      <c r="Q2" s="49"/>
      <c r="R2" s="53"/>
      <c r="S2" s="53"/>
      <c r="T2" s="53">
        <v>0</v>
      </c>
      <c r="U2" s="53"/>
      <c r="V2" s="52" t="s">
        <v>47</v>
      </c>
      <c r="W2" s="52"/>
      <c r="X2" s="52">
        <v>53</v>
      </c>
      <c r="Y2" s="52"/>
      <c r="Z2" s="1"/>
      <c r="AA2" s="1"/>
      <c r="AB2" s="1">
        <v>0</v>
      </c>
      <c r="AC2" s="1"/>
      <c r="AD2" s="51"/>
      <c r="AE2" s="51"/>
      <c r="AF2" s="51">
        <v>0</v>
      </c>
      <c r="AG2" s="51"/>
      <c r="AH2" s="52" t="s">
        <v>55</v>
      </c>
      <c r="AI2" s="52"/>
      <c r="AJ2" s="52">
        <v>69</v>
      </c>
      <c r="AK2" s="52"/>
      <c r="AL2" s="1"/>
      <c r="AM2" s="1"/>
      <c r="AN2" s="1">
        <v>0</v>
      </c>
      <c r="AO2" s="1"/>
      <c r="AP2" s="54"/>
      <c r="AQ2" s="54"/>
      <c r="AR2" s="54">
        <v>0</v>
      </c>
      <c r="AS2" s="54"/>
      <c r="AT2" s="1"/>
      <c r="AU2" s="1"/>
      <c r="AV2" s="1">
        <v>0</v>
      </c>
      <c r="AW2" s="1"/>
      <c r="AX2" s="1"/>
      <c r="AY2" s="1"/>
      <c r="AZ2" s="1">
        <v>0</v>
      </c>
      <c r="BA2" s="1"/>
      <c r="BB2" s="1"/>
      <c r="BC2" s="1"/>
      <c r="BD2" s="1">
        <v>0</v>
      </c>
      <c r="BE2" s="1"/>
      <c r="BF2" s="1"/>
      <c r="BG2" s="1"/>
      <c r="BH2" s="1">
        <v>0</v>
      </c>
      <c r="BI2" s="1"/>
      <c r="BJ2" s="1"/>
      <c r="BK2" s="1"/>
      <c r="BL2" s="1">
        <v>0</v>
      </c>
      <c r="BM2" s="67"/>
      <c r="BN2" s="1"/>
      <c r="BO2" s="1"/>
      <c r="BP2" s="1">
        <v>0</v>
      </c>
      <c r="BQ2" s="1"/>
      <c r="BR2" s="1"/>
      <c r="BS2" s="1"/>
      <c r="BT2" s="1">
        <v>0</v>
      </c>
      <c r="BU2" s="1"/>
      <c r="BV2" s="1"/>
      <c r="BW2" s="1"/>
      <c r="BX2" s="1">
        <v>0</v>
      </c>
      <c r="BY2" s="1"/>
      <c r="BZ2" s="1">
        <v>1312.67</v>
      </c>
      <c r="CA2" s="1">
        <v>1312.67</v>
      </c>
      <c r="CB2" s="57"/>
      <c r="CC2" s="1"/>
      <c r="CD2" s="57"/>
      <c r="CE2" s="1"/>
      <c r="CF2" s="57"/>
      <c r="CG2" s="1"/>
      <c r="CH2" s="1">
        <v>1312.67</v>
      </c>
      <c r="CI2" s="57"/>
      <c r="CJ2" s="1"/>
      <c r="CK2" s="57"/>
      <c r="CL2" s="1"/>
      <c r="CM2" s="1"/>
      <c r="CN2" s="1"/>
      <c r="CO2" s="1">
        <v>1312.67</v>
      </c>
      <c r="CP2" s="57"/>
      <c r="CQ2" s="1">
        <v>1312.67</v>
      </c>
      <c r="CR2" s="57">
        <v>0.18</v>
      </c>
      <c r="CS2" s="1">
        <v>236.28</v>
      </c>
      <c r="CT2" s="1">
        <v>1548.95</v>
      </c>
      <c r="CU2" s="56">
        <v>200</v>
      </c>
      <c r="CV2" s="56" t="s">
        <v>224</v>
      </c>
      <c r="CW2" s="56">
        <v>309790</v>
      </c>
      <c r="CX2" s="1">
        <v>3000</v>
      </c>
      <c r="CY2" s="10" t="s">
        <v>225</v>
      </c>
      <c r="CZ2" s="10" t="s">
        <v>226</v>
      </c>
    </row>
    <row r="3" spans="1:104" s="10" customFormat="1" ht="18" customHeight="1" x14ac:dyDescent="0.25">
      <c r="A3" s="6"/>
      <c r="B3" s="60"/>
      <c r="C3" s="1"/>
      <c r="D3" s="1"/>
      <c r="E3" s="1"/>
      <c r="F3" s="55"/>
      <c r="G3" s="55"/>
      <c r="H3" s="55"/>
      <c r="I3" s="55"/>
      <c r="J3" s="50"/>
      <c r="K3" s="50"/>
      <c r="L3" s="50"/>
      <c r="M3" s="50"/>
      <c r="N3" s="49"/>
      <c r="O3" s="49"/>
      <c r="P3" s="49"/>
      <c r="Q3" s="49"/>
      <c r="R3" s="53"/>
      <c r="S3" s="53"/>
      <c r="T3" s="53"/>
      <c r="U3" s="53"/>
      <c r="V3" s="52"/>
      <c r="W3" s="52"/>
      <c r="X3" s="52"/>
      <c r="Y3" s="52"/>
      <c r="Z3" s="1"/>
      <c r="AA3" s="1"/>
      <c r="AB3" s="1"/>
      <c r="AC3" s="1"/>
      <c r="AD3" s="51"/>
      <c r="AE3" s="51"/>
      <c r="AF3" s="51"/>
      <c r="AG3" s="51"/>
      <c r="AH3" s="52"/>
      <c r="AI3" s="52"/>
      <c r="AJ3" s="52"/>
      <c r="AK3" s="52"/>
      <c r="AL3" s="1"/>
      <c r="AM3" s="1"/>
      <c r="AN3" s="1"/>
      <c r="AO3" s="1"/>
      <c r="AP3" s="54"/>
      <c r="AQ3" s="54"/>
      <c r="AR3" s="54"/>
      <c r="AS3" s="54"/>
      <c r="AT3" s="1"/>
      <c r="AU3" s="1"/>
      <c r="AV3" s="1"/>
      <c r="AW3" s="1"/>
      <c r="AX3" s="1"/>
      <c r="AY3" s="1"/>
      <c r="AZ3" s="1"/>
      <c r="BA3" s="1"/>
      <c r="BB3" s="1"/>
      <c r="BC3" s="1"/>
      <c r="BD3" s="1"/>
      <c r="BE3" s="1"/>
      <c r="BF3" s="1"/>
      <c r="BG3" s="1"/>
      <c r="BH3" s="1"/>
      <c r="BI3" s="1"/>
      <c r="BJ3" s="1"/>
      <c r="BK3" s="1"/>
      <c r="BL3" s="1"/>
      <c r="BM3" s="67"/>
      <c r="BN3" s="1"/>
      <c r="BO3" s="1"/>
      <c r="BP3" s="1"/>
      <c r="BQ3" s="1"/>
      <c r="BR3" s="1"/>
      <c r="BS3" s="1"/>
      <c r="BT3" s="1"/>
      <c r="BU3" s="1"/>
      <c r="BV3" s="1"/>
      <c r="BW3" s="1"/>
      <c r="BX3" s="1"/>
      <c r="BY3" s="1"/>
      <c r="BZ3" s="1"/>
      <c r="CA3" s="1"/>
      <c r="CB3" s="57"/>
      <c r="CC3" s="1"/>
      <c r="CD3" s="57"/>
      <c r="CE3" s="1"/>
      <c r="CF3" s="57"/>
      <c r="CG3" s="1"/>
      <c r="CH3" s="1"/>
      <c r="CI3" s="57"/>
      <c r="CJ3" s="1"/>
      <c r="CK3" s="57"/>
      <c r="CL3" s="1"/>
      <c r="CM3" s="1"/>
      <c r="CN3" s="1"/>
      <c r="CO3" s="1"/>
      <c r="CP3" s="57"/>
      <c r="CQ3" s="1"/>
      <c r="CR3" s="57"/>
      <c r="CS3" s="1"/>
      <c r="CT3" s="1"/>
      <c r="CU3" s="56"/>
      <c r="CV3" s="56"/>
      <c r="CW3" s="56"/>
      <c r="CX3" s="1"/>
    </row>
    <row r="4" spans="1:104" s="10" customFormat="1" ht="18" customHeight="1" x14ac:dyDescent="0.25">
      <c r="A4" s="6"/>
      <c r="B4" s="60"/>
      <c r="C4" s="1"/>
      <c r="D4" s="1"/>
      <c r="E4" s="1"/>
      <c r="F4" s="55"/>
      <c r="G4" s="55"/>
      <c r="H4" s="55"/>
      <c r="I4" s="55"/>
      <c r="J4" s="50"/>
      <c r="K4" s="50"/>
      <c r="L4" s="50"/>
      <c r="M4" s="50"/>
      <c r="N4" s="49"/>
      <c r="O4" s="49"/>
      <c r="P4" s="49"/>
      <c r="Q4" s="49"/>
      <c r="R4" s="53"/>
      <c r="S4" s="53"/>
      <c r="T4" s="53"/>
      <c r="U4" s="53"/>
      <c r="V4" s="52"/>
      <c r="W4" s="52"/>
      <c r="X4" s="52"/>
      <c r="Y4" s="52"/>
      <c r="Z4" s="1"/>
      <c r="AA4" s="1"/>
      <c r="AB4" s="1"/>
      <c r="AC4" s="1"/>
      <c r="AD4" s="51"/>
      <c r="AE4" s="51"/>
      <c r="AF4" s="51"/>
      <c r="AG4" s="51"/>
      <c r="AH4" s="52"/>
      <c r="AI4" s="52"/>
      <c r="AJ4" s="52"/>
      <c r="AK4" s="52"/>
      <c r="AL4" s="1"/>
      <c r="AM4" s="1"/>
      <c r="AN4" s="1"/>
      <c r="AO4" s="1"/>
      <c r="AP4" s="54"/>
      <c r="AQ4" s="54"/>
      <c r="AR4" s="54"/>
      <c r="AS4" s="54"/>
      <c r="AT4" s="1"/>
      <c r="AU4" s="1"/>
      <c r="AV4" s="1"/>
      <c r="AW4" s="1"/>
      <c r="AX4" s="1"/>
      <c r="AY4" s="1"/>
      <c r="AZ4" s="1"/>
      <c r="BA4" s="1"/>
      <c r="BB4" s="1"/>
      <c r="BC4" s="1"/>
      <c r="BD4" s="1"/>
      <c r="BE4" s="1"/>
      <c r="BF4" s="1"/>
      <c r="BG4" s="1"/>
      <c r="BH4" s="1"/>
      <c r="BI4" s="1"/>
      <c r="BJ4" s="1"/>
      <c r="BK4" s="1"/>
      <c r="BL4" s="1"/>
      <c r="BM4" s="67"/>
      <c r="BN4" s="1"/>
      <c r="BO4" s="1"/>
      <c r="BP4" s="1"/>
      <c r="BQ4" s="1"/>
      <c r="BR4" s="1"/>
      <c r="BS4" s="1"/>
      <c r="BT4" s="1"/>
      <c r="BU4" s="1"/>
      <c r="BV4" s="1"/>
      <c r="BW4" s="1"/>
      <c r="BX4" s="1"/>
      <c r="BY4" s="1"/>
      <c r="BZ4" s="1"/>
      <c r="CA4" s="1"/>
      <c r="CB4" s="57"/>
      <c r="CC4" s="1"/>
      <c r="CD4" s="57"/>
      <c r="CE4" s="1"/>
      <c r="CF4" s="57"/>
      <c r="CG4" s="1"/>
      <c r="CH4" s="1"/>
      <c r="CI4" s="57"/>
      <c r="CJ4" s="1"/>
      <c r="CK4" s="57"/>
      <c r="CL4" s="1"/>
      <c r="CM4" s="1"/>
      <c r="CN4" s="1"/>
      <c r="CO4" s="1"/>
      <c r="CP4" s="57"/>
      <c r="CQ4" s="1"/>
      <c r="CR4" s="57"/>
      <c r="CS4" s="1"/>
      <c r="CT4" s="1"/>
      <c r="CU4" s="56"/>
      <c r="CV4" s="56"/>
      <c r="CW4" s="56"/>
      <c r="CX4" s="1"/>
    </row>
    <row r="5" spans="1:104" s="10" customFormat="1" ht="18" customHeight="1" x14ac:dyDescent="0.25">
      <c r="A5" s="6"/>
      <c r="B5" s="60"/>
      <c r="C5" s="1"/>
      <c r="D5" s="1"/>
      <c r="E5" s="1"/>
      <c r="F5" s="55"/>
      <c r="G5" s="55"/>
      <c r="H5" s="55"/>
      <c r="I5" s="55"/>
      <c r="J5" s="50"/>
      <c r="K5" s="50"/>
      <c r="L5" s="50"/>
      <c r="M5" s="50"/>
      <c r="N5" s="49"/>
      <c r="O5" s="49"/>
      <c r="P5" s="49"/>
      <c r="Q5" s="49"/>
      <c r="R5" s="53"/>
      <c r="S5" s="53"/>
      <c r="T5" s="53"/>
      <c r="U5" s="53"/>
      <c r="V5" s="52"/>
      <c r="W5" s="52"/>
      <c r="X5" s="52"/>
      <c r="Y5" s="52"/>
      <c r="Z5" s="1"/>
      <c r="AA5" s="1"/>
      <c r="AB5" s="1"/>
      <c r="AC5" s="1"/>
      <c r="AD5" s="51"/>
      <c r="AE5" s="51"/>
      <c r="AF5" s="51"/>
      <c r="AG5" s="51"/>
      <c r="AH5" s="52"/>
      <c r="AI5" s="52"/>
      <c r="AJ5" s="52"/>
      <c r="AK5" s="52"/>
      <c r="AL5" s="1"/>
      <c r="AM5" s="1"/>
      <c r="AN5" s="1"/>
      <c r="AO5" s="1"/>
      <c r="AP5" s="54"/>
      <c r="AQ5" s="54"/>
      <c r="AR5" s="54"/>
      <c r="AS5" s="54"/>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57"/>
      <c r="CC5" s="1"/>
      <c r="CD5" s="57"/>
      <c r="CE5" s="1"/>
      <c r="CF5" s="57"/>
      <c r="CG5" s="1"/>
      <c r="CH5" s="1"/>
      <c r="CI5" s="57"/>
      <c r="CJ5" s="1"/>
      <c r="CK5" s="57"/>
      <c r="CL5" s="1"/>
      <c r="CM5" s="1"/>
      <c r="CN5" s="1"/>
      <c r="CO5" s="1"/>
      <c r="CP5" s="57"/>
      <c r="CQ5" s="1"/>
      <c r="CR5" s="1"/>
      <c r="CS5" s="1"/>
      <c r="CT5" s="1"/>
      <c r="CU5" s="56"/>
      <c r="CV5" s="56"/>
      <c r="CW5" s="56"/>
      <c r="CX5" s="1"/>
    </row>
    <row r="6" spans="1:104" s="10" customFormat="1" ht="18" customHeight="1" x14ac:dyDescent="0.25">
      <c r="A6" s="6"/>
      <c r="B6" s="60"/>
      <c r="C6" s="1"/>
      <c r="D6" s="1"/>
      <c r="E6" s="1"/>
      <c r="F6" s="55"/>
      <c r="G6" s="55"/>
      <c r="H6" s="55"/>
      <c r="I6" s="55"/>
      <c r="J6" s="50"/>
      <c r="K6" s="50"/>
      <c r="L6" s="50"/>
      <c r="M6" s="50"/>
      <c r="N6" s="49"/>
      <c r="O6" s="49"/>
      <c r="P6" s="49"/>
      <c r="Q6" s="49"/>
      <c r="R6" s="53"/>
      <c r="S6" s="53"/>
      <c r="T6" s="53"/>
      <c r="U6" s="53"/>
      <c r="V6" s="52"/>
      <c r="W6" s="52"/>
      <c r="X6" s="52"/>
      <c r="Y6" s="52"/>
      <c r="Z6" s="1"/>
      <c r="AA6" s="1"/>
      <c r="AB6" s="1"/>
      <c r="AC6" s="1"/>
      <c r="AD6" s="51"/>
      <c r="AE6" s="51"/>
      <c r="AF6" s="51"/>
      <c r="AG6" s="51"/>
      <c r="AH6" s="52"/>
      <c r="AI6" s="52"/>
      <c r="AJ6" s="52"/>
      <c r="AK6" s="52"/>
      <c r="AL6" s="1"/>
      <c r="AM6" s="1"/>
      <c r="AN6" s="1"/>
      <c r="AO6" s="1"/>
      <c r="AP6" s="54"/>
      <c r="AQ6" s="54"/>
      <c r="AR6" s="54"/>
      <c r="AS6" s="54"/>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7"/>
      <c r="CC6" s="1"/>
      <c r="CD6" s="57"/>
      <c r="CE6" s="1"/>
      <c r="CF6" s="57"/>
      <c r="CG6" s="1"/>
      <c r="CH6" s="1"/>
      <c r="CI6" s="57"/>
      <c r="CJ6" s="1"/>
      <c r="CK6" s="57"/>
      <c r="CL6" s="1"/>
      <c r="CM6" s="1"/>
      <c r="CN6" s="1"/>
      <c r="CO6" s="1"/>
      <c r="CP6" s="57"/>
      <c r="CQ6" s="1"/>
      <c r="CR6" s="1"/>
      <c r="CS6" s="1"/>
      <c r="CT6" s="1"/>
      <c r="CU6" s="56"/>
      <c r="CV6" s="56"/>
      <c r="CW6" s="56"/>
      <c r="CX6" s="1"/>
    </row>
    <row r="7" spans="1:104" s="10" customFormat="1" ht="18" customHeight="1" x14ac:dyDescent="0.25">
      <c r="A7" s="6"/>
      <c r="B7" s="60"/>
      <c r="C7" s="1"/>
      <c r="D7" s="1"/>
      <c r="E7" s="1"/>
      <c r="F7" s="55"/>
      <c r="G7" s="55"/>
      <c r="H7" s="55"/>
      <c r="I7" s="55"/>
      <c r="J7" s="50"/>
      <c r="K7" s="50"/>
      <c r="L7" s="50"/>
      <c r="M7" s="50"/>
      <c r="N7" s="49"/>
      <c r="O7" s="49"/>
      <c r="P7" s="49"/>
      <c r="Q7" s="49"/>
      <c r="R7" s="53"/>
      <c r="S7" s="53"/>
      <c r="T7" s="53"/>
      <c r="U7" s="53"/>
      <c r="V7" s="52"/>
      <c r="W7" s="52"/>
      <c r="X7" s="52"/>
      <c r="Y7" s="52"/>
      <c r="Z7" s="1"/>
      <c r="AA7" s="1"/>
      <c r="AB7" s="1"/>
      <c r="AC7" s="1"/>
      <c r="AD7" s="51"/>
      <c r="AE7" s="51"/>
      <c r="AF7" s="51"/>
      <c r="AG7" s="51"/>
      <c r="AH7" s="52"/>
      <c r="AI7" s="52"/>
      <c r="AJ7" s="52"/>
      <c r="AK7" s="52"/>
      <c r="AL7" s="1"/>
      <c r="AM7" s="1"/>
      <c r="AN7" s="1"/>
      <c r="AO7" s="1"/>
      <c r="AP7" s="54"/>
      <c r="AQ7" s="54"/>
      <c r="AR7" s="54"/>
      <c r="AS7" s="54"/>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7"/>
      <c r="CC7" s="1"/>
      <c r="CD7" s="57"/>
      <c r="CE7" s="1"/>
      <c r="CF7" s="57"/>
      <c r="CG7" s="1"/>
      <c r="CH7" s="1"/>
      <c r="CI7" s="57"/>
      <c r="CJ7" s="1"/>
      <c r="CK7" s="57"/>
      <c r="CL7" s="1"/>
      <c r="CM7" s="1"/>
      <c r="CN7" s="1"/>
      <c r="CO7" s="1"/>
      <c r="CP7" s="57"/>
      <c r="CQ7" s="1"/>
      <c r="CR7" s="1"/>
      <c r="CS7" s="1"/>
      <c r="CT7" s="1"/>
      <c r="CU7" s="56"/>
      <c r="CV7" s="56"/>
      <c r="CW7" s="56"/>
      <c r="CX7" s="1"/>
    </row>
    <row r="8" spans="1:104" s="10" customFormat="1" ht="18" customHeight="1" x14ac:dyDescent="0.25">
      <c r="A8" s="6"/>
      <c r="B8" s="60"/>
      <c r="C8" s="1"/>
      <c r="D8" s="1"/>
      <c r="E8" s="1"/>
      <c r="F8" s="55"/>
      <c r="G8" s="55"/>
      <c r="H8" s="55"/>
      <c r="I8" s="55"/>
      <c r="J8" s="50"/>
      <c r="K8" s="50"/>
      <c r="L8" s="50"/>
      <c r="M8" s="50"/>
      <c r="N8" s="49"/>
      <c r="O8" s="49"/>
      <c r="P8" s="49"/>
      <c r="Q8" s="49"/>
      <c r="R8" s="53"/>
      <c r="S8" s="53"/>
      <c r="T8" s="53"/>
      <c r="U8" s="53"/>
      <c r="V8" s="52"/>
      <c r="W8" s="52"/>
      <c r="X8" s="52"/>
      <c r="Y8" s="52"/>
      <c r="Z8" s="1"/>
      <c r="AA8" s="1"/>
      <c r="AB8" s="1"/>
      <c r="AC8" s="1"/>
      <c r="AD8" s="51"/>
      <c r="AE8" s="51"/>
      <c r="AF8" s="51"/>
      <c r="AG8" s="51"/>
      <c r="AH8" s="52"/>
      <c r="AI8" s="52"/>
      <c r="AJ8" s="52"/>
      <c r="AK8" s="52"/>
      <c r="AL8" s="1"/>
      <c r="AM8" s="1"/>
      <c r="AN8" s="1"/>
      <c r="AO8" s="1"/>
      <c r="AP8" s="54"/>
      <c r="AQ8" s="54"/>
      <c r="AR8" s="54"/>
      <c r="AS8" s="54"/>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7"/>
      <c r="CC8" s="1"/>
      <c r="CD8" s="57"/>
      <c r="CE8" s="1"/>
      <c r="CF8" s="57"/>
      <c r="CG8" s="1"/>
      <c r="CH8" s="1"/>
      <c r="CI8" s="57"/>
      <c r="CJ8" s="1"/>
      <c r="CK8" s="57"/>
      <c r="CL8" s="1"/>
      <c r="CM8" s="1"/>
      <c r="CN8" s="1"/>
      <c r="CO8" s="1"/>
      <c r="CP8" s="57"/>
      <c r="CQ8" s="1"/>
      <c r="CR8" s="1"/>
      <c r="CS8" s="1"/>
      <c r="CT8" s="1"/>
      <c r="CU8" s="56"/>
      <c r="CV8" s="56"/>
      <c r="CW8" s="56"/>
      <c r="CX8" s="1"/>
    </row>
    <row r="9" spans="1:104" s="10" customFormat="1" ht="18" customHeight="1" x14ac:dyDescent="0.25">
      <c r="A9" s="6"/>
      <c r="B9" s="60"/>
      <c r="C9" s="1"/>
      <c r="D9" s="1"/>
      <c r="E9" s="1"/>
      <c r="F9" s="55"/>
      <c r="G9" s="55"/>
      <c r="H9" s="55"/>
      <c r="I9" s="55"/>
      <c r="J9" s="50"/>
      <c r="K9" s="50"/>
      <c r="L9" s="50"/>
      <c r="M9" s="50"/>
      <c r="N9" s="49"/>
      <c r="O9" s="49"/>
      <c r="P9" s="49"/>
      <c r="Q9" s="49"/>
      <c r="R9" s="53"/>
      <c r="S9" s="53"/>
      <c r="T9" s="53"/>
      <c r="U9" s="53"/>
      <c r="V9" s="52"/>
      <c r="W9" s="52"/>
      <c r="X9" s="52"/>
      <c r="Y9" s="52"/>
      <c r="Z9" s="1"/>
      <c r="AA9" s="1"/>
      <c r="AB9" s="1"/>
      <c r="AC9" s="1"/>
      <c r="AD9" s="51"/>
      <c r="AE9" s="51"/>
      <c r="AF9" s="51"/>
      <c r="AG9" s="51"/>
      <c r="AH9" s="52"/>
      <c r="AI9" s="52"/>
      <c r="AJ9" s="52"/>
      <c r="AK9" s="52"/>
      <c r="AL9" s="1"/>
      <c r="AM9" s="1"/>
      <c r="AN9" s="1"/>
      <c r="AO9" s="1"/>
      <c r="AP9" s="54"/>
      <c r="AQ9" s="54"/>
      <c r="AR9" s="54"/>
      <c r="AS9" s="54"/>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7"/>
      <c r="CC9" s="1"/>
      <c r="CD9" s="57"/>
      <c r="CE9" s="1"/>
      <c r="CF9" s="57"/>
      <c r="CG9" s="1"/>
      <c r="CH9" s="1"/>
      <c r="CI9" s="57"/>
      <c r="CJ9" s="1"/>
      <c r="CK9" s="57"/>
      <c r="CL9" s="1"/>
      <c r="CM9" s="1"/>
      <c r="CN9" s="1"/>
      <c r="CO9" s="1"/>
      <c r="CP9" s="57"/>
      <c r="CQ9" s="1"/>
      <c r="CR9" s="1"/>
      <c r="CS9" s="1"/>
      <c r="CT9" s="1"/>
      <c r="CU9" s="56"/>
      <c r="CV9" s="56"/>
      <c r="CW9" s="56"/>
      <c r="CX9" s="1"/>
    </row>
    <row r="10" spans="1:104" s="10" customFormat="1" ht="18" customHeight="1" x14ac:dyDescent="0.25">
      <c r="A10" s="6"/>
      <c r="B10" s="60"/>
      <c r="C10" s="1"/>
      <c r="D10" s="1"/>
      <c r="E10" s="1"/>
      <c r="F10" s="55"/>
      <c r="G10" s="55"/>
      <c r="H10" s="55"/>
      <c r="I10" s="55"/>
      <c r="J10" s="50"/>
      <c r="K10" s="50"/>
      <c r="L10" s="50"/>
      <c r="M10" s="50"/>
      <c r="N10" s="49"/>
      <c r="O10" s="49"/>
      <c r="P10" s="49"/>
      <c r="Q10" s="49"/>
      <c r="R10" s="53"/>
      <c r="S10" s="53"/>
      <c r="T10" s="53"/>
      <c r="U10" s="53"/>
      <c r="V10" s="52"/>
      <c r="W10" s="52"/>
      <c r="X10" s="52"/>
      <c r="Y10" s="52"/>
      <c r="Z10" s="1"/>
      <c r="AA10" s="1"/>
      <c r="AB10" s="1"/>
      <c r="AC10" s="1"/>
      <c r="AD10" s="51"/>
      <c r="AE10" s="51"/>
      <c r="AF10" s="51"/>
      <c r="AG10" s="51"/>
      <c r="AH10" s="52"/>
      <c r="AI10" s="52"/>
      <c r="AJ10" s="52"/>
      <c r="AK10" s="52"/>
      <c r="AL10" s="1"/>
      <c r="AM10" s="1"/>
      <c r="AN10" s="1"/>
      <c r="AO10" s="1"/>
      <c r="AP10" s="54"/>
      <c r="AQ10" s="54"/>
      <c r="AR10" s="54"/>
      <c r="AS10" s="54"/>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7"/>
      <c r="CC10" s="1"/>
      <c r="CD10" s="57"/>
      <c r="CE10" s="1"/>
      <c r="CF10" s="57"/>
      <c r="CG10" s="1"/>
      <c r="CH10" s="1"/>
      <c r="CI10" s="57"/>
      <c r="CJ10" s="1"/>
      <c r="CK10" s="57"/>
      <c r="CL10" s="1"/>
      <c r="CM10" s="1"/>
      <c r="CN10" s="1"/>
      <c r="CO10" s="1"/>
      <c r="CP10" s="57"/>
      <c r="CQ10" s="1"/>
      <c r="CR10" s="1"/>
      <c r="CS10" s="1"/>
      <c r="CT10" s="1"/>
      <c r="CU10" s="56"/>
      <c r="CV10" s="56"/>
      <c r="CW10" s="56"/>
      <c r="CX10" s="1"/>
    </row>
    <row r="11" spans="1:104" s="10" customFormat="1" ht="18" customHeight="1" x14ac:dyDescent="0.25">
      <c r="A11" s="6"/>
      <c r="B11" s="60"/>
      <c r="C11" s="1"/>
      <c r="D11" s="1"/>
      <c r="E11" s="1"/>
      <c r="F11" s="55"/>
      <c r="G11" s="55"/>
      <c r="H11" s="55"/>
      <c r="I11" s="55"/>
      <c r="J11" s="50"/>
      <c r="K11" s="50"/>
      <c r="L11" s="50"/>
      <c r="M11" s="50"/>
      <c r="N11" s="49"/>
      <c r="O11" s="49"/>
      <c r="P11" s="49"/>
      <c r="Q11" s="49"/>
      <c r="R11" s="53"/>
      <c r="S11" s="53"/>
      <c r="T11" s="53"/>
      <c r="U11" s="53"/>
      <c r="V11" s="52"/>
      <c r="W11" s="52"/>
      <c r="X11" s="52"/>
      <c r="Y11" s="52"/>
      <c r="Z11" s="1"/>
      <c r="AA11" s="1"/>
      <c r="AB11" s="1"/>
      <c r="AC11" s="1"/>
      <c r="AD11" s="51"/>
      <c r="AE11" s="51"/>
      <c r="AF11" s="51"/>
      <c r="AG11" s="51"/>
      <c r="AH11" s="52"/>
      <c r="AI11" s="52"/>
      <c r="AJ11" s="52"/>
      <c r="AK11" s="52"/>
      <c r="AL11" s="1"/>
      <c r="AM11" s="1"/>
      <c r="AN11" s="1"/>
      <c r="AO11" s="1"/>
      <c r="AP11" s="54"/>
      <c r="AQ11" s="54"/>
      <c r="AR11" s="54"/>
      <c r="AS11" s="54"/>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7"/>
      <c r="CC11" s="1"/>
      <c r="CD11" s="57"/>
      <c r="CE11" s="1"/>
      <c r="CF11" s="57"/>
      <c r="CG11" s="1"/>
      <c r="CH11" s="1"/>
      <c r="CI11" s="57"/>
      <c r="CJ11" s="1"/>
      <c r="CK11" s="57"/>
      <c r="CL11" s="1"/>
      <c r="CM11" s="1"/>
      <c r="CN11" s="1"/>
      <c r="CO11" s="1"/>
      <c r="CP11" s="57"/>
      <c r="CQ11" s="1"/>
      <c r="CR11" s="1"/>
      <c r="CS11" s="1"/>
      <c r="CT11" s="1"/>
      <c r="CU11" s="56"/>
      <c r="CV11" s="56"/>
      <c r="CW11" s="56"/>
      <c r="CX11" s="1"/>
    </row>
    <row r="12" spans="1:104" s="10" customFormat="1" ht="18" customHeight="1" x14ac:dyDescent="0.25">
      <c r="A12" s="6"/>
      <c r="B12" s="60"/>
      <c r="C12" s="1"/>
      <c r="D12" s="1"/>
      <c r="E12" s="1"/>
      <c r="F12" s="55"/>
      <c r="G12" s="55"/>
      <c r="H12" s="55"/>
      <c r="I12" s="55"/>
      <c r="J12" s="50"/>
      <c r="K12" s="50"/>
      <c r="L12" s="50"/>
      <c r="M12" s="50"/>
      <c r="N12" s="49"/>
      <c r="O12" s="49"/>
      <c r="P12" s="49"/>
      <c r="Q12" s="49"/>
      <c r="R12" s="53"/>
      <c r="S12" s="53"/>
      <c r="T12" s="53"/>
      <c r="U12" s="53"/>
      <c r="V12" s="52"/>
      <c r="W12" s="52"/>
      <c r="X12" s="52"/>
      <c r="Y12" s="52"/>
      <c r="Z12" s="1"/>
      <c r="AA12" s="1"/>
      <c r="AB12" s="1"/>
      <c r="AC12" s="1"/>
      <c r="AD12" s="51"/>
      <c r="AE12" s="51"/>
      <c r="AF12" s="51"/>
      <c r="AG12" s="51"/>
      <c r="AH12" s="52"/>
      <c r="AI12" s="52"/>
      <c r="AJ12" s="52"/>
      <c r="AK12" s="52"/>
      <c r="AL12" s="1"/>
      <c r="AM12" s="1"/>
      <c r="AN12" s="1"/>
      <c r="AO12" s="1"/>
      <c r="AP12" s="54"/>
      <c r="AQ12" s="54"/>
      <c r="AR12" s="54"/>
      <c r="AS12" s="54"/>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7"/>
      <c r="CC12" s="1"/>
      <c r="CD12" s="57"/>
      <c r="CE12" s="1"/>
      <c r="CF12" s="57"/>
      <c r="CG12" s="1"/>
      <c r="CH12" s="1"/>
      <c r="CI12" s="57"/>
      <c r="CJ12" s="1"/>
      <c r="CK12" s="57"/>
      <c r="CL12" s="1"/>
      <c r="CM12" s="1"/>
      <c r="CN12" s="1"/>
      <c r="CO12" s="1"/>
      <c r="CP12" s="57"/>
      <c r="CQ12" s="1"/>
      <c r="CR12" s="1"/>
      <c r="CS12" s="1"/>
      <c r="CT12" s="1"/>
      <c r="CU12" s="56"/>
      <c r="CV12" s="56"/>
      <c r="CW12" s="56"/>
      <c r="CX12" s="1"/>
    </row>
    <row r="13" spans="1:104" s="10" customFormat="1" ht="18" customHeight="1" x14ac:dyDescent="0.25">
      <c r="A13" s="6"/>
      <c r="B13" s="60"/>
      <c r="C13" s="1"/>
      <c r="D13" s="1"/>
      <c r="E13" s="1"/>
      <c r="F13" s="55"/>
      <c r="G13" s="55"/>
      <c r="H13" s="55"/>
      <c r="I13" s="55"/>
      <c r="J13" s="50"/>
      <c r="K13" s="50"/>
      <c r="L13" s="50"/>
      <c r="M13" s="50"/>
      <c r="N13" s="49"/>
      <c r="O13" s="49"/>
      <c r="P13" s="49"/>
      <c r="Q13" s="49"/>
      <c r="R13" s="53"/>
      <c r="S13" s="53"/>
      <c r="T13" s="53"/>
      <c r="U13" s="53"/>
      <c r="V13" s="52"/>
      <c r="W13" s="52"/>
      <c r="X13" s="52"/>
      <c r="Y13" s="52"/>
      <c r="Z13" s="1"/>
      <c r="AA13" s="1"/>
      <c r="AB13" s="1"/>
      <c r="AC13" s="1"/>
      <c r="AD13" s="51"/>
      <c r="AE13" s="51"/>
      <c r="AF13" s="51"/>
      <c r="AG13" s="51"/>
      <c r="AH13" s="52"/>
      <c r="AI13" s="52"/>
      <c r="AJ13" s="52"/>
      <c r="AK13" s="52"/>
      <c r="AL13" s="1"/>
      <c r="AM13" s="1"/>
      <c r="AN13" s="1"/>
      <c r="AO13" s="1"/>
      <c r="AP13" s="54"/>
      <c r="AQ13" s="54"/>
      <c r="AR13" s="54"/>
      <c r="AS13" s="54"/>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7"/>
      <c r="CC13" s="1"/>
      <c r="CD13" s="57"/>
      <c r="CE13" s="1"/>
      <c r="CF13" s="57"/>
      <c r="CG13" s="1"/>
      <c r="CH13" s="1"/>
      <c r="CI13" s="57"/>
      <c r="CJ13" s="1"/>
      <c r="CK13" s="57"/>
      <c r="CL13" s="1"/>
      <c r="CM13" s="1"/>
      <c r="CN13" s="1"/>
      <c r="CO13" s="1"/>
      <c r="CP13" s="57"/>
      <c r="CQ13" s="1"/>
      <c r="CR13" s="1"/>
      <c r="CS13" s="1"/>
      <c r="CT13" s="1"/>
      <c r="CU13" s="56"/>
      <c r="CV13" s="56"/>
      <c r="CW13" s="56"/>
      <c r="CX13" s="1"/>
    </row>
    <row r="14" spans="1:104" s="10" customFormat="1" ht="18" customHeight="1" x14ac:dyDescent="0.25">
      <c r="A14" s="6"/>
      <c r="B14" s="6"/>
      <c r="C14" s="1"/>
      <c r="D14" s="1"/>
      <c r="E14" s="1"/>
      <c r="F14" s="55"/>
      <c r="G14" s="55"/>
      <c r="H14" s="55"/>
      <c r="I14" s="55"/>
      <c r="J14" s="50"/>
      <c r="K14" s="50"/>
      <c r="L14" s="50"/>
      <c r="M14" s="50"/>
      <c r="N14" s="49"/>
      <c r="O14" s="49"/>
      <c r="P14" s="49"/>
      <c r="Q14" s="49"/>
      <c r="R14" s="53"/>
      <c r="S14" s="53"/>
      <c r="T14" s="53"/>
      <c r="U14" s="53"/>
      <c r="V14" s="52"/>
      <c r="W14" s="52"/>
      <c r="X14" s="52"/>
      <c r="Y14" s="52"/>
      <c r="Z14" s="1"/>
      <c r="AA14" s="1"/>
      <c r="AB14" s="1"/>
      <c r="AC14" s="1"/>
      <c r="AD14" s="51"/>
      <c r="AE14" s="51"/>
      <c r="AF14" s="51"/>
      <c r="AG14" s="51"/>
      <c r="AH14" s="52"/>
      <c r="AI14" s="52"/>
      <c r="AJ14" s="52"/>
      <c r="AK14" s="52"/>
      <c r="AL14" s="1"/>
      <c r="AM14" s="1"/>
      <c r="AN14" s="1"/>
      <c r="AO14" s="1"/>
      <c r="AP14" s="54"/>
      <c r="AQ14" s="54"/>
      <c r="AR14" s="54"/>
      <c r="AS14" s="54"/>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6"/>
      <c r="CW14" s="56"/>
      <c r="CX14" s="1"/>
    </row>
    <row r="15" spans="1:104" s="10" customFormat="1" ht="18" customHeight="1" x14ac:dyDescent="0.25">
      <c r="A15" s="6"/>
      <c r="B15" s="6"/>
      <c r="C15" s="1"/>
      <c r="D15" s="1"/>
      <c r="E15" s="1"/>
      <c r="F15" s="55"/>
      <c r="G15" s="55"/>
      <c r="H15" s="55"/>
      <c r="I15" s="55"/>
      <c r="J15" s="50"/>
      <c r="K15" s="50"/>
      <c r="L15" s="50"/>
      <c r="M15" s="50"/>
      <c r="N15" s="49"/>
      <c r="O15" s="49"/>
      <c r="P15" s="49"/>
      <c r="Q15" s="49"/>
      <c r="R15" s="53"/>
      <c r="S15" s="53"/>
      <c r="T15" s="53"/>
      <c r="U15" s="53"/>
      <c r="V15" s="52"/>
      <c r="W15" s="52"/>
      <c r="X15" s="52"/>
      <c r="Y15" s="52"/>
      <c r="Z15" s="1"/>
      <c r="AA15" s="1"/>
      <c r="AB15" s="1"/>
      <c r="AC15" s="1"/>
      <c r="AD15" s="51"/>
      <c r="AE15" s="51"/>
      <c r="AF15" s="51"/>
      <c r="AG15" s="51"/>
      <c r="AH15" s="52"/>
      <c r="AI15" s="52"/>
      <c r="AJ15" s="52"/>
      <c r="AK15" s="52"/>
      <c r="AL15" s="1"/>
      <c r="AM15" s="1"/>
      <c r="AN15" s="1"/>
      <c r="AO15" s="1"/>
      <c r="AP15" s="54"/>
      <c r="AQ15" s="54"/>
      <c r="AR15" s="54"/>
      <c r="AS15" s="54"/>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6"/>
      <c r="CW15" s="56"/>
      <c r="CX15" s="1"/>
    </row>
    <row r="16" spans="1:104" s="10" customFormat="1" ht="18" customHeight="1" x14ac:dyDescent="0.25">
      <c r="A16" s="6"/>
      <c r="B16" s="6"/>
      <c r="C16" s="1"/>
      <c r="D16" s="1"/>
      <c r="E16" s="1"/>
      <c r="F16" s="55"/>
      <c r="G16" s="55"/>
      <c r="H16" s="55"/>
      <c r="I16" s="55"/>
      <c r="J16" s="50"/>
      <c r="K16" s="50"/>
      <c r="L16" s="50"/>
      <c r="M16" s="50"/>
      <c r="N16" s="49"/>
      <c r="O16" s="49"/>
      <c r="P16" s="49"/>
      <c r="Q16" s="49"/>
      <c r="R16" s="53"/>
      <c r="S16" s="53"/>
      <c r="T16" s="53"/>
      <c r="U16" s="53"/>
      <c r="V16" s="52"/>
      <c r="W16" s="52"/>
      <c r="X16" s="52"/>
      <c r="Y16" s="52"/>
      <c r="Z16" s="1"/>
      <c r="AA16" s="1"/>
      <c r="AB16" s="1"/>
      <c r="AC16" s="1"/>
      <c r="AD16" s="51"/>
      <c r="AE16" s="51"/>
      <c r="AF16" s="51"/>
      <c r="AG16" s="51"/>
      <c r="AH16" s="52"/>
      <c r="AI16" s="52"/>
      <c r="AJ16" s="52"/>
      <c r="AK16" s="52"/>
      <c r="AL16" s="1"/>
      <c r="AM16" s="1"/>
      <c r="AN16" s="1"/>
      <c r="AO16" s="1"/>
      <c r="AP16" s="54"/>
      <c r="AQ16" s="54"/>
      <c r="AR16" s="54"/>
      <c r="AS16" s="54"/>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6"/>
      <c r="CW16" s="56"/>
      <c r="CX16" s="1"/>
    </row>
    <row r="17" spans="1:102" s="10" customFormat="1" ht="18" customHeight="1" x14ac:dyDescent="0.25">
      <c r="A17" s="6"/>
      <c r="B17" s="6"/>
      <c r="C17" s="1"/>
      <c r="D17" s="1"/>
      <c r="E17" s="1"/>
      <c r="F17" s="55"/>
      <c r="G17" s="55"/>
      <c r="H17" s="55"/>
      <c r="I17" s="55"/>
      <c r="J17" s="50"/>
      <c r="K17" s="50"/>
      <c r="L17" s="50"/>
      <c r="M17" s="50"/>
      <c r="N17" s="49"/>
      <c r="O17" s="49"/>
      <c r="P17" s="49"/>
      <c r="Q17" s="49"/>
      <c r="R17" s="53"/>
      <c r="S17" s="53"/>
      <c r="T17" s="53"/>
      <c r="U17" s="53"/>
      <c r="V17" s="52"/>
      <c r="W17" s="52"/>
      <c r="X17" s="52"/>
      <c r="Y17" s="52"/>
      <c r="Z17" s="1"/>
      <c r="AA17" s="1"/>
      <c r="AB17" s="1"/>
      <c r="AC17" s="1"/>
      <c r="AD17" s="51"/>
      <c r="AE17" s="51"/>
      <c r="AF17" s="51"/>
      <c r="AG17" s="51"/>
      <c r="AH17" s="52"/>
      <c r="AI17" s="52"/>
      <c r="AJ17" s="52"/>
      <c r="AK17" s="52"/>
      <c r="AL17" s="1"/>
      <c r="AM17" s="1"/>
      <c r="AN17" s="1"/>
      <c r="AO17" s="1"/>
      <c r="AP17" s="54"/>
      <c r="AQ17" s="54"/>
      <c r="AR17" s="54"/>
      <c r="AS17" s="54"/>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6"/>
      <c r="CW17" s="56"/>
      <c r="CX17" s="1"/>
    </row>
    <row r="18" spans="1:102" s="10" customFormat="1" ht="18" customHeight="1" x14ac:dyDescent="0.25">
      <c r="A18" s="6"/>
      <c r="B18" s="6"/>
      <c r="C18" s="1"/>
      <c r="D18" s="1"/>
      <c r="E18" s="1"/>
      <c r="F18" s="55"/>
      <c r="G18" s="55"/>
      <c r="H18" s="55"/>
      <c r="I18" s="55"/>
      <c r="J18" s="50"/>
      <c r="K18" s="50"/>
      <c r="L18" s="50"/>
      <c r="M18" s="50"/>
      <c r="N18" s="49"/>
      <c r="O18" s="49"/>
      <c r="P18" s="49"/>
      <c r="Q18" s="49"/>
      <c r="R18" s="53"/>
      <c r="S18" s="53"/>
      <c r="T18" s="53"/>
      <c r="U18" s="53"/>
      <c r="V18" s="52"/>
      <c r="W18" s="52"/>
      <c r="X18" s="52"/>
      <c r="Y18" s="52"/>
      <c r="Z18" s="1"/>
      <c r="AA18" s="1"/>
      <c r="AB18" s="1"/>
      <c r="AC18" s="1"/>
      <c r="AD18" s="51"/>
      <c r="AE18" s="51"/>
      <c r="AF18" s="51"/>
      <c r="AG18" s="51"/>
      <c r="AH18" s="52"/>
      <c r="AI18" s="52"/>
      <c r="AJ18" s="52"/>
      <c r="AK18" s="52"/>
      <c r="AL18" s="1"/>
      <c r="AM18" s="1"/>
      <c r="AN18" s="1"/>
      <c r="AO18" s="1"/>
      <c r="AP18" s="54"/>
      <c r="AQ18" s="54"/>
      <c r="AR18" s="54"/>
      <c r="AS18" s="54"/>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6"/>
      <c r="CW18" s="56"/>
      <c r="CX18" s="1"/>
    </row>
    <row r="19" spans="1:102" s="10" customFormat="1" ht="18" customHeight="1" x14ac:dyDescent="0.25">
      <c r="A19" s="6"/>
      <c r="B19" s="6"/>
      <c r="C19" s="1"/>
      <c r="D19" s="1"/>
      <c r="E19" s="1"/>
      <c r="F19" s="55"/>
      <c r="G19" s="55"/>
      <c r="H19" s="55"/>
      <c r="I19" s="55"/>
      <c r="J19" s="50"/>
      <c r="K19" s="50"/>
      <c r="L19" s="50"/>
      <c r="M19" s="50"/>
      <c r="N19" s="49"/>
      <c r="O19" s="49"/>
      <c r="P19" s="49"/>
      <c r="Q19" s="49"/>
      <c r="R19" s="53"/>
      <c r="S19" s="53"/>
      <c r="T19" s="53"/>
      <c r="U19" s="53"/>
      <c r="V19" s="52"/>
      <c r="W19" s="52"/>
      <c r="X19" s="52"/>
      <c r="Y19" s="52"/>
      <c r="Z19" s="1"/>
      <c r="AA19" s="1"/>
      <c r="AB19" s="1"/>
      <c r="AC19" s="1"/>
      <c r="AD19" s="51"/>
      <c r="AE19" s="51"/>
      <c r="AF19" s="51"/>
      <c r="AG19" s="51"/>
      <c r="AH19" s="52"/>
      <c r="AI19" s="52"/>
      <c r="AJ19" s="52"/>
      <c r="AK19" s="52"/>
      <c r="AL19" s="1"/>
      <c r="AM19" s="1"/>
      <c r="AN19" s="1"/>
      <c r="AO19" s="1"/>
      <c r="AP19" s="54"/>
      <c r="AQ19" s="54"/>
      <c r="AR19" s="54"/>
      <c r="AS19" s="54"/>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6"/>
      <c r="CW19" s="56"/>
      <c r="CX19" s="1"/>
    </row>
    <row r="20" spans="1:102" s="10" customFormat="1" ht="18" customHeight="1" x14ac:dyDescent="0.25">
      <c r="A20" s="6"/>
      <c r="B20" s="6"/>
      <c r="C20" s="1"/>
      <c r="D20" s="1"/>
      <c r="E20" s="1"/>
      <c r="F20" s="55"/>
      <c r="G20" s="55"/>
      <c r="H20" s="55"/>
      <c r="I20" s="55"/>
      <c r="J20" s="50"/>
      <c r="K20" s="50"/>
      <c r="L20" s="50"/>
      <c r="M20" s="50"/>
      <c r="N20" s="49"/>
      <c r="O20" s="49"/>
      <c r="P20" s="49"/>
      <c r="Q20" s="49"/>
      <c r="R20" s="53"/>
      <c r="S20" s="53"/>
      <c r="T20" s="53"/>
      <c r="U20" s="53"/>
      <c r="V20" s="52"/>
      <c r="W20" s="52"/>
      <c r="X20" s="52"/>
      <c r="Y20" s="52"/>
      <c r="Z20" s="1"/>
      <c r="AA20" s="1"/>
      <c r="AB20" s="1"/>
      <c r="AC20" s="1"/>
      <c r="AD20" s="51"/>
      <c r="AE20" s="51"/>
      <c r="AF20" s="51"/>
      <c r="AG20" s="51"/>
      <c r="AH20" s="52"/>
      <c r="AI20" s="52"/>
      <c r="AJ20" s="52"/>
      <c r="AK20" s="52"/>
      <c r="AL20" s="1"/>
      <c r="AM20" s="1"/>
      <c r="AN20" s="1"/>
      <c r="AO20" s="1"/>
      <c r="AP20" s="54"/>
      <c r="AQ20" s="54"/>
      <c r="AR20" s="54"/>
      <c r="AS20" s="54"/>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6"/>
      <c r="CW20" s="56"/>
      <c r="CX20" s="1"/>
    </row>
    <row r="21" spans="1:102" s="10" customFormat="1" ht="18" customHeight="1" x14ac:dyDescent="0.25">
      <c r="A21" s="6"/>
      <c r="B21" s="6"/>
      <c r="C21" s="1"/>
      <c r="D21" s="1"/>
      <c r="E21" s="1"/>
      <c r="F21" s="55"/>
      <c r="G21" s="55"/>
      <c r="H21" s="55"/>
      <c r="I21" s="55"/>
      <c r="J21" s="50"/>
      <c r="K21" s="50"/>
      <c r="L21" s="50"/>
      <c r="M21" s="50"/>
      <c r="N21" s="49"/>
      <c r="O21" s="49"/>
      <c r="P21" s="49"/>
      <c r="Q21" s="49"/>
      <c r="R21" s="53"/>
      <c r="S21" s="53"/>
      <c r="T21" s="53"/>
      <c r="U21" s="53"/>
      <c r="V21" s="52"/>
      <c r="W21" s="52"/>
      <c r="X21" s="52"/>
      <c r="Y21" s="52"/>
      <c r="Z21" s="1"/>
      <c r="AA21" s="1"/>
      <c r="AB21" s="1"/>
      <c r="AC21" s="1"/>
      <c r="AD21" s="51"/>
      <c r="AE21" s="51"/>
      <c r="AF21" s="51"/>
      <c r="AG21" s="51"/>
      <c r="AH21" s="52"/>
      <c r="AI21" s="52"/>
      <c r="AJ21" s="52"/>
      <c r="AK21" s="52"/>
      <c r="AL21" s="1"/>
      <c r="AM21" s="1"/>
      <c r="AN21" s="1"/>
      <c r="AO21" s="1"/>
      <c r="AP21" s="54"/>
      <c r="AQ21" s="54"/>
      <c r="AR21" s="54"/>
      <c r="AS21" s="54"/>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6"/>
      <c r="CW21" s="56"/>
      <c r="CX21" s="1"/>
    </row>
    <row r="22" spans="1:102" s="10" customFormat="1" ht="18" customHeight="1" x14ac:dyDescent="0.25">
      <c r="A22" s="6"/>
      <c r="B22" s="6"/>
      <c r="C22" s="1"/>
      <c r="D22" s="1"/>
      <c r="E22" s="1"/>
      <c r="F22" s="55"/>
      <c r="G22" s="55"/>
      <c r="H22" s="55"/>
      <c r="I22" s="55"/>
      <c r="J22" s="50"/>
      <c r="K22" s="50"/>
      <c r="L22" s="50"/>
      <c r="M22" s="50"/>
      <c r="N22" s="49"/>
      <c r="O22" s="49"/>
      <c r="P22" s="49"/>
      <c r="Q22" s="49"/>
      <c r="R22" s="53"/>
      <c r="S22" s="53"/>
      <c r="T22" s="53"/>
      <c r="U22" s="53"/>
      <c r="V22" s="52"/>
      <c r="W22" s="52"/>
      <c r="X22" s="52"/>
      <c r="Y22" s="52"/>
      <c r="Z22" s="1"/>
      <c r="AA22" s="1"/>
      <c r="AB22" s="1"/>
      <c r="AC22" s="1"/>
      <c r="AD22" s="51"/>
      <c r="AE22" s="51"/>
      <c r="AF22" s="51"/>
      <c r="AG22" s="51"/>
      <c r="AH22" s="52"/>
      <c r="AI22" s="52"/>
      <c r="AJ22" s="52"/>
      <c r="AK22" s="52"/>
      <c r="AL22" s="1"/>
      <c r="AM22" s="1"/>
      <c r="AN22" s="1"/>
      <c r="AO22" s="1"/>
      <c r="AP22" s="54"/>
      <c r="AQ22" s="54"/>
      <c r="AR22" s="54"/>
      <c r="AS22" s="54"/>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6"/>
      <c r="CW22" s="56"/>
      <c r="CX22" s="1"/>
    </row>
    <row r="23" spans="1:102" s="10" customFormat="1" ht="18" customHeight="1" x14ac:dyDescent="0.25">
      <c r="A23" s="6"/>
      <c r="B23" s="6"/>
      <c r="C23" s="1"/>
      <c r="D23" s="1"/>
      <c r="E23" s="1"/>
      <c r="F23" s="55"/>
      <c r="G23" s="55"/>
      <c r="H23" s="55"/>
      <c r="I23" s="55"/>
      <c r="J23" s="50"/>
      <c r="K23" s="50"/>
      <c r="L23" s="50"/>
      <c r="M23" s="50"/>
      <c r="N23" s="49"/>
      <c r="O23" s="49"/>
      <c r="P23" s="49"/>
      <c r="Q23" s="49"/>
      <c r="R23" s="53"/>
      <c r="S23" s="53"/>
      <c r="T23" s="53"/>
      <c r="U23" s="53"/>
      <c r="V23" s="52"/>
      <c r="W23" s="52"/>
      <c r="X23" s="52"/>
      <c r="Y23" s="52"/>
      <c r="Z23" s="1"/>
      <c r="AA23" s="1"/>
      <c r="AB23" s="1"/>
      <c r="AC23" s="1"/>
      <c r="AD23" s="51"/>
      <c r="AE23" s="51"/>
      <c r="AF23" s="51"/>
      <c r="AG23" s="51"/>
      <c r="AH23" s="52"/>
      <c r="AI23" s="52"/>
      <c r="AJ23" s="52"/>
      <c r="AK23" s="52"/>
      <c r="AL23" s="1"/>
      <c r="AM23" s="1"/>
      <c r="AN23" s="1"/>
      <c r="AO23" s="1"/>
      <c r="AP23" s="54"/>
      <c r="AQ23" s="54"/>
      <c r="AR23" s="54"/>
      <c r="AS23" s="54"/>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6"/>
      <c r="CW23" s="56"/>
      <c r="CX23" s="1"/>
    </row>
    <row r="24" spans="1:102" s="10" customFormat="1" ht="18" customHeight="1" x14ac:dyDescent="0.25">
      <c r="A24" s="6"/>
      <c r="B24" s="6"/>
      <c r="C24" s="1"/>
      <c r="D24" s="1"/>
      <c r="E24" s="1"/>
      <c r="F24" s="55"/>
      <c r="G24" s="55"/>
      <c r="H24" s="55"/>
      <c r="I24" s="55"/>
      <c r="J24" s="50"/>
      <c r="K24" s="50"/>
      <c r="L24" s="50"/>
      <c r="M24" s="50"/>
      <c r="N24" s="49"/>
      <c r="O24" s="49"/>
      <c r="P24" s="49"/>
      <c r="Q24" s="49"/>
      <c r="R24" s="53"/>
      <c r="S24" s="53"/>
      <c r="T24" s="53"/>
      <c r="U24" s="53"/>
      <c r="V24" s="52"/>
      <c r="W24" s="52"/>
      <c r="X24" s="52"/>
      <c r="Y24" s="52"/>
      <c r="Z24" s="1"/>
      <c r="AA24" s="1"/>
      <c r="AB24" s="1"/>
      <c r="AC24" s="1"/>
      <c r="AD24" s="51"/>
      <c r="AE24" s="51"/>
      <c r="AF24" s="51"/>
      <c r="AG24" s="51"/>
      <c r="AH24" s="52"/>
      <c r="AI24" s="52"/>
      <c r="AJ24" s="52"/>
      <c r="AK24" s="52"/>
      <c r="AL24" s="1"/>
      <c r="AM24" s="1"/>
      <c r="AN24" s="1"/>
      <c r="AO24" s="1"/>
      <c r="AP24" s="54"/>
      <c r="AQ24" s="54"/>
      <c r="AR24" s="54"/>
      <c r="AS24" s="54"/>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6"/>
      <c r="CW24" s="56"/>
      <c r="CX24" s="1"/>
    </row>
    <row r="25" spans="1:102" s="10" customFormat="1" ht="18" customHeight="1" x14ac:dyDescent="0.25">
      <c r="A25" s="6"/>
      <c r="B25" s="6"/>
      <c r="C25" s="1"/>
      <c r="D25" s="1"/>
      <c r="E25" s="1"/>
      <c r="F25" s="55"/>
      <c r="G25" s="55"/>
      <c r="H25" s="55"/>
      <c r="I25" s="55"/>
      <c r="J25" s="50"/>
      <c r="K25" s="50"/>
      <c r="L25" s="50"/>
      <c r="M25" s="50"/>
      <c r="N25" s="49"/>
      <c r="O25" s="49"/>
      <c r="P25" s="49"/>
      <c r="Q25" s="49"/>
      <c r="R25" s="53"/>
      <c r="S25" s="53"/>
      <c r="T25" s="53"/>
      <c r="U25" s="53"/>
      <c r="V25" s="52"/>
      <c r="W25" s="52"/>
      <c r="X25" s="52"/>
      <c r="Y25" s="52"/>
      <c r="Z25" s="1"/>
      <c r="AA25" s="1"/>
      <c r="AB25" s="1"/>
      <c r="AC25" s="1"/>
      <c r="AD25" s="51"/>
      <c r="AE25" s="51"/>
      <c r="AF25" s="51"/>
      <c r="AG25" s="51"/>
      <c r="AH25" s="52"/>
      <c r="AI25" s="52"/>
      <c r="AJ25" s="52"/>
      <c r="AK25" s="52"/>
      <c r="AL25" s="1"/>
      <c r="AM25" s="1"/>
      <c r="AN25" s="1"/>
      <c r="AO25" s="1"/>
      <c r="AP25" s="54"/>
      <c r="AQ25" s="54"/>
      <c r="AR25" s="54"/>
      <c r="AS25" s="54"/>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6"/>
      <c r="CW25" s="56"/>
      <c r="CX25" s="1"/>
    </row>
    <row r="26" spans="1:102" s="10" customFormat="1" ht="18" customHeight="1" x14ac:dyDescent="0.25">
      <c r="A26" s="6"/>
      <c r="B26" s="6"/>
      <c r="C26" s="1"/>
      <c r="D26" s="1"/>
      <c r="E26" s="1"/>
      <c r="F26" s="55"/>
      <c r="G26" s="55"/>
      <c r="H26" s="55"/>
      <c r="I26" s="55"/>
      <c r="J26" s="50"/>
      <c r="K26" s="50"/>
      <c r="L26" s="50"/>
      <c r="M26" s="50"/>
      <c r="N26" s="49"/>
      <c r="O26" s="49"/>
      <c r="P26" s="49"/>
      <c r="Q26" s="49"/>
      <c r="R26" s="53"/>
      <c r="S26" s="53"/>
      <c r="T26" s="53"/>
      <c r="U26" s="53"/>
      <c r="V26" s="52"/>
      <c r="W26" s="52"/>
      <c r="X26" s="52"/>
      <c r="Y26" s="52"/>
      <c r="Z26" s="1"/>
      <c r="AA26" s="1"/>
      <c r="AB26" s="1"/>
      <c r="AC26" s="1"/>
      <c r="AD26" s="51"/>
      <c r="AE26" s="51"/>
      <c r="AF26" s="51"/>
      <c r="AG26" s="51"/>
      <c r="AH26" s="52"/>
      <c r="AI26" s="52"/>
      <c r="AJ26" s="52"/>
      <c r="AK26" s="52"/>
      <c r="AL26" s="1"/>
      <c r="AM26" s="1"/>
      <c r="AN26" s="1"/>
      <c r="AO26" s="1"/>
      <c r="AP26" s="54"/>
      <c r="AQ26" s="54"/>
      <c r="AR26" s="54"/>
      <c r="AS26" s="54"/>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6"/>
      <c r="CW26" s="56"/>
      <c r="CX26" s="1"/>
    </row>
    <row r="27" spans="1:102" s="10" customFormat="1" ht="18" customHeight="1" x14ac:dyDescent="0.25">
      <c r="A27" s="6"/>
      <c r="B27" s="6"/>
      <c r="C27" s="1"/>
      <c r="D27" s="1"/>
      <c r="E27" s="1"/>
      <c r="F27" s="55"/>
      <c r="G27" s="55"/>
      <c r="H27" s="55"/>
      <c r="I27" s="55"/>
      <c r="J27" s="50"/>
      <c r="K27" s="50"/>
      <c r="L27" s="50"/>
      <c r="M27" s="50"/>
      <c r="N27" s="49"/>
      <c r="O27" s="49"/>
      <c r="P27" s="49"/>
      <c r="Q27" s="49"/>
      <c r="R27" s="53"/>
      <c r="S27" s="53"/>
      <c r="T27" s="53"/>
      <c r="U27" s="53"/>
      <c r="V27" s="52"/>
      <c r="W27" s="52"/>
      <c r="X27" s="52"/>
      <c r="Y27" s="52"/>
      <c r="Z27" s="1"/>
      <c r="AA27" s="1"/>
      <c r="AB27" s="1"/>
      <c r="AC27" s="1"/>
      <c r="AD27" s="51"/>
      <c r="AE27" s="51"/>
      <c r="AF27" s="51"/>
      <c r="AG27" s="51"/>
      <c r="AH27" s="52"/>
      <c r="AI27" s="52"/>
      <c r="AJ27" s="52"/>
      <c r="AK27" s="52"/>
      <c r="AL27" s="1"/>
      <c r="AM27" s="1"/>
      <c r="AN27" s="1"/>
      <c r="AO27" s="1"/>
      <c r="AP27" s="54"/>
      <c r="AQ27" s="54"/>
      <c r="AR27" s="54"/>
      <c r="AS27" s="54"/>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6"/>
      <c r="CW27" s="56"/>
      <c r="CX27" s="1"/>
    </row>
    <row r="28" spans="1:102" s="10" customFormat="1" ht="18" customHeight="1" x14ac:dyDescent="0.25">
      <c r="A28" s="6"/>
      <c r="B28" s="6"/>
      <c r="C28" s="1"/>
      <c r="D28" s="1"/>
      <c r="E28" s="1"/>
      <c r="F28" s="55"/>
      <c r="G28" s="55"/>
      <c r="H28" s="55"/>
      <c r="I28" s="55"/>
      <c r="J28" s="50"/>
      <c r="K28" s="50"/>
      <c r="L28" s="50"/>
      <c r="M28" s="50"/>
      <c r="N28" s="49"/>
      <c r="O28" s="49"/>
      <c r="P28" s="49"/>
      <c r="Q28" s="49"/>
      <c r="R28" s="53"/>
      <c r="S28" s="53"/>
      <c r="T28" s="53"/>
      <c r="U28" s="53"/>
      <c r="V28" s="52"/>
      <c r="W28" s="52"/>
      <c r="X28" s="52"/>
      <c r="Y28" s="52"/>
      <c r="Z28" s="1"/>
      <c r="AA28" s="1"/>
      <c r="AB28" s="1"/>
      <c r="AC28" s="1"/>
      <c r="AD28" s="51"/>
      <c r="AE28" s="51"/>
      <c r="AF28" s="51"/>
      <c r="AG28" s="51"/>
      <c r="AH28" s="52"/>
      <c r="AI28" s="52"/>
      <c r="AJ28" s="52"/>
      <c r="AK28" s="52"/>
      <c r="AL28" s="1"/>
      <c r="AM28" s="1"/>
      <c r="AN28" s="1"/>
      <c r="AO28" s="1"/>
      <c r="AP28" s="54"/>
      <c r="AQ28" s="54"/>
      <c r="AR28" s="54"/>
      <c r="AS28" s="54"/>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6"/>
      <c r="CW28" s="56"/>
      <c r="CX28" s="1"/>
    </row>
    <row r="29" spans="1:102" s="10" customFormat="1" ht="18" customHeight="1" x14ac:dyDescent="0.25">
      <c r="A29" s="6"/>
      <c r="B29" s="6"/>
      <c r="C29" s="1"/>
      <c r="D29" s="1"/>
      <c r="E29" s="1"/>
      <c r="F29" s="55"/>
      <c r="G29" s="55"/>
      <c r="H29" s="55"/>
      <c r="I29" s="55"/>
      <c r="J29" s="50"/>
      <c r="K29" s="50"/>
      <c r="L29" s="50"/>
      <c r="M29" s="50"/>
      <c r="N29" s="49"/>
      <c r="O29" s="49"/>
      <c r="P29" s="49"/>
      <c r="Q29" s="49"/>
      <c r="R29" s="53"/>
      <c r="S29" s="53"/>
      <c r="T29" s="53"/>
      <c r="U29" s="53"/>
      <c r="V29" s="52"/>
      <c r="W29" s="52"/>
      <c r="X29" s="52"/>
      <c r="Y29" s="52"/>
      <c r="Z29" s="1"/>
      <c r="AA29" s="1"/>
      <c r="AB29" s="1"/>
      <c r="AC29" s="1"/>
      <c r="AD29" s="51"/>
      <c r="AE29" s="51"/>
      <c r="AF29" s="51"/>
      <c r="AG29" s="51"/>
      <c r="AH29" s="52"/>
      <c r="AI29" s="52"/>
      <c r="AJ29" s="52"/>
      <c r="AK29" s="52"/>
      <c r="AL29" s="1"/>
      <c r="AM29" s="1"/>
      <c r="AN29" s="1"/>
      <c r="AO29" s="1"/>
      <c r="AP29" s="54"/>
      <c r="AQ29" s="54"/>
      <c r="AR29" s="54"/>
      <c r="AS29" s="54"/>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6"/>
      <c r="CW29" s="56"/>
      <c r="CX29" s="1"/>
    </row>
    <row r="30" spans="1:102" s="10" customFormat="1" ht="18" customHeight="1" x14ac:dyDescent="0.25">
      <c r="A30" s="6"/>
      <c r="B30" s="6"/>
      <c r="C30" s="1"/>
      <c r="D30" s="1"/>
      <c r="E30" s="1"/>
      <c r="F30" s="55"/>
      <c r="G30" s="55"/>
      <c r="H30" s="55"/>
      <c r="I30" s="55"/>
      <c r="J30" s="50"/>
      <c r="K30" s="50"/>
      <c r="L30" s="50"/>
      <c r="M30" s="50"/>
      <c r="N30" s="49"/>
      <c r="O30" s="49"/>
      <c r="P30" s="49"/>
      <c r="Q30" s="49"/>
      <c r="R30" s="53"/>
      <c r="S30" s="53"/>
      <c r="T30" s="53"/>
      <c r="U30" s="53"/>
      <c r="V30" s="52"/>
      <c r="W30" s="52"/>
      <c r="X30" s="52"/>
      <c r="Y30" s="52"/>
      <c r="Z30" s="1"/>
      <c r="AA30" s="1"/>
      <c r="AB30" s="1"/>
      <c r="AC30" s="1"/>
      <c r="AD30" s="51"/>
      <c r="AE30" s="51"/>
      <c r="AF30" s="51"/>
      <c r="AG30" s="51"/>
      <c r="AH30" s="52"/>
      <c r="AI30" s="52"/>
      <c r="AJ30" s="52"/>
      <c r="AK30" s="52"/>
      <c r="AL30" s="1"/>
      <c r="AM30" s="1"/>
      <c r="AN30" s="1"/>
      <c r="AO30" s="1"/>
      <c r="AP30" s="54"/>
      <c r="AQ30" s="54"/>
      <c r="AR30" s="54"/>
      <c r="AS30" s="54"/>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6"/>
      <c r="CW30" s="56"/>
      <c r="CX30" s="1"/>
    </row>
    <row r="31" spans="1:102" s="10" customFormat="1" ht="18" customHeight="1" x14ac:dyDescent="0.25">
      <c r="A31" s="6"/>
      <c r="B31" s="6"/>
      <c r="C31" s="1"/>
      <c r="D31" s="1"/>
      <c r="E31" s="1"/>
      <c r="F31" s="55"/>
      <c r="G31" s="55"/>
      <c r="H31" s="55"/>
      <c r="I31" s="55"/>
      <c r="J31" s="50"/>
      <c r="K31" s="50"/>
      <c r="L31" s="50"/>
      <c r="M31" s="50"/>
      <c r="N31" s="49"/>
      <c r="O31" s="49"/>
      <c r="P31" s="49"/>
      <c r="Q31" s="49"/>
      <c r="R31" s="53"/>
      <c r="S31" s="53"/>
      <c r="T31" s="53"/>
      <c r="U31" s="53"/>
      <c r="V31" s="52"/>
      <c r="W31" s="52"/>
      <c r="X31" s="52"/>
      <c r="Y31" s="52"/>
      <c r="Z31" s="1"/>
      <c r="AA31" s="1"/>
      <c r="AB31" s="1"/>
      <c r="AC31" s="1"/>
      <c r="AD31" s="51"/>
      <c r="AE31" s="51"/>
      <c r="AF31" s="51"/>
      <c r="AG31" s="51"/>
      <c r="AH31" s="52"/>
      <c r="AI31" s="52"/>
      <c r="AJ31" s="52"/>
      <c r="AK31" s="52"/>
      <c r="AL31" s="1"/>
      <c r="AM31" s="1"/>
      <c r="AN31" s="1"/>
      <c r="AO31" s="1"/>
      <c r="AP31" s="54"/>
      <c r="AQ31" s="54"/>
      <c r="AR31" s="54"/>
      <c r="AS31" s="54"/>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6"/>
      <c r="CW31" s="56"/>
      <c r="CX31" s="1"/>
    </row>
    <row r="32" spans="1:102" s="10" customFormat="1" ht="18" customHeight="1" x14ac:dyDescent="0.25">
      <c r="A32" s="6"/>
      <c r="B32" s="6"/>
      <c r="C32" s="1"/>
      <c r="D32" s="1"/>
      <c r="E32" s="1"/>
      <c r="F32" s="55"/>
      <c r="G32" s="55"/>
      <c r="H32" s="55"/>
      <c r="I32" s="55"/>
      <c r="J32" s="50"/>
      <c r="K32" s="50"/>
      <c r="L32" s="50"/>
      <c r="M32" s="50"/>
      <c r="N32" s="49"/>
      <c r="O32" s="49"/>
      <c r="P32" s="49"/>
      <c r="Q32" s="49"/>
      <c r="R32" s="53"/>
      <c r="S32" s="53"/>
      <c r="T32" s="53"/>
      <c r="U32" s="53"/>
      <c r="V32" s="52"/>
      <c r="W32" s="52"/>
      <c r="X32" s="52"/>
      <c r="Y32" s="52"/>
      <c r="Z32" s="1"/>
      <c r="AA32" s="1"/>
      <c r="AB32" s="1"/>
      <c r="AC32" s="1"/>
      <c r="AD32" s="51"/>
      <c r="AE32" s="51"/>
      <c r="AF32" s="51"/>
      <c r="AG32" s="51"/>
      <c r="AH32" s="52"/>
      <c r="AI32" s="52"/>
      <c r="AJ32" s="52"/>
      <c r="AK32" s="52"/>
      <c r="AL32" s="1"/>
      <c r="AM32" s="1"/>
      <c r="AN32" s="1"/>
      <c r="AO32" s="1"/>
      <c r="AP32" s="54"/>
      <c r="AQ32" s="54"/>
      <c r="AR32" s="54"/>
      <c r="AS32" s="54"/>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6"/>
      <c r="CW32" s="56"/>
      <c r="CX32" s="1"/>
    </row>
    <row r="33" spans="1:102" s="10" customFormat="1" ht="18" customHeight="1" x14ac:dyDescent="0.25">
      <c r="A33" s="6"/>
      <c r="B33" s="6"/>
      <c r="C33" s="1"/>
      <c r="D33" s="1"/>
      <c r="E33" s="1"/>
      <c r="F33" s="55"/>
      <c r="G33" s="55"/>
      <c r="H33" s="55"/>
      <c r="I33" s="55"/>
      <c r="J33" s="50"/>
      <c r="K33" s="50"/>
      <c r="L33" s="50"/>
      <c r="M33" s="50"/>
      <c r="N33" s="49"/>
      <c r="O33" s="49"/>
      <c r="P33" s="49"/>
      <c r="Q33" s="49"/>
      <c r="R33" s="53"/>
      <c r="S33" s="53"/>
      <c r="T33" s="53"/>
      <c r="U33" s="53"/>
      <c r="V33" s="52"/>
      <c r="W33" s="52"/>
      <c r="X33" s="52"/>
      <c r="Y33" s="52"/>
      <c r="Z33" s="1"/>
      <c r="AA33" s="1"/>
      <c r="AB33" s="1"/>
      <c r="AC33" s="1"/>
      <c r="AD33" s="51"/>
      <c r="AE33" s="51"/>
      <c r="AF33" s="51"/>
      <c r="AG33" s="51"/>
      <c r="AH33" s="52"/>
      <c r="AI33" s="52"/>
      <c r="AJ33" s="52"/>
      <c r="AK33" s="52"/>
      <c r="AL33" s="1"/>
      <c r="AM33" s="1"/>
      <c r="AN33" s="1"/>
      <c r="AO33" s="1"/>
      <c r="AP33" s="54"/>
      <c r="AQ33" s="54"/>
      <c r="AR33" s="54"/>
      <c r="AS33" s="54"/>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6"/>
      <c r="CW33" s="56"/>
      <c r="CX33" s="1"/>
    </row>
    <row r="34" spans="1:102" s="10" customFormat="1" ht="18" customHeight="1" x14ac:dyDescent="0.25">
      <c r="A34" s="6"/>
      <c r="B34" s="6"/>
      <c r="C34" s="1"/>
      <c r="D34" s="1"/>
      <c r="E34" s="1"/>
      <c r="F34" s="55"/>
      <c r="G34" s="55"/>
      <c r="H34" s="55"/>
      <c r="I34" s="55"/>
      <c r="J34" s="50"/>
      <c r="K34" s="50"/>
      <c r="L34" s="50"/>
      <c r="M34" s="50"/>
      <c r="N34" s="49"/>
      <c r="O34" s="49"/>
      <c r="P34" s="49"/>
      <c r="Q34" s="49"/>
      <c r="R34" s="53"/>
      <c r="S34" s="53"/>
      <c r="T34" s="53"/>
      <c r="U34" s="53"/>
      <c r="V34" s="52"/>
      <c r="W34" s="52"/>
      <c r="X34" s="52"/>
      <c r="Y34" s="52"/>
      <c r="Z34" s="1"/>
      <c r="AA34" s="1"/>
      <c r="AB34" s="1"/>
      <c r="AC34" s="1"/>
      <c r="AD34" s="51"/>
      <c r="AE34" s="51"/>
      <c r="AF34" s="51"/>
      <c r="AG34" s="51"/>
      <c r="AH34" s="52"/>
      <c r="AI34" s="52"/>
      <c r="AJ34" s="52"/>
      <c r="AK34" s="52"/>
      <c r="AL34" s="1"/>
      <c r="AM34" s="1"/>
      <c r="AN34" s="1"/>
      <c r="AO34" s="1"/>
      <c r="AP34" s="54"/>
      <c r="AQ34" s="54"/>
      <c r="AR34" s="54"/>
      <c r="AS34" s="54"/>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6"/>
      <c r="CW34" s="56"/>
      <c r="CX34" s="1"/>
    </row>
    <row r="35" spans="1:102" s="10" customFormat="1" ht="18" customHeight="1" x14ac:dyDescent="0.25">
      <c r="A35" s="6"/>
      <c r="B35" s="6"/>
      <c r="C35" s="1"/>
      <c r="D35" s="1"/>
      <c r="E35" s="1"/>
      <c r="F35" s="55"/>
      <c r="G35" s="55"/>
      <c r="H35" s="55"/>
      <c r="I35" s="55"/>
      <c r="J35" s="50"/>
      <c r="K35" s="50"/>
      <c r="L35" s="50"/>
      <c r="M35" s="50"/>
      <c r="N35" s="49"/>
      <c r="O35" s="49"/>
      <c r="P35" s="49"/>
      <c r="Q35" s="49"/>
      <c r="R35" s="53"/>
      <c r="S35" s="53"/>
      <c r="T35" s="53"/>
      <c r="U35" s="53"/>
      <c r="V35" s="52"/>
      <c r="W35" s="52"/>
      <c r="X35" s="52"/>
      <c r="Y35" s="52"/>
      <c r="Z35" s="1"/>
      <c r="AA35" s="1"/>
      <c r="AB35" s="1"/>
      <c r="AC35" s="1"/>
      <c r="AD35" s="51"/>
      <c r="AE35" s="51"/>
      <c r="AF35" s="51"/>
      <c r="AG35" s="51"/>
      <c r="AH35" s="52"/>
      <c r="AI35" s="52"/>
      <c r="AJ35" s="52"/>
      <c r="AK35" s="52"/>
      <c r="AL35" s="1"/>
      <c r="AM35" s="1"/>
      <c r="AN35" s="1"/>
      <c r="AO35" s="1"/>
      <c r="AP35" s="54"/>
      <c r="AQ35" s="54"/>
      <c r="AR35" s="54"/>
      <c r="AS35" s="54"/>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6"/>
      <c r="CW35" s="56"/>
      <c r="CX35" s="1"/>
    </row>
    <row r="36" spans="1:102" s="10" customFormat="1" ht="18" customHeight="1" x14ac:dyDescent="0.25">
      <c r="A36" s="6"/>
      <c r="B36" s="6"/>
      <c r="C36" s="1"/>
      <c r="D36" s="1"/>
      <c r="E36" s="1"/>
      <c r="F36" s="55"/>
      <c r="G36" s="55"/>
      <c r="H36" s="55"/>
      <c r="I36" s="55"/>
      <c r="J36" s="50"/>
      <c r="K36" s="50"/>
      <c r="L36" s="50"/>
      <c r="M36" s="50"/>
      <c r="N36" s="49"/>
      <c r="O36" s="49"/>
      <c r="P36" s="49"/>
      <c r="Q36" s="49"/>
      <c r="R36" s="53"/>
      <c r="S36" s="53"/>
      <c r="T36" s="53"/>
      <c r="U36" s="53"/>
      <c r="V36" s="52"/>
      <c r="W36" s="52"/>
      <c r="X36" s="52"/>
      <c r="Y36" s="52"/>
      <c r="Z36" s="1"/>
      <c r="AA36" s="1"/>
      <c r="AB36" s="1"/>
      <c r="AC36" s="1"/>
      <c r="AD36" s="51"/>
      <c r="AE36" s="51"/>
      <c r="AF36" s="51"/>
      <c r="AG36" s="51"/>
      <c r="AH36" s="52"/>
      <c r="AI36" s="52"/>
      <c r="AJ36" s="52"/>
      <c r="AK36" s="52"/>
      <c r="AL36" s="1"/>
      <c r="AM36" s="1"/>
      <c r="AN36" s="1"/>
      <c r="AO36" s="1"/>
      <c r="AP36" s="54"/>
      <c r="AQ36" s="54"/>
      <c r="AR36" s="54"/>
      <c r="AS36" s="54"/>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6"/>
      <c r="CW36" s="56"/>
      <c r="CX36" s="1"/>
    </row>
    <row r="37" spans="1:102" s="10" customFormat="1" ht="18" customHeight="1" x14ac:dyDescent="0.25">
      <c r="A37" s="6"/>
      <c r="B37" s="6"/>
      <c r="C37" s="1"/>
      <c r="D37" s="1"/>
      <c r="E37" s="1"/>
      <c r="F37" s="55"/>
      <c r="G37" s="55"/>
      <c r="H37" s="55"/>
      <c r="I37" s="55"/>
      <c r="J37" s="50"/>
      <c r="K37" s="50"/>
      <c r="L37" s="50"/>
      <c r="M37" s="50"/>
      <c r="N37" s="49"/>
      <c r="O37" s="49"/>
      <c r="P37" s="49"/>
      <c r="Q37" s="49"/>
      <c r="R37" s="53"/>
      <c r="S37" s="53"/>
      <c r="T37" s="53"/>
      <c r="U37" s="53"/>
      <c r="V37" s="52"/>
      <c r="W37" s="52"/>
      <c r="X37" s="52"/>
      <c r="Y37" s="52"/>
      <c r="Z37" s="1"/>
      <c r="AA37" s="1"/>
      <c r="AB37" s="1"/>
      <c r="AC37" s="1"/>
      <c r="AD37" s="51"/>
      <c r="AE37" s="51"/>
      <c r="AF37" s="51"/>
      <c r="AG37" s="51"/>
      <c r="AH37" s="52"/>
      <c r="AI37" s="52"/>
      <c r="AJ37" s="52"/>
      <c r="AK37" s="52"/>
      <c r="AL37" s="1"/>
      <c r="AM37" s="1"/>
      <c r="AN37" s="1"/>
      <c r="AO37" s="1"/>
      <c r="AP37" s="54"/>
      <c r="AQ37" s="54"/>
      <c r="AR37" s="54"/>
      <c r="AS37" s="54"/>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6"/>
      <c r="CW37" s="56"/>
      <c r="CX37" s="1"/>
    </row>
    <row r="38" spans="1:102" s="10" customFormat="1" ht="18" customHeight="1" x14ac:dyDescent="0.25">
      <c r="A38" s="6"/>
      <c r="B38" s="6"/>
      <c r="C38" s="1"/>
      <c r="D38" s="1"/>
      <c r="E38" s="1"/>
      <c r="F38" s="55"/>
      <c r="G38" s="55"/>
      <c r="H38" s="55"/>
      <c r="I38" s="55"/>
      <c r="J38" s="50"/>
      <c r="K38" s="50"/>
      <c r="L38" s="50"/>
      <c r="M38" s="50"/>
      <c r="N38" s="49"/>
      <c r="O38" s="49"/>
      <c r="P38" s="49"/>
      <c r="Q38" s="49"/>
      <c r="R38" s="53"/>
      <c r="S38" s="53"/>
      <c r="T38" s="53"/>
      <c r="U38" s="53"/>
      <c r="V38" s="52"/>
      <c r="W38" s="52"/>
      <c r="X38" s="52"/>
      <c r="Y38" s="52"/>
      <c r="Z38" s="1"/>
      <c r="AA38" s="1"/>
      <c r="AB38" s="1"/>
      <c r="AC38" s="1"/>
      <c r="AD38" s="51"/>
      <c r="AE38" s="51"/>
      <c r="AF38" s="51"/>
      <c r="AG38" s="51"/>
      <c r="AH38" s="52"/>
      <c r="AI38" s="52"/>
      <c r="AJ38" s="52"/>
      <c r="AK38" s="52"/>
      <c r="AL38" s="1"/>
      <c r="AM38" s="1"/>
      <c r="AN38" s="1"/>
      <c r="AO38" s="1"/>
      <c r="AP38" s="54"/>
      <c r="AQ38" s="54"/>
      <c r="AR38" s="54"/>
      <c r="AS38" s="54"/>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6"/>
      <c r="CW38" s="56"/>
      <c r="CX38" s="1"/>
    </row>
    <row r="39" spans="1:102" s="10" customFormat="1" ht="18" customHeight="1" x14ac:dyDescent="0.25">
      <c r="A39" s="6"/>
      <c r="B39" s="6"/>
      <c r="C39" s="1"/>
      <c r="D39" s="1"/>
      <c r="E39" s="1"/>
      <c r="F39" s="55"/>
      <c r="G39" s="55"/>
      <c r="H39" s="55"/>
      <c r="I39" s="55"/>
      <c r="J39" s="50"/>
      <c r="K39" s="50"/>
      <c r="L39" s="50"/>
      <c r="M39" s="50"/>
      <c r="N39" s="49"/>
      <c r="O39" s="49"/>
      <c r="P39" s="49"/>
      <c r="Q39" s="49"/>
      <c r="R39" s="53"/>
      <c r="S39" s="53"/>
      <c r="T39" s="53"/>
      <c r="U39" s="53"/>
      <c r="V39" s="52"/>
      <c r="W39" s="52"/>
      <c r="X39" s="52"/>
      <c r="Y39" s="52"/>
      <c r="Z39" s="1"/>
      <c r="AA39" s="1"/>
      <c r="AB39" s="1"/>
      <c r="AC39" s="1"/>
      <c r="AD39" s="51"/>
      <c r="AE39" s="51"/>
      <c r="AF39" s="51"/>
      <c r="AG39" s="51"/>
      <c r="AH39" s="52"/>
      <c r="AI39" s="52"/>
      <c r="AJ39" s="52"/>
      <c r="AK39" s="52"/>
      <c r="AL39" s="1"/>
      <c r="AM39" s="1"/>
      <c r="AN39" s="1"/>
      <c r="AO39" s="1"/>
      <c r="AP39" s="54"/>
      <c r="AQ39" s="54"/>
      <c r="AR39" s="54"/>
      <c r="AS39" s="54"/>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6"/>
      <c r="CW39" s="56"/>
      <c r="CX39" s="1"/>
    </row>
    <row r="40" spans="1:102" s="10" customFormat="1" ht="18" customHeight="1" x14ac:dyDescent="0.25">
      <c r="A40" s="6"/>
      <c r="B40" s="6"/>
      <c r="C40" s="1"/>
      <c r="D40" s="1"/>
      <c r="E40" s="1"/>
      <c r="F40" s="55"/>
      <c r="G40" s="55"/>
      <c r="H40" s="55"/>
      <c r="I40" s="55"/>
      <c r="J40" s="50"/>
      <c r="K40" s="50"/>
      <c r="L40" s="50"/>
      <c r="M40" s="50"/>
      <c r="N40" s="49"/>
      <c r="O40" s="49"/>
      <c r="P40" s="49"/>
      <c r="Q40" s="49"/>
      <c r="R40" s="53"/>
      <c r="S40" s="53"/>
      <c r="T40" s="53"/>
      <c r="U40" s="53"/>
      <c r="V40" s="52"/>
      <c r="W40" s="52"/>
      <c r="X40" s="52"/>
      <c r="Y40" s="52"/>
      <c r="Z40" s="1"/>
      <c r="AA40" s="1"/>
      <c r="AB40" s="1"/>
      <c r="AC40" s="1"/>
      <c r="AD40" s="51"/>
      <c r="AE40" s="51"/>
      <c r="AF40" s="51"/>
      <c r="AG40" s="51"/>
      <c r="AH40" s="52"/>
      <c r="AI40" s="52"/>
      <c r="AJ40" s="52"/>
      <c r="AK40" s="52"/>
      <c r="AL40" s="1"/>
      <c r="AM40" s="1"/>
      <c r="AN40" s="1"/>
      <c r="AO40" s="1"/>
      <c r="AP40" s="54"/>
      <c r="AQ40" s="54"/>
      <c r="AR40" s="54"/>
      <c r="AS40" s="54"/>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6"/>
      <c r="CW40" s="56"/>
      <c r="CX40" s="1"/>
    </row>
    <row r="41" spans="1:102" s="10" customFormat="1" ht="18" customHeight="1" x14ac:dyDescent="0.25">
      <c r="A41" s="6"/>
      <c r="B41" s="6"/>
      <c r="C41" s="1"/>
      <c r="D41" s="1"/>
      <c r="E41" s="1"/>
      <c r="F41" s="55"/>
      <c r="G41" s="55"/>
      <c r="H41" s="55"/>
      <c r="I41" s="55"/>
      <c r="J41" s="50"/>
      <c r="K41" s="50"/>
      <c r="L41" s="50"/>
      <c r="M41" s="50"/>
      <c r="N41" s="49"/>
      <c r="O41" s="49"/>
      <c r="P41" s="49"/>
      <c r="Q41" s="49"/>
      <c r="R41" s="53"/>
      <c r="S41" s="53"/>
      <c r="T41" s="53"/>
      <c r="U41" s="53"/>
      <c r="V41" s="52"/>
      <c r="W41" s="52"/>
      <c r="X41" s="52"/>
      <c r="Y41" s="52"/>
      <c r="Z41" s="1"/>
      <c r="AA41" s="1"/>
      <c r="AB41" s="1"/>
      <c r="AC41" s="1"/>
      <c r="AD41" s="51"/>
      <c r="AE41" s="51"/>
      <c r="AF41" s="51"/>
      <c r="AG41" s="51"/>
      <c r="AH41" s="52"/>
      <c r="AI41" s="52"/>
      <c r="AJ41" s="52"/>
      <c r="AK41" s="52"/>
      <c r="AL41" s="1"/>
      <c r="AM41" s="1"/>
      <c r="AN41" s="1"/>
      <c r="AO41" s="1"/>
      <c r="AP41" s="54"/>
      <c r="AQ41" s="54"/>
      <c r="AR41" s="54"/>
      <c r="AS41" s="54"/>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6"/>
      <c r="CW41" s="56"/>
      <c r="CX41" s="1"/>
    </row>
    <row r="42" spans="1:102" s="10" customFormat="1" ht="18" customHeight="1" x14ac:dyDescent="0.25">
      <c r="A42" s="6"/>
      <c r="B42" s="6"/>
      <c r="C42" s="1"/>
      <c r="D42" s="1"/>
      <c r="E42" s="1"/>
      <c r="F42" s="55"/>
      <c r="G42" s="55"/>
      <c r="H42" s="55"/>
      <c r="I42" s="55"/>
      <c r="J42" s="50"/>
      <c r="K42" s="50"/>
      <c r="L42" s="50"/>
      <c r="M42" s="50"/>
      <c r="N42" s="49"/>
      <c r="O42" s="49"/>
      <c r="P42" s="49"/>
      <c r="Q42" s="49"/>
      <c r="R42" s="53"/>
      <c r="S42" s="53"/>
      <c r="T42" s="53"/>
      <c r="U42" s="53"/>
      <c r="V42" s="52"/>
      <c r="W42" s="52"/>
      <c r="X42" s="52"/>
      <c r="Y42" s="52"/>
      <c r="Z42" s="1"/>
      <c r="AA42" s="1"/>
      <c r="AB42" s="1"/>
      <c r="AC42" s="1"/>
      <c r="AD42" s="51"/>
      <c r="AE42" s="51"/>
      <c r="AF42" s="51"/>
      <c r="AG42" s="51"/>
      <c r="AH42" s="52"/>
      <c r="AI42" s="52"/>
      <c r="AJ42" s="52"/>
      <c r="AK42" s="52"/>
      <c r="AL42" s="1"/>
      <c r="AM42" s="1"/>
      <c r="AN42" s="1"/>
      <c r="AO42" s="1"/>
      <c r="AP42" s="54"/>
      <c r="AQ42" s="54"/>
      <c r="AR42" s="54"/>
      <c r="AS42" s="54"/>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6"/>
      <c r="CW42" s="56"/>
      <c r="CX42" s="1"/>
    </row>
    <row r="43" spans="1:102" s="10" customFormat="1" ht="18" customHeight="1" x14ac:dyDescent="0.25">
      <c r="A43" s="6"/>
      <c r="B43" s="6"/>
      <c r="C43" s="1"/>
      <c r="D43" s="1"/>
      <c r="E43" s="1"/>
      <c r="F43" s="55"/>
      <c r="G43" s="55"/>
      <c r="H43" s="55"/>
      <c r="I43" s="55"/>
      <c r="J43" s="50"/>
      <c r="K43" s="50"/>
      <c r="L43" s="50"/>
      <c r="M43" s="50"/>
      <c r="N43" s="49"/>
      <c r="O43" s="49"/>
      <c r="P43" s="49"/>
      <c r="Q43" s="49"/>
      <c r="R43" s="53"/>
      <c r="S43" s="53"/>
      <c r="T43" s="53"/>
      <c r="U43" s="53"/>
      <c r="V43" s="52"/>
      <c r="W43" s="52"/>
      <c r="X43" s="52"/>
      <c r="Y43" s="52"/>
      <c r="Z43" s="1"/>
      <c r="AA43" s="1"/>
      <c r="AB43" s="1"/>
      <c r="AC43" s="1"/>
      <c r="AD43" s="51"/>
      <c r="AE43" s="51"/>
      <c r="AF43" s="51"/>
      <c r="AG43" s="51"/>
      <c r="AH43" s="52"/>
      <c r="AI43" s="52"/>
      <c r="AJ43" s="52"/>
      <c r="AK43" s="52"/>
      <c r="AL43" s="1"/>
      <c r="AM43" s="1"/>
      <c r="AN43" s="1"/>
      <c r="AO43" s="1"/>
      <c r="AP43" s="54"/>
      <c r="AQ43" s="54"/>
      <c r="AR43" s="54"/>
      <c r="AS43" s="54"/>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6"/>
      <c r="CW43" s="56"/>
      <c r="CX43" s="1"/>
    </row>
    <row r="44" spans="1:102" s="10" customFormat="1" ht="18" customHeight="1" x14ac:dyDescent="0.25">
      <c r="A44" s="6"/>
      <c r="B44" s="6"/>
      <c r="C44" s="1"/>
      <c r="D44" s="1"/>
      <c r="E44" s="1"/>
      <c r="F44" s="55"/>
      <c r="G44" s="55"/>
      <c r="H44" s="55"/>
      <c r="I44" s="55"/>
      <c r="J44" s="50"/>
      <c r="K44" s="50"/>
      <c r="L44" s="50"/>
      <c r="M44" s="50"/>
      <c r="N44" s="49"/>
      <c r="O44" s="49"/>
      <c r="P44" s="49"/>
      <c r="Q44" s="49"/>
      <c r="R44" s="53"/>
      <c r="S44" s="53"/>
      <c r="T44" s="53"/>
      <c r="U44" s="53"/>
      <c r="V44" s="52"/>
      <c r="W44" s="52"/>
      <c r="X44" s="52"/>
      <c r="Y44" s="52"/>
      <c r="Z44" s="1"/>
      <c r="AA44" s="1"/>
      <c r="AB44" s="1"/>
      <c r="AC44" s="1"/>
      <c r="AD44" s="51"/>
      <c r="AE44" s="51"/>
      <c r="AF44" s="51"/>
      <c r="AG44" s="51"/>
      <c r="AH44" s="52"/>
      <c r="AI44" s="52"/>
      <c r="AJ44" s="52"/>
      <c r="AK44" s="52"/>
      <c r="AL44" s="1"/>
      <c r="AM44" s="1"/>
      <c r="AN44" s="1"/>
      <c r="AO44" s="1"/>
      <c r="AP44" s="54"/>
      <c r="AQ44" s="54"/>
      <c r="AR44" s="54"/>
      <c r="AS44" s="54"/>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6"/>
      <c r="CW44" s="56"/>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A73"/>
  <sheetViews>
    <sheetView showZeros="0" tabSelected="1" topLeftCell="A8" zoomScale="85" zoomScaleNormal="85" workbookViewId="0">
      <selection activeCell="E21" sqref="E21"/>
    </sheetView>
  </sheetViews>
  <sheetFormatPr defaultRowHeight="15" x14ac:dyDescent="0.25"/>
  <cols>
    <col min="1" max="1" width="14.140625" bestFit="1" customWidth="1"/>
    <col min="2" max="2" width="16.28515625" style="59" bestFit="1" customWidth="1"/>
    <col min="3" max="3" width="10.28515625" bestFit="1" customWidth="1"/>
    <col min="4" max="4" width="37.5703125" bestFit="1" customWidth="1"/>
    <col min="5" max="5" width="13.5703125" style="2" customWidth="1"/>
    <col min="6" max="6" width="13.85546875" customWidth="1"/>
    <col min="7" max="7" width="11.85546875" customWidth="1"/>
    <col min="8" max="8" width="10.5703125" style="5" bestFit="1" customWidth="1"/>
    <col min="9" max="9" width="10.28515625" bestFit="1" customWidth="1"/>
    <col min="10" max="10" width="13.140625" bestFit="1" customWidth="1"/>
    <col min="11" max="11" width="10.28515625" bestFit="1" customWidth="1"/>
    <col min="12" max="12" width="10.5703125" customWidth="1"/>
    <col min="13" max="13" width="15.28515625" customWidth="1"/>
    <col min="14" max="14" width="12.7109375" customWidth="1"/>
    <col min="15" max="15" width="7.85546875" style="15" customWidth="1"/>
    <col min="16" max="35" width="7.85546875" style="15" hidden="1" customWidth="1"/>
    <col min="36" max="36" width="7.85546875" style="15" customWidth="1"/>
    <col min="37" max="53" width="7.85546875" style="15" hidden="1" customWidth="1"/>
    <col min="54" max="54" width="7.85546875" style="15" customWidth="1"/>
    <col min="55" max="85" width="7.85546875" style="15" hidden="1" customWidth="1"/>
    <col min="86" max="86" width="7.85546875" style="15" customWidth="1"/>
    <col min="87" max="87" width="11" style="15" customWidth="1"/>
    <col min="88" max="88" width="17.42578125" style="15"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8" ht="15.75" thickBot="1" x14ac:dyDescent="0.3">
      <c r="A1" s="94"/>
      <c r="B1" s="94"/>
      <c r="C1" s="94"/>
      <c r="D1" s="94"/>
      <c r="E1" s="94"/>
      <c r="F1" s="94"/>
      <c r="G1" s="94"/>
      <c r="H1" s="94"/>
      <c r="I1" s="94"/>
      <c r="J1" s="94"/>
      <c r="K1" s="94"/>
      <c r="L1" s="94"/>
      <c r="M1" s="94"/>
      <c r="N1" s="94"/>
      <c r="O1" s="94"/>
      <c r="P1" s="94"/>
      <c r="Q1" s="94"/>
      <c r="R1" s="94"/>
    </row>
    <row r="2" spans="1:18" ht="23.25" thickBot="1" x14ac:dyDescent="0.5">
      <c r="A2" s="192" t="s">
        <v>229</v>
      </c>
      <c r="B2" s="193"/>
      <c r="C2" s="193"/>
      <c r="D2" s="193"/>
      <c r="E2" s="193"/>
      <c r="F2" s="193"/>
      <c r="G2" s="193"/>
      <c r="H2" s="193"/>
      <c r="I2" s="193"/>
      <c r="J2" s="193"/>
      <c r="K2" s="193"/>
      <c r="L2" s="193"/>
      <c r="M2" s="193"/>
      <c r="N2" s="193"/>
      <c r="O2" s="193"/>
      <c r="P2" s="193"/>
      <c r="Q2" s="193"/>
      <c r="R2" s="194"/>
    </row>
    <row r="3" spans="1:18" ht="15.75" thickBot="1" x14ac:dyDescent="0.3">
      <c r="B3"/>
      <c r="E3"/>
      <c r="H3"/>
      <c r="O3"/>
      <c r="P3"/>
      <c r="Q3"/>
      <c r="R3"/>
    </row>
    <row r="4" spans="1:18" ht="45.75" thickBot="1" x14ac:dyDescent="0.3">
      <c r="A4" s="95" t="s">
        <v>230</v>
      </c>
      <c r="B4" s="195" t="s">
        <v>242</v>
      </c>
      <c r="C4" s="195"/>
      <c r="D4" s="195"/>
      <c r="E4" s="195"/>
      <c r="F4" s="195"/>
      <c r="G4" s="195"/>
      <c r="H4" s="195"/>
      <c r="I4" s="195"/>
      <c r="J4" s="195"/>
      <c r="K4" s="195"/>
      <c r="L4" s="195"/>
      <c r="M4" s="195"/>
      <c r="N4" s="195"/>
      <c r="O4" s="195"/>
      <c r="P4" s="195"/>
      <c r="Q4" s="195"/>
      <c r="R4" s="195"/>
    </row>
    <row r="5" spans="1:18" ht="45" x14ac:dyDescent="0.25">
      <c r="A5" s="95" t="s">
        <v>231</v>
      </c>
      <c r="B5" s="195" t="s">
        <v>243</v>
      </c>
      <c r="C5" s="195"/>
      <c r="D5" s="195"/>
      <c r="E5" s="195"/>
      <c r="F5" s="195"/>
      <c r="G5" s="195"/>
      <c r="H5" s="195"/>
      <c r="I5" s="195"/>
      <c r="J5" s="195"/>
      <c r="K5" s="195"/>
      <c r="L5" s="195"/>
      <c r="M5" s="195"/>
      <c r="N5" s="195"/>
      <c r="O5" s="195"/>
      <c r="P5" s="195"/>
      <c r="Q5" s="195"/>
      <c r="R5" s="195"/>
    </row>
    <row r="6" spans="1:18" ht="45" x14ac:dyDescent="0.25">
      <c r="A6" s="96" t="s">
        <v>232</v>
      </c>
      <c r="B6" s="185" t="s">
        <v>244</v>
      </c>
      <c r="C6" s="195"/>
      <c r="D6" s="195"/>
      <c r="E6" s="195"/>
      <c r="F6" s="195"/>
      <c r="G6" s="195"/>
      <c r="H6" s="195"/>
      <c r="I6" s="195"/>
      <c r="J6" s="195"/>
      <c r="K6" s="195"/>
      <c r="L6" s="195"/>
      <c r="M6" s="195"/>
      <c r="N6" s="195"/>
      <c r="O6" s="195"/>
      <c r="P6" s="195"/>
      <c r="Q6" s="195"/>
      <c r="R6" s="195"/>
    </row>
    <row r="7" spans="1:18" ht="30" x14ac:dyDescent="0.25">
      <c r="A7" s="96" t="s">
        <v>233</v>
      </c>
      <c r="B7" s="185" t="s">
        <v>245</v>
      </c>
      <c r="C7" s="195"/>
      <c r="D7" s="195"/>
      <c r="E7" s="195"/>
      <c r="F7" s="195"/>
      <c r="G7" s="195"/>
      <c r="H7" s="195"/>
      <c r="I7" s="195"/>
      <c r="J7" s="195"/>
      <c r="K7" s="195"/>
      <c r="L7" s="195"/>
      <c r="M7" s="195"/>
      <c r="N7" s="195"/>
      <c r="O7" s="195"/>
      <c r="P7" s="195"/>
      <c r="Q7" s="195"/>
      <c r="R7" s="195"/>
    </row>
    <row r="8" spans="1:18" ht="141.75" customHeight="1" x14ac:dyDescent="0.25">
      <c r="A8" s="96" t="s">
        <v>234</v>
      </c>
      <c r="B8" s="185" t="s">
        <v>250</v>
      </c>
      <c r="C8" s="185"/>
      <c r="D8" s="185"/>
      <c r="E8" s="185"/>
      <c r="F8" s="185"/>
      <c r="G8" s="185"/>
      <c r="H8" s="185"/>
      <c r="I8" s="185"/>
      <c r="J8" s="185"/>
      <c r="K8" s="185"/>
      <c r="L8" s="185"/>
      <c r="M8" s="185"/>
      <c r="N8" s="185"/>
      <c r="O8" s="185"/>
      <c r="P8" s="185"/>
      <c r="Q8" s="185"/>
      <c r="R8" s="185"/>
    </row>
    <row r="9" spans="1:18" x14ac:dyDescent="0.25">
      <c r="A9" s="96" t="s">
        <v>235</v>
      </c>
      <c r="B9" s="186" t="s">
        <v>246</v>
      </c>
      <c r="C9" s="187"/>
      <c r="D9" s="187"/>
      <c r="E9" s="187"/>
      <c r="F9" s="187"/>
      <c r="G9" s="187"/>
      <c r="H9" s="187"/>
      <c r="I9" s="187"/>
      <c r="J9" s="187"/>
      <c r="K9" s="187"/>
      <c r="L9" s="187"/>
      <c r="M9" s="187"/>
      <c r="N9" s="187"/>
      <c r="O9" s="187"/>
      <c r="P9" s="187"/>
      <c r="Q9" s="187"/>
      <c r="R9" s="188"/>
    </row>
    <row r="10" spans="1:18" ht="49.5" customHeight="1" x14ac:dyDescent="0.25">
      <c r="A10" s="96" t="s">
        <v>236</v>
      </c>
      <c r="B10" s="185" t="s">
        <v>249</v>
      </c>
      <c r="C10" s="185"/>
      <c r="D10" s="185"/>
      <c r="E10" s="185"/>
      <c r="F10" s="185"/>
      <c r="G10" s="185"/>
      <c r="H10" s="185"/>
      <c r="I10" s="185"/>
      <c r="J10" s="185"/>
      <c r="K10" s="185"/>
      <c r="L10" s="185"/>
      <c r="M10" s="185"/>
      <c r="N10" s="185"/>
      <c r="O10" s="185"/>
      <c r="P10" s="185"/>
      <c r="Q10" s="185"/>
      <c r="R10" s="185"/>
    </row>
    <row r="11" spans="1:18" ht="50.25" customHeight="1" x14ac:dyDescent="0.25">
      <c r="A11" s="96" t="s">
        <v>237</v>
      </c>
      <c r="B11" s="189" t="s">
        <v>247</v>
      </c>
      <c r="C11" s="190"/>
      <c r="D11" s="190"/>
      <c r="E11" s="190"/>
      <c r="F11" s="190"/>
      <c r="G11" s="190"/>
      <c r="H11" s="190"/>
      <c r="I11" s="190"/>
      <c r="J11" s="190"/>
      <c r="K11" s="190"/>
      <c r="L11" s="190"/>
      <c r="M11" s="190"/>
      <c r="N11" s="190"/>
      <c r="O11" s="190"/>
      <c r="P11" s="190"/>
      <c r="Q11" s="190"/>
      <c r="R11" s="191"/>
    </row>
    <row r="12" spans="1:18" ht="51.75" customHeight="1" x14ac:dyDescent="0.25">
      <c r="A12" s="97" t="s">
        <v>238</v>
      </c>
      <c r="B12" s="184" t="s">
        <v>248</v>
      </c>
      <c r="C12" s="184"/>
      <c r="D12" s="184"/>
      <c r="E12" s="184"/>
      <c r="F12" s="184"/>
      <c r="G12" s="184"/>
      <c r="H12" s="184"/>
      <c r="I12" s="184"/>
      <c r="J12" s="184"/>
      <c r="K12" s="184"/>
      <c r="L12" s="184"/>
      <c r="M12" s="184"/>
      <c r="N12" s="184"/>
      <c r="O12" s="184"/>
      <c r="P12" s="184"/>
      <c r="Q12" s="184"/>
      <c r="R12" s="184"/>
    </row>
    <row r="13" spans="1:18" x14ac:dyDescent="0.25">
      <c r="A13" s="97" t="s">
        <v>239</v>
      </c>
      <c r="B13" s="184" t="s">
        <v>240</v>
      </c>
      <c r="C13" s="184"/>
      <c r="D13" s="184"/>
      <c r="E13" s="184"/>
      <c r="F13" s="184"/>
      <c r="G13" s="184"/>
      <c r="H13" s="184"/>
      <c r="I13" s="184"/>
      <c r="J13" s="184"/>
      <c r="K13" s="184"/>
      <c r="L13" s="184"/>
      <c r="M13" s="184"/>
      <c r="N13" s="184"/>
      <c r="O13" s="184"/>
      <c r="P13" s="184"/>
      <c r="Q13" s="184"/>
      <c r="R13" s="184"/>
    </row>
    <row r="14" spans="1:18" ht="30" x14ac:dyDescent="0.25">
      <c r="A14" s="98" t="s">
        <v>241</v>
      </c>
      <c r="B14" s="184"/>
      <c r="C14" s="184"/>
      <c r="D14" s="184"/>
      <c r="E14" s="184"/>
      <c r="F14" s="184"/>
      <c r="G14" s="184"/>
      <c r="H14" s="184"/>
      <c r="I14" s="184"/>
      <c r="J14" s="184"/>
      <c r="K14" s="184"/>
      <c r="L14" s="184"/>
      <c r="M14" s="184"/>
      <c r="N14" s="184"/>
      <c r="O14" s="184"/>
      <c r="P14" s="184"/>
      <c r="Q14" s="184"/>
      <c r="R14" s="184"/>
    </row>
    <row r="18" spans="1:105" s="22" customFormat="1" ht="28.9" customHeight="1" x14ac:dyDescent="0.25">
      <c r="A18" s="80"/>
      <c r="B18" s="80"/>
      <c r="C18" s="81"/>
      <c r="D18" s="81"/>
      <c r="E18" s="26"/>
      <c r="H18" s="27"/>
      <c r="O18" s="203" t="s">
        <v>82</v>
      </c>
      <c r="P18" s="203"/>
      <c r="Q18" s="203"/>
      <c r="R18" s="203"/>
      <c r="S18" s="203"/>
      <c r="T18" s="203"/>
      <c r="U18" s="203"/>
      <c r="V18" s="203"/>
      <c r="W18" s="204" t="s">
        <v>4</v>
      </c>
      <c r="X18" s="204"/>
      <c r="Y18" s="205" t="s">
        <v>3</v>
      </c>
      <c r="Z18" s="205"/>
      <c r="AA18" s="205"/>
      <c r="AB18" s="205"/>
      <c r="AC18" s="205"/>
      <c r="AD18" s="205"/>
      <c r="AE18" s="205"/>
      <c r="AF18" s="205"/>
      <c r="AG18" s="206" t="s">
        <v>5</v>
      </c>
      <c r="AH18" s="206"/>
      <c r="AI18" s="207" t="s">
        <v>6</v>
      </c>
      <c r="AJ18" s="207"/>
      <c r="AK18" s="207"/>
      <c r="AL18" s="207"/>
      <c r="AM18" s="207"/>
      <c r="AN18" s="207"/>
      <c r="AO18" s="207"/>
      <c r="AP18" s="207"/>
      <c r="AQ18" s="207"/>
      <c r="AR18" s="33" t="s">
        <v>7</v>
      </c>
      <c r="AS18" s="199" t="s">
        <v>8</v>
      </c>
      <c r="AT18" s="200"/>
      <c r="AU18" s="200"/>
      <c r="AV18" s="200"/>
      <c r="AW18" s="200"/>
      <c r="AX18" s="200"/>
      <c r="AY18" s="200"/>
      <c r="AZ18" s="200"/>
      <c r="BA18" s="200"/>
      <c r="BB18" s="201" t="s">
        <v>9</v>
      </c>
      <c r="BC18" s="201"/>
      <c r="BD18" s="201"/>
      <c r="BE18" s="201"/>
      <c r="BF18" s="201"/>
      <c r="BG18" s="201"/>
      <c r="BH18" s="201"/>
      <c r="BI18" s="201"/>
      <c r="BJ18" s="201"/>
      <c r="BK18" s="201"/>
      <c r="BL18" s="201"/>
      <c r="BM18" s="202" t="s">
        <v>10</v>
      </c>
      <c r="BN18" s="202"/>
      <c r="BO18" s="202"/>
      <c r="BP18" s="202"/>
      <c r="BQ18" s="202"/>
      <c r="BR18" s="202"/>
      <c r="BS18" s="202"/>
      <c r="BT18" s="202"/>
      <c r="BU18" s="202"/>
      <c r="BV18" s="202"/>
      <c r="BW18" s="202"/>
      <c r="BX18" s="202"/>
      <c r="BY18" s="36" t="s">
        <v>11</v>
      </c>
      <c r="BZ18" s="39" t="s">
        <v>12</v>
      </c>
      <c r="CA18" s="30" t="s">
        <v>13</v>
      </c>
      <c r="CB18" s="32" t="s">
        <v>14</v>
      </c>
      <c r="CC18" s="31" t="s">
        <v>15</v>
      </c>
      <c r="CD18" s="42" t="s">
        <v>16</v>
      </c>
      <c r="CE18" s="44" t="s">
        <v>17</v>
      </c>
      <c r="CF18" s="38" t="s">
        <v>18</v>
      </c>
      <c r="CG18" s="30" t="s">
        <v>19</v>
      </c>
      <c r="CH18" s="196" t="s">
        <v>84</v>
      </c>
      <c r="CI18" s="197"/>
      <c r="CJ18" s="197"/>
      <c r="CK18" s="198"/>
      <c r="CL18" s="62" t="s">
        <v>20</v>
      </c>
      <c r="CM18" s="23" t="s">
        <v>21</v>
      </c>
      <c r="CN18" s="24" t="s">
        <v>40</v>
      </c>
      <c r="CO18" s="23" t="s">
        <v>81</v>
      </c>
      <c r="CP18" s="25"/>
      <c r="CQ18" s="26"/>
      <c r="CR18" s="27"/>
      <c r="CS18" s="26"/>
      <c r="CT18" s="26"/>
      <c r="CU18" s="27"/>
      <c r="CW18" s="27"/>
      <c r="DA18" s="22" t="s">
        <v>126</v>
      </c>
    </row>
    <row r="19" spans="1:105" s="11" customFormat="1" ht="89.25" x14ac:dyDescent="0.25">
      <c r="A19" s="72" t="s">
        <v>0</v>
      </c>
      <c r="B19" s="73" t="s">
        <v>85</v>
      </c>
      <c r="C19" s="72" t="s">
        <v>1</v>
      </c>
      <c r="D19" s="72" t="s">
        <v>2</v>
      </c>
      <c r="E19" s="3" t="s">
        <v>31</v>
      </c>
      <c r="F19" s="9" t="s">
        <v>32</v>
      </c>
      <c r="G19" s="9" t="s">
        <v>33</v>
      </c>
      <c r="H19" s="4" t="s">
        <v>34</v>
      </c>
      <c r="I19" s="9" t="s">
        <v>35</v>
      </c>
      <c r="J19" s="9" t="s">
        <v>36</v>
      </c>
      <c r="K19" s="9" t="s">
        <v>37</v>
      </c>
      <c r="L19" s="9" t="s">
        <v>38</v>
      </c>
      <c r="M19" s="9" t="s">
        <v>39</v>
      </c>
      <c r="N19" s="91" t="s">
        <v>227</v>
      </c>
      <c r="O19" s="74" t="s">
        <v>41</v>
      </c>
      <c r="P19" s="74" t="s">
        <v>46</v>
      </c>
      <c r="Q19" s="74" t="s">
        <v>43</v>
      </c>
      <c r="R19" s="74" t="s">
        <v>123</v>
      </c>
      <c r="S19" s="74" t="s">
        <v>124</v>
      </c>
      <c r="T19" s="74" t="s">
        <v>125</v>
      </c>
      <c r="U19" s="74" t="s">
        <v>44</v>
      </c>
      <c r="V19" s="74" t="s">
        <v>45</v>
      </c>
      <c r="W19" s="74" t="s">
        <v>41</v>
      </c>
      <c r="X19" s="74" t="s">
        <v>46</v>
      </c>
      <c r="Y19" s="75" t="s">
        <v>53</v>
      </c>
      <c r="Z19" s="75" t="s">
        <v>57</v>
      </c>
      <c r="AA19" s="75" t="s">
        <v>60</v>
      </c>
      <c r="AB19" s="75" t="s">
        <v>65</v>
      </c>
      <c r="AC19" s="75" t="s">
        <v>69</v>
      </c>
      <c r="AD19" s="75" t="s">
        <v>71</v>
      </c>
      <c r="AE19" s="75" t="s">
        <v>73</v>
      </c>
      <c r="AF19" s="75" t="s">
        <v>75</v>
      </c>
      <c r="AG19" s="75" t="s">
        <v>52</v>
      </c>
      <c r="AH19" s="75" t="s">
        <v>56</v>
      </c>
      <c r="AI19" s="75" t="s">
        <v>51</v>
      </c>
      <c r="AJ19" s="75" t="s">
        <v>47</v>
      </c>
      <c r="AK19" s="75" t="s">
        <v>59</v>
      </c>
      <c r="AL19" s="75" t="s">
        <v>64</v>
      </c>
      <c r="AM19" s="75" t="s">
        <v>68</v>
      </c>
      <c r="AN19" s="75" t="s">
        <v>87</v>
      </c>
      <c r="AO19" s="75" t="s">
        <v>88</v>
      </c>
      <c r="AP19" s="75" t="s">
        <v>86</v>
      </c>
      <c r="AQ19" s="75" t="s">
        <v>94</v>
      </c>
      <c r="AR19" s="76" t="s">
        <v>7</v>
      </c>
      <c r="AS19" s="75" t="s">
        <v>54</v>
      </c>
      <c r="AT19" s="75" t="s">
        <v>58</v>
      </c>
      <c r="AU19" s="75" t="s">
        <v>63</v>
      </c>
      <c r="AV19" s="75" t="s">
        <v>61</v>
      </c>
      <c r="AW19" s="75" t="s">
        <v>66</v>
      </c>
      <c r="AX19" s="75" t="s">
        <v>70</v>
      </c>
      <c r="AY19" s="75" t="s">
        <v>48</v>
      </c>
      <c r="AZ19" s="75" t="s">
        <v>122</v>
      </c>
      <c r="BA19" s="75" t="s">
        <v>74</v>
      </c>
      <c r="BB19" s="75" t="s">
        <v>55</v>
      </c>
      <c r="BC19" s="75" t="s">
        <v>42</v>
      </c>
      <c r="BD19" s="75" t="s">
        <v>62</v>
      </c>
      <c r="BE19" s="75" t="s">
        <v>67</v>
      </c>
      <c r="BF19" s="75" t="s">
        <v>89</v>
      </c>
      <c r="BG19" s="75" t="s">
        <v>72</v>
      </c>
      <c r="BH19" s="75" t="s">
        <v>49</v>
      </c>
      <c r="BI19" s="75" t="s">
        <v>76</v>
      </c>
      <c r="BJ19" s="75" t="s">
        <v>77</v>
      </c>
      <c r="BK19" s="75" t="s">
        <v>78</v>
      </c>
      <c r="BL19" s="75" t="s">
        <v>80</v>
      </c>
      <c r="BM19" s="75" t="s">
        <v>54</v>
      </c>
      <c r="BN19" s="75" t="s">
        <v>58</v>
      </c>
      <c r="BO19" s="75" t="s">
        <v>63</v>
      </c>
      <c r="BP19" s="75" t="s">
        <v>61</v>
      </c>
      <c r="BQ19" s="75" t="s">
        <v>90</v>
      </c>
      <c r="BR19" s="75" t="s">
        <v>95</v>
      </c>
      <c r="BS19" s="75" t="s">
        <v>91</v>
      </c>
      <c r="BT19" s="75" t="s">
        <v>66</v>
      </c>
      <c r="BU19" s="75" t="s">
        <v>48</v>
      </c>
      <c r="BV19" s="75" t="s">
        <v>122</v>
      </c>
      <c r="BW19" s="75" t="s">
        <v>74</v>
      </c>
      <c r="BX19" s="75" t="s">
        <v>79</v>
      </c>
      <c r="BY19" s="76" t="s">
        <v>11</v>
      </c>
      <c r="BZ19" s="76" t="s">
        <v>50</v>
      </c>
      <c r="CA19" s="77" t="s">
        <v>13</v>
      </c>
      <c r="CB19" s="78" t="s">
        <v>14</v>
      </c>
      <c r="CC19" s="77" t="s">
        <v>15</v>
      </c>
      <c r="CD19" s="77" t="s">
        <v>16</v>
      </c>
      <c r="CE19" s="77" t="s">
        <v>17</v>
      </c>
      <c r="CF19" s="78" t="s">
        <v>18</v>
      </c>
      <c r="CG19" s="77" t="s">
        <v>19</v>
      </c>
      <c r="CH19" s="66" t="s">
        <v>83</v>
      </c>
      <c r="CI19" s="66" t="s">
        <v>92</v>
      </c>
      <c r="CJ19" s="66" t="s">
        <v>93</v>
      </c>
      <c r="CK19" s="66" t="s">
        <v>96</v>
      </c>
      <c r="CL19" s="14"/>
      <c r="CM19" s="14"/>
      <c r="CN19" s="12"/>
      <c r="CO19" s="14"/>
      <c r="CP19" s="7" t="s">
        <v>22</v>
      </c>
      <c r="CQ19" s="3" t="s">
        <v>23</v>
      </c>
      <c r="CR19" s="4" t="s">
        <v>24</v>
      </c>
      <c r="CS19" s="3" t="s">
        <v>25</v>
      </c>
      <c r="CT19" s="3" t="s">
        <v>26</v>
      </c>
      <c r="CU19" s="4" t="s">
        <v>27</v>
      </c>
      <c r="CV19" s="9" t="s">
        <v>28</v>
      </c>
      <c r="CW19" s="4" t="s">
        <v>29</v>
      </c>
      <c r="CX19" s="9" t="s">
        <v>30</v>
      </c>
      <c r="CY19" s="4" t="s">
        <v>97</v>
      </c>
      <c r="CZ19" s="9" t="s">
        <v>98</v>
      </c>
    </row>
    <row r="20" spans="1:105" s="14" customFormat="1" x14ac:dyDescent="0.25">
      <c r="A20" s="16"/>
      <c r="B20" s="58"/>
      <c r="C20" s="16"/>
      <c r="D20" s="16"/>
      <c r="E20" s="3"/>
      <c r="F20" s="69"/>
      <c r="G20" s="61"/>
      <c r="H20" s="3"/>
      <c r="I20" s="3"/>
      <c r="J20" s="3"/>
      <c r="K20" s="70"/>
      <c r="L20" s="3"/>
      <c r="M20" s="3"/>
      <c r="N20" s="92"/>
      <c r="O20" s="17">
        <v>388</v>
      </c>
      <c r="P20" s="17">
        <f>+IFERROR(VLOOKUP($P$19,Sheet1!J:L,2,0),0)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+IFERROR(VLOOKUP($V$19,Sheet1!J:M,2,0),0)</f>
        <v>0</v>
      </c>
      <c r="W20" s="17">
        <f>+IFERROR(VLOOKUP($W$19,Sheet1!N:Q,2,0),0)</f>
        <v>0</v>
      </c>
      <c r="X20" s="17">
        <f>+IFERROR(VLOOKUP($X$19,Sheet1!N:O,2,0),0)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+IFERROR(VLOOKUP($AF$19,Sheet1!F:I,2,0),0)</f>
        <v>0</v>
      </c>
      <c r="AG20" s="18">
        <f>+IFERROR(VLOOKUP($AG$19,Sheet1!R:U,2,0),0)</f>
        <v>0</v>
      </c>
      <c r="AH20" s="18">
        <f>+IFERROR(VLOOKUP($AH$19,Sheet1!R:U,2,0),0)</f>
        <v>0</v>
      </c>
      <c r="AI20" s="18">
        <f>+IFERROR(VLOOKUP($AI$19,Sheet1!V:Y,2,0),0)</f>
        <v>0</v>
      </c>
      <c r="AJ20" s="18">
        <v>147</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8">
        <f>+IFERROR(VLOOKUP($AQ$19,Sheet1!V:Y,2,0),0)</f>
        <v>0</v>
      </c>
      <c r="AR20" s="19">
        <f>+IFERROR(VLOOKUP($AR$19,Sheet1!Z2:AA840,2,0),0)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f>+IFERROR(VLOOKUP($BA$19,Sheet1!AD2:AG840,2,0),0)</f>
        <v>0</v>
      </c>
      <c r="BB20" s="18">
        <v>84</v>
      </c>
      <c r="BC20" s="18">
        <f>+IFERROR(VLOOKUP($BC$19,Sheet1!AH2:AK840,2,0),0)</f>
        <v>0</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+IFERROR(VLOOKUP($BL$19,Sheet1!AH2:AK840,2,0),0)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8">
        <f>+IFERROR(VLOOKUP($BX$19,Sheet1!AL2:AO840,2,0),0)</f>
        <v>0</v>
      </c>
      <c r="BY20" s="19">
        <f>+IFERROR(VLOOKUP($BY$19,Sheet1!AP2:AS840,2,0),0)</f>
        <v>0</v>
      </c>
      <c r="BZ20" s="19">
        <f>+IFERROR(VLOOKUP($BZ$19,Sheet1!AT2:AW840,2,0),0)</f>
        <v>0</v>
      </c>
      <c r="CA20" s="20">
        <f>+IFERROR(VLOOKUP($CA$19,Sheet1!AX2:BA840,2,0),0)</f>
        <v>0</v>
      </c>
      <c r="CB20" s="21">
        <f>+IFERROR(VLOOKUP($CB$19,Sheet1!BB2:BE840,2,0),0)</f>
        <v>0</v>
      </c>
      <c r="CC20" s="20">
        <f>+IFERROR(VLOOKUP($CC$19,Sheet1!BF2:BI840,2,0),0)</f>
        <v>0</v>
      </c>
      <c r="CD20" s="20">
        <f>+IFERROR(VLOOKUP($CD$19,Sheet1!BJ2:BM840,2,0),0)</f>
        <v>0</v>
      </c>
      <c r="CE20" s="20">
        <f>+IFERROR(VLOOKUP($CE$19,Sheet1!BN2:BQ840,2,0),0)</f>
        <v>0</v>
      </c>
      <c r="CF20" s="21">
        <f>+IFERROR(VLOOKUP($CF$19,Sheet1!BR2:BU840,2,0),0)</f>
        <v>0</v>
      </c>
      <c r="CG20" s="20">
        <f>+IFERROR(VLOOKUP($CG$19,Sheet1!BV2:BY840,2,0),0)</f>
        <v>0</v>
      </c>
      <c r="CH20" s="63"/>
      <c r="CI20" s="63"/>
      <c r="CJ20" s="63"/>
      <c r="CK20" s="63"/>
      <c r="CP20" s="3"/>
      <c r="CQ20" s="3"/>
      <c r="CR20" s="3"/>
      <c r="CS20" s="3"/>
      <c r="CT20" s="3"/>
      <c r="CU20" s="3"/>
      <c r="CV20" s="3"/>
      <c r="CW20" s="3"/>
      <c r="CX20" s="3"/>
      <c r="CY20" s="3"/>
      <c r="CZ20" s="3"/>
    </row>
    <row r="21" spans="1:105" s="22" customFormat="1" ht="30" x14ac:dyDescent="0.25">
      <c r="A21" s="6" t="str">
        <f>Sheet1!A2</f>
        <v>ENQ-19907-25-26</v>
      </c>
      <c r="B21" s="79">
        <v>46143</v>
      </c>
      <c r="C21" s="6" t="str">
        <f>Sheet1!C2</f>
        <v>FC0700035</v>
      </c>
      <c r="D21" s="6" t="str">
        <f>Sheet1!D2</f>
        <v>ACSR : RABBIT CONDUCTOR - 50 SQ. MM. (6/1/3.35) (XLPE INSULATED)</v>
      </c>
      <c r="E21" s="23">
        <f>CT21+CV21+CX21+CZ21</f>
        <v>100000.00000000004</v>
      </c>
      <c r="F21" s="101">
        <f>ROUNDUP(M26,0)</f>
        <v>2200</v>
      </c>
      <c r="G21" s="28">
        <f>E21+F21</f>
        <v>102200.00000000004</v>
      </c>
      <c r="H21" s="29">
        <f>Sheet1!CR2</f>
        <v>0.18</v>
      </c>
      <c r="I21" s="28">
        <f>G21*H21</f>
        <v>18396.000000000007</v>
      </c>
      <c r="J21" s="28">
        <f>G21+I21</f>
        <v>120596.00000000006</v>
      </c>
      <c r="K21" s="71">
        <f>Sheet1!CU2</f>
        <v>200</v>
      </c>
      <c r="L21" s="68" t="str">
        <f>Sheet1!CV2</f>
        <v>KMS</v>
      </c>
      <c r="M21" s="23">
        <f>J21*K21</f>
        <v>24119200.000000011</v>
      </c>
      <c r="N21" s="93" t="s">
        <v>228</v>
      </c>
      <c r="O21" s="100">
        <f>+IFERROR(VLOOKUP($O$19,Sheet1!J2:L2,3,0),0)</f>
        <v>145</v>
      </c>
      <c r="P21" s="100">
        <f>+IFERROR(VLOOKUP($P$19,Sheet1!J2:L2,3,0),0)</f>
        <v>0</v>
      </c>
      <c r="Q21" s="100">
        <f>+IFERROR(VLOOKUP($Q$19,Sheet1!J2:M2,3,0),0)</f>
        <v>0</v>
      </c>
      <c r="R21" s="100">
        <f>+IFERROR(VLOOKUP($R$19,Sheet1!J2:M2,3,0),0)</f>
        <v>0</v>
      </c>
      <c r="S21" s="100">
        <f>+IFERROR(VLOOKUP($S$19,Sheet1!J2:M2,3,0),0)</f>
        <v>0</v>
      </c>
      <c r="T21" s="100">
        <f>+IFERROR(VLOOKUP($T$19,Sheet1!J2:M2,3,0),0)</f>
        <v>0</v>
      </c>
      <c r="U21" s="100">
        <f>+IFERROR(VLOOKUP($U$19,Sheet1!J2:M2,3,0),0)</f>
        <v>0</v>
      </c>
      <c r="V21" s="100">
        <f>+IFERROR(VLOOKUP($V$19,Sheet1!J2:M2,3,0),0)</f>
        <v>0</v>
      </c>
      <c r="W21" s="100">
        <f>+IFERROR(VLOOKUP($W$19,Sheet1!N2:Q2,3,0),0)</f>
        <v>0</v>
      </c>
      <c r="X21" s="100">
        <f>+IFERROR(VLOOKUP($X$19,Sheet1!N2:Q2,3,0),0)</f>
        <v>0</v>
      </c>
      <c r="Y21" s="100">
        <f>+IFERROR(VLOOKUP($Y$19,Sheet1!F2:I2,3,0),0)</f>
        <v>0</v>
      </c>
      <c r="Z21" s="100">
        <f>+IFERROR(VLOOKUP($Z$19,Sheet1!F2:I2,3,0),0)</f>
        <v>0</v>
      </c>
      <c r="AA21" s="100">
        <f>+IFERROR(VLOOKUP($AA$19,Sheet1!F2:I2,3,0),0)</f>
        <v>0</v>
      </c>
      <c r="AB21" s="100">
        <f>+IFERROR(VLOOKUP($AB$19,Sheet1!F2:I2,3,0),0)</f>
        <v>0</v>
      </c>
      <c r="AC21" s="100">
        <f>+IFERROR(VLOOKUP($AC$19,Sheet1!F2:I2,3,0),0)</f>
        <v>0</v>
      </c>
      <c r="AD21" s="100">
        <f>+IFERROR(VLOOKUP($AD$19,Sheet1!F2:I2,3,0),0)</f>
        <v>0</v>
      </c>
      <c r="AE21" s="100">
        <f>+IFERROR(VLOOKUP($AE$19,Sheet1!F2:I2,3,0),0)</f>
        <v>0</v>
      </c>
      <c r="AF21" s="100">
        <f>+IFERROR(VLOOKUP($AF$19,Sheet1!F2:I2,3,0),0)</f>
        <v>0</v>
      </c>
      <c r="AG21" s="100">
        <f>+IFERROR(VLOOKUP($AG$19,Sheet1!R2:U2,3,0),0)</f>
        <v>0</v>
      </c>
      <c r="AH21" s="99">
        <f>+IFERROR(VLOOKUP($AH$19,Sheet1!R2:U2,3,0),0)</f>
        <v>0</v>
      </c>
      <c r="AI21" s="100">
        <f>+IFERROR(VLOOKUP($AI$19,Sheet1!V2:Y2,3,0),0)</f>
        <v>0</v>
      </c>
      <c r="AJ21" s="99">
        <v>56</v>
      </c>
      <c r="AK21" s="99">
        <f>+IFERROR(VLOOKUP($AK$19,Sheet1!V2:Y2,3,0),0)</f>
        <v>0</v>
      </c>
      <c r="AL21" s="99">
        <f>+IFERROR(VLOOKUP($AL$19,Sheet1!V2:Y2,3,0),0)</f>
        <v>0</v>
      </c>
      <c r="AM21" s="99">
        <f>+IFERROR(VLOOKUP($AM$19,Sheet1!V2:Y2,3,0),0)</f>
        <v>0</v>
      </c>
      <c r="AN21" s="99">
        <f>+IFERROR(VLOOKUP($AN$19,Sheet1!V2:Y2,3,0),0)</f>
        <v>0</v>
      </c>
      <c r="AO21" s="99">
        <f>+IFERROR(VLOOKUP($AO$19,Sheet1!V2:Y2,3,0),0)</f>
        <v>0</v>
      </c>
      <c r="AP21" s="99">
        <f>+IFERROR(VLOOKUP($AP$19,Sheet1!V2:Y2,3,0),0)</f>
        <v>0</v>
      </c>
      <c r="AQ21" s="99">
        <f>+IFERROR(VLOOKUP($AQ$19,Sheet1!V2:Y2,3,0),0)</f>
        <v>0</v>
      </c>
      <c r="AR21" s="99">
        <f>+IFERROR(VLOOKUP($AR$19,Sheet1!Z2:AB2,3,0),0)</f>
        <v>0</v>
      </c>
      <c r="AS21" s="99">
        <f>+IFERROR(VLOOKUP($AS$19,Sheet1!AD2:AG2,3,0),0)</f>
        <v>0</v>
      </c>
      <c r="AT21" s="99">
        <f>+IFERROR(VLOOKUP($AT$19,Sheet1!AD2:AG2,3,0),0)</f>
        <v>0</v>
      </c>
      <c r="AU21" s="99">
        <f>+IFERROR(VLOOKUP($AU$19,Sheet1!AD2:AG2,3,0),0)</f>
        <v>0</v>
      </c>
      <c r="AV21" s="99">
        <f>+IFERROR(VLOOKUP($AV$19,Sheet1!AD2:AG2,3,0),0)</f>
        <v>0</v>
      </c>
      <c r="AW21" s="99">
        <f>+IFERROR(VLOOKUP($AW$19,Sheet1!AD2:AG2,3,0),0)</f>
        <v>0</v>
      </c>
      <c r="AX21" s="99">
        <f>+IFERROR(VLOOKUP($AX$19,Sheet1!AD2:AG2,3,0),0)</f>
        <v>0</v>
      </c>
      <c r="AY21" s="99">
        <f>+IFERROR(VLOOKUP($AY$19,Sheet1!AD2:AG2,3,0),0)</f>
        <v>0</v>
      </c>
      <c r="AZ21" s="99">
        <f>+IFERROR(VLOOKUP($AZ$19,Sheet1!AD2:AG2,3,0),0)</f>
        <v>0</v>
      </c>
      <c r="BA21" s="99">
        <f>+IFERROR(VLOOKUP($BA$19,Sheet1!AD2:AG2,3,0),0)</f>
        <v>0</v>
      </c>
      <c r="BB21" s="99">
        <f>+IFERROR(VLOOKUP($BB$19,Sheet1!AH2:AK2,3,0),0)</f>
        <v>69</v>
      </c>
      <c r="BC21" s="34">
        <f>+IFERROR(VLOOKUP($BC$19,Sheet1!AH2:AK2,3,0),0)</f>
        <v>0</v>
      </c>
      <c r="BD21" s="34">
        <f>+IFERROR(VLOOKUP($BD$19,Sheet1!AH2:AK2,3,0),0)</f>
        <v>0</v>
      </c>
      <c r="BE21" s="34">
        <f>+IFERROR(VLOOKUP($BE$19,Sheet1!AH2:AK2,3,0),0)</f>
        <v>0</v>
      </c>
      <c r="BF21" s="34">
        <f>+IFERROR(VLOOKUP($BF$19,Sheet1!AH2:AK2,3,0),0)</f>
        <v>0</v>
      </c>
      <c r="BG21" s="34">
        <f>+IFERROR(VLOOKUP($BG$19,Sheet1!AH2:AK2,3,0),0)</f>
        <v>0</v>
      </c>
      <c r="BH21" s="34">
        <f>+IFERROR(VLOOKUP($BH$19,Sheet1!AH2:AK2,3,0),0)</f>
        <v>0</v>
      </c>
      <c r="BI21" s="34">
        <f>+IFERROR(VLOOKUP($BI$19,Sheet1!AH2:AK2,3,0),0)</f>
        <v>0</v>
      </c>
      <c r="BJ21" s="34">
        <f>+IFERROR(VLOOKUP($BJ$19,Sheet1!AH2:AK2,3,0),0)</f>
        <v>0</v>
      </c>
      <c r="BK21" s="34">
        <f>+IFERROR(VLOOKUP($BK$19,Sheet1!AH2:AK2,3,0),0)</f>
        <v>0</v>
      </c>
      <c r="BL21" s="34">
        <f>+IFERROR(VLOOKUP($BL$19,Sheet1!AH2:AK2,3,0),0)</f>
        <v>0</v>
      </c>
      <c r="BM21" s="9">
        <f>+IFERROR(VLOOKUP($BM$19,Sheet1!AL2:AO2,3,0),0)</f>
        <v>0</v>
      </c>
      <c r="BN21" s="9">
        <f>+IFERROR(VLOOKUP($BN$19,Sheet1!AL2:AO2,3,0),0)</f>
        <v>0</v>
      </c>
      <c r="BO21" s="9">
        <f>+IFERROR(VLOOKUP($BO$19,Sheet1!AL2:AO2,3,0),0)</f>
        <v>0</v>
      </c>
      <c r="BP21" s="9">
        <f>+IFERROR(VLOOKUP($BP$19,Sheet1!AL2:AO2,3,0),0)</f>
        <v>0</v>
      </c>
      <c r="BQ21" s="9">
        <f>+IFERROR(VLOOKUP($BQ$19,Sheet1!AL2:AO2,3,0),0)</f>
        <v>0</v>
      </c>
      <c r="BR21" s="9">
        <f>+IFERROR(VLOOKUP($BR$19,Sheet1!AL2:AO2,3,0),0)</f>
        <v>0</v>
      </c>
      <c r="BS21" s="9">
        <f>+IFERROR(VLOOKUP($BS$19,Sheet1!AL2:AO2,3,0),0)</f>
        <v>0</v>
      </c>
      <c r="BT21" s="9">
        <f>+IFERROR(VLOOKUP($BT$19,Sheet1!AL2:AO2,3,0),0)</f>
        <v>0</v>
      </c>
      <c r="BU21" s="9">
        <f>+IFERROR(VLOOKUP($BU$19,Sheet1!AL2:AO2,3,0),0)</f>
        <v>0</v>
      </c>
      <c r="BV21" s="9">
        <f>+IFERROR(VLOOKUP($BV$19,Sheet1!AL2:AO2,3,0),0)</f>
        <v>0</v>
      </c>
      <c r="BW21" s="9">
        <f>+IFERROR(VLOOKUP($BW$19,Sheet1!AL2:AO2,3,0),0)</f>
        <v>0</v>
      </c>
      <c r="BX21" s="9">
        <f>+IFERROR(VLOOKUP($BX$19,Sheet1!AL2:AO2,3,0),0)</f>
        <v>0</v>
      </c>
      <c r="BY21" s="37">
        <f>+IFERROR(VLOOKUP($BY$19,Sheet1!AP2:AS2,3,0),0)</f>
        <v>0</v>
      </c>
      <c r="BZ21" s="40">
        <f>+IFERROR(VLOOKUP($BZ$19,Sheet1!AT2:AW2,3,0),0)</f>
        <v>0</v>
      </c>
      <c r="CA21" s="41">
        <f>+IFERROR(VLOOKUP($CA$19,Sheet1!AX2:BA2,3,0),0)</f>
        <v>0</v>
      </c>
      <c r="CB21" s="43">
        <f>+IFERROR(VLOOKUP($CB$19,Sheet1!BB2:BE2,3,0),0)</f>
        <v>0</v>
      </c>
      <c r="CC21" s="45">
        <f>+IFERROR(VLOOKUP($CC$19,Sheet1!BF2:BI2,3,0),0)</f>
        <v>0</v>
      </c>
      <c r="CD21" s="46">
        <f>+IFERROR(VLOOKUP($CD$19,Sheet1!BJ2:BM2,3,0),0)</f>
        <v>0</v>
      </c>
      <c r="CE21" s="47">
        <f>+IFERROR(VLOOKUP($CE$19,Sheet1!BN2:BQ2,3,0),0)</f>
        <v>0</v>
      </c>
      <c r="CF21" s="35">
        <f>+IFERROR(VLOOKUP($CF$19,Sheet1!BR2:BU2,3,0),0)</f>
        <v>0</v>
      </c>
      <c r="CG21" s="41">
        <f>+IFERROR(VLOOKUP($CG$19,Sheet1!BV2:BY2,3,0),0)</f>
        <v>0</v>
      </c>
      <c r="CH21" s="64" t="str">
        <f>Sheet1!E2</f>
        <v>WOOD</v>
      </c>
      <c r="CI21" s="65" t="str">
        <f>Sheet1!CY2</f>
        <v>MD0100073</v>
      </c>
      <c r="CJ21" s="65" t="str">
        <f>Sheet1!CZ2</f>
        <v>DRUM - 48 X 14 X 26 X 2.25</v>
      </c>
      <c r="CK21" s="65">
        <f>Sheet1!CX2</f>
        <v>3000</v>
      </c>
      <c r="CL21" s="23">
        <f>2894/3</f>
        <v>964.66666666666663</v>
      </c>
      <c r="CM21" s="23">
        <f>SUMPRODUCT($O$20:$CG$20,O21:CG21)+CL21</f>
        <v>71252.666666666672</v>
      </c>
      <c r="CN21" s="24">
        <f>Sheet1!CB2</f>
        <v>0</v>
      </c>
      <c r="CO21" s="23">
        <f>CM21*CN21</f>
        <v>0</v>
      </c>
      <c r="CP21" s="87">
        <v>0.34947715856968431</v>
      </c>
      <c r="CQ21" s="23">
        <f>CM21*CP21</f>
        <v>24901.179487179528</v>
      </c>
      <c r="CR21" s="87">
        <v>0</v>
      </c>
      <c r="CS21" s="23">
        <f>CM21*CR21</f>
        <v>0</v>
      </c>
      <c r="CT21" s="23">
        <f>CM21+CO21+CQ21+CS21</f>
        <v>96153.8461538462</v>
      </c>
      <c r="CU21" s="87">
        <v>0.02</v>
      </c>
      <c r="CV21" s="6">
        <f>CT21*CU21</f>
        <v>1923.076923076924</v>
      </c>
      <c r="CW21" s="87">
        <v>0.02</v>
      </c>
      <c r="CX21" s="6">
        <f>CT21*CW21</f>
        <v>1923.076923076924</v>
      </c>
      <c r="CY21" s="87">
        <f>Sheet1!CM2</f>
        <v>0</v>
      </c>
      <c r="CZ21" s="6">
        <f>CY21*CT21</f>
        <v>0</v>
      </c>
    </row>
    <row r="25" spans="1:105" ht="60" x14ac:dyDescent="0.25">
      <c r="E25" s="1" t="s">
        <v>127</v>
      </c>
      <c r="F25" s="1" t="s">
        <v>128</v>
      </c>
      <c r="G25" s="82" t="s">
        <v>129</v>
      </c>
      <c r="H25" s="1" t="s">
        <v>130</v>
      </c>
      <c r="I25" s="1" t="s">
        <v>131</v>
      </c>
      <c r="J25" s="1" t="s">
        <v>132</v>
      </c>
      <c r="K25" s="1" t="s">
        <v>133</v>
      </c>
      <c r="L25" s="1" t="s">
        <v>134</v>
      </c>
      <c r="M25" s="83" t="s">
        <v>135</v>
      </c>
      <c r="N25" s="10"/>
      <c r="O25" s="15" t="s">
        <v>251</v>
      </c>
      <c r="AJ25" s="15" t="s">
        <v>252</v>
      </c>
      <c r="BB25" s="15" t="s">
        <v>253</v>
      </c>
      <c r="CH25" s="15" t="s">
        <v>254</v>
      </c>
    </row>
    <row r="26" spans="1:105" x14ac:dyDescent="0.25">
      <c r="E26" s="84">
        <f>K21</f>
        <v>200</v>
      </c>
      <c r="F26" s="85">
        <f>CK21/1000</f>
        <v>3</v>
      </c>
      <c r="G26" s="82" t="s">
        <v>255</v>
      </c>
      <c r="H26" s="86">
        <v>88000</v>
      </c>
      <c r="I26" s="85">
        <v>16</v>
      </c>
      <c r="J26" s="82">
        <f>F26*I26</f>
        <v>48</v>
      </c>
      <c r="K26" s="82">
        <f>ROUNDUP((E26/J26),0)</f>
        <v>5</v>
      </c>
      <c r="L26" s="82">
        <f>H26*K26</f>
        <v>440000</v>
      </c>
      <c r="M26" s="88">
        <f>L26/E26</f>
        <v>2200</v>
      </c>
      <c r="N26" s="90"/>
      <c r="O26" s="15">
        <f>SUM(O21:BB21)</f>
        <v>270</v>
      </c>
      <c r="AJ26" s="15">
        <f>125+25</f>
        <v>150</v>
      </c>
      <c r="BB26" s="15">
        <f>((O26*F26)+AJ26)</f>
        <v>960</v>
      </c>
      <c r="CH26" s="15">
        <f>BB26*I26</f>
        <v>15360</v>
      </c>
    </row>
    <row r="27" spans="1:105" x14ac:dyDescent="0.25">
      <c r="M27" s="89"/>
      <c r="N27" s="89"/>
    </row>
    <row r="28" spans="1:105" x14ac:dyDescent="0.25">
      <c r="M28" s="89"/>
      <c r="N28" s="89"/>
    </row>
    <row r="29" spans="1:105" ht="44.25" customHeight="1" x14ac:dyDescent="0.25">
      <c r="E29" s="102" t="s">
        <v>256</v>
      </c>
      <c r="F29" s="102" t="s">
        <v>257</v>
      </c>
      <c r="G29" s="103" t="s">
        <v>258</v>
      </c>
      <c r="M29" s="89"/>
      <c r="N29" s="89"/>
    </row>
    <row r="30" spans="1:105" x14ac:dyDescent="0.25">
      <c r="E30" s="104">
        <v>65405.17</v>
      </c>
      <c r="F30" s="105">
        <f>J21</f>
        <v>120596.00000000006</v>
      </c>
      <c r="G30" s="106">
        <f>((F30-E30)/F30)*100</f>
        <v>45.765058542571921</v>
      </c>
      <c r="M30" s="89"/>
      <c r="N30" s="89"/>
    </row>
    <row r="31" spans="1:105" x14ac:dyDescent="0.25">
      <c r="M31" s="89"/>
      <c r="N31" s="89"/>
    </row>
    <row r="32" spans="1:105" x14ac:dyDescent="0.25">
      <c r="M32" s="89"/>
      <c r="N32" s="89"/>
    </row>
    <row r="33" spans="13:14" x14ac:dyDescent="0.25">
      <c r="M33" s="89"/>
      <c r="N33" s="89"/>
    </row>
    <row r="34" spans="13:14" x14ac:dyDescent="0.25">
      <c r="M34" s="89"/>
      <c r="N34" s="89"/>
    </row>
    <row r="35" spans="13:14" x14ac:dyDescent="0.25">
      <c r="M35" s="89"/>
      <c r="N35" s="89"/>
    </row>
    <row r="36" spans="13:14" x14ac:dyDescent="0.25">
      <c r="M36" s="89"/>
      <c r="N36" s="89"/>
    </row>
    <row r="37" spans="13:14" x14ac:dyDescent="0.25">
      <c r="M37" s="89"/>
      <c r="N37" s="89"/>
    </row>
    <row r="38" spans="13:14" x14ac:dyDescent="0.25">
      <c r="M38" s="89"/>
      <c r="N38" s="89"/>
    </row>
    <row r="39" spans="13:14" x14ac:dyDescent="0.25">
      <c r="M39" s="89"/>
      <c r="N39" s="89"/>
    </row>
    <row r="40" spans="13:14" x14ac:dyDescent="0.25">
      <c r="M40" s="89"/>
      <c r="N40" s="89"/>
    </row>
    <row r="41" spans="13:14" x14ac:dyDescent="0.25">
      <c r="M41" s="89"/>
      <c r="N41" s="89"/>
    </row>
    <row r="42" spans="13:14" x14ac:dyDescent="0.25">
      <c r="M42" s="89"/>
      <c r="N42" s="89"/>
    </row>
    <row r="43" spans="13:14" x14ac:dyDescent="0.25">
      <c r="M43" s="89"/>
      <c r="N43" s="89"/>
    </row>
    <row r="44" spans="13:14" x14ac:dyDescent="0.25">
      <c r="M44" s="89"/>
      <c r="N44" s="89"/>
    </row>
    <row r="45" spans="13:14" x14ac:dyDescent="0.25">
      <c r="M45" s="89"/>
      <c r="N45" s="89"/>
    </row>
    <row r="46" spans="13:14" x14ac:dyDescent="0.25">
      <c r="M46" s="89"/>
      <c r="N46" s="89"/>
    </row>
    <row r="47" spans="13:14" x14ac:dyDescent="0.25">
      <c r="M47" s="89"/>
      <c r="N47" s="89"/>
    </row>
    <row r="48" spans="13:14" x14ac:dyDescent="0.25">
      <c r="M48" s="89"/>
      <c r="N48" s="89"/>
    </row>
    <row r="49" spans="13:14" x14ac:dyDescent="0.25">
      <c r="M49" s="89"/>
      <c r="N49" s="89"/>
    </row>
    <row r="50" spans="13:14" x14ac:dyDescent="0.25">
      <c r="M50" s="89"/>
      <c r="N50" s="89"/>
    </row>
    <row r="51" spans="13:14" x14ac:dyDescent="0.25">
      <c r="M51" s="89"/>
      <c r="N51" s="89"/>
    </row>
    <row r="52" spans="13:14" x14ac:dyDescent="0.25">
      <c r="M52" s="89"/>
      <c r="N52" s="89"/>
    </row>
    <row r="53" spans="13:14" x14ac:dyDescent="0.25">
      <c r="M53" s="89"/>
      <c r="N53" s="89"/>
    </row>
    <row r="54" spans="13:14" x14ac:dyDescent="0.25">
      <c r="M54" s="89"/>
      <c r="N54" s="89"/>
    </row>
    <row r="55" spans="13:14" x14ac:dyDescent="0.25">
      <c r="M55" s="89"/>
      <c r="N55" s="89"/>
    </row>
    <row r="56" spans="13:14" x14ac:dyDescent="0.25">
      <c r="M56" s="89"/>
      <c r="N56" s="89"/>
    </row>
    <row r="57" spans="13:14" x14ac:dyDescent="0.25">
      <c r="M57" s="89"/>
      <c r="N57" s="89"/>
    </row>
    <row r="58" spans="13:14" x14ac:dyDescent="0.25">
      <c r="M58" s="89"/>
      <c r="N58" s="89"/>
    </row>
    <row r="59" spans="13:14" x14ac:dyDescent="0.25">
      <c r="M59" s="89"/>
      <c r="N59" s="89"/>
    </row>
    <row r="60" spans="13:14" x14ac:dyDescent="0.25">
      <c r="M60" s="89"/>
      <c r="N60" s="89"/>
    </row>
    <row r="61" spans="13:14" x14ac:dyDescent="0.25">
      <c r="M61" s="89"/>
      <c r="N61" s="89"/>
    </row>
    <row r="62" spans="13:14" x14ac:dyDescent="0.25">
      <c r="M62" s="89"/>
      <c r="N62" s="89"/>
    </row>
    <row r="63" spans="13:14" x14ac:dyDescent="0.25">
      <c r="M63" s="89"/>
      <c r="N63" s="89"/>
    </row>
    <row r="64" spans="13:14" x14ac:dyDescent="0.25">
      <c r="M64" s="89"/>
      <c r="N64" s="89"/>
    </row>
    <row r="65" spans="13:14" x14ac:dyDescent="0.25">
      <c r="M65" s="89"/>
      <c r="N65" s="89"/>
    </row>
    <row r="66" spans="13:14" x14ac:dyDescent="0.25">
      <c r="M66" s="89"/>
      <c r="N66" s="89"/>
    </row>
    <row r="67" spans="13:14" x14ac:dyDescent="0.25">
      <c r="M67" s="89"/>
      <c r="N67" s="89"/>
    </row>
    <row r="68" spans="13:14" x14ac:dyDescent="0.25">
      <c r="M68" s="89"/>
      <c r="N68" s="89"/>
    </row>
    <row r="69" spans="13:14" x14ac:dyDescent="0.25">
      <c r="M69" s="89"/>
      <c r="N69" s="89"/>
    </row>
    <row r="70" spans="13:14" x14ac:dyDescent="0.25">
      <c r="M70" s="89"/>
      <c r="N70" s="89"/>
    </row>
    <row r="71" spans="13:14" x14ac:dyDescent="0.25">
      <c r="M71" s="89"/>
      <c r="N71" s="89"/>
    </row>
    <row r="72" spans="13:14" x14ac:dyDescent="0.25">
      <c r="M72" s="89"/>
      <c r="N72" s="89"/>
    </row>
    <row r="73" spans="13:14" x14ac:dyDescent="0.25">
      <c r="M73" s="89"/>
      <c r="N73" s="89"/>
    </row>
  </sheetData>
  <mergeCells count="21">
    <mergeCell ref="CH18:CK18"/>
    <mergeCell ref="AS18:BA18"/>
    <mergeCell ref="BB18:BL18"/>
    <mergeCell ref="BM18:BX18"/>
    <mergeCell ref="O18:V18"/>
    <mergeCell ref="W18:X18"/>
    <mergeCell ref="Y18:AF18"/>
    <mergeCell ref="AG18:AH18"/>
    <mergeCell ref="AI18:AQ18"/>
    <mergeCell ref="A2:R2"/>
    <mergeCell ref="B4:R4"/>
    <mergeCell ref="B5:R5"/>
    <mergeCell ref="B6:R6"/>
    <mergeCell ref="B7:R7"/>
    <mergeCell ref="B13:R13"/>
    <mergeCell ref="B14:R14"/>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00254-FA77-4CAD-93C6-F089679E968E}">
  <sheetPr>
    <tabColor rgb="FFFF0000"/>
  </sheetPr>
  <dimension ref="A1:AB18"/>
  <sheetViews>
    <sheetView zoomScaleNormal="100" workbookViewId="0">
      <selection activeCell="A2" sqref="A2"/>
    </sheetView>
  </sheetViews>
  <sheetFormatPr defaultRowHeight="12.75" x14ac:dyDescent="0.2"/>
  <cols>
    <col min="1" max="1" width="41" style="115" customWidth="1"/>
    <col min="2" max="2" width="15.140625" style="115" customWidth="1"/>
    <col min="3" max="3" width="15.28515625" style="115" bestFit="1" customWidth="1"/>
    <col min="4" max="4" width="10.42578125" style="115" bestFit="1" customWidth="1"/>
    <col min="5" max="6" width="12.42578125" style="115" customWidth="1"/>
    <col min="7" max="7" width="12.28515625" style="115" customWidth="1"/>
    <col min="8" max="9" width="12.5703125" style="115" customWidth="1"/>
    <col min="10" max="11" width="9.85546875" style="115" customWidth="1"/>
    <col min="12" max="12" width="11.7109375" style="115" customWidth="1"/>
    <col min="13" max="13" width="11" style="115" bestFit="1" customWidth="1"/>
    <col min="14" max="15" width="12" style="115" customWidth="1"/>
    <col min="16" max="16" width="12.7109375" style="115" customWidth="1"/>
    <col min="17" max="17" width="14.42578125" style="115" bestFit="1" customWidth="1"/>
    <col min="18" max="19" width="14.42578125" style="115" customWidth="1"/>
    <col min="20" max="20" width="13.5703125" style="115" bestFit="1" customWidth="1"/>
    <col min="21" max="21" width="11" style="115" bestFit="1" customWidth="1"/>
    <col min="22" max="22" width="13.5703125" style="115" bestFit="1" customWidth="1"/>
    <col min="23" max="23" width="12.5703125" style="115" bestFit="1" customWidth="1"/>
    <col min="24" max="24" width="11.85546875" style="115" bestFit="1" customWidth="1"/>
    <col min="25" max="25" width="7.28515625" style="115" customWidth="1"/>
    <col min="26" max="26" width="7.5703125" style="115" customWidth="1"/>
    <col min="27" max="27" width="8.42578125" style="115" customWidth="1"/>
    <col min="28" max="28" width="11.85546875" style="115" bestFit="1" customWidth="1"/>
    <col min="29" max="29" width="9.140625" style="115" customWidth="1"/>
    <col min="30" max="256" width="9.140625" style="115"/>
    <col min="257" max="257" width="41" style="115" customWidth="1"/>
    <col min="258" max="258" width="18" style="115" bestFit="1" customWidth="1"/>
    <col min="259" max="259" width="10.140625" style="115" customWidth="1"/>
    <col min="260" max="260" width="10.42578125" style="115" bestFit="1" customWidth="1"/>
    <col min="261" max="262" width="12.42578125" style="115" customWidth="1"/>
    <col min="263" max="263" width="12.28515625" style="115" customWidth="1"/>
    <col min="264" max="265" width="12.5703125" style="115" customWidth="1"/>
    <col min="266" max="267" width="9.85546875" style="115" customWidth="1"/>
    <col min="268" max="268" width="9.42578125" style="115" customWidth="1"/>
    <col min="269" max="269" width="12" style="115" bestFit="1" customWidth="1"/>
    <col min="270" max="271" width="12" style="115" customWidth="1"/>
    <col min="272" max="272" width="12.7109375" style="115" customWidth="1"/>
    <col min="273" max="273" width="14.42578125" style="115" bestFit="1" customWidth="1"/>
    <col min="274" max="274" width="14.42578125" style="115" customWidth="1"/>
    <col min="275" max="276" width="9.140625" style="115" customWidth="1"/>
    <col min="277" max="277" width="9.5703125" style="115" customWidth="1"/>
    <col min="278" max="278" width="10.7109375" style="115" bestFit="1" customWidth="1"/>
    <col min="279" max="279" width="12.7109375" style="115" bestFit="1" customWidth="1"/>
    <col min="280" max="280" width="9.5703125" style="115" customWidth="1"/>
    <col min="281" max="281" width="7.28515625" style="115" customWidth="1"/>
    <col min="282" max="282" width="7.5703125" style="115" customWidth="1"/>
    <col min="283" max="283" width="12.7109375" style="115" bestFit="1" customWidth="1"/>
    <col min="284" max="284" width="9" style="115" customWidth="1"/>
    <col min="285" max="285" width="9.140625" style="115" customWidth="1"/>
    <col min="286" max="512" width="9.140625" style="115"/>
    <col min="513" max="513" width="41" style="115" customWidth="1"/>
    <col min="514" max="514" width="18" style="115" bestFit="1" customWidth="1"/>
    <col min="515" max="515" width="10.140625" style="115" customWidth="1"/>
    <col min="516" max="516" width="10.42578125" style="115" bestFit="1" customWidth="1"/>
    <col min="517" max="518" width="12.42578125" style="115" customWidth="1"/>
    <col min="519" max="519" width="12.28515625" style="115" customWidth="1"/>
    <col min="520" max="521" width="12.5703125" style="115" customWidth="1"/>
    <col min="522" max="523" width="9.85546875" style="115" customWidth="1"/>
    <col min="524" max="524" width="9.42578125" style="115" customWidth="1"/>
    <col min="525" max="525" width="12" style="115" bestFit="1" customWidth="1"/>
    <col min="526" max="527" width="12" style="115" customWidth="1"/>
    <col min="528" max="528" width="12.7109375" style="115" customWidth="1"/>
    <col min="529" max="529" width="14.42578125" style="115" bestFit="1" customWidth="1"/>
    <col min="530" max="530" width="14.42578125" style="115" customWidth="1"/>
    <col min="531" max="532" width="9.140625" style="115" customWidth="1"/>
    <col min="533" max="533" width="9.5703125" style="115" customWidth="1"/>
    <col min="534" max="534" width="10.7109375" style="115" bestFit="1" customWidth="1"/>
    <col min="535" max="535" width="12.7109375" style="115" bestFit="1" customWidth="1"/>
    <col min="536" max="536" width="9.5703125" style="115" customWidth="1"/>
    <col min="537" max="537" width="7.28515625" style="115" customWidth="1"/>
    <col min="538" max="538" width="7.5703125" style="115" customWidth="1"/>
    <col min="539" max="539" width="12.7109375" style="115" bestFit="1" customWidth="1"/>
    <col min="540" max="540" width="9" style="115" customWidth="1"/>
    <col min="541" max="541" width="9.140625" style="115" customWidth="1"/>
    <col min="542" max="768" width="9.140625" style="115"/>
    <col min="769" max="769" width="41" style="115" customWidth="1"/>
    <col min="770" max="770" width="18" style="115" bestFit="1" customWidth="1"/>
    <col min="771" max="771" width="10.140625" style="115" customWidth="1"/>
    <col min="772" max="772" width="10.42578125" style="115" bestFit="1" customWidth="1"/>
    <col min="773" max="774" width="12.42578125" style="115" customWidth="1"/>
    <col min="775" max="775" width="12.28515625" style="115" customWidth="1"/>
    <col min="776" max="777" width="12.5703125" style="115" customWidth="1"/>
    <col min="778" max="779" width="9.85546875" style="115" customWidth="1"/>
    <col min="780" max="780" width="9.42578125" style="115" customWidth="1"/>
    <col min="781" max="781" width="12" style="115" bestFit="1" customWidth="1"/>
    <col min="782" max="783" width="12" style="115" customWidth="1"/>
    <col min="784" max="784" width="12.7109375" style="115" customWidth="1"/>
    <col min="785" max="785" width="14.42578125" style="115" bestFit="1" customWidth="1"/>
    <col min="786" max="786" width="14.42578125" style="115" customWidth="1"/>
    <col min="787" max="788" width="9.140625" style="115" customWidth="1"/>
    <col min="789" max="789" width="9.5703125" style="115" customWidth="1"/>
    <col min="790" max="790" width="10.7109375" style="115" bestFit="1" customWidth="1"/>
    <col min="791" max="791" width="12.7109375" style="115" bestFit="1" customWidth="1"/>
    <col min="792" max="792" width="9.5703125" style="115" customWidth="1"/>
    <col min="793" max="793" width="7.28515625" style="115" customWidth="1"/>
    <col min="794" max="794" width="7.5703125" style="115" customWidth="1"/>
    <col min="795" max="795" width="12.7109375" style="115" bestFit="1" customWidth="1"/>
    <col min="796" max="796" width="9" style="115" customWidth="1"/>
    <col min="797" max="797" width="9.140625" style="115" customWidth="1"/>
    <col min="798" max="1024" width="9.140625" style="115"/>
    <col min="1025" max="1025" width="41" style="115" customWidth="1"/>
    <col min="1026" max="1026" width="18" style="115" bestFit="1" customWidth="1"/>
    <col min="1027" max="1027" width="10.140625" style="115" customWidth="1"/>
    <col min="1028" max="1028" width="10.42578125" style="115" bestFit="1" customWidth="1"/>
    <col min="1029" max="1030" width="12.42578125" style="115" customWidth="1"/>
    <col min="1031" max="1031" width="12.28515625" style="115" customWidth="1"/>
    <col min="1032" max="1033" width="12.5703125" style="115" customWidth="1"/>
    <col min="1034" max="1035" width="9.85546875" style="115" customWidth="1"/>
    <col min="1036" max="1036" width="9.42578125" style="115" customWidth="1"/>
    <col min="1037" max="1037" width="12" style="115" bestFit="1" customWidth="1"/>
    <col min="1038" max="1039" width="12" style="115" customWidth="1"/>
    <col min="1040" max="1040" width="12.7109375" style="115" customWidth="1"/>
    <col min="1041" max="1041" width="14.42578125" style="115" bestFit="1" customWidth="1"/>
    <col min="1042" max="1042" width="14.42578125" style="115" customWidth="1"/>
    <col min="1043" max="1044" width="9.140625" style="115" customWidth="1"/>
    <col min="1045" max="1045" width="9.5703125" style="115" customWidth="1"/>
    <col min="1046" max="1046" width="10.7109375" style="115" bestFit="1" customWidth="1"/>
    <col min="1047" max="1047" width="12.7109375" style="115" bestFit="1" customWidth="1"/>
    <col min="1048" max="1048" width="9.5703125" style="115" customWidth="1"/>
    <col min="1049" max="1049" width="7.28515625" style="115" customWidth="1"/>
    <col min="1050" max="1050" width="7.5703125" style="115" customWidth="1"/>
    <col min="1051" max="1051" width="12.7109375" style="115" bestFit="1" customWidth="1"/>
    <col min="1052" max="1052" width="9" style="115" customWidth="1"/>
    <col min="1053" max="1053" width="9.140625" style="115" customWidth="1"/>
    <col min="1054" max="1280" width="9.140625" style="115"/>
    <col min="1281" max="1281" width="41" style="115" customWidth="1"/>
    <col min="1282" max="1282" width="18" style="115" bestFit="1" customWidth="1"/>
    <col min="1283" max="1283" width="10.140625" style="115" customWidth="1"/>
    <col min="1284" max="1284" width="10.42578125" style="115" bestFit="1" customWidth="1"/>
    <col min="1285" max="1286" width="12.42578125" style="115" customWidth="1"/>
    <col min="1287" max="1287" width="12.28515625" style="115" customWidth="1"/>
    <col min="1288" max="1289" width="12.5703125" style="115" customWidth="1"/>
    <col min="1290" max="1291" width="9.85546875" style="115" customWidth="1"/>
    <col min="1292" max="1292" width="9.42578125" style="115" customWidth="1"/>
    <col min="1293" max="1293" width="12" style="115" bestFit="1" customWidth="1"/>
    <col min="1294" max="1295" width="12" style="115" customWidth="1"/>
    <col min="1296" max="1296" width="12.7109375" style="115" customWidth="1"/>
    <col min="1297" max="1297" width="14.42578125" style="115" bestFit="1" customWidth="1"/>
    <col min="1298" max="1298" width="14.42578125" style="115" customWidth="1"/>
    <col min="1299" max="1300" width="9.140625" style="115" customWidth="1"/>
    <col min="1301" max="1301" width="9.5703125" style="115" customWidth="1"/>
    <col min="1302" max="1302" width="10.7109375" style="115" bestFit="1" customWidth="1"/>
    <col min="1303" max="1303" width="12.7109375" style="115" bestFit="1" customWidth="1"/>
    <col min="1304" max="1304" width="9.5703125" style="115" customWidth="1"/>
    <col min="1305" max="1305" width="7.28515625" style="115" customWidth="1"/>
    <col min="1306" max="1306" width="7.5703125" style="115" customWidth="1"/>
    <col min="1307" max="1307" width="12.7109375" style="115" bestFit="1" customWidth="1"/>
    <col min="1308" max="1308" width="9" style="115" customWidth="1"/>
    <col min="1309" max="1309" width="9.140625" style="115" customWidth="1"/>
    <col min="1310" max="1536" width="9.140625" style="115"/>
    <col min="1537" max="1537" width="41" style="115" customWidth="1"/>
    <col min="1538" max="1538" width="18" style="115" bestFit="1" customWidth="1"/>
    <col min="1539" max="1539" width="10.140625" style="115" customWidth="1"/>
    <col min="1540" max="1540" width="10.42578125" style="115" bestFit="1" customWidth="1"/>
    <col min="1541" max="1542" width="12.42578125" style="115" customWidth="1"/>
    <col min="1543" max="1543" width="12.28515625" style="115" customWidth="1"/>
    <col min="1544" max="1545" width="12.5703125" style="115" customWidth="1"/>
    <col min="1546" max="1547" width="9.85546875" style="115" customWidth="1"/>
    <col min="1548" max="1548" width="9.42578125" style="115" customWidth="1"/>
    <col min="1549" max="1549" width="12" style="115" bestFit="1" customWidth="1"/>
    <col min="1550" max="1551" width="12" style="115" customWidth="1"/>
    <col min="1552" max="1552" width="12.7109375" style="115" customWidth="1"/>
    <col min="1553" max="1553" width="14.42578125" style="115" bestFit="1" customWidth="1"/>
    <col min="1554" max="1554" width="14.42578125" style="115" customWidth="1"/>
    <col min="1555" max="1556" width="9.140625" style="115" customWidth="1"/>
    <col min="1557" max="1557" width="9.5703125" style="115" customWidth="1"/>
    <col min="1558" max="1558" width="10.7109375" style="115" bestFit="1" customWidth="1"/>
    <col min="1559" max="1559" width="12.7109375" style="115" bestFit="1" customWidth="1"/>
    <col min="1560" max="1560" width="9.5703125" style="115" customWidth="1"/>
    <col min="1561" max="1561" width="7.28515625" style="115" customWidth="1"/>
    <col min="1562" max="1562" width="7.5703125" style="115" customWidth="1"/>
    <col min="1563" max="1563" width="12.7109375" style="115" bestFit="1" customWidth="1"/>
    <col min="1564" max="1564" width="9" style="115" customWidth="1"/>
    <col min="1565" max="1565" width="9.140625" style="115" customWidth="1"/>
    <col min="1566" max="1792" width="9.140625" style="115"/>
    <col min="1793" max="1793" width="41" style="115" customWidth="1"/>
    <col min="1794" max="1794" width="18" style="115" bestFit="1" customWidth="1"/>
    <col min="1795" max="1795" width="10.140625" style="115" customWidth="1"/>
    <col min="1796" max="1796" width="10.42578125" style="115" bestFit="1" customWidth="1"/>
    <col min="1797" max="1798" width="12.42578125" style="115" customWidth="1"/>
    <col min="1799" max="1799" width="12.28515625" style="115" customWidth="1"/>
    <col min="1800" max="1801" width="12.5703125" style="115" customWidth="1"/>
    <col min="1802" max="1803" width="9.85546875" style="115" customWidth="1"/>
    <col min="1804" max="1804" width="9.42578125" style="115" customWidth="1"/>
    <col min="1805" max="1805" width="12" style="115" bestFit="1" customWidth="1"/>
    <col min="1806" max="1807" width="12" style="115" customWidth="1"/>
    <col min="1808" max="1808" width="12.7109375" style="115" customWidth="1"/>
    <col min="1809" max="1809" width="14.42578125" style="115" bestFit="1" customWidth="1"/>
    <col min="1810" max="1810" width="14.42578125" style="115" customWidth="1"/>
    <col min="1811" max="1812" width="9.140625" style="115" customWidth="1"/>
    <col min="1813" max="1813" width="9.5703125" style="115" customWidth="1"/>
    <col min="1814" max="1814" width="10.7109375" style="115" bestFit="1" customWidth="1"/>
    <col min="1815" max="1815" width="12.7109375" style="115" bestFit="1" customWidth="1"/>
    <col min="1816" max="1816" width="9.5703125" style="115" customWidth="1"/>
    <col min="1817" max="1817" width="7.28515625" style="115" customWidth="1"/>
    <col min="1818" max="1818" width="7.5703125" style="115" customWidth="1"/>
    <col min="1819" max="1819" width="12.7109375" style="115" bestFit="1" customWidth="1"/>
    <col min="1820" max="1820" width="9" style="115" customWidth="1"/>
    <col min="1821" max="1821" width="9.140625" style="115" customWidth="1"/>
    <col min="1822" max="2048" width="9.140625" style="115"/>
    <col min="2049" max="2049" width="41" style="115" customWidth="1"/>
    <col min="2050" max="2050" width="18" style="115" bestFit="1" customWidth="1"/>
    <col min="2051" max="2051" width="10.140625" style="115" customWidth="1"/>
    <col min="2052" max="2052" width="10.42578125" style="115" bestFit="1" customWidth="1"/>
    <col min="2053" max="2054" width="12.42578125" style="115" customWidth="1"/>
    <col min="2055" max="2055" width="12.28515625" style="115" customWidth="1"/>
    <col min="2056" max="2057" width="12.5703125" style="115" customWidth="1"/>
    <col min="2058" max="2059" width="9.85546875" style="115" customWidth="1"/>
    <col min="2060" max="2060" width="9.42578125" style="115" customWidth="1"/>
    <col min="2061" max="2061" width="12" style="115" bestFit="1" customWidth="1"/>
    <col min="2062" max="2063" width="12" style="115" customWidth="1"/>
    <col min="2064" max="2064" width="12.7109375" style="115" customWidth="1"/>
    <col min="2065" max="2065" width="14.42578125" style="115" bestFit="1" customWidth="1"/>
    <col min="2066" max="2066" width="14.42578125" style="115" customWidth="1"/>
    <col min="2067" max="2068" width="9.140625" style="115" customWidth="1"/>
    <col min="2069" max="2069" width="9.5703125" style="115" customWidth="1"/>
    <col min="2070" max="2070" width="10.7109375" style="115" bestFit="1" customWidth="1"/>
    <col min="2071" max="2071" width="12.7109375" style="115" bestFit="1" customWidth="1"/>
    <col min="2072" max="2072" width="9.5703125" style="115" customWidth="1"/>
    <col min="2073" max="2073" width="7.28515625" style="115" customWidth="1"/>
    <col min="2074" max="2074" width="7.5703125" style="115" customWidth="1"/>
    <col min="2075" max="2075" width="12.7109375" style="115" bestFit="1" customWidth="1"/>
    <col min="2076" max="2076" width="9" style="115" customWidth="1"/>
    <col min="2077" max="2077" width="9.140625" style="115" customWidth="1"/>
    <col min="2078" max="2304" width="9.140625" style="115"/>
    <col min="2305" max="2305" width="41" style="115" customWidth="1"/>
    <col min="2306" max="2306" width="18" style="115" bestFit="1" customWidth="1"/>
    <col min="2307" max="2307" width="10.140625" style="115" customWidth="1"/>
    <col min="2308" max="2308" width="10.42578125" style="115" bestFit="1" customWidth="1"/>
    <col min="2309" max="2310" width="12.42578125" style="115" customWidth="1"/>
    <col min="2311" max="2311" width="12.28515625" style="115" customWidth="1"/>
    <col min="2312" max="2313" width="12.5703125" style="115" customWidth="1"/>
    <col min="2314" max="2315" width="9.85546875" style="115" customWidth="1"/>
    <col min="2316" max="2316" width="9.42578125" style="115" customWidth="1"/>
    <col min="2317" max="2317" width="12" style="115" bestFit="1" customWidth="1"/>
    <col min="2318" max="2319" width="12" style="115" customWidth="1"/>
    <col min="2320" max="2320" width="12.7109375" style="115" customWidth="1"/>
    <col min="2321" max="2321" width="14.42578125" style="115" bestFit="1" customWidth="1"/>
    <col min="2322" max="2322" width="14.42578125" style="115" customWidth="1"/>
    <col min="2323" max="2324" width="9.140625" style="115" customWidth="1"/>
    <col min="2325" max="2325" width="9.5703125" style="115" customWidth="1"/>
    <col min="2326" max="2326" width="10.7109375" style="115" bestFit="1" customWidth="1"/>
    <col min="2327" max="2327" width="12.7109375" style="115" bestFit="1" customWidth="1"/>
    <col min="2328" max="2328" width="9.5703125" style="115" customWidth="1"/>
    <col min="2329" max="2329" width="7.28515625" style="115" customWidth="1"/>
    <col min="2330" max="2330" width="7.5703125" style="115" customWidth="1"/>
    <col min="2331" max="2331" width="12.7109375" style="115" bestFit="1" customWidth="1"/>
    <col min="2332" max="2332" width="9" style="115" customWidth="1"/>
    <col min="2333" max="2333" width="9.140625" style="115" customWidth="1"/>
    <col min="2334" max="2560" width="9.140625" style="115"/>
    <col min="2561" max="2561" width="41" style="115" customWidth="1"/>
    <col min="2562" max="2562" width="18" style="115" bestFit="1" customWidth="1"/>
    <col min="2563" max="2563" width="10.140625" style="115" customWidth="1"/>
    <col min="2564" max="2564" width="10.42578125" style="115" bestFit="1" customWidth="1"/>
    <col min="2565" max="2566" width="12.42578125" style="115" customWidth="1"/>
    <col min="2567" max="2567" width="12.28515625" style="115" customWidth="1"/>
    <col min="2568" max="2569" width="12.5703125" style="115" customWidth="1"/>
    <col min="2570" max="2571" width="9.85546875" style="115" customWidth="1"/>
    <col min="2572" max="2572" width="9.42578125" style="115" customWidth="1"/>
    <col min="2573" max="2573" width="12" style="115" bestFit="1" customWidth="1"/>
    <col min="2574" max="2575" width="12" style="115" customWidth="1"/>
    <col min="2576" max="2576" width="12.7109375" style="115" customWidth="1"/>
    <col min="2577" max="2577" width="14.42578125" style="115" bestFit="1" customWidth="1"/>
    <col min="2578" max="2578" width="14.42578125" style="115" customWidth="1"/>
    <col min="2579" max="2580" width="9.140625" style="115" customWidth="1"/>
    <col min="2581" max="2581" width="9.5703125" style="115" customWidth="1"/>
    <col min="2582" max="2582" width="10.7109375" style="115" bestFit="1" customWidth="1"/>
    <col min="2583" max="2583" width="12.7109375" style="115" bestFit="1" customWidth="1"/>
    <col min="2584" max="2584" width="9.5703125" style="115" customWidth="1"/>
    <col min="2585" max="2585" width="7.28515625" style="115" customWidth="1"/>
    <col min="2586" max="2586" width="7.5703125" style="115" customWidth="1"/>
    <col min="2587" max="2587" width="12.7109375" style="115" bestFit="1" customWidth="1"/>
    <col min="2588" max="2588" width="9" style="115" customWidth="1"/>
    <col min="2589" max="2589" width="9.140625" style="115" customWidth="1"/>
    <col min="2590" max="2816" width="9.140625" style="115"/>
    <col min="2817" max="2817" width="41" style="115" customWidth="1"/>
    <col min="2818" max="2818" width="18" style="115" bestFit="1" customWidth="1"/>
    <col min="2819" max="2819" width="10.140625" style="115" customWidth="1"/>
    <col min="2820" max="2820" width="10.42578125" style="115" bestFit="1" customWidth="1"/>
    <col min="2821" max="2822" width="12.42578125" style="115" customWidth="1"/>
    <col min="2823" max="2823" width="12.28515625" style="115" customWidth="1"/>
    <col min="2824" max="2825" width="12.5703125" style="115" customWidth="1"/>
    <col min="2826" max="2827" width="9.85546875" style="115" customWidth="1"/>
    <col min="2828" max="2828" width="9.42578125" style="115" customWidth="1"/>
    <col min="2829" max="2829" width="12" style="115" bestFit="1" customWidth="1"/>
    <col min="2830" max="2831" width="12" style="115" customWidth="1"/>
    <col min="2832" max="2832" width="12.7109375" style="115" customWidth="1"/>
    <col min="2833" max="2833" width="14.42578125" style="115" bestFit="1" customWidth="1"/>
    <col min="2834" max="2834" width="14.42578125" style="115" customWidth="1"/>
    <col min="2835" max="2836" width="9.140625" style="115" customWidth="1"/>
    <col min="2837" max="2837" width="9.5703125" style="115" customWidth="1"/>
    <col min="2838" max="2838" width="10.7109375" style="115" bestFit="1" customWidth="1"/>
    <col min="2839" max="2839" width="12.7109375" style="115" bestFit="1" customWidth="1"/>
    <col min="2840" max="2840" width="9.5703125" style="115" customWidth="1"/>
    <col min="2841" max="2841" width="7.28515625" style="115" customWidth="1"/>
    <col min="2842" max="2842" width="7.5703125" style="115" customWidth="1"/>
    <col min="2843" max="2843" width="12.7109375" style="115" bestFit="1" customWidth="1"/>
    <col min="2844" max="2844" width="9" style="115" customWidth="1"/>
    <col min="2845" max="2845" width="9.140625" style="115" customWidth="1"/>
    <col min="2846" max="3072" width="9.140625" style="115"/>
    <col min="3073" max="3073" width="41" style="115" customWidth="1"/>
    <col min="3074" max="3074" width="18" style="115" bestFit="1" customWidth="1"/>
    <col min="3075" max="3075" width="10.140625" style="115" customWidth="1"/>
    <col min="3076" max="3076" width="10.42578125" style="115" bestFit="1" customWidth="1"/>
    <col min="3077" max="3078" width="12.42578125" style="115" customWidth="1"/>
    <col min="3079" max="3079" width="12.28515625" style="115" customWidth="1"/>
    <col min="3080" max="3081" width="12.5703125" style="115" customWidth="1"/>
    <col min="3082" max="3083" width="9.85546875" style="115" customWidth="1"/>
    <col min="3084" max="3084" width="9.42578125" style="115" customWidth="1"/>
    <col min="3085" max="3085" width="12" style="115" bestFit="1" customWidth="1"/>
    <col min="3086" max="3087" width="12" style="115" customWidth="1"/>
    <col min="3088" max="3088" width="12.7109375" style="115" customWidth="1"/>
    <col min="3089" max="3089" width="14.42578125" style="115" bestFit="1" customWidth="1"/>
    <col min="3090" max="3090" width="14.42578125" style="115" customWidth="1"/>
    <col min="3091" max="3092" width="9.140625" style="115" customWidth="1"/>
    <col min="3093" max="3093" width="9.5703125" style="115" customWidth="1"/>
    <col min="3094" max="3094" width="10.7109375" style="115" bestFit="1" customWidth="1"/>
    <col min="3095" max="3095" width="12.7109375" style="115" bestFit="1" customWidth="1"/>
    <col min="3096" max="3096" width="9.5703125" style="115" customWidth="1"/>
    <col min="3097" max="3097" width="7.28515625" style="115" customWidth="1"/>
    <col min="3098" max="3098" width="7.5703125" style="115" customWidth="1"/>
    <col min="3099" max="3099" width="12.7109375" style="115" bestFit="1" customWidth="1"/>
    <col min="3100" max="3100" width="9" style="115" customWidth="1"/>
    <col min="3101" max="3101" width="9.140625" style="115" customWidth="1"/>
    <col min="3102" max="3328" width="9.140625" style="115"/>
    <col min="3329" max="3329" width="41" style="115" customWidth="1"/>
    <col min="3330" max="3330" width="18" style="115" bestFit="1" customWidth="1"/>
    <col min="3331" max="3331" width="10.140625" style="115" customWidth="1"/>
    <col min="3332" max="3332" width="10.42578125" style="115" bestFit="1" customWidth="1"/>
    <col min="3333" max="3334" width="12.42578125" style="115" customWidth="1"/>
    <col min="3335" max="3335" width="12.28515625" style="115" customWidth="1"/>
    <col min="3336" max="3337" width="12.5703125" style="115" customWidth="1"/>
    <col min="3338" max="3339" width="9.85546875" style="115" customWidth="1"/>
    <col min="3340" max="3340" width="9.42578125" style="115" customWidth="1"/>
    <col min="3341" max="3341" width="12" style="115" bestFit="1" customWidth="1"/>
    <col min="3342" max="3343" width="12" style="115" customWidth="1"/>
    <col min="3344" max="3344" width="12.7109375" style="115" customWidth="1"/>
    <col min="3345" max="3345" width="14.42578125" style="115" bestFit="1" customWidth="1"/>
    <col min="3346" max="3346" width="14.42578125" style="115" customWidth="1"/>
    <col min="3347" max="3348" width="9.140625" style="115" customWidth="1"/>
    <col min="3349" max="3349" width="9.5703125" style="115" customWidth="1"/>
    <col min="3350" max="3350" width="10.7109375" style="115" bestFit="1" customWidth="1"/>
    <col min="3351" max="3351" width="12.7109375" style="115" bestFit="1" customWidth="1"/>
    <col min="3352" max="3352" width="9.5703125" style="115" customWidth="1"/>
    <col min="3353" max="3353" width="7.28515625" style="115" customWidth="1"/>
    <col min="3354" max="3354" width="7.5703125" style="115" customWidth="1"/>
    <col min="3355" max="3355" width="12.7109375" style="115" bestFit="1" customWidth="1"/>
    <col min="3356" max="3356" width="9" style="115" customWidth="1"/>
    <col min="3357" max="3357" width="9.140625" style="115" customWidth="1"/>
    <col min="3358" max="3584" width="9.140625" style="115"/>
    <col min="3585" max="3585" width="41" style="115" customWidth="1"/>
    <col min="3586" max="3586" width="18" style="115" bestFit="1" customWidth="1"/>
    <col min="3587" max="3587" width="10.140625" style="115" customWidth="1"/>
    <col min="3588" max="3588" width="10.42578125" style="115" bestFit="1" customWidth="1"/>
    <col min="3589" max="3590" width="12.42578125" style="115" customWidth="1"/>
    <col min="3591" max="3591" width="12.28515625" style="115" customWidth="1"/>
    <col min="3592" max="3593" width="12.5703125" style="115" customWidth="1"/>
    <col min="3594" max="3595" width="9.85546875" style="115" customWidth="1"/>
    <col min="3596" max="3596" width="9.42578125" style="115" customWidth="1"/>
    <col min="3597" max="3597" width="12" style="115" bestFit="1" customWidth="1"/>
    <col min="3598" max="3599" width="12" style="115" customWidth="1"/>
    <col min="3600" max="3600" width="12.7109375" style="115" customWidth="1"/>
    <col min="3601" max="3601" width="14.42578125" style="115" bestFit="1" customWidth="1"/>
    <col min="3602" max="3602" width="14.42578125" style="115" customWidth="1"/>
    <col min="3603" max="3604" width="9.140625" style="115" customWidth="1"/>
    <col min="3605" max="3605" width="9.5703125" style="115" customWidth="1"/>
    <col min="3606" max="3606" width="10.7109375" style="115" bestFit="1" customWidth="1"/>
    <col min="3607" max="3607" width="12.7109375" style="115" bestFit="1" customWidth="1"/>
    <col min="3608" max="3608" width="9.5703125" style="115" customWidth="1"/>
    <col min="3609" max="3609" width="7.28515625" style="115" customWidth="1"/>
    <col min="3610" max="3610" width="7.5703125" style="115" customWidth="1"/>
    <col min="3611" max="3611" width="12.7109375" style="115" bestFit="1" customWidth="1"/>
    <col min="3612" max="3612" width="9" style="115" customWidth="1"/>
    <col min="3613" max="3613" width="9.140625" style="115" customWidth="1"/>
    <col min="3614" max="3840" width="9.140625" style="115"/>
    <col min="3841" max="3841" width="41" style="115" customWidth="1"/>
    <col min="3842" max="3842" width="18" style="115" bestFit="1" customWidth="1"/>
    <col min="3843" max="3843" width="10.140625" style="115" customWidth="1"/>
    <col min="3844" max="3844" width="10.42578125" style="115" bestFit="1" customWidth="1"/>
    <col min="3845" max="3846" width="12.42578125" style="115" customWidth="1"/>
    <col min="3847" max="3847" width="12.28515625" style="115" customWidth="1"/>
    <col min="3848" max="3849" width="12.5703125" style="115" customWidth="1"/>
    <col min="3850" max="3851" width="9.85546875" style="115" customWidth="1"/>
    <col min="3852" max="3852" width="9.42578125" style="115" customWidth="1"/>
    <col min="3853" max="3853" width="12" style="115" bestFit="1" customWidth="1"/>
    <col min="3854" max="3855" width="12" style="115" customWidth="1"/>
    <col min="3856" max="3856" width="12.7109375" style="115" customWidth="1"/>
    <col min="3857" max="3857" width="14.42578125" style="115" bestFit="1" customWidth="1"/>
    <col min="3858" max="3858" width="14.42578125" style="115" customWidth="1"/>
    <col min="3859" max="3860" width="9.140625" style="115" customWidth="1"/>
    <col min="3861" max="3861" width="9.5703125" style="115" customWidth="1"/>
    <col min="3862" max="3862" width="10.7109375" style="115" bestFit="1" customWidth="1"/>
    <col min="3863" max="3863" width="12.7109375" style="115" bestFit="1" customWidth="1"/>
    <col min="3864" max="3864" width="9.5703125" style="115" customWidth="1"/>
    <col min="3865" max="3865" width="7.28515625" style="115" customWidth="1"/>
    <col min="3866" max="3866" width="7.5703125" style="115" customWidth="1"/>
    <col min="3867" max="3867" width="12.7109375" style="115" bestFit="1" customWidth="1"/>
    <col min="3868" max="3868" width="9" style="115" customWidth="1"/>
    <col min="3869" max="3869" width="9.140625" style="115" customWidth="1"/>
    <col min="3870" max="4096" width="9.140625" style="115"/>
    <col min="4097" max="4097" width="41" style="115" customWidth="1"/>
    <col min="4098" max="4098" width="18" style="115" bestFit="1" customWidth="1"/>
    <col min="4099" max="4099" width="10.140625" style="115" customWidth="1"/>
    <col min="4100" max="4100" width="10.42578125" style="115" bestFit="1" customWidth="1"/>
    <col min="4101" max="4102" width="12.42578125" style="115" customWidth="1"/>
    <col min="4103" max="4103" width="12.28515625" style="115" customWidth="1"/>
    <col min="4104" max="4105" width="12.5703125" style="115" customWidth="1"/>
    <col min="4106" max="4107" width="9.85546875" style="115" customWidth="1"/>
    <col min="4108" max="4108" width="9.42578125" style="115" customWidth="1"/>
    <col min="4109" max="4109" width="12" style="115" bestFit="1" customWidth="1"/>
    <col min="4110" max="4111" width="12" style="115" customWidth="1"/>
    <col min="4112" max="4112" width="12.7109375" style="115" customWidth="1"/>
    <col min="4113" max="4113" width="14.42578125" style="115" bestFit="1" customWidth="1"/>
    <col min="4114" max="4114" width="14.42578125" style="115" customWidth="1"/>
    <col min="4115" max="4116" width="9.140625" style="115" customWidth="1"/>
    <col min="4117" max="4117" width="9.5703125" style="115" customWidth="1"/>
    <col min="4118" max="4118" width="10.7109375" style="115" bestFit="1" customWidth="1"/>
    <col min="4119" max="4119" width="12.7109375" style="115" bestFit="1" customWidth="1"/>
    <col min="4120" max="4120" width="9.5703125" style="115" customWidth="1"/>
    <col min="4121" max="4121" width="7.28515625" style="115" customWidth="1"/>
    <col min="4122" max="4122" width="7.5703125" style="115" customWidth="1"/>
    <col min="4123" max="4123" width="12.7109375" style="115" bestFit="1" customWidth="1"/>
    <col min="4124" max="4124" width="9" style="115" customWidth="1"/>
    <col min="4125" max="4125" width="9.140625" style="115" customWidth="1"/>
    <col min="4126" max="4352" width="9.140625" style="115"/>
    <col min="4353" max="4353" width="41" style="115" customWidth="1"/>
    <col min="4354" max="4354" width="18" style="115" bestFit="1" customWidth="1"/>
    <col min="4355" max="4355" width="10.140625" style="115" customWidth="1"/>
    <col min="4356" max="4356" width="10.42578125" style="115" bestFit="1" customWidth="1"/>
    <col min="4357" max="4358" width="12.42578125" style="115" customWidth="1"/>
    <col min="4359" max="4359" width="12.28515625" style="115" customWidth="1"/>
    <col min="4360" max="4361" width="12.5703125" style="115" customWidth="1"/>
    <col min="4362" max="4363" width="9.85546875" style="115" customWidth="1"/>
    <col min="4364" max="4364" width="9.42578125" style="115" customWidth="1"/>
    <col min="4365" max="4365" width="12" style="115" bestFit="1" customWidth="1"/>
    <col min="4366" max="4367" width="12" style="115" customWidth="1"/>
    <col min="4368" max="4368" width="12.7109375" style="115" customWidth="1"/>
    <col min="4369" max="4369" width="14.42578125" style="115" bestFit="1" customWidth="1"/>
    <col min="4370" max="4370" width="14.42578125" style="115" customWidth="1"/>
    <col min="4371" max="4372" width="9.140625" style="115" customWidth="1"/>
    <col min="4373" max="4373" width="9.5703125" style="115" customWidth="1"/>
    <col min="4374" max="4374" width="10.7109375" style="115" bestFit="1" customWidth="1"/>
    <col min="4375" max="4375" width="12.7109375" style="115" bestFit="1" customWidth="1"/>
    <col min="4376" max="4376" width="9.5703125" style="115" customWidth="1"/>
    <col min="4377" max="4377" width="7.28515625" style="115" customWidth="1"/>
    <col min="4378" max="4378" width="7.5703125" style="115" customWidth="1"/>
    <col min="4379" max="4379" width="12.7109375" style="115" bestFit="1" customWidth="1"/>
    <col min="4380" max="4380" width="9" style="115" customWidth="1"/>
    <col min="4381" max="4381" width="9.140625" style="115" customWidth="1"/>
    <col min="4382" max="4608" width="9.140625" style="115"/>
    <col min="4609" max="4609" width="41" style="115" customWidth="1"/>
    <col min="4610" max="4610" width="18" style="115" bestFit="1" customWidth="1"/>
    <col min="4611" max="4611" width="10.140625" style="115" customWidth="1"/>
    <col min="4612" max="4612" width="10.42578125" style="115" bestFit="1" customWidth="1"/>
    <col min="4613" max="4614" width="12.42578125" style="115" customWidth="1"/>
    <col min="4615" max="4615" width="12.28515625" style="115" customWidth="1"/>
    <col min="4616" max="4617" width="12.5703125" style="115" customWidth="1"/>
    <col min="4618" max="4619" width="9.85546875" style="115" customWidth="1"/>
    <col min="4620" max="4620" width="9.42578125" style="115" customWidth="1"/>
    <col min="4621" max="4621" width="12" style="115" bestFit="1" customWidth="1"/>
    <col min="4622" max="4623" width="12" style="115" customWidth="1"/>
    <col min="4624" max="4624" width="12.7109375" style="115" customWidth="1"/>
    <col min="4625" max="4625" width="14.42578125" style="115" bestFit="1" customWidth="1"/>
    <col min="4626" max="4626" width="14.42578125" style="115" customWidth="1"/>
    <col min="4627" max="4628" width="9.140625" style="115" customWidth="1"/>
    <col min="4629" max="4629" width="9.5703125" style="115" customWidth="1"/>
    <col min="4630" max="4630" width="10.7109375" style="115" bestFit="1" customWidth="1"/>
    <col min="4631" max="4631" width="12.7109375" style="115" bestFit="1" customWidth="1"/>
    <col min="4632" max="4632" width="9.5703125" style="115" customWidth="1"/>
    <col min="4633" max="4633" width="7.28515625" style="115" customWidth="1"/>
    <col min="4634" max="4634" width="7.5703125" style="115" customWidth="1"/>
    <col min="4635" max="4635" width="12.7109375" style="115" bestFit="1" customWidth="1"/>
    <col min="4636" max="4636" width="9" style="115" customWidth="1"/>
    <col min="4637" max="4637" width="9.140625" style="115" customWidth="1"/>
    <col min="4638" max="4864" width="9.140625" style="115"/>
    <col min="4865" max="4865" width="41" style="115" customWidth="1"/>
    <col min="4866" max="4866" width="18" style="115" bestFit="1" customWidth="1"/>
    <col min="4867" max="4867" width="10.140625" style="115" customWidth="1"/>
    <col min="4868" max="4868" width="10.42578125" style="115" bestFit="1" customWidth="1"/>
    <col min="4869" max="4870" width="12.42578125" style="115" customWidth="1"/>
    <col min="4871" max="4871" width="12.28515625" style="115" customWidth="1"/>
    <col min="4872" max="4873" width="12.5703125" style="115" customWidth="1"/>
    <col min="4874" max="4875" width="9.85546875" style="115" customWidth="1"/>
    <col min="4876" max="4876" width="9.42578125" style="115" customWidth="1"/>
    <col min="4877" max="4877" width="12" style="115" bestFit="1" customWidth="1"/>
    <col min="4878" max="4879" width="12" style="115" customWidth="1"/>
    <col min="4880" max="4880" width="12.7109375" style="115" customWidth="1"/>
    <col min="4881" max="4881" width="14.42578125" style="115" bestFit="1" customWidth="1"/>
    <col min="4882" max="4882" width="14.42578125" style="115" customWidth="1"/>
    <col min="4883" max="4884" width="9.140625" style="115" customWidth="1"/>
    <col min="4885" max="4885" width="9.5703125" style="115" customWidth="1"/>
    <col min="4886" max="4886" width="10.7109375" style="115" bestFit="1" customWidth="1"/>
    <col min="4887" max="4887" width="12.7109375" style="115" bestFit="1" customWidth="1"/>
    <col min="4888" max="4888" width="9.5703125" style="115" customWidth="1"/>
    <col min="4889" max="4889" width="7.28515625" style="115" customWidth="1"/>
    <col min="4890" max="4890" width="7.5703125" style="115" customWidth="1"/>
    <col min="4891" max="4891" width="12.7109375" style="115" bestFit="1" customWidth="1"/>
    <col min="4892" max="4892" width="9" style="115" customWidth="1"/>
    <col min="4893" max="4893" width="9.140625" style="115" customWidth="1"/>
    <col min="4894" max="5120" width="9.140625" style="115"/>
    <col min="5121" max="5121" width="41" style="115" customWidth="1"/>
    <col min="5122" max="5122" width="18" style="115" bestFit="1" customWidth="1"/>
    <col min="5123" max="5123" width="10.140625" style="115" customWidth="1"/>
    <col min="5124" max="5124" width="10.42578125" style="115" bestFit="1" customWidth="1"/>
    <col min="5125" max="5126" width="12.42578125" style="115" customWidth="1"/>
    <col min="5127" max="5127" width="12.28515625" style="115" customWidth="1"/>
    <col min="5128" max="5129" width="12.5703125" style="115" customWidth="1"/>
    <col min="5130" max="5131" width="9.85546875" style="115" customWidth="1"/>
    <col min="5132" max="5132" width="9.42578125" style="115" customWidth="1"/>
    <col min="5133" max="5133" width="12" style="115" bestFit="1" customWidth="1"/>
    <col min="5134" max="5135" width="12" style="115" customWidth="1"/>
    <col min="5136" max="5136" width="12.7109375" style="115" customWidth="1"/>
    <col min="5137" max="5137" width="14.42578125" style="115" bestFit="1" customWidth="1"/>
    <col min="5138" max="5138" width="14.42578125" style="115" customWidth="1"/>
    <col min="5139" max="5140" width="9.140625" style="115" customWidth="1"/>
    <col min="5141" max="5141" width="9.5703125" style="115" customWidth="1"/>
    <col min="5142" max="5142" width="10.7109375" style="115" bestFit="1" customWidth="1"/>
    <col min="5143" max="5143" width="12.7109375" style="115" bestFit="1" customWidth="1"/>
    <col min="5144" max="5144" width="9.5703125" style="115" customWidth="1"/>
    <col min="5145" max="5145" width="7.28515625" style="115" customWidth="1"/>
    <col min="5146" max="5146" width="7.5703125" style="115" customWidth="1"/>
    <col min="5147" max="5147" width="12.7109375" style="115" bestFit="1" customWidth="1"/>
    <col min="5148" max="5148" width="9" style="115" customWidth="1"/>
    <col min="5149" max="5149" width="9.140625" style="115" customWidth="1"/>
    <col min="5150" max="5376" width="9.140625" style="115"/>
    <col min="5377" max="5377" width="41" style="115" customWidth="1"/>
    <col min="5378" max="5378" width="18" style="115" bestFit="1" customWidth="1"/>
    <col min="5379" max="5379" width="10.140625" style="115" customWidth="1"/>
    <col min="5380" max="5380" width="10.42578125" style="115" bestFit="1" customWidth="1"/>
    <col min="5381" max="5382" width="12.42578125" style="115" customWidth="1"/>
    <col min="5383" max="5383" width="12.28515625" style="115" customWidth="1"/>
    <col min="5384" max="5385" width="12.5703125" style="115" customWidth="1"/>
    <col min="5386" max="5387" width="9.85546875" style="115" customWidth="1"/>
    <col min="5388" max="5388" width="9.42578125" style="115" customWidth="1"/>
    <col min="5389" max="5389" width="12" style="115" bestFit="1" customWidth="1"/>
    <col min="5390" max="5391" width="12" style="115" customWidth="1"/>
    <col min="5392" max="5392" width="12.7109375" style="115" customWidth="1"/>
    <col min="5393" max="5393" width="14.42578125" style="115" bestFit="1" customWidth="1"/>
    <col min="5394" max="5394" width="14.42578125" style="115" customWidth="1"/>
    <col min="5395" max="5396" width="9.140625" style="115" customWidth="1"/>
    <col min="5397" max="5397" width="9.5703125" style="115" customWidth="1"/>
    <col min="5398" max="5398" width="10.7109375" style="115" bestFit="1" customWidth="1"/>
    <col min="5399" max="5399" width="12.7109375" style="115" bestFit="1" customWidth="1"/>
    <col min="5400" max="5400" width="9.5703125" style="115" customWidth="1"/>
    <col min="5401" max="5401" width="7.28515625" style="115" customWidth="1"/>
    <col min="5402" max="5402" width="7.5703125" style="115" customWidth="1"/>
    <col min="5403" max="5403" width="12.7109375" style="115" bestFit="1" customWidth="1"/>
    <col min="5404" max="5404" width="9" style="115" customWidth="1"/>
    <col min="5405" max="5405" width="9.140625" style="115" customWidth="1"/>
    <col min="5406" max="5632" width="9.140625" style="115"/>
    <col min="5633" max="5633" width="41" style="115" customWidth="1"/>
    <col min="5634" max="5634" width="18" style="115" bestFit="1" customWidth="1"/>
    <col min="5635" max="5635" width="10.140625" style="115" customWidth="1"/>
    <col min="5636" max="5636" width="10.42578125" style="115" bestFit="1" customWidth="1"/>
    <col min="5637" max="5638" width="12.42578125" style="115" customWidth="1"/>
    <col min="5639" max="5639" width="12.28515625" style="115" customWidth="1"/>
    <col min="5640" max="5641" width="12.5703125" style="115" customWidth="1"/>
    <col min="5642" max="5643" width="9.85546875" style="115" customWidth="1"/>
    <col min="5644" max="5644" width="9.42578125" style="115" customWidth="1"/>
    <col min="5645" max="5645" width="12" style="115" bestFit="1" customWidth="1"/>
    <col min="5646" max="5647" width="12" style="115" customWidth="1"/>
    <col min="5648" max="5648" width="12.7109375" style="115" customWidth="1"/>
    <col min="5649" max="5649" width="14.42578125" style="115" bestFit="1" customWidth="1"/>
    <col min="5650" max="5650" width="14.42578125" style="115" customWidth="1"/>
    <col min="5651" max="5652" width="9.140625" style="115" customWidth="1"/>
    <col min="5653" max="5653" width="9.5703125" style="115" customWidth="1"/>
    <col min="5654" max="5654" width="10.7109375" style="115" bestFit="1" customWidth="1"/>
    <col min="5655" max="5655" width="12.7109375" style="115" bestFit="1" customWidth="1"/>
    <col min="5656" max="5656" width="9.5703125" style="115" customWidth="1"/>
    <col min="5657" max="5657" width="7.28515625" style="115" customWidth="1"/>
    <col min="5658" max="5658" width="7.5703125" style="115" customWidth="1"/>
    <col min="5659" max="5659" width="12.7109375" style="115" bestFit="1" customWidth="1"/>
    <col min="5660" max="5660" width="9" style="115" customWidth="1"/>
    <col min="5661" max="5661" width="9.140625" style="115" customWidth="1"/>
    <col min="5662" max="5888" width="9.140625" style="115"/>
    <col min="5889" max="5889" width="41" style="115" customWidth="1"/>
    <col min="5890" max="5890" width="18" style="115" bestFit="1" customWidth="1"/>
    <col min="5891" max="5891" width="10.140625" style="115" customWidth="1"/>
    <col min="5892" max="5892" width="10.42578125" style="115" bestFit="1" customWidth="1"/>
    <col min="5893" max="5894" width="12.42578125" style="115" customWidth="1"/>
    <col min="5895" max="5895" width="12.28515625" style="115" customWidth="1"/>
    <col min="5896" max="5897" width="12.5703125" style="115" customWidth="1"/>
    <col min="5898" max="5899" width="9.85546875" style="115" customWidth="1"/>
    <col min="5900" max="5900" width="9.42578125" style="115" customWidth="1"/>
    <col min="5901" max="5901" width="12" style="115" bestFit="1" customWidth="1"/>
    <col min="5902" max="5903" width="12" style="115" customWidth="1"/>
    <col min="5904" max="5904" width="12.7109375" style="115" customWidth="1"/>
    <col min="5905" max="5905" width="14.42578125" style="115" bestFit="1" customWidth="1"/>
    <col min="5906" max="5906" width="14.42578125" style="115" customWidth="1"/>
    <col min="5907" max="5908" width="9.140625" style="115" customWidth="1"/>
    <col min="5909" max="5909" width="9.5703125" style="115" customWidth="1"/>
    <col min="5910" max="5910" width="10.7109375" style="115" bestFit="1" customWidth="1"/>
    <col min="5911" max="5911" width="12.7109375" style="115" bestFit="1" customWidth="1"/>
    <col min="5912" max="5912" width="9.5703125" style="115" customWidth="1"/>
    <col min="5913" max="5913" width="7.28515625" style="115" customWidth="1"/>
    <col min="5914" max="5914" width="7.5703125" style="115" customWidth="1"/>
    <col min="5915" max="5915" width="12.7109375" style="115" bestFit="1" customWidth="1"/>
    <col min="5916" max="5916" width="9" style="115" customWidth="1"/>
    <col min="5917" max="5917" width="9.140625" style="115" customWidth="1"/>
    <col min="5918" max="6144" width="9.140625" style="115"/>
    <col min="6145" max="6145" width="41" style="115" customWidth="1"/>
    <col min="6146" max="6146" width="18" style="115" bestFit="1" customWidth="1"/>
    <col min="6147" max="6147" width="10.140625" style="115" customWidth="1"/>
    <col min="6148" max="6148" width="10.42578125" style="115" bestFit="1" customWidth="1"/>
    <col min="6149" max="6150" width="12.42578125" style="115" customWidth="1"/>
    <col min="6151" max="6151" width="12.28515625" style="115" customWidth="1"/>
    <col min="6152" max="6153" width="12.5703125" style="115" customWidth="1"/>
    <col min="6154" max="6155" width="9.85546875" style="115" customWidth="1"/>
    <col min="6156" max="6156" width="9.42578125" style="115" customWidth="1"/>
    <col min="6157" max="6157" width="12" style="115" bestFit="1" customWidth="1"/>
    <col min="6158" max="6159" width="12" style="115" customWidth="1"/>
    <col min="6160" max="6160" width="12.7109375" style="115" customWidth="1"/>
    <col min="6161" max="6161" width="14.42578125" style="115" bestFit="1" customWidth="1"/>
    <col min="6162" max="6162" width="14.42578125" style="115" customWidth="1"/>
    <col min="6163" max="6164" width="9.140625" style="115" customWidth="1"/>
    <col min="6165" max="6165" width="9.5703125" style="115" customWidth="1"/>
    <col min="6166" max="6166" width="10.7109375" style="115" bestFit="1" customWidth="1"/>
    <col min="6167" max="6167" width="12.7109375" style="115" bestFit="1" customWidth="1"/>
    <col min="6168" max="6168" width="9.5703125" style="115" customWidth="1"/>
    <col min="6169" max="6169" width="7.28515625" style="115" customWidth="1"/>
    <col min="6170" max="6170" width="7.5703125" style="115" customWidth="1"/>
    <col min="6171" max="6171" width="12.7109375" style="115" bestFit="1" customWidth="1"/>
    <col min="6172" max="6172" width="9" style="115" customWidth="1"/>
    <col min="6173" max="6173" width="9.140625" style="115" customWidth="1"/>
    <col min="6174" max="6400" width="9.140625" style="115"/>
    <col min="6401" max="6401" width="41" style="115" customWidth="1"/>
    <col min="6402" max="6402" width="18" style="115" bestFit="1" customWidth="1"/>
    <col min="6403" max="6403" width="10.140625" style="115" customWidth="1"/>
    <col min="6404" max="6404" width="10.42578125" style="115" bestFit="1" customWidth="1"/>
    <col min="6405" max="6406" width="12.42578125" style="115" customWidth="1"/>
    <col min="6407" max="6407" width="12.28515625" style="115" customWidth="1"/>
    <col min="6408" max="6409" width="12.5703125" style="115" customWidth="1"/>
    <col min="6410" max="6411" width="9.85546875" style="115" customWidth="1"/>
    <col min="6412" max="6412" width="9.42578125" style="115" customWidth="1"/>
    <col min="6413" max="6413" width="12" style="115" bestFit="1" customWidth="1"/>
    <col min="6414" max="6415" width="12" style="115" customWidth="1"/>
    <col min="6416" max="6416" width="12.7109375" style="115" customWidth="1"/>
    <col min="6417" max="6417" width="14.42578125" style="115" bestFit="1" customWidth="1"/>
    <col min="6418" max="6418" width="14.42578125" style="115" customWidth="1"/>
    <col min="6419" max="6420" width="9.140625" style="115" customWidth="1"/>
    <col min="6421" max="6421" width="9.5703125" style="115" customWidth="1"/>
    <col min="6422" max="6422" width="10.7109375" style="115" bestFit="1" customWidth="1"/>
    <col min="6423" max="6423" width="12.7109375" style="115" bestFit="1" customWidth="1"/>
    <col min="6424" max="6424" width="9.5703125" style="115" customWidth="1"/>
    <col min="6425" max="6425" width="7.28515625" style="115" customWidth="1"/>
    <col min="6426" max="6426" width="7.5703125" style="115" customWidth="1"/>
    <col min="6427" max="6427" width="12.7109375" style="115" bestFit="1" customWidth="1"/>
    <col min="6428" max="6428" width="9" style="115" customWidth="1"/>
    <col min="6429" max="6429" width="9.140625" style="115" customWidth="1"/>
    <col min="6430" max="6656" width="9.140625" style="115"/>
    <col min="6657" max="6657" width="41" style="115" customWidth="1"/>
    <col min="6658" max="6658" width="18" style="115" bestFit="1" customWidth="1"/>
    <col min="6659" max="6659" width="10.140625" style="115" customWidth="1"/>
    <col min="6660" max="6660" width="10.42578125" style="115" bestFit="1" customWidth="1"/>
    <col min="6661" max="6662" width="12.42578125" style="115" customWidth="1"/>
    <col min="6663" max="6663" width="12.28515625" style="115" customWidth="1"/>
    <col min="6664" max="6665" width="12.5703125" style="115" customWidth="1"/>
    <col min="6666" max="6667" width="9.85546875" style="115" customWidth="1"/>
    <col min="6668" max="6668" width="9.42578125" style="115" customWidth="1"/>
    <col min="6669" max="6669" width="12" style="115" bestFit="1" customWidth="1"/>
    <col min="6670" max="6671" width="12" style="115" customWidth="1"/>
    <col min="6672" max="6672" width="12.7109375" style="115" customWidth="1"/>
    <col min="6673" max="6673" width="14.42578125" style="115" bestFit="1" customWidth="1"/>
    <col min="6674" max="6674" width="14.42578125" style="115" customWidth="1"/>
    <col min="6675" max="6676" width="9.140625" style="115" customWidth="1"/>
    <col min="6677" max="6677" width="9.5703125" style="115" customWidth="1"/>
    <col min="6678" max="6678" width="10.7109375" style="115" bestFit="1" customWidth="1"/>
    <col min="6679" max="6679" width="12.7109375" style="115" bestFit="1" customWidth="1"/>
    <col min="6680" max="6680" width="9.5703125" style="115" customWidth="1"/>
    <col min="6681" max="6681" width="7.28515625" style="115" customWidth="1"/>
    <col min="6682" max="6682" width="7.5703125" style="115" customWidth="1"/>
    <col min="6683" max="6683" width="12.7109375" style="115" bestFit="1" customWidth="1"/>
    <col min="6684" max="6684" width="9" style="115" customWidth="1"/>
    <col min="6685" max="6685" width="9.140625" style="115" customWidth="1"/>
    <col min="6686" max="6912" width="9.140625" style="115"/>
    <col min="6913" max="6913" width="41" style="115" customWidth="1"/>
    <col min="6914" max="6914" width="18" style="115" bestFit="1" customWidth="1"/>
    <col min="6915" max="6915" width="10.140625" style="115" customWidth="1"/>
    <col min="6916" max="6916" width="10.42578125" style="115" bestFit="1" customWidth="1"/>
    <col min="6917" max="6918" width="12.42578125" style="115" customWidth="1"/>
    <col min="6919" max="6919" width="12.28515625" style="115" customWidth="1"/>
    <col min="6920" max="6921" width="12.5703125" style="115" customWidth="1"/>
    <col min="6922" max="6923" width="9.85546875" style="115" customWidth="1"/>
    <col min="6924" max="6924" width="9.42578125" style="115" customWidth="1"/>
    <col min="6925" max="6925" width="12" style="115" bestFit="1" customWidth="1"/>
    <col min="6926" max="6927" width="12" style="115" customWidth="1"/>
    <col min="6928" max="6928" width="12.7109375" style="115" customWidth="1"/>
    <col min="6929" max="6929" width="14.42578125" style="115" bestFit="1" customWidth="1"/>
    <col min="6930" max="6930" width="14.42578125" style="115" customWidth="1"/>
    <col min="6931" max="6932" width="9.140625" style="115" customWidth="1"/>
    <col min="6933" max="6933" width="9.5703125" style="115" customWidth="1"/>
    <col min="6934" max="6934" width="10.7109375" style="115" bestFit="1" customWidth="1"/>
    <col min="6935" max="6935" width="12.7109375" style="115" bestFit="1" customWidth="1"/>
    <col min="6936" max="6936" width="9.5703125" style="115" customWidth="1"/>
    <col min="6937" max="6937" width="7.28515625" style="115" customWidth="1"/>
    <col min="6938" max="6938" width="7.5703125" style="115" customWidth="1"/>
    <col min="6939" max="6939" width="12.7109375" style="115" bestFit="1" customWidth="1"/>
    <col min="6940" max="6940" width="9" style="115" customWidth="1"/>
    <col min="6941" max="6941" width="9.140625" style="115" customWidth="1"/>
    <col min="6942" max="7168" width="9.140625" style="115"/>
    <col min="7169" max="7169" width="41" style="115" customWidth="1"/>
    <col min="7170" max="7170" width="18" style="115" bestFit="1" customWidth="1"/>
    <col min="7171" max="7171" width="10.140625" style="115" customWidth="1"/>
    <col min="7172" max="7172" width="10.42578125" style="115" bestFit="1" customWidth="1"/>
    <col min="7173" max="7174" width="12.42578125" style="115" customWidth="1"/>
    <col min="7175" max="7175" width="12.28515625" style="115" customWidth="1"/>
    <col min="7176" max="7177" width="12.5703125" style="115" customWidth="1"/>
    <col min="7178" max="7179" width="9.85546875" style="115" customWidth="1"/>
    <col min="7180" max="7180" width="9.42578125" style="115" customWidth="1"/>
    <col min="7181" max="7181" width="12" style="115" bestFit="1" customWidth="1"/>
    <col min="7182" max="7183" width="12" style="115" customWidth="1"/>
    <col min="7184" max="7184" width="12.7109375" style="115" customWidth="1"/>
    <col min="7185" max="7185" width="14.42578125" style="115" bestFit="1" customWidth="1"/>
    <col min="7186" max="7186" width="14.42578125" style="115" customWidth="1"/>
    <col min="7187" max="7188" width="9.140625" style="115" customWidth="1"/>
    <col min="7189" max="7189" width="9.5703125" style="115" customWidth="1"/>
    <col min="7190" max="7190" width="10.7109375" style="115" bestFit="1" customWidth="1"/>
    <col min="7191" max="7191" width="12.7109375" style="115" bestFit="1" customWidth="1"/>
    <col min="7192" max="7192" width="9.5703125" style="115" customWidth="1"/>
    <col min="7193" max="7193" width="7.28515625" style="115" customWidth="1"/>
    <col min="7194" max="7194" width="7.5703125" style="115" customWidth="1"/>
    <col min="7195" max="7195" width="12.7109375" style="115" bestFit="1" customWidth="1"/>
    <col min="7196" max="7196" width="9" style="115" customWidth="1"/>
    <col min="7197" max="7197" width="9.140625" style="115" customWidth="1"/>
    <col min="7198" max="7424" width="9.140625" style="115"/>
    <col min="7425" max="7425" width="41" style="115" customWidth="1"/>
    <col min="7426" max="7426" width="18" style="115" bestFit="1" customWidth="1"/>
    <col min="7427" max="7427" width="10.140625" style="115" customWidth="1"/>
    <col min="7428" max="7428" width="10.42578125" style="115" bestFit="1" customWidth="1"/>
    <col min="7429" max="7430" width="12.42578125" style="115" customWidth="1"/>
    <col min="7431" max="7431" width="12.28515625" style="115" customWidth="1"/>
    <col min="7432" max="7433" width="12.5703125" style="115" customWidth="1"/>
    <col min="7434" max="7435" width="9.85546875" style="115" customWidth="1"/>
    <col min="7436" max="7436" width="9.42578125" style="115" customWidth="1"/>
    <col min="7437" max="7437" width="12" style="115" bestFit="1" customWidth="1"/>
    <col min="7438" max="7439" width="12" style="115" customWidth="1"/>
    <col min="7440" max="7440" width="12.7109375" style="115" customWidth="1"/>
    <col min="7441" max="7441" width="14.42578125" style="115" bestFit="1" customWidth="1"/>
    <col min="7442" max="7442" width="14.42578125" style="115" customWidth="1"/>
    <col min="7443" max="7444" width="9.140625" style="115" customWidth="1"/>
    <col min="7445" max="7445" width="9.5703125" style="115" customWidth="1"/>
    <col min="7446" max="7446" width="10.7109375" style="115" bestFit="1" customWidth="1"/>
    <col min="7447" max="7447" width="12.7109375" style="115" bestFit="1" customWidth="1"/>
    <col min="7448" max="7448" width="9.5703125" style="115" customWidth="1"/>
    <col min="7449" max="7449" width="7.28515625" style="115" customWidth="1"/>
    <col min="7450" max="7450" width="7.5703125" style="115" customWidth="1"/>
    <col min="7451" max="7451" width="12.7109375" style="115" bestFit="1" customWidth="1"/>
    <col min="7452" max="7452" width="9" style="115" customWidth="1"/>
    <col min="7453" max="7453" width="9.140625" style="115" customWidth="1"/>
    <col min="7454" max="7680" width="9.140625" style="115"/>
    <col min="7681" max="7681" width="41" style="115" customWidth="1"/>
    <col min="7682" max="7682" width="18" style="115" bestFit="1" customWidth="1"/>
    <col min="7683" max="7683" width="10.140625" style="115" customWidth="1"/>
    <col min="7684" max="7684" width="10.42578125" style="115" bestFit="1" customWidth="1"/>
    <col min="7685" max="7686" width="12.42578125" style="115" customWidth="1"/>
    <col min="7687" max="7687" width="12.28515625" style="115" customWidth="1"/>
    <col min="7688" max="7689" width="12.5703125" style="115" customWidth="1"/>
    <col min="7690" max="7691" width="9.85546875" style="115" customWidth="1"/>
    <col min="7692" max="7692" width="9.42578125" style="115" customWidth="1"/>
    <col min="7693" max="7693" width="12" style="115" bestFit="1" customWidth="1"/>
    <col min="7694" max="7695" width="12" style="115" customWidth="1"/>
    <col min="7696" max="7696" width="12.7109375" style="115" customWidth="1"/>
    <col min="7697" max="7697" width="14.42578125" style="115" bestFit="1" customWidth="1"/>
    <col min="7698" max="7698" width="14.42578125" style="115" customWidth="1"/>
    <col min="7699" max="7700" width="9.140625" style="115" customWidth="1"/>
    <col min="7701" max="7701" width="9.5703125" style="115" customWidth="1"/>
    <col min="7702" max="7702" width="10.7109375" style="115" bestFit="1" customWidth="1"/>
    <col min="7703" max="7703" width="12.7109375" style="115" bestFit="1" customWidth="1"/>
    <col min="7704" max="7704" width="9.5703125" style="115" customWidth="1"/>
    <col min="7705" max="7705" width="7.28515625" style="115" customWidth="1"/>
    <col min="7706" max="7706" width="7.5703125" style="115" customWidth="1"/>
    <col min="7707" max="7707" width="12.7109375" style="115" bestFit="1" customWidth="1"/>
    <col min="7708" max="7708" width="9" style="115" customWidth="1"/>
    <col min="7709" max="7709" width="9.140625" style="115" customWidth="1"/>
    <col min="7710" max="7936" width="9.140625" style="115"/>
    <col min="7937" max="7937" width="41" style="115" customWidth="1"/>
    <col min="7938" max="7938" width="18" style="115" bestFit="1" customWidth="1"/>
    <col min="7939" max="7939" width="10.140625" style="115" customWidth="1"/>
    <col min="7940" max="7940" width="10.42578125" style="115" bestFit="1" customWidth="1"/>
    <col min="7941" max="7942" width="12.42578125" style="115" customWidth="1"/>
    <col min="7943" max="7943" width="12.28515625" style="115" customWidth="1"/>
    <col min="7944" max="7945" width="12.5703125" style="115" customWidth="1"/>
    <col min="7946" max="7947" width="9.85546875" style="115" customWidth="1"/>
    <col min="7948" max="7948" width="9.42578125" style="115" customWidth="1"/>
    <col min="7949" max="7949" width="12" style="115" bestFit="1" customWidth="1"/>
    <col min="7950" max="7951" width="12" style="115" customWidth="1"/>
    <col min="7952" max="7952" width="12.7109375" style="115" customWidth="1"/>
    <col min="7953" max="7953" width="14.42578125" style="115" bestFit="1" customWidth="1"/>
    <col min="7954" max="7954" width="14.42578125" style="115" customWidth="1"/>
    <col min="7955" max="7956" width="9.140625" style="115" customWidth="1"/>
    <col min="7957" max="7957" width="9.5703125" style="115" customWidth="1"/>
    <col min="7958" max="7958" width="10.7109375" style="115" bestFit="1" customWidth="1"/>
    <col min="7959" max="7959" width="12.7109375" style="115" bestFit="1" customWidth="1"/>
    <col min="7960" max="7960" width="9.5703125" style="115" customWidth="1"/>
    <col min="7961" max="7961" width="7.28515625" style="115" customWidth="1"/>
    <col min="7962" max="7962" width="7.5703125" style="115" customWidth="1"/>
    <col min="7963" max="7963" width="12.7109375" style="115" bestFit="1" customWidth="1"/>
    <col min="7964" max="7964" width="9" style="115" customWidth="1"/>
    <col min="7965" max="7965" width="9.140625" style="115" customWidth="1"/>
    <col min="7966" max="8192" width="9.140625" style="115"/>
    <col min="8193" max="8193" width="41" style="115" customWidth="1"/>
    <col min="8194" max="8194" width="18" style="115" bestFit="1" customWidth="1"/>
    <col min="8195" max="8195" width="10.140625" style="115" customWidth="1"/>
    <col min="8196" max="8196" width="10.42578125" style="115" bestFit="1" customWidth="1"/>
    <col min="8197" max="8198" width="12.42578125" style="115" customWidth="1"/>
    <col min="8199" max="8199" width="12.28515625" style="115" customWidth="1"/>
    <col min="8200" max="8201" width="12.5703125" style="115" customWidth="1"/>
    <col min="8202" max="8203" width="9.85546875" style="115" customWidth="1"/>
    <col min="8204" max="8204" width="9.42578125" style="115" customWidth="1"/>
    <col min="8205" max="8205" width="12" style="115" bestFit="1" customWidth="1"/>
    <col min="8206" max="8207" width="12" style="115" customWidth="1"/>
    <col min="8208" max="8208" width="12.7109375" style="115" customWidth="1"/>
    <col min="8209" max="8209" width="14.42578125" style="115" bestFit="1" customWidth="1"/>
    <col min="8210" max="8210" width="14.42578125" style="115" customWidth="1"/>
    <col min="8211" max="8212" width="9.140625" style="115" customWidth="1"/>
    <col min="8213" max="8213" width="9.5703125" style="115" customWidth="1"/>
    <col min="8214" max="8214" width="10.7109375" style="115" bestFit="1" customWidth="1"/>
    <col min="8215" max="8215" width="12.7109375" style="115" bestFit="1" customWidth="1"/>
    <col min="8216" max="8216" width="9.5703125" style="115" customWidth="1"/>
    <col min="8217" max="8217" width="7.28515625" style="115" customWidth="1"/>
    <col min="8218" max="8218" width="7.5703125" style="115" customWidth="1"/>
    <col min="8219" max="8219" width="12.7109375" style="115" bestFit="1" customWidth="1"/>
    <col min="8220" max="8220" width="9" style="115" customWidth="1"/>
    <col min="8221" max="8221" width="9.140625" style="115" customWidth="1"/>
    <col min="8222" max="8448" width="9.140625" style="115"/>
    <col min="8449" max="8449" width="41" style="115" customWidth="1"/>
    <col min="8450" max="8450" width="18" style="115" bestFit="1" customWidth="1"/>
    <col min="8451" max="8451" width="10.140625" style="115" customWidth="1"/>
    <col min="8452" max="8452" width="10.42578125" style="115" bestFit="1" customWidth="1"/>
    <col min="8453" max="8454" width="12.42578125" style="115" customWidth="1"/>
    <col min="8455" max="8455" width="12.28515625" style="115" customWidth="1"/>
    <col min="8456" max="8457" width="12.5703125" style="115" customWidth="1"/>
    <col min="8458" max="8459" width="9.85546875" style="115" customWidth="1"/>
    <col min="8460" max="8460" width="9.42578125" style="115" customWidth="1"/>
    <col min="8461" max="8461" width="12" style="115" bestFit="1" customWidth="1"/>
    <col min="8462" max="8463" width="12" style="115" customWidth="1"/>
    <col min="8464" max="8464" width="12.7109375" style="115" customWidth="1"/>
    <col min="8465" max="8465" width="14.42578125" style="115" bestFit="1" customWidth="1"/>
    <col min="8466" max="8466" width="14.42578125" style="115" customWidth="1"/>
    <col min="8467" max="8468" width="9.140625" style="115" customWidth="1"/>
    <col min="8469" max="8469" width="9.5703125" style="115" customWidth="1"/>
    <col min="8470" max="8470" width="10.7109375" style="115" bestFit="1" customWidth="1"/>
    <col min="8471" max="8471" width="12.7109375" style="115" bestFit="1" customWidth="1"/>
    <col min="8472" max="8472" width="9.5703125" style="115" customWidth="1"/>
    <col min="8473" max="8473" width="7.28515625" style="115" customWidth="1"/>
    <col min="8474" max="8474" width="7.5703125" style="115" customWidth="1"/>
    <col min="8475" max="8475" width="12.7109375" style="115" bestFit="1" customWidth="1"/>
    <col min="8476" max="8476" width="9" style="115" customWidth="1"/>
    <col min="8477" max="8477" width="9.140625" style="115" customWidth="1"/>
    <col min="8478" max="8704" width="9.140625" style="115"/>
    <col min="8705" max="8705" width="41" style="115" customWidth="1"/>
    <col min="8706" max="8706" width="18" style="115" bestFit="1" customWidth="1"/>
    <col min="8707" max="8707" width="10.140625" style="115" customWidth="1"/>
    <col min="8708" max="8708" width="10.42578125" style="115" bestFit="1" customWidth="1"/>
    <col min="8709" max="8710" width="12.42578125" style="115" customWidth="1"/>
    <col min="8711" max="8711" width="12.28515625" style="115" customWidth="1"/>
    <col min="8712" max="8713" width="12.5703125" style="115" customWidth="1"/>
    <col min="8714" max="8715" width="9.85546875" style="115" customWidth="1"/>
    <col min="8716" max="8716" width="9.42578125" style="115" customWidth="1"/>
    <col min="8717" max="8717" width="12" style="115" bestFit="1" customWidth="1"/>
    <col min="8718" max="8719" width="12" style="115" customWidth="1"/>
    <col min="8720" max="8720" width="12.7109375" style="115" customWidth="1"/>
    <col min="8721" max="8721" width="14.42578125" style="115" bestFit="1" customWidth="1"/>
    <col min="8722" max="8722" width="14.42578125" style="115" customWidth="1"/>
    <col min="8723" max="8724" width="9.140625" style="115" customWidth="1"/>
    <col min="8725" max="8725" width="9.5703125" style="115" customWidth="1"/>
    <col min="8726" max="8726" width="10.7109375" style="115" bestFit="1" customWidth="1"/>
    <col min="8727" max="8727" width="12.7109375" style="115" bestFit="1" customWidth="1"/>
    <col min="8728" max="8728" width="9.5703125" style="115" customWidth="1"/>
    <col min="8729" max="8729" width="7.28515625" style="115" customWidth="1"/>
    <col min="8730" max="8730" width="7.5703125" style="115" customWidth="1"/>
    <col min="8731" max="8731" width="12.7109375" style="115" bestFit="1" customWidth="1"/>
    <col min="8732" max="8732" width="9" style="115" customWidth="1"/>
    <col min="8733" max="8733" width="9.140625" style="115" customWidth="1"/>
    <col min="8734" max="8960" width="9.140625" style="115"/>
    <col min="8961" max="8961" width="41" style="115" customWidth="1"/>
    <col min="8962" max="8962" width="18" style="115" bestFit="1" customWidth="1"/>
    <col min="8963" max="8963" width="10.140625" style="115" customWidth="1"/>
    <col min="8964" max="8964" width="10.42578125" style="115" bestFit="1" customWidth="1"/>
    <col min="8965" max="8966" width="12.42578125" style="115" customWidth="1"/>
    <col min="8967" max="8967" width="12.28515625" style="115" customWidth="1"/>
    <col min="8968" max="8969" width="12.5703125" style="115" customWidth="1"/>
    <col min="8970" max="8971" width="9.85546875" style="115" customWidth="1"/>
    <col min="8972" max="8972" width="9.42578125" style="115" customWidth="1"/>
    <col min="8973" max="8973" width="12" style="115" bestFit="1" customWidth="1"/>
    <col min="8974" max="8975" width="12" style="115" customWidth="1"/>
    <col min="8976" max="8976" width="12.7109375" style="115" customWidth="1"/>
    <col min="8977" max="8977" width="14.42578125" style="115" bestFit="1" customWidth="1"/>
    <col min="8978" max="8978" width="14.42578125" style="115" customWidth="1"/>
    <col min="8979" max="8980" width="9.140625" style="115" customWidth="1"/>
    <col min="8981" max="8981" width="9.5703125" style="115" customWidth="1"/>
    <col min="8982" max="8982" width="10.7109375" style="115" bestFit="1" customWidth="1"/>
    <col min="8983" max="8983" width="12.7109375" style="115" bestFit="1" customWidth="1"/>
    <col min="8984" max="8984" width="9.5703125" style="115" customWidth="1"/>
    <col min="8985" max="8985" width="7.28515625" style="115" customWidth="1"/>
    <col min="8986" max="8986" width="7.5703125" style="115" customWidth="1"/>
    <col min="8987" max="8987" width="12.7109375" style="115" bestFit="1" customWidth="1"/>
    <col min="8988" max="8988" width="9" style="115" customWidth="1"/>
    <col min="8989" max="8989" width="9.140625" style="115" customWidth="1"/>
    <col min="8990" max="9216" width="9.140625" style="115"/>
    <col min="9217" max="9217" width="41" style="115" customWidth="1"/>
    <col min="9218" max="9218" width="18" style="115" bestFit="1" customWidth="1"/>
    <col min="9219" max="9219" width="10.140625" style="115" customWidth="1"/>
    <col min="9220" max="9220" width="10.42578125" style="115" bestFit="1" customWidth="1"/>
    <col min="9221" max="9222" width="12.42578125" style="115" customWidth="1"/>
    <col min="9223" max="9223" width="12.28515625" style="115" customWidth="1"/>
    <col min="9224" max="9225" width="12.5703125" style="115" customWidth="1"/>
    <col min="9226" max="9227" width="9.85546875" style="115" customWidth="1"/>
    <col min="9228" max="9228" width="9.42578125" style="115" customWidth="1"/>
    <col min="9229" max="9229" width="12" style="115" bestFit="1" customWidth="1"/>
    <col min="9230" max="9231" width="12" style="115" customWidth="1"/>
    <col min="9232" max="9232" width="12.7109375" style="115" customWidth="1"/>
    <col min="9233" max="9233" width="14.42578125" style="115" bestFit="1" customWidth="1"/>
    <col min="9234" max="9234" width="14.42578125" style="115" customWidth="1"/>
    <col min="9235" max="9236" width="9.140625" style="115" customWidth="1"/>
    <col min="9237" max="9237" width="9.5703125" style="115" customWidth="1"/>
    <col min="9238" max="9238" width="10.7109375" style="115" bestFit="1" customWidth="1"/>
    <col min="9239" max="9239" width="12.7109375" style="115" bestFit="1" customWidth="1"/>
    <col min="9240" max="9240" width="9.5703125" style="115" customWidth="1"/>
    <col min="9241" max="9241" width="7.28515625" style="115" customWidth="1"/>
    <col min="9242" max="9242" width="7.5703125" style="115" customWidth="1"/>
    <col min="9243" max="9243" width="12.7109375" style="115" bestFit="1" customWidth="1"/>
    <col min="9244" max="9244" width="9" style="115" customWidth="1"/>
    <col min="9245" max="9245" width="9.140625" style="115" customWidth="1"/>
    <col min="9246" max="9472" width="9.140625" style="115"/>
    <col min="9473" max="9473" width="41" style="115" customWidth="1"/>
    <col min="9474" max="9474" width="18" style="115" bestFit="1" customWidth="1"/>
    <col min="9475" max="9475" width="10.140625" style="115" customWidth="1"/>
    <col min="9476" max="9476" width="10.42578125" style="115" bestFit="1" customWidth="1"/>
    <col min="9477" max="9478" width="12.42578125" style="115" customWidth="1"/>
    <col min="9479" max="9479" width="12.28515625" style="115" customWidth="1"/>
    <col min="9480" max="9481" width="12.5703125" style="115" customWidth="1"/>
    <col min="9482" max="9483" width="9.85546875" style="115" customWidth="1"/>
    <col min="9484" max="9484" width="9.42578125" style="115" customWidth="1"/>
    <col min="9485" max="9485" width="12" style="115" bestFit="1" customWidth="1"/>
    <col min="9486" max="9487" width="12" style="115" customWidth="1"/>
    <col min="9488" max="9488" width="12.7109375" style="115" customWidth="1"/>
    <col min="9489" max="9489" width="14.42578125" style="115" bestFit="1" customWidth="1"/>
    <col min="9490" max="9490" width="14.42578125" style="115" customWidth="1"/>
    <col min="9491" max="9492" width="9.140625" style="115" customWidth="1"/>
    <col min="9493" max="9493" width="9.5703125" style="115" customWidth="1"/>
    <col min="9494" max="9494" width="10.7109375" style="115" bestFit="1" customWidth="1"/>
    <col min="9495" max="9495" width="12.7109375" style="115" bestFit="1" customWidth="1"/>
    <col min="9496" max="9496" width="9.5703125" style="115" customWidth="1"/>
    <col min="9497" max="9497" width="7.28515625" style="115" customWidth="1"/>
    <col min="9498" max="9498" width="7.5703125" style="115" customWidth="1"/>
    <col min="9499" max="9499" width="12.7109375" style="115" bestFit="1" customWidth="1"/>
    <col min="9500" max="9500" width="9" style="115" customWidth="1"/>
    <col min="9501" max="9501" width="9.140625" style="115" customWidth="1"/>
    <col min="9502" max="9728" width="9.140625" style="115"/>
    <col min="9729" max="9729" width="41" style="115" customWidth="1"/>
    <col min="9730" max="9730" width="18" style="115" bestFit="1" customWidth="1"/>
    <col min="9731" max="9731" width="10.140625" style="115" customWidth="1"/>
    <col min="9732" max="9732" width="10.42578125" style="115" bestFit="1" customWidth="1"/>
    <col min="9733" max="9734" width="12.42578125" style="115" customWidth="1"/>
    <col min="9735" max="9735" width="12.28515625" style="115" customWidth="1"/>
    <col min="9736" max="9737" width="12.5703125" style="115" customWidth="1"/>
    <col min="9738" max="9739" width="9.85546875" style="115" customWidth="1"/>
    <col min="9740" max="9740" width="9.42578125" style="115" customWidth="1"/>
    <col min="9741" max="9741" width="12" style="115" bestFit="1" customWidth="1"/>
    <col min="9742" max="9743" width="12" style="115" customWidth="1"/>
    <col min="9744" max="9744" width="12.7109375" style="115" customWidth="1"/>
    <col min="9745" max="9745" width="14.42578125" style="115" bestFit="1" customWidth="1"/>
    <col min="9746" max="9746" width="14.42578125" style="115" customWidth="1"/>
    <col min="9747" max="9748" width="9.140625" style="115" customWidth="1"/>
    <col min="9749" max="9749" width="9.5703125" style="115" customWidth="1"/>
    <col min="9750" max="9750" width="10.7109375" style="115" bestFit="1" customWidth="1"/>
    <col min="9751" max="9751" width="12.7109375" style="115" bestFit="1" customWidth="1"/>
    <col min="9752" max="9752" width="9.5703125" style="115" customWidth="1"/>
    <col min="9753" max="9753" width="7.28515625" style="115" customWidth="1"/>
    <col min="9754" max="9754" width="7.5703125" style="115" customWidth="1"/>
    <col min="9755" max="9755" width="12.7109375" style="115" bestFit="1" customWidth="1"/>
    <col min="9756" max="9756" width="9" style="115" customWidth="1"/>
    <col min="9757" max="9757" width="9.140625" style="115" customWidth="1"/>
    <col min="9758" max="9984" width="9.140625" style="115"/>
    <col min="9985" max="9985" width="41" style="115" customWidth="1"/>
    <col min="9986" max="9986" width="18" style="115" bestFit="1" customWidth="1"/>
    <col min="9987" max="9987" width="10.140625" style="115" customWidth="1"/>
    <col min="9988" max="9988" width="10.42578125" style="115" bestFit="1" customWidth="1"/>
    <col min="9989" max="9990" width="12.42578125" style="115" customWidth="1"/>
    <col min="9991" max="9991" width="12.28515625" style="115" customWidth="1"/>
    <col min="9992" max="9993" width="12.5703125" style="115" customWidth="1"/>
    <col min="9994" max="9995" width="9.85546875" style="115" customWidth="1"/>
    <col min="9996" max="9996" width="9.42578125" style="115" customWidth="1"/>
    <col min="9997" max="9997" width="12" style="115" bestFit="1" customWidth="1"/>
    <col min="9998" max="9999" width="12" style="115" customWidth="1"/>
    <col min="10000" max="10000" width="12.7109375" style="115" customWidth="1"/>
    <col min="10001" max="10001" width="14.42578125" style="115" bestFit="1" customWidth="1"/>
    <col min="10002" max="10002" width="14.42578125" style="115" customWidth="1"/>
    <col min="10003" max="10004" width="9.140625" style="115" customWidth="1"/>
    <col min="10005" max="10005" width="9.5703125" style="115" customWidth="1"/>
    <col min="10006" max="10006" width="10.7109375" style="115" bestFit="1" customWidth="1"/>
    <col min="10007" max="10007" width="12.7109375" style="115" bestFit="1" customWidth="1"/>
    <col min="10008" max="10008" width="9.5703125" style="115" customWidth="1"/>
    <col min="10009" max="10009" width="7.28515625" style="115" customWidth="1"/>
    <col min="10010" max="10010" width="7.5703125" style="115" customWidth="1"/>
    <col min="10011" max="10011" width="12.7109375" style="115" bestFit="1" customWidth="1"/>
    <col min="10012" max="10012" width="9" style="115" customWidth="1"/>
    <col min="10013" max="10013" width="9.140625" style="115" customWidth="1"/>
    <col min="10014" max="10240" width="9.140625" style="115"/>
    <col min="10241" max="10241" width="41" style="115" customWidth="1"/>
    <col min="10242" max="10242" width="18" style="115" bestFit="1" customWidth="1"/>
    <col min="10243" max="10243" width="10.140625" style="115" customWidth="1"/>
    <col min="10244" max="10244" width="10.42578125" style="115" bestFit="1" customWidth="1"/>
    <col min="10245" max="10246" width="12.42578125" style="115" customWidth="1"/>
    <col min="10247" max="10247" width="12.28515625" style="115" customWidth="1"/>
    <col min="10248" max="10249" width="12.5703125" style="115" customWidth="1"/>
    <col min="10250" max="10251" width="9.85546875" style="115" customWidth="1"/>
    <col min="10252" max="10252" width="9.42578125" style="115" customWidth="1"/>
    <col min="10253" max="10253" width="12" style="115" bestFit="1" customWidth="1"/>
    <col min="10254" max="10255" width="12" style="115" customWidth="1"/>
    <col min="10256" max="10256" width="12.7109375" style="115" customWidth="1"/>
    <col min="10257" max="10257" width="14.42578125" style="115" bestFit="1" customWidth="1"/>
    <col min="10258" max="10258" width="14.42578125" style="115" customWidth="1"/>
    <col min="10259" max="10260" width="9.140625" style="115" customWidth="1"/>
    <col min="10261" max="10261" width="9.5703125" style="115" customWidth="1"/>
    <col min="10262" max="10262" width="10.7109375" style="115" bestFit="1" customWidth="1"/>
    <col min="10263" max="10263" width="12.7109375" style="115" bestFit="1" customWidth="1"/>
    <col min="10264" max="10264" width="9.5703125" style="115" customWidth="1"/>
    <col min="10265" max="10265" width="7.28515625" style="115" customWidth="1"/>
    <col min="10266" max="10266" width="7.5703125" style="115" customWidth="1"/>
    <col min="10267" max="10267" width="12.7109375" style="115" bestFit="1" customWidth="1"/>
    <col min="10268" max="10268" width="9" style="115" customWidth="1"/>
    <col min="10269" max="10269" width="9.140625" style="115" customWidth="1"/>
    <col min="10270" max="10496" width="9.140625" style="115"/>
    <col min="10497" max="10497" width="41" style="115" customWidth="1"/>
    <col min="10498" max="10498" width="18" style="115" bestFit="1" customWidth="1"/>
    <col min="10499" max="10499" width="10.140625" style="115" customWidth="1"/>
    <col min="10500" max="10500" width="10.42578125" style="115" bestFit="1" customWidth="1"/>
    <col min="10501" max="10502" width="12.42578125" style="115" customWidth="1"/>
    <col min="10503" max="10503" width="12.28515625" style="115" customWidth="1"/>
    <col min="10504" max="10505" width="12.5703125" style="115" customWidth="1"/>
    <col min="10506" max="10507" width="9.85546875" style="115" customWidth="1"/>
    <col min="10508" max="10508" width="9.42578125" style="115" customWidth="1"/>
    <col min="10509" max="10509" width="12" style="115" bestFit="1" customWidth="1"/>
    <col min="10510" max="10511" width="12" style="115" customWidth="1"/>
    <col min="10512" max="10512" width="12.7109375" style="115" customWidth="1"/>
    <col min="10513" max="10513" width="14.42578125" style="115" bestFit="1" customWidth="1"/>
    <col min="10514" max="10514" width="14.42578125" style="115" customWidth="1"/>
    <col min="10515" max="10516" width="9.140625" style="115" customWidth="1"/>
    <col min="10517" max="10517" width="9.5703125" style="115" customWidth="1"/>
    <col min="10518" max="10518" width="10.7109375" style="115" bestFit="1" customWidth="1"/>
    <col min="10519" max="10519" width="12.7109375" style="115" bestFit="1" customWidth="1"/>
    <col min="10520" max="10520" width="9.5703125" style="115" customWidth="1"/>
    <col min="10521" max="10521" width="7.28515625" style="115" customWidth="1"/>
    <col min="10522" max="10522" width="7.5703125" style="115" customWidth="1"/>
    <col min="10523" max="10523" width="12.7109375" style="115" bestFit="1" customWidth="1"/>
    <col min="10524" max="10524" width="9" style="115" customWidth="1"/>
    <col min="10525" max="10525" width="9.140625" style="115" customWidth="1"/>
    <col min="10526" max="10752" width="9.140625" style="115"/>
    <col min="10753" max="10753" width="41" style="115" customWidth="1"/>
    <col min="10754" max="10754" width="18" style="115" bestFit="1" customWidth="1"/>
    <col min="10755" max="10755" width="10.140625" style="115" customWidth="1"/>
    <col min="10756" max="10756" width="10.42578125" style="115" bestFit="1" customWidth="1"/>
    <col min="10757" max="10758" width="12.42578125" style="115" customWidth="1"/>
    <col min="10759" max="10759" width="12.28515625" style="115" customWidth="1"/>
    <col min="10760" max="10761" width="12.5703125" style="115" customWidth="1"/>
    <col min="10762" max="10763" width="9.85546875" style="115" customWidth="1"/>
    <col min="10764" max="10764" width="9.42578125" style="115" customWidth="1"/>
    <col min="10765" max="10765" width="12" style="115" bestFit="1" customWidth="1"/>
    <col min="10766" max="10767" width="12" style="115" customWidth="1"/>
    <col min="10768" max="10768" width="12.7109375" style="115" customWidth="1"/>
    <col min="10769" max="10769" width="14.42578125" style="115" bestFit="1" customWidth="1"/>
    <col min="10770" max="10770" width="14.42578125" style="115" customWidth="1"/>
    <col min="10771" max="10772" width="9.140625" style="115" customWidth="1"/>
    <col min="10773" max="10773" width="9.5703125" style="115" customWidth="1"/>
    <col min="10774" max="10774" width="10.7109375" style="115" bestFit="1" customWidth="1"/>
    <col min="10775" max="10775" width="12.7109375" style="115" bestFit="1" customWidth="1"/>
    <col min="10776" max="10776" width="9.5703125" style="115" customWidth="1"/>
    <col min="10777" max="10777" width="7.28515625" style="115" customWidth="1"/>
    <col min="10778" max="10778" width="7.5703125" style="115" customWidth="1"/>
    <col min="10779" max="10779" width="12.7109375" style="115" bestFit="1" customWidth="1"/>
    <col min="10780" max="10780" width="9" style="115" customWidth="1"/>
    <col min="10781" max="10781" width="9.140625" style="115" customWidth="1"/>
    <col min="10782" max="11008" width="9.140625" style="115"/>
    <col min="11009" max="11009" width="41" style="115" customWidth="1"/>
    <col min="11010" max="11010" width="18" style="115" bestFit="1" customWidth="1"/>
    <col min="11011" max="11011" width="10.140625" style="115" customWidth="1"/>
    <col min="11012" max="11012" width="10.42578125" style="115" bestFit="1" customWidth="1"/>
    <col min="11013" max="11014" width="12.42578125" style="115" customWidth="1"/>
    <col min="11015" max="11015" width="12.28515625" style="115" customWidth="1"/>
    <col min="11016" max="11017" width="12.5703125" style="115" customWidth="1"/>
    <col min="11018" max="11019" width="9.85546875" style="115" customWidth="1"/>
    <col min="11020" max="11020" width="9.42578125" style="115" customWidth="1"/>
    <col min="11021" max="11021" width="12" style="115" bestFit="1" customWidth="1"/>
    <col min="11022" max="11023" width="12" style="115" customWidth="1"/>
    <col min="11024" max="11024" width="12.7109375" style="115" customWidth="1"/>
    <col min="11025" max="11025" width="14.42578125" style="115" bestFit="1" customWidth="1"/>
    <col min="11026" max="11026" width="14.42578125" style="115" customWidth="1"/>
    <col min="11027" max="11028" width="9.140625" style="115" customWidth="1"/>
    <col min="11029" max="11029" width="9.5703125" style="115" customWidth="1"/>
    <col min="11030" max="11030" width="10.7109375" style="115" bestFit="1" customWidth="1"/>
    <col min="11031" max="11031" width="12.7109375" style="115" bestFit="1" customWidth="1"/>
    <col min="11032" max="11032" width="9.5703125" style="115" customWidth="1"/>
    <col min="11033" max="11033" width="7.28515625" style="115" customWidth="1"/>
    <col min="11034" max="11034" width="7.5703125" style="115" customWidth="1"/>
    <col min="11035" max="11035" width="12.7109375" style="115" bestFit="1" customWidth="1"/>
    <col min="11036" max="11036" width="9" style="115" customWidth="1"/>
    <col min="11037" max="11037" width="9.140625" style="115" customWidth="1"/>
    <col min="11038" max="11264" width="9.140625" style="115"/>
    <col min="11265" max="11265" width="41" style="115" customWidth="1"/>
    <col min="11266" max="11266" width="18" style="115" bestFit="1" customWidth="1"/>
    <col min="11267" max="11267" width="10.140625" style="115" customWidth="1"/>
    <col min="11268" max="11268" width="10.42578125" style="115" bestFit="1" customWidth="1"/>
    <col min="11269" max="11270" width="12.42578125" style="115" customWidth="1"/>
    <col min="11271" max="11271" width="12.28515625" style="115" customWidth="1"/>
    <col min="11272" max="11273" width="12.5703125" style="115" customWidth="1"/>
    <col min="11274" max="11275" width="9.85546875" style="115" customWidth="1"/>
    <col min="11276" max="11276" width="9.42578125" style="115" customWidth="1"/>
    <col min="11277" max="11277" width="12" style="115" bestFit="1" customWidth="1"/>
    <col min="11278" max="11279" width="12" style="115" customWidth="1"/>
    <col min="11280" max="11280" width="12.7109375" style="115" customWidth="1"/>
    <col min="11281" max="11281" width="14.42578125" style="115" bestFit="1" customWidth="1"/>
    <col min="11282" max="11282" width="14.42578125" style="115" customWidth="1"/>
    <col min="11283" max="11284" width="9.140625" style="115" customWidth="1"/>
    <col min="11285" max="11285" width="9.5703125" style="115" customWidth="1"/>
    <col min="11286" max="11286" width="10.7109375" style="115" bestFit="1" customWidth="1"/>
    <col min="11287" max="11287" width="12.7109375" style="115" bestFit="1" customWidth="1"/>
    <col min="11288" max="11288" width="9.5703125" style="115" customWidth="1"/>
    <col min="11289" max="11289" width="7.28515625" style="115" customWidth="1"/>
    <col min="11290" max="11290" width="7.5703125" style="115" customWidth="1"/>
    <col min="11291" max="11291" width="12.7109375" style="115" bestFit="1" customWidth="1"/>
    <col min="11292" max="11292" width="9" style="115" customWidth="1"/>
    <col min="11293" max="11293" width="9.140625" style="115" customWidth="1"/>
    <col min="11294" max="11520" width="9.140625" style="115"/>
    <col min="11521" max="11521" width="41" style="115" customWidth="1"/>
    <col min="11522" max="11522" width="18" style="115" bestFit="1" customWidth="1"/>
    <col min="11523" max="11523" width="10.140625" style="115" customWidth="1"/>
    <col min="11524" max="11524" width="10.42578125" style="115" bestFit="1" customWidth="1"/>
    <col min="11525" max="11526" width="12.42578125" style="115" customWidth="1"/>
    <col min="11527" max="11527" width="12.28515625" style="115" customWidth="1"/>
    <col min="11528" max="11529" width="12.5703125" style="115" customWidth="1"/>
    <col min="11530" max="11531" width="9.85546875" style="115" customWidth="1"/>
    <col min="11532" max="11532" width="9.42578125" style="115" customWidth="1"/>
    <col min="11533" max="11533" width="12" style="115" bestFit="1" customWidth="1"/>
    <col min="11534" max="11535" width="12" style="115" customWidth="1"/>
    <col min="11536" max="11536" width="12.7109375" style="115" customWidth="1"/>
    <col min="11537" max="11537" width="14.42578125" style="115" bestFit="1" customWidth="1"/>
    <col min="11538" max="11538" width="14.42578125" style="115" customWidth="1"/>
    <col min="11539" max="11540" width="9.140625" style="115" customWidth="1"/>
    <col min="11541" max="11541" width="9.5703125" style="115" customWidth="1"/>
    <col min="11542" max="11542" width="10.7109375" style="115" bestFit="1" customWidth="1"/>
    <col min="11543" max="11543" width="12.7109375" style="115" bestFit="1" customWidth="1"/>
    <col min="11544" max="11544" width="9.5703125" style="115" customWidth="1"/>
    <col min="11545" max="11545" width="7.28515625" style="115" customWidth="1"/>
    <col min="11546" max="11546" width="7.5703125" style="115" customWidth="1"/>
    <col min="11547" max="11547" width="12.7109375" style="115" bestFit="1" customWidth="1"/>
    <col min="11548" max="11548" width="9" style="115" customWidth="1"/>
    <col min="11549" max="11549" width="9.140625" style="115" customWidth="1"/>
    <col min="11550" max="11776" width="9.140625" style="115"/>
    <col min="11777" max="11777" width="41" style="115" customWidth="1"/>
    <col min="11778" max="11778" width="18" style="115" bestFit="1" customWidth="1"/>
    <col min="11779" max="11779" width="10.140625" style="115" customWidth="1"/>
    <col min="11780" max="11780" width="10.42578125" style="115" bestFit="1" customWidth="1"/>
    <col min="11781" max="11782" width="12.42578125" style="115" customWidth="1"/>
    <col min="11783" max="11783" width="12.28515625" style="115" customWidth="1"/>
    <col min="11784" max="11785" width="12.5703125" style="115" customWidth="1"/>
    <col min="11786" max="11787" width="9.85546875" style="115" customWidth="1"/>
    <col min="11788" max="11788" width="9.42578125" style="115" customWidth="1"/>
    <col min="11789" max="11789" width="12" style="115" bestFit="1" customWidth="1"/>
    <col min="11790" max="11791" width="12" style="115" customWidth="1"/>
    <col min="11792" max="11792" width="12.7109375" style="115" customWidth="1"/>
    <col min="11793" max="11793" width="14.42578125" style="115" bestFit="1" customWidth="1"/>
    <col min="11794" max="11794" width="14.42578125" style="115" customWidth="1"/>
    <col min="11795" max="11796" width="9.140625" style="115" customWidth="1"/>
    <col min="11797" max="11797" width="9.5703125" style="115" customWidth="1"/>
    <col min="11798" max="11798" width="10.7109375" style="115" bestFit="1" customWidth="1"/>
    <col min="11799" max="11799" width="12.7109375" style="115" bestFit="1" customWidth="1"/>
    <col min="11800" max="11800" width="9.5703125" style="115" customWidth="1"/>
    <col min="11801" max="11801" width="7.28515625" style="115" customWidth="1"/>
    <col min="11802" max="11802" width="7.5703125" style="115" customWidth="1"/>
    <col min="11803" max="11803" width="12.7109375" style="115" bestFit="1" customWidth="1"/>
    <col min="11804" max="11804" width="9" style="115" customWidth="1"/>
    <col min="11805" max="11805" width="9.140625" style="115" customWidth="1"/>
    <col min="11806" max="12032" width="9.140625" style="115"/>
    <col min="12033" max="12033" width="41" style="115" customWidth="1"/>
    <col min="12034" max="12034" width="18" style="115" bestFit="1" customWidth="1"/>
    <col min="12035" max="12035" width="10.140625" style="115" customWidth="1"/>
    <col min="12036" max="12036" width="10.42578125" style="115" bestFit="1" customWidth="1"/>
    <col min="12037" max="12038" width="12.42578125" style="115" customWidth="1"/>
    <col min="12039" max="12039" width="12.28515625" style="115" customWidth="1"/>
    <col min="12040" max="12041" width="12.5703125" style="115" customWidth="1"/>
    <col min="12042" max="12043" width="9.85546875" style="115" customWidth="1"/>
    <col min="12044" max="12044" width="9.42578125" style="115" customWidth="1"/>
    <col min="12045" max="12045" width="12" style="115" bestFit="1" customWidth="1"/>
    <col min="12046" max="12047" width="12" style="115" customWidth="1"/>
    <col min="12048" max="12048" width="12.7109375" style="115" customWidth="1"/>
    <col min="12049" max="12049" width="14.42578125" style="115" bestFit="1" customWidth="1"/>
    <col min="12050" max="12050" width="14.42578125" style="115" customWidth="1"/>
    <col min="12051" max="12052" width="9.140625" style="115" customWidth="1"/>
    <col min="12053" max="12053" width="9.5703125" style="115" customWidth="1"/>
    <col min="12054" max="12054" width="10.7109375" style="115" bestFit="1" customWidth="1"/>
    <col min="12055" max="12055" width="12.7109375" style="115" bestFit="1" customWidth="1"/>
    <col min="12056" max="12056" width="9.5703125" style="115" customWidth="1"/>
    <col min="12057" max="12057" width="7.28515625" style="115" customWidth="1"/>
    <col min="12058" max="12058" width="7.5703125" style="115" customWidth="1"/>
    <col min="12059" max="12059" width="12.7109375" style="115" bestFit="1" customWidth="1"/>
    <col min="12060" max="12060" width="9" style="115" customWidth="1"/>
    <col min="12061" max="12061" width="9.140625" style="115" customWidth="1"/>
    <col min="12062" max="12288" width="9.140625" style="115"/>
    <col min="12289" max="12289" width="41" style="115" customWidth="1"/>
    <col min="12290" max="12290" width="18" style="115" bestFit="1" customWidth="1"/>
    <col min="12291" max="12291" width="10.140625" style="115" customWidth="1"/>
    <col min="12292" max="12292" width="10.42578125" style="115" bestFit="1" customWidth="1"/>
    <col min="12293" max="12294" width="12.42578125" style="115" customWidth="1"/>
    <col min="12295" max="12295" width="12.28515625" style="115" customWidth="1"/>
    <col min="12296" max="12297" width="12.5703125" style="115" customWidth="1"/>
    <col min="12298" max="12299" width="9.85546875" style="115" customWidth="1"/>
    <col min="12300" max="12300" width="9.42578125" style="115" customWidth="1"/>
    <col min="12301" max="12301" width="12" style="115" bestFit="1" customWidth="1"/>
    <col min="12302" max="12303" width="12" style="115" customWidth="1"/>
    <col min="12304" max="12304" width="12.7109375" style="115" customWidth="1"/>
    <col min="12305" max="12305" width="14.42578125" style="115" bestFit="1" customWidth="1"/>
    <col min="12306" max="12306" width="14.42578125" style="115" customWidth="1"/>
    <col min="12307" max="12308" width="9.140625" style="115" customWidth="1"/>
    <col min="12309" max="12309" width="9.5703125" style="115" customWidth="1"/>
    <col min="12310" max="12310" width="10.7109375" style="115" bestFit="1" customWidth="1"/>
    <col min="12311" max="12311" width="12.7109375" style="115" bestFit="1" customWidth="1"/>
    <col min="12312" max="12312" width="9.5703125" style="115" customWidth="1"/>
    <col min="12313" max="12313" width="7.28515625" style="115" customWidth="1"/>
    <col min="12314" max="12314" width="7.5703125" style="115" customWidth="1"/>
    <col min="12315" max="12315" width="12.7109375" style="115" bestFit="1" customWidth="1"/>
    <col min="12316" max="12316" width="9" style="115" customWidth="1"/>
    <col min="12317" max="12317" width="9.140625" style="115" customWidth="1"/>
    <col min="12318" max="12544" width="9.140625" style="115"/>
    <col min="12545" max="12545" width="41" style="115" customWidth="1"/>
    <col min="12546" max="12546" width="18" style="115" bestFit="1" customWidth="1"/>
    <col min="12547" max="12547" width="10.140625" style="115" customWidth="1"/>
    <col min="12548" max="12548" width="10.42578125" style="115" bestFit="1" customWidth="1"/>
    <col min="12549" max="12550" width="12.42578125" style="115" customWidth="1"/>
    <col min="12551" max="12551" width="12.28515625" style="115" customWidth="1"/>
    <col min="12552" max="12553" width="12.5703125" style="115" customWidth="1"/>
    <col min="12554" max="12555" width="9.85546875" style="115" customWidth="1"/>
    <col min="12556" max="12556" width="9.42578125" style="115" customWidth="1"/>
    <col min="12557" max="12557" width="12" style="115" bestFit="1" customWidth="1"/>
    <col min="12558" max="12559" width="12" style="115" customWidth="1"/>
    <col min="12560" max="12560" width="12.7109375" style="115" customWidth="1"/>
    <col min="12561" max="12561" width="14.42578125" style="115" bestFit="1" customWidth="1"/>
    <col min="12562" max="12562" width="14.42578125" style="115" customWidth="1"/>
    <col min="12563" max="12564" width="9.140625" style="115" customWidth="1"/>
    <col min="12565" max="12565" width="9.5703125" style="115" customWidth="1"/>
    <col min="12566" max="12566" width="10.7109375" style="115" bestFit="1" customWidth="1"/>
    <col min="12567" max="12567" width="12.7109375" style="115" bestFit="1" customWidth="1"/>
    <col min="12568" max="12568" width="9.5703125" style="115" customWidth="1"/>
    <col min="12569" max="12569" width="7.28515625" style="115" customWidth="1"/>
    <col min="12570" max="12570" width="7.5703125" style="115" customWidth="1"/>
    <col min="12571" max="12571" width="12.7109375" style="115" bestFit="1" customWidth="1"/>
    <col min="12572" max="12572" width="9" style="115" customWidth="1"/>
    <col min="12573" max="12573" width="9.140625" style="115" customWidth="1"/>
    <col min="12574" max="12800" width="9.140625" style="115"/>
    <col min="12801" max="12801" width="41" style="115" customWidth="1"/>
    <col min="12802" max="12802" width="18" style="115" bestFit="1" customWidth="1"/>
    <col min="12803" max="12803" width="10.140625" style="115" customWidth="1"/>
    <col min="12804" max="12804" width="10.42578125" style="115" bestFit="1" customWidth="1"/>
    <col min="12805" max="12806" width="12.42578125" style="115" customWidth="1"/>
    <col min="12807" max="12807" width="12.28515625" style="115" customWidth="1"/>
    <col min="12808" max="12809" width="12.5703125" style="115" customWidth="1"/>
    <col min="12810" max="12811" width="9.85546875" style="115" customWidth="1"/>
    <col min="12812" max="12812" width="9.42578125" style="115" customWidth="1"/>
    <col min="12813" max="12813" width="12" style="115" bestFit="1" customWidth="1"/>
    <col min="12814" max="12815" width="12" style="115" customWidth="1"/>
    <col min="12816" max="12816" width="12.7109375" style="115" customWidth="1"/>
    <col min="12817" max="12817" width="14.42578125" style="115" bestFit="1" customWidth="1"/>
    <col min="12818" max="12818" width="14.42578125" style="115" customWidth="1"/>
    <col min="12819" max="12820" width="9.140625" style="115" customWidth="1"/>
    <col min="12821" max="12821" width="9.5703125" style="115" customWidth="1"/>
    <col min="12822" max="12822" width="10.7109375" style="115" bestFit="1" customWidth="1"/>
    <col min="12823" max="12823" width="12.7109375" style="115" bestFit="1" customWidth="1"/>
    <col min="12824" max="12824" width="9.5703125" style="115" customWidth="1"/>
    <col min="12825" max="12825" width="7.28515625" style="115" customWidth="1"/>
    <col min="12826" max="12826" width="7.5703125" style="115" customWidth="1"/>
    <col min="12827" max="12827" width="12.7109375" style="115" bestFit="1" customWidth="1"/>
    <col min="12828" max="12828" width="9" style="115" customWidth="1"/>
    <col min="12829" max="12829" width="9.140625" style="115" customWidth="1"/>
    <col min="12830" max="13056" width="9.140625" style="115"/>
    <col min="13057" max="13057" width="41" style="115" customWidth="1"/>
    <col min="13058" max="13058" width="18" style="115" bestFit="1" customWidth="1"/>
    <col min="13059" max="13059" width="10.140625" style="115" customWidth="1"/>
    <col min="13060" max="13060" width="10.42578125" style="115" bestFit="1" customWidth="1"/>
    <col min="13061" max="13062" width="12.42578125" style="115" customWidth="1"/>
    <col min="13063" max="13063" width="12.28515625" style="115" customWidth="1"/>
    <col min="13064" max="13065" width="12.5703125" style="115" customWidth="1"/>
    <col min="13066" max="13067" width="9.85546875" style="115" customWidth="1"/>
    <col min="13068" max="13068" width="9.42578125" style="115" customWidth="1"/>
    <col min="13069" max="13069" width="12" style="115" bestFit="1" customWidth="1"/>
    <col min="13070" max="13071" width="12" style="115" customWidth="1"/>
    <col min="13072" max="13072" width="12.7109375" style="115" customWidth="1"/>
    <col min="13073" max="13073" width="14.42578125" style="115" bestFit="1" customWidth="1"/>
    <col min="13074" max="13074" width="14.42578125" style="115" customWidth="1"/>
    <col min="13075" max="13076" width="9.140625" style="115" customWidth="1"/>
    <col min="13077" max="13077" width="9.5703125" style="115" customWidth="1"/>
    <col min="13078" max="13078" width="10.7109375" style="115" bestFit="1" customWidth="1"/>
    <col min="13079" max="13079" width="12.7109375" style="115" bestFit="1" customWidth="1"/>
    <col min="13080" max="13080" width="9.5703125" style="115" customWidth="1"/>
    <col min="13081" max="13081" width="7.28515625" style="115" customWidth="1"/>
    <col min="13082" max="13082" width="7.5703125" style="115" customWidth="1"/>
    <col min="13083" max="13083" width="12.7109375" style="115" bestFit="1" customWidth="1"/>
    <col min="13084" max="13084" width="9" style="115" customWidth="1"/>
    <col min="13085" max="13085" width="9.140625" style="115" customWidth="1"/>
    <col min="13086" max="13312" width="9.140625" style="115"/>
    <col min="13313" max="13313" width="41" style="115" customWidth="1"/>
    <col min="13314" max="13314" width="18" style="115" bestFit="1" customWidth="1"/>
    <col min="13315" max="13315" width="10.140625" style="115" customWidth="1"/>
    <col min="13316" max="13316" width="10.42578125" style="115" bestFit="1" customWidth="1"/>
    <col min="13317" max="13318" width="12.42578125" style="115" customWidth="1"/>
    <col min="13319" max="13319" width="12.28515625" style="115" customWidth="1"/>
    <col min="13320" max="13321" width="12.5703125" style="115" customWidth="1"/>
    <col min="13322" max="13323" width="9.85546875" style="115" customWidth="1"/>
    <col min="13324" max="13324" width="9.42578125" style="115" customWidth="1"/>
    <col min="13325" max="13325" width="12" style="115" bestFit="1" customWidth="1"/>
    <col min="13326" max="13327" width="12" style="115" customWidth="1"/>
    <col min="13328" max="13328" width="12.7109375" style="115" customWidth="1"/>
    <col min="13329" max="13329" width="14.42578125" style="115" bestFit="1" customWidth="1"/>
    <col min="13330" max="13330" width="14.42578125" style="115" customWidth="1"/>
    <col min="13331" max="13332" width="9.140625" style="115" customWidth="1"/>
    <col min="13333" max="13333" width="9.5703125" style="115" customWidth="1"/>
    <col min="13334" max="13334" width="10.7109375" style="115" bestFit="1" customWidth="1"/>
    <col min="13335" max="13335" width="12.7109375" style="115" bestFit="1" customWidth="1"/>
    <col min="13336" max="13336" width="9.5703125" style="115" customWidth="1"/>
    <col min="13337" max="13337" width="7.28515625" style="115" customWidth="1"/>
    <col min="13338" max="13338" width="7.5703125" style="115" customWidth="1"/>
    <col min="13339" max="13339" width="12.7109375" style="115" bestFit="1" customWidth="1"/>
    <col min="13340" max="13340" width="9" style="115" customWidth="1"/>
    <col min="13341" max="13341" width="9.140625" style="115" customWidth="1"/>
    <col min="13342" max="13568" width="9.140625" style="115"/>
    <col min="13569" max="13569" width="41" style="115" customWidth="1"/>
    <col min="13570" max="13570" width="18" style="115" bestFit="1" customWidth="1"/>
    <col min="13571" max="13571" width="10.140625" style="115" customWidth="1"/>
    <col min="13572" max="13572" width="10.42578125" style="115" bestFit="1" customWidth="1"/>
    <col min="13573" max="13574" width="12.42578125" style="115" customWidth="1"/>
    <col min="13575" max="13575" width="12.28515625" style="115" customWidth="1"/>
    <col min="13576" max="13577" width="12.5703125" style="115" customWidth="1"/>
    <col min="13578" max="13579" width="9.85546875" style="115" customWidth="1"/>
    <col min="13580" max="13580" width="9.42578125" style="115" customWidth="1"/>
    <col min="13581" max="13581" width="12" style="115" bestFit="1" customWidth="1"/>
    <col min="13582" max="13583" width="12" style="115" customWidth="1"/>
    <col min="13584" max="13584" width="12.7109375" style="115" customWidth="1"/>
    <col min="13585" max="13585" width="14.42578125" style="115" bestFit="1" customWidth="1"/>
    <col min="13586" max="13586" width="14.42578125" style="115" customWidth="1"/>
    <col min="13587" max="13588" width="9.140625" style="115" customWidth="1"/>
    <col min="13589" max="13589" width="9.5703125" style="115" customWidth="1"/>
    <col min="13590" max="13590" width="10.7109375" style="115" bestFit="1" customWidth="1"/>
    <col min="13591" max="13591" width="12.7109375" style="115" bestFit="1" customWidth="1"/>
    <col min="13592" max="13592" width="9.5703125" style="115" customWidth="1"/>
    <col min="13593" max="13593" width="7.28515625" style="115" customWidth="1"/>
    <col min="13594" max="13594" width="7.5703125" style="115" customWidth="1"/>
    <col min="13595" max="13595" width="12.7109375" style="115" bestFit="1" customWidth="1"/>
    <col min="13596" max="13596" width="9" style="115" customWidth="1"/>
    <col min="13597" max="13597" width="9.140625" style="115" customWidth="1"/>
    <col min="13598" max="13824" width="9.140625" style="115"/>
    <col min="13825" max="13825" width="41" style="115" customWidth="1"/>
    <col min="13826" max="13826" width="18" style="115" bestFit="1" customWidth="1"/>
    <col min="13827" max="13827" width="10.140625" style="115" customWidth="1"/>
    <col min="13828" max="13828" width="10.42578125" style="115" bestFit="1" customWidth="1"/>
    <col min="13829" max="13830" width="12.42578125" style="115" customWidth="1"/>
    <col min="13831" max="13831" width="12.28515625" style="115" customWidth="1"/>
    <col min="13832" max="13833" width="12.5703125" style="115" customWidth="1"/>
    <col min="13834" max="13835" width="9.85546875" style="115" customWidth="1"/>
    <col min="13836" max="13836" width="9.42578125" style="115" customWidth="1"/>
    <col min="13837" max="13837" width="12" style="115" bestFit="1" customWidth="1"/>
    <col min="13838" max="13839" width="12" style="115" customWidth="1"/>
    <col min="13840" max="13840" width="12.7109375" style="115" customWidth="1"/>
    <col min="13841" max="13841" width="14.42578125" style="115" bestFit="1" customWidth="1"/>
    <col min="13842" max="13842" width="14.42578125" style="115" customWidth="1"/>
    <col min="13843" max="13844" width="9.140625" style="115" customWidth="1"/>
    <col min="13845" max="13845" width="9.5703125" style="115" customWidth="1"/>
    <col min="13846" max="13846" width="10.7109375" style="115" bestFit="1" customWidth="1"/>
    <col min="13847" max="13847" width="12.7109375" style="115" bestFit="1" customWidth="1"/>
    <col min="13848" max="13848" width="9.5703125" style="115" customWidth="1"/>
    <col min="13849" max="13849" width="7.28515625" style="115" customWidth="1"/>
    <col min="13850" max="13850" width="7.5703125" style="115" customWidth="1"/>
    <col min="13851" max="13851" width="12.7109375" style="115" bestFit="1" customWidth="1"/>
    <col min="13852" max="13852" width="9" style="115" customWidth="1"/>
    <col min="13853" max="13853" width="9.140625" style="115" customWidth="1"/>
    <col min="13854" max="14080" width="9.140625" style="115"/>
    <col min="14081" max="14081" width="41" style="115" customWidth="1"/>
    <col min="14082" max="14082" width="18" style="115" bestFit="1" customWidth="1"/>
    <col min="14083" max="14083" width="10.140625" style="115" customWidth="1"/>
    <col min="14084" max="14084" width="10.42578125" style="115" bestFit="1" customWidth="1"/>
    <col min="14085" max="14086" width="12.42578125" style="115" customWidth="1"/>
    <col min="14087" max="14087" width="12.28515625" style="115" customWidth="1"/>
    <col min="14088" max="14089" width="12.5703125" style="115" customWidth="1"/>
    <col min="14090" max="14091" width="9.85546875" style="115" customWidth="1"/>
    <col min="14092" max="14092" width="9.42578125" style="115" customWidth="1"/>
    <col min="14093" max="14093" width="12" style="115" bestFit="1" customWidth="1"/>
    <col min="14094" max="14095" width="12" style="115" customWidth="1"/>
    <col min="14096" max="14096" width="12.7109375" style="115" customWidth="1"/>
    <col min="14097" max="14097" width="14.42578125" style="115" bestFit="1" customWidth="1"/>
    <col min="14098" max="14098" width="14.42578125" style="115" customWidth="1"/>
    <col min="14099" max="14100" width="9.140625" style="115" customWidth="1"/>
    <col min="14101" max="14101" width="9.5703125" style="115" customWidth="1"/>
    <col min="14102" max="14102" width="10.7109375" style="115" bestFit="1" customWidth="1"/>
    <col min="14103" max="14103" width="12.7109375" style="115" bestFit="1" customWidth="1"/>
    <col min="14104" max="14104" width="9.5703125" style="115" customWidth="1"/>
    <col min="14105" max="14105" width="7.28515625" style="115" customWidth="1"/>
    <col min="14106" max="14106" width="7.5703125" style="115" customWidth="1"/>
    <col min="14107" max="14107" width="12.7109375" style="115" bestFit="1" customWidth="1"/>
    <col min="14108" max="14108" width="9" style="115" customWidth="1"/>
    <col min="14109" max="14109" width="9.140625" style="115" customWidth="1"/>
    <col min="14110" max="14336" width="9.140625" style="115"/>
    <col min="14337" max="14337" width="41" style="115" customWidth="1"/>
    <col min="14338" max="14338" width="18" style="115" bestFit="1" customWidth="1"/>
    <col min="14339" max="14339" width="10.140625" style="115" customWidth="1"/>
    <col min="14340" max="14340" width="10.42578125" style="115" bestFit="1" customWidth="1"/>
    <col min="14341" max="14342" width="12.42578125" style="115" customWidth="1"/>
    <col min="14343" max="14343" width="12.28515625" style="115" customWidth="1"/>
    <col min="14344" max="14345" width="12.5703125" style="115" customWidth="1"/>
    <col min="14346" max="14347" width="9.85546875" style="115" customWidth="1"/>
    <col min="14348" max="14348" width="9.42578125" style="115" customWidth="1"/>
    <col min="14349" max="14349" width="12" style="115" bestFit="1" customWidth="1"/>
    <col min="14350" max="14351" width="12" style="115" customWidth="1"/>
    <col min="14352" max="14352" width="12.7109375" style="115" customWidth="1"/>
    <col min="14353" max="14353" width="14.42578125" style="115" bestFit="1" customWidth="1"/>
    <col min="14354" max="14354" width="14.42578125" style="115" customWidth="1"/>
    <col min="14355" max="14356" width="9.140625" style="115" customWidth="1"/>
    <col min="14357" max="14357" width="9.5703125" style="115" customWidth="1"/>
    <col min="14358" max="14358" width="10.7109375" style="115" bestFit="1" customWidth="1"/>
    <col min="14359" max="14359" width="12.7109375" style="115" bestFit="1" customWidth="1"/>
    <col min="14360" max="14360" width="9.5703125" style="115" customWidth="1"/>
    <col min="14361" max="14361" width="7.28515625" style="115" customWidth="1"/>
    <col min="14362" max="14362" width="7.5703125" style="115" customWidth="1"/>
    <col min="14363" max="14363" width="12.7109375" style="115" bestFit="1" customWidth="1"/>
    <col min="14364" max="14364" width="9" style="115" customWidth="1"/>
    <col min="14365" max="14365" width="9.140625" style="115" customWidth="1"/>
    <col min="14366" max="14592" width="9.140625" style="115"/>
    <col min="14593" max="14593" width="41" style="115" customWidth="1"/>
    <col min="14594" max="14594" width="18" style="115" bestFit="1" customWidth="1"/>
    <col min="14595" max="14595" width="10.140625" style="115" customWidth="1"/>
    <col min="14596" max="14596" width="10.42578125" style="115" bestFit="1" customWidth="1"/>
    <col min="14597" max="14598" width="12.42578125" style="115" customWidth="1"/>
    <col min="14599" max="14599" width="12.28515625" style="115" customWidth="1"/>
    <col min="14600" max="14601" width="12.5703125" style="115" customWidth="1"/>
    <col min="14602" max="14603" width="9.85546875" style="115" customWidth="1"/>
    <col min="14604" max="14604" width="9.42578125" style="115" customWidth="1"/>
    <col min="14605" max="14605" width="12" style="115" bestFit="1" customWidth="1"/>
    <col min="14606" max="14607" width="12" style="115" customWidth="1"/>
    <col min="14608" max="14608" width="12.7109375" style="115" customWidth="1"/>
    <col min="14609" max="14609" width="14.42578125" style="115" bestFit="1" customWidth="1"/>
    <col min="14610" max="14610" width="14.42578125" style="115" customWidth="1"/>
    <col min="14611" max="14612" width="9.140625" style="115" customWidth="1"/>
    <col min="14613" max="14613" width="9.5703125" style="115" customWidth="1"/>
    <col min="14614" max="14614" width="10.7109375" style="115" bestFit="1" customWidth="1"/>
    <col min="14615" max="14615" width="12.7109375" style="115" bestFit="1" customWidth="1"/>
    <col min="14616" max="14616" width="9.5703125" style="115" customWidth="1"/>
    <col min="14617" max="14617" width="7.28515625" style="115" customWidth="1"/>
    <col min="14618" max="14618" width="7.5703125" style="115" customWidth="1"/>
    <col min="14619" max="14619" width="12.7109375" style="115" bestFit="1" customWidth="1"/>
    <col min="14620" max="14620" width="9" style="115" customWidth="1"/>
    <col min="14621" max="14621" width="9.140625" style="115" customWidth="1"/>
    <col min="14622" max="14848" width="9.140625" style="115"/>
    <col min="14849" max="14849" width="41" style="115" customWidth="1"/>
    <col min="14850" max="14850" width="18" style="115" bestFit="1" customWidth="1"/>
    <col min="14851" max="14851" width="10.140625" style="115" customWidth="1"/>
    <col min="14852" max="14852" width="10.42578125" style="115" bestFit="1" customWidth="1"/>
    <col min="14853" max="14854" width="12.42578125" style="115" customWidth="1"/>
    <col min="14855" max="14855" width="12.28515625" style="115" customWidth="1"/>
    <col min="14856" max="14857" width="12.5703125" style="115" customWidth="1"/>
    <col min="14858" max="14859" width="9.85546875" style="115" customWidth="1"/>
    <col min="14860" max="14860" width="9.42578125" style="115" customWidth="1"/>
    <col min="14861" max="14861" width="12" style="115" bestFit="1" customWidth="1"/>
    <col min="14862" max="14863" width="12" style="115" customWidth="1"/>
    <col min="14864" max="14864" width="12.7109375" style="115" customWidth="1"/>
    <col min="14865" max="14865" width="14.42578125" style="115" bestFit="1" customWidth="1"/>
    <col min="14866" max="14866" width="14.42578125" style="115" customWidth="1"/>
    <col min="14867" max="14868" width="9.140625" style="115" customWidth="1"/>
    <col min="14869" max="14869" width="9.5703125" style="115" customWidth="1"/>
    <col min="14870" max="14870" width="10.7109375" style="115" bestFit="1" customWidth="1"/>
    <col min="14871" max="14871" width="12.7109375" style="115" bestFit="1" customWidth="1"/>
    <col min="14872" max="14872" width="9.5703125" style="115" customWidth="1"/>
    <col min="14873" max="14873" width="7.28515625" style="115" customWidth="1"/>
    <col min="14874" max="14874" width="7.5703125" style="115" customWidth="1"/>
    <col min="14875" max="14875" width="12.7109375" style="115" bestFit="1" customWidth="1"/>
    <col min="14876" max="14876" width="9" style="115" customWidth="1"/>
    <col min="14877" max="14877" width="9.140625" style="115" customWidth="1"/>
    <col min="14878" max="15104" width="9.140625" style="115"/>
    <col min="15105" max="15105" width="41" style="115" customWidth="1"/>
    <col min="15106" max="15106" width="18" style="115" bestFit="1" customWidth="1"/>
    <col min="15107" max="15107" width="10.140625" style="115" customWidth="1"/>
    <col min="15108" max="15108" width="10.42578125" style="115" bestFit="1" customWidth="1"/>
    <col min="15109" max="15110" width="12.42578125" style="115" customWidth="1"/>
    <col min="15111" max="15111" width="12.28515625" style="115" customWidth="1"/>
    <col min="15112" max="15113" width="12.5703125" style="115" customWidth="1"/>
    <col min="15114" max="15115" width="9.85546875" style="115" customWidth="1"/>
    <col min="15116" max="15116" width="9.42578125" style="115" customWidth="1"/>
    <col min="15117" max="15117" width="12" style="115" bestFit="1" customWidth="1"/>
    <col min="15118" max="15119" width="12" style="115" customWidth="1"/>
    <col min="15120" max="15120" width="12.7109375" style="115" customWidth="1"/>
    <col min="15121" max="15121" width="14.42578125" style="115" bestFit="1" customWidth="1"/>
    <col min="15122" max="15122" width="14.42578125" style="115" customWidth="1"/>
    <col min="15123" max="15124" width="9.140625" style="115" customWidth="1"/>
    <col min="15125" max="15125" width="9.5703125" style="115" customWidth="1"/>
    <col min="15126" max="15126" width="10.7109375" style="115" bestFit="1" customWidth="1"/>
    <col min="15127" max="15127" width="12.7109375" style="115" bestFit="1" customWidth="1"/>
    <col min="15128" max="15128" width="9.5703125" style="115" customWidth="1"/>
    <col min="15129" max="15129" width="7.28515625" style="115" customWidth="1"/>
    <col min="15130" max="15130" width="7.5703125" style="115" customWidth="1"/>
    <col min="15131" max="15131" width="12.7109375" style="115" bestFit="1" customWidth="1"/>
    <col min="15132" max="15132" width="9" style="115" customWidth="1"/>
    <col min="15133" max="15133" width="9.140625" style="115" customWidth="1"/>
    <col min="15134" max="15360" width="9.140625" style="115"/>
    <col min="15361" max="15361" width="41" style="115" customWidth="1"/>
    <col min="15362" max="15362" width="18" style="115" bestFit="1" customWidth="1"/>
    <col min="15363" max="15363" width="10.140625" style="115" customWidth="1"/>
    <col min="15364" max="15364" width="10.42578125" style="115" bestFit="1" customWidth="1"/>
    <col min="15365" max="15366" width="12.42578125" style="115" customWidth="1"/>
    <col min="15367" max="15367" width="12.28515625" style="115" customWidth="1"/>
    <col min="15368" max="15369" width="12.5703125" style="115" customWidth="1"/>
    <col min="15370" max="15371" width="9.85546875" style="115" customWidth="1"/>
    <col min="15372" max="15372" width="9.42578125" style="115" customWidth="1"/>
    <col min="15373" max="15373" width="12" style="115" bestFit="1" customWidth="1"/>
    <col min="15374" max="15375" width="12" style="115" customWidth="1"/>
    <col min="15376" max="15376" width="12.7109375" style="115" customWidth="1"/>
    <col min="15377" max="15377" width="14.42578125" style="115" bestFit="1" customWidth="1"/>
    <col min="15378" max="15378" width="14.42578125" style="115" customWidth="1"/>
    <col min="15379" max="15380" width="9.140625" style="115" customWidth="1"/>
    <col min="15381" max="15381" width="9.5703125" style="115" customWidth="1"/>
    <col min="15382" max="15382" width="10.7109375" style="115" bestFit="1" customWidth="1"/>
    <col min="15383" max="15383" width="12.7109375" style="115" bestFit="1" customWidth="1"/>
    <col min="15384" max="15384" width="9.5703125" style="115" customWidth="1"/>
    <col min="15385" max="15385" width="7.28515625" style="115" customWidth="1"/>
    <col min="15386" max="15386" width="7.5703125" style="115" customWidth="1"/>
    <col min="15387" max="15387" width="12.7109375" style="115" bestFit="1" customWidth="1"/>
    <col min="15388" max="15388" width="9" style="115" customWidth="1"/>
    <col min="15389" max="15389" width="9.140625" style="115" customWidth="1"/>
    <col min="15390" max="15616" width="9.140625" style="115"/>
    <col min="15617" max="15617" width="41" style="115" customWidth="1"/>
    <col min="15618" max="15618" width="18" style="115" bestFit="1" customWidth="1"/>
    <col min="15619" max="15619" width="10.140625" style="115" customWidth="1"/>
    <col min="15620" max="15620" width="10.42578125" style="115" bestFit="1" customWidth="1"/>
    <col min="15621" max="15622" width="12.42578125" style="115" customWidth="1"/>
    <col min="15623" max="15623" width="12.28515625" style="115" customWidth="1"/>
    <col min="15624" max="15625" width="12.5703125" style="115" customWidth="1"/>
    <col min="15626" max="15627" width="9.85546875" style="115" customWidth="1"/>
    <col min="15628" max="15628" width="9.42578125" style="115" customWidth="1"/>
    <col min="15629" max="15629" width="12" style="115" bestFit="1" customWidth="1"/>
    <col min="15630" max="15631" width="12" style="115" customWidth="1"/>
    <col min="15632" max="15632" width="12.7109375" style="115" customWidth="1"/>
    <col min="15633" max="15633" width="14.42578125" style="115" bestFit="1" customWidth="1"/>
    <col min="15634" max="15634" width="14.42578125" style="115" customWidth="1"/>
    <col min="15635" max="15636" width="9.140625" style="115" customWidth="1"/>
    <col min="15637" max="15637" width="9.5703125" style="115" customWidth="1"/>
    <col min="15638" max="15638" width="10.7109375" style="115" bestFit="1" customWidth="1"/>
    <col min="15639" max="15639" width="12.7109375" style="115" bestFit="1" customWidth="1"/>
    <col min="15640" max="15640" width="9.5703125" style="115" customWidth="1"/>
    <col min="15641" max="15641" width="7.28515625" style="115" customWidth="1"/>
    <col min="15642" max="15642" width="7.5703125" style="115" customWidth="1"/>
    <col min="15643" max="15643" width="12.7109375" style="115" bestFit="1" customWidth="1"/>
    <col min="15644" max="15644" width="9" style="115" customWidth="1"/>
    <col min="15645" max="15645" width="9.140625" style="115" customWidth="1"/>
    <col min="15646" max="15872" width="9.140625" style="115"/>
    <col min="15873" max="15873" width="41" style="115" customWidth="1"/>
    <col min="15874" max="15874" width="18" style="115" bestFit="1" customWidth="1"/>
    <col min="15875" max="15875" width="10.140625" style="115" customWidth="1"/>
    <col min="15876" max="15876" width="10.42578125" style="115" bestFit="1" customWidth="1"/>
    <col min="15877" max="15878" width="12.42578125" style="115" customWidth="1"/>
    <col min="15879" max="15879" width="12.28515625" style="115" customWidth="1"/>
    <col min="15880" max="15881" width="12.5703125" style="115" customWidth="1"/>
    <col min="15882" max="15883" width="9.85546875" style="115" customWidth="1"/>
    <col min="15884" max="15884" width="9.42578125" style="115" customWidth="1"/>
    <col min="15885" max="15885" width="12" style="115" bestFit="1" customWidth="1"/>
    <col min="15886" max="15887" width="12" style="115" customWidth="1"/>
    <col min="15888" max="15888" width="12.7109375" style="115" customWidth="1"/>
    <col min="15889" max="15889" width="14.42578125" style="115" bestFit="1" customWidth="1"/>
    <col min="15890" max="15890" width="14.42578125" style="115" customWidth="1"/>
    <col min="15891" max="15892" width="9.140625" style="115" customWidth="1"/>
    <col min="15893" max="15893" width="9.5703125" style="115" customWidth="1"/>
    <col min="15894" max="15894" width="10.7109375" style="115" bestFit="1" customWidth="1"/>
    <col min="15895" max="15895" width="12.7109375" style="115" bestFit="1" customWidth="1"/>
    <col min="15896" max="15896" width="9.5703125" style="115" customWidth="1"/>
    <col min="15897" max="15897" width="7.28515625" style="115" customWidth="1"/>
    <col min="15898" max="15898" width="7.5703125" style="115" customWidth="1"/>
    <col min="15899" max="15899" width="12.7109375" style="115" bestFit="1" customWidth="1"/>
    <col min="15900" max="15900" width="9" style="115" customWidth="1"/>
    <col min="15901" max="15901" width="9.140625" style="115" customWidth="1"/>
    <col min="15902" max="16128" width="9.140625" style="115"/>
    <col min="16129" max="16129" width="41" style="115" customWidth="1"/>
    <col min="16130" max="16130" width="18" style="115" bestFit="1" customWidth="1"/>
    <col min="16131" max="16131" width="10.140625" style="115" customWidth="1"/>
    <col min="16132" max="16132" width="10.42578125" style="115" bestFit="1" customWidth="1"/>
    <col min="16133" max="16134" width="12.42578125" style="115" customWidth="1"/>
    <col min="16135" max="16135" width="12.28515625" style="115" customWidth="1"/>
    <col min="16136" max="16137" width="12.5703125" style="115" customWidth="1"/>
    <col min="16138" max="16139" width="9.85546875" style="115" customWidth="1"/>
    <col min="16140" max="16140" width="9.42578125" style="115" customWidth="1"/>
    <col min="16141" max="16141" width="12" style="115" bestFit="1" customWidth="1"/>
    <col min="16142" max="16143" width="12" style="115" customWidth="1"/>
    <col min="16144" max="16144" width="12.7109375" style="115" customWidth="1"/>
    <col min="16145" max="16145" width="14.42578125" style="115" bestFit="1" customWidth="1"/>
    <col min="16146" max="16146" width="14.42578125" style="115" customWidth="1"/>
    <col min="16147" max="16148" width="9.140625" style="115" customWidth="1"/>
    <col min="16149" max="16149" width="9.5703125" style="115" customWidth="1"/>
    <col min="16150" max="16150" width="10.7109375" style="115" bestFit="1" customWidth="1"/>
    <col min="16151" max="16151" width="12.7109375" style="115" bestFit="1" customWidth="1"/>
    <col min="16152" max="16152" width="9.5703125" style="115" customWidth="1"/>
    <col min="16153" max="16153" width="7.28515625" style="115" customWidth="1"/>
    <col min="16154" max="16154" width="7.5703125" style="115" customWidth="1"/>
    <col min="16155" max="16155" width="12.7109375" style="115" bestFit="1" customWidth="1"/>
    <col min="16156" max="16156" width="9" style="115" customWidth="1"/>
    <col min="16157" max="16157" width="9.140625" style="115" customWidth="1"/>
    <col min="16158" max="16384" width="9.140625" style="115"/>
  </cols>
  <sheetData>
    <row r="1" spans="1:28" s="110" customFormat="1" ht="42.75" customHeight="1" thickBot="1" x14ac:dyDescent="0.3">
      <c r="A1" s="219" t="s">
        <v>292</v>
      </c>
      <c r="B1" s="220"/>
      <c r="C1" s="220"/>
      <c r="D1" s="220"/>
      <c r="E1" s="220"/>
      <c r="F1" s="220"/>
      <c r="G1" s="220"/>
      <c r="H1" s="221"/>
      <c r="I1" s="107"/>
      <c r="J1" s="108"/>
      <c r="K1" s="108"/>
      <c r="L1" s="108"/>
      <c r="M1" s="108"/>
      <c r="N1" s="108"/>
      <c r="O1" s="108"/>
      <c r="P1" s="109"/>
      <c r="Q1" s="109"/>
      <c r="R1" s="109"/>
      <c r="S1" s="109"/>
    </row>
    <row r="2" spans="1:28" ht="21.75" customHeight="1" thickBot="1" x14ac:dyDescent="0.25">
      <c r="A2" s="111" t="s">
        <v>136</v>
      </c>
      <c r="B2" s="222">
        <v>46143</v>
      </c>
      <c r="C2" s="223"/>
      <c r="D2" s="223"/>
      <c r="E2" s="223"/>
      <c r="F2" s="223"/>
      <c r="G2" s="223"/>
      <c r="H2" s="224"/>
      <c r="I2" s="112"/>
      <c r="J2" s="113"/>
      <c r="K2" s="113"/>
      <c r="L2" s="113"/>
      <c r="M2" s="113"/>
      <c r="N2" s="113"/>
      <c r="O2" s="113"/>
      <c r="P2" s="114"/>
      <c r="Q2" s="114"/>
      <c r="R2" s="114"/>
      <c r="S2" s="114"/>
    </row>
    <row r="3" spans="1:28" ht="114.75" customHeight="1" thickBot="1" x14ac:dyDescent="0.25">
      <c r="A3" s="116" t="s">
        <v>259</v>
      </c>
      <c r="B3" s="225" t="s">
        <v>291</v>
      </c>
      <c r="C3" s="226"/>
      <c r="D3" s="226"/>
      <c r="E3" s="226"/>
      <c r="F3" s="226"/>
      <c r="G3" s="226"/>
      <c r="H3" s="227"/>
      <c r="I3" s="117"/>
      <c r="J3" s="118"/>
      <c r="K3" s="118"/>
      <c r="L3" s="118"/>
      <c r="M3" s="118"/>
      <c r="N3" s="118"/>
      <c r="O3" s="118"/>
      <c r="P3" s="118"/>
      <c r="Q3" s="118"/>
      <c r="R3" s="119"/>
      <c r="S3" s="119"/>
    </row>
    <row r="4" spans="1:28" ht="27" customHeight="1" thickBot="1" x14ac:dyDescent="0.25">
      <c r="A4" s="228" t="s">
        <v>260</v>
      </c>
      <c r="B4" s="228"/>
      <c r="C4" s="228"/>
      <c r="D4" s="228"/>
      <c r="E4" s="228"/>
      <c r="F4" s="228"/>
      <c r="G4" s="228"/>
      <c r="H4" s="228"/>
      <c r="I4" s="120"/>
      <c r="J4" s="121"/>
      <c r="K4" s="121"/>
      <c r="L4" s="121"/>
      <c r="M4" s="121"/>
      <c r="N4" s="121"/>
      <c r="O4" s="121"/>
      <c r="P4" s="121"/>
      <c r="Q4" s="121"/>
      <c r="R4" s="122"/>
      <c r="S4" s="122"/>
    </row>
    <row r="5" spans="1:28" x14ac:dyDescent="0.2">
      <c r="A5" s="229" t="s">
        <v>261</v>
      </c>
      <c r="B5" s="230"/>
      <c r="C5" s="230"/>
      <c r="D5" s="230"/>
      <c r="E5" s="230"/>
      <c r="F5" s="230"/>
      <c r="G5" s="230"/>
      <c r="H5" s="231"/>
      <c r="I5" s="123"/>
      <c r="J5" s="121"/>
      <c r="K5" s="121"/>
      <c r="L5" s="121"/>
      <c r="M5" s="121"/>
      <c r="N5" s="121"/>
      <c r="O5" s="121"/>
      <c r="P5" s="121"/>
      <c r="Q5" s="121"/>
      <c r="R5" s="122"/>
      <c r="S5" s="122"/>
    </row>
    <row r="6" spans="1:28" ht="13.5" thickBot="1" x14ac:dyDescent="0.25">
      <c r="A6" s="232"/>
      <c r="B6" s="233"/>
      <c r="C6" s="233"/>
      <c r="D6" s="233"/>
      <c r="E6" s="233"/>
      <c r="F6" s="233"/>
      <c r="G6" s="233"/>
      <c r="H6" s="234"/>
      <c r="I6" s="123"/>
      <c r="J6" s="121"/>
      <c r="K6" s="121"/>
      <c r="L6" s="121"/>
      <c r="M6" s="121"/>
      <c r="N6" s="121"/>
      <c r="O6" s="121"/>
      <c r="P6" s="121"/>
      <c r="Q6" s="121"/>
      <c r="R6" s="122"/>
      <c r="S6" s="122"/>
    </row>
    <row r="7" spans="1:28" x14ac:dyDescent="0.2">
      <c r="A7" s="123"/>
      <c r="B7" s="123"/>
      <c r="C7" s="123"/>
      <c r="D7" s="123"/>
      <c r="E7" s="123"/>
      <c r="F7" s="123"/>
      <c r="G7" s="123"/>
      <c r="H7" s="123"/>
      <c r="I7" s="123"/>
      <c r="J7" s="121"/>
      <c r="K7" s="121"/>
      <c r="L7" s="121"/>
      <c r="M7" s="121"/>
      <c r="N7" s="121"/>
      <c r="O7" s="121"/>
      <c r="P7" s="121"/>
      <c r="Q7" s="121"/>
      <c r="R7" s="122"/>
      <c r="S7" s="122"/>
    </row>
    <row r="8" spans="1:28" x14ac:dyDescent="0.2">
      <c r="A8" s="124" t="s">
        <v>262</v>
      </c>
      <c r="B8" s="125" t="s">
        <v>263</v>
      </c>
      <c r="C8" s="123"/>
      <c r="D8" s="123"/>
      <c r="E8" s="123"/>
      <c r="F8" s="123"/>
      <c r="G8" s="123"/>
      <c r="H8" s="123"/>
      <c r="I8" s="123"/>
      <c r="J8" s="126"/>
      <c r="K8" s="126"/>
      <c r="L8" s="126"/>
      <c r="M8" s="126"/>
      <c r="N8" s="126"/>
      <c r="O8" s="126"/>
      <c r="P8" s="126"/>
      <c r="Q8" s="126"/>
      <c r="R8" s="126"/>
      <c r="S8" s="126"/>
    </row>
    <row r="9" spans="1:28" ht="25.5" x14ac:dyDescent="0.2">
      <c r="A9" s="127" t="str">
        <f>'AUTO CALCULATION SHEET (2)'!D21</f>
        <v>ACSR : RABBIT CONDUCTOR - 50 SQ. MM. (6/1/3.35) (XLPE INSULATED)</v>
      </c>
      <c r="B9" s="128">
        <f>'AUTO CALCULATION SHEET (2)'!E21</f>
        <v>100000.00000000004</v>
      </c>
      <c r="C9" s="123"/>
      <c r="D9" s="123"/>
      <c r="E9" s="123"/>
      <c r="F9" s="123"/>
      <c r="G9" s="123"/>
      <c r="H9" s="123"/>
      <c r="I9" s="123"/>
      <c r="J9" s="126"/>
      <c r="K9" s="126"/>
      <c r="L9" s="126"/>
      <c r="M9" s="126"/>
      <c r="N9" s="126"/>
      <c r="O9" s="126"/>
      <c r="P9" s="126"/>
      <c r="Q9" s="126"/>
      <c r="R9" s="126"/>
      <c r="S9" s="126"/>
    </row>
    <row r="10" spans="1:28" ht="25.5" customHeight="1" x14ac:dyDescent="0.2">
      <c r="C10" s="123"/>
      <c r="D10" s="123"/>
      <c r="E10" s="123"/>
      <c r="F10" s="123"/>
      <c r="G10" s="123"/>
      <c r="H10" s="123"/>
      <c r="I10" s="123"/>
      <c r="J10" s="129"/>
      <c r="K10" s="129"/>
      <c r="L10" s="129"/>
      <c r="M10" s="129"/>
      <c r="N10" s="129"/>
      <c r="O10" s="129"/>
      <c r="P10" s="130"/>
      <c r="Q10" s="130"/>
      <c r="R10" s="130"/>
      <c r="S10" s="130"/>
    </row>
    <row r="11" spans="1:28" ht="13.5" thickBot="1" x14ac:dyDescent="0.25">
      <c r="C11" s="113"/>
      <c r="D11" s="131"/>
      <c r="E11" s="129"/>
      <c r="F11" s="129"/>
      <c r="G11" s="129"/>
      <c r="H11" s="129"/>
      <c r="I11" s="129"/>
      <c r="J11" s="129"/>
      <c r="K11" s="129"/>
      <c r="L11" s="129"/>
      <c r="M11" s="129"/>
      <c r="N11" s="129"/>
      <c r="O11" s="129"/>
      <c r="P11" s="114"/>
      <c r="Q11" s="114"/>
      <c r="R11" s="114"/>
      <c r="S11" s="114"/>
    </row>
    <row r="12" spans="1:28" ht="12.75" customHeight="1" x14ac:dyDescent="0.2">
      <c r="A12" s="208" t="s">
        <v>262</v>
      </c>
      <c r="B12" s="211" t="s">
        <v>264</v>
      </c>
      <c r="C12" s="213" t="s">
        <v>265</v>
      </c>
      <c r="D12" s="216" t="s">
        <v>266</v>
      </c>
      <c r="E12" s="217"/>
      <c r="F12" s="218"/>
      <c r="G12" s="216" t="s">
        <v>85</v>
      </c>
      <c r="H12" s="217"/>
      <c r="I12" s="218"/>
      <c r="J12" s="248" t="s">
        <v>267</v>
      </c>
      <c r="K12" s="213"/>
      <c r="L12" s="249" t="s">
        <v>268</v>
      </c>
      <c r="M12" s="250" t="s">
        <v>269</v>
      </c>
      <c r="N12" s="250" t="s">
        <v>270</v>
      </c>
      <c r="O12" s="250" t="s">
        <v>271</v>
      </c>
      <c r="P12" s="250" t="s">
        <v>272</v>
      </c>
      <c r="Q12" s="238" t="s">
        <v>273</v>
      </c>
      <c r="R12" s="239"/>
      <c r="S12" s="239"/>
      <c r="T12" s="239"/>
      <c r="U12" s="239"/>
      <c r="V12" s="239"/>
      <c r="W12" s="239"/>
      <c r="X12" s="239"/>
      <c r="Y12" s="239"/>
      <c r="Z12" s="239"/>
      <c r="AA12" s="239"/>
      <c r="AB12" s="240"/>
    </row>
    <row r="13" spans="1:28" ht="13.5" thickBot="1" x14ac:dyDescent="0.25">
      <c r="A13" s="209"/>
      <c r="B13" s="212"/>
      <c r="C13" s="214"/>
      <c r="D13" s="244" t="s">
        <v>274</v>
      </c>
      <c r="E13" s="245" t="s">
        <v>275</v>
      </c>
      <c r="F13" s="245" t="s">
        <v>276</v>
      </c>
      <c r="G13" s="246" t="s">
        <v>274</v>
      </c>
      <c r="H13" s="245" t="s">
        <v>277</v>
      </c>
      <c r="I13" s="245" t="s">
        <v>278</v>
      </c>
      <c r="J13" s="247"/>
      <c r="K13" s="215"/>
      <c r="L13" s="244"/>
      <c r="M13" s="245"/>
      <c r="N13" s="245"/>
      <c r="O13" s="245"/>
      <c r="P13" s="245"/>
      <c r="Q13" s="241"/>
      <c r="R13" s="242"/>
      <c r="S13" s="242"/>
      <c r="T13" s="242"/>
      <c r="U13" s="242"/>
      <c r="V13" s="242"/>
      <c r="W13" s="242"/>
      <c r="X13" s="242"/>
      <c r="Y13" s="242"/>
      <c r="Z13" s="242"/>
      <c r="AA13" s="242"/>
      <c r="AB13" s="243"/>
    </row>
    <row r="14" spans="1:28" ht="25.5" customHeight="1" thickBot="1" x14ac:dyDescent="0.25">
      <c r="A14" s="210"/>
      <c r="B14" s="212"/>
      <c r="C14" s="215"/>
      <c r="D14" s="244"/>
      <c r="E14" s="245"/>
      <c r="F14" s="245"/>
      <c r="G14" s="247"/>
      <c r="H14" s="245"/>
      <c r="I14" s="245"/>
      <c r="J14" s="132" t="s">
        <v>279</v>
      </c>
      <c r="K14" s="132" t="s">
        <v>280</v>
      </c>
      <c r="L14" s="244"/>
      <c r="M14" s="245"/>
      <c r="N14" s="245"/>
      <c r="O14" s="245"/>
      <c r="P14" s="245"/>
      <c r="Q14" s="133" t="str">
        <f>'AUTO CALCULATION SHEET (2)'!O19</f>
        <v>Alumimium</v>
      </c>
      <c r="R14" s="133" t="str">
        <f>'AUTO CALCULATION SHEET (2)'!AJ19</f>
        <v>LT-XLPE</v>
      </c>
      <c r="S14" s="134" t="str">
        <f>'AUTO CALCULATION SHEET (2)'!BB19</f>
        <v>ACSR CORE WIRE</v>
      </c>
      <c r="T14" s="135" t="s">
        <v>281</v>
      </c>
      <c r="U14" s="135" t="s">
        <v>282</v>
      </c>
      <c r="V14" s="135" t="s">
        <v>283</v>
      </c>
      <c r="W14" s="135" t="s">
        <v>284</v>
      </c>
      <c r="X14" s="133" t="s">
        <v>285</v>
      </c>
      <c r="Y14" s="136" t="s">
        <v>286</v>
      </c>
      <c r="Z14" s="136" t="s">
        <v>287</v>
      </c>
      <c r="AA14" s="136" t="s">
        <v>288</v>
      </c>
      <c r="AB14" s="137" t="s">
        <v>289</v>
      </c>
    </row>
    <row r="15" spans="1:28" x14ac:dyDescent="0.2">
      <c r="A15" s="138"/>
      <c r="B15" s="139"/>
      <c r="C15" s="140"/>
      <c r="D15" s="141"/>
      <c r="E15" s="142"/>
      <c r="F15" s="143"/>
      <c r="G15" s="144"/>
      <c r="H15" s="143"/>
      <c r="I15" s="143"/>
      <c r="J15" s="145"/>
      <c r="K15" s="145"/>
      <c r="L15" s="145"/>
      <c r="M15" s="146"/>
      <c r="N15" s="146"/>
      <c r="O15" s="147"/>
      <c r="P15" s="147"/>
      <c r="Q15" s="148">
        <v>408</v>
      </c>
      <c r="R15" s="149">
        <v>147</v>
      </c>
      <c r="S15" s="149">
        <v>83</v>
      </c>
      <c r="T15" s="150"/>
      <c r="U15" s="150"/>
      <c r="V15" s="150"/>
      <c r="W15" s="150"/>
      <c r="X15" s="151"/>
      <c r="Y15" s="152"/>
      <c r="Z15" s="153"/>
      <c r="AA15" s="152"/>
      <c r="AB15" s="154"/>
    </row>
    <row r="16" spans="1:28" s="167" customFormat="1" ht="33.75" customHeight="1" thickBot="1" x14ac:dyDescent="0.25">
      <c r="A16" s="155" t="str">
        <f>A9</f>
        <v>ACSR : RABBIT CONDUCTOR - 50 SQ. MM. (6/1/3.35) (XLPE INSULATED)</v>
      </c>
      <c r="B16" s="156"/>
      <c r="C16" s="157" t="s">
        <v>290</v>
      </c>
      <c r="D16" s="158">
        <v>46181</v>
      </c>
      <c r="E16" s="179">
        <v>451350.5</v>
      </c>
      <c r="F16" s="178">
        <v>169250</v>
      </c>
      <c r="G16" s="158">
        <f>$B$2</f>
        <v>46143</v>
      </c>
      <c r="H16" s="178">
        <v>437550</v>
      </c>
      <c r="I16" s="178">
        <v>169250</v>
      </c>
      <c r="J16" s="159">
        <v>0.14499999999999999</v>
      </c>
      <c r="K16" s="159">
        <v>6.9000000000000006E-2</v>
      </c>
      <c r="L16" s="180">
        <f>B9</f>
        <v>100000.00000000004</v>
      </c>
      <c r="M16" s="181">
        <f>J16*(E16-H16)</f>
        <v>2001.0724999999998</v>
      </c>
      <c r="N16" s="181">
        <f>K16*(F16-I16)</f>
        <v>0</v>
      </c>
      <c r="O16" s="182">
        <f>M16+N16</f>
        <v>2001.0724999999998</v>
      </c>
      <c r="P16" s="183">
        <f>L16+O16</f>
        <v>102001.07250000004</v>
      </c>
      <c r="Q16" s="160">
        <f>'AUTO CALCULATION SHEET (2)'!O21</f>
        <v>145</v>
      </c>
      <c r="R16" s="161">
        <f>'AUTO CALCULATION SHEET (2)'!AJ21</f>
        <v>56</v>
      </c>
      <c r="S16" s="161">
        <f>'AUTO CALCULATION SHEET (2)'!BB21</f>
        <v>69</v>
      </c>
      <c r="T16" s="162">
        <f>SUMPRODUCT($Q$15:$S$15,Q16:S16)</f>
        <v>73119</v>
      </c>
      <c r="U16" s="163">
        <f>'AUTO CALCULATION SHEET (2)'!CL21</f>
        <v>964.66666666666663</v>
      </c>
      <c r="V16" s="162">
        <f>T16+U16</f>
        <v>74083.666666666672</v>
      </c>
      <c r="W16" s="163">
        <f>+P16-V16</f>
        <v>27917.405833333367</v>
      </c>
      <c r="X16" s="164">
        <f>W16/V16*100%</f>
        <v>0.3768361784648892</v>
      </c>
      <c r="Y16" s="165"/>
      <c r="Z16" s="165">
        <v>0.02</v>
      </c>
      <c r="AA16" s="165">
        <v>0.02</v>
      </c>
      <c r="AB16" s="166">
        <f>X16-SUM(Y16:AA16)</f>
        <v>0.33683617846488922</v>
      </c>
    </row>
    <row r="17" spans="1:28" s="167" customFormat="1" ht="15.75" customHeight="1" thickBot="1" x14ac:dyDescent="0.25">
      <c r="A17" s="168"/>
      <c r="B17" s="168"/>
      <c r="C17" s="169"/>
      <c r="D17" s="170"/>
      <c r="E17" s="171"/>
      <c r="F17" s="172"/>
      <c r="G17" s="173"/>
      <c r="H17" s="174"/>
      <c r="I17" s="174"/>
      <c r="J17" s="173"/>
      <c r="K17" s="173"/>
      <c r="L17" s="173"/>
      <c r="M17" s="175"/>
      <c r="N17" s="175"/>
      <c r="O17" s="175"/>
      <c r="P17" s="176"/>
      <c r="Q17" s="235"/>
      <c r="R17" s="236"/>
      <c r="S17" s="236"/>
      <c r="T17" s="236"/>
      <c r="U17" s="236"/>
      <c r="V17" s="236"/>
      <c r="W17" s="236"/>
      <c r="X17" s="236"/>
      <c r="Y17" s="236"/>
      <c r="Z17" s="236"/>
      <c r="AA17" s="236"/>
      <c r="AB17" s="237"/>
    </row>
    <row r="18" spans="1:28" x14ac:dyDescent="0.2">
      <c r="E18" s="177"/>
      <c r="F18" s="177"/>
    </row>
  </sheetData>
  <mergeCells count="24">
    <mergeCell ref="Q17:AB17"/>
    <mergeCell ref="Q12:AB13"/>
    <mergeCell ref="D13:D14"/>
    <mergeCell ref="E13:E14"/>
    <mergeCell ref="F13:F14"/>
    <mergeCell ref="G13:G14"/>
    <mergeCell ref="H13:H14"/>
    <mergeCell ref="I13:I14"/>
    <mergeCell ref="J12:K13"/>
    <mergeCell ref="L12:L14"/>
    <mergeCell ref="M12:M14"/>
    <mergeCell ref="N12:N14"/>
    <mergeCell ref="O12:O14"/>
    <mergeCell ref="P12:P14"/>
    <mergeCell ref="A1:H1"/>
    <mergeCell ref="B2:H2"/>
    <mergeCell ref="B3:H3"/>
    <mergeCell ref="A4:H4"/>
    <mergeCell ref="A5:H6"/>
    <mergeCell ref="A12:A14"/>
    <mergeCell ref="B12:B14"/>
    <mergeCell ref="C12:C14"/>
    <mergeCell ref="D12:F12"/>
    <mergeCell ref="G12:I1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2026-06-10T09:43:28Z</dcterms:modified>
</cp:coreProperties>
</file>