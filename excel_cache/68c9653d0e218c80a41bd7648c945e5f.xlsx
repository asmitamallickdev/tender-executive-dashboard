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2_DECEMBER 2023\KESCO-ACSRDOG-11788\"/>
    </mc:Choice>
  </mc:AlternateContent>
  <xr:revisionPtr revIDLastSave="0" documentId="13_ncr:1_{768C23D1-3563-4F01-BB76-6384A267523F}" xr6:coauthVersionLast="47" xr6:coauthVersionMax="47" xr10:uidLastSave="{00000000-0000-0000-0000-000000000000}"/>
  <bookViews>
    <workbookView xWindow="360" yWindow="6420" windowWidth="28800" windowHeight="9435" firstSheet="1" activeTab="1" xr2:uid="{00000000-000D-0000-FFFF-FFFF00000000}"/>
  </bookViews>
  <sheets>
    <sheet name="Sheet1" sheetId="1" state="hidden" r:id="rId1"/>
    <sheet name="AUTO CALCULATION SHEET (3)" sheetId="7" r:id="rId2"/>
    <sheet name="CONDUCTOR"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7" i="6" l="1"/>
  <c r="V17" i="6"/>
  <c r="U17" i="6"/>
  <c r="S17" i="6"/>
  <c r="P17" i="6"/>
  <c r="O17" i="6"/>
  <c r="N17" i="6"/>
  <c r="M17" i="6"/>
  <c r="A10" i="6"/>
  <c r="T17" i="6"/>
  <c r="R17" i="6"/>
  <c r="Q17" i="6"/>
  <c r="R15" i="6"/>
  <c r="Q15" i="6"/>
  <c r="J21" i="7"/>
  <c r="CB18" i="7"/>
  <c r="BZ18" i="7"/>
  <c r="BY18" i="7"/>
  <c r="BV18" i="7"/>
  <c r="BU18" i="7"/>
  <c r="BT18" i="7"/>
  <c r="BS18" i="7"/>
  <c r="BR18" i="7"/>
  <c r="BQ18" i="7"/>
  <c r="BP18" i="7"/>
  <c r="BO18" i="7"/>
  <c r="BN18" i="7"/>
  <c r="BM18" i="7"/>
  <c r="BL18" i="7"/>
  <c r="BK18" i="7"/>
  <c r="BJ18" i="7"/>
  <c r="BI18" i="7"/>
  <c r="BH18" i="7"/>
  <c r="BG18" i="7"/>
  <c r="BF18" i="7"/>
  <c r="BE18" i="7"/>
  <c r="BD18" i="7"/>
  <c r="BC18" i="7"/>
  <c r="BB18" i="7"/>
  <c r="BA18" i="7"/>
  <c r="AZ18" i="7"/>
  <c r="AY18" i="7"/>
  <c r="AX18" i="7"/>
  <c r="AW18" i="7"/>
  <c r="AV18" i="7"/>
  <c r="AU18" i="7"/>
  <c r="AT18" i="7"/>
  <c r="AS18" i="7"/>
  <c r="AR18"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Q18" i="7"/>
  <c r="P18" i="7"/>
  <c r="O18" i="7"/>
  <c r="L18" i="7"/>
  <c r="E21" i="7"/>
  <c r="K21" i="7" s="1"/>
  <c r="M21" i="7" s="1"/>
  <c r="H18" i="7"/>
  <c r="D18" i="7"/>
  <c r="C18" i="7"/>
  <c r="B18" i="7"/>
  <c r="A18" i="7"/>
  <c r="BU17" i="7"/>
  <c r="BT17" i="7"/>
  <c r="BS17" i="7"/>
  <c r="BR17" i="7"/>
  <c r="BQ17" i="7"/>
  <c r="BP17" i="7"/>
  <c r="BO17" i="7"/>
  <c r="BN17" i="7"/>
  <c r="BM17" i="7"/>
  <c r="BL17" i="7"/>
  <c r="BK17" i="7"/>
  <c r="BJ17" i="7"/>
  <c r="BI17" i="7"/>
  <c r="BH17" i="7"/>
  <c r="BG17" i="7"/>
  <c r="BF17" i="7"/>
  <c r="BE17" i="7"/>
  <c r="BD17" i="7"/>
  <c r="BC17" i="7"/>
  <c r="BB17" i="7"/>
  <c r="BA17" i="7"/>
  <c r="AZ17" i="7"/>
  <c r="AY17" i="7"/>
  <c r="AX17" i="7"/>
  <c r="AW17" i="7"/>
  <c r="AV17" i="7"/>
  <c r="AU17" i="7"/>
  <c r="AS17" i="7"/>
  <c r="AR17"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P17" i="7"/>
  <c r="O17" i="7"/>
  <c r="CA18" i="7" s="1"/>
  <c r="BY16" i="7"/>
  <c r="BX16" i="7"/>
  <c r="BW16" i="7"/>
  <c r="BV16" i="7"/>
  <c r="B16" i="7"/>
  <c r="N15" i="7"/>
  <c r="L21" i="7" l="1"/>
  <c r="F18" i="7"/>
  <c r="CG18" i="7"/>
  <c r="CE18" i="7"/>
  <c r="CC18" i="7"/>
  <c r="CH18" i="7" l="1"/>
  <c r="CL18" i="7" s="1"/>
  <c r="G17" i="6"/>
  <c r="CJ18" i="7" l="1"/>
  <c r="E18" i="7"/>
  <c r="G18" i="7" s="1"/>
  <c r="I18" i="7" s="1"/>
  <c r="J18" i="7" s="1"/>
  <c r="M18" i="7" s="1"/>
  <c r="B10" i="6"/>
  <c r="L17" i="6" s="1"/>
  <c r="A17" i="6" l="1"/>
  <c r="AA17"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 authorId="0" shapeId="0" xr:uid="{C0DF0CF0-82DD-4345-86B6-64B283E8907B}">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<sst xmlns="http://schemas.openxmlformats.org/spreadsheetml/2006/main" count="287" uniqueCount="223">
  <si>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</si>
  <si>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</si>
  <si>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</si>
  <si>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</si>
  <si>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</si>
  <si>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</si>
  <si>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</si>
  <si>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</si>
  <si>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</si>
  <si>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</si>
  <si>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</si>
  <si>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</si>
  <si>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</si>
  <si>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</si>
  <si>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</si>
  <si>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</si>
  <si>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</si>
  <si>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</si>
  <si>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</si>
  <si>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</si>
  <si>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</si>
  <si>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</si>
  <si>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</si>
  <si>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</si>
  <si>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</si>
  <si>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</si>
  <si>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</si>
  <si>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</si>
  <si>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</si>
  <si>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</si>
  <si>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</si>
  <si>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</si>
  <si>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</si>
  <si>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</si>
  <si>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</si>
  <si>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</si>
  <si>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</si>
  <si>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</si>
  <si>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</si>
  <si>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</si>
  <si>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</si>
  <si>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</si>
  <si>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</si>
  <si>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</si>
  <si>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</si>
  <si>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</si>
  <si>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</si>
  <si>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</si>
  <si>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</si>
  <si>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</si>
  <si>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</si>
  <si>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</si>
  <si>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</si>
  <si>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</si>
  <si>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</si>
  <si>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</si>
  <si>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</si>
  <si>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</si>
  <si>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</si>
  <si>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</si>
  <si>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</si>
  <si>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</si>
  <si>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</si>
  <si>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</si>
  <si>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</si>
  <si>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</si>
  <si>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</si>
  <si>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</si>
  <si>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</si>
  <si>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</si>
  <si>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</si>
  <si>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</si>
  <si>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</si>
  <si>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</si>
  <si>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</si>
  <si>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</si>
  <si>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</si>
  <si>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</si>
  <si>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</si>
  <si>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</si>
  <si>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</si>
  <si>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</si>
  <si>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</si>
  <si>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</si>
  <si>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</si>
  <si>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</si>
  <si>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</si>
  <si>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</si>
  <si>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</si>
  <si>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</si>
  <si>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</si>
  <si>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</si>
  <si>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</si>
  <si>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</si>
  <si>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</si>
  <si>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</si>
  <si>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</si>
  <si>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</si>
  <si>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</si>
  <si>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</si>
  <si>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</si>
  <si>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</si>
  <si>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</si>
  <si>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</si>
  <si>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</si>
  <si>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</si>
  <si>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</si>
  <si>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</si>
  <si>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</si>
  <si>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</si>
  <si>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</si>
  <si>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</si>
  <si>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</si>
  <si>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</si>
  <si>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</si>
  <si>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</si>
  <si>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</si>
  <si>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</si>
  <si>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</si>
  <si>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</si>
  <si>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</si>
  <si>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</si>
  <si>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</si>
  <si>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</si>
  <si>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</si>
  <si>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</si>
  <si>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</si>
  <si>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</si>
  <si>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</si>
  <si>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</si>
  <si>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</si>
  <si>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</si>
  <si>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</si>
  <si>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</si>
  <si>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</si>
  <si>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</si>
  <si>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</si>
  <si>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</si>
  <si>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</si>
  <si>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Not Mention.</t>
  </si>
  <si>
    <t>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</si>
  <si>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</si>
  <si>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standard length for each type of ACSR Dog Conductor shall be as given below
Item                                  Standard length                                Non standard length
ACSR Dog                       2.50 KM.                                               1.00 K.M. (Minimum for Last drum)</t>
  </si>
  <si>
    <t>The conductor shall be supplied on strong non-returnable wooden drum so that it is not damaged during, during transit and can withstand all the transit and weather hazards. The Supplier/manufacturer shall be responsible for any damage in the material during transit due to improper/inadequate packing. The drum shall be painted on the inside and outside with Aluminum paints and fitted with strong cast iron bushings. All 
drums shall have layer of a water proof paper under the lagging. The conductor drums shall conform to IS: 1778/1980. The drums shall be strapped with steel wire. Each drum shall have the following information marked on it with indelible ink alongwith other essential data.</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</si>
  <si>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</si>
  <si>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</si>
  <si>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</si>
  <si>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</si>
  <si>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</si>
  <si>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</si>
  <si>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</si>
  <si>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</si>
  <si>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</si>
  <si>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</si>
  <si>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</si>
  <si>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</si>
  <si>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</si>
  <si>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</si>
  <si>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</si>
  <si>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</si>
  <si>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</si>
  <si>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</si>
  <si>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</si>
  <si>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FC6200002</t>
  </si>
  <si>
    <t>ACSR : DOG CONDUCTOR - 100 SQ. MM. (6/4.72/7/1.57)</t>
  </si>
  <si>
    <t>WOOD</t>
  </si>
  <si>
    <t>KMS</t>
  </si>
  <si>
    <t>MD0100015</t>
  </si>
  <si>
    <t>DRUM - 48 X 20 X 28 X 2.25 - RDSO</t>
  </si>
  <si>
    <t>MD0100013</t>
  </si>
  <si>
    <t>1220 X 600 X 710</t>
  </si>
  <si>
    <t xml:space="preserve">PV Terms </t>
  </si>
  <si>
    <t>PV FORMULA</t>
  </si>
  <si>
    <t>P=Po + W (Al - Alo) + Fe (fe-feo)</t>
  </si>
  <si>
    <t>W</t>
  </si>
  <si>
    <t>Aluminium Conductor factor</t>
  </si>
  <si>
    <t>Fe</t>
  </si>
  <si>
    <t>galvanized steel wire factor</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</si>
  <si>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</si>
  <si>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</si>
  <si>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</si>
  <si>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</si>
  <si>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</si>
  <si>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</si>
  <si>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</si>
  <si>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</si>
  <si>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</si>
  <si>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</si>
  <si>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</si>
  <si>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</si>
  <si>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</si>
  <si>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</si>
  <si>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</si>
  <si>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</si>
  <si>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</si>
  <si>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</si>
  <si>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RMC</t>
  </si>
  <si>
    <t>Drum</t>
  </si>
  <si>
    <t>RMC+DRUM</t>
  </si>
  <si>
    <t>VA</t>
  </si>
  <si>
    <t>Groos VA%</t>
  </si>
  <si>
    <t>Mfg %</t>
  </si>
  <si>
    <t>Int %</t>
  </si>
  <si>
    <t>Ins%</t>
  </si>
  <si>
    <t>Net VA</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</si>
  <si>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</si>
  <si>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</si>
  <si>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</si>
  <si>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</si>
  <si>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</si>
  <si>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</si>
  <si>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</si>
  <si>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</si>
  <si>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</si>
  <si>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</si>
  <si>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96/23-24</t>
  </si>
  <si>
    <t>Supply of ACSR Dog Conductor</t>
  </si>
  <si>
    <t>11.12.2023 &amp; 12:00 PM.</t>
  </si>
  <si>
    <t>The prices will be variable and as per CACMAI Date 01.11.2023.</t>
  </si>
  <si>
    <t>ENQ-11788-22-23</t>
  </si>
  <si>
    <t>01.11.2023</t>
  </si>
  <si>
    <t>The prices will be variable and as per CACMAI Based dated 01.11.2023</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</si>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</sst>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quot;Rs.&quot;#,##0.00"/>
    <numFmt numFmtId="172"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0"/>
      <name val="Verdana"/>
      <family val="2"/>
    </font>
    <font>
      <sz val="10"/>
      <name val="Calibri"/>
      <family val="2"/>
      <scheme val="minor"/>
    </font>
    <font>
      <b/>
      <sz val="11"/>
      <name val="Calibri"/>
      <family val="2"/>
      <scheme val="minor"/>
    </font>
    <font>
      <b/>
      <sz val="10"/>
      <name val="Calibri"/>
      <family val="2"/>
      <scheme val="minor"/>
    </font>
    <font>
      <sz val="12"/>
      <name val="Calibri"/>
      <family val="2"/>
      <scheme val="minor"/>
    </font>
    <font>
      <b/>
      <sz val="10"/>
      <name val="Arial"/>
      <family val="2"/>
    </font>
    <font>
      <b/>
      <sz val="9"/>
      <color indexed="81"/>
      <name val="Tahoma"/>
      <family val="2"/>
    </font>
    <font>
      <sz val="9"/>
      <color indexed="81"/>
      <name val="Tahoma"/>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5" tint="0.39997558519241921"/>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197">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Alignment="1">
      <alignment vertical="center" wrapText="1"/>
    </xf>
    <xf numFmtId="0" fontId="13" fillId="0" borderId="7" xfId="4" applyFont="1" applyBorder="1" applyAlignment="1">
      <alignment horizontal="center" vertical="center"/>
    </xf>
    <xf numFmtId="0" fontId="11" fillId="0" borderId="0" xfId="4" applyAlignment="1">
      <alignment horizontal="left"/>
    </xf>
    <xf numFmtId="0" fontId="14" fillId="0" borderId="0" xfId="4" applyFont="1" applyAlignment="1">
      <alignment horizontal="center"/>
    </xf>
    <xf numFmtId="0" fontId="14" fillId="0" borderId="0" xfId="6" applyFont="1"/>
    <xf numFmtId="0" fontId="11" fillId="0" borderId="0" xfId="4"/>
    <xf numFmtId="0" fontId="15" fillId="0" borderId="10" xfId="4" applyFont="1" applyBorder="1" applyAlignment="1">
      <alignment horizontal="center" vertical="center" wrapText="1"/>
    </xf>
    <xf numFmtId="0" fontId="14" fillId="0" borderId="0" xfId="4" applyFont="1" applyAlignment="1">
      <alignment horizontal="center" vertical="center" wrapText="1"/>
    </xf>
    <xf numFmtId="0" fontId="3" fillId="0" borderId="0" xfId="4" applyFont="1" applyAlignment="1">
      <alignment vertical="center"/>
    </xf>
    <xf numFmtId="0" fontId="3" fillId="0" borderId="0" xfId="4" applyFont="1" applyAlignment="1">
      <alignment horizontal="center" vertical="center" wrapText="1"/>
    </xf>
    <xf numFmtId="0" fontId="16" fillId="0" borderId="0" xfId="4" applyFont="1" applyAlignment="1">
      <alignment horizontal="center"/>
    </xf>
    <xf numFmtId="0" fontId="16" fillId="0" borderId="0" xfId="4" applyFont="1" applyAlignment="1">
      <alignment vertical="top"/>
    </xf>
    <xf numFmtId="0" fontId="16" fillId="0" borderId="0" xfId="4" applyFont="1" applyAlignment="1">
      <alignment horizontal="center" vertical="top" wrapText="1"/>
    </xf>
    <xf numFmtId="0" fontId="16" fillId="0" borderId="0" xfId="4" applyFont="1" applyAlignment="1">
      <alignment horizontal="center" vertical="center"/>
    </xf>
    <xf numFmtId="0" fontId="16" fillId="0" borderId="1" xfId="4" applyFont="1" applyBorder="1" applyAlignment="1">
      <alignment horizontal="center" vertical="center"/>
    </xf>
    <xf numFmtId="0" fontId="16" fillId="0" borderId="2" xfId="4" applyFont="1" applyBorder="1" applyAlignment="1">
      <alignment horizontal="center" vertical="center" wrapText="1"/>
    </xf>
    <xf numFmtId="0" fontId="11" fillId="0" borderId="0" xfId="4" applyAlignment="1">
      <alignment vertical="center" wrapText="1"/>
    </xf>
    <xf numFmtId="0" fontId="16" fillId="0" borderId="1" xfId="4" applyFont="1" applyBorder="1" applyAlignment="1">
      <alignment horizontal="center" vertical="center" wrapText="1"/>
    </xf>
    <xf numFmtId="0" fontId="17" fillId="0" borderId="0" xfId="4" applyFont="1" applyAlignment="1">
      <alignment vertical="center"/>
    </xf>
    <xf numFmtId="0" fontId="16" fillId="0" borderId="0" xfId="4" applyFont="1" applyAlignment="1">
      <alignment vertical="top" wrapText="1"/>
    </xf>
    <xf numFmtId="0" fontId="13" fillId="0" borderId="1" xfId="4" applyFont="1" applyBorder="1" applyAlignment="1">
      <alignment horizontal="center"/>
    </xf>
    <xf numFmtId="0" fontId="11" fillId="0" borderId="1" xfId="4" applyBorder="1" applyAlignment="1">
      <alignment horizontal="center" vertical="center" wrapText="1"/>
    </xf>
    <xf numFmtId="166" fontId="16" fillId="0" borderId="1" xfId="4" applyNumberFormat="1" applyFont="1" applyBorder="1" applyAlignment="1">
      <alignment vertical="center"/>
    </xf>
    <xf numFmtId="0" fontId="16" fillId="0" borderId="0" xfId="4" applyFont="1" applyAlignment="1">
      <alignment vertical="center"/>
    </xf>
    <xf numFmtId="0" fontId="11" fillId="0" borderId="0" xfId="4" applyAlignment="1">
      <alignment horizontal="center"/>
    </xf>
    <xf numFmtId="14" fontId="14" fillId="0" borderId="0" xfId="4" applyNumberFormat="1" applyFont="1" applyAlignment="1">
      <alignment horizontal="center"/>
    </xf>
    <xf numFmtId="0" fontId="16" fillId="0" borderId="6" xfId="6" applyFont="1" applyBorder="1" applyAlignment="1">
      <alignment horizontal="center" vertical="center" wrapText="1"/>
    </xf>
    <xf numFmtId="0" fontId="18" fillId="0" borderId="5" xfId="6" applyFont="1" applyBorder="1" applyAlignment="1">
      <alignment horizontal="center" vertical="center" wrapText="1"/>
    </xf>
    <xf numFmtId="0" fontId="18" fillId="0" borderId="33" xfId="6" applyFont="1" applyBorder="1" applyAlignment="1">
      <alignment horizontal="center" vertical="center" wrapText="1"/>
    </xf>
    <xf numFmtId="0" fontId="18" fillId="0" borderId="12" xfId="6" applyFont="1" applyBorder="1" applyAlignment="1">
      <alignment horizontal="center" vertical="center" wrapText="1"/>
    </xf>
    <xf numFmtId="0" fontId="18" fillId="0" borderId="13" xfId="6" applyFont="1" applyBorder="1" applyAlignment="1">
      <alignment horizontal="center" vertical="center" wrapText="1"/>
    </xf>
    <xf numFmtId="0" fontId="11" fillId="0" borderId="24" xfId="4" applyBorder="1"/>
    <xf numFmtId="0" fontId="11" fillId="0" borderId="17" xfId="4" applyBorder="1"/>
    <xf numFmtId="0" fontId="14" fillId="0" borderId="25" xfId="6" applyFont="1" applyBorder="1"/>
    <xf numFmtId="0" fontId="14" fillId="0" borderId="34" xfId="6" applyFont="1" applyBorder="1" applyAlignment="1">
      <alignment horizontal="left" vertical="center" wrapText="1"/>
    </xf>
    <xf numFmtId="14" fontId="14" fillId="0" borderId="11" xfId="6" applyNumberFormat="1" applyFont="1" applyBorder="1" applyAlignment="1">
      <alignment horizontal="center" vertical="center" wrapText="1"/>
    </xf>
    <xf numFmtId="14" fontId="14" fillId="0" borderId="35" xfId="6" applyNumberFormat="1" applyFont="1" applyBorder="1" applyAlignment="1">
      <alignment horizontal="center" vertical="center" wrapText="1"/>
    </xf>
    <xf numFmtId="14" fontId="14" fillId="0" borderId="36"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0" fontId="16" fillId="0" borderId="36" xfId="6" applyFont="1" applyBorder="1" applyAlignment="1">
      <alignment horizontal="center" vertical="center" wrapText="1"/>
    </xf>
    <xf numFmtId="0" fontId="14" fillId="0" borderId="11" xfId="6" applyFont="1" applyBorder="1" applyAlignment="1">
      <alignment horizontal="center" vertical="center" wrapText="1"/>
    </xf>
    <xf numFmtId="167" fontId="18" fillId="0" borderId="6" xfId="6" applyNumberFormat="1" applyFont="1" applyBorder="1" applyAlignment="1">
      <alignment horizontal="center" vertical="center" wrapText="1"/>
    </xf>
    <xf numFmtId="167" fontId="18" fillId="0" borderId="37" xfId="6" applyNumberFormat="1" applyFont="1" applyBorder="1" applyAlignment="1">
      <alignment horizontal="center" vertical="center" wrapText="1"/>
    </xf>
    <xf numFmtId="1" fontId="12" fillId="0" borderId="38" xfId="6" applyNumberFormat="1" applyBorder="1"/>
    <xf numFmtId="1" fontId="18"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39" xfId="6" applyBorder="1"/>
    <xf numFmtId="0" fontId="11" fillId="0" borderId="2" xfId="4" applyBorder="1" applyAlignment="1">
      <alignment horizontal="center" wrapText="1"/>
    </xf>
    <xf numFmtId="0" fontId="11" fillId="0" borderId="24" xfId="4" applyBorder="1" applyAlignment="1">
      <alignment wrapText="1"/>
    </xf>
    <xf numFmtId="14" fontId="14" fillId="0" borderId="40" xfId="6" applyNumberFormat="1" applyFont="1" applyBorder="1" applyAlignment="1">
      <alignment horizontal="center" vertical="center" wrapText="1"/>
    </xf>
    <xf numFmtId="168" fontId="14" fillId="0" borderId="1" xfId="6" applyNumberFormat="1" applyFont="1" applyBorder="1" applyAlignment="1">
      <alignment horizontal="center" vertical="center" wrapText="1"/>
    </xf>
    <xf numFmtId="14" fontId="14" fillId="6" borderId="6" xfId="6" applyNumberFormat="1" applyFont="1" applyFill="1" applyBorder="1" applyAlignment="1">
      <alignment horizontal="center" vertical="center" wrapText="1"/>
    </xf>
    <xf numFmtId="168" fontId="14" fillId="0" borderId="4" xfId="6" applyNumberFormat="1" applyFont="1" applyBorder="1" applyAlignment="1">
      <alignment horizontal="center" vertical="center" wrapText="1"/>
    </xf>
    <xf numFmtId="169" fontId="14" fillId="0" borderId="6" xfId="6" applyNumberFormat="1" applyFont="1" applyBorder="1" applyAlignment="1">
      <alignment horizontal="center" vertical="center" wrapText="1"/>
    </xf>
    <xf numFmtId="170" fontId="14" fillId="0" borderId="4" xfId="6" applyNumberFormat="1" applyFont="1" applyBorder="1" applyAlignment="1">
      <alignment vertical="center" wrapText="1"/>
    </xf>
    <xf numFmtId="2" fontId="14" fillId="7" borderId="1" xfId="6" applyNumberFormat="1" applyFont="1" applyFill="1" applyBorder="1" applyAlignment="1">
      <alignment horizontal="center" vertical="center" wrapText="1"/>
    </xf>
    <xf numFmtId="2" fontId="14" fillId="8" borderId="1" xfId="6" applyNumberFormat="1" applyFont="1" applyFill="1" applyBorder="1" applyAlignment="1">
      <alignment horizontal="center" vertical="center" wrapText="1"/>
    </xf>
    <xf numFmtId="2" fontId="12" fillId="0" borderId="14" xfId="6" applyNumberFormat="1" applyBorder="1" applyAlignment="1">
      <alignment horizontal="center" vertical="center"/>
    </xf>
    <xf numFmtId="2" fontId="12" fillId="0" borderId="41" xfId="6" applyNumberFormat="1" applyBorder="1" applyAlignment="1">
      <alignment horizontal="center" vertical="center"/>
    </xf>
    <xf numFmtId="171" fontId="18" fillId="0" borderId="42" xfId="6" applyNumberFormat="1" applyFont="1" applyBorder="1" applyAlignment="1">
      <alignment vertical="center"/>
    </xf>
    <xf numFmtId="171" fontId="12" fillId="0" borderId="42" xfId="6" applyNumberFormat="1" applyBorder="1" applyAlignment="1">
      <alignment vertical="center"/>
    </xf>
    <xf numFmtId="10" fontId="13" fillId="0" borderId="14" xfId="8" applyNumberFormat="1" applyFont="1" applyFill="1" applyBorder="1" applyAlignment="1">
      <alignment vertical="center"/>
    </xf>
    <xf numFmtId="10" fontId="12" fillId="0" borderId="15" xfId="6" applyNumberFormat="1" applyBorder="1" applyAlignment="1">
      <alignment vertical="center"/>
    </xf>
    <xf numFmtId="10" fontId="13" fillId="0" borderId="16" xfId="6" applyNumberFormat="1" applyFont="1" applyBorder="1" applyAlignment="1">
      <alignment vertical="center"/>
    </xf>
    <xf numFmtId="0" fontId="11" fillId="0" borderId="0" xfId="4" applyAlignment="1">
      <alignment wrapText="1"/>
    </xf>
    <xf numFmtId="0" fontId="11" fillId="0" borderId="43" xfId="4" applyBorder="1" applyAlignment="1">
      <alignment wrapText="1"/>
    </xf>
    <xf numFmtId="14" fontId="14" fillId="0" borderId="44" xfId="6" applyNumberFormat="1" applyFont="1" applyBorder="1" applyAlignment="1">
      <alignment horizontal="center" vertical="center" wrapText="1"/>
    </xf>
    <xf numFmtId="14" fontId="14" fillId="0" borderId="14" xfId="6" applyNumberFormat="1" applyFont="1" applyBorder="1" applyAlignment="1">
      <alignment horizontal="center" vertical="center" wrapText="1"/>
    </xf>
    <xf numFmtId="2" fontId="14" fillId="0" borderId="15" xfId="6" applyNumberFormat="1" applyFont="1" applyBorder="1" applyAlignment="1">
      <alignment horizontal="center" vertical="center" wrapText="1"/>
    </xf>
    <xf numFmtId="2" fontId="14" fillId="0" borderId="45" xfId="6" applyNumberFormat="1" applyFont="1" applyBorder="1" applyAlignment="1">
      <alignment horizontal="center" vertical="center" wrapText="1"/>
    </xf>
    <xf numFmtId="2" fontId="14" fillId="0" borderId="14" xfId="6" applyNumberFormat="1" applyFont="1" applyBorder="1" applyAlignment="1">
      <alignment horizontal="center" vertical="center" wrapText="1"/>
    </xf>
    <xf numFmtId="168" fontId="14" fillId="0" borderId="45" xfId="6" applyNumberFormat="1" applyFont="1" applyBorder="1" applyAlignment="1">
      <alignment horizontal="center" vertical="center" wrapText="1"/>
    </xf>
    <xf numFmtId="172" fontId="14" fillId="0" borderId="45" xfId="6" applyNumberFormat="1" applyFont="1" applyBorder="1" applyAlignment="1">
      <alignment vertical="center" wrapText="1"/>
    </xf>
    <xf numFmtId="170" fontId="14" fillId="0" borderId="15" xfId="6" applyNumberFormat="1" applyFont="1" applyBorder="1" applyAlignment="1">
      <alignment horizontal="center" vertical="center" wrapText="1"/>
    </xf>
    <xf numFmtId="0" fontId="13" fillId="0" borderId="0" xfId="4" applyFont="1"/>
    <xf numFmtId="14" fontId="4" fillId="6" borderId="6" xfId="6"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9" borderId="1" xfId="7" applyFont="1" applyFill="1" applyBorder="1" applyAlignment="1">
      <alignment horizontal="center" vertical="center"/>
    </xf>
    <xf numFmtId="43" fontId="0" fillId="0" borderId="1" xfId="0" applyNumberFormat="1" applyBorder="1" applyAlignment="1">
      <alignment wrapText="1"/>
    </xf>
    <xf numFmtId="168" fontId="4" fillId="0" borderId="1" xfId="6"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14" fontId="13" fillId="0" borderId="7" xfId="4" applyNumberFormat="1" applyFont="1" applyBorder="1" applyAlignment="1">
      <alignment horizontal="center" vertical="center"/>
    </xf>
    <xf numFmtId="0" fontId="13" fillId="0" borderId="8" xfId="4" applyFont="1" applyBorder="1" applyAlignment="1">
      <alignment horizontal="center" vertical="center"/>
    </xf>
    <xf numFmtId="0" fontId="13" fillId="0" borderId="9" xfId="4" applyFont="1" applyBorder="1" applyAlignment="1">
      <alignment horizontal="center" vertical="center"/>
    </xf>
    <xf numFmtId="0" fontId="10" fillId="0" borderId="7" xfId="4" applyFont="1" applyBorder="1" applyAlignment="1">
      <alignment horizontal="center" vertical="center" wrapText="1"/>
    </xf>
    <xf numFmtId="0" fontId="10" fillId="0" borderId="8" xfId="4" applyFont="1" applyBorder="1" applyAlignment="1">
      <alignment horizontal="center" vertical="center" wrapText="1"/>
    </xf>
    <xf numFmtId="0" fontId="10" fillId="0" borderId="9" xfId="4" applyFont="1" applyBorder="1" applyAlignment="1">
      <alignment horizontal="center" vertical="center" wrapText="1"/>
    </xf>
    <xf numFmtId="0" fontId="16" fillId="0" borderId="11" xfId="4" applyFont="1" applyBorder="1" applyAlignment="1">
      <alignment horizontal="center"/>
    </xf>
    <xf numFmtId="0" fontId="16" fillId="0" borderId="5" xfId="4" applyFont="1" applyBorder="1" applyAlignment="1">
      <alignment horizontal="center" vertical="center"/>
    </xf>
    <xf numFmtId="0" fontId="16" fillId="0" borderId="12" xfId="4" applyFont="1" applyBorder="1" applyAlignment="1">
      <alignment horizontal="center" vertical="center"/>
    </xf>
    <xf numFmtId="0" fontId="16" fillId="0" borderId="13" xfId="4" applyFont="1" applyBorder="1" applyAlignment="1">
      <alignment horizontal="center" vertical="center"/>
    </xf>
    <xf numFmtId="0" fontId="16" fillId="0" borderId="14" xfId="4" applyFont="1" applyBorder="1" applyAlignment="1">
      <alignment horizontal="center" vertical="center"/>
    </xf>
    <xf numFmtId="0" fontId="16" fillId="0" borderId="15" xfId="4" applyFont="1" applyBorder="1" applyAlignment="1">
      <alignment horizontal="center" vertical="center"/>
    </xf>
    <xf numFmtId="0" fontId="16" fillId="0" borderId="16" xfId="4" applyFont="1" applyBorder="1" applyAlignment="1">
      <alignment horizontal="center" vertical="center"/>
    </xf>
    <xf numFmtId="0" fontId="13" fillId="0" borderId="17" xfId="4" applyFont="1" applyBorder="1" applyAlignment="1">
      <alignment horizontal="center" vertical="center"/>
    </xf>
    <xf numFmtId="0" fontId="13" fillId="0" borderId="24" xfId="4" applyFont="1" applyBorder="1" applyAlignment="1">
      <alignment horizontal="center" vertical="center"/>
    </xf>
    <xf numFmtId="0" fontId="13" fillId="0" borderId="32" xfId="4" applyFont="1" applyBorder="1" applyAlignment="1">
      <alignment horizontal="center" vertical="center"/>
    </xf>
    <xf numFmtId="0" fontId="13" fillId="0" borderId="17" xfId="4" applyFont="1" applyBorder="1" applyAlignment="1">
      <alignment horizontal="center" vertical="center" wrapText="1"/>
    </xf>
    <xf numFmtId="0" fontId="13" fillId="0" borderId="24" xfId="4" applyFont="1" applyBorder="1" applyAlignment="1">
      <alignment horizontal="center" vertical="center" wrapText="1"/>
    </xf>
    <xf numFmtId="0" fontId="16" fillId="0" borderId="18"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28" xfId="6" applyFont="1" applyBorder="1" applyAlignment="1">
      <alignment horizontal="center" vertical="center" wrapText="1"/>
    </xf>
    <xf numFmtId="0" fontId="16" fillId="0" borderId="19" xfId="6" applyFont="1" applyBorder="1" applyAlignment="1">
      <alignment horizontal="center" vertical="center" wrapText="1"/>
    </xf>
    <xf numFmtId="0" fontId="16" fillId="0" borderId="20" xfId="6" applyFont="1" applyBorder="1" applyAlignment="1">
      <alignment horizontal="center" vertical="center" wrapText="1"/>
    </xf>
    <xf numFmtId="0" fontId="16" fillId="0" borderId="21" xfId="6" applyFont="1" applyBorder="1" applyAlignment="1">
      <alignment horizontal="center" vertical="center" wrapText="1"/>
    </xf>
    <xf numFmtId="0" fontId="18" fillId="0" borderId="7" xfId="6" applyFont="1" applyBorder="1" applyAlignment="1">
      <alignment horizontal="center" vertical="center"/>
    </xf>
    <xf numFmtId="0" fontId="18" fillId="0" borderId="8" xfId="6" applyFont="1" applyBorder="1" applyAlignment="1">
      <alignment horizontal="center" vertical="center"/>
    </xf>
    <xf numFmtId="0" fontId="18" fillId="0" borderId="9" xfId="6" applyFont="1" applyBorder="1" applyAlignment="1">
      <alignment horizontal="center" vertical="center"/>
    </xf>
    <xf numFmtId="0" fontId="18" fillId="0" borderId="22" xfId="6" applyFont="1" applyBorder="1" applyAlignment="1">
      <alignment horizontal="center" vertical="center"/>
    </xf>
    <xf numFmtId="0" fontId="18" fillId="0" borderId="23" xfId="6" applyFont="1" applyBorder="1" applyAlignment="1">
      <alignment horizontal="center" vertical="center"/>
    </xf>
    <xf numFmtId="0" fontId="18" fillId="0" borderId="18" xfId="6" applyFont="1" applyBorder="1" applyAlignment="1">
      <alignment horizontal="center" vertical="center"/>
    </xf>
    <xf numFmtId="0" fontId="18" fillId="0" borderId="29" xfId="6" applyFont="1" applyBorder="1" applyAlignment="1">
      <alignment horizontal="center" vertical="center"/>
    </xf>
    <xf numFmtId="0" fontId="18" fillId="0" borderId="30" xfId="6" applyFont="1" applyBorder="1" applyAlignment="1">
      <alignment horizontal="center" vertical="center"/>
    </xf>
    <xf numFmtId="0" fontId="18" fillId="0" borderId="31" xfId="6" applyFont="1" applyBorder="1" applyAlignment="1">
      <alignment horizontal="center" vertic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5" xfId="6" applyFont="1" applyBorder="1" applyAlignment="1">
      <alignment horizontal="center" vertical="center" wrapText="1"/>
    </xf>
    <xf numFmtId="0" fontId="16" fillId="0" borderId="12" xfId="6" applyFont="1" applyBorder="1" applyAlignment="1">
      <alignment horizontal="center" vertical="center" wrapText="1"/>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workbookViewId="0">
      <selection activeCell="A3" sqref="A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144</v>
      </c>
      <c r="H1" t="s">
        <v>4</v>
      </c>
      <c r="I1" t="s">
        <v>5</v>
      </c>
      <c r="J1" t="s">
        <v>6</v>
      </c>
      <c r="K1" t="s">
        <v>145</v>
      </c>
      <c r="L1" t="s">
        <v>7</v>
      </c>
      <c r="M1" t="s">
        <v>8</v>
      </c>
      <c r="N1" t="s">
        <v>9</v>
      </c>
      <c r="O1" t="s">
        <v>146</v>
      </c>
      <c r="P1" t="s">
        <v>10</v>
      </c>
      <c r="Q1" t="s">
        <v>11</v>
      </c>
      <c r="R1" t="s">
        <v>12</v>
      </c>
      <c r="S1" t="s">
        <v>147</v>
      </c>
      <c r="T1" t="s">
        <v>13</v>
      </c>
      <c r="U1" t="s">
        <v>14</v>
      </c>
      <c r="V1" t="s">
        <v>15</v>
      </c>
      <c r="W1" t="s">
        <v>148</v>
      </c>
      <c r="X1" t="s">
        <v>16</v>
      </c>
      <c r="Y1" t="s">
        <v>17</v>
      </c>
      <c r="Z1" t="s">
        <v>18</v>
      </c>
      <c r="AA1" t="s">
        <v>149</v>
      </c>
      <c r="AB1" t="s">
        <v>19</v>
      </c>
      <c r="AC1" t="s">
        <v>20</v>
      </c>
      <c r="AD1" t="s">
        <v>21</v>
      </c>
      <c r="AE1" t="s">
        <v>150</v>
      </c>
      <c r="AF1" t="s">
        <v>22</v>
      </c>
      <c r="AG1" t="s">
        <v>23</v>
      </c>
      <c r="AH1" t="s">
        <v>24</v>
      </c>
      <c r="AI1" t="s">
        <v>151</v>
      </c>
      <c r="AJ1" t="s">
        <v>25</v>
      </c>
      <c r="AK1" t="s">
        <v>26</v>
      </c>
      <c r="AL1" t="s">
        <v>27</v>
      </c>
      <c r="AM1" t="s">
        <v>152</v>
      </c>
      <c r="AN1" t="s">
        <v>28</v>
      </c>
      <c r="AO1" t="s">
        <v>29</v>
      </c>
      <c r="AP1" t="s">
        <v>30</v>
      </c>
      <c r="AQ1" t="s">
        <v>153</v>
      </c>
      <c r="AR1" t="s">
        <v>31</v>
      </c>
      <c r="AS1" t="s">
        <v>32</v>
      </c>
      <c r="AT1" t="s">
        <v>33</v>
      </c>
      <c r="AU1" t="s">
        <v>154</v>
      </c>
      <c r="AV1" t="s">
        <v>34</v>
      </c>
      <c r="AW1" t="s">
        <v>35</v>
      </c>
      <c r="AX1" t="s">
        <v>36</v>
      </c>
      <c r="AY1" t="s">
        <v>155</v>
      </c>
      <c r="AZ1" t="s">
        <v>37</v>
      </c>
      <c r="BA1" t="s">
        <v>38</v>
      </c>
      <c r="BB1" t="s">
        <v>39</v>
      </c>
      <c r="BC1" t="s">
        <v>156</v>
      </c>
      <c r="BD1" t="s">
        <v>40</v>
      </c>
      <c r="BE1" t="s">
        <v>41</v>
      </c>
      <c r="BF1" t="s">
        <v>42</v>
      </c>
      <c r="BG1" t="s">
        <v>157</v>
      </c>
      <c r="BH1" t="s">
        <v>43</v>
      </c>
      <c r="BI1" t="s">
        <v>44</v>
      </c>
      <c r="BJ1" t="s">
        <v>45</v>
      </c>
      <c r="BK1" t="s">
        <v>158</v>
      </c>
      <c r="BL1" t="s">
        <v>46</v>
      </c>
      <c r="BM1" t="s">
        <v>47</v>
      </c>
      <c r="BN1" t="s">
        <v>48</v>
      </c>
      <c r="BO1" t="s">
        <v>159</v>
      </c>
      <c r="BP1" t="s">
        <v>49</v>
      </c>
      <c r="BQ1" t="s">
        <v>50</v>
      </c>
      <c r="BR1" t="s">
        <v>51</v>
      </c>
      <c r="BS1" t="s">
        <v>160</v>
      </c>
      <c r="BT1" t="s">
        <v>52</v>
      </c>
      <c r="BU1" t="s">
        <v>53</v>
      </c>
      <c r="BV1" t="s">
        <v>54</v>
      </c>
      <c r="BW1" t="s">
        <v>161</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162</v>
      </c>
    </row>
    <row r="2" spans="1:102" x14ac:dyDescent="0.25">
      <c r="A2" t="s">
        <v>219</v>
      </c>
      <c r="B2" s="55">
        <v>45231</v>
      </c>
      <c r="C2" t="s">
        <v>163</v>
      </c>
      <c r="D2" t="s">
        <v>164</v>
      </c>
      <c r="E2" t="s">
        <v>165</v>
      </c>
      <c r="J2" t="s">
        <v>80</v>
      </c>
      <c r="K2">
        <v>214</v>
      </c>
      <c r="L2">
        <v>288.3</v>
      </c>
      <c r="M2">
        <v>61696.2</v>
      </c>
      <c r="P2">
        <v>0</v>
      </c>
      <c r="T2">
        <v>0</v>
      </c>
      <c r="X2">
        <v>0</v>
      </c>
      <c r="AB2">
        <v>0</v>
      </c>
      <c r="AF2">
        <v>0</v>
      </c>
      <c r="AH2" t="s">
        <v>81</v>
      </c>
      <c r="AI2">
        <v>83.36</v>
      </c>
      <c r="AJ2">
        <v>106</v>
      </c>
      <c r="AK2">
        <v>8836.16</v>
      </c>
      <c r="AN2">
        <v>0</v>
      </c>
      <c r="AR2">
        <v>0</v>
      </c>
      <c r="AV2">
        <v>0</v>
      </c>
      <c r="AZ2">
        <v>0</v>
      </c>
      <c r="BD2">
        <v>0</v>
      </c>
      <c r="BH2">
        <v>0</v>
      </c>
      <c r="BL2">
        <v>0</v>
      </c>
      <c r="BP2">
        <v>0</v>
      </c>
      <c r="BT2">
        <v>0</v>
      </c>
      <c r="BX2">
        <v>0</v>
      </c>
      <c r="BZ2">
        <v>1463.42</v>
      </c>
      <c r="CA2">
        <v>71995.78</v>
      </c>
      <c r="CH2">
        <v>71995.78</v>
      </c>
      <c r="CM2">
        <v>71995.78</v>
      </c>
      <c r="CN2">
        <v>1454.55</v>
      </c>
      <c r="CO2">
        <v>73450.33</v>
      </c>
      <c r="CP2" s="56">
        <v>0.18</v>
      </c>
      <c r="CQ2">
        <v>13221.06</v>
      </c>
      <c r="CR2">
        <v>86671.38</v>
      </c>
      <c r="CS2">
        <v>165</v>
      </c>
      <c r="CT2" t="s">
        <v>166</v>
      </c>
      <c r="CU2" s="57">
        <v>14300778</v>
      </c>
      <c r="CV2" t="s">
        <v>167</v>
      </c>
      <c r="CW2" t="s">
        <v>168</v>
      </c>
      <c r="CX2">
        <v>2500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C022-A8CA-4663-9C74-A52D9CE5F6F8}">
  <dimension ref="A1:CL21"/>
  <sheetViews>
    <sheetView tabSelected="1" topLeftCell="A16" workbookViewId="0">
      <selection activeCell="G18" sqref="G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45" width="7.85546875" style="30" hidden="1" customWidth="1"/>
    <col min="46" max="46" width="7.85546875" style="30" customWidth="1"/>
    <col min="47" max="73" width="7.85546875" style="30" hidden="1" customWidth="1"/>
    <col min="74" max="74" width="7.85546875" style="30" customWidth="1"/>
    <col min="75" max="75" width="10.71093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45" t="s">
        <v>138</v>
      </c>
      <c r="B2" s="146"/>
      <c r="C2" s="146"/>
      <c r="D2" s="146"/>
      <c r="E2" s="146"/>
      <c r="F2" s="146"/>
      <c r="G2" s="146"/>
      <c r="H2" s="146"/>
      <c r="I2" s="146"/>
      <c r="J2" s="146"/>
      <c r="K2" s="146"/>
      <c r="L2" s="146"/>
      <c r="M2" s="146"/>
      <c r="N2" s="146"/>
      <c r="O2" s="146"/>
      <c r="P2" s="146"/>
      <c r="Q2" s="146"/>
      <c r="R2" s="147"/>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48" t="s">
        <v>215</v>
      </c>
      <c r="C4" s="148"/>
      <c r="D4" s="148"/>
      <c r="E4" s="148"/>
      <c r="F4" s="148"/>
      <c r="G4" s="148"/>
      <c r="H4" s="148"/>
      <c r="I4" s="148"/>
      <c r="J4" s="148"/>
      <c r="K4" s="148"/>
      <c r="L4" s="148"/>
      <c r="M4" s="148"/>
      <c r="N4" s="148"/>
      <c r="O4" s="148"/>
      <c r="P4" s="148"/>
      <c r="Q4" s="148"/>
      <c r="R4" s="148"/>
      <c r="S4"/>
    </row>
    <row r="5" spans="1:90" s="44" customFormat="1" ht="34.5" customHeight="1" x14ac:dyDescent="0.25">
      <c r="A5" s="45" t="s">
        <v>126</v>
      </c>
      <c r="B5" s="148" t="s">
        <v>216</v>
      </c>
      <c r="C5" s="148"/>
      <c r="D5" s="148"/>
      <c r="E5" s="148"/>
      <c r="F5" s="148"/>
      <c r="G5" s="148"/>
      <c r="H5" s="148"/>
      <c r="I5" s="148"/>
      <c r="J5" s="148"/>
      <c r="K5" s="148"/>
      <c r="L5" s="148"/>
      <c r="M5" s="148"/>
      <c r="N5" s="148"/>
      <c r="O5" s="148"/>
      <c r="P5" s="148"/>
      <c r="Q5" s="148"/>
      <c r="R5" s="148"/>
      <c r="S5"/>
    </row>
    <row r="6" spans="1:90" s="44" customFormat="1" ht="48" customHeight="1" x14ac:dyDescent="0.25">
      <c r="A6" s="46" t="s">
        <v>127</v>
      </c>
      <c r="B6" s="149" t="s">
        <v>217</v>
      </c>
      <c r="C6" s="148"/>
      <c r="D6" s="148"/>
      <c r="E6" s="148"/>
      <c r="F6" s="148"/>
      <c r="G6" s="148"/>
      <c r="H6" s="148"/>
      <c r="I6" s="148"/>
      <c r="J6" s="148"/>
      <c r="K6" s="148"/>
      <c r="L6" s="148"/>
      <c r="M6" s="148"/>
      <c r="N6" s="148"/>
      <c r="O6" s="148"/>
      <c r="P6" s="148"/>
      <c r="Q6" s="148"/>
      <c r="R6" s="148"/>
      <c r="S6"/>
    </row>
    <row r="7" spans="1:90" s="44" customFormat="1" ht="30" x14ac:dyDescent="0.25">
      <c r="A7" s="46" t="s">
        <v>124</v>
      </c>
      <c r="B7" s="149" t="s">
        <v>139</v>
      </c>
      <c r="C7" s="148"/>
      <c r="D7" s="148"/>
      <c r="E7" s="148"/>
      <c r="F7" s="148"/>
      <c r="G7" s="148"/>
      <c r="H7" s="148"/>
      <c r="I7" s="148"/>
      <c r="J7" s="148"/>
      <c r="K7" s="148"/>
      <c r="L7" s="148"/>
      <c r="M7" s="148"/>
      <c r="N7" s="148"/>
      <c r="O7" s="148"/>
      <c r="P7" s="148"/>
      <c r="Q7" s="148"/>
      <c r="R7" s="148"/>
      <c r="S7"/>
    </row>
    <row r="8" spans="1:90" s="44" customFormat="1" ht="28.5" customHeight="1" x14ac:dyDescent="0.25">
      <c r="A8" s="46" t="s">
        <v>128</v>
      </c>
      <c r="B8" s="149" t="s">
        <v>218</v>
      </c>
      <c r="C8" s="149"/>
      <c r="D8" s="149"/>
      <c r="E8" s="149"/>
      <c r="F8" s="149"/>
      <c r="G8" s="149"/>
      <c r="H8" s="149"/>
      <c r="I8" s="149"/>
      <c r="J8" s="149"/>
      <c r="K8" s="149"/>
      <c r="L8" s="149"/>
      <c r="M8" s="149"/>
      <c r="N8" s="149"/>
      <c r="O8" s="149"/>
      <c r="P8" s="149"/>
      <c r="Q8" s="149"/>
      <c r="R8" s="149"/>
      <c r="S8"/>
    </row>
    <row r="9" spans="1:90" s="44" customFormat="1" ht="68.25" customHeight="1" x14ac:dyDescent="0.25">
      <c r="A9" s="46" t="s">
        <v>129</v>
      </c>
      <c r="B9" s="150" t="s">
        <v>140</v>
      </c>
      <c r="C9" s="151"/>
      <c r="D9" s="151"/>
      <c r="E9" s="151"/>
      <c r="F9" s="151"/>
      <c r="G9" s="151"/>
      <c r="H9" s="151"/>
      <c r="I9" s="151"/>
      <c r="J9" s="151"/>
      <c r="K9" s="151"/>
      <c r="L9" s="151"/>
      <c r="M9" s="151"/>
      <c r="N9" s="151"/>
      <c r="O9" s="151"/>
      <c r="P9" s="151"/>
      <c r="Q9" s="151"/>
      <c r="R9" s="152"/>
    </row>
    <row r="10" spans="1:90" s="44" customFormat="1" ht="78.75" customHeight="1" x14ac:dyDescent="0.25">
      <c r="A10" s="46" t="s">
        <v>130</v>
      </c>
      <c r="B10" s="153" t="s">
        <v>141</v>
      </c>
      <c r="C10" s="154"/>
      <c r="D10" s="154"/>
      <c r="E10" s="154"/>
      <c r="F10" s="154"/>
      <c r="G10" s="154"/>
      <c r="H10" s="154"/>
      <c r="I10" s="154"/>
      <c r="J10" s="154"/>
      <c r="K10" s="154"/>
      <c r="L10" s="154"/>
      <c r="M10" s="154"/>
      <c r="N10" s="154"/>
      <c r="O10" s="154"/>
      <c r="P10" s="154"/>
      <c r="Q10" s="154"/>
      <c r="R10" s="155"/>
      <c r="S10"/>
    </row>
    <row r="11" spans="1:90" s="44" customFormat="1" ht="52.5" customHeight="1" x14ac:dyDescent="0.25">
      <c r="A11" s="49" t="s">
        <v>131</v>
      </c>
      <c r="B11" s="156" t="s">
        <v>142</v>
      </c>
      <c r="C11" s="156"/>
      <c r="D11" s="156"/>
      <c r="E11" s="156"/>
      <c r="F11" s="156"/>
      <c r="G11" s="156"/>
      <c r="H11" s="156"/>
      <c r="I11" s="156"/>
      <c r="J11" s="156"/>
      <c r="K11" s="156"/>
      <c r="L11" s="156"/>
      <c r="M11" s="156"/>
      <c r="N11" s="156"/>
      <c r="O11" s="156"/>
      <c r="P11" s="156"/>
      <c r="Q11" s="156"/>
      <c r="R11" s="156"/>
    </row>
    <row r="12" spans="1:90" s="44" customFormat="1" ht="71.25" customHeight="1" x14ac:dyDescent="0.25">
      <c r="A12" s="49" t="s">
        <v>132</v>
      </c>
      <c r="B12" s="156" t="s">
        <v>143</v>
      </c>
      <c r="C12" s="156"/>
      <c r="D12" s="156"/>
      <c r="E12" s="156"/>
      <c r="F12" s="156"/>
      <c r="G12" s="156"/>
      <c r="H12" s="156"/>
      <c r="I12" s="156"/>
      <c r="J12" s="156"/>
      <c r="K12" s="156"/>
      <c r="L12" s="156"/>
      <c r="M12" s="156"/>
      <c r="N12" s="156"/>
      <c r="O12" s="156"/>
      <c r="P12" s="156"/>
      <c r="Q12" s="156"/>
      <c r="R12" s="156"/>
    </row>
    <row r="13" spans="1:90" s="44" customFormat="1" ht="30" x14ac:dyDescent="0.25">
      <c r="A13" s="50" t="s">
        <v>133</v>
      </c>
      <c r="B13" s="156"/>
      <c r="C13" s="156"/>
      <c r="D13" s="156"/>
      <c r="E13" s="156"/>
      <c r="F13" s="156"/>
      <c r="G13" s="156"/>
      <c r="H13" s="156"/>
      <c r="I13" s="156"/>
      <c r="J13" s="156"/>
      <c r="K13" s="156"/>
      <c r="L13" s="156"/>
      <c r="M13" s="156"/>
      <c r="N13" s="156"/>
      <c r="O13" s="156"/>
      <c r="P13" s="156"/>
      <c r="Q13" s="156"/>
      <c r="R13" s="156"/>
    </row>
    <row r="15" spans="1:90" s="37" customFormat="1" ht="28.9" customHeight="1" x14ac:dyDescent="0.25">
      <c r="E15" s="42"/>
      <c r="H15" s="43"/>
      <c r="N15" s="142" t="str">
        <f>Sheet1!J1</f>
        <v>Conductor</v>
      </c>
      <c r="O15" s="142"/>
      <c r="P15" s="142"/>
      <c r="Q15" s="142"/>
      <c r="R15" s="142"/>
      <c r="S15" s="142" t="s">
        <v>9</v>
      </c>
      <c r="T15" s="142"/>
      <c r="U15" s="142" t="s">
        <v>3</v>
      </c>
      <c r="V15" s="142"/>
      <c r="W15" s="142"/>
      <c r="X15" s="142"/>
      <c r="Y15" s="142"/>
      <c r="Z15" s="142"/>
      <c r="AA15" s="142"/>
      <c r="AB15" s="142"/>
      <c r="AC15" s="142" t="s">
        <v>12</v>
      </c>
      <c r="AD15" s="142"/>
      <c r="AE15" s="142" t="s">
        <v>15</v>
      </c>
      <c r="AF15" s="142"/>
      <c r="AG15" s="142"/>
      <c r="AH15" s="142"/>
      <c r="AI15" s="142"/>
      <c r="AJ15" s="142"/>
      <c r="AK15" s="10" t="s">
        <v>18</v>
      </c>
      <c r="AL15" s="143" t="s">
        <v>21</v>
      </c>
      <c r="AM15" s="144"/>
      <c r="AN15" s="144"/>
      <c r="AO15" s="144"/>
      <c r="AP15" s="144"/>
      <c r="AQ15" s="144"/>
      <c r="AR15" s="144"/>
      <c r="AS15" s="142" t="s">
        <v>24</v>
      </c>
      <c r="AT15" s="142"/>
      <c r="AU15" s="142"/>
      <c r="AV15" s="142"/>
      <c r="AW15" s="142"/>
      <c r="AX15" s="142"/>
      <c r="AY15" s="142"/>
      <c r="AZ15" s="142"/>
      <c r="BA15" s="142"/>
      <c r="BB15" s="142"/>
      <c r="BC15" s="142" t="s">
        <v>27</v>
      </c>
      <c r="BD15" s="142"/>
      <c r="BE15" s="142"/>
      <c r="BF15" s="142"/>
      <c r="BG15" s="142"/>
      <c r="BH15" s="142"/>
      <c r="BI15" s="142"/>
      <c r="BJ15" s="142"/>
      <c r="BK15" s="142"/>
      <c r="BL15" s="142"/>
      <c r="BM15" s="38" t="s">
        <v>30</v>
      </c>
      <c r="BN15" s="10" t="s">
        <v>33</v>
      </c>
      <c r="BO15" s="10" t="s">
        <v>36</v>
      </c>
      <c r="BP15" s="10" t="s">
        <v>39</v>
      </c>
      <c r="BQ15" s="10" t="s">
        <v>42</v>
      </c>
      <c r="BR15" s="10" t="s">
        <v>45</v>
      </c>
      <c r="BS15" s="10" t="s">
        <v>48</v>
      </c>
      <c r="BT15" s="10" t="s">
        <v>51</v>
      </c>
      <c r="BU15" s="10" t="s">
        <v>54</v>
      </c>
      <c r="BV15" s="10"/>
      <c r="BW15" s="10"/>
      <c r="BX15" s="10"/>
      <c r="BY15" s="10"/>
      <c r="BZ15" s="39" t="s">
        <v>57</v>
      </c>
      <c r="CA15" s="39" t="s">
        <v>58</v>
      </c>
      <c r="CB15" s="40" t="s">
        <v>79</v>
      </c>
      <c r="CC15" s="39" t="s">
        <v>123</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4" t="str">
        <f>Sheet1!CV1</f>
        <v>DRUM CODE</v>
      </c>
      <c r="BX16" s="54" t="str">
        <f>Sheet1!CW1</f>
        <v>DRUM SIZE (FxbXtx Ft)</v>
      </c>
      <c r="BY16" s="58"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218</v>
      </c>
      <c r="O17" s="32">
        <f>+IFERROR(VLOOKUP($O$16,Sheet1!J:L,2,0),0)</f>
        <v>0</v>
      </c>
      <c r="P17" s="32">
        <f>+IFERROR(VLOOKUP($P$16,Sheet1!J:M,2,0),0)</f>
        <v>0</v>
      </c>
      <c r="Q17" s="32">
        <f>+IFERROR(VLOOKUP($Q$16,Sheet1!J:M,2,0),0)</f>
        <v>0</v>
      </c>
      <c r="R17" s="32">
        <f>+IFERROR(VLOOKUP($R$16,Sheet1!J:M,2,0),0)</f>
        <v>0</v>
      </c>
      <c r="S17" s="32">
        <f>+IFERROR(VLOOKUP($S$16,Sheet1!N:Q,2,0),0)</f>
        <v>0</v>
      </c>
      <c r="T17" s="32">
        <f>+IFERROR(VLOOKUP($T$16,Sheet1!N:O,2,0),0)</f>
        <v>0</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f>+IFERROR(VLOOKUP($AF$16,Sheet1!V:Y,2,0),0)</f>
        <v>0</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v>89</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3"/>
      <c r="BW17" s="53"/>
      <c r="BX17" s="53"/>
      <c r="BY17" s="53"/>
      <c r="CD17" s="5"/>
      <c r="CE17" s="5"/>
      <c r="CF17" s="5"/>
      <c r="CG17" s="5"/>
      <c r="CH17" s="5"/>
      <c r="CI17" s="5"/>
      <c r="CJ17" s="5"/>
      <c r="CK17" s="5"/>
      <c r="CL17" s="5"/>
    </row>
    <row r="18" spans="1:90" ht="30" x14ac:dyDescent="0.25">
      <c r="A18" s="1" t="str">
        <f>Sheet1!A2</f>
        <v>ENQ-11788-22-23</v>
      </c>
      <c r="B18" s="52">
        <f>Sheet1!B2</f>
        <v>45231</v>
      </c>
      <c r="C18" s="1" t="str">
        <f>Sheet1!C2</f>
        <v>FC6200002</v>
      </c>
      <c r="D18" s="1" t="str">
        <f>Sheet1!D2</f>
        <v>ACSR : DOG CONDUCTOR - 100 SQ. MM. (6/4.72/7/1.57)</v>
      </c>
      <c r="E18" s="3">
        <f>CH18+CJ18+CL18</f>
        <v>88424.107199999999</v>
      </c>
      <c r="F18" s="140">
        <f>ROUNDUP(M21,0)</f>
        <v>1470</v>
      </c>
      <c r="G18" s="9">
        <f>E18+F18</f>
        <v>89894.107199999999</v>
      </c>
      <c r="H18" s="7">
        <f>Sheet1!CP2</f>
        <v>0.18</v>
      </c>
      <c r="I18" s="9">
        <f>G18*H18</f>
        <v>16180.939295999999</v>
      </c>
      <c r="J18" s="9">
        <f>G18+I18</f>
        <v>106075.046496</v>
      </c>
      <c r="K18" s="1">
        <v>100</v>
      </c>
      <c r="L18" s="1" t="str">
        <f>Sheet1!CT2</f>
        <v>KMS</v>
      </c>
      <c r="M18" s="3">
        <f>J18*K18</f>
        <v>10607504.649599999</v>
      </c>
      <c r="N18" s="2">
        <v>289</v>
      </c>
      <c r="O18" s="2">
        <f>+IFERROR(VLOOKUP($O$16,Sheet1!J2:L2,3,0),0)</f>
        <v>0</v>
      </c>
      <c r="P18" s="2">
        <f>+IFERROR(VLOOKUP($P$16,Sheet1!J2:M2,3,0),0)</f>
        <v>0</v>
      </c>
      <c r="Q18" s="2">
        <f>+IFERROR(VLOOKUP($Q$16,Sheet1!J2:M2,3,0),0)</f>
        <v>0</v>
      </c>
      <c r="R18" s="2">
        <f>+IFERROR(VLOOKUP($R$16,Sheet1!J2:M2,3,0),0)</f>
        <v>0</v>
      </c>
      <c r="S18" s="2">
        <f>+IFERROR(VLOOKUP($S$16,Sheet1!N2:Q2,3,0),0)</f>
        <v>0</v>
      </c>
      <c r="T18" s="2">
        <f>+IFERROR(VLOOKUP($T$16,Sheet1!N2:Q2,3,0),0)</f>
        <v>0</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2">
        <f>+IFERROR(VLOOKUP($AA$16,Sheet1!F2:I2,3,0),0)</f>
        <v>0</v>
      </c>
      <c r="AB18" s="2">
        <f>+IFERROR(VLOOKUP($AB$16,Sheet1!F2:I2,3,0),0)</f>
        <v>0</v>
      </c>
      <c r="AC18" s="2">
        <f>+IFERROR(VLOOKUP($AC$16,Sheet1!R2:U2,3,0),0)</f>
        <v>0</v>
      </c>
      <c r="AD18" s="15">
        <f>+IFERROR(VLOOKUP($AD$16,Sheet1!R2:U2,2,0),0)</f>
        <v>0</v>
      </c>
      <c r="AE18" s="2">
        <f>+IFERROR(VLOOKUP($AE$16,Sheet1!V2:Y2,3,0),0)</f>
        <v>0</v>
      </c>
      <c r="AF18" s="15">
        <f>+IFERROR(VLOOKUP($AF$16,Sheet1!V2:Y2,3,0),0)</f>
        <v>0</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106</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5" t="str">
        <f>Sheet1!E2</f>
        <v>WOOD</v>
      </c>
      <c r="BW18" s="15" t="s">
        <v>169</v>
      </c>
      <c r="BX18" s="15" t="s">
        <v>170</v>
      </c>
      <c r="BY18" s="15">
        <f>Sheet1!CX2</f>
        <v>2500</v>
      </c>
      <c r="BZ18" s="3">
        <f>3743/2.5</f>
        <v>1497.2</v>
      </c>
      <c r="CA18" s="3">
        <f>SUMPRODUCT($N$17:$BU$17,N18:BU18)+BZ18</f>
        <v>73933.2</v>
      </c>
      <c r="CB18" s="27">
        <f>Sheet1!CB2</f>
        <v>0</v>
      </c>
      <c r="CC18" s="3">
        <f>CA18*CB18</f>
        <v>0</v>
      </c>
      <c r="CD18" s="48">
        <v>0.15</v>
      </c>
      <c r="CE18" s="3">
        <f>CA18*CD18</f>
        <v>11089.98</v>
      </c>
      <c r="CF18" s="48">
        <v>0</v>
      </c>
      <c r="CG18" s="3">
        <f>CA18*CF18</f>
        <v>0</v>
      </c>
      <c r="CH18" s="3">
        <f>CA18+CC18+CE18+CG18</f>
        <v>85023.18</v>
      </c>
      <c r="CI18" s="48">
        <v>0.02</v>
      </c>
      <c r="CJ18" s="1">
        <f>CH18*CI18</f>
        <v>1700.4635999999998</v>
      </c>
      <c r="CK18" s="48">
        <v>0.02</v>
      </c>
      <c r="CL18" s="1">
        <f>CH18*CK18</f>
        <v>1700.4635999999998</v>
      </c>
    </row>
    <row r="20" spans="1:90" ht="30" x14ac:dyDescent="0.25">
      <c r="E20" s="2" t="s">
        <v>205</v>
      </c>
      <c r="F20" s="2" t="s">
        <v>206</v>
      </c>
      <c r="G20" s="135" t="s">
        <v>207</v>
      </c>
      <c r="H20" s="2" t="s">
        <v>208</v>
      </c>
      <c r="I20" s="2" t="s">
        <v>209</v>
      </c>
      <c r="J20" s="2" t="s">
        <v>210</v>
      </c>
      <c r="K20" s="2" t="s">
        <v>211</v>
      </c>
      <c r="L20" s="2" t="s">
        <v>212</v>
      </c>
      <c r="M20" s="136" t="s">
        <v>213</v>
      </c>
    </row>
    <row r="21" spans="1:90" x14ac:dyDescent="0.25">
      <c r="E21" s="135">
        <f>K18</f>
        <v>100</v>
      </c>
      <c r="F21" s="137">
        <v>2.5</v>
      </c>
      <c r="G21" s="135" t="s">
        <v>214</v>
      </c>
      <c r="H21" s="138">
        <v>49000</v>
      </c>
      <c r="I21" s="137">
        <v>14</v>
      </c>
      <c r="J21" s="135">
        <f>F21*I21</f>
        <v>35</v>
      </c>
      <c r="K21" s="135">
        <f>ROUNDUP((E21/J21),0)</f>
        <v>3</v>
      </c>
      <c r="L21" s="135">
        <f>M21*E21</f>
        <v>147000</v>
      </c>
      <c r="M21" s="139">
        <f>(H21*K21)/E21</f>
        <v>1470</v>
      </c>
    </row>
  </sheetData>
  <mergeCells count="19">
    <mergeCell ref="N15:R15"/>
    <mergeCell ref="A2:R2"/>
    <mergeCell ref="B4:R4"/>
    <mergeCell ref="B5:R5"/>
    <mergeCell ref="B6:R6"/>
    <mergeCell ref="B7:R7"/>
    <mergeCell ref="B8:R8"/>
    <mergeCell ref="B9:R9"/>
    <mergeCell ref="B10:R10"/>
    <mergeCell ref="B11:R11"/>
    <mergeCell ref="B12:R12"/>
    <mergeCell ref="B13:R13"/>
    <mergeCell ref="BC15:BL15"/>
    <mergeCell ref="S15:T15"/>
    <mergeCell ref="U15:AB15"/>
    <mergeCell ref="AC15:AD15"/>
    <mergeCell ref="AE15:AJ15"/>
    <mergeCell ref="AL15:AR15"/>
    <mergeCell ref="AS15:BB15"/>
  </mergeCells>
  <dataValidations count="1">
    <dataValidation type="list" allowBlank="1" showInputMessage="1" showErrorMessage="1" sqref="G21" xr:uid="{0229E2D9-37D5-4918-BEA5-75969F779551}">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A19"/>
  <sheetViews>
    <sheetView topLeftCell="A7" zoomScaleNormal="100" workbookViewId="0">
      <selection activeCell="D18" sqref="D18"/>
    </sheetView>
  </sheetViews>
  <sheetFormatPr defaultRowHeight="12.75" x14ac:dyDescent="0.2"/>
  <cols>
    <col min="1" max="1" width="41" style="63" customWidth="1"/>
    <col min="2" max="2" width="15.140625" style="63" customWidth="1"/>
    <col min="3" max="3" width="15.28515625" style="63" bestFit="1" customWidth="1"/>
    <col min="4" max="4" width="10.42578125" style="63" bestFit="1" customWidth="1"/>
    <col min="5" max="5" width="12.42578125" style="63" customWidth="1"/>
    <col min="6" max="6" width="8.42578125" style="63" bestFit="1" customWidth="1"/>
    <col min="7" max="7" width="9.85546875" style="63" bestFit="1" customWidth="1"/>
    <col min="8" max="9" width="8.42578125" style="63" bestFit="1" customWidth="1"/>
    <col min="10" max="11" width="9.85546875" style="63" customWidth="1"/>
    <col min="12" max="12" width="9.42578125" style="63" customWidth="1"/>
    <col min="13" max="14" width="11" style="63" bestFit="1" customWidth="1"/>
    <col min="15" max="15" width="12" style="63" customWidth="1"/>
    <col min="16" max="16" width="12.7109375" style="63" customWidth="1"/>
    <col min="17" max="17" width="9" style="63" customWidth="1"/>
    <col min="18" max="18" width="8.28515625" style="63" customWidth="1"/>
    <col min="19" max="19" width="13.5703125" style="63" bestFit="1" customWidth="1"/>
    <col min="20" max="20" width="11" style="63" bestFit="1" customWidth="1"/>
    <col min="21" max="21" width="13.5703125" style="63" bestFit="1" customWidth="1"/>
    <col min="22" max="22" width="12" style="63" bestFit="1" customWidth="1"/>
    <col min="23" max="23" width="10.85546875" style="63" bestFit="1" customWidth="1"/>
    <col min="24" max="24" width="7.28515625" style="63" customWidth="1"/>
    <col min="25" max="25" width="7.5703125" style="63" customWidth="1"/>
    <col min="26" max="26" width="7.7109375" style="63" customWidth="1"/>
    <col min="27" max="27" width="10.85546875" style="63" bestFit="1" customWidth="1"/>
    <col min="28" max="28" width="9.140625" style="63" customWidth="1"/>
    <col min="29" max="255" width="9.140625" style="63"/>
    <col min="256" max="256" width="41" style="63" customWidth="1"/>
    <col min="257" max="257" width="18" style="63" bestFit="1" customWidth="1"/>
    <col min="258" max="258" width="10.140625" style="63" customWidth="1"/>
    <col min="259" max="259" width="10.42578125" style="63" bestFit="1" customWidth="1"/>
    <col min="260" max="261" width="12.42578125" style="63" customWidth="1"/>
    <col min="262" max="262" width="12.28515625" style="63" customWidth="1"/>
    <col min="263" max="264" width="12.5703125" style="63" customWidth="1"/>
    <col min="265" max="266" width="9.85546875" style="63" customWidth="1"/>
    <col min="267" max="267" width="9.42578125" style="63" customWidth="1"/>
    <col min="268" max="268" width="12" style="63" bestFit="1" customWidth="1"/>
    <col min="269" max="270" width="12" style="63" customWidth="1"/>
    <col min="271" max="271" width="12.7109375" style="63" customWidth="1"/>
    <col min="272" max="272" width="14.42578125" style="63" bestFit="1" customWidth="1"/>
    <col min="273" max="273" width="14.42578125" style="63" customWidth="1"/>
    <col min="274" max="275" width="9.140625" style="63" customWidth="1"/>
    <col min="276" max="276" width="9.5703125" style="63" customWidth="1"/>
    <col min="277" max="277" width="10.7109375" style="63" bestFit="1" customWidth="1"/>
    <col min="278" max="278" width="12.7109375" style="63" bestFit="1" customWidth="1"/>
    <col min="279" max="279" width="9.5703125" style="63" customWidth="1"/>
    <col min="280" max="280" width="7.28515625" style="63" customWidth="1"/>
    <col min="281" max="281" width="7.5703125" style="63" customWidth="1"/>
    <col min="282" max="282" width="12.7109375" style="63" bestFit="1" customWidth="1"/>
    <col min="283" max="283" width="9" style="63" customWidth="1"/>
    <col min="284" max="284" width="9.140625" style="63" customWidth="1"/>
    <col min="285" max="511" width="9.140625" style="63"/>
    <col min="512" max="512" width="41" style="63" customWidth="1"/>
    <col min="513" max="513" width="18" style="63" bestFit="1" customWidth="1"/>
    <col min="514" max="514" width="10.140625" style="63" customWidth="1"/>
    <col min="515" max="515" width="10.42578125" style="63" bestFit="1" customWidth="1"/>
    <col min="516" max="517" width="12.42578125" style="63" customWidth="1"/>
    <col min="518" max="518" width="12.28515625" style="63" customWidth="1"/>
    <col min="519" max="520" width="12.5703125" style="63" customWidth="1"/>
    <col min="521" max="522" width="9.85546875" style="63" customWidth="1"/>
    <col min="523" max="523" width="9.42578125" style="63" customWidth="1"/>
    <col min="524" max="524" width="12" style="63" bestFit="1" customWidth="1"/>
    <col min="525" max="526" width="12" style="63" customWidth="1"/>
    <col min="527" max="527" width="12.7109375" style="63" customWidth="1"/>
    <col min="528" max="528" width="14.42578125" style="63" bestFit="1" customWidth="1"/>
    <col min="529" max="529" width="14.42578125" style="63" customWidth="1"/>
    <col min="530" max="531" width="9.140625" style="63" customWidth="1"/>
    <col min="532" max="532" width="9.5703125" style="63" customWidth="1"/>
    <col min="533" max="533" width="10.7109375" style="63" bestFit="1" customWidth="1"/>
    <col min="534" max="534" width="12.7109375" style="63" bestFit="1" customWidth="1"/>
    <col min="535" max="535" width="9.5703125" style="63" customWidth="1"/>
    <col min="536" max="536" width="7.28515625" style="63" customWidth="1"/>
    <col min="537" max="537" width="7.5703125" style="63" customWidth="1"/>
    <col min="538" max="538" width="12.7109375" style="63" bestFit="1" customWidth="1"/>
    <col min="539" max="539" width="9" style="63" customWidth="1"/>
    <col min="540" max="540" width="9.140625" style="63" customWidth="1"/>
    <col min="541" max="767" width="9.140625" style="63"/>
    <col min="768" max="768" width="41" style="63" customWidth="1"/>
    <col min="769" max="769" width="18" style="63" bestFit="1" customWidth="1"/>
    <col min="770" max="770" width="10.140625" style="63" customWidth="1"/>
    <col min="771" max="771" width="10.42578125" style="63" bestFit="1" customWidth="1"/>
    <col min="772" max="773" width="12.42578125" style="63" customWidth="1"/>
    <col min="774" max="774" width="12.28515625" style="63" customWidth="1"/>
    <col min="775" max="776" width="12.5703125" style="63" customWidth="1"/>
    <col min="777" max="778" width="9.85546875" style="63" customWidth="1"/>
    <col min="779" max="779" width="9.42578125" style="63" customWidth="1"/>
    <col min="780" max="780" width="12" style="63" bestFit="1" customWidth="1"/>
    <col min="781" max="782" width="12" style="63" customWidth="1"/>
    <col min="783" max="783" width="12.7109375" style="63" customWidth="1"/>
    <col min="784" max="784" width="14.42578125" style="63" bestFit="1" customWidth="1"/>
    <col min="785" max="785" width="14.42578125" style="63" customWidth="1"/>
    <col min="786" max="787" width="9.140625" style="63" customWidth="1"/>
    <col min="788" max="788" width="9.5703125" style="63" customWidth="1"/>
    <col min="789" max="789" width="10.7109375" style="63" bestFit="1" customWidth="1"/>
    <col min="790" max="790" width="12.7109375" style="63" bestFit="1" customWidth="1"/>
    <col min="791" max="791" width="9.5703125" style="63" customWidth="1"/>
    <col min="792" max="792" width="7.28515625" style="63" customWidth="1"/>
    <col min="793" max="793" width="7.5703125" style="63" customWidth="1"/>
    <col min="794" max="794" width="12.7109375" style="63" bestFit="1" customWidth="1"/>
    <col min="795" max="795" width="9" style="63" customWidth="1"/>
    <col min="796" max="796" width="9.140625" style="63" customWidth="1"/>
    <col min="797" max="1023" width="9.140625" style="63"/>
    <col min="1024" max="1024" width="41" style="63" customWidth="1"/>
    <col min="1025" max="1025" width="18" style="63" bestFit="1" customWidth="1"/>
    <col min="1026" max="1026" width="10.140625" style="63" customWidth="1"/>
    <col min="1027" max="1027" width="10.42578125" style="63" bestFit="1" customWidth="1"/>
    <col min="1028" max="1029" width="12.42578125" style="63" customWidth="1"/>
    <col min="1030" max="1030" width="12.28515625" style="63" customWidth="1"/>
    <col min="1031" max="1032" width="12.5703125" style="63" customWidth="1"/>
    <col min="1033" max="1034" width="9.85546875" style="63" customWidth="1"/>
    <col min="1035" max="1035" width="9.42578125" style="63" customWidth="1"/>
    <col min="1036" max="1036" width="12" style="63" bestFit="1" customWidth="1"/>
    <col min="1037" max="1038" width="12" style="63" customWidth="1"/>
    <col min="1039" max="1039" width="12.7109375" style="63" customWidth="1"/>
    <col min="1040" max="1040" width="14.42578125" style="63" bestFit="1" customWidth="1"/>
    <col min="1041" max="1041" width="14.42578125" style="63" customWidth="1"/>
    <col min="1042" max="1043" width="9.140625" style="63" customWidth="1"/>
    <col min="1044" max="1044" width="9.5703125" style="63" customWidth="1"/>
    <col min="1045" max="1045" width="10.7109375" style="63" bestFit="1" customWidth="1"/>
    <col min="1046" max="1046" width="12.7109375" style="63" bestFit="1" customWidth="1"/>
    <col min="1047" max="1047" width="9.5703125" style="63" customWidth="1"/>
    <col min="1048" max="1048" width="7.28515625" style="63" customWidth="1"/>
    <col min="1049" max="1049" width="7.5703125" style="63" customWidth="1"/>
    <col min="1050" max="1050" width="12.7109375" style="63" bestFit="1" customWidth="1"/>
    <col min="1051" max="1051" width="9" style="63" customWidth="1"/>
    <col min="1052" max="1052" width="9.140625" style="63" customWidth="1"/>
    <col min="1053" max="1279" width="9.140625" style="63"/>
    <col min="1280" max="1280" width="41" style="63" customWidth="1"/>
    <col min="1281" max="1281" width="18" style="63" bestFit="1" customWidth="1"/>
    <col min="1282" max="1282" width="10.140625" style="63" customWidth="1"/>
    <col min="1283" max="1283" width="10.42578125" style="63" bestFit="1" customWidth="1"/>
    <col min="1284" max="1285" width="12.42578125" style="63" customWidth="1"/>
    <col min="1286" max="1286" width="12.28515625" style="63" customWidth="1"/>
    <col min="1287" max="1288" width="12.5703125" style="63" customWidth="1"/>
    <col min="1289" max="1290" width="9.85546875" style="63" customWidth="1"/>
    <col min="1291" max="1291" width="9.42578125" style="63" customWidth="1"/>
    <col min="1292" max="1292" width="12" style="63" bestFit="1" customWidth="1"/>
    <col min="1293" max="1294" width="12" style="63" customWidth="1"/>
    <col min="1295" max="1295" width="12.7109375" style="63" customWidth="1"/>
    <col min="1296" max="1296" width="14.42578125" style="63" bestFit="1" customWidth="1"/>
    <col min="1297" max="1297" width="14.42578125" style="63" customWidth="1"/>
    <col min="1298" max="1299" width="9.140625" style="63" customWidth="1"/>
    <col min="1300" max="1300" width="9.5703125" style="63" customWidth="1"/>
    <col min="1301" max="1301" width="10.7109375" style="63" bestFit="1" customWidth="1"/>
    <col min="1302" max="1302" width="12.7109375" style="63" bestFit="1" customWidth="1"/>
    <col min="1303" max="1303" width="9.5703125" style="63" customWidth="1"/>
    <col min="1304" max="1304" width="7.28515625" style="63" customWidth="1"/>
    <col min="1305" max="1305" width="7.5703125" style="63" customWidth="1"/>
    <col min="1306" max="1306" width="12.7109375" style="63" bestFit="1" customWidth="1"/>
    <col min="1307" max="1307" width="9" style="63" customWidth="1"/>
    <col min="1308" max="1308" width="9.140625" style="63" customWidth="1"/>
    <col min="1309" max="1535" width="9.140625" style="63"/>
    <col min="1536" max="1536" width="41" style="63" customWidth="1"/>
    <col min="1537" max="1537" width="18" style="63" bestFit="1" customWidth="1"/>
    <col min="1538" max="1538" width="10.140625" style="63" customWidth="1"/>
    <col min="1539" max="1539" width="10.42578125" style="63" bestFit="1" customWidth="1"/>
    <col min="1540" max="1541" width="12.42578125" style="63" customWidth="1"/>
    <col min="1542" max="1542" width="12.28515625" style="63" customWidth="1"/>
    <col min="1543" max="1544" width="12.5703125" style="63" customWidth="1"/>
    <col min="1545" max="1546" width="9.85546875" style="63" customWidth="1"/>
    <col min="1547" max="1547" width="9.42578125" style="63" customWidth="1"/>
    <col min="1548" max="1548" width="12" style="63" bestFit="1" customWidth="1"/>
    <col min="1549" max="1550" width="12" style="63" customWidth="1"/>
    <col min="1551" max="1551" width="12.7109375" style="63" customWidth="1"/>
    <col min="1552" max="1552" width="14.42578125" style="63" bestFit="1" customWidth="1"/>
    <col min="1553" max="1553" width="14.42578125" style="63" customWidth="1"/>
    <col min="1554" max="1555" width="9.140625" style="63" customWidth="1"/>
    <col min="1556" max="1556" width="9.5703125" style="63" customWidth="1"/>
    <col min="1557" max="1557" width="10.7109375" style="63" bestFit="1" customWidth="1"/>
    <col min="1558" max="1558" width="12.7109375" style="63" bestFit="1" customWidth="1"/>
    <col min="1559" max="1559" width="9.5703125" style="63" customWidth="1"/>
    <col min="1560" max="1560" width="7.28515625" style="63" customWidth="1"/>
    <col min="1561" max="1561" width="7.5703125" style="63" customWidth="1"/>
    <col min="1562" max="1562" width="12.7109375" style="63" bestFit="1" customWidth="1"/>
    <col min="1563" max="1563" width="9" style="63" customWidth="1"/>
    <col min="1564" max="1564" width="9.140625" style="63" customWidth="1"/>
    <col min="1565" max="1791" width="9.140625" style="63"/>
    <col min="1792" max="1792" width="41" style="63" customWidth="1"/>
    <col min="1793" max="1793" width="18" style="63" bestFit="1" customWidth="1"/>
    <col min="1794" max="1794" width="10.140625" style="63" customWidth="1"/>
    <col min="1795" max="1795" width="10.42578125" style="63" bestFit="1" customWidth="1"/>
    <col min="1796" max="1797" width="12.42578125" style="63" customWidth="1"/>
    <col min="1798" max="1798" width="12.28515625" style="63" customWidth="1"/>
    <col min="1799" max="1800" width="12.5703125" style="63" customWidth="1"/>
    <col min="1801" max="1802" width="9.85546875" style="63" customWidth="1"/>
    <col min="1803" max="1803" width="9.42578125" style="63" customWidth="1"/>
    <col min="1804" max="1804" width="12" style="63" bestFit="1" customWidth="1"/>
    <col min="1805" max="1806" width="12" style="63" customWidth="1"/>
    <col min="1807" max="1807" width="12.7109375" style="63" customWidth="1"/>
    <col min="1808" max="1808" width="14.42578125" style="63" bestFit="1" customWidth="1"/>
    <col min="1809" max="1809" width="14.42578125" style="63" customWidth="1"/>
    <col min="1810" max="1811" width="9.140625" style="63" customWidth="1"/>
    <col min="1812" max="1812" width="9.5703125" style="63" customWidth="1"/>
    <col min="1813" max="1813" width="10.7109375" style="63" bestFit="1" customWidth="1"/>
    <col min="1814" max="1814" width="12.7109375" style="63" bestFit="1" customWidth="1"/>
    <col min="1815" max="1815" width="9.5703125" style="63" customWidth="1"/>
    <col min="1816" max="1816" width="7.28515625" style="63" customWidth="1"/>
    <col min="1817" max="1817" width="7.5703125" style="63" customWidth="1"/>
    <col min="1818" max="1818" width="12.7109375" style="63" bestFit="1" customWidth="1"/>
    <col min="1819" max="1819" width="9" style="63" customWidth="1"/>
    <col min="1820" max="1820" width="9.140625" style="63" customWidth="1"/>
    <col min="1821" max="2047" width="9.140625" style="63"/>
    <col min="2048" max="2048" width="41" style="63" customWidth="1"/>
    <col min="2049" max="2049" width="18" style="63" bestFit="1" customWidth="1"/>
    <col min="2050" max="2050" width="10.140625" style="63" customWidth="1"/>
    <col min="2051" max="2051" width="10.42578125" style="63" bestFit="1" customWidth="1"/>
    <col min="2052" max="2053" width="12.42578125" style="63" customWidth="1"/>
    <col min="2054" max="2054" width="12.28515625" style="63" customWidth="1"/>
    <col min="2055" max="2056" width="12.5703125" style="63" customWidth="1"/>
    <col min="2057" max="2058" width="9.85546875" style="63" customWidth="1"/>
    <col min="2059" max="2059" width="9.42578125" style="63" customWidth="1"/>
    <col min="2060" max="2060" width="12" style="63" bestFit="1" customWidth="1"/>
    <col min="2061" max="2062" width="12" style="63" customWidth="1"/>
    <col min="2063" max="2063" width="12.7109375" style="63" customWidth="1"/>
    <col min="2064" max="2064" width="14.42578125" style="63" bestFit="1" customWidth="1"/>
    <col min="2065" max="2065" width="14.42578125" style="63" customWidth="1"/>
    <col min="2066" max="2067" width="9.140625" style="63" customWidth="1"/>
    <col min="2068" max="2068" width="9.5703125" style="63" customWidth="1"/>
    <col min="2069" max="2069" width="10.7109375" style="63" bestFit="1" customWidth="1"/>
    <col min="2070" max="2070" width="12.7109375" style="63" bestFit="1" customWidth="1"/>
    <col min="2071" max="2071" width="9.5703125" style="63" customWidth="1"/>
    <col min="2072" max="2072" width="7.28515625" style="63" customWidth="1"/>
    <col min="2073" max="2073" width="7.5703125" style="63" customWidth="1"/>
    <col min="2074" max="2074" width="12.7109375" style="63" bestFit="1" customWidth="1"/>
    <col min="2075" max="2075" width="9" style="63" customWidth="1"/>
    <col min="2076" max="2076" width="9.140625" style="63" customWidth="1"/>
    <col min="2077" max="2303" width="9.140625" style="63"/>
    <col min="2304" max="2304" width="41" style="63" customWidth="1"/>
    <col min="2305" max="2305" width="18" style="63" bestFit="1" customWidth="1"/>
    <col min="2306" max="2306" width="10.140625" style="63" customWidth="1"/>
    <col min="2307" max="2307" width="10.42578125" style="63" bestFit="1" customWidth="1"/>
    <col min="2308" max="2309" width="12.42578125" style="63" customWidth="1"/>
    <col min="2310" max="2310" width="12.28515625" style="63" customWidth="1"/>
    <col min="2311" max="2312" width="12.5703125" style="63" customWidth="1"/>
    <col min="2313" max="2314" width="9.85546875" style="63" customWidth="1"/>
    <col min="2315" max="2315" width="9.42578125" style="63" customWidth="1"/>
    <col min="2316" max="2316" width="12" style="63" bestFit="1" customWidth="1"/>
    <col min="2317" max="2318" width="12" style="63" customWidth="1"/>
    <col min="2319" max="2319" width="12.7109375" style="63" customWidth="1"/>
    <col min="2320" max="2320" width="14.42578125" style="63" bestFit="1" customWidth="1"/>
    <col min="2321" max="2321" width="14.42578125" style="63" customWidth="1"/>
    <col min="2322" max="2323" width="9.140625" style="63" customWidth="1"/>
    <col min="2324" max="2324" width="9.5703125" style="63" customWidth="1"/>
    <col min="2325" max="2325" width="10.7109375" style="63" bestFit="1" customWidth="1"/>
    <col min="2326" max="2326" width="12.7109375" style="63" bestFit="1" customWidth="1"/>
    <col min="2327" max="2327" width="9.5703125" style="63" customWidth="1"/>
    <col min="2328" max="2328" width="7.28515625" style="63" customWidth="1"/>
    <col min="2329" max="2329" width="7.5703125" style="63" customWidth="1"/>
    <col min="2330" max="2330" width="12.7109375" style="63" bestFit="1" customWidth="1"/>
    <col min="2331" max="2331" width="9" style="63" customWidth="1"/>
    <col min="2332" max="2332" width="9.140625" style="63" customWidth="1"/>
    <col min="2333" max="2559" width="9.140625" style="63"/>
    <col min="2560" max="2560" width="41" style="63" customWidth="1"/>
    <col min="2561" max="2561" width="18" style="63" bestFit="1" customWidth="1"/>
    <col min="2562" max="2562" width="10.140625" style="63" customWidth="1"/>
    <col min="2563" max="2563" width="10.42578125" style="63" bestFit="1" customWidth="1"/>
    <col min="2564" max="2565" width="12.42578125" style="63" customWidth="1"/>
    <col min="2566" max="2566" width="12.28515625" style="63" customWidth="1"/>
    <col min="2567" max="2568" width="12.5703125" style="63" customWidth="1"/>
    <col min="2569" max="2570" width="9.85546875" style="63" customWidth="1"/>
    <col min="2571" max="2571" width="9.42578125" style="63" customWidth="1"/>
    <col min="2572" max="2572" width="12" style="63" bestFit="1" customWidth="1"/>
    <col min="2573" max="2574" width="12" style="63" customWidth="1"/>
    <col min="2575" max="2575" width="12.7109375" style="63" customWidth="1"/>
    <col min="2576" max="2576" width="14.42578125" style="63" bestFit="1" customWidth="1"/>
    <col min="2577" max="2577" width="14.42578125" style="63" customWidth="1"/>
    <col min="2578" max="2579" width="9.140625" style="63" customWidth="1"/>
    <col min="2580" max="2580" width="9.5703125" style="63" customWidth="1"/>
    <col min="2581" max="2581" width="10.7109375" style="63" bestFit="1" customWidth="1"/>
    <col min="2582" max="2582" width="12.7109375" style="63" bestFit="1" customWidth="1"/>
    <col min="2583" max="2583" width="9.5703125" style="63" customWidth="1"/>
    <col min="2584" max="2584" width="7.28515625" style="63" customWidth="1"/>
    <col min="2585" max="2585" width="7.5703125" style="63" customWidth="1"/>
    <col min="2586" max="2586" width="12.7109375" style="63" bestFit="1" customWidth="1"/>
    <col min="2587" max="2587" width="9" style="63" customWidth="1"/>
    <col min="2588" max="2588" width="9.140625" style="63" customWidth="1"/>
    <col min="2589" max="2815" width="9.140625" style="63"/>
    <col min="2816" max="2816" width="41" style="63" customWidth="1"/>
    <col min="2817" max="2817" width="18" style="63" bestFit="1" customWidth="1"/>
    <col min="2818" max="2818" width="10.140625" style="63" customWidth="1"/>
    <col min="2819" max="2819" width="10.42578125" style="63" bestFit="1" customWidth="1"/>
    <col min="2820" max="2821" width="12.42578125" style="63" customWidth="1"/>
    <col min="2822" max="2822" width="12.28515625" style="63" customWidth="1"/>
    <col min="2823" max="2824" width="12.5703125" style="63" customWidth="1"/>
    <col min="2825" max="2826" width="9.85546875" style="63" customWidth="1"/>
    <col min="2827" max="2827" width="9.42578125" style="63" customWidth="1"/>
    <col min="2828" max="2828" width="12" style="63" bestFit="1" customWidth="1"/>
    <col min="2829" max="2830" width="12" style="63" customWidth="1"/>
    <col min="2831" max="2831" width="12.7109375" style="63" customWidth="1"/>
    <col min="2832" max="2832" width="14.42578125" style="63" bestFit="1" customWidth="1"/>
    <col min="2833" max="2833" width="14.42578125" style="63" customWidth="1"/>
    <col min="2834" max="2835" width="9.140625" style="63" customWidth="1"/>
    <col min="2836" max="2836" width="9.5703125" style="63" customWidth="1"/>
    <col min="2837" max="2837" width="10.7109375" style="63" bestFit="1" customWidth="1"/>
    <col min="2838" max="2838" width="12.7109375" style="63" bestFit="1" customWidth="1"/>
    <col min="2839" max="2839" width="9.5703125" style="63" customWidth="1"/>
    <col min="2840" max="2840" width="7.28515625" style="63" customWidth="1"/>
    <col min="2841" max="2841" width="7.5703125" style="63" customWidth="1"/>
    <col min="2842" max="2842" width="12.7109375" style="63" bestFit="1" customWidth="1"/>
    <col min="2843" max="2843" width="9" style="63" customWidth="1"/>
    <col min="2844" max="2844" width="9.140625" style="63" customWidth="1"/>
    <col min="2845" max="3071" width="9.140625" style="63"/>
    <col min="3072" max="3072" width="41" style="63" customWidth="1"/>
    <col min="3073" max="3073" width="18" style="63" bestFit="1" customWidth="1"/>
    <col min="3074" max="3074" width="10.140625" style="63" customWidth="1"/>
    <col min="3075" max="3075" width="10.42578125" style="63" bestFit="1" customWidth="1"/>
    <col min="3076" max="3077" width="12.42578125" style="63" customWidth="1"/>
    <col min="3078" max="3078" width="12.28515625" style="63" customWidth="1"/>
    <col min="3079" max="3080" width="12.5703125" style="63" customWidth="1"/>
    <col min="3081" max="3082" width="9.85546875" style="63" customWidth="1"/>
    <col min="3083" max="3083" width="9.42578125" style="63" customWidth="1"/>
    <col min="3084" max="3084" width="12" style="63" bestFit="1" customWidth="1"/>
    <col min="3085" max="3086" width="12" style="63" customWidth="1"/>
    <col min="3087" max="3087" width="12.7109375" style="63" customWidth="1"/>
    <col min="3088" max="3088" width="14.42578125" style="63" bestFit="1" customWidth="1"/>
    <col min="3089" max="3089" width="14.42578125" style="63" customWidth="1"/>
    <col min="3090" max="3091" width="9.140625" style="63" customWidth="1"/>
    <col min="3092" max="3092" width="9.5703125" style="63" customWidth="1"/>
    <col min="3093" max="3093" width="10.7109375" style="63" bestFit="1" customWidth="1"/>
    <col min="3094" max="3094" width="12.7109375" style="63" bestFit="1" customWidth="1"/>
    <col min="3095" max="3095" width="9.5703125" style="63" customWidth="1"/>
    <col min="3096" max="3096" width="7.28515625" style="63" customWidth="1"/>
    <col min="3097" max="3097" width="7.5703125" style="63" customWidth="1"/>
    <col min="3098" max="3098" width="12.7109375" style="63" bestFit="1" customWidth="1"/>
    <col min="3099" max="3099" width="9" style="63" customWidth="1"/>
    <col min="3100" max="3100" width="9.140625" style="63" customWidth="1"/>
    <col min="3101" max="3327" width="9.140625" style="63"/>
    <col min="3328" max="3328" width="41" style="63" customWidth="1"/>
    <col min="3329" max="3329" width="18" style="63" bestFit="1" customWidth="1"/>
    <col min="3330" max="3330" width="10.140625" style="63" customWidth="1"/>
    <col min="3331" max="3331" width="10.42578125" style="63" bestFit="1" customWidth="1"/>
    <col min="3332" max="3333" width="12.42578125" style="63" customWidth="1"/>
    <col min="3334" max="3334" width="12.28515625" style="63" customWidth="1"/>
    <col min="3335" max="3336" width="12.5703125" style="63" customWidth="1"/>
    <col min="3337" max="3338" width="9.85546875" style="63" customWidth="1"/>
    <col min="3339" max="3339" width="9.42578125" style="63" customWidth="1"/>
    <col min="3340" max="3340" width="12" style="63" bestFit="1" customWidth="1"/>
    <col min="3341" max="3342" width="12" style="63" customWidth="1"/>
    <col min="3343" max="3343" width="12.7109375" style="63" customWidth="1"/>
    <col min="3344" max="3344" width="14.42578125" style="63" bestFit="1" customWidth="1"/>
    <col min="3345" max="3345" width="14.42578125" style="63" customWidth="1"/>
    <col min="3346" max="3347" width="9.140625" style="63" customWidth="1"/>
    <col min="3348" max="3348" width="9.5703125" style="63" customWidth="1"/>
    <col min="3349" max="3349" width="10.7109375" style="63" bestFit="1" customWidth="1"/>
    <col min="3350" max="3350" width="12.7109375" style="63" bestFit="1" customWidth="1"/>
    <col min="3351" max="3351" width="9.5703125" style="63" customWidth="1"/>
    <col min="3352" max="3352" width="7.28515625" style="63" customWidth="1"/>
    <col min="3353" max="3353" width="7.5703125" style="63" customWidth="1"/>
    <col min="3354" max="3354" width="12.7109375" style="63" bestFit="1" customWidth="1"/>
    <col min="3355" max="3355" width="9" style="63" customWidth="1"/>
    <col min="3356" max="3356" width="9.140625" style="63" customWidth="1"/>
    <col min="3357" max="3583" width="9.140625" style="63"/>
    <col min="3584" max="3584" width="41" style="63" customWidth="1"/>
    <col min="3585" max="3585" width="18" style="63" bestFit="1" customWidth="1"/>
    <col min="3586" max="3586" width="10.140625" style="63" customWidth="1"/>
    <col min="3587" max="3587" width="10.42578125" style="63" bestFit="1" customWidth="1"/>
    <col min="3588" max="3589" width="12.42578125" style="63" customWidth="1"/>
    <col min="3590" max="3590" width="12.28515625" style="63" customWidth="1"/>
    <col min="3591" max="3592" width="12.5703125" style="63" customWidth="1"/>
    <col min="3593" max="3594" width="9.85546875" style="63" customWidth="1"/>
    <col min="3595" max="3595" width="9.42578125" style="63" customWidth="1"/>
    <col min="3596" max="3596" width="12" style="63" bestFit="1" customWidth="1"/>
    <col min="3597" max="3598" width="12" style="63" customWidth="1"/>
    <col min="3599" max="3599" width="12.7109375" style="63" customWidth="1"/>
    <col min="3600" max="3600" width="14.42578125" style="63" bestFit="1" customWidth="1"/>
    <col min="3601" max="3601" width="14.42578125" style="63" customWidth="1"/>
    <col min="3602" max="3603" width="9.140625" style="63" customWidth="1"/>
    <col min="3604" max="3604" width="9.5703125" style="63" customWidth="1"/>
    <col min="3605" max="3605" width="10.7109375" style="63" bestFit="1" customWidth="1"/>
    <col min="3606" max="3606" width="12.7109375" style="63" bestFit="1" customWidth="1"/>
    <col min="3607" max="3607" width="9.5703125" style="63" customWidth="1"/>
    <col min="3608" max="3608" width="7.28515625" style="63" customWidth="1"/>
    <col min="3609" max="3609" width="7.5703125" style="63" customWidth="1"/>
    <col min="3610" max="3610" width="12.7109375" style="63" bestFit="1" customWidth="1"/>
    <col min="3611" max="3611" width="9" style="63" customWidth="1"/>
    <col min="3612" max="3612" width="9.140625" style="63" customWidth="1"/>
    <col min="3613" max="3839" width="9.140625" style="63"/>
    <col min="3840" max="3840" width="41" style="63" customWidth="1"/>
    <col min="3841" max="3841" width="18" style="63" bestFit="1" customWidth="1"/>
    <col min="3842" max="3842" width="10.140625" style="63" customWidth="1"/>
    <col min="3843" max="3843" width="10.42578125" style="63" bestFit="1" customWidth="1"/>
    <col min="3844" max="3845" width="12.42578125" style="63" customWidth="1"/>
    <col min="3846" max="3846" width="12.28515625" style="63" customWidth="1"/>
    <col min="3847" max="3848" width="12.5703125" style="63" customWidth="1"/>
    <col min="3849" max="3850" width="9.85546875" style="63" customWidth="1"/>
    <col min="3851" max="3851" width="9.42578125" style="63" customWidth="1"/>
    <col min="3852" max="3852" width="12" style="63" bestFit="1" customWidth="1"/>
    <col min="3853" max="3854" width="12" style="63" customWidth="1"/>
    <col min="3855" max="3855" width="12.7109375" style="63" customWidth="1"/>
    <col min="3856" max="3856" width="14.42578125" style="63" bestFit="1" customWidth="1"/>
    <col min="3857" max="3857" width="14.42578125" style="63" customWidth="1"/>
    <col min="3858" max="3859" width="9.140625" style="63" customWidth="1"/>
    <col min="3860" max="3860" width="9.5703125" style="63" customWidth="1"/>
    <col min="3861" max="3861" width="10.7109375" style="63" bestFit="1" customWidth="1"/>
    <col min="3862" max="3862" width="12.7109375" style="63" bestFit="1" customWidth="1"/>
    <col min="3863" max="3863" width="9.5703125" style="63" customWidth="1"/>
    <col min="3864" max="3864" width="7.28515625" style="63" customWidth="1"/>
    <col min="3865" max="3865" width="7.5703125" style="63" customWidth="1"/>
    <col min="3866" max="3866" width="12.7109375" style="63" bestFit="1" customWidth="1"/>
    <col min="3867" max="3867" width="9" style="63" customWidth="1"/>
    <col min="3868" max="3868" width="9.140625" style="63" customWidth="1"/>
    <col min="3869" max="4095" width="9.140625" style="63"/>
    <col min="4096" max="4096" width="41" style="63" customWidth="1"/>
    <col min="4097" max="4097" width="18" style="63" bestFit="1" customWidth="1"/>
    <col min="4098" max="4098" width="10.140625" style="63" customWidth="1"/>
    <col min="4099" max="4099" width="10.42578125" style="63" bestFit="1" customWidth="1"/>
    <col min="4100" max="4101" width="12.42578125" style="63" customWidth="1"/>
    <col min="4102" max="4102" width="12.28515625" style="63" customWidth="1"/>
    <col min="4103" max="4104" width="12.5703125" style="63" customWidth="1"/>
    <col min="4105" max="4106" width="9.85546875" style="63" customWidth="1"/>
    <col min="4107" max="4107" width="9.42578125" style="63" customWidth="1"/>
    <col min="4108" max="4108" width="12" style="63" bestFit="1" customWidth="1"/>
    <col min="4109" max="4110" width="12" style="63" customWidth="1"/>
    <col min="4111" max="4111" width="12.7109375" style="63" customWidth="1"/>
    <col min="4112" max="4112" width="14.42578125" style="63" bestFit="1" customWidth="1"/>
    <col min="4113" max="4113" width="14.42578125" style="63" customWidth="1"/>
    <col min="4114" max="4115" width="9.140625" style="63" customWidth="1"/>
    <col min="4116" max="4116" width="9.5703125" style="63" customWidth="1"/>
    <col min="4117" max="4117" width="10.7109375" style="63" bestFit="1" customWidth="1"/>
    <col min="4118" max="4118" width="12.7109375" style="63" bestFit="1" customWidth="1"/>
    <col min="4119" max="4119" width="9.5703125" style="63" customWidth="1"/>
    <col min="4120" max="4120" width="7.28515625" style="63" customWidth="1"/>
    <col min="4121" max="4121" width="7.5703125" style="63" customWidth="1"/>
    <col min="4122" max="4122" width="12.7109375" style="63" bestFit="1" customWidth="1"/>
    <col min="4123" max="4123" width="9" style="63" customWidth="1"/>
    <col min="4124" max="4124" width="9.140625" style="63" customWidth="1"/>
    <col min="4125" max="4351" width="9.140625" style="63"/>
    <col min="4352" max="4352" width="41" style="63" customWidth="1"/>
    <col min="4353" max="4353" width="18" style="63" bestFit="1" customWidth="1"/>
    <col min="4354" max="4354" width="10.140625" style="63" customWidth="1"/>
    <col min="4355" max="4355" width="10.42578125" style="63" bestFit="1" customWidth="1"/>
    <col min="4356" max="4357" width="12.42578125" style="63" customWidth="1"/>
    <col min="4358" max="4358" width="12.28515625" style="63" customWidth="1"/>
    <col min="4359" max="4360" width="12.5703125" style="63" customWidth="1"/>
    <col min="4361" max="4362" width="9.85546875" style="63" customWidth="1"/>
    <col min="4363" max="4363" width="9.42578125" style="63" customWidth="1"/>
    <col min="4364" max="4364" width="12" style="63" bestFit="1" customWidth="1"/>
    <col min="4365" max="4366" width="12" style="63" customWidth="1"/>
    <col min="4367" max="4367" width="12.7109375" style="63" customWidth="1"/>
    <col min="4368" max="4368" width="14.42578125" style="63" bestFit="1" customWidth="1"/>
    <col min="4369" max="4369" width="14.42578125" style="63" customWidth="1"/>
    <col min="4370" max="4371" width="9.140625" style="63" customWidth="1"/>
    <col min="4372" max="4372" width="9.5703125" style="63" customWidth="1"/>
    <col min="4373" max="4373" width="10.7109375" style="63" bestFit="1" customWidth="1"/>
    <col min="4374" max="4374" width="12.7109375" style="63" bestFit="1" customWidth="1"/>
    <col min="4375" max="4375" width="9.5703125" style="63" customWidth="1"/>
    <col min="4376" max="4376" width="7.28515625" style="63" customWidth="1"/>
    <col min="4377" max="4377" width="7.5703125" style="63" customWidth="1"/>
    <col min="4378" max="4378" width="12.7109375" style="63" bestFit="1" customWidth="1"/>
    <col min="4379" max="4379" width="9" style="63" customWidth="1"/>
    <col min="4380" max="4380" width="9.140625" style="63" customWidth="1"/>
    <col min="4381" max="4607" width="9.140625" style="63"/>
    <col min="4608" max="4608" width="41" style="63" customWidth="1"/>
    <col min="4609" max="4609" width="18" style="63" bestFit="1" customWidth="1"/>
    <col min="4610" max="4610" width="10.140625" style="63" customWidth="1"/>
    <col min="4611" max="4611" width="10.42578125" style="63" bestFit="1" customWidth="1"/>
    <col min="4612" max="4613" width="12.42578125" style="63" customWidth="1"/>
    <col min="4614" max="4614" width="12.28515625" style="63" customWidth="1"/>
    <col min="4615" max="4616" width="12.5703125" style="63" customWidth="1"/>
    <col min="4617" max="4618" width="9.85546875" style="63" customWidth="1"/>
    <col min="4619" max="4619" width="9.42578125" style="63" customWidth="1"/>
    <col min="4620" max="4620" width="12" style="63" bestFit="1" customWidth="1"/>
    <col min="4621" max="4622" width="12" style="63" customWidth="1"/>
    <col min="4623" max="4623" width="12.7109375" style="63" customWidth="1"/>
    <col min="4624" max="4624" width="14.42578125" style="63" bestFit="1" customWidth="1"/>
    <col min="4625" max="4625" width="14.42578125" style="63" customWidth="1"/>
    <col min="4626" max="4627" width="9.140625" style="63" customWidth="1"/>
    <col min="4628" max="4628" width="9.5703125" style="63" customWidth="1"/>
    <col min="4629" max="4629" width="10.7109375" style="63" bestFit="1" customWidth="1"/>
    <col min="4630" max="4630" width="12.7109375" style="63" bestFit="1" customWidth="1"/>
    <col min="4631" max="4631" width="9.5703125" style="63" customWidth="1"/>
    <col min="4632" max="4632" width="7.28515625" style="63" customWidth="1"/>
    <col min="4633" max="4633" width="7.5703125" style="63" customWidth="1"/>
    <col min="4634" max="4634" width="12.7109375" style="63" bestFit="1" customWidth="1"/>
    <col min="4635" max="4635" width="9" style="63" customWidth="1"/>
    <col min="4636" max="4636" width="9.140625" style="63" customWidth="1"/>
    <col min="4637" max="4863" width="9.140625" style="63"/>
    <col min="4864" max="4864" width="41" style="63" customWidth="1"/>
    <col min="4865" max="4865" width="18" style="63" bestFit="1" customWidth="1"/>
    <col min="4866" max="4866" width="10.140625" style="63" customWidth="1"/>
    <col min="4867" max="4867" width="10.42578125" style="63" bestFit="1" customWidth="1"/>
    <col min="4868" max="4869" width="12.42578125" style="63" customWidth="1"/>
    <col min="4870" max="4870" width="12.28515625" style="63" customWidth="1"/>
    <col min="4871" max="4872" width="12.5703125" style="63" customWidth="1"/>
    <col min="4873" max="4874" width="9.85546875" style="63" customWidth="1"/>
    <col min="4875" max="4875" width="9.42578125" style="63" customWidth="1"/>
    <col min="4876" max="4876" width="12" style="63" bestFit="1" customWidth="1"/>
    <col min="4877" max="4878" width="12" style="63" customWidth="1"/>
    <col min="4879" max="4879" width="12.7109375" style="63" customWidth="1"/>
    <col min="4880" max="4880" width="14.42578125" style="63" bestFit="1" customWidth="1"/>
    <col min="4881" max="4881" width="14.42578125" style="63" customWidth="1"/>
    <col min="4882" max="4883" width="9.140625" style="63" customWidth="1"/>
    <col min="4884" max="4884" width="9.5703125" style="63" customWidth="1"/>
    <col min="4885" max="4885" width="10.7109375" style="63" bestFit="1" customWidth="1"/>
    <col min="4886" max="4886" width="12.7109375" style="63" bestFit="1" customWidth="1"/>
    <col min="4887" max="4887" width="9.5703125" style="63" customWidth="1"/>
    <col min="4888" max="4888" width="7.28515625" style="63" customWidth="1"/>
    <col min="4889" max="4889" width="7.5703125" style="63" customWidth="1"/>
    <col min="4890" max="4890" width="12.7109375" style="63" bestFit="1" customWidth="1"/>
    <col min="4891" max="4891" width="9" style="63" customWidth="1"/>
    <col min="4892" max="4892" width="9.140625" style="63" customWidth="1"/>
    <col min="4893" max="5119" width="9.140625" style="63"/>
    <col min="5120" max="5120" width="41" style="63" customWidth="1"/>
    <col min="5121" max="5121" width="18" style="63" bestFit="1" customWidth="1"/>
    <col min="5122" max="5122" width="10.140625" style="63" customWidth="1"/>
    <col min="5123" max="5123" width="10.42578125" style="63" bestFit="1" customWidth="1"/>
    <col min="5124" max="5125" width="12.42578125" style="63" customWidth="1"/>
    <col min="5126" max="5126" width="12.28515625" style="63" customWidth="1"/>
    <col min="5127" max="5128" width="12.5703125" style="63" customWidth="1"/>
    <col min="5129" max="5130" width="9.85546875" style="63" customWidth="1"/>
    <col min="5131" max="5131" width="9.42578125" style="63" customWidth="1"/>
    <col min="5132" max="5132" width="12" style="63" bestFit="1" customWidth="1"/>
    <col min="5133" max="5134" width="12" style="63" customWidth="1"/>
    <col min="5135" max="5135" width="12.7109375" style="63" customWidth="1"/>
    <col min="5136" max="5136" width="14.42578125" style="63" bestFit="1" customWidth="1"/>
    <col min="5137" max="5137" width="14.42578125" style="63" customWidth="1"/>
    <col min="5138" max="5139" width="9.140625" style="63" customWidth="1"/>
    <col min="5140" max="5140" width="9.5703125" style="63" customWidth="1"/>
    <col min="5141" max="5141" width="10.7109375" style="63" bestFit="1" customWidth="1"/>
    <col min="5142" max="5142" width="12.7109375" style="63" bestFit="1" customWidth="1"/>
    <col min="5143" max="5143" width="9.5703125" style="63" customWidth="1"/>
    <col min="5144" max="5144" width="7.28515625" style="63" customWidth="1"/>
    <col min="5145" max="5145" width="7.5703125" style="63" customWidth="1"/>
    <col min="5146" max="5146" width="12.7109375" style="63" bestFit="1" customWidth="1"/>
    <col min="5147" max="5147" width="9" style="63" customWidth="1"/>
    <col min="5148" max="5148" width="9.140625" style="63" customWidth="1"/>
    <col min="5149" max="5375" width="9.140625" style="63"/>
    <col min="5376" max="5376" width="41" style="63" customWidth="1"/>
    <col min="5377" max="5377" width="18" style="63" bestFit="1" customWidth="1"/>
    <col min="5378" max="5378" width="10.140625" style="63" customWidth="1"/>
    <col min="5379" max="5379" width="10.42578125" style="63" bestFit="1" customWidth="1"/>
    <col min="5380" max="5381" width="12.42578125" style="63" customWidth="1"/>
    <col min="5382" max="5382" width="12.28515625" style="63" customWidth="1"/>
    <col min="5383" max="5384" width="12.5703125" style="63" customWidth="1"/>
    <col min="5385" max="5386" width="9.85546875" style="63" customWidth="1"/>
    <col min="5387" max="5387" width="9.42578125" style="63" customWidth="1"/>
    <col min="5388" max="5388" width="12" style="63" bestFit="1" customWidth="1"/>
    <col min="5389" max="5390" width="12" style="63" customWidth="1"/>
    <col min="5391" max="5391" width="12.7109375" style="63" customWidth="1"/>
    <col min="5392" max="5392" width="14.42578125" style="63" bestFit="1" customWidth="1"/>
    <col min="5393" max="5393" width="14.42578125" style="63" customWidth="1"/>
    <col min="5394" max="5395" width="9.140625" style="63" customWidth="1"/>
    <col min="5396" max="5396" width="9.5703125" style="63" customWidth="1"/>
    <col min="5397" max="5397" width="10.7109375" style="63" bestFit="1" customWidth="1"/>
    <col min="5398" max="5398" width="12.7109375" style="63" bestFit="1" customWidth="1"/>
    <col min="5399" max="5399" width="9.5703125" style="63" customWidth="1"/>
    <col min="5400" max="5400" width="7.28515625" style="63" customWidth="1"/>
    <col min="5401" max="5401" width="7.5703125" style="63" customWidth="1"/>
    <col min="5402" max="5402" width="12.7109375" style="63" bestFit="1" customWidth="1"/>
    <col min="5403" max="5403" width="9" style="63" customWidth="1"/>
    <col min="5404" max="5404" width="9.140625" style="63" customWidth="1"/>
    <col min="5405" max="5631" width="9.140625" style="63"/>
    <col min="5632" max="5632" width="41" style="63" customWidth="1"/>
    <col min="5633" max="5633" width="18" style="63" bestFit="1" customWidth="1"/>
    <col min="5634" max="5634" width="10.140625" style="63" customWidth="1"/>
    <col min="5635" max="5635" width="10.42578125" style="63" bestFit="1" customWidth="1"/>
    <col min="5636" max="5637" width="12.42578125" style="63" customWidth="1"/>
    <col min="5638" max="5638" width="12.28515625" style="63" customWidth="1"/>
    <col min="5639" max="5640" width="12.5703125" style="63" customWidth="1"/>
    <col min="5641" max="5642" width="9.85546875" style="63" customWidth="1"/>
    <col min="5643" max="5643" width="9.42578125" style="63" customWidth="1"/>
    <col min="5644" max="5644" width="12" style="63" bestFit="1" customWidth="1"/>
    <col min="5645" max="5646" width="12" style="63" customWidth="1"/>
    <col min="5647" max="5647" width="12.7109375" style="63" customWidth="1"/>
    <col min="5648" max="5648" width="14.42578125" style="63" bestFit="1" customWidth="1"/>
    <col min="5649" max="5649" width="14.42578125" style="63" customWidth="1"/>
    <col min="5650" max="5651" width="9.140625" style="63" customWidth="1"/>
    <col min="5652" max="5652" width="9.5703125" style="63" customWidth="1"/>
    <col min="5653" max="5653" width="10.7109375" style="63" bestFit="1" customWidth="1"/>
    <col min="5654" max="5654" width="12.7109375" style="63" bestFit="1" customWidth="1"/>
    <col min="5655" max="5655" width="9.5703125" style="63" customWidth="1"/>
    <col min="5656" max="5656" width="7.28515625" style="63" customWidth="1"/>
    <col min="5657" max="5657" width="7.5703125" style="63" customWidth="1"/>
    <col min="5658" max="5658" width="12.7109375" style="63" bestFit="1" customWidth="1"/>
    <col min="5659" max="5659" width="9" style="63" customWidth="1"/>
    <col min="5660" max="5660" width="9.140625" style="63" customWidth="1"/>
    <col min="5661" max="5887" width="9.140625" style="63"/>
    <col min="5888" max="5888" width="41" style="63" customWidth="1"/>
    <col min="5889" max="5889" width="18" style="63" bestFit="1" customWidth="1"/>
    <col min="5890" max="5890" width="10.140625" style="63" customWidth="1"/>
    <col min="5891" max="5891" width="10.42578125" style="63" bestFit="1" customWidth="1"/>
    <col min="5892" max="5893" width="12.42578125" style="63" customWidth="1"/>
    <col min="5894" max="5894" width="12.28515625" style="63" customWidth="1"/>
    <col min="5895" max="5896" width="12.5703125" style="63" customWidth="1"/>
    <col min="5897" max="5898" width="9.85546875" style="63" customWidth="1"/>
    <col min="5899" max="5899" width="9.42578125" style="63" customWidth="1"/>
    <col min="5900" max="5900" width="12" style="63" bestFit="1" customWidth="1"/>
    <col min="5901" max="5902" width="12" style="63" customWidth="1"/>
    <col min="5903" max="5903" width="12.7109375" style="63" customWidth="1"/>
    <col min="5904" max="5904" width="14.42578125" style="63" bestFit="1" customWidth="1"/>
    <col min="5905" max="5905" width="14.42578125" style="63" customWidth="1"/>
    <col min="5906" max="5907" width="9.140625" style="63" customWidth="1"/>
    <col min="5908" max="5908" width="9.5703125" style="63" customWidth="1"/>
    <col min="5909" max="5909" width="10.7109375" style="63" bestFit="1" customWidth="1"/>
    <col min="5910" max="5910" width="12.7109375" style="63" bestFit="1" customWidth="1"/>
    <col min="5911" max="5911" width="9.5703125" style="63" customWidth="1"/>
    <col min="5912" max="5912" width="7.28515625" style="63" customWidth="1"/>
    <col min="5913" max="5913" width="7.5703125" style="63" customWidth="1"/>
    <col min="5914" max="5914" width="12.7109375" style="63" bestFit="1" customWidth="1"/>
    <col min="5915" max="5915" width="9" style="63" customWidth="1"/>
    <col min="5916" max="5916" width="9.140625" style="63" customWidth="1"/>
    <col min="5917" max="6143" width="9.140625" style="63"/>
    <col min="6144" max="6144" width="41" style="63" customWidth="1"/>
    <col min="6145" max="6145" width="18" style="63" bestFit="1" customWidth="1"/>
    <col min="6146" max="6146" width="10.140625" style="63" customWidth="1"/>
    <col min="6147" max="6147" width="10.42578125" style="63" bestFit="1" customWidth="1"/>
    <col min="6148" max="6149" width="12.42578125" style="63" customWidth="1"/>
    <col min="6150" max="6150" width="12.28515625" style="63" customWidth="1"/>
    <col min="6151" max="6152" width="12.5703125" style="63" customWidth="1"/>
    <col min="6153" max="6154" width="9.85546875" style="63" customWidth="1"/>
    <col min="6155" max="6155" width="9.42578125" style="63" customWidth="1"/>
    <col min="6156" max="6156" width="12" style="63" bestFit="1" customWidth="1"/>
    <col min="6157" max="6158" width="12" style="63" customWidth="1"/>
    <col min="6159" max="6159" width="12.7109375" style="63" customWidth="1"/>
    <col min="6160" max="6160" width="14.42578125" style="63" bestFit="1" customWidth="1"/>
    <col min="6161" max="6161" width="14.42578125" style="63" customWidth="1"/>
    <col min="6162" max="6163" width="9.140625" style="63" customWidth="1"/>
    <col min="6164" max="6164" width="9.5703125" style="63" customWidth="1"/>
    <col min="6165" max="6165" width="10.7109375" style="63" bestFit="1" customWidth="1"/>
    <col min="6166" max="6166" width="12.7109375" style="63" bestFit="1" customWidth="1"/>
    <col min="6167" max="6167" width="9.5703125" style="63" customWidth="1"/>
    <col min="6168" max="6168" width="7.28515625" style="63" customWidth="1"/>
    <col min="6169" max="6169" width="7.5703125" style="63" customWidth="1"/>
    <col min="6170" max="6170" width="12.7109375" style="63" bestFit="1" customWidth="1"/>
    <col min="6171" max="6171" width="9" style="63" customWidth="1"/>
    <col min="6172" max="6172" width="9.140625" style="63" customWidth="1"/>
    <col min="6173" max="6399" width="9.140625" style="63"/>
    <col min="6400" max="6400" width="41" style="63" customWidth="1"/>
    <col min="6401" max="6401" width="18" style="63" bestFit="1" customWidth="1"/>
    <col min="6402" max="6402" width="10.140625" style="63" customWidth="1"/>
    <col min="6403" max="6403" width="10.42578125" style="63" bestFit="1" customWidth="1"/>
    <col min="6404" max="6405" width="12.42578125" style="63" customWidth="1"/>
    <col min="6406" max="6406" width="12.28515625" style="63" customWidth="1"/>
    <col min="6407" max="6408" width="12.5703125" style="63" customWidth="1"/>
    <col min="6409" max="6410" width="9.85546875" style="63" customWidth="1"/>
    <col min="6411" max="6411" width="9.42578125" style="63" customWidth="1"/>
    <col min="6412" max="6412" width="12" style="63" bestFit="1" customWidth="1"/>
    <col min="6413" max="6414" width="12" style="63" customWidth="1"/>
    <col min="6415" max="6415" width="12.7109375" style="63" customWidth="1"/>
    <col min="6416" max="6416" width="14.42578125" style="63" bestFit="1" customWidth="1"/>
    <col min="6417" max="6417" width="14.42578125" style="63" customWidth="1"/>
    <col min="6418" max="6419" width="9.140625" style="63" customWidth="1"/>
    <col min="6420" max="6420" width="9.5703125" style="63" customWidth="1"/>
    <col min="6421" max="6421" width="10.7109375" style="63" bestFit="1" customWidth="1"/>
    <col min="6422" max="6422" width="12.7109375" style="63" bestFit="1" customWidth="1"/>
    <col min="6423" max="6423" width="9.5703125" style="63" customWidth="1"/>
    <col min="6424" max="6424" width="7.28515625" style="63" customWidth="1"/>
    <col min="6425" max="6425" width="7.5703125" style="63" customWidth="1"/>
    <col min="6426" max="6426" width="12.7109375" style="63" bestFit="1" customWidth="1"/>
    <col min="6427" max="6427" width="9" style="63" customWidth="1"/>
    <col min="6428" max="6428" width="9.140625" style="63" customWidth="1"/>
    <col min="6429" max="6655" width="9.140625" style="63"/>
    <col min="6656" max="6656" width="41" style="63" customWidth="1"/>
    <col min="6657" max="6657" width="18" style="63" bestFit="1" customWidth="1"/>
    <col min="6658" max="6658" width="10.140625" style="63" customWidth="1"/>
    <col min="6659" max="6659" width="10.42578125" style="63" bestFit="1" customWidth="1"/>
    <col min="6660" max="6661" width="12.42578125" style="63" customWidth="1"/>
    <col min="6662" max="6662" width="12.28515625" style="63" customWidth="1"/>
    <col min="6663" max="6664" width="12.5703125" style="63" customWidth="1"/>
    <col min="6665" max="6666" width="9.85546875" style="63" customWidth="1"/>
    <col min="6667" max="6667" width="9.42578125" style="63" customWidth="1"/>
    <col min="6668" max="6668" width="12" style="63" bestFit="1" customWidth="1"/>
    <col min="6669" max="6670" width="12" style="63" customWidth="1"/>
    <col min="6671" max="6671" width="12.7109375" style="63" customWidth="1"/>
    <col min="6672" max="6672" width="14.42578125" style="63" bestFit="1" customWidth="1"/>
    <col min="6673" max="6673" width="14.42578125" style="63" customWidth="1"/>
    <col min="6674" max="6675" width="9.140625" style="63" customWidth="1"/>
    <col min="6676" max="6676" width="9.5703125" style="63" customWidth="1"/>
    <col min="6677" max="6677" width="10.7109375" style="63" bestFit="1" customWidth="1"/>
    <col min="6678" max="6678" width="12.7109375" style="63" bestFit="1" customWidth="1"/>
    <col min="6679" max="6679" width="9.5703125" style="63" customWidth="1"/>
    <col min="6680" max="6680" width="7.28515625" style="63" customWidth="1"/>
    <col min="6681" max="6681" width="7.5703125" style="63" customWidth="1"/>
    <col min="6682" max="6682" width="12.7109375" style="63" bestFit="1" customWidth="1"/>
    <col min="6683" max="6683" width="9" style="63" customWidth="1"/>
    <col min="6684" max="6684" width="9.140625" style="63" customWidth="1"/>
    <col min="6685" max="6911" width="9.140625" style="63"/>
    <col min="6912" max="6912" width="41" style="63" customWidth="1"/>
    <col min="6913" max="6913" width="18" style="63" bestFit="1" customWidth="1"/>
    <col min="6914" max="6914" width="10.140625" style="63" customWidth="1"/>
    <col min="6915" max="6915" width="10.42578125" style="63" bestFit="1" customWidth="1"/>
    <col min="6916" max="6917" width="12.42578125" style="63" customWidth="1"/>
    <col min="6918" max="6918" width="12.28515625" style="63" customWidth="1"/>
    <col min="6919" max="6920" width="12.5703125" style="63" customWidth="1"/>
    <col min="6921" max="6922" width="9.85546875" style="63" customWidth="1"/>
    <col min="6923" max="6923" width="9.42578125" style="63" customWidth="1"/>
    <col min="6924" max="6924" width="12" style="63" bestFit="1" customWidth="1"/>
    <col min="6925" max="6926" width="12" style="63" customWidth="1"/>
    <col min="6927" max="6927" width="12.7109375" style="63" customWidth="1"/>
    <col min="6928" max="6928" width="14.42578125" style="63" bestFit="1" customWidth="1"/>
    <col min="6929" max="6929" width="14.42578125" style="63" customWidth="1"/>
    <col min="6930" max="6931" width="9.140625" style="63" customWidth="1"/>
    <col min="6932" max="6932" width="9.5703125" style="63" customWidth="1"/>
    <col min="6933" max="6933" width="10.7109375" style="63" bestFit="1" customWidth="1"/>
    <col min="6934" max="6934" width="12.7109375" style="63" bestFit="1" customWidth="1"/>
    <col min="6935" max="6935" width="9.5703125" style="63" customWidth="1"/>
    <col min="6936" max="6936" width="7.28515625" style="63" customWidth="1"/>
    <col min="6937" max="6937" width="7.5703125" style="63" customWidth="1"/>
    <col min="6938" max="6938" width="12.7109375" style="63" bestFit="1" customWidth="1"/>
    <col min="6939" max="6939" width="9" style="63" customWidth="1"/>
    <col min="6940" max="6940" width="9.140625" style="63" customWidth="1"/>
    <col min="6941" max="7167" width="9.140625" style="63"/>
    <col min="7168" max="7168" width="41" style="63" customWidth="1"/>
    <col min="7169" max="7169" width="18" style="63" bestFit="1" customWidth="1"/>
    <col min="7170" max="7170" width="10.140625" style="63" customWidth="1"/>
    <col min="7171" max="7171" width="10.42578125" style="63" bestFit="1" customWidth="1"/>
    <col min="7172" max="7173" width="12.42578125" style="63" customWidth="1"/>
    <col min="7174" max="7174" width="12.28515625" style="63" customWidth="1"/>
    <col min="7175" max="7176" width="12.5703125" style="63" customWidth="1"/>
    <col min="7177" max="7178" width="9.85546875" style="63" customWidth="1"/>
    <col min="7179" max="7179" width="9.42578125" style="63" customWidth="1"/>
    <col min="7180" max="7180" width="12" style="63" bestFit="1" customWidth="1"/>
    <col min="7181" max="7182" width="12" style="63" customWidth="1"/>
    <col min="7183" max="7183" width="12.7109375" style="63" customWidth="1"/>
    <col min="7184" max="7184" width="14.42578125" style="63" bestFit="1" customWidth="1"/>
    <col min="7185" max="7185" width="14.42578125" style="63" customWidth="1"/>
    <col min="7186" max="7187" width="9.140625" style="63" customWidth="1"/>
    <col min="7188" max="7188" width="9.5703125" style="63" customWidth="1"/>
    <col min="7189" max="7189" width="10.7109375" style="63" bestFit="1" customWidth="1"/>
    <col min="7190" max="7190" width="12.7109375" style="63" bestFit="1" customWidth="1"/>
    <col min="7191" max="7191" width="9.5703125" style="63" customWidth="1"/>
    <col min="7192" max="7192" width="7.28515625" style="63" customWidth="1"/>
    <col min="7193" max="7193" width="7.5703125" style="63" customWidth="1"/>
    <col min="7194" max="7194" width="12.7109375" style="63" bestFit="1" customWidth="1"/>
    <col min="7195" max="7195" width="9" style="63" customWidth="1"/>
    <col min="7196" max="7196" width="9.140625" style="63" customWidth="1"/>
    <col min="7197" max="7423" width="9.140625" style="63"/>
    <col min="7424" max="7424" width="41" style="63" customWidth="1"/>
    <col min="7425" max="7425" width="18" style="63" bestFit="1" customWidth="1"/>
    <col min="7426" max="7426" width="10.140625" style="63" customWidth="1"/>
    <col min="7427" max="7427" width="10.42578125" style="63" bestFit="1" customWidth="1"/>
    <col min="7428" max="7429" width="12.42578125" style="63" customWidth="1"/>
    <col min="7430" max="7430" width="12.28515625" style="63" customWidth="1"/>
    <col min="7431" max="7432" width="12.5703125" style="63" customWidth="1"/>
    <col min="7433" max="7434" width="9.85546875" style="63" customWidth="1"/>
    <col min="7435" max="7435" width="9.42578125" style="63" customWidth="1"/>
    <col min="7436" max="7436" width="12" style="63" bestFit="1" customWidth="1"/>
    <col min="7437" max="7438" width="12" style="63" customWidth="1"/>
    <col min="7439" max="7439" width="12.7109375" style="63" customWidth="1"/>
    <col min="7440" max="7440" width="14.42578125" style="63" bestFit="1" customWidth="1"/>
    <col min="7441" max="7441" width="14.42578125" style="63" customWidth="1"/>
    <col min="7442" max="7443" width="9.140625" style="63" customWidth="1"/>
    <col min="7444" max="7444" width="9.5703125" style="63" customWidth="1"/>
    <col min="7445" max="7445" width="10.7109375" style="63" bestFit="1" customWidth="1"/>
    <col min="7446" max="7446" width="12.7109375" style="63" bestFit="1" customWidth="1"/>
    <col min="7447" max="7447" width="9.5703125" style="63" customWidth="1"/>
    <col min="7448" max="7448" width="7.28515625" style="63" customWidth="1"/>
    <col min="7449" max="7449" width="7.5703125" style="63" customWidth="1"/>
    <col min="7450" max="7450" width="12.7109375" style="63" bestFit="1" customWidth="1"/>
    <col min="7451" max="7451" width="9" style="63" customWidth="1"/>
    <col min="7452" max="7452" width="9.140625" style="63" customWidth="1"/>
    <col min="7453" max="7679" width="9.140625" style="63"/>
    <col min="7680" max="7680" width="41" style="63" customWidth="1"/>
    <col min="7681" max="7681" width="18" style="63" bestFit="1" customWidth="1"/>
    <col min="7682" max="7682" width="10.140625" style="63" customWidth="1"/>
    <col min="7683" max="7683" width="10.42578125" style="63" bestFit="1" customWidth="1"/>
    <col min="7684" max="7685" width="12.42578125" style="63" customWidth="1"/>
    <col min="7686" max="7686" width="12.28515625" style="63" customWidth="1"/>
    <col min="7687" max="7688" width="12.5703125" style="63" customWidth="1"/>
    <col min="7689" max="7690" width="9.85546875" style="63" customWidth="1"/>
    <col min="7691" max="7691" width="9.42578125" style="63" customWidth="1"/>
    <col min="7692" max="7692" width="12" style="63" bestFit="1" customWidth="1"/>
    <col min="7693" max="7694" width="12" style="63" customWidth="1"/>
    <col min="7695" max="7695" width="12.7109375" style="63" customWidth="1"/>
    <col min="7696" max="7696" width="14.42578125" style="63" bestFit="1" customWidth="1"/>
    <col min="7697" max="7697" width="14.42578125" style="63" customWidth="1"/>
    <col min="7698" max="7699" width="9.140625" style="63" customWidth="1"/>
    <col min="7700" max="7700" width="9.5703125" style="63" customWidth="1"/>
    <col min="7701" max="7701" width="10.7109375" style="63" bestFit="1" customWidth="1"/>
    <col min="7702" max="7702" width="12.7109375" style="63" bestFit="1" customWidth="1"/>
    <col min="7703" max="7703" width="9.5703125" style="63" customWidth="1"/>
    <col min="7704" max="7704" width="7.28515625" style="63" customWidth="1"/>
    <col min="7705" max="7705" width="7.5703125" style="63" customWidth="1"/>
    <col min="7706" max="7706" width="12.7109375" style="63" bestFit="1" customWidth="1"/>
    <col min="7707" max="7707" width="9" style="63" customWidth="1"/>
    <col min="7708" max="7708" width="9.140625" style="63" customWidth="1"/>
    <col min="7709" max="7935" width="9.140625" style="63"/>
    <col min="7936" max="7936" width="41" style="63" customWidth="1"/>
    <col min="7937" max="7937" width="18" style="63" bestFit="1" customWidth="1"/>
    <col min="7938" max="7938" width="10.140625" style="63" customWidth="1"/>
    <col min="7939" max="7939" width="10.42578125" style="63" bestFit="1" customWidth="1"/>
    <col min="7940" max="7941" width="12.42578125" style="63" customWidth="1"/>
    <col min="7942" max="7942" width="12.28515625" style="63" customWidth="1"/>
    <col min="7943" max="7944" width="12.5703125" style="63" customWidth="1"/>
    <col min="7945" max="7946" width="9.85546875" style="63" customWidth="1"/>
    <col min="7947" max="7947" width="9.42578125" style="63" customWidth="1"/>
    <col min="7948" max="7948" width="12" style="63" bestFit="1" customWidth="1"/>
    <col min="7949" max="7950" width="12" style="63" customWidth="1"/>
    <col min="7951" max="7951" width="12.7109375" style="63" customWidth="1"/>
    <col min="7952" max="7952" width="14.42578125" style="63" bestFit="1" customWidth="1"/>
    <col min="7953" max="7953" width="14.42578125" style="63" customWidth="1"/>
    <col min="7954" max="7955" width="9.140625" style="63" customWidth="1"/>
    <col min="7956" max="7956" width="9.5703125" style="63" customWidth="1"/>
    <col min="7957" max="7957" width="10.7109375" style="63" bestFit="1" customWidth="1"/>
    <col min="7958" max="7958" width="12.7109375" style="63" bestFit="1" customWidth="1"/>
    <col min="7959" max="7959" width="9.5703125" style="63" customWidth="1"/>
    <col min="7960" max="7960" width="7.28515625" style="63" customWidth="1"/>
    <col min="7961" max="7961" width="7.5703125" style="63" customWidth="1"/>
    <col min="7962" max="7962" width="12.7109375" style="63" bestFit="1" customWidth="1"/>
    <col min="7963" max="7963" width="9" style="63" customWidth="1"/>
    <col min="7964" max="7964" width="9.140625" style="63" customWidth="1"/>
    <col min="7965" max="8191" width="9.140625" style="63"/>
    <col min="8192" max="8192" width="41" style="63" customWidth="1"/>
    <col min="8193" max="8193" width="18" style="63" bestFit="1" customWidth="1"/>
    <col min="8194" max="8194" width="10.140625" style="63" customWidth="1"/>
    <col min="8195" max="8195" width="10.42578125" style="63" bestFit="1" customWidth="1"/>
    <col min="8196" max="8197" width="12.42578125" style="63" customWidth="1"/>
    <col min="8198" max="8198" width="12.28515625" style="63" customWidth="1"/>
    <col min="8199" max="8200" width="12.5703125" style="63" customWidth="1"/>
    <col min="8201" max="8202" width="9.85546875" style="63" customWidth="1"/>
    <col min="8203" max="8203" width="9.42578125" style="63" customWidth="1"/>
    <col min="8204" max="8204" width="12" style="63" bestFit="1" customWidth="1"/>
    <col min="8205" max="8206" width="12" style="63" customWidth="1"/>
    <col min="8207" max="8207" width="12.7109375" style="63" customWidth="1"/>
    <col min="8208" max="8208" width="14.42578125" style="63" bestFit="1" customWidth="1"/>
    <col min="8209" max="8209" width="14.42578125" style="63" customWidth="1"/>
    <col min="8210" max="8211" width="9.140625" style="63" customWidth="1"/>
    <col min="8212" max="8212" width="9.5703125" style="63" customWidth="1"/>
    <col min="8213" max="8213" width="10.7109375" style="63" bestFit="1" customWidth="1"/>
    <col min="8214" max="8214" width="12.7109375" style="63" bestFit="1" customWidth="1"/>
    <col min="8215" max="8215" width="9.5703125" style="63" customWidth="1"/>
    <col min="8216" max="8216" width="7.28515625" style="63" customWidth="1"/>
    <col min="8217" max="8217" width="7.5703125" style="63" customWidth="1"/>
    <col min="8218" max="8218" width="12.7109375" style="63" bestFit="1" customWidth="1"/>
    <col min="8219" max="8219" width="9" style="63" customWidth="1"/>
    <col min="8220" max="8220" width="9.140625" style="63" customWidth="1"/>
    <col min="8221" max="8447" width="9.140625" style="63"/>
    <col min="8448" max="8448" width="41" style="63" customWidth="1"/>
    <col min="8449" max="8449" width="18" style="63" bestFit="1" customWidth="1"/>
    <col min="8450" max="8450" width="10.140625" style="63" customWidth="1"/>
    <col min="8451" max="8451" width="10.42578125" style="63" bestFit="1" customWidth="1"/>
    <col min="8452" max="8453" width="12.42578125" style="63" customWidth="1"/>
    <col min="8454" max="8454" width="12.28515625" style="63" customWidth="1"/>
    <col min="8455" max="8456" width="12.5703125" style="63" customWidth="1"/>
    <col min="8457" max="8458" width="9.85546875" style="63" customWidth="1"/>
    <col min="8459" max="8459" width="9.42578125" style="63" customWidth="1"/>
    <col min="8460" max="8460" width="12" style="63" bestFit="1" customWidth="1"/>
    <col min="8461" max="8462" width="12" style="63" customWidth="1"/>
    <col min="8463" max="8463" width="12.7109375" style="63" customWidth="1"/>
    <col min="8464" max="8464" width="14.42578125" style="63" bestFit="1" customWidth="1"/>
    <col min="8465" max="8465" width="14.42578125" style="63" customWidth="1"/>
    <col min="8466" max="8467" width="9.140625" style="63" customWidth="1"/>
    <col min="8468" max="8468" width="9.5703125" style="63" customWidth="1"/>
    <col min="8469" max="8469" width="10.7109375" style="63" bestFit="1" customWidth="1"/>
    <col min="8470" max="8470" width="12.7109375" style="63" bestFit="1" customWidth="1"/>
    <col min="8471" max="8471" width="9.5703125" style="63" customWidth="1"/>
    <col min="8472" max="8472" width="7.28515625" style="63" customWidth="1"/>
    <col min="8473" max="8473" width="7.5703125" style="63" customWidth="1"/>
    <col min="8474" max="8474" width="12.7109375" style="63" bestFit="1" customWidth="1"/>
    <col min="8475" max="8475" width="9" style="63" customWidth="1"/>
    <col min="8476" max="8476" width="9.140625" style="63" customWidth="1"/>
    <col min="8477" max="8703" width="9.140625" style="63"/>
    <col min="8704" max="8704" width="41" style="63" customWidth="1"/>
    <col min="8705" max="8705" width="18" style="63" bestFit="1" customWidth="1"/>
    <col min="8706" max="8706" width="10.140625" style="63" customWidth="1"/>
    <col min="8707" max="8707" width="10.42578125" style="63" bestFit="1" customWidth="1"/>
    <col min="8708" max="8709" width="12.42578125" style="63" customWidth="1"/>
    <col min="8710" max="8710" width="12.28515625" style="63" customWidth="1"/>
    <col min="8711" max="8712" width="12.5703125" style="63" customWidth="1"/>
    <col min="8713" max="8714" width="9.85546875" style="63" customWidth="1"/>
    <col min="8715" max="8715" width="9.42578125" style="63" customWidth="1"/>
    <col min="8716" max="8716" width="12" style="63" bestFit="1" customWidth="1"/>
    <col min="8717" max="8718" width="12" style="63" customWidth="1"/>
    <col min="8719" max="8719" width="12.7109375" style="63" customWidth="1"/>
    <col min="8720" max="8720" width="14.42578125" style="63" bestFit="1" customWidth="1"/>
    <col min="8721" max="8721" width="14.42578125" style="63" customWidth="1"/>
    <col min="8722" max="8723" width="9.140625" style="63" customWidth="1"/>
    <col min="8724" max="8724" width="9.5703125" style="63" customWidth="1"/>
    <col min="8725" max="8725" width="10.7109375" style="63" bestFit="1" customWidth="1"/>
    <col min="8726" max="8726" width="12.7109375" style="63" bestFit="1" customWidth="1"/>
    <col min="8727" max="8727" width="9.5703125" style="63" customWidth="1"/>
    <col min="8728" max="8728" width="7.28515625" style="63" customWidth="1"/>
    <col min="8729" max="8729" width="7.5703125" style="63" customWidth="1"/>
    <col min="8730" max="8730" width="12.7109375" style="63" bestFit="1" customWidth="1"/>
    <col min="8731" max="8731" width="9" style="63" customWidth="1"/>
    <col min="8732" max="8732" width="9.140625" style="63" customWidth="1"/>
    <col min="8733" max="8959" width="9.140625" style="63"/>
    <col min="8960" max="8960" width="41" style="63" customWidth="1"/>
    <col min="8961" max="8961" width="18" style="63" bestFit="1" customWidth="1"/>
    <col min="8962" max="8962" width="10.140625" style="63" customWidth="1"/>
    <col min="8963" max="8963" width="10.42578125" style="63" bestFit="1" customWidth="1"/>
    <col min="8964" max="8965" width="12.42578125" style="63" customWidth="1"/>
    <col min="8966" max="8966" width="12.28515625" style="63" customWidth="1"/>
    <col min="8967" max="8968" width="12.5703125" style="63" customWidth="1"/>
    <col min="8969" max="8970" width="9.85546875" style="63" customWidth="1"/>
    <col min="8971" max="8971" width="9.42578125" style="63" customWidth="1"/>
    <col min="8972" max="8972" width="12" style="63" bestFit="1" customWidth="1"/>
    <col min="8973" max="8974" width="12" style="63" customWidth="1"/>
    <col min="8975" max="8975" width="12.7109375" style="63" customWidth="1"/>
    <col min="8976" max="8976" width="14.42578125" style="63" bestFit="1" customWidth="1"/>
    <col min="8977" max="8977" width="14.42578125" style="63" customWidth="1"/>
    <col min="8978" max="8979" width="9.140625" style="63" customWidth="1"/>
    <col min="8980" max="8980" width="9.5703125" style="63" customWidth="1"/>
    <col min="8981" max="8981" width="10.7109375" style="63" bestFit="1" customWidth="1"/>
    <col min="8982" max="8982" width="12.7109375" style="63" bestFit="1" customWidth="1"/>
    <col min="8983" max="8983" width="9.5703125" style="63" customWidth="1"/>
    <col min="8984" max="8984" width="7.28515625" style="63" customWidth="1"/>
    <col min="8985" max="8985" width="7.5703125" style="63" customWidth="1"/>
    <col min="8986" max="8986" width="12.7109375" style="63" bestFit="1" customWidth="1"/>
    <col min="8987" max="8987" width="9" style="63" customWidth="1"/>
    <col min="8988" max="8988" width="9.140625" style="63" customWidth="1"/>
    <col min="8989" max="9215" width="9.140625" style="63"/>
    <col min="9216" max="9216" width="41" style="63" customWidth="1"/>
    <col min="9217" max="9217" width="18" style="63" bestFit="1" customWidth="1"/>
    <col min="9218" max="9218" width="10.140625" style="63" customWidth="1"/>
    <col min="9219" max="9219" width="10.42578125" style="63" bestFit="1" customWidth="1"/>
    <col min="9220" max="9221" width="12.42578125" style="63" customWidth="1"/>
    <col min="9222" max="9222" width="12.28515625" style="63" customWidth="1"/>
    <col min="9223" max="9224" width="12.5703125" style="63" customWidth="1"/>
    <col min="9225" max="9226" width="9.85546875" style="63" customWidth="1"/>
    <col min="9227" max="9227" width="9.42578125" style="63" customWidth="1"/>
    <col min="9228" max="9228" width="12" style="63" bestFit="1" customWidth="1"/>
    <col min="9229" max="9230" width="12" style="63" customWidth="1"/>
    <col min="9231" max="9231" width="12.7109375" style="63" customWidth="1"/>
    <col min="9232" max="9232" width="14.42578125" style="63" bestFit="1" customWidth="1"/>
    <col min="9233" max="9233" width="14.42578125" style="63" customWidth="1"/>
    <col min="9234" max="9235" width="9.140625" style="63" customWidth="1"/>
    <col min="9236" max="9236" width="9.5703125" style="63" customWidth="1"/>
    <col min="9237" max="9237" width="10.7109375" style="63" bestFit="1" customWidth="1"/>
    <col min="9238" max="9238" width="12.7109375" style="63" bestFit="1" customWidth="1"/>
    <col min="9239" max="9239" width="9.5703125" style="63" customWidth="1"/>
    <col min="9240" max="9240" width="7.28515625" style="63" customWidth="1"/>
    <col min="9241" max="9241" width="7.5703125" style="63" customWidth="1"/>
    <col min="9242" max="9242" width="12.7109375" style="63" bestFit="1" customWidth="1"/>
    <col min="9243" max="9243" width="9" style="63" customWidth="1"/>
    <col min="9244" max="9244" width="9.140625" style="63" customWidth="1"/>
    <col min="9245" max="9471" width="9.140625" style="63"/>
    <col min="9472" max="9472" width="41" style="63" customWidth="1"/>
    <col min="9473" max="9473" width="18" style="63" bestFit="1" customWidth="1"/>
    <col min="9474" max="9474" width="10.140625" style="63" customWidth="1"/>
    <col min="9475" max="9475" width="10.42578125" style="63" bestFit="1" customWidth="1"/>
    <col min="9476" max="9477" width="12.42578125" style="63" customWidth="1"/>
    <col min="9478" max="9478" width="12.28515625" style="63" customWidth="1"/>
    <col min="9479" max="9480" width="12.5703125" style="63" customWidth="1"/>
    <col min="9481" max="9482" width="9.85546875" style="63" customWidth="1"/>
    <col min="9483" max="9483" width="9.42578125" style="63" customWidth="1"/>
    <col min="9484" max="9484" width="12" style="63" bestFit="1" customWidth="1"/>
    <col min="9485" max="9486" width="12" style="63" customWidth="1"/>
    <col min="9487" max="9487" width="12.7109375" style="63" customWidth="1"/>
    <col min="9488" max="9488" width="14.42578125" style="63" bestFit="1" customWidth="1"/>
    <col min="9489" max="9489" width="14.42578125" style="63" customWidth="1"/>
    <col min="9490" max="9491" width="9.140625" style="63" customWidth="1"/>
    <col min="9492" max="9492" width="9.5703125" style="63" customWidth="1"/>
    <col min="9493" max="9493" width="10.7109375" style="63" bestFit="1" customWidth="1"/>
    <col min="9494" max="9494" width="12.7109375" style="63" bestFit="1" customWidth="1"/>
    <col min="9495" max="9495" width="9.5703125" style="63" customWidth="1"/>
    <col min="9496" max="9496" width="7.28515625" style="63" customWidth="1"/>
    <col min="9497" max="9497" width="7.5703125" style="63" customWidth="1"/>
    <col min="9498" max="9498" width="12.7109375" style="63" bestFit="1" customWidth="1"/>
    <col min="9499" max="9499" width="9" style="63" customWidth="1"/>
    <col min="9500" max="9500" width="9.140625" style="63" customWidth="1"/>
    <col min="9501" max="9727" width="9.140625" style="63"/>
    <col min="9728" max="9728" width="41" style="63" customWidth="1"/>
    <col min="9729" max="9729" width="18" style="63" bestFit="1" customWidth="1"/>
    <col min="9730" max="9730" width="10.140625" style="63" customWidth="1"/>
    <col min="9731" max="9731" width="10.42578125" style="63" bestFit="1" customWidth="1"/>
    <col min="9732" max="9733" width="12.42578125" style="63" customWidth="1"/>
    <col min="9734" max="9734" width="12.28515625" style="63" customWidth="1"/>
    <col min="9735" max="9736" width="12.5703125" style="63" customWidth="1"/>
    <col min="9737" max="9738" width="9.85546875" style="63" customWidth="1"/>
    <col min="9739" max="9739" width="9.42578125" style="63" customWidth="1"/>
    <col min="9740" max="9740" width="12" style="63" bestFit="1" customWidth="1"/>
    <col min="9741" max="9742" width="12" style="63" customWidth="1"/>
    <col min="9743" max="9743" width="12.7109375" style="63" customWidth="1"/>
    <col min="9744" max="9744" width="14.42578125" style="63" bestFit="1" customWidth="1"/>
    <col min="9745" max="9745" width="14.42578125" style="63" customWidth="1"/>
    <col min="9746" max="9747" width="9.140625" style="63" customWidth="1"/>
    <col min="9748" max="9748" width="9.5703125" style="63" customWidth="1"/>
    <col min="9749" max="9749" width="10.7109375" style="63" bestFit="1" customWidth="1"/>
    <col min="9750" max="9750" width="12.7109375" style="63" bestFit="1" customWidth="1"/>
    <col min="9751" max="9751" width="9.5703125" style="63" customWidth="1"/>
    <col min="9752" max="9752" width="7.28515625" style="63" customWidth="1"/>
    <col min="9753" max="9753" width="7.5703125" style="63" customWidth="1"/>
    <col min="9754" max="9754" width="12.7109375" style="63" bestFit="1" customWidth="1"/>
    <col min="9755" max="9755" width="9" style="63" customWidth="1"/>
    <col min="9756" max="9756" width="9.140625" style="63" customWidth="1"/>
    <col min="9757" max="9983" width="9.140625" style="63"/>
    <col min="9984" max="9984" width="41" style="63" customWidth="1"/>
    <col min="9985" max="9985" width="18" style="63" bestFit="1" customWidth="1"/>
    <col min="9986" max="9986" width="10.140625" style="63" customWidth="1"/>
    <col min="9987" max="9987" width="10.42578125" style="63" bestFit="1" customWidth="1"/>
    <col min="9988" max="9989" width="12.42578125" style="63" customWidth="1"/>
    <col min="9990" max="9990" width="12.28515625" style="63" customWidth="1"/>
    <col min="9991" max="9992" width="12.5703125" style="63" customWidth="1"/>
    <col min="9993" max="9994" width="9.85546875" style="63" customWidth="1"/>
    <col min="9995" max="9995" width="9.42578125" style="63" customWidth="1"/>
    <col min="9996" max="9996" width="12" style="63" bestFit="1" customWidth="1"/>
    <col min="9997" max="9998" width="12" style="63" customWidth="1"/>
    <col min="9999" max="9999" width="12.7109375" style="63" customWidth="1"/>
    <col min="10000" max="10000" width="14.42578125" style="63" bestFit="1" customWidth="1"/>
    <col min="10001" max="10001" width="14.42578125" style="63" customWidth="1"/>
    <col min="10002" max="10003" width="9.140625" style="63" customWidth="1"/>
    <col min="10004" max="10004" width="9.5703125" style="63" customWidth="1"/>
    <col min="10005" max="10005" width="10.7109375" style="63" bestFit="1" customWidth="1"/>
    <col min="10006" max="10006" width="12.7109375" style="63" bestFit="1" customWidth="1"/>
    <col min="10007" max="10007" width="9.5703125" style="63" customWidth="1"/>
    <col min="10008" max="10008" width="7.28515625" style="63" customWidth="1"/>
    <col min="10009" max="10009" width="7.5703125" style="63" customWidth="1"/>
    <col min="10010" max="10010" width="12.7109375" style="63" bestFit="1" customWidth="1"/>
    <col min="10011" max="10011" width="9" style="63" customWidth="1"/>
    <col min="10012" max="10012" width="9.140625" style="63" customWidth="1"/>
    <col min="10013" max="10239" width="9.140625" style="63"/>
    <col min="10240" max="10240" width="41" style="63" customWidth="1"/>
    <col min="10241" max="10241" width="18" style="63" bestFit="1" customWidth="1"/>
    <col min="10242" max="10242" width="10.140625" style="63" customWidth="1"/>
    <col min="10243" max="10243" width="10.42578125" style="63" bestFit="1" customWidth="1"/>
    <col min="10244" max="10245" width="12.42578125" style="63" customWidth="1"/>
    <col min="10246" max="10246" width="12.28515625" style="63" customWidth="1"/>
    <col min="10247" max="10248" width="12.5703125" style="63" customWidth="1"/>
    <col min="10249" max="10250" width="9.85546875" style="63" customWidth="1"/>
    <col min="10251" max="10251" width="9.42578125" style="63" customWidth="1"/>
    <col min="10252" max="10252" width="12" style="63" bestFit="1" customWidth="1"/>
    <col min="10253" max="10254" width="12" style="63" customWidth="1"/>
    <col min="10255" max="10255" width="12.7109375" style="63" customWidth="1"/>
    <col min="10256" max="10256" width="14.42578125" style="63" bestFit="1" customWidth="1"/>
    <col min="10257" max="10257" width="14.42578125" style="63" customWidth="1"/>
    <col min="10258" max="10259" width="9.140625" style="63" customWidth="1"/>
    <col min="10260" max="10260" width="9.5703125" style="63" customWidth="1"/>
    <col min="10261" max="10261" width="10.7109375" style="63" bestFit="1" customWidth="1"/>
    <col min="10262" max="10262" width="12.7109375" style="63" bestFit="1" customWidth="1"/>
    <col min="10263" max="10263" width="9.5703125" style="63" customWidth="1"/>
    <col min="10264" max="10264" width="7.28515625" style="63" customWidth="1"/>
    <col min="10265" max="10265" width="7.5703125" style="63" customWidth="1"/>
    <col min="10266" max="10266" width="12.7109375" style="63" bestFit="1" customWidth="1"/>
    <col min="10267" max="10267" width="9" style="63" customWidth="1"/>
    <col min="10268" max="10268" width="9.140625" style="63" customWidth="1"/>
    <col min="10269" max="10495" width="9.140625" style="63"/>
    <col min="10496" max="10496" width="41" style="63" customWidth="1"/>
    <col min="10497" max="10497" width="18" style="63" bestFit="1" customWidth="1"/>
    <col min="10498" max="10498" width="10.140625" style="63" customWidth="1"/>
    <col min="10499" max="10499" width="10.42578125" style="63" bestFit="1" customWidth="1"/>
    <col min="10500" max="10501" width="12.42578125" style="63" customWidth="1"/>
    <col min="10502" max="10502" width="12.28515625" style="63" customWidth="1"/>
    <col min="10503" max="10504" width="12.5703125" style="63" customWidth="1"/>
    <col min="10505" max="10506" width="9.85546875" style="63" customWidth="1"/>
    <col min="10507" max="10507" width="9.42578125" style="63" customWidth="1"/>
    <col min="10508" max="10508" width="12" style="63" bestFit="1" customWidth="1"/>
    <col min="10509" max="10510" width="12" style="63" customWidth="1"/>
    <col min="10511" max="10511" width="12.7109375" style="63" customWidth="1"/>
    <col min="10512" max="10512" width="14.42578125" style="63" bestFit="1" customWidth="1"/>
    <col min="10513" max="10513" width="14.42578125" style="63" customWidth="1"/>
    <col min="10514" max="10515" width="9.140625" style="63" customWidth="1"/>
    <col min="10516" max="10516" width="9.5703125" style="63" customWidth="1"/>
    <col min="10517" max="10517" width="10.7109375" style="63" bestFit="1" customWidth="1"/>
    <col min="10518" max="10518" width="12.7109375" style="63" bestFit="1" customWidth="1"/>
    <col min="10519" max="10519" width="9.5703125" style="63" customWidth="1"/>
    <col min="10520" max="10520" width="7.28515625" style="63" customWidth="1"/>
    <col min="10521" max="10521" width="7.5703125" style="63" customWidth="1"/>
    <col min="10522" max="10522" width="12.7109375" style="63" bestFit="1" customWidth="1"/>
    <col min="10523" max="10523" width="9" style="63" customWidth="1"/>
    <col min="10524" max="10524" width="9.140625" style="63" customWidth="1"/>
    <col min="10525" max="10751" width="9.140625" style="63"/>
    <col min="10752" max="10752" width="41" style="63" customWidth="1"/>
    <col min="10753" max="10753" width="18" style="63" bestFit="1" customWidth="1"/>
    <col min="10754" max="10754" width="10.140625" style="63" customWidth="1"/>
    <col min="10755" max="10755" width="10.42578125" style="63" bestFit="1" customWidth="1"/>
    <col min="10756" max="10757" width="12.42578125" style="63" customWidth="1"/>
    <col min="10758" max="10758" width="12.28515625" style="63" customWidth="1"/>
    <col min="10759" max="10760" width="12.5703125" style="63" customWidth="1"/>
    <col min="10761" max="10762" width="9.85546875" style="63" customWidth="1"/>
    <col min="10763" max="10763" width="9.42578125" style="63" customWidth="1"/>
    <col min="10764" max="10764" width="12" style="63" bestFit="1" customWidth="1"/>
    <col min="10765" max="10766" width="12" style="63" customWidth="1"/>
    <col min="10767" max="10767" width="12.7109375" style="63" customWidth="1"/>
    <col min="10768" max="10768" width="14.42578125" style="63" bestFit="1" customWidth="1"/>
    <col min="10769" max="10769" width="14.42578125" style="63" customWidth="1"/>
    <col min="10770" max="10771" width="9.140625" style="63" customWidth="1"/>
    <col min="10772" max="10772" width="9.5703125" style="63" customWidth="1"/>
    <col min="10773" max="10773" width="10.7109375" style="63" bestFit="1" customWidth="1"/>
    <col min="10774" max="10774" width="12.7109375" style="63" bestFit="1" customWidth="1"/>
    <col min="10775" max="10775" width="9.5703125" style="63" customWidth="1"/>
    <col min="10776" max="10776" width="7.28515625" style="63" customWidth="1"/>
    <col min="10777" max="10777" width="7.5703125" style="63" customWidth="1"/>
    <col min="10778" max="10778" width="12.7109375" style="63" bestFit="1" customWidth="1"/>
    <col min="10779" max="10779" width="9" style="63" customWidth="1"/>
    <col min="10780" max="10780" width="9.140625" style="63" customWidth="1"/>
    <col min="10781" max="11007" width="9.140625" style="63"/>
    <col min="11008" max="11008" width="41" style="63" customWidth="1"/>
    <col min="11009" max="11009" width="18" style="63" bestFit="1" customWidth="1"/>
    <col min="11010" max="11010" width="10.140625" style="63" customWidth="1"/>
    <col min="11011" max="11011" width="10.42578125" style="63" bestFit="1" customWidth="1"/>
    <col min="11012" max="11013" width="12.42578125" style="63" customWidth="1"/>
    <col min="11014" max="11014" width="12.28515625" style="63" customWidth="1"/>
    <col min="11015" max="11016" width="12.5703125" style="63" customWidth="1"/>
    <col min="11017" max="11018" width="9.85546875" style="63" customWidth="1"/>
    <col min="11019" max="11019" width="9.42578125" style="63" customWidth="1"/>
    <col min="11020" max="11020" width="12" style="63" bestFit="1" customWidth="1"/>
    <col min="11021" max="11022" width="12" style="63" customWidth="1"/>
    <col min="11023" max="11023" width="12.7109375" style="63" customWidth="1"/>
    <col min="11024" max="11024" width="14.42578125" style="63" bestFit="1" customWidth="1"/>
    <col min="11025" max="11025" width="14.42578125" style="63" customWidth="1"/>
    <col min="11026" max="11027" width="9.140625" style="63" customWidth="1"/>
    <col min="11028" max="11028" width="9.5703125" style="63" customWidth="1"/>
    <col min="11029" max="11029" width="10.7109375" style="63" bestFit="1" customWidth="1"/>
    <col min="11030" max="11030" width="12.7109375" style="63" bestFit="1" customWidth="1"/>
    <col min="11031" max="11031" width="9.5703125" style="63" customWidth="1"/>
    <col min="11032" max="11032" width="7.28515625" style="63" customWidth="1"/>
    <col min="11033" max="11033" width="7.5703125" style="63" customWidth="1"/>
    <col min="11034" max="11034" width="12.7109375" style="63" bestFit="1" customWidth="1"/>
    <col min="11035" max="11035" width="9" style="63" customWidth="1"/>
    <col min="11036" max="11036" width="9.140625" style="63" customWidth="1"/>
    <col min="11037" max="11263" width="9.140625" style="63"/>
    <col min="11264" max="11264" width="41" style="63" customWidth="1"/>
    <col min="11265" max="11265" width="18" style="63" bestFit="1" customWidth="1"/>
    <col min="11266" max="11266" width="10.140625" style="63" customWidth="1"/>
    <col min="11267" max="11267" width="10.42578125" style="63" bestFit="1" customWidth="1"/>
    <col min="11268" max="11269" width="12.42578125" style="63" customWidth="1"/>
    <col min="11270" max="11270" width="12.28515625" style="63" customWidth="1"/>
    <col min="11271" max="11272" width="12.5703125" style="63" customWidth="1"/>
    <col min="11273" max="11274" width="9.85546875" style="63" customWidth="1"/>
    <col min="11275" max="11275" width="9.42578125" style="63" customWidth="1"/>
    <col min="11276" max="11276" width="12" style="63" bestFit="1" customWidth="1"/>
    <col min="11277" max="11278" width="12" style="63" customWidth="1"/>
    <col min="11279" max="11279" width="12.7109375" style="63" customWidth="1"/>
    <col min="11280" max="11280" width="14.42578125" style="63" bestFit="1" customWidth="1"/>
    <col min="11281" max="11281" width="14.42578125" style="63" customWidth="1"/>
    <col min="11282" max="11283" width="9.140625" style="63" customWidth="1"/>
    <col min="11284" max="11284" width="9.5703125" style="63" customWidth="1"/>
    <col min="11285" max="11285" width="10.7109375" style="63" bestFit="1" customWidth="1"/>
    <col min="11286" max="11286" width="12.7109375" style="63" bestFit="1" customWidth="1"/>
    <col min="11287" max="11287" width="9.5703125" style="63" customWidth="1"/>
    <col min="11288" max="11288" width="7.28515625" style="63" customWidth="1"/>
    <col min="11289" max="11289" width="7.5703125" style="63" customWidth="1"/>
    <col min="11290" max="11290" width="12.7109375" style="63" bestFit="1" customWidth="1"/>
    <col min="11291" max="11291" width="9" style="63" customWidth="1"/>
    <col min="11292" max="11292" width="9.140625" style="63" customWidth="1"/>
    <col min="11293" max="11519" width="9.140625" style="63"/>
    <col min="11520" max="11520" width="41" style="63" customWidth="1"/>
    <col min="11521" max="11521" width="18" style="63" bestFit="1" customWidth="1"/>
    <col min="11522" max="11522" width="10.140625" style="63" customWidth="1"/>
    <col min="11523" max="11523" width="10.42578125" style="63" bestFit="1" customWidth="1"/>
    <col min="11524" max="11525" width="12.42578125" style="63" customWidth="1"/>
    <col min="11526" max="11526" width="12.28515625" style="63" customWidth="1"/>
    <col min="11527" max="11528" width="12.5703125" style="63" customWidth="1"/>
    <col min="11529" max="11530" width="9.85546875" style="63" customWidth="1"/>
    <col min="11531" max="11531" width="9.42578125" style="63" customWidth="1"/>
    <col min="11532" max="11532" width="12" style="63" bestFit="1" customWidth="1"/>
    <col min="11533" max="11534" width="12" style="63" customWidth="1"/>
    <col min="11535" max="11535" width="12.7109375" style="63" customWidth="1"/>
    <col min="11536" max="11536" width="14.42578125" style="63" bestFit="1" customWidth="1"/>
    <col min="11537" max="11537" width="14.42578125" style="63" customWidth="1"/>
    <col min="11538" max="11539" width="9.140625" style="63" customWidth="1"/>
    <col min="11540" max="11540" width="9.5703125" style="63" customWidth="1"/>
    <col min="11541" max="11541" width="10.7109375" style="63" bestFit="1" customWidth="1"/>
    <col min="11542" max="11542" width="12.7109375" style="63" bestFit="1" customWidth="1"/>
    <col min="11543" max="11543" width="9.5703125" style="63" customWidth="1"/>
    <col min="11544" max="11544" width="7.28515625" style="63" customWidth="1"/>
    <col min="11545" max="11545" width="7.5703125" style="63" customWidth="1"/>
    <col min="11546" max="11546" width="12.7109375" style="63" bestFit="1" customWidth="1"/>
    <col min="11547" max="11547" width="9" style="63" customWidth="1"/>
    <col min="11548" max="11548" width="9.140625" style="63" customWidth="1"/>
    <col min="11549" max="11775" width="9.140625" style="63"/>
    <col min="11776" max="11776" width="41" style="63" customWidth="1"/>
    <col min="11777" max="11777" width="18" style="63" bestFit="1" customWidth="1"/>
    <col min="11778" max="11778" width="10.140625" style="63" customWidth="1"/>
    <col min="11779" max="11779" width="10.42578125" style="63" bestFit="1" customWidth="1"/>
    <col min="11780" max="11781" width="12.42578125" style="63" customWidth="1"/>
    <col min="11782" max="11782" width="12.28515625" style="63" customWidth="1"/>
    <col min="11783" max="11784" width="12.5703125" style="63" customWidth="1"/>
    <col min="11785" max="11786" width="9.85546875" style="63" customWidth="1"/>
    <col min="11787" max="11787" width="9.42578125" style="63" customWidth="1"/>
    <col min="11788" max="11788" width="12" style="63" bestFit="1" customWidth="1"/>
    <col min="11789" max="11790" width="12" style="63" customWidth="1"/>
    <col min="11791" max="11791" width="12.7109375" style="63" customWidth="1"/>
    <col min="11792" max="11792" width="14.42578125" style="63" bestFit="1" customWidth="1"/>
    <col min="11793" max="11793" width="14.42578125" style="63" customWidth="1"/>
    <col min="11794" max="11795" width="9.140625" style="63" customWidth="1"/>
    <col min="11796" max="11796" width="9.5703125" style="63" customWidth="1"/>
    <col min="11797" max="11797" width="10.7109375" style="63" bestFit="1" customWidth="1"/>
    <col min="11798" max="11798" width="12.7109375" style="63" bestFit="1" customWidth="1"/>
    <col min="11799" max="11799" width="9.5703125" style="63" customWidth="1"/>
    <col min="11800" max="11800" width="7.28515625" style="63" customWidth="1"/>
    <col min="11801" max="11801" width="7.5703125" style="63" customWidth="1"/>
    <col min="11802" max="11802" width="12.7109375" style="63" bestFit="1" customWidth="1"/>
    <col min="11803" max="11803" width="9" style="63" customWidth="1"/>
    <col min="11804" max="11804" width="9.140625" style="63" customWidth="1"/>
    <col min="11805" max="12031" width="9.140625" style="63"/>
    <col min="12032" max="12032" width="41" style="63" customWidth="1"/>
    <col min="12033" max="12033" width="18" style="63" bestFit="1" customWidth="1"/>
    <col min="12034" max="12034" width="10.140625" style="63" customWidth="1"/>
    <col min="12035" max="12035" width="10.42578125" style="63" bestFit="1" customWidth="1"/>
    <col min="12036" max="12037" width="12.42578125" style="63" customWidth="1"/>
    <col min="12038" max="12038" width="12.28515625" style="63" customWidth="1"/>
    <col min="12039" max="12040" width="12.5703125" style="63" customWidth="1"/>
    <col min="12041" max="12042" width="9.85546875" style="63" customWidth="1"/>
    <col min="12043" max="12043" width="9.42578125" style="63" customWidth="1"/>
    <col min="12044" max="12044" width="12" style="63" bestFit="1" customWidth="1"/>
    <col min="12045" max="12046" width="12" style="63" customWidth="1"/>
    <col min="12047" max="12047" width="12.7109375" style="63" customWidth="1"/>
    <col min="12048" max="12048" width="14.42578125" style="63" bestFit="1" customWidth="1"/>
    <col min="12049" max="12049" width="14.42578125" style="63" customWidth="1"/>
    <col min="12050" max="12051" width="9.140625" style="63" customWidth="1"/>
    <col min="12052" max="12052" width="9.5703125" style="63" customWidth="1"/>
    <col min="12053" max="12053" width="10.7109375" style="63" bestFit="1" customWidth="1"/>
    <col min="12054" max="12054" width="12.7109375" style="63" bestFit="1" customWidth="1"/>
    <col min="12055" max="12055" width="9.5703125" style="63" customWidth="1"/>
    <col min="12056" max="12056" width="7.28515625" style="63" customWidth="1"/>
    <col min="12057" max="12057" width="7.5703125" style="63" customWidth="1"/>
    <col min="12058" max="12058" width="12.7109375" style="63" bestFit="1" customWidth="1"/>
    <col min="12059" max="12059" width="9" style="63" customWidth="1"/>
    <col min="12060" max="12060" width="9.140625" style="63" customWidth="1"/>
    <col min="12061" max="12287" width="9.140625" style="63"/>
    <col min="12288" max="12288" width="41" style="63" customWidth="1"/>
    <col min="12289" max="12289" width="18" style="63" bestFit="1" customWidth="1"/>
    <col min="12290" max="12290" width="10.140625" style="63" customWidth="1"/>
    <col min="12291" max="12291" width="10.42578125" style="63" bestFit="1" customWidth="1"/>
    <col min="12292" max="12293" width="12.42578125" style="63" customWidth="1"/>
    <col min="12294" max="12294" width="12.28515625" style="63" customWidth="1"/>
    <col min="12295" max="12296" width="12.5703125" style="63" customWidth="1"/>
    <col min="12297" max="12298" width="9.85546875" style="63" customWidth="1"/>
    <col min="12299" max="12299" width="9.42578125" style="63" customWidth="1"/>
    <col min="12300" max="12300" width="12" style="63" bestFit="1" customWidth="1"/>
    <col min="12301" max="12302" width="12" style="63" customWidth="1"/>
    <col min="12303" max="12303" width="12.7109375" style="63" customWidth="1"/>
    <col min="12304" max="12304" width="14.42578125" style="63" bestFit="1" customWidth="1"/>
    <col min="12305" max="12305" width="14.42578125" style="63" customWidth="1"/>
    <col min="12306" max="12307" width="9.140625" style="63" customWidth="1"/>
    <col min="12308" max="12308" width="9.5703125" style="63" customWidth="1"/>
    <col min="12309" max="12309" width="10.7109375" style="63" bestFit="1" customWidth="1"/>
    <col min="12310" max="12310" width="12.7109375" style="63" bestFit="1" customWidth="1"/>
    <col min="12311" max="12311" width="9.5703125" style="63" customWidth="1"/>
    <col min="12312" max="12312" width="7.28515625" style="63" customWidth="1"/>
    <col min="12313" max="12313" width="7.5703125" style="63" customWidth="1"/>
    <col min="12314" max="12314" width="12.7109375" style="63" bestFit="1" customWidth="1"/>
    <col min="12315" max="12315" width="9" style="63" customWidth="1"/>
    <col min="12316" max="12316" width="9.140625" style="63" customWidth="1"/>
    <col min="12317" max="12543" width="9.140625" style="63"/>
    <col min="12544" max="12544" width="41" style="63" customWidth="1"/>
    <col min="12545" max="12545" width="18" style="63" bestFit="1" customWidth="1"/>
    <col min="12546" max="12546" width="10.140625" style="63" customWidth="1"/>
    <col min="12547" max="12547" width="10.42578125" style="63" bestFit="1" customWidth="1"/>
    <col min="12548" max="12549" width="12.42578125" style="63" customWidth="1"/>
    <col min="12550" max="12550" width="12.28515625" style="63" customWidth="1"/>
    <col min="12551" max="12552" width="12.5703125" style="63" customWidth="1"/>
    <col min="12553" max="12554" width="9.85546875" style="63" customWidth="1"/>
    <col min="12555" max="12555" width="9.42578125" style="63" customWidth="1"/>
    <col min="12556" max="12556" width="12" style="63" bestFit="1" customWidth="1"/>
    <col min="12557" max="12558" width="12" style="63" customWidth="1"/>
    <col min="12559" max="12559" width="12.7109375" style="63" customWidth="1"/>
    <col min="12560" max="12560" width="14.42578125" style="63" bestFit="1" customWidth="1"/>
    <col min="12561" max="12561" width="14.42578125" style="63" customWidth="1"/>
    <col min="12562" max="12563" width="9.140625" style="63" customWidth="1"/>
    <col min="12564" max="12564" width="9.5703125" style="63" customWidth="1"/>
    <col min="12565" max="12565" width="10.7109375" style="63" bestFit="1" customWidth="1"/>
    <col min="12566" max="12566" width="12.7109375" style="63" bestFit="1" customWidth="1"/>
    <col min="12567" max="12567" width="9.5703125" style="63" customWidth="1"/>
    <col min="12568" max="12568" width="7.28515625" style="63" customWidth="1"/>
    <col min="12569" max="12569" width="7.5703125" style="63" customWidth="1"/>
    <col min="12570" max="12570" width="12.7109375" style="63" bestFit="1" customWidth="1"/>
    <col min="12571" max="12571" width="9" style="63" customWidth="1"/>
    <col min="12572" max="12572" width="9.140625" style="63" customWidth="1"/>
    <col min="12573" max="12799" width="9.140625" style="63"/>
    <col min="12800" max="12800" width="41" style="63" customWidth="1"/>
    <col min="12801" max="12801" width="18" style="63" bestFit="1" customWidth="1"/>
    <col min="12802" max="12802" width="10.140625" style="63" customWidth="1"/>
    <col min="12803" max="12803" width="10.42578125" style="63" bestFit="1" customWidth="1"/>
    <col min="12804" max="12805" width="12.42578125" style="63" customWidth="1"/>
    <col min="12806" max="12806" width="12.28515625" style="63" customWidth="1"/>
    <col min="12807" max="12808" width="12.5703125" style="63" customWidth="1"/>
    <col min="12809" max="12810" width="9.85546875" style="63" customWidth="1"/>
    <col min="12811" max="12811" width="9.42578125" style="63" customWidth="1"/>
    <col min="12812" max="12812" width="12" style="63" bestFit="1" customWidth="1"/>
    <col min="12813" max="12814" width="12" style="63" customWidth="1"/>
    <col min="12815" max="12815" width="12.7109375" style="63" customWidth="1"/>
    <col min="12816" max="12816" width="14.42578125" style="63" bestFit="1" customWidth="1"/>
    <col min="12817" max="12817" width="14.42578125" style="63" customWidth="1"/>
    <col min="12818" max="12819" width="9.140625" style="63" customWidth="1"/>
    <col min="12820" max="12820" width="9.5703125" style="63" customWidth="1"/>
    <col min="12821" max="12821" width="10.7109375" style="63" bestFit="1" customWidth="1"/>
    <col min="12822" max="12822" width="12.7109375" style="63" bestFit="1" customWidth="1"/>
    <col min="12823" max="12823" width="9.5703125" style="63" customWidth="1"/>
    <col min="12824" max="12824" width="7.28515625" style="63" customWidth="1"/>
    <col min="12825" max="12825" width="7.5703125" style="63" customWidth="1"/>
    <col min="12826" max="12826" width="12.7109375" style="63" bestFit="1" customWidth="1"/>
    <col min="12827" max="12827" width="9" style="63" customWidth="1"/>
    <col min="12828" max="12828" width="9.140625" style="63" customWidth="1"/>
    <col min="12829" max="13055" width="9.140625" style="63"/>
    <col min="13056" max="13056" width="41" style="63" customWidth="1"/>
    <col min="13057" max="13057" width="18" style="63" bestFit="1" customWidth="1"/>
    <col min="13058" max="13058" width="10.140625" style="63" customWidth="1"/>
    <col min="13059" max="13059" width="10.42578125" style="63" bestFit="1" customWidth="1"/>
    <col min="13060" max="13061" width="12.42578125" style="63" customWidth="1"/>
    <col min="13062" max="13062" width="12.28515625" style="63" customWidth="1"/>
    <col min="13063" max="13064" width="12.5703125" style="63" customWidth="1"/>
    <col min="13065" max="13066" width="9.85546875" style="63" customWidth="1"/>
    <col min="13067" max="13067" width="9.42578125" style="63" customWidth="1"/>
    <col min="13068" max="13068" width="12" style="63" bestFit="1" customWidth="1"/>
    <col min="13069" max="13070" width="12" style="63" customWidth="1"/>
    <col min="13071" max="13071" width="12.7109375" style="63" customWidth="1"/>
    <col min="13072" max="13072" width="14.42578125" style="63" bestFit="1" customWidth="1"/>
    <col min="13073" max="13073" width="14.42578125" style="63" customWidth="1"/>
    <col min="13074" max="13075" width="9.140625" style="63" customWidth="1"/>
    <col min="13076" max="13076" width="9.5703125" style="63" customWidth="1"/>
    <col min="13077" max="13077" width="10.7109375" style="63" bestFit="1" customWidth="1"/>
    <col min="13078" max="13078" width="12.7109375" style="63" bestFit="1" customWidth="1"/>
    <col min="13079" max="13079" width="9.5703125" style="63" customWidth="1"/>
    <col min="13080" max="13080" width="7.28515625" style="63" customWidth="1"/>
    <col min="13081" max="13081" width="7.5703125" style="63" customWidth="1"/>
    <col min="13082" max="13082" width="12.7109375" style="63" bestFit="1" customWidth="1"/>
    <col min="13083" max="13083" width="9" style="63" customWidth="1"/>
    <col min="13084" max="13084" width="9.140625" style="63" customWidth="1"/>
    <col min="13085" max="13311" width="9.140625" style="63"/>
    <col min="13312" max="13312" width="41" style="63" customWidth="1"/>
    <col min="13313" max="13313" width="18" style="63" bestFit="1" customWidth="1"/>
    <col min="13314" max="13314" width="10.140625" style="63" customWidth="1"/>
    <col min="13315" max="13315" width="10.42578125" style="63" bestFit="1" customWidth="1"/>
    <col min="13316" max="13317" width="12.42578125" style="63" customWidth="1"/>
    <col min="13318" max="13318" width="12.28515625" style="63" customWidth="1"/>
    <col min="13319" max="13320" width="12.5703125" style="63" customWidth="1"/>
    <col min="13321" max="13322" width="9.85546875" style="63" customWidth="1"/>
    <col min="13323" max="13323" width="9.42578125" style="63" customWidth="1"/>
    <col min="13324" max="13324" width="12" style="63" bestFit="1" customWidth="1"/>
    <col min="13325" max="13326" width="12" style="63" customWidth="1"/>
    <col min="13327" max="13327" width="12.7109375" style="63" customWidth="1"/>
    <col min="13328" max="13328" width="14.42578125" style="63" bestFit="1" customWidth="1"/>
    <col min="13329" max="13329" width="14.42578125" style="63" customWidth="1"/>
    <col min="13330" max="13331" width="9.140625" style="63" customWidth="1"/>
    <col min="13332" max="13332" width="9.5703125" style="63" customWidth="1"/>
    <col min="13333" max="13333" width="10.7109375" style="63" bestFit="1" customWidth="1"/>
    <col min="13334" max="13334" width="12.7109375" style="63" bestFit="1" customWidth="1"/>
    <col min="13335" max="13335" width="9.5703125" style="63" customWidth="1"/>
    <col min="13336" max="13336" width="7.28515625" style="63" customWidth="1"/>
    <col min="13337" max="13337" width="7.5703125" style="63" customWidth="1"/>
    <col min="13338" max="13338" width="12.7109375" style="63" bestFit="1" customWidth="1"/>
    <col min="13339" max="13339" width="9" style="63" customWidth="1"/>
    <col min="13340" max="13340" width="9.140625" style="63" customWidth="1"/>
    <col min="13341" max="13567" width="9.140625" style="63"/>
    <col min="13568" max="13568" width="41" style="63" customWidth="1"/>
    <col min="13569" max="13569" width="18" style="63" bestFit="1" customWidth="1"/>
    <col min="13570" max="13570" width="10.140625" style="63" customWidth="1"/>
    <col min="13571" max="13571" width="10.42578125" style="63" bestFit="1" customWidth="1"/>
    <col min="13572" max="13573" width="12.42578125" style="63" customWidth="1"/>
    <col min="13574" max="13574" width="12.28515625" style="63" customWidth="1"/>
    <col min="13575" max="13576" width="12.5703125" style="63" customWidth="1"/>
    <col min="13577" max="13578" width="9.85546875" style="63" customWidth="1"/>
    <col min="13579" max="13579" width="9.42578125" style="63" customWidth="1"/>
    <col min="13580" max="13580" width="12" style="63" bestFit="1" customWidth="1"/>
    <col min="13581" max="13582" width="12" style="63" customWidth="1"/>
    <col min="13583" max="13583" width="12.7109375" style="63" customWidth="1"/>
    <col min="13584" max="13584" width="14.42578125" style="63" bestFit="1" customWidth="1"/>
    <col min="13585" max="13585" width="14.42578125" style="63" customWidth="1"/>
    <col min="13586" max="13587" width="9.140625" style="63" customWidth="1"/>
    <col min="13588" max="13588" width="9.5703125" style="63" customWidth="1"/>
    <col min="13589" max="13589" width="10.7109375" style="63" bestFit="1" customWidth="1"/>
    <col min="13590" max="13590" width="12.7109375" style="63" bestFit="1" customWidth="1"/>
    <col min="13591" max="13591" width="9.5703125" style="63" customWidth="1"/>
    <col min="13592" max="13592" width="7.28515625" style="63" customWidth="1"/>
    <col min="13593" max="13593" width="7.5703125" style="63" customWidth="1"/>
    <col min="13594" max="13594" width="12.7109375" style="63" bestFit="1" customWidth="1"/>
    <col min="13595" max="13595" width="9" style="63" customWidth="1"/>
    <col min="13596" max="13596" width="9.140625" style="63" customWidth="1"/>
    <col min="13597" max="13823" width="9.140625" style="63"/>
    <col min="13824" max="13824" width="41" style="63" customWidth="1"/>
    <col min="13825" max="13825" width="18" style="63" bestFit="1" customWidth="1"/>
    <col min="13826" max="13826" width="10.140625" style="63" customWidth="1"/>
    <col min="13827" max="13827" width="10.42578125" style="63" bestFit="1" customWidth="1"/>
    <col min="13828" max="13829" width="12.42578125" style="63" customWidth="1"/>
    <col min="13830" max="13830" width="12.28515625" style="63" customWidth="1"/>
    <col min="13831" max="13832" width="12.5703125" style="63" customWidth="1"/>
    <col min="13833" max="13834" width="9.85546875" style="63" customWidth="1"/>
    <col min="13835" max="13835" width="9.42578125" style="63" customWidth="1"/>
    <col min="13836" max="13836" width="12" style="63" bestFit="1" customWidth="1"/>
    <col min="13837" max="13838" width="12" style="63" customWidth="1"/>
    <col min="13839" max="13839" width="12.7109375" style="63" customWidth="1"/>
    <col min="13840" max="13840" width="14.42578125" style="63" bestFit="1" customWidth="1"/>
    <col min="13841" max="13841" width="14.42578125" style="63" customWidth="1"/>
    <col min="13842" max="13843" width="9.140625" style="63" customWidth="1"/>
    <col min="13844" max="13844" width="9.5703125" style="63" customWidth="1"/>
    <col min="13845" max="13845" width="10.7109375" style="63" bestFit="1" customWidth="1"/>
    <col min="13846" max="13846" width="12.7109375" style="63" bestFit="1" customWidth="1"/>
    <col min="13847" max="13847" width="9.5703125" style="63" customWidth="1"/>
    <col min="13848" max="13848" width="7.28515625" style="63" customWidth="1"/>
    <col min="13849" max="13849" width="7.5703125" style="63" customWidth="1"/>
    <col min="13850" max="13850" width="12.7109375" style="63" bestFit="1" customWidth="1"/>
    <col min="13851" max="13851" width="9" style="63" customWidth="1"/>
    <col min="13852" max="13852" width="9.140625" style="63" customWidth="1"/>
    <col min="13853" max="14079" width="9.140625" style="63"/>
    <col min="14080" max="14080" width="41" style="63" customWidth="1"/>
    <col min="14081" max="14081" width="18" style="63" bestFit="1" customWidth="1"/>
    <col min="14082" max="14082" width="10.140625" style="63" customWidth="1"/>
    <col min="14083" max="14083" width="10.42578125" style="63" bestFit="1" customWidth="1"/>
    <col min="14084" max="14085" width="12.42578125" style="63" customWidth="1"/>
    <col min="14086" max="14086" width="12.28515625" style="63" customWidth="1"/>
    <col min="14087" max="14088" width="12.5703125" style="63" customWidth="1"/>
    <col min="14089" max="14090" width="9.85546875" style="63" customWidth="1"/>
    <col min="14091" max="14091" width="9.42578125" style="63" customWidth="1"/>
    <col min="14092" max="14092" width="12" style="63" bestFit="1" customWidth="1"/>
    <col min="14093" max="14094" width="12" style="63" customWidth="1"/>
    <col min="14095" max="14095" width="12.7109375" style="63" customWidth="1"/>
    <col min="14096" max="14096" width="14.42578125" style="63" bestFit="1" customWidth="1"/>
    <col min="14097" max="14097" width="14.42578125" style="63" customWidth="1"/>
    <col min="14098" max="14099" width="9.140625" style="63" customWidth="1"/>
    <col min="14100" max="14100" width="9.5703125" style="63" customWidth="1"/>
    <col min="14101" max="14101" width="10.7109375" style="63" bestFit="1" customWidth="1"/>
    <col min="14102" max="14102" width="12.7109375" style="63" bestFit="1" customWidth="1"/>
    <col min="14103" max="14103" width="9.5703125" style="63" customWidth="1"/>
    <col min="14104" max="14104" width="7.28515625" style="63" customWidth="1"/>
    <col min="14105" max="14105" width="7.5703125" style="63" customWidth="1"/>
    <col min="14106" max="14106" width="12.7109375" style="63" bestFit="1" customWidth="1"/>
    <col min="14107" max="14107" width="9" style="63" customWidth="1"/>
    <col min="14108" max="14108" width="9.140625" style="63" customWidth="1"/>
    <col min="14109" max="14335" width="9.140625" style="63"/>
    <col min="14336" max="14336" width="41" style="63" customWidth="1"/>
    <col min="14337" max="14337" width="18" style="63" bestFit="1" customWidth="1"/>
    <col min="14338" max="14338" width="10.140625" style="63" customWidth="1"/>
    <col min="14339" max="14339" width="10.42578125" style="63" bestFit="1" customWidth="1"/>
    <col min="14340" max="14341" width="12.42578125" style="63" customWidth="1"/>
    <col min="14342" max="14342" width="12.28515625" style="63" customWidth="1"/>
    <col min="14343" max="14344" width="12.5703125" style="63" customWidth="1"/>
    <col min="14345" max="14346" width="9.85546875" style="63" customWidth="1"/>
    <col min="14347" max="14347" width="9.42578125" style="63" customWidth="1"/>
    <col min="14348" max="14348" width="12" style="63" bestFit="1" customWidth="1"/>
    <col min="14349" max="14350" width="12" style="63" customWidth="1"/>
    <col min="14351" max="14351" width="12.7109375" style="63" customWidth="1"/>
    <col min="14352" max="14352" width="14.42578125" style="63" bestFit="1" customWidth="1"/>
    <col min="14353" max="14353" width="14.42578125" style="63" customWidth="1"/>
    <col min="14354" max="14355" width="9.140625" style="63" customWidth="1"/>
    <col min="14356" max="14356" width="9.5703125" style="63" customWidth="1"/>
    <col min="14357" max="14357" width="10.7109375" style="63" bestFit="1" customWidth="1"/>
    <col min="14358" max="14358" width="12.7109375" style="63" bestFit="1" customWidth="1"/>
    <col min="14359" max="14359" width="9.5703125" style="63" customWidth="1"/>
    <col min="14360" max="14360" width="7.28515625" style="63" customWidth="1"/>
    <col min="14361" max="14361" width="7.5703125" style="63" customWidth="1"/>
    <col min="14362" max="14362" width="12.7109375" style="63" bestFit="1" customWidth="1"/>
    <col min="14363" max="14363" width="9" style="63" customWidth="1"/>
    <col min="14364" max="14364" width="9.140625" style="63" customWidth="1"/>
    <col min="14365" max="14591" width="9.140625" style="63"/>
    <col min="14592" max="14592" width="41" style="63" customWidth="1"/>
    <col min="14593" max="14593" width="18" style="63" bestFit="1" customWidth="1"/>
    <col min="14594" max="14594" width="10.140625" style="63" customWidth="1"/>
    <col min="14595" max="14595" width="10.42578125" style="63" bestFit="1" customWidth="1"/>
    <col min="14596" max="14597" width="12.42578125" style="63" customWidth="1"/>
    <col min="14598" max="14598" width="12.28515625" style="63" customWidth="1"/>
    <col min="14599" max="14600" width="12.5703125" style="63" customWidth="1"/>
    <col min="14601" max="14602" width="9.85546875" style="63" customWidth="1"/>
    <col min="14603" max="14603" width="9.42578125" style="63" customWidth="1"/>
    <col min="14604" max="14604" width="12" style="63" bestFit="1" customWidth="1"/>
    <col min="14605" max="14606" width="12" style="63" customWidth="1"/>
    <col min="14607" max="14607" width="12.7109375" style="63" customWidth="1"/>
    <col min="14608" max="14608" width="14.42578125" style="63" bestFit="1" customWidth="1"/>
    <col min="14609" max="14609" width="14.42578125" style="63" customWidth="1"/>
    <col min="14610" max="14611" width="9.140625" style="63" customWidth="1"/>
    <col min="14612" max="14612" width="9.5703125" style="63" customWidth="1"/>
    <col min="14613" max="14613" width="10.7109375" style="63" bestFit="1" customWidth="1"/>
    <col min="14614" max="14614" width="12.7109375" style="63" bestFit="1" customWidth="1"/>
    <col min="14615" max="14615" width="9.5703125" style="63" customWidth="1"/>
    <col min="14616" max="14616" width="7.28515625" style="63" customWidth="1"/>
    <col min="14617" max="14617" width="7.5703125" style="63" customWidth="1"/>
    <col min="14618" max="14618" width="12.7109375" style="63" bestFit="1" customWidth="1"/>
    <col min="14619" max="14619" width="9" style="63" customWidth="1"/>
    <col min="14620" max="14620" width="9.140625" style="63" customWidth="1"/>
    <col min="14621" max="14847" width="9.140625" style="63"/>
    <col min="14848" max="14848" width="41" style="63" customWidth="1"/>
    <col min="14849" max="14849" width="18" style="63" bestFit="1" customWidth="1"/>
    <col min="14850" max="14850" width="10.140625" style="63" customWidth="1"/>
    <col min="14851" max="14851" width="10.42578125" style="63" bestFit="1" customWidth="1"/>
    <col min="14852" max="14853" width="12.42578125" style="63" customWidth="1"/>
    <col min="14854" max="14854" width="12.28515625" style="63" customWidth="1"/>
    <col min="14855" max="14856" width="12.5703125" style="63" customWidth="1"/>
    <col min="14857" max="14858" width="9.85546875" style="63" customWidth="1"/>
    <col min="14859" max="14859" width="9.42578125" style="63" customWidth="1"/>
    <col min="14860" max="14860" width="12" style="63" bestFit="1" customWidth="1"/>
    <col min="14861" max="14862" width="12" style="63" customWidth="1"/>
    <col min="14863" max="14863" width="12.7109375" style="63" customWidth="1"/>
    <col min="14864" max="14864" width="14.42578125" style="63" bestFit="1" customWidth="1"/>
    <col min="14865" max="14865" width="14.42578125" style="63" customWidth="1"/>
    <col min="14866" max="14867" width="9.140625" style="63" customWidth="1"/>
    <col min="14868" max="14868" width="9.5703125" style="63" customWidth="1"/>
    <col min="14869" max="14869" width="10.7109375" style="63" bestFit="1" customWidth="1"/>
    <col min="14870" max="14870" width="12.7109375" style="63" bestFit="1" customWidth="1"/>
    <col min="14871" max="14871" width="9.5703125" style="63" customWidth="1"/>
    <col min="14872" max="14872" width="7.28515625" style="63" customWidth="1"/>
    <col min="14873" max="14873" width="7.5703125" style="63" customWidth="1"/>
    <col min="14874" max="14874" width="12.7109375" style="63" bestFit="1" customWidth="1"/>
    <col min="14875" max="14875" width="9" style="63" customWidth="1"/>
    <col min="14876" max="14876" width="9.140625" style="63" customWidth="1"/>
    <col min="14877" max="15103" width="9.140625" style="63"/>
    <col min="15104" max="15104" width="41" style="63" customWidth="1"/>
    <col min="15105" max="15105" width="18" style="63" bestFit="1" customWidth="1"/>
    <col min="15106" max="15106" width="10.140625" style="63" customWidth="1"/>
    <col min="15107" max="15107" width="10.42578125" style="63" bestFit="1" customWidth="1"/>
    <col min="15108" max="15109" width="12.42578125" style="63" customWidth="1"/>
    <col min="15110" max="15110" width="12.28515625" style="63" customWidth="1"/>
    <col min="15111" max="15112" width="12.5703125" style="63" customWidth="1"/>
    <col min="15113" max="15114" width="9.85546875" style="63" customWidth="1"/>
    <col min="15115" max="15115" width="9.42578125" style="63" customWidth="1"/>
    <col min="15116" max="15116" width="12" style="63" bestFit="1" customWidth="1"/>
    <col min="15117" max="15118" width="12" style="63" customWidth="1"/>
    <col min="15119" max="15119" width="12.7109375" style="63" customWidth="1"/>
    <col min="15120" max="15120" width="14.42578125" style="63" bestFit="1" customWidth="1"/>
    <col min="15121" max="15121" width="14.42578125" style="63" customWidth="1"/>
    <col min="15122" max="15123" width="9.140625" style="63" customWidth="1"/>
    <col min="15124" max="15124" width="9.5703125" style="63" customWidth="1"/>
    <col min="15125" max="15125" width="10.7109375" style="63" bestFit="1" customWidth="1"/>
    <col min="15126" max="15126" width="12.7109375" style="63" bestFit="1" customWidth="1"/>
    <col min="15127" max="15127" width="9.5703125" style="63" customWidth="1"/>
    <col min="15128" max="15128" width="7.28515625" style="63" customWidth="1"/>
    <col min="15129" max="15129" width="7.5703125" style="63" customWidth="1"/>
    <col min="15130" max="15130" width="12.7109375" style="63" bestFit="1" customWidth="1"/>
    <col min="15131" max="15131" width="9" style="63" customWidth="1"/>
    <col min="15132" max="15132" width="9.140625" style="63" customWidth="1"/>
    <col min="15133" max="15359" width="9.140625" style="63"/>
    <col min="15360" max="15360" width="41" style="63" customWidth="1"/>
    <col min="15361" max="15361" width="18" style="63" bestFit="1" customWidth="1"/>
    <col min="15362" max="15362" width="10.140625" style="63" customWidth="1"/>
    <col min="15363" max="15363" width="10.42578125" style="63" bestFit="1" customWidth="1"/>
    <col min="15364" max="15365" width="12.42578125" style="63" customWidth="1"/>
    <col min="15366" max="15366" width="12.28515625" style="63" customWidth="1"/>
    <col min="15367" max="15368" width="12.5703125" style="63" customWidth="1"/>
    <col min="15369" max="15370" width="9.85546875" style="63" customWidth="1"/>
    <col min="15371" max="15371" width="9.42578125" style="63" customWidth="1"/>
    <col min="15372" max="15372" width="12" style="63" bestFit="1" customWidth="1"/>
    <col min="15373" max="15374" width="12" style="63" customWidth="1"/>
    <col min="15375" max="15375" width="12.7109375" style="63" customWidth="1"/>
    <col min="15376" max="15376" width="14.42578125" style="63" bestFit="1" customWidth="1"/>
    <col min="15377" max="15377" width="14.42578125" style="63" customWidth="1"/>
    <col min="15378" max="15379" width="9.140625" style="63" customWidth="1"/>
    <col min="15380" max="15380" width="9.5703125" style="63" customWidth="1"/>
    <col min="15381" max="15381" width="10.7109375" style="63" bestFit="1" customWidth="1"/>
    <col min="15382" max="15382" width="12.7109375" style="63" bestFit="1" customWidth="1"/>
    <col min="15383" max="15383" width="9.5703125" style="63" customWidth="1"/>
    <col min="15384" max="15384" width="7.28515625" style="63" customWidth="1"/>
    <col min="15385" max="15385" width="7.5703125" style="63" customWidth="1"/>
    <col min="15386" max="15386" width="12.7109375" style="63" bestFit="1" customWidth="1"/>
    <col min="15387" max="15387" width="9" style="63" customWidth="1"/>
    <col min="15388" max="15388" width="9.140625" style="63" customWidth="1"/>
    <col min="15389" max="15615" width="9.140625" style="63"/>
    <col min="15616" max="15616" width="41" style="63" customWidth="1"/>
    <col min="15617" max="15617" width="18" style="63" bestFit="1" customWidth="1"/>
    <col min="15618" max="15618" width="10.140625" style="63" customWidth="1"/>
    <col min="15619" max="15619" width="10.42578125" style="63" bestFit="1" customWidth="1"/>
    <col min="15620" max="15621" width="12.42578125" style="63" customWidth="1"/>
    <col min="15622" max="15622" width="12.28515625" style="63" customWidth="1"/>
    <col min="15623" max="15624" width="12.5703125" style="63" customWidth="1"/>
    <col min="15625" max="15626" width="9.85546875" style="63" customWidth="1"/>
    <col min="15627" max="15627" width="9.42578125" style="63" customWidth="1"/>
    <col min="15628" max="15628" width="12" style="63" bestFit="1" customWidth="1"/>
    <col min="15629" max="15630" width="12" style="63" customWidth="1"/>
    <col min="15631" max="15631" width="12.7109375" style="63" customWidth="1"/>
    <col min="15632" max="15632" width="14.42578125" style="63" bestFit="1" customWidth="1"/>
    <col min="15633" max="15633" width="14.42578125" style="63" customWidth="1"/>
    <col min="15634" max="15635" width="9.140625" style="63" customWidth="1"/>
    <col min="15636" max="15636" width="9.5703125" style="63" customWidth="1"/>
    <col min="15637" max="15637" width="10.7109375" style="63" bestFit="1" customWidth="1"/>
    <col min="15638" max="15638" width="12.7109375" style="63" bestFit="1" customWidth="1"/>
    <col min="15639" max="15639" width="9.5703125" style="63" customWidth="1"/>
    <col min="15640" max="15640" width="7.28515625" style="63" customWidth="1"/>
    <col min="15641" max="15641" width="7.5703125" style="63" customWidth="1"/>
    <col min="15642" max="15642" width="12.7109375" style="63" bestFit="1" customWidth="1"/>
    <col min="15643" max="15643" width="9" style="63" customWidth="1"/>
    <col min="15644" max="15644" width="9.140625" style="63" customWidth="1"/>
    <col min="15645" max="15871" width="9.140625" style="63"/>
    <col min="15872" max="15872" width="41" style="63" customWidth="1"/>
    <col min="15873" max="15873" width="18" style="63" bestFit="1" customWidth="1"/>
    <col min="15874" max="15874" width="10.140625" style="63" customWidth="1"/>
    <col min="15875" max="15875" width="10.42578125" style="63" bestFit="1" customWidth="1"/>
    <col min="15876" max="15877" width="12.42578125" style="63" customWidth="1"/>
    <col min="15878" max="15878" width="12.28515625" style="63" customWidth="1"/>
    <col min="15879" max="15880" width="12.5703125" style="63" customWidth="1"/>
    <col min="15881" max="15882" width="9.85546875" style="63" customWidth="1"/>
    <col min="15883" max="15883" width="9.42578125" style="63" customWidth="1"/>
    <col min="15884" max="15884" width="12" style="63" bestFit="1" customWidth="1"/>
    <col min="15885" max="15886" width="12" style="63" customWidth="1"/>
    <col min="15887" max="15887" width="12.7109375" style="63" customWidth="1"/>
    <col min="15888" max="15888" width="14.42578125" style="63" bestFit="1" customWidth="1"/>
    <col min="15889" max="15889" width="14.42578125" style="63" customWidth="1"/>
    <col min="15890" max="15891" width="9.140625" style="63" customWidth="1"/>
    <col min="15892" max="15892" width="9.5703125" style="63" customWidth="1"/>
    <col min="15893" max="15893" width="10.7109375" style="63" bestFit="1" customWidth="1"/>
    <col min="15894" max="15894" width="12.7109375" style="63" bestFit="1" customWidth="1"/>
    <col min="15895" max="15895" width="9.5703125" style="63" customWidth="1"/>
    <col min="15896" max="15896" width="7.28515625" style="63" customWidth="1"/>
    <col min="15897" max="15897" width="7.5703125" style="63" customWidth="1"/>
    <col min="15898" max="15898" width="12.7109375" style="63" bestFit="1" customWidth="1"/>
    <col min="15899" max="15899" width="9" style="63" customWidth="1"/>
    <col min="15900" max="15900" width="9.140625" style="63" customWidth="1"/>
    <col min="15901" max="16127" width="9.140625" style="63"/>
    <col min="16128" max="16128" width="41" style="63" customWidth="1"/>
    <col min="16129" max="16129" width="18" style="63" bestFit="1" customWidth="1"/>
    <col min="16130" max="16130" width="10.140625" style="63" customWidth="1"/>
    <col min="16131" max="16131" width="10.42578125" style="63" bestFit="1" customWidth="1"/>
    <col min="16132" max="16133" width="12.42578125" style="63" customWidth="1"/>
    <col min="16134" max="16134" width="12.28515625" style="63" customWidth="1"/>
    <col min="16135" max="16136" width="12.5703125" style="63" customWidth="1"/>
    <col min="16137" max="16138" width="9.85546875" style="63" customWidth="1"/>
    <col min="16139" max="16139" width="9.42578125" style="63" customWidth="1"/>
    <col min="16140" max="16140" width="12" style="63" bestFit="1" customWidth="1"/>
    <col min="16141" max="16142" width="12" style="63" customWidth="1"/>
    <col min="16143" max="16143" width="12.7109375" style="63" customWidth="1"/>
    <col min="16144" max="16144" width="14.42578125" style="63" bestFit="1" customWidth="1"/>
    <col min="16145" max="16145" width="14.42578125" style="63" customWidth="1"/>
    <col min="16146" max="16147" width="9.140625" style="63" customWidth="1"/>
    <col min="16148" max="16148" width="9.5703125" style="63" customWidth="1"/>
    <col min="16149" max="16149" width="10.7109375" style="63" bestFit="1" customWidth="1"/>
    <col min="16150" max="16150" width="12.7109375" style="63" bestFit="1" customWidth="1"/>
    <col min="16151" max="16151" width="9.5703125" style="63" customWidth="1"/>
    <col min="16152" max="16152" width="7.28515625" style="63" customWidth="1"/>
    <col min="16153" max="16153" width="7.5703125" style="63" customWidth="1"/>
    <col min="16154" max="16154" width="12.7109375" style="63" bestFit="1" customWidth="1"/>
    <col min="16155" max="16155" width="9" style="63" customWidth="1"/>
    <col min="16156" max="16156" width="9.140625" style="63" customWidth="1"/>
    <col min="16157" max="16384" width="9.140625" style="63"/>
  </cols>
  <sheetData>
    <row r="1" spans="1:27" ht="41.25" customHeight="1" thickBot="1" x14ac:dyDescent="0.25">
      <c r="A1" s="59" t="s">
        <v>134</v>
      </c>
      <c r="B1" s="157" t="s">
        <v>220</v>
      </c>
      <c r="C1" s="158"/>
      <c r="D1" s="158"/>
      <c r="E1" s="158"/>
      <c r="F1" s="158"/>
      <c r="G1" s="158"/>
      <c r="H1" s="159"/>
      <c r="I1" s="60"/>
      <c r="J1" s="61"/>
      <c r="K1" s="61"/>
      <c r="L1" s="61"/>
      <c r="M1" s="61"/>
      <c r="N1" s="61"/>
      <c r="O1" s="61"/>
      <c r="P1" s="62"/>
      <c r="Q1" s="62"/>
      <c r="R1" s="62"/>
    </row>
    <row r="2" spans="1:27" ht="24.75" customHeight="1" thickBot="1" x14ac:dyDescent="0.25">
      <c r="A2" s="64" t="s">
        <v>171</v>
      </c>
      <c r="B2" s="160" t="s">
        <v>221</v>
      </c>
      <c r="C2" s="161"/>
      <c r="D2" s="161"/>
      <c r="E2" s="161"/>
      <c r="F2" s="161"/>
      <c r="G2" s="161"/>
      <c r="H2" s="162"/>
      <c r="I2" s="65"/>
      <c r="J2" s="66"/>
      <c r="K2" s="66"/>
      <c r="L2" s="66"/>
      <c r="M2" s="66"/>
      <c r="N2" s="66"/>
      <c r="O2" s="66"/>
      <c r="P2" s="66"/>
      <c r="Q2" s="66"/>
      <c r="R2" s="67"/>
    </row>
    <row r="3" spans="1:27" ht="27" customHeight="1" thickBot="1" x14ac:dyDescent="0.25">
      <c r="A3" s="163" t="s">
        <v>172</v>
      </c>
      <c r="B3" s="163"/>
      <c r="C3" s="163"/>
      <c r="D3" s="163"/>
      <c r="E3" s="163"/>
      <c r="F3" s="163"/>
      <c r="G3" s="163"/>
      <c r="H3" s="163"/>
      <c r="I3" s="68"/>
      <c r="J3" s="69"/>
      <c r="K3" s="69"/>
      <c r="L3" s="69"/>
      <c r="M3" s="69"/>
      <c r="N3" s="69"/>
      <c r="O3" s="69"/>
      <c r="P3" s="69"/>
      <c r="Q3" s="69"/>
      <c r="R3" s="70"/>
    </row>
    <row r="4" spans="1:27" x14ac:dyDescent="0.2">
      <c r="A4" s="164" t="s">
        <v>173</v>
      </c>
      <c r="B4" s="165"/>
      <c r="C4" s="165"/>
      <c r="D4" s="165"/>
      <c r="E4" s="165"/>
      <c r="F4" s="165"/>
      <c r="G4" s="165"/>
      <c r="H4" s="166"/>
      <c r="I4" s="71"/>
      <c r="J4" s="69"/>
      <c r="K4" s="69"/>
      <c r="L4" s="69"/>
      <c r="M4" s="69"/>
      <c r="N4" s="69"/>
      <c r="O4" s="69"/>
      <c r="P4" s="69"/>
      <c r="Q4" s="69"/>
      <c r="R4" s="70"/>
    </row>
    <row r="5" spans="1:27" ht="13.5" thickBot="1" x14ac:dyDescent="0.25">
      <c r="A5" s="167"/>
      <c r="B5" s="168"/>
      <c r="C5" s="168"/>
      <c r="D5" s="168"/>
      <c r="E5" s="168"/>
      <c r="F5" s="168"/>
      <c r="G5" s="168"/>
      <c r="H5" s="169"/>
      <c r="I5" s="71"/>
      <c r="J5" s="69"/>
      <c r="K5" s="69"/>
      <c r="L5" s="69"/>
      <c r="M5" s="69"/>
      <c r="N5" s="69"/>
      <c r="O5" s="69"/>
      <c r="P5" s="69"/>
      <c r="Q5" s="69"/>
      <c r="R5" s="70"/>
    </row>
    <row r="6" spans="1:27" x14ac:dyDescent="0.2">
      <c r="A6" s="71"/>
      <c r="B6" s="71"/>
      <c r="C6" s="71"/>
      <c r="D6" s="71"/>
      <c r="E6" s="71"/>
      <c r="F6" s="71"/>
      <c r="G6" s="71"/>
      <c r="H6" s="71"/>
      <c r="I6" s="71"/>
      <c r="J6" s="69"/>
      <c r="K6" s="69"/>
      <c r="L6" s="69"/>
      <c r="M6" s="69"/>
      <c r="N6" s="69"/>
      <c r="O6" s="69"/>
      <c r="P6" s="69"/>
      <c r="Q6" s="69"/>
      <c r="R6" s="70"/>
    </row>
    <row r="7" spans="1:27" ht="25.5" x14ac:dyDescent="0.2">
      <c r="A7" s="72" t="s">
        <v>174</v>
      </c>
      <c r="B7" s="73" t="s">
        <v>175</v>
      </c>
      <c r="C7" s="74"/>
      <c r="D7" s="74"/>
      <c r="E7" s="74"/>
      <c r="F7" s="74"/>
      <c r="G7" s="74"/>
      <c r="H7" s="74"/>
      <c r="I7" s="74"/>
      <c r="J7" s="74"/>
      <c r="K7" s="74"/>
      <c r="L7" s="74"/>
      <c r="M7" s="69"/>
      <c r="N7" s="69"/>
      <c r="O7" s="69"/>
      <c r="P7" s="69"/>
      <c r="Q7" s="69"/>
      <c r="R7" s="70"/>
    </row>
    <row r="8" spans="1:27" ht="25.5" x14ac:dyDescent="0.2">
      <c r="A8" s="72" t="s">
        <v>176</v>
      </c>
      <c r="B8" s="75" t="s">
        <v>177</v>
      </c>
      <c r="C8" s="71"/>
      <c r="D8" s="71"/>
      <c r="E8" s="76"/>
      <c r="F8" s="76"/>
      <c r="G8" s="76"/>
      <c r="H8" s="76"/>
      <c r="I8" s="71"/>
      <c r="J8" s="77"/>
      <c r="K8" s="77"/>
      <c r="L8" s="77"/>
      <c r="M8" s="77"/>
      <c r="N8" s="77"/>
      <c r="O8" s="77"/>
      <c r="P8" s="77"/>
      <c r="Q8" s="77"/>
      <c r="R8" s="77"/>
    </row>
    <row r="9" spans="1:27" x14ac:dyDescent="0.2">
      <c r="A9" s="78" t="s">
        <v>178</v>
      </c>
      <c r="B9" s="72" t="s">
        <v>179</v>
      </c>
      <c r="C9" s="71"/>
      <c r="D9" s="71"/>
      <c r="E9" s="71"/>
      <c r="F9" s="71"/>
      <c r="G9" s="71"/>
      <c r="H9" s="71"/>
      <c r="I9" s="71"/>
      <c r="J9" s="77"/>
      <c r="K9" s="77"/>
      <c r="L9" s="77"/>
      <c r="M9" s="77"/>
      <c r="N9" s="77"/>
      <c r="O9" s="77"/>
      <c r="P9" s="77"/>
      <c r="Q9" s="77"/>
      <c r="R9" s="77"/>
    </row>
    <row r="10" spans="1:27" ht="25.5" x14ac:dyDescent="0.2">
      <c r="A10" s="79" t="str">
        <f>'AUTO CALCULATION SHEET (3)'!D18</f>
        <v>ACSR : DOG CONDUCTOR - 100 SQ. MM. (6/4.72/7/1.57)</v>
      </c>
      <c r="B10" s="80">
        <f>'AUTO CALCULATION SHEET (3)'!E18</f>
        <v>88424.107199999999</v>
      </c>
      <c r="C10" s="71"/>
      <c r="D10" s="71"/>
      <c r="E10" s="71"/>
      <c r="F10" s="71"/>
      <c r="G10" s="71"/>
      <c r="H10" s="71"/>
      <c r="I10" s="71"/>
      <c r="J10" s="77"/>
      <c r="K10" s="77"/>
      <c r="L10" s="77"/>
      <c r="M10" s="77"/>
      <c r="N10" s="77"/>
      <c r="O10" s="77"/>
      <c r="P10" s="77"/>
      <c r="Q10" s="77"/>
      <c r="R10" s="77"/>
    </row>
    <row r="11" spans="1:27" ht="25.5" customHeight="1" x14ac:dyDescent="0.2">
      <c r="C11" s="71"/>
      <c r="D11" s="71"/>
      <c r="E11" s="71"/>
      <c r="F11" s="71"/>
      <c r="G11" s="71"/>
      <c r="H11" s="71"/>
      <c r="I11" s="71"/>
      <c r="J11" s="81"/>
      <c r="K11" s="81"/>
      <c r="L11" s="81"/>
      <c r="M11" s="81"/>
      <c r="N11" s="81"/>
      <c r="O11" s="81"/>
      <c r="P11" s="82"/>
      <c r="Q11" s="82"/>
      <c r="R11" s="82"/>
    </row>
    <row r="12" spans="1:27" ht="13.5" thickBot="1" x14ac:dyDescent="0.25">
      <c r="C12" s="61"/>
      <c r="D12" s="83"/>
      <c r="E12" s="81"/>
      <c r="F12" s="81"/>
      <c r="G12" s="81"/>
      <c r="H12" s="81"/>
      <c r="I12" s="81"/>
      <c r="J12" s="81"/>
      <c r="K12" s="81"/>
      <c r="L12" s="81"/>
      <c r="M12" s="81"/>
      <c r="N12" s="81"/>
      <c r="O12" s="81"/>
      <c r="P12" s="62"/>
      <c r="Q12" s="62"/>
      <c r="R12" s="62"/>
    </row>
    <row r="13" spans="1:27" ht="12.75" customHeight="1" x14ac:dyDescent="0.2">
      <c r="A13" s="170" t="s">
        <v>178</v>
      </c>
      <c r="B13" s="173" t="s">
        <v>180</v>
      </c>
      <c r="C13" s="175" t="s">
        <v>181</v>
      </c>
      <c r="D13" s="178" t="s">
        <v>182</v>
      </c>
      <c r="E13" s="179"/>
      <c r="F13" s="180"/>
      <c r="G13" s="178" t="s">
        <v>183</v>
      </c>
      <c r="H13" s="179"/>
      <c r="I13" s="180"/>
      <c r="J13" s="194" t="s">
        <v>184</v>
      </c>
      <c r="K13" s="175"/>
      <c r="L13" s="195" t="s">
        <v>185</v>
      </c>
      <c r="M13" s="196" t="s">
        <v>186</v>
      </c>
      <c r="N13" s="196" t="s">
        <v>187</v>
      </c>
      <c r="O13" s="196" t="s">
        <v>188</v>
      </c>
      <c r="P13" s="196" t="s">
        <v>189</v>
      </c>
      <c r="Q13" s="184" t="s">
        <v>190</v>
      </c>
      <c r="R13" s="185"/>
      <c r="S13" s="185"/>
      <c r="T13" s="185"/>
      <c r="U13" s="185"/>
      <c r="V13" s="185"/>
      <c r="W13" s="185"/>
      <c r="X13" s="185"/>
      <c r="Y13" s="185"/>
      <c r="Z13" s="185"/>
      <c r="AA13" s="186"/>
    </row>
    <row r="14" spans="1:27" ht="13.5" thickBot="1" x14ac:dyDescent="0.25">
      <c r="A14" s="171"/>
      <c r="B14" s="174"/>
      <c r="C14" s="176"/>
      <c r="D14" s="190" t="s">
        <v>191</v>
      </c>
      <c r="E14" s="191" t="s">
        <v>192</v>
      </c>
      <c r="F14" s="191" t="s">
        <v>193</v>
      </c>
      <c r="G14" s="192" t="s">
        <v>191</v>
      </c>
      <c r="H14" s="191" t="s">
        <v>194</v>
      </c>
      <c r="I14" s="191" t="s">
        <v>195</v>
      </c>
      <c r="J14" s="193"/>
      <c r="K14" s="177"/>
      <c r="L14" s="190"/>
      <c r="M14" s="191"/>
      <c r="N14" s="191"/>
      <c r="O14" s="191"/>
      <c r="P14" s="191"/>
      <c r="Q14" s="187"/>
      <c r="R14" s="188"/>
      <c r="S14" s="188"/>
      <c r="T14" s="188"/>
      <c r="U14" s="188"/>
      <c r="V14" s="188"/>
      <c r="W14" s="188"/>
      <c r="X14" s="188"/>
      <c r="Y14" s="188"/>
      <c r="Z14" s="188"/>
      <c r="AA14" s="189"/>
    </row>
    <row r="15" spans="1:27" ht="25.5" customHeight="1" thickBot="1" x14ac:dyDescent="0.25">
      <c r="A15" s="172"/>
      <c r="B15" s="174"/>
      <c r="C15" s="177"/>
      <c r="D15" s="190"/>
      <c r="E15" s="191"/>
      <c r="F15" s="191"/>
      <c r="G15" s="193"/>
      <c r="H15" s="191"/>
      <c r="I15" s="191"/>
      <c r="J15" s="84" t="s">
        <v>174</v>
      </c>
      <c r="K15" s="84" t="s">
        <v>176</v>
      </c>
      <c r="L15" s="190"/>
      <c r="M15" s="191"/>
      <c r="N15" s="191"/>
      <c r="O15" s="191"/>
      <c r="P15" s="191"/>
      <c r="Q15" s="85" t="str">
        <f>'AUTO CALCULATION SHEET (3)'!N16</f>
        <v>Alumimium</v>
      </c>
      <c r="R15" s="85" t="str">
        <f>'AUTO CALCULATION SHEET (3)'!AT16</f>
        <v>ACSR DOG STEEL WIRE</v>
      </c>
      <c r="S15" s="86" t="s">
        <v>196</v>
      </c>
      <c r="T15" s="86" t="s">
        <v>197</v>
      </c>
      <c r="U15" s="86" t="s">
        <v>198</v>
      </c>
      <c r="V15" s="86" t="s">
        <v>199</v>
      </c>
      <c r="W15" s="85" t="s">
        <v>200</v>
      </c>
      <c r="X15" s="87" t="s">
        <v>201</v>
      </c>
      <c r="Y15" s="87" t="s">
        <v>202</v>
      </c>
      <c r="Z15" s="87" t="s">
        <v>203</v>
      </c>
      <c r="AA15" s="88" t="s">
        <v>204</v>
      </c>
    </row>
    <row r="16" spans="1:27" x14ac:dyDescent="0.2">
      <c r="A16" s="89"/>
      <c r="B16" s="90"/>
      <c r="C16" s="91"/>
      <c r="D16" s="92"/>
      <c r="E16" s="93"/>
      <c r="F16" s="93"/>
      <c r="G16" s="94"/>
      <c r="H16" s="95"/>
      <c r="I16" s="95"/>
      <c r="J16" s="96"/>
      <c r="K16" s="96"/>
      <c r="L16" s="96"/>
      <c r="M16" s="97"/>
      <c r="N16" s="97"/>
      <c r="O16" s="98"/>
      <c r="P16" s="98"/>
      <c r="Q16" s="99">
        <v>210</v>
      </c>
      <c r="R16" s="100">
        <v>84</v>
      </c>
      <c r="S16" s="101"/>
      <c r="T16" s="101"/>
      <c r="U16" s="101"/>
      <c r="V16" s="101"/>
      <c r="W16" s="102"/>
      <c r="X16" s="103"/>
      <c r="Y16" s="104"/>
      <c r="Z16" s="103"/>
      <c r="AA16" s="105"/>
    </row>
    <row r="17" spans="1:27" s="123" customFormat="1" ht="33.75" customHeight="1" thickBot="1" x14ac:dyDescent="0.25">
      <c r="A17" s="106" t="str">
        <f>A10</f>
        <v>ACSR : DOG CONDUCTOR - 100 SQ. MM. (6/4.72/7/1.57)</v>
      </c>
      <c r="B17" s="107"/>
      <c r="C17" s="108" t="s">
        <v>222</v>
      </c>
      <c r="D17" s="134">
        <v>45267</v>
      </c>
      <c r="E17" s="141">
        <v>244763</v>
      </c>
      <c r="F17" s="109">
        <v>165500</v>
      </c>
      <c r="G17" s="110" t="str">
        <f t="shared" ref="G17" si="0">$B$1</f>
        <v>01.11.2023</v>
      </c>
      <c r="H17" s="111">
        <v>253250</v>
      </c>
      <c r="I17" s="111">
        <v>165500</v>
      </c>
      <c r="J17" s="112">
        <v>0.28799999999999998</v>
      </c>
      <c r="K17" s="112">
        <v>0.106</v>
      </c>
      <c r="L17" s="96">
        <f>B10</f>
        <v>88424.107199999999</v>
      </c>
      <c r="M17" s="113">
        <f>J17*(E17-H17)</f>
        <v>-2444.2559999999999</v>
      </c>
      <c r="N17" s="113">
        <f>K17*(F17-I17)</f>
        <v>0</v>
      </c>
      <c r="O17" s="114">
        <f>M17+N17</f>
        <v>-2444.2559999999999</v>
      </c>
      <c r="P17" s="115">
        <f>L17+O17</f>
        <v>85979.851200000005</v>
      </c>
      <c r="Q17" s="116">
        <f>'AUTO CALCULATION SHEET (3)'!N18</f>
        <v>289</v>
      </c>
      <c r="R17" s="117">
        <f>'AUTO CALCULATION SHEET (3)'!AT18</f>
        <v>106</v>
      </c>
      <c r="S17" s="118">
        <f>SUMPRODUCT(Q17:R17,$Q$16:$R$16)</f>
        <v>69594</v>
      </c>
      <c r="T17" s="119">
        <f>'AUTO CALCULATION SHEET (3)'!BZ18</f>
        <v>1497.2</v>
      </c>
      <c r="U17" s="118">
        <f>S17+T17</f>
        <v>71091.199999999997</v>
      </c>
      <c r="V17" s="119">
        <f>+P17-U17</f>
        <v>14888.651200000008</v>
      </c>
      <c r="W17" s="120">
        <f>V17/U17*100%</f>
        <v>0.20943029798343549</v>
      </c>
      <c r="X17" s="121"/>
      <c r="Y17" s="121">
        <v>0.02</v>
      </c>
      <c r="Z17" s="121">
        <v>0.02</v>
      </c>
      <c r="AA17" s="122">
        <f t="shared" ref="AA17" si="1">W17-SUM(X17:Z17)</f>
        <v>0.16943029798343548</v>
      </c>
    </row>
    <row r="18" spans="1:27" s="123" customFormat="1" ht="15.75" customHeight="1" thickBot="1" x14ac:dyDescent="0.25">
      <c r="A18" s="124"/>
      <c r="B18" s="124"/>
      <c r="C18" s="125"/>
      <c r="D18" s="126"/>
      <c r="E18" s="127"/>
      <c r="F18" s="128"/>
      <c r="G18" s="129"/>
      <c r="H18" s="130"/>
      <c r="I18" s="130"/>
      <c r="J18" s="129"/>
      <c r="K18" s="129"/>
      <c r="L18" s="129"/>
      <c r="M18" s="131"/>
      <c r="N18" s="131"/>
      <c r="O18" s="131"/>
      <c r="P18" s="132"/>
      <c r="Q18" s="181"/>
      <c r="R18" s="182"/>
      <c r="S18" s="182"/>
      <c r="T18" s="182"/>
      <c r="U18" s="182"/>
      <c r="V18" s="182"/>
      <c r="W18" s="182"/>
      <c r="X18" s="182"/>
      <c r="Y18" s="182"/>
      <c r="Z18" s="182"/>
      <c r="AA18" s="183"/>
    </row>
    <row r="19" spans="1:27" x14ac:dyDescent="0.2">
      <c r="E19" s="133"/>
      <c r="F19" s="133"/>
    </row>
  </sheetData>
  <mergeCells count="23">
    <mergeCell ref="Q18:AA18"/>
    <mergeCell ref="Q13:AA14"/>
    <mergeCell ref="D14:D15"/>
    <mergeCell ref="E14:E15"/>
    <mergeCell ref="F14:F15"/>
    <mergeCell ref="G14:G15"/>
    <mergeCell ref="H14:H15"/>
    <mergeCell ref="I14:I15"/>
    <mergeCell ref="J13:K14"/>
    <mergeCell ref="L13:L15"/>
    <mergeCell ref="M13:M15"/>
    <mergeCell ref="N13:N15"/>
    <mergeCell ref="O13:O15"/>
    <mergeCell ref="P13:P15"/>
    <mergeCell ref="B1:H1"/>
    <mergeCell ref="B2:H2"/>
    <mergeCell ref="A3:H3"/>
    <mergeCell ref="A4:H5"/>
    <mergeCell ref="A13:A15"/>
    <mergeCell ref="B13:B15"/>
    <mergeCell ref="C13:C15"/>
    <mergeCell ref="D13:F13"/>
    <mergeCell ref="G13:I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(3)</vt:lpstr>
      <vt:lpstr>CONDUCTOR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2023-12-08T12:56:20Z</dcterms:modified>
</cp:coreProperties>
</file>