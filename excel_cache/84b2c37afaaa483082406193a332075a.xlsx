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24226"/>
  <mc:AlternateContent xmlns:mc="http://schemas.openxmlformats.org/markup-compatibility/2006">
    <mc:Choice Requires="x15">
      <x15ac:absPath xmlns:x15ac="http://schemas.microsoft.com/office/spreadsheetml/2010/11/ac" url="E:\working\2023-24\02_FEBRUARY 2024\TPCODL-538-CONTROL-12232\REVISED PRICE BID-29-03-2024\"/>
    </mc:Choice>
  </mc:AlternateContent>
  <xr:revisionPtr revIDLastSave="0" documentId="13_ncr:1_{94DA92C5-2A58-47D2-A1A1-CD9516A558A8}"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AUTO CALCULATION SHEET (2)" sheetId="4" r:id="rId2"/>
  </sheets>
  <definedNames>
    <definedName name="_xlnm._FilterDatabase" localSheetId="1" hidden="1">'AUTO CALCULATION SHEET (2)'!$A$18:$CL$49</definedName>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8" i="4" l="1"/>
  <c r="K106" i="4" s="1"/>
  <c r="K44" i="4"/>
  <c r="K112" i="4" s="1"/>
  <c r="K42" i="4"/>
  <c r="K41" i="4"/>
  <c r="K40" i="4"/>
  <c r="K108" i="4" s="1"/>
  <c r="K36" i="4"/>
  <c r="K35" i="4"/>
  <c r="K34" i="4"/>
  <c r="K33" i="4"/>
  <c r="K101" i="4" s="1"/>
  <c r="K25" i="4"/>
  <c r="K30" i="4"/>
  <c r="K98" i="4" s="1"/>
  <c r="K28" i="4"/>
  <c r="K96" i="4" s="1"/>
  <c r="K27" i="4"/>
  <c r="K26" i="4"/>
  <c r="P54" i="4"/>
  <c r="AF54" i="4" s="1"/>
  <c r="AH54" i="4" s="1"/>
  <c r="P56" i="4"/>
  <c r="AF56" i="4" s="1"/>
  <c r="AH56" i="4" s="1"/>
  <c r="P58" i="4"/>
  <c r="AF58" i="4" s="1"/>
  <c r="AH58" i="4" s="1"/>
  <c r="P60" i="4"/>
  <c r="P62" i="4"/>
  <c r="AF62" i="4" s="1"/>
  <c r="AH62" i="4" s="1"/>
  <c r="P64" i="4"/>
  <c r="AF64" i="4" s="1"/>
  <c r="AH64" i="4" s="1"/>
  <c r="P66" i="4"/>
  <c r="AF66" i="4" s="1"/>
  <c r="AH66" i="4" s="1"/>
  <c r="P68" i="4"/>
  <c r="AF68" i="4" s="1"/>
  <c r="AH68" i="4" s="1"/>
  <c r="P70" i="4"/>
  <c r="P72" i="4"/>
  <c r="P74" i="4"/>
  <c r="AF74" i="4" s="1"/>
  <c r="AH74" i="4" s="1"/>
  <c r="P76" i="4"/>
  <c r="P78" i="4"/>
  <c r="AF78" i="4" s="1"/>
  <c r="AH78" i="4" s="1"/>
  <c r="P80" i="4"/>
  <c r="AF80" i="4" s="1"/>
  <c r="AH80" i="4" s="1"/>
  <c r="P82" i="4"/>
  <c r="AF82" i="4" s="1"/>
  <c r="AH82" i="4" s="1"/>
  <c r="P53" i="4"/>
  <c r="AF53" i="4" s="1"/>
  <c r="AH53" i="4" s="1"/>
  <c r="P55" i="4"/>
  <c r="AF55" i="4" s="1"/>
  <c r="AH55" i="4" s="1"/>
  <c r="P57" i="4"/>
  <c r="P59" i="4"/>
  <c r="AF59" i="4" s="1"/>
  <c r="AH59" i="4" s="1"/>
  <c r="P61" i="4"/>
  <c r="AF61" i="4" s="1"/>
  <c r="AH61" i="4" s="1"/>
  <c r="P63" i="4"/>
  <c r="AF63" i="4" s="1"/>
  <c r="AH63" i="4" s="1"/>
  <c r="P65" i="4"/>
  <c r="P67" i="4"/>
  <c r="AF67" i="4" s="1"/>
  <c r="AH67" i="4" s="1"/>
  <c r="P69" i="4"/>
  <c r="AF69" i="4" s="1"/>
  <c r="AH69" i="4" s="1"/>
  <c r="P71" i="4"/>
  <c r="P73" i="4"/>
  <c r="AF73" i="4" s="1"/>
  <c r="AH73" i="4" s="1"/>
  <c r="P75" i="4"/>
  <c r="AF75" i="4" s="1"/>
  <c r="AH75" i="4" s="1"/>
  <c r="P77" i="4"/>
  <c r="AF77" i="4" s="1"/>
  <c r="AH77" i="4" s="1"/>
  <c r="P79" i="4"/>
  <c r="AF79" i="4" s="1"/>
  <c r="AH79" i="4" s="1"/>
  <c r="P81" i="4"/>
  <c r="AF81" i="4" s="1"/>
  <c r="AH81" i="4" s="1"/>
  <c r="P52" i="4"/>
  <c r="AF52" i="4" s="1"/>
  <c r="AH52" i="4" s="1"/>
  <c r="AF60" i="4"/>
  <c r="AH60" i="4" s="1"/>
  <c r="AF76" i="4"/>
  <c r="AH76" i="4" s="1"/>
  <c r="N82" i="4"/>
  <c r="N81" i="4"/>
  <c r="N80" i="4"/>
  <c r="N79" i="4"/>
  <c r="N78" i="4"/>
  <c r="N77" i="4"/>
  <c r="N76" i="4"/>
  <c r="N75" i="4"/>
  <c r="N74" i="4"/>
  <c r="N73" i="4"/>
  <c r="N72" i="4"/>
  <c r="N71" i="4"/>
  <c r="N70" i="4"/>
  <c r="N69" i="4"/>
  <c r="N68" i="4"/>
  <c r="N67" i="4"/>
  <c r="N66" i="4"/>
  <c r="N65" i="4"/>
  <c r="N64" i="4"/>
  <c r="N63" i="4"/>
  <c r="N62" i="4"/>
  <c r="N61" i="4"/>
  <c r="N60" i="4"/>
  <c r="N59" i="4"/>
  <c r="N58" i="4"/>
  <c r="N57" i="4"/>
  <c r="N56" i="4"/>
  <c r="N55" i="4"/>
  <c r="N54" i="4"/>
  <c r="N53" i="4"/>
  <c r="N52" i="4"/>
  <c r="K88" i="4"/>
  <c r="K89" i="4"/>
  <c r="K90" i="4"/>
  <c r="K91" i="4"/>
  <c r="K92" i="4"/>
  <c r="K93" i="4"/>
  <c r="K94" i="4"/>
  <c r="K95" i="4"/>
  <c r="K97" i="4"/>
  <c r="K99" i="4"/>
  <c r="K100" i="4"/>
  <c r="K102" i="4"/>
  <c r="K103" i="4"/>
  <c r="K104" i="4"/>
  <c r="K105" i="4"/>
  <c r="K107" i="4"/>
  <c r="K109" i="4"/>
  <c r="K110" i="4"/>
  <c r="K111" i="4"/>
  <c r="K113" i="4"/>
  <c r="K114" i="4"/>
  <c r="K115" i="4"/>
  <c r="K116" i="4"/>
  <c r="K117" i="4"/>
  <c r="K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87" i="4"/>
  <c r="F88" i="4"/>
  <c r="F87" i="4"/>
  <c r="A88" i="4"/>
  <c r="B88" i="4"/>
  <c r="C88" i="4"/>
  <c r="D88" i="4"/>
  <c r="A89" i="4"/>
  <c r="B89" i="4"/>
  <c r="C89" i="4"/>
  <c r="D89" i="4"/>
  <c r="A90" i="4"/>
  <c r="B90" i="4"/>
  <c r="C90" i="4"/>
  <c r="D90" i="4"/>
  <c r="A91" i="4"/>
  <c r="B91" i="4"/>
  <c r="C91" i="4"/>
  <c r="D91" i="4"/>
  <c r="A92" i="4"/>
  <c r="B92" i="4"/>
  <c r="C92" i="4"/>
  <c r="D92" i="4"/>
  <c r="A93" i="4"/>
  <c r="B93" i="4"/>
  <c r="C93" i="4"/>
  <c r="D93" i="4"/>
  <c r="A94" i="4"/>
  <c r="B94" i="4"/>
  <c r="C94" i="4"/>
  <c r="D94" i="4"/>
  <c r="A95" i="4"/>
  <c r="B95" i="4"/>
  <c r="C95" i="4"/>
  <c r="D95" i="4"/>
  <c r="A96" i="4"/>
  <c r="B96" i="4"/>
  <c r="C96" i="4"/>
  <c r="D96" i="4"/>
  <c r="A97" i="4"/>
  <c r="B97" i="4"/>
  <c r="C97" i="4"/>
  <c r="D97" i="4"/>
  <c r="A98" i="4"/>
  <c r="B98" i="4"/>
  <c r="C98" i="4"/>
  <c r="D98" i="4"/>
  <c r="A99" i="4"/>
  <c r="B99" i="4"/>
  <c r="C99" i="4"/>
  <c r="D99" i="4"/>
  <c r="A100" i="4"/>
  <c r="B100" i="4"/>
  <c r="C100" i="4"/>
  <c r="D100" i="4"/>
  <c r="A101" i="4"/>
  <c r="B101" i="4"/>
  <c r="C101" i="4"/>
  <c r="D101" i="4"/>
  <c r="A102" i="4"/>
  <c r="B102" i="4"/>
  <c r="C102" i="4"/>
  <c r="D102" i="4"/>
  <c r="A103" i="4"/>
  <c r="B103" i="4"/>
  <c r="C103" i="4"/>
  <c r="D103" i="4"/>
  <c r="A104" i="4"/>
  <c r="B104" i="4"/>
  <c r="C104" i="4"/>
  <c r="D104" i="4"/>
  <c r="A105" i="4"/>
  <c r="B105" i="4"/>
  <c r="C105" i="4"/>
  <c r="D105" i="4"/>
  <c r="A106" i="4"/>
  <c r="B106" i="4"/>
  <c r="C106" i="4"/>
  <c r="D106" i="4"/>
  <c r="A107" i="4"/>
  <c r="B107" i="4"/>
  <c r="C107" i="4"/>
  <c r="D107" i="4"/>
  <c r="A108" i="4"/>
  <c r="B108" i="4"/>
  <c r="C108" i="4"/>
  <c r="D108" i="4"/>
  <c r="A109" i="4"/>
  <c r="B109" i="4"/>
  <c r="C109" i="4"/>
  <c r="D109" i="4"/>
  <c r="A110" i="4"/>
  <c r="B110" i="4"/>
  <c r="C110" i="4"/>
  <c r="D110" i="4"/>
  <c r="A111" i="4"/>
  <c r="B111" i="4"/>
  <c r="C111" i="4"/>
  <c r="D111" i="4"/>
  <c r="A112" i="4"/>
  <c r="B112" i="4"/>
  <c r="C112" i="4"/>
  <c r="D112" i="4"/>
  <c r="A113" i="4"/>
  <c r="B113" i="4"/>
  <c r="C113" i="4"/>
  <c r="D113" i="4"/>
  <c r="A114" i="4"/>
  <c r="B114" i="4"/>
  <c r="C114" i="4"/>
  <c r="D114" i="4"/>
  <c r="A115" i="4"/>
  <c r="B115" i="4"/>
  <c r="C115" i="4"/>
  <c r="D115" i="4"/>
  <c r="A116" i="4"/>
  <c r="B116" i="4"/>
  <c r="C116" i="4"/>
  <c r="D116" i="4"/>
  <c r="A117" i="4"/>
  <c r="B117" i="4"/>
  <c r="C117" i="4"/>
  <c r="D117" i="4"/>
  <c r="D87" i="4"/>
  <c r="C87" i="4"/>
  <c r="B87" i="4"/>
  <c r="A87" i="4"/>
  <c r="AF71" i="4" l="1"/>
  <c r="AH71" i="4" s="1"/>
  <c r="AI40" i="4"/>
  <c r="A34" i="4" l="1"/>
  <c r="BY29" i="4"/>
  <c r="F62" i="4" s="1"/>
  <c r="J62" i="4" s="1"/>
  <c r="F78" i="4"/>
  <c r="J78" i="4" s="1"/>
  <c r="BY44" i="4"/>
  <c r="F77" i="4" s="1"/>
  <c r="J77" i="4" s="1"/>
  <c r="F81" i="4"/>
  <c r="J81" i="4" s="1"/>
  <c r="F79" i="4"/>
  <c r="J79" i="4" s="1"/>
  <c r="F82" i="4"/>
  <c r="J82" i="4" s="1"/>
  <c r="BY31" i="4"/>
  <c r="F64" i="4" s="1"/>
  <c r="J64" i="4" s="1"/>
  <c r="BY24" i="4"/>
  <c r="F57" i="4" s="1"/>
  <c r="BY32" i="4"/>
  <c r="F65" i="4" s="1"/>
  <c r="BY26" i="4"/>
  <c r="F59" i="4" s="1"/>
  <c r="J59" i="4" s="1"/>
  <c r="BY39" i="4"/>
  <c r="F72" i="4" s="1"/>
  <c r="BY38" i="4"/>
  <c r="F71" i="4" s="1"/>
  <c r="J71" i="4" s="1"/>
  <c r="BY21" i="4"/>
  <c r="F54" i="4" s="1"/>
  <c r="J54" i="4" s="1"/>
  <c r="BY28" i="4"/>
  <c r="F61" i="4" s="1"/>
  <c r="J61" i="4" s="1"/>
  <c r="BY37" i="4"/>
  <c r="F70" i="4" s="1"/>
  <c r="BY30" i="4"/>
  <c r="F63" i="4" s="1"/>
  <c r="J63" i="4" s="1"/>
  <c r="BY20" i="4"/>
  <c r="F53" i="4" s="1"/>
  <c r="J53" i="4" s="1"/>
  <c r="BY43" i="4"/>
  <c r="F76" i="4" s="1"/>
  <c r="J76" i="4" s="1"/>
  <c r="BY22" i="4"/>
  <c r="F55" i="4" s="1"/>
  <c r="J55" i="4" s="1"/>
  <c r="BY23" i="4"/>
  <c r="F56" i="4" s="1"/>
  <c r="J56" i="4" s="1"/>
  <c r="BY19" i="4"/>
  <c r="F52" i="4" s="1"/>
  <c r="J52" i="4" s="1"/>
  <c r="BY42" i="4"/>
  <c r="F75" i="4" s="1"/>
  <c r="J75" i="4" s="1"/>
  <c r="BY41" i="4"/>
  <c r="F74" i="4" s="1"/>
  <c r="J74" i="4" s="1"/>
  <c r="K74" i="4" s="1"/>
  <c r="M74" i="4" s="1"/>
  <c r="BY35" i="4"/>
  <c r="F68" i="4" s="1"/>
  <c r="J68" i="4" s="1"/>
  <c r="BY40" i="4"/>
  <c r="F73" i="4" s="1"/>
  <c r="J73" i="4" s="1"/>
  <c r="BY25" i="4"/>
  <c r="F58" i="4" s="1"/>
  <c r="J58" i="4" s="1"/>
  <c r="BY36" i="4"/>
  <c r="F69" i="4" s="1"/>
  <c r="J69" i="4" s="1"/>
  <c r="BY27" i="4"/>
  <c r="F60" i="4" s="1"/>
  <c r="J60" i="4" s="1"/>
  <c r="BY34" i="4"/>
  <c r="F67" i="4" s="1"/>
  <c r="J67" i="4" s="1"/>
  <c r="BY33" i="4"/>
  <c r="F66" i="4" s="1"/>
  <c r="J66" i="4" s="1"/>
  <c r="F80" i="4"/>
  <c r="J80" i="4" s="1"/>
  <c r="BY17" i="4"/>
  <c r="A19" i="4"/>
  <c r="C19" i="4"/>
  <c r="C52" i="4" s="1"/>
  <c r="D19" i="4"/>
  <c r="D52" i="4" s="1"/>
  <c r="H19" i="4"/>
  <c r="K19" i="4"/>
  <c r="E52" i="4" s="1"/>
  <c r="L19" i="4"/>
  <c r="N19" i="4"/>
  <c r="O19" i="4"/>
  <c r="P19" i="4"/>
  <c r="Q19" i="4"/>
  <c r="R19" i="4"/>
  <c r="S19" i="4"/>
  <c r="T19" i="4"/>
  <c r="U19" i="4"/>
  <c r="V19" i="4"/>
  <c r="W19" i="4"/>
  <c r="X19" i="4"/>
  <c r="Y19" i="4"/>
  <c r="Z19" i="4"/>
  <c r="AA19" i="4"/>
  <c r="AB19" i="4"/>
  <c r="AC19" i="4"/>
  <c r="AD19" i="4"/>
  <c r="AE19" i="4"/>
  <c r="AG19" i="4"/>
  <c r="AH19" i="4"/>
  <c r="AI19" i="4"/>
  <c r="AJ19" i="4"/>
  <c r="AK19" i="4"/>
  <c r="AL19" i="4"/>
  <c r="AM19" i="4"/>
  <c r="AN19" i="4"/>
  <c r="AO19" i="4"/>
  <c r="AP19" i="4"/>
  <c r="AQ19" i="4"/>
  <c r="AR19" i="4"/>
  <c r="AS19" i="4"/>
  <c r="AT19" i="4"/>
  <c r="AU19" i="4"/>
  <c r="AV19" i="4"/>
  <c r="AW19" i="4"/>
  <c r="AX19" i="4"/>
  <c r="AY19" i="4"/>
  <c r="AZ19" i="4"/>
  <c r="BA19" i="4"/>
  <c r="BB19" i="4"/>
  <c r="BC19" i="4"/>
  <c r="BD19" i="4"/>
  <c r="BE19" i="4"/>
  <c r="BG19" i="4"/>
  <c r="BH19" i="4"/>
  <c r="BI19" i="4"/>
  <c r="BJ19" i="4"/>
  <c r="BK19" i="4"/>
  <c r="BL19" i="4"/>
  <c r="BM19" i="4"/>
  <c r="BN19" i="4"/>
  <c r="BO19" i="4"/>
  <c r="BP19" i="4"/>
  <c r="BQ19" i="4"/>
  <c r="BR19" i="4"/>
  <c r="BS19" i="4"/>
  <c r="BT19" i="4"/>
  <c r="BU19" i="4"/>
  <c r="BV19" i="4"/>
  <c r="BW19" i="4"/>
  <c r="BX19" i="4"/>
  <c r="BZ19" i="4"/>
  <c r="CB19" i="4"/>
  <c r="A42" i="4"/>
  <c r="C42" i="4"/>
  <c r="C75" i="4" s="1"/>
  <c r="D42" i="4"/>
  <c r="D75" i="4" s="1"/>
  <c r="H42" i="4"/>
  <c r="E75" i="4"/>
  <c r="L42" i="4"/>
  <c r="N42" i="4"/>
  <c r="O42" i="4"/>
  <c r="P42" i="4"/>
  <c r="Q42" i="4"/>
  <c r="R42" i="4"/>
  <c r="S42" i="4"/>
  <c r="T42" i="4"/>
  <c r="U42" i="4"/>
  <c r="V42" i="4"/>
  <c r="W42" i="4"/>
  <c r="X42" i="4"/>
  <c r="Y42" i="4"/>
  <c r="Z42" i="4"/>
  <c r="AA42" i="4"/>
  <c r="AB42" i="4"/>
  <c r="AC42" i="4"/>
  <c r="AD42" i="4"/>
  <c r="AE42" i="4"/>
  <c r="AF42" i="4"/>
  <c r="AG42" i="4"/>
  <c r="AH42" i="4"/>
  <c r="AI42" i="4"/>
  <c r="AJ42" i="4"/>
  <c r="AK42" i="4"/>
  <c r="AL42" i="4"/>
  <c r="AM42" i="4"/>
  <c r="AN42" i="4"/>
  <c r="AO42" i="4"/>
  <c r="AP42" i="4"/>
  <c r="AR42" i="4"/>
  <c r="AS42" i="4"/>
  <c r="AT42" i="4"/>
  <c r="AU42" i="4"/>
  <c r="AV42" i="4"/>
  <c r="AW42" i="4"/>
  <c r="AX42" i="4"/>
  <c r="AY42" i="4"/>
  <c r="AZ42" i="4"/>
  <c r="BB42" i="4"/>
  <c r="BC42" i="4"/>
  <c r="BD42" i="4"/>
  <c r="BE42" i="4"/>
  <c r="BG42" i="4"/>
  <c r="BH42" i="4"/>
  <c r="BI42" i="4"/>
  <c r="BJ42" i="4"/>
  <c r="BK42" i="4"/>
  <c r="BL42" i="4"/>
  <c r="BM42" i="4"/>
  <c r="BN42" i="4"/>
  <c r="BO42" i="4"/>
  <c r="BP42" i="4"/>
  <c r="BQ42" i="4"/>
  <c r="BR42" i="4"/>
  <c r="BS42" i="4"/>
  <c r="BT42" i="4"/>
  <c r="BU42" i="4"/>
  <c r="BV42" i="4"/>
  <c r="BW42" i="4"/>
  <c r="BX42" i="4"/>
  <c r="BZ42" i="4"/>
  <c r="CB42" i="4"/>
  <c r="A41" i="4"/>
  <c r="C41" i="4"/>
  <c r="C74" i="4" s="1"/>
  <c r="D41" i="4"/>
  <c r="D74" i="4" s="1"/>
  <c r="H41" i="4"/>
  <c r="E74" i="4"/>
  <c r="L41" i="4"/>
  <c r="N41" i="4"/>
  <c r="O41" i="4"/>
  <c r="P41" i="4"/>
  <c r="Q41" i="4"/>
  <c r="R41" i="4"/>
  <c r="S41" i="4"/>
  <c r="T41" i="4"/>
  <c r="U41" i="4"/>
  <c r="V41" i="4"/>
  <c r="W41" i="4"/>
  <c r="X41" i="4"/>
  <c r="Y41" i="4"/>
  <c r="Z41" i="4"/>
  <c r="AA41" i="4"/>
  <c r="AB41" i="4"/>
  <c r="AC41" i="4"/>
  <c r="AD41" i="4"/>
  <c r="AE41" i="4"/>
  <c r="AF41" i="4"/>
  <c r="AG41" i="4"/>
  <c r="AH41" i="4"/>
  <c r="AI41" i="4"/>
  <c r="AJ41" i="4"/>
  <c r="AK41" i="4"/>
  <c r="AL41" i="4"/>
  <c r="AM41" i="4"/>
  <c r="AN41" i="4"/>
  <c r="AO41" i="4"/>
  <c r="AP41" i="4"/>
  <c r="AR41" i="4"/>
  <c r="AS41" i="4"/>
  <c r="AT41" i="4"/>
  <c r="AU41" i="4"/>
  <c r="AV41" i="4"/>
  <c r="AW41" i="4"/>
  <c r="AX41" i="4"/>
  <c r="AY41" i="4"/>
  <c r="AZ41" i="4"/>
  <c r="BB41" i="4"/>
  <c r="BC41" i="4"/>
  <c r="BD41" i="4"/>
  <c r="BE41" i="4"/>
  <c r="BG41" i="4"/>
  <c r="BH41" i="4"/>
  <c r="BI41" i="4"/>
  <c r="BJ41" i="4"/>
  <c r="BK41" i="4"/>
  <c r="BL41" i="4"/>
  <c r="BM41" i="4"/>
  <c r="BN41" i="4"/>
  <c r="BO41" i="4"/>
  <c r="BP41" i="4"/>
  <c r="BQ41" i="4"/>
  <c r="BR41" i="4"/>
  <c r="BS41" i="4"/>
  <c r="BT41" i="4"/>
  <c r="BU41" i="4"/>
  <c r="BV41" i="4"/>
  <c r="BW41" i="4"/>
  <c r="BX41" i="4"/>
  <c r="BZ41" i="4"/>
  <c r="CB41" i="4"/>
  <c r="A35" i="4"/>
  <c r="C35" i="4"/>
  <c r="C68" i="4" s="1"/>
  <c r="D35" i="4"/>
  <c r="D68" i="4" s="1"/>
  <c r="H35" i="4"/>
  <c r="E68" i="4"/>
  <c r="L35" i="4"/>
  <c r="N35" i="4"/>
  <c r="O35" i="4"/>
  <c r="P35" i="4"/>
  <c r="Q35" i="4"/>
  <c r="R35" i="4"/>
  <c r="S35" i="4"/>
  <c r="T35" i="4"/>
  <c r="U35" i="4"/>
  <c r="V35" i="4"/>
  <c r="W35" i="4"/>
  <c r="X35" i="4"/>
  <c r="Y35" i="4"/>
  <c r="Z35" i="4"/>
  <c r="AA35" i="4"/>
  <c r="AB35" i="4"/>
  <c r="AC35" i="4"/>
  <c r="AD35" i="4"/>
  <c r="AE35" i="4"/>
  <c r="AG35" i="4"/>
  <c r="AH35" i="4"/>
  <c r="AI35" i="4"/>
  <c r="AJ35" i="4"/>
  <c r="AK35" i="4"/>
  <c r="AL35" i="4"/>
  <c r="AM35" i="4"/>
  <c r="AN35" i="4"/>
  <c r="AO35" i="4"/>
  <c r="AP35" i="4"/>
  <c r="AQ35" i="4"/>
  <c r="AS35" i="4"/>
  <c r="AT35" i="4"/>
  <c r="AU35" i="4"/>
  <c r="AV35" i="4"/>
  <c r="AW35" i="4"/>
  <c r="AX35" i="4"/>
  <c r="AY35" i="4"/>
  <c r="AZ35" i="4"/>
  <c r="BA35" i="4"/>
  <c r="BB35" i="4"/>
  <c r="BC35" i="4"/>
  <c r="BD35" i="4"/>
  <c r="BE35" i="4"/>
  <c r="BG35" i="4"/>
  <c r="BH35" i="4"/>
  <c r="BI35" i="4"/>
  <c r="BJ35" i="4"/>
  <c r="BK35" i="4"/>
  <c r="BL35" i="4"/>
  <c r="BM35" i="4"/>
  <c r="BN35" i="4"/>
  <c r="BO35" i="4"/>
  <c r="BP35" i="4"/>
  <c r="BQ35" i="4"/>
  <c r="BR35" i="4"/>
  <c r="BS35" i="4"/>
  <c r="BU35" i="4"/>
  <c r="BV35" i="4"/>
  <c r="BW35" i="4"/>
  <c r="BX35" i="4"/>
  <c r="BZ35" i="4"/>
  <c r="CB35" i="4"/>
  <c r="A40" i="4"/>
  <c r="C40" i="4"/>
  <c r="C73" i="4" s="1"/>
  <c r="D40" i="4"/>
  <c r="D73" i="4" s="1"/>
  <c r="H40" i="4"/>
  <c r="E73" i="4"/>
  <c r="L40" i="4"/>
  <c r="N40" i="4"/>
  <c r="O40" i="4"/>
  <c r="P40" i="4"/>
  <c r="Q40" i="4"/>
  <c r="R40" i="4"/>
  <c r="S40" i="4"/>
  <c r="T40" i="4"/>
  <c r="U40" i="4"/>
  <c r="V40" i="4"/>
  <c r="W40" i="4"/>
  <c r="X40" i="4"/>
  <c r="Y40" i="4"/>
  <c r="Z40" i="4"/>
  <c r="AA40" i="4"/>
  <c r="AB40" i="4"/>
  <c r="AC40" i="4"/>
  <c r="AD40" i="4"/>
  <c r="AE40" i="4"/>
  <c r="AF40" i="4"/>
  <c r="AG40" i="4"/>
  <c r="AH40" i="4"/>
  <c r="AJ40" i="4"/>
  <c r="AK40" i="4"/>
  <c r="AL40" i="4"/>
  <c r="AM40" i="4"/>
  <c r="AN40" i="4"/>
  <c r="AO40" i="4"/>
  <c r="AP40" i="4"/>
  <c r="AQ40" i="4"/>
  <c r="AR40" i="4"/>
  <c r="AS40" i="4"/>
  <c r="AT40" i="4"/>
  <c r="AU40" i="4"/>
  <c r="AV40" i="4"/>
  <c r="AW40" i="4"/>
  <c r="AX40" i="4"/>
  <c r="AY40" i="4"/>
  <c r="AZ40" i="4"/>
  <c r="BA40" i="4"/>
  <c r="BB40" i="4"/>
  <c r="BC40" i="4"/>
  <c r="BD40" i="4"/>
  <c r="BE40" i="4"/>
  <c r="BF40" i="4"/>
  <c r="BG40" i="4"/>
  <c r="BH40" i="4"/>
  <c r="BI40" i="4"/>
  <c r="BJ40" i="4"/>
  <c r="BK40" i="4"/>
  <c r="BL40" i="4"/>
  <c r="BM40" i="4"/>
  <c r="BN40" i="4"/>
  <c r="BO40" i="4"/>
  <c r="BP40" i="4"/>
  <c r="BQ40" i="4"/>
  <c r="BR40" i="4"/>
  <c r="BS40" i="4"/>
  <c r="BT40" i="4"/>
  <c r="BU40" i="4"/>
  <c r="BV40" i="4"/>
  <c r="BW40" i="4"/>
  <c r="BX40" i="4"/>
  <c r="BZ40" i="4"/>
  <c r="CB40" i="4"/>
  <c r="A25" i="4"/>
  <c r="C25" i="4"/>
  <c r="C58" i="4" s="1"/>
  <c r="D25" i="4"/>
  <c r="D58" i="4" s="1"/>
  <c r="H25" i="4"/>
  <c r="E58" i="4"/>
  <c r="L25" i="4"/>
  <c r="N25" i="4"/>
  <c r="O25" i="4"/>
  <c r="P25" i="4"/>
  <c r="Q25" i="4"/>
  <c r="R25" i="4"/>
  <c r="S25" i="4"/>
  <c r="T25" i="4"/>
  <c r="U25" i="4"/>
  <c r="V25" i="4"/>
  <c r="W25" i="4"/>
  <c r="X25" i="4"/>
  <c r="Y25" i="4"/>
  <c r="Z25" i="4"/>
  <c r="AA25" i="4"/>
  <c r="AB25" i="4"/>
  <c r="AC25" i="4"/>
  <c r="AD25" i="4"/>
  <c r="AE25" i="4"/>
  <c r="AG25" i="4"/>
  <c r="AH25" i="4"/>
  <c r="AI25" i="4"/>
  <c r="AJ25" i="4"/>
  <c r="AK25" i="4"/>
  <c r="AL25" i="4"/>
  <c r="AM25" i="4"/>
  <c r="AN25" i="4"/>
  <c r="AO25" i="4"/>
  <c r="AP25" i="4"/>
  <c r="AR25" i="4"/>
  <c r="AS25" i="4"/>
  <c r="AT25" i="4"/>
  <c r="AU25" i="4"/>
  <c r="AV25" i="4"/>
  <c r="AW25" i="4"/>
  <c r="AX25" i="4"/>
  <c r="AY25" i="4"/>
  <c r="AZ25" i="4"/>
  <c r="BB25" i="4"/>
  <c r="BC25" i="4"/>
  <c r="BD25" i="4"/>
  <c r="BE25" i="4"/>
  <c r="BG25" i="4"/>
  <c r="BH25" i="4"/>
  <c r="BI25" i="4"/>
  <c r="BJ25" i="4"/>
  <c r="BK25" i="4"/>
  <c r="BL25" i="4"/>
  <c r="BM25" i="4"/>
  <c r="BN25" i="4"/>
  <c r="BO25" i="4"/>
  <c r="BP25" i="4"/>
  <c r="BQ25" i="4"/>
  <c r="BR25" i="4"/>
  <c r="BS25" i="4"/>
  <c r="BU25" i="4"/>
  <c r="BV25" i="4"/>
  <c r="BW25" i="4"/>
  <c r="BX25" i="4"/>
  <c r="BZ25" i="4"/>
  <c r="CB25" i="4"/>
  <c r="A36" i="4"/>
  <c r="C36" i="4"/>
  <c r="C69" i="4" s="1"/>
  <c r="D36" i="4"/>
  <c r="D69" i="4" s="1"/>
  <c r="H36" i="4"/>
  <c r="E69" i="4"/>
  <c r="L36" i="4"/>
  <c r="O36" i="4"/>
  <c r="P36" i="4"/>
  <c r="Q36" i="4"/>
  <c r="R36" i="4"/>
  <c r="S36" i="4"/>
  <c r="T36" i="4"/>
  <c r="U36" i="4"/>
  <c r="V36" i="4"/>
  <c r="W36" i="4"/>
  <c r="X36" i="4"/>
  <c r="Y36" i="4"/>
  <c r="Z36" i="4"/>
  <c r="AA36" i="4"/>
  <c r="AB36" i="4"/>
  <c r="AC36" i="4"/>
  <c r="AD36" i="4"/>
  <c r="AE36" i="4"/>
  <c r="AG36" i="4"/>
  <c r="AH36" i="4"/>
  <c r="AI36" i="4"/>
  <c r="AJ36" i="4"/>
  <c r="AK36" i="4"/>
  <c r="AL36" i="4"/>
  <c r="AM36" i="4"/>
  <c r="AN36" i="4"/>
  <c r="AO36" i="4"/>
  <c r="AP36" i="4"/>
  <c r="AQ36" i="4"/>
  <c r="AR36" i="4"/>
  <c r="AS36" i="4"/>
  <c r="AT36" i="4"/>
  <c r="AU36" i="4"/>
  <c r="AV36" i="4"/>
  <c r="AW36" i="4"/>
  <c r="AX36" i="4"/>
  <c r="AY36" i="4"/>
  <c r="AZ36" i="4"/>
  <c r="BB36" i="4"/>
  <c r="BC36" i="4"/>
  <c r="BD36" i="4"/>
  <c r="BE36" i="4"/>
  <c r="BF36" i="4"/>
  <c r="BG36" i="4"/>
  <c r="BH36" i="4"/>
  <c r="BI36" i="4"/>
  <c r="BJ36" i="4"/>
  <c r="BK36" i="4"/>
  <c r="BL36" i="4"/>
  <c r="BM36" i="4"/>
  <c r="BN36" i="4"/>
  <c r="BO36" i="4"/>
  <c r="BP36" i="4"/>
  <c r="BQ36" i="4"/>
  <c r="BR36" i="4"/>
  <c r="BS36" i="4"/>
  <c r="BU36" i="4"/>
  <c r="BV36" i="4"/>
  <c r="BW36" i="4"/>
  <c r="BX36" i="4"/>
  <c r="BZ36" i="4"/>
  <c r="CB36" i="4"/>
  <c r="A27" i="4"/>
  <c r="C27" i="4"/>
  <c r="C60" i="4" s="1"/>
  <c r="D27" i="4"/>
  <c r="D60" i="4" s="1"/>
  <c r="H27" i="4"/>
  <c r="E60" i="4"/>
  <c r="L27" i="4"/>
  <c r="O27" i="4"/>
  <c r="P27" i="4"/>
  <c r="Q27" i="4"/>
  <c r="R27" i="4"/>
  <c r="S27" i="4"/>
  <c r="T27" i="4"/>
  <c r="U27" i="4"/>
  <c r="V27" i="4"/>
  <c r="W27" i="4"/>
  <c r="X27" i="4"/>
  <c r="Y27" i="4"/>
  <c r="Z27" i="4"/>
  <c r="AA27" i="4"/>
  <c r="AB27" i="4"/>
  <c r="AC27" i="4"/>
  <c r="AD27" i="4"/>
  <c r="AE27" i="4"/>
  <c r="AG27" i="4"/>
  <c r="AH27" i="4"/>
  <c r="AI27" i="4"/>
  <c r="AJ27" i="4"/>
  <c r="AK27" i="4"/>
  <c r="AL27" i="4"/>
  <c r="AM27" i="4"/>
  <c r="AN27" i="4"/>
  <c r="AO27" i="4"/>
  <c r="AP27" i="4"/>
  <c r="AR27" i="4"/>
  <c r="AS27" i="4"/>
  <c r="AT27" i="4"/>
  <c r="AU27" i="4"/>
  <c r="AV27" i="4"/>
  <c r="AW27" i="4"/>
  <c r="AX27" i="4"/>
  <c r="AY27" i="4"/>
  <c r="AZ27" i="4"/>
  <c r="BB27" i="4"/>
  <c r="BC27" i="4"/>
  <c r="BD27" i="4"/>
  <c r="BE27" i="4"/>
  <c r="BG27" i="4"/>
  <c r="BH27" i="4"/>
  <c r="BI27" i="4"/>
  <c r="BJ27" i="4"/>
  <c r="BK27" i="4"/>
  <c r="BL27" i="4"/>
  <c r="BM27" i="4"/>
  <c r="BN27" i="4"/>
  <c r="BO27" i="4"/>
  <c r="BP27" i="4"/>
  <c r="BQ27" i="4"/>
  <c r="BR27" i="4"/>
  <c r="BS27" i="4"/>
  <c r="BU27" i="4"/>
  <c r="BV27" i="4"/>
  <c r="BW27" i="4"/>
  <c r="BX27" i="4"/>
  <c r="BZ27" i="4"/>
  <c r="CB27" i="4"/>
  <c r="C34" i="4"/>
  <c r="C67" i="4" s="1"/>
  <c r="D34" i="4"/>
  <c r="D67" i="4" s="1"/>
  <c r="H34" i="4"/>
  <c r="E67" i="4"/>
  <c r="L34" i="4"/>
  <c r="O34" i="4"/>
  <c r="P34" i="4"/>
  <c r="Q34" i="4"/>
  <c r="R34" i="4"/>
  <c r="S34" i="4"/>
  <c r="T34" i="4"/>
  <c r="U34" i="4"/>
  <c r="V34" i="4"/>
  <c r="W34" i="4"/>
  <c r="X34" i="4"/>
  <c r="Y34" i="4"/>
  <c r="Z34" i="4"/>
  <c r="AA34" i="4"/>
  <c r="AB34" i="4"/>
  <c r="AC34" i="4"/>
  <c r="AD34" i="4"/>
  <c r="AE34" i="4"/>
  <c r="AG34" i="4"/>
  <c r="AH34" i="4"/>
  <c r="AI34" i="4"/>
  <c r="AJ34" i="4"/>
  <c r="AK34" i="4"/>
  <c r="AL34" i="4"/>
  <c r="AM34" i="4"/>
  <c r="AN34" i="4"/>
  <c r="AO34" i="4"/>
  <c r="AP34" i="4"/>
  <c r="AQ34" i="4"/>
  <c r="AS34" i="4"/>
  <c r="AT34" i="4"/>
  <c r="AU34" i="4"/>
  <c r="AV34" i="4"/>
  <c r="AW34" i="4"/>
  <c r="AX34" i="4"/>
  <c r="AY34" i="4"/>
  <c r="AZ34" i="4"/>
  <c r="BB34" i="4"/>
  <c r="BC34" i="4"/>
  <c r="BD34" i="4"/>
  <c r="BE34" i="4"/>
  <c r="BG34" i="4"/>
  <c r="BH34" i="4"/>
  <c r="BI34" i="4"/>
  <c r="BJ34" i="4"/>
  <c r="BK34" i="4"/>
  <c r="BL34" i="4"/>
  <c r="BM34" i="4"/>
  <c r="BN34" i="4"/>
  <c r="BO34" i="4"/>
  <c r="BP34" i="4"/>
  <c r="BQ34" i="4"/>
  <c r="BR34" i="4"/>
  <c r="BS34" i="4"/>
  <c r="BU34" i="4"/>
  <c r="BV34" i="4"/>
  <c r="BW34" i="4"/>
  <c r="BX34" i="4"/>
  <c r="BZ34" i="4"/>
  <c r="CB34" i="4"/>
  <c r="A33" i="4"/>
  <c r="C33" i="4"/>
  <c r="C66" i="4" s="1"/>
  <c r="D33" i="4"/>
  <c r="D66" i="4" s="1"/>
  <c r="H33" i="4"/>
  <c r="E66" i="4"/>
  <c r="L33" i="4"/>
  <c r="O33" i="4"/>
  <c r="P33" i="4"/>
  <c r="Q33" i="4"/>
  <c r="R33" i="4"/>
  <c r="S33" i="4"/>
  <c r="T33" i="4"/>
  <c r="U33" i="4"/>
  <c r="V33" i="4"/>
  <c r="W33" i="4"/>
  <c r="X33" i="4"/>
  <c r="Y33" i="4"/>
  <c r="Z33" i="4"/>
  <c r="AA33" i="4"/>
  <c r="AB33" i="4"/>
  <c r="AC33" i="4"/>
  <c r="AD33" i="4"/>
  <c r="AE33" i="4"/>
  <c r="AG33" i="4"/>
  <c r="AH33" i="4"/>
  <c r="AI33" i="4"/>
  <c r="AJ33" i="4"/>
  <c r="AK33" i="4"/>
  <c r="AL33" i="4"/>
  <c r="AM33" i="4"/>
  <c r="AN33" i="4"/>
  <c r="AO33" i="4"/>
  <c r="AP33" i="4"/>
  <c r="AR33" i="4"/>
  <c r="AS33" i="4"/>
  <c r="AT33" i="4"/>
  <c r="AU33" i="4"/>
  <c r="AV33" i="4"/>
  <c r="AW33" i="4"/>
  <c r="AX33" i="4"/>
  <c r="AY33" i="4"/>
  <c r="AZ33" i="4"/>
  <c r="BB33" i="4"/>
  <c r="BC33" i="4"/>
  <c r="BD33" i="4"/>
  <c r="BE33" i="4"/>
  <c r="BG33" i="4"/>
  <c r="BH33" i="4"/>
  <c r="BI33" i="4"/>
  <c r="BJ33" i="4"/>
  <c r="BK33" i="4"/>
  <c r="BL33" i="4"/>
  <c r="BM33" i="4"/>
  <c r="BN33" i="4"/>
  <c r="BO33" i="4"/>
  <c r="BP33" i="4"/>
  <c r="BQ33" i="4"/>
  <c r="BR33" i="4"/>
  <c r="BS33" i="4"/>
  <c r="BU33" i="4"/>
  <c r="BV33" i="4"/>
  <c r="BW33" i="4"/>
  <c r="BX33" i="4"/>
  <c r="BZ33" i="4"/>
  <c r="CB33" i="4"/>
  <c r="J70" i="4" l="1"/>
  <c r="AF70" i="4"/>
  <c r="AH70" i="4" s="1"/>
  <c r="J72" i="4"/>
  <c r="AF72" i="4"/>
  <c r="AH72" i="4" s="1"/>
  <c r="J65" i="4"/>
  <c r="AF65" i="4"/>
  <c r="AH65" i="4" s="1"/>
  <c r="J57" i="4"/>
  <c r="AF57" i="4"/>
  <c r="AH57" i="4" s="1"/>
  <c r="K52" i="4"/>
  <c r="M52" i="4" s="1"/>
  <c r="L74" i="4"/>
  <c r="F41" i="4"/>
  <c r="F109" i="4" s="1"/>
  <c r="L52" i="4"/>
  <c r="F19" i="4"/>
  <c r="K69" i="4"/>
  <c r="M69" i="4" s="1"/>
  <c r="K66" i="4"/>
  <c r="M66" i="4" s="1"/>
  <c r="K58" i="4"/>
  <c r="M58" i="4" s="1"/>
  <c r="K75" i="4"/>
  <c r="M75" i="4" s="1"/>
  <c r="K82" i="4"/>
  <c r="M82" i="4" s="1"/>
  <c r="K67" i="4"/>
  <c r="M67" i="4" s="1"/>
  <c r="K73" i="4"/>
  <c r="M73" i="4" s="1"/>
  <c r="K79" i="4"/>
  <c r="M79" i="4" s="1"/>
  <c r="K60" i="4"/>
  <c r="M60" i="4" s="1"/>
  <c r="K68" i="4"/>
  <c r="M68" i="4" s="1"/>
  <c r="A29" i="4"/>
  <c r="C29" i="4"/>
  <c r="C62" i="4" s="1"/>
  <c r="D29" i="4"/>
  <c r="D62" i="4" s="1"/>
  <c r="H29" i="4"/>
  <c r="K29" i="4"/>
  <c r="E62" i="4" s="1"/>
  <c r="K62" i="4" s="1"/>
  <c r="M62" i="4" s="1"/>
  <c r="L29" i="4"/>
  <c r="O29" i="4"/>
  <c r="P29" i="4"/>
  <c r="Q29" i="4"/>
  <c r="R29" i="4"/>
  <c r="S29" i="4"/>
  <c r="T29" i="4"/>
  <c r="U29" i="4"/>
  <c r="V29" i="4"/>
  <c r="W29" i="4"/>
  <c r="X29" i="4"/>
  <c r="Y29" i="4"/>
  <c r="Z29" i="4"/>
  <c r="AA29" i="4"/>
  <c r="AB29" i="4"/>
  <c r="AC29" i="4"/>
  <c r="AD29" i="4"/>
  <c r="AE29" i="4"/>
  <c r="AG29" i="4"/>
  <c r="AH29" i="4"/>
  <c r="AI29" i="4"/>
  <c r="AJ29" i="4"/>
  <c r="AK29" i="4"/>
  <c r="AL29" i="4"/>
  <c r="AM29" i="4"/>
  <c r="AN29" i="4"/>
  <c r="AO29" i="4"/>
  <c r="AP29" i="4"/>
  <c r="AR29" i="4"/>
  <c r="AS29" i="4"/>
  <c r="AT29" i="4"/>
  <c r="AU29" i="4"/>
  <c r="AV29" i="4"/>
  <c r="AW29" i="4"/>
  <c r="AX29" i="4"/>
  <c r="AY29" i="4"/>
  <c r="AZ29" i="4"/>
  <c r="BB29" i="4"/>
  <c r="BC29" i="4"/>
  <c r="BD29" i="4"/>
  <c r="BE29" i="4"/>
  <c r="BG29" i="4"/>
  <c r="BH29" i="4"/>
  <c r="BI29" i="4"/>
  <c r="BJ29" i="4"/>
  <c r="BK29" i="4"/>
  <c r="BL29" i="4"/>
  <c r="BM29" i="4"/>
  <c r="BO29" i="4"/>
  <c r="BP29" i="4"/>
  <c r="BQ29" i="4"/>
  <c r="BR29" i="4"/>
  <c r="BS29" i="4"/>
  <c r="BU29" i="4"/>
  <c r="BV29" i="4"/>
  <c r="BW29" i="4"/>
  <c r="BX29" i="4"/>
  <c r="BZ29" i="4"/>
  <c r="CB29" i="4"/>
  <c r="A45" i="4"/>
  <c r="C78" i="4"/>
  <c r="D78" i="4"/>
  <c r="H45" i="4"/>
  <c r="K45" i="4"/>
  <c r="E78" i="4" s="1"/>
  <c r="K78" i="4" s="1"/>
  <c r="M78" i="4" s="1"/>
  <c r="L45" i="4"/>
  <c r="N45" i="4"/>
  <c r="O45" i="4"/>
  <c r="P45" i="4"/>
  <c r="Q45" i="4"/>
  <c r="R45" i="4"/>
  <c r="S45" i="4"/>
  <c r="T45" i="4"/>
  <c r="U45" i="4"/>
  <c r="V45" i="4"/>
  <c r="W45" i="4"/>
  <c r="X45" i="4"/>
  <c r="Y45" i="4"/>
  <c r="Z45" i="4"/>
  <c r="AA45" i="4"/>
  <c r="AB45" i="4"/>
  <c r="AC45" i="4"/>
  <c r="AD45" i="4"/>
  <c r="AE45" i="4"/>
  <c r="AG45" i="4"/>
  <c r="AH45" i="4"/>
  <c r="AJ45" i="4"/>
  <c r="AK45" i="4"/>
  <c r="AL45" i="4"/>
  <c r="AM45" i="4"/>
  <c r="AN45" i="4"/>
  <c r="AO45" i="4"/>
  <c r="AP45" i="4"/>
  <c r="AR45" i="4"/>
  <c r="AS45" i="4"/>
  <c r="AT45" i="4"/>
  <c r="AU45" i="4"/>
  <c r="AV45" i="4"/>
  <c r="AW45" i="4"/>
  <c r="AX45" i="4"/>
  <c r="AY45" i="4"/>
  <c r="AZ45" i="4"/>
  <c r="BB45" i="4"/>
  <c r="BC45" i="4"/>
  <c r="BD45" i="4"/>
  <c r="BE45" i="4"/>
  <c r="BG45" i="4"/>
  <c r="BH45" i="4"/>
  <c r="BI45" i="4"/>
  <c r="BJ45" i="4"/>
  <c r="BK45" i="4"/>
  <c r="BL45" i="4"/>
  <c r="BM45" i="4"/>
  <c r="BN45" i="4"/>
  <c r="BO45" i="4"/>
  <c r="BP45" i="4"/>
  <c r="BQ45" i="4"/>
  <c r="BR45" i="4"/>
  <c r="BS45" i="4"/>
  <c r="BU45" i="4"/>
  <c r="BV45" i="4"/>
  <c r="CB45" i="4"/>
  <c r="A44" i="4"/>
  <c r="C44" i="4"/>
  <c r="C77" i="4" s="1"/>
  <c r="D44" i="4"/>
  <c r="D77" i="4" s="1"/>
  <c r="H44" i="4"/>
  <c r="E77" i="4"/>
  <c r="K77" i="4" s="1"/>
  <c r="M77" i="4" s="1"/>
  <c r="L44" i="4"/>
  <c r="N44" i="4"/>
  <c r="O44" i="4"/>
  <c r="P44" i="4"/>
  <c r="Q44" i="4"/>
  <c r="R44" i="4"/>
  <c r="S44" i="4"/>
  <c r="T44" i="4"/>
  <c r="U44" i="4"/>
  <c r="V44" i="4"/>
  <c r="W44" i="4"/>
  <c r="X44" i="4"/>
  <c r="Y44" i="4"/>
  <c r="Z44" i="4"/>
  <c r="AA44" i="4"/>
  <c r="AB44" i="4"/>
  <c r="AC44" i="4"/>
  <c r="AD44" i="4"/>
  <c r="AE44" i="4"/>
  <c r="AF44" i="4"/>
  <c r="AG44" i="4"/>
  <c r="AH44" i="4"/>
  <c r="AI44" i="4"/>
  <c r="AJ44" i="4"/>
  <c r="AK44" i="4"/>
  <c r="AL44" i="4"/>
  <c r="AM44" i="4"/>
  <c r="AN44" i="4"/>
  <c r="AO44" i="4"/>
  <c r="AP44" i="4"/>
  <c r="AQ44" i="4"/>
  <c r="AR44" i="4"/>
  <c r="AS44" i="4"/>
  <c r="AT44" i="4"/>
  <c r="AU44" i="4"/>
  <c r="AV44" i="4"/>
  <c r="AW44" i="4"/>
  <c r="AX44" i="4"/>
  <c r="AY44" i="4"/>
  <c r="AZ44" i="4"/>
  <c r="BA44" i="4"/>
  <c r="BB44" i="4"/>
  <c r="BC44" i="4"/>
  <c r="BD44" i="4"/>
  <c r="BE44" i="4"/>
  <c r="BF44" i="4"/>
  <c r="BG44" i="4"/>
  <c r="BH44" i="4"/>
  <c r="BI44" i="4"/>
  <c r="BJ44" i="4"/>
  <c r="BK44" i="4"/>
  <c r="BL44" i="4"/>
  <c r="BM44" i="4"/>
  <c r="BN44" i="4"/>
  <c r="BO44" i="4"/>
  <c r="BP44" i="4"/>
  <c r="BQ44" i="4"/>
  <c r="BR44" i="4"/>
  <c r="BS44" i="4"/>
  <c r="BT44" i="4"/>
  <c r="BU44" i="4"/>
  <c r="BV44" i="4"/>
  <c r="BW44" i="4"/>
  <c r="BX44" i="4"/>
  <c r="BZ44" i="4"/>
  <c r="CB44" i="4"/>
  <c r="A48" i="4"/>
  <c r="C81" i="4"/>
  <c r="D81" i="4"/>
  <c r="H48" i="4"/>
  <c r="K48" i="4"/>
  <c r="E81" i="4" s="1"/>
  <c r="K81" i="4" s="1"/>
  <c r="M81" i="4" s="1"/>
  <c r="L48" i="4"/>
  <c r="N48" i="4"/>
  <c r="O48" i="4"/>
  <c r="P48" i="4"/>
  <c r="Q48" i="4"/>
  <c r="R48" i="4"/>
  <c r="S48" i="4"/>
  <c r="T48" i="4"/>
  <c r="U48" i="4"/>
  <c r="V48" i="4"/>
  <c r="W48" i="4"/>
  <c r="X48" i="4"/>
  <c r="Y48" i="4"/>
  <c r="Z48" i="4"/>
  <c r="AA48" i="4"/>
  <c r="AB48" i="4"/>
  <c r="AC48" i="4"/>
  <c r="AD48" i="4"/>
  <c r="AE48" i="4"/>
  <c r="AG48" i="4"/>
  <c r="AH48" i="4"/>
  <c r="AJ48" i="4"/>
  <c r="AK48" i="4"/>
  <c r="AL48" i="4"/>
  <c r="AM48" i="4"/>
  <c r="AN48" i="4"/>
  <c r="AO48" i="4"/>
  <c r="AP48" i="4"/>
  <c r="AR48" i="4"/>
  <c r="AS48" i="4"/>
  <c r="AT48" i="4"/>
  <c r="AU48" i="4"/>
  <c r="AV48" i="4"/>
  <c r="AW48" i="4"/>
  <c r="AX48" i="4"/>
  <c r="AY48" i="4"/>
  <c r="AZ48" i="4"/>
  <c r="BB48" i="4"/>
  <c r="BC48" i="4"/>
  <c r="BD48" i="4"/>
  <c r="BE48" i="4"/>
  <c r="BG48" i="4"/>
  <c r="BH48" i="4"/>
  <c r="BI48" i="4"/>
  <c r="BJ48" i="4"/>
  <c r="BK48" i="4"/>
  <c r="BL48" i="4"/>
  <c r="BM48" i="4"/>
  <c r="BN48" i="4"/>
  <c r="BO48" i="4"/>
  <c r="BP48" i="4"/>
  <c r="BQ48" i="4"/>
  <c r="BR48" i="4"/>
  <c r="BS48" i="4"/>
  <c r="BU48" i="4"/>
  <c r="BV48" i="4"/>
  <c r="CB48" i="4"/>
  <c r="A46" i="4"/>
  <c r="C79" i="4"/>
  <c r="D79" i="4"/>
  <c r="H46" i="4"/>
  <c r="K46" i="4"/>
  <c r="E79" i="4" s="1"/>
  <c r="L46" i="4"/>
  <c r="N46" i="4"/>
  <c r="O46" i="4"/>
  <c r="P46" i="4"/>
  <c r="Q46" i="4"/>
  <c r="R46" i="4"/>
  <c r="S46" i="4"/>
  <c r="T46" i="4"/>
  <c r="U46" i="4"/>
  <c r="V46" i="4"/>
  <c r="W46" i="4"/>
  <c r="X46" i="4"/>
  <c r="Y46" i="4"/>
  <c r="Z46" i="4"/>
  <c r="AA46" i="4"/>
  <c r="AB46" i="4"/>
  <c r="AC46" i="4"/>
  <c r="AD46" i="4"/>
  <c r="AE46" i="4"/>
  <c r="AG46" i="4"/>
  <c r="AI46" i="4"/>
  <c r="AJ46" i="4"/>
  <c r="AK46" i="4"/>
  <c r="AL46" i="4"/>
  <c r="AM46" i="4"/>
  <c r="AN46" i="4"/>
  <c r="AP46" i="4"/>
  <c r="AR46" i="4"/>
  <c r="AS46" i="4"/>
  <c r="AT46" i="4"/>
  <c r="AU46" i="4"/>
  <c r="AV46" i="4"/>
  <c r="AW46" i="4"/>
  <c r="AX46" i="4"/>
  <c r="AY46" i="4"/>
  <c r="AZ46" i="4"/>
  <c r="BB46" i="4"/>
  <c r="BC46" i="4"/>
  <c r="BD46" i="4"/>
  <c r="BE46" i="4"/>
  <c r="BG46" i="4"/>
  <c r="BH46" i="4"/>
  <c r="BJ46" i="4"/>
  <c r="BK46" i="4"/>
  <c r="BL46" i="4"/>
  <c r="BM46" i="4"/>
  <c r="BN46" i="4"/>
  <c r="BO46" i="4"/>
  <c r="BP46" i="4"/>
  <c r="BQ46" i="4"/>
  <c r="BR46" i="4"/>
  <c r="BS46" i="4"/>
  <c r="BU46" i="4"/>
  <c r="BV46" i="4"/>
  <c r="CB46" i="4"/>
  <c r="A49" i="4"/>
  <c r="C82" i="4"/>
  <c r="D82" i="4"/>
  <c r="H49" i="4"/>
  <c r="K49" i="4"/>
  <c r="E82" i="4" s="1"/>
  <c r="L49" i="4"/>
  <c r="N49" i="4"/>
  <c r="O49" i="4"/>
  <c r="P49" i="4"/>
  <c r="Q49" i="4"/>
  <c r="R49" i="4"/>
  <c r="S49" i="4"/>
  <c r="T49" i="4"/>
  <c r="U49" i="4"/>
  <c r="V49" i="4"/>
  <c r="W49" i="4"/>
  <c r="X49" i="4"/>
  <c r="Y49" i="4"/>
  <c r="Z49" i="4"/>
  <c r="AA49" i="4"/>
  <c r="AB49" i="4"/>
  <c r="AC49" i="4"/>
  <c r="AD49" i="4"/>
  <c r="AE49" i="4"/>
  <c r="AG49" i="4"/>
  <c r="AH49" i="4"/>
  <c r="AJ49" i="4"/>
  <c r="AK49" i="4"/>
  <c r="AL49" i="4"/>
  <c r="AM49" i="4"/>
  <c r="AN49" i="4"/>
  <c r="AO49" i="4"/>
  <c r="AP49" i="4"/>
  <c r="AR49" i="4"/>
  <c r="AS49" i="4"/>
  <c r="AT49" i="4"/>
  <c r="AU49" i="4"/>
  <c r="AV49" i="4"/>
  <c r="AW49" i="4"/>
  <c r="AX49" i="4"/>
  <c r="AY49" i="4"/>
  <c r="AZ49" i="4"/>
  <c r="BB49" i="4"/>
  <c r="BC49" i="4"/>
  <c r="BD49" i="4"/>
  <c r="BE49" i="4"/>
  <c r="BG49" i="4"/>
  <c r="BH49" i="4"/>
  <c r="BI49" i="4"/>
  <c r="BJ49" i="4"/>
  <c r="BK49" i="4"/>
  <c r="BL49" i="4"/>
  <c r="BM49" i="4"/>
  <c r="BN49" i="4"/>
  <c r="BO49" i="4"/>
  <c r="BP49" i="4"/>
  <c r="BQ49" i="4"/>
  <c r="BR49" i="4"/>
  <c r="BS49" i="4"/>
  <c r="BU49" i="4"/>
  <c r="BV49" i="4"/>
  <c r="CB49" i="4"/>
  <c r="A31" i="4"/>
  <c r="C31" i="4"/>
  <c r="C64" i="4" s="1"/>
  <c r="D31" i="4"/>
  <c r="D64" i="4" s="1"/>
  <c r="H31" i="4"/>
  <c r="K31" i="4"/>
  <c r="E64" i="4" s="1"/>
  <c r="K64" i="4" s="1"/>
  <c r="M64" i="4" s="1"/>
  <c r="L31" i="4"/>
  <c r="N31" i="4"/>
  <c r="O31" i="4"/>
  <c r="P31" i="4"/>
  <c r="Q31" i="4"/>
  <c r="R31" i="4"/>
  <c r="S31" i="4"/>
  <c r="T31" i="4"/>
  <c r="U31" i="4"/>
  <c r="V31" i="4"/>
  <c r="W31" i="4"/>
  <c r="X31" i="4"/>
  <c r="Y31" i="4"/>
  <c r="Z31" i="4"/>
  <c r="AA31" i="4"/>
  <c r="AB31" i="4"/>
  <c r="AC31" i="4"/>
  <c r="AD31" i="4"/>
  <c r="AE31" i="4"/>
  <c r="AF31" i="4"/>
  <c r="AG31" i="4"/>
  <c r="AH31" i="4"/>
  <c r="AI31" i="4"/>
  <c r="AJ31" i="4"/>
  <c r="AK31" i="4"/>
  <c r="AL31" i="4"/>
  <c r="AM31" i="4"/>
  <c r="AN31" i="4"/>
  <c r="AO31" i="4"/>
  <c r="AP31" i="4"/>
  <c r="AQ31" i="4"/>
  <c r="AR31" i="4"/>
  <c r="AS31" i="4"/>
  <c r="AT31" i="4"/>
  <c r="AU31" i="4"/>
  <c r="AV31" i="4"/>
  <c r="AW31" i="4"/>
  <c r="AX31" i="4"/>
  <c r="AY31" i="4"/>
  <c r="AZ31" i="4"/>
  <c r="BA31" i="4"/>
  <c r="BB31" i="4"/>
  <c r="BC31" i="4"/>
  <c r="BD31" i="4"/>
  <c r="BE31" i="4"/>
  <c r="BF31" i="4"/>
  <c r="BG31" i="4"/>
  <c r="BH31" i="4"/>
  <c r="BI31" i="4"/>
  <c r="BJ31" i="4"/>
  <c r="BK31" i="4"/>
  <c r="BL31" i="4"/>
  <c r="BM31" i="4"/>
  <c r="BN31" i="4"/>
  <c r="BO31" i="4"/>
  <c r="BP31" i="4"/>
  <c r="BQ31" i="4"/>
  <c r="BR31" i="4"/>
  <c r="BS31" i="4"/>
  <c r="BT31" i="4"/>
  <c r="BU31" i="4"/>
  <c r="BV31" i="4"/>
  <c r="BW31" i="4"/>
  <c r="BX31" i="4"/>
  <c r="BZ31" i="4"/>
  <c r="CB31" i="4"/>
  <c r="A24" i="4"/>
  <c r="C24" i="4"/>
  <c r="C57" i="4" s="1"/>
  <c r="D24" i="4"/>
  <c r="D57" i="4" s="1"/>
  <c r="H24" i="4"/>
  <c r="E57" i="4"/>
  <c r="K57" i="4" s="1"/>
  <c r="M57" i="4" s="1"/>
  <c r="L24" i="4"/>
  <c r="N24" i="4"/>
  <c r="O24" i="4"/>
  <c r="P24" i="4"/>
  <c r="Q24" i="4"/>
  <c r="R24" i="4"/>
  <c r="S24" i="4"/>
  <c r="T24" i="4"/>
  <c r="U24" i="4"/>
  <c r="V24" i="4"/>
  <c r="W24" i="4"/>
  <c r="X24" i="4"/>
  <c r="Y24" i="4"/>
  <c r="Z24" i="4"/>
  <c r="AA24" i="4"/>
  <c r="AB24" i="4"/>
  <c r="AC24" i="4"/>
  <c r="AD24" i="4"/>
  <c r="AE24" i="4"/>
  <c r="AG24" i="4"/>
  <c r="AH24" i="4"/>
  <c r="AI24" i="4"/>
  <c r="AJ24" i="4"/>
  <c r="AK24" i="4"/>
  <c r="AL24" i="4"/>
  <c r="AM24" i="4"/>
  <c r="AN24" i="4"/>
  <c r="AO24" i="4"/>
  <c r="AP24" i="4"/>
  <c r="AR24" i="4"/>
  <c r="AS24" i="4"/>
  <c r="AT24" i="4"/>
  <c r="AU24" i="4"/>
  <c r="AV24" i="4"/>
  <c r="AW24" i="4"/>
  <c r="AX24" i="4"/>
  <c r="AY24" i="4"/>
  <c r="AZ24" i="4"/>
  <c r="BA24" i="4"/>
  <c r="BB24" i="4"/>
  <c r="BC24" i="4"/>
  <c r="BD24" i="4"/>
  <c r="BE24" i="4"/>
  <c r="BG24" i="4"/>
  <c r="BH24" i="4"/>
  <c r="BI24" i="4"/>
  <c r="BJ24" i="4"/>
  <c r="BK24" i="4"/>
  <c r="BL24" i="4"/>
  <c r="BM24" i="4"/>
  <c r="BO24" i="4"/>
  <c r="BP24" i="4"/>
  <c r="BQ24" i="4"/>
  <c r="BR24" i="4"/>
  <c r="BS24" i="4"/>
  <c r="BT24" i="4"/>
  <c r="BU24" i="4"/>
  <c r="BV24" i="4"/>
  <c r="BW24" i="4"/>
  <c r="BX24" i="4"/>
  <c r="BZ24" i="4"/>
  <c r="CB24" i="4"/>
  <c r="A32" i="4"/>
  <c r="C32" i="4"/>
  <c r="C65" i="4" s="1"/>
  <c r="D32" i="4"/>
  <c r="D65" i="4" s="1"/>
  <c r="H32" i="4"/>
  <c r="E65" i="4"/>
  <c r="K65" i="4" s="1"/>
  <c r="M65" i="4" s="1"/>
  <c r="L32" i="4"/>
  <c r="O32" i="4"/>
  <c r="P32" i="4"/>
  <c r="Q32" i="4"/>
  <c r="R32" i="4"/>
  <c r="S32" i="4"/>
  <c r="T32" i="4"/>
  <c r="U32" i="4"/>
  <c r="V32" i="4"/>
  <c r="W32" i="4"/>
  <c r="X32" i="4"/>
  <c r="Y32" i="4"/>
  <c r="Z32" i="4"/>
  <c r="AA32" i="4"/>
  <c r="AB32" i="4"/>
  <c r="AC32" i="4"/>
  <c r="AD32" i="4"/>
  <c r="AE32" i="4"/>
  <c r="AG32" i="4"/>
  <c r="AH32" i="4"/>
  <c r="AI32" i="4"/>
  <c r="AJ32" i="4"/>
  <c r="AK32" i="4"/>
  <c r="AL32" i="4"/>
  <c r="AM32" i="4"/>
  <c r="AN32" i="4"/>
  <c r="AO32" i="4"/>
  <c r="AP32" i="4"/>
  <c r="AQ32" i="4"/>
  <c r="AR32" i="4"/>
  <c r="AS32" i="4"/>
  <c r="AT32" i="4"/>
  <c r="AU32" i="4"/>
  <c r="AV32" i="4"/>
  <c r="AW32" i="4"/>
  <c r="AX32" i="4"/>
  <c r="AY32" i="4"/>
  <c r="AZ32" i="4"/>
  <c r="BB32" i="4"/>
  <c r="BC32" i="4"/>
  <c r="BD32" i="4"/>
  <c r="BE32" i="4"/>
  <c r="BG32" i="4"/>
  <c r="BH32" i="4"/>
  <c r="BI32" i="4"/>
  <c r="BJ32" i="4"/>
  <c r="BK32" i="4"/>
  <c r="BL32" i="4"/>
  <c r="BM32" i="4"/>
  <c r="BN32" i="4"/>
  <c r="BO32" i="4"/>
  <c r="BP32" i="4"/>
  <c r="BQ32" i="4"/>
  <c r="BR32" i="4"/>
  <c r="BS32" i="4"/>
  <c r="BU32" i="4"/>
  <c r="BV32" i="4"/>
  <c r="BW32" i="4"/>
  <c r="BX32" i="4"/>
  <c r="BZ32" i="4"/>
  <c r="CB32" i="4"/>
  <c r="A26" i="4"/>
  <c r="C26" i="4"/>
  <c r="C59" i="4" s="1"/>
  <c r="D26" i="4"/>
  <c r="D59" i="4" s="1"/>
  <c r="H26" i="4"/>
  <c r="E59" i="4"/>
  <c r="K59" i="4" s="1"/>
  <c r="M59" i="4" s="1"/>
  <c r="L26" i="4"/>
  <c r="O26" i="4"/>
  <c r="P26" i="4"/>
  <c r="Q26" i="4"/>
  <c r="R26" i="4"/>
  <c r="S26" i="4"/>
  <c r="T26" i="4"/>
  <c r="U26" i="4"/>
  <c r="V26" i="4"/>
  <c r="W26" i="4"/>
  <c r="X26" i="4"/>
  <c r="Y26" i="4"/>
  <c r="Z26" i="4"/>
  <c r="AA26" i="4"/>
  <c r="AB26" i="4"/>
  <c r="AC26" i="4"/>
  <c r="AD26" i="4"/>
  <c r="AE26" i="4"/>
  <c r="AG26" i="4"/>
  <c r="AH26" i="4"/>
  <c r="AI26" i="4"/>
  <c r="AJ26" i="4"/>
  <c r="AK26" i="4"/>
  <c r="AL26" i="4"/>
  <c r="AM26" i="4"/>
  <c r="AN26" i="4"/>
  <c r="AO26" i="4"/>
  <c r="AP26" i="4"/>
  <c r="AR26" i="4"/>
  <c r="AS26" i="4"/>
  <c r="AT26" i="4"/>
  <c r="AU26" i="4"/>
  <c r="AV26" i="4"/>
  <c r="AW26" i="4"/>
  <c r="AX26" i="4"/>
  <c r="AY26" i="4"/>
  <c r="AZ26" i="4"/>
  <c r="BB26" i="4"/>
  <c r="BC26" i="4"/>
  <c r="BD26" i="4"/>
  <c r="BE26" i="4"/>
  <c r="BG26" i="4"/>
  <c r="BH26" i="4"/>
  <c r="BI26" i="4"/>
  <c r="BJ26" i="4"/>
  <c r="BK26" i="4"/>
  <c r="BL26" i="4"/>
  <c r="BM26" i="4"/>
  <c r="BN26" i="4"/>
  <c r="BO26" i="4"/>
  <c r="BP26" i="4"/>
  <c r="BQ26" i="4"/>
  <c r="BR26" i="4"/>
  <c r="BS26" i="4"/>
  <c r="BU26" i="4"/>
  <c r="BV26" i="4"/>
  <c r="BW26" i="4"/>
  <c r="BX26" i="4"/>
  <c r="BZ26" i="4"/>
  <c r="CB26" i="4"/>
  <c r="A39" i="4"/>
  <c r="C39" i="4"/>
  <c r="C72" i="4" s="1"/>
  <c r="D39" i="4"/>
  <c r="D72" i="4" s="1"/>
  <c r="H39" i="4"/>
  <c r="E72" i="4"/>
  <c r="K72" i="4" s="1"/>
  <c r="M72" i="4" s="1"/>
  <c r="L39" i="4"/>
  <c r="N39" i="4"/>
  <c r="O39" i="4"/>
  <c r="P39" i="4"/>
  <c r="Q39" i="4"/>
  <c r="R39" i="4"/>
  <c r="S39" i="4"/>
  <c r="T39" i="4"/>
  <c r="U39" i="4"/>
  <c r="V39" i="4"/>
  <c r="W39" i="4"/>
  <c r="X39" i="4"/>
  <c r="Y39" i="4"/>
  <c r="Z39" i="4"/>
  <c r="AA39" i="4"/>
  <c r="AB39" i="4"/>
  <c r="AC39" i="4"/>
  <c r="AD39" i="4"/>
  <c r="AE39" i="4"/>
  <c r="AF39" i="4"/>
  <c r="AG39" i="4"/>
  <c r="AH39" i="4"/>
  <c r="AI39" i="4"/>
  <c r="AJ39" i="4"/>
  <c r="AK39" i="4"/>
  <c r="AL39" i="4"/>
  <c r="AM39" i="4"/>
  <c r="AN39" i="4"/>
  <c r="AO39" i="4"/>
  <c r="AP39" i="4"/>
  <c r="AQ39" i="4"/>
  <c r="AR39" i="4"/>
  <c r="AS39" i="4"/>
  <c r="AT39" i="4"/>
  <c r="AU39" i="4"/>
  <c r="AV39" i="4"/>
  <c r="AW39" i="4"/>
  <c r="AX39" i="4"/>
  <c r="AY39" i="4"/>
  <c r="AZ39" i="4"/>
  <c r="BA39" i="4"/>
  <c r="BB39" i="4"/>
  <c r="BC39" i="4"/>
  <c r="BD39" i="4"/>
  <c r="BE39" i="4"/>
  <c r="BF39" i="4"/>
  <c r="BG39" i="4"/>
  <c r="BH39" i="4"/>
  <c r="BI39" i="4"/>
  <c r="BJ39" i="4"/>
  <c r="BK39" i="4"/>
  <c r="BL39" i="4"/>
  <c r="BM39" i="4"/>
  <c r="BN39" i="4"/>
  <c r="BO39" i="4"/>
  <c r="BP39" i="4"/>
  <c r="BQ39" i="4"/>
  <c r="BR39" i="4"/>
  <c r="BS39" i="4"/>
  <c r="BT39" i="4"/>
  <c r="BU39" i="4"/>
  <c r="BV39" i="4"/>
  <c r="BW39" i="4"/>
  <c r="BX39" i="4"/>
  <c r="BZ39" i="4"/>
  <c r="CB39" i="4"/>
  <c r="A38" i="4"/>
  <c r="C71" i="4"/>
  <c r="D71" i="4"/>
  <c r="H38" i="4"/>
  <c r="E71" i="4"/>
  <c r="K71" i="4" s="1"/>
  <c r="M71" i="4" s="1"/>
  <c r="L38" i="4"/>
  <c r="N38" i="4"/>
  <c r="O38" i="4"/>
  <c r="Q38" i="4"/>
  <c r="R38" i="4"/>
  <c r="S38" i="4"/>
  <c r="T38" i="4"/>
  <c r="U38" i="4"/>
  <c r="V38" i="4"/>
  <c r="W38" i="4"/>
  <c r="X38" i="4"/>
  <c r="Y38" i="4"/>
  <c r="Z38" i="4"/>
  <c r="AA38" i="4"/>
  <c r="AB38" i="4"/>
  <c r="AC38" i="4"/>
  <c r="AD38" i="4"/>
  <c r="AE38" i="4"/>
  <c r="AF38" i="4"/>
  <c r="AG38" i="4"/>
  <c r="AH38" i="4"/>
  <c r="AJ38" i="4"/>
  <c r="AL38" i="4"/>
  <c r="AM38" i="4"/>
  <c r="AN38" i="4"/>
  <c r="AO38" i="4"/>
  <c r="AP38" i="4"/>
  <c r="AR38" i="4"/>
  <c r="AS38" i="4"/>
  <c r="AT38" i="4"/>
  <c r="AU38" i="4"/>
  <c r="AV38" i="4"/>
  <c r="AW38" i="4"/>
  <c r="AX38" i="4"/>
  <c r="AY38" i="4"/>
  <c r="AZ38" i="4"/>
  <c r="BB38" i="4"/>
  <c r="BC38" i="4"/>
  <c r="BD38" i="4"/>
  <c r="BE38" i="4"/>
  <c r="BG38" i="4"/>
  <c r="BH38" i="4"/>
  <c r="BI38" i="4"/>
  <c r="BJ38" i="4"/>
  <c r="BK38" i="4"/>
  <c r="BL38" i="4"/>
  <c r="BM38" i="4"/>
  <c r="BN38" i="4"/>
  <c r="BO38" i="4"/>
  <c r="BP38" i="4"/>
  <c r="BQ38" i="4"/>
  <c r="BR38" i="4"/>
  <c r="BS38" i="4"/>
  <c r="BT38" i="4"/>
  <c r="BU38" i="4"/>
  <c r="BV38" i="4"/>
  <c r="BW38" i="4"/>
  <c r="BX38" i="4"/>
  <c r="BZ38" i="4"/>
  <c r="CB38" i="4"/>
  <c r="A21" i="4"/>
  <c r="C21" i="4"/>
  <c r="C54" i="4" s="1"/>
  <c r="D21" i="4"/>
  <c r="D54" i="4" s="1"/>
  <c r="H21" i="4"/>
  <c r="K21" i="4"/>
  <c r="E54" i="4" s="1"/>
  <c r="K54" i="4" s="1"/>
  <c r="M54" i="4" s="1"/>
  <c r="L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AR21" i="4"/>
  <c r="AS21" i="4"/>
  <c r="AT21" i="4"/>
  <c r="AU21" i="4"/>
  <c r="AV21" i="4"/>
  <c r="AW21" i="4"/>
  <c r="AX21" i="4"/>
  <c r="AY21" i="4"/>
  <c r="AZ21" i="4"/>
  <c r="BA21" i="4"/>
  <c r="BB21" i="4"/>
  <c r="BC21" i="4"/>
  <c r="BD21" i="4"/>
  <c r="BE21" i="4"/>
  <c r="BG21" i="4"/>
  <c r="BH21" i="4"/>
  <c r="BI21" i="4"/>
  <c r="BJ21" i="4"/>
  <c r="BK21" i="4"/>
  <c r="BL21" i="4"/>
  <c r="BM21" i="4"/>
  <c r="BO21" i="4"/>
  <c r="BP21" i="4"/>
  <c r="BQ21" i="4"/>
  <c r="BR21" i="4"/>
  <c r="BS21" i="4"/>
  <c r="BT21" i="4"/>
  <c r="BU21" i="4"/>
  <c r="BV21" i="4"/>
  <c r="BW21" i="4"/>
  <c r="BX21" i="4"/>
  <c r="BZ21" i="4"/>
  <c r="CB21" i="4"/>
  <c r="A28" i="4"/>
  <c r="C28" i="4"/>
  <c r="C61" i="4" s="1"/>
  <c r="D28" i="4"/>
  <c r="D61" i="4" s="1"/>
  <c r="H28" i="4"/>
  <c r="E61" i="4"/>
  <c r="K61" i="4" s="1"/>
  <c r="M61" i="4" s="1"/>
  <c r="L28" i="4"/>
  <c r="N28" i="4"/>
  <c r="O28" i="4"/>
  <c r="P28" i="4"/>
  <c r="Q28" i="4"/>
  <c r="R28" i="4"/>
  <c r="S28" i="4"/>
  <c r="T28" i="4"/>
  <c r="U28" i="4"/>
  <c r="V28" i="4"/>
  <c r="W28" i="4"/>
  <c r="X28" i="4"/>
  <c r="Y28" i="4"/>
  <c r="Z28" i="4"/>
  <c r="AA28" i="4"/>
  <c r="AB28" i="4"/>
  <c r="AC28" i="4"/>
  <c r="AD28" i="4"/>
  <c r="AE28" i="4"/>
  <c r="AF28" i="4"/>
  <c r="AG28" i="4"/>
  <c r="AH28" i="4"/>
  <c r="AI28" i="4"/>
  <c r="AJ28" i="4"/>
  <c r="AK28" i="4"/>
  <c r="AL28" i="4"/>
  <c r="AM28" i="4"/>
  <c r="AN28" i="4"/>
  <c r="AO28" i="4"/>
  <c r="AP28" i="4"/>
  <c r="AR28" i="4"/>
  <c r="AS28" i="4"/>
  <c r="AT28" i="4"/>
  <c r="AU28" i="4"/>
  <c r="AV28" i="4"/>
  <c r="AW28" i="4"/>
  <c r="AX28" i="4"/>
  <c r="AY28" i="4"/>
  <c r="AZ28" i="4"/>
  <c r="BB28" i="4"/>
  <c r="BC28" i="4"/>
  <c r="BD28" i="4"/>
  <c r="BE28" i="4"/>
  <c r="BG28" i="4"/>
  <c r="BH28" i="4"/>
  <c r="BI28" i="4"/>
  <c r="BJ28" i="4"/>
  <c r="BK28" i="4"/>
  <c r="BL28" i="4"/>
  <c r="BM28" i="4"/>
  <c r="BO28" i="4"/>
  <c r="BP28" i="4"/>
  <c r="BQ28" i="4"/>
  <c r="BR28" i="4"/>
  <c r="BS28" i="4"/>
  <c r="BU28" i="4"/>
  <c r="BV28" i="4"/>
  <c r="BW28" i="4"/>
  <c r="BX28" i="4"/>
  <c r="BZ28" i="4"/>
  <c r="CB28" i="4"/>
  <c r="A37" i="4"/>
  <c r="C37" i="4"/>
  <c r="C70" i="4" s="1"/>
  <c r="D37" i="4"/>
  <c r="D70" i="4" s="1"/>
  <c r="H37" i="4"/>
  <c r="E70" i="4"/>
  <c r="K70" i="4" s="1"/>
  <c r="M70" i="4" s="1"/>
  <c r="L37" i="4"/>
  <c r="N37" i="4"/>
  <c r="O37" i="4"/>
  <c r="P37" i="4"/>
  <c r="Q37" i="4"/>
  <c r="R37" i="4"/>
  <c r="S37" i="4"/>
  <c r="T37" i="4"/>
  <c r="U37" i="4"/>
  <c r="V37" i="4"/>
  <c r="W37" i="4"/>
  <c r="X37" i="4"/>
  <c r="Y37" i="4"/>
  <c r="Z37" i="4"/>
  <c r="AA37" i="4"/>
  <c r="AB37" i="4"/>
  <c r="AC37" i="4"/>
  <c r="AD37" i="4"/>
  <c r="AE37" i="4"/>
  <c r="AF37" i="4"/>
  <c r="AG37" i="4"/>
  <c r="AH37" i="4"/>
  <c r="AI37" i="4"/>
  <c r="AJ37" i="4"/>
  <c r="AK37" i="4"/>
  <c r="AL37" i="4"/>
  <c r="AM37" i="4"/>
  <c r="AN37" i="4"/>
  <c r="AO37" i="4"/>
  <c r="AP37" i="4"/>
  <c r="AQ37" i="4"/>
  <c r="AR37" i="4"/>
  <c r="AS37" i="4"/>
  <c r="AT37" i="4"/>
  <c r="AU37" i="4"/>
  <c r="AV37" i="4"/>
  <c r="AW37" i="4"/>
  <c r="AX37" i="4"/>
  <c r="AY37" i="4"/>
  <c r="AZ37" i="4"/>
  <c r="BA37" i="4"/>
  <c r="BB37" i="4"/>
  <c r="BC37" i="4"/>
  <c r="BD37" i="4"/>
  <c r="BE37" i="4"/>
  <c r="BF37" i="4"/>
  <c r="BG37" i="4"/>
  <c r="BH37" i="4"/>
  <c r="BI37" i="4"/>
  <c r="BJ37" i="4"/>
  <c r="BK37" i="4"/>
  <c r="BL37" i="4"/>
  <c r="BM37" i="4"/>
  <c r="BN37" i="4"/>
  <c r="BO37" i="4"/>
  <c r="BP37" i="4"/>
  <c r="BQ37" i="4"/>
  <c r="BR37" i="4"/>
  <c r="BS37" i="4"/>
  <c r="BT37" i="4"/>
  <c r="BU37" i="4"/>
  <c r="BV37" i="4"/>
  <c r="BW37" i="4"/>
  <c r="BX37" i="4"/>
  <c r="BZ37" i="4"/>
  <c r="CB37" i="4"/>
  <c r="A30" i="4"/>
  <c r="C30" i="4"/>
  <c r="C63" i="4" s="1"/>
  <c r="D30" i="4"/>
  <c r="D63" i="4" s="1"/>
  <c r="H30" i="4"/>
  <c r="E63" i="4"/>
  <c r="K63" i="4" s="1"/>
  <c r="M63" i="4" s="1"/>
  <c r="L30" i="4"/>
  <c r="N30" i="4"/>
  <c r="O30" i="4"/>
  <c r="P30" i="4"/>
  <c r="Q30" i="4"/>
  <c r="R30" i="4"/>
  <c r="S30" i="4"/>
  <c r="T30" i="4"/>
  <c r="U30" i="4"/>
  <c r="V30" i="4"/>
  <c r="W30" i="4"/>
  <c r="X30" i="4"/>
  <c r="Y30" i="4"/>
  <c r="Z30" i="4"/>
  <c r="AA30" i="4"/>
  <c r="AB30" i="4"/>
  <c r="AC30" i="4"/>
  <c r="AD30" i="4"/>
  <c r="AE30" i="4"/>
  <c r="AG30" i="4"/>
  <c r="AH30" i="4"/>
  <c r="AI30" i="4"/>
  <c r="AJ30" i="4"/>
  <c r="AK30" i="4"/>
  <c r="AL30" i="4"/>
  <c r="AM30" i="4"/>
  <c r="AN30" i="4"/>
  <c r="AO30" i="4"/>
  <c r="AP30" i="4"/>
  <c r="AR30" i="4"/>
  <c r="AS30" i="4"/>
  <c r="AT30" i="4"/>
  <c r="AU30" i="4"/>
  <c r="AV30" i="4"/>
  <c r="AW30" i="4"/>
  <c r="AX30" i="4"/>
  <c r="AY30" i="4"/>
  <c r="AZ30" i="4"/>
  <c r="BB30" i="4"/>
  <c r="BC30" i="4"/>
  <c r="BD30" i="4"/>
  <c r="BE30" i="4"/>
  <c r="BG30" i="4"/>
  <c r="BH30" i="4"/>
  <c r="BI30" i="4"/>
  <c r="BJ30" i="4"/>
  <c r="BK30" i="4"/>
  <c r="BL30" i="4"/>
  <c r="BM30" i="4"/>
  <c r="BO30" i="4"/>
  <c r="BP30" i="4"/>
  <c r="BQ30" i="4"/>
  <c r="BR30" i="4"/>
  <c r="BS30" i="4"/>
  <c r="BU30" i="4"/>
  <c r="BV30" i="4"/>
  <c r="BW30" i="4"/>
  <c r="BX30" i="4"/>
  <c r="BZ30" i="4"/>
  <c r="CB30" i="4"/>
  <c r="A20" i="4"/>
  <c r="C20" i="4"/>
  <c r="C53" i="4" s="1"/>
  <c r="D20" i="4"/>
  <c r="D53" i="4" s="1"/>
  <c r="H20" i="4"/>
  <c r="K20" i="4"/>
  <c r="E53" i="4" s="1"/>
  <c r="K53" i="4" s="1"/>
  <c r="M53" i="4" s="1"/>
  <c r="L20" i="4"/>
  <c r="N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G20" i="4"/>
  <c r="BH20" i="4"/>
  <c r="BI20" i="4"/>
  <c r="BJ20" i="4"/>
  <c r="BK20" i="4"/>
  <c r="BL20" i="4"/>
  <c r="BM20" i="4"/>
  <c r="BO20" i="4"/>
  <c r="BP20" i="4"/>
  <c r="BQ20" i="4"/>
  <c r="BR20" i="4"/>
  <c r="BS20" i="4"/>
  <c r="BT20" i="4"/>
  <c r="BU20" i="4"/>
  <c r="BV20" i="4"/>
  <c r="BW20" i="4"/>
  <c r="BX20" i="4"/>
  <c r="BZ20" i="4"/>
  <c r="CB20" i="4"/>
  <c r="A43" i="4"/>
  <c r="C43" i="4"/>
  <c r="C76" i="4" s="1"/>
  <c r="D43" i="4"/>
  <c r="D76" i="4" s="1"/>
  <c r="H43" i="4"/>
  <c r="K43" i="4"/>
  <c r="E76" i="4" s="1"/>
  <c r="K76" i="4" s="1"/>
  <c r="M76" i="4" s="1"/>
  <c r="L43" i="4"/>
  <c r="N43" i="4"/>
  <c r="O43" i="4"/>
  <c r="P43" i="4"/>
  <c r="Q43" i="4"/>
  <c r="R43" i="4"/>
  <c r="S43" i="4"/>
  <c r="T43" i="4"/>
  <c r="U43" i="4"/>
  <c r="V43" i="4"/>
  <c r="W43" i="4"/>
  <c r="X43" i="4"/>
  <c r="Y43" i="4"/>
  <c r="Z43" i="4"/>
  <c r="AA43" i="4"/>
  <c r="AB43" i="4"/>
  <c r="AC43" i="4"/>
  <c r="AD43" i="4"/>
  <c r="AE43" i="4"/>
  <c r="AF43" i="4"/>
  <c r="AG43" i="4"/>
  <c r="AH43" i="4"/>
  <c r="AI43" i="4"/>
  <c r="AJ43" i="4"/>
  <c r="AK43" i="4"/>
  <c r="AL43" i="4"/>
  <c r="AM43" i="4"/>
  <c r="AN43" i="4"/>
  <c r="AO43" i="4"/>
  <c r="AP43" i="4"/>
  <c r="AR43" i="4"/>
  <c r="AS43" i="4"/>
  <c r="AT43" i="4"/>
  <c r="AU43" i="4"/>
  <c r="AV43" i="4"/>
  <c r="AW43" i="4"/>
  <c r="AX43" i="4"/>
  <c r="AY43" i="4"/>
  <c r="AZ43" i="4"/>
  <c r="BB43" i="4"/>
  <c r="BC43" i="4"/>
  <c r="BD43" i="4"/>
  <c r="BE43" i="4"/>
  <c r="BG43" i="4"/>
  <c r="BH43" i="4"/>
  <c r="BI43" i="4"/>
  <c r="BJ43" i="4"/>
  <c r="BK43" i="4"/>
  <c r="BL43" i="4"/>
  <c r="BM43" i="4"/>
  <c r="BN43" i="4"/>
  <c r="BO43" i="4"/>
  <c r="BP43" i="4"/>
  <c r="BQ43" i="4"/>
  <c r="BR43" i="4"/>
  <c r="BS43" i="4"/>
  <c r="BT43" i="4"/>
  <c r="BU43" i="4"/>
  <c r="BV43" i="4"/>
  <c r="BW43" i="4"/>
  <c r="BX43" i="4"/>
  <c r="BZ43" i="4"/>
  <c r="CB43" i="4"/>
  <c r="A22" i="4"/>
  <c r="C22" i="4"/>
  <c r="C55" i="4" s="1"/>
  <c r="D22" i="4"/>
  <c r="D55" i="4" s="1"/>
  <c r="H22" i="4"/>
  <c r="K22" i="4"/>
  <c r="E55" i="4" s="1"/>
  <c r="K55" i="4" s="1"/>
  <c r="M55" i="4" s="1"/>
  <c r="L22"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G22" i="4"/>
  <c r="BH22" i="4"/>
  <c r="BI22" i="4"/>
  <c r="BJ22" i="4"/>
  <c r="BK22" i="4"/>
  <c r="BL22" i="4"/>
  <c r="BM22" i="4"/>
  <c r="BO22" i="4"/>
  <c r="BP22" i="4"/>
  <c r="BQ22" i="4"/>
  <c r="BR22" i="4"/>
  <c r="BS22" i="4"/>
  <c r="BT22" i="4"/>
  <c r="BU22" i="4"/>
  <c r="BV22" i="4"/>
  <c r="BW22" i="4"/>
  <c r="BX22" i="4"/>
  <c r="BZ22" i="4"/>
  <c r="CB22" i="4"/>
  <c r="A23" i="4"/>
  <c r="C23" i="4"/>
  <c r="C56" i="4" s="1"/>
  <c r="D23" i="4"/>
  <c r="D56" i="4" s="1"/>
  <c r="H23" i="4"/>
  <c r="K23" i="4"/>
  <c r="E56" i="4" s="1"/>
  <c r="K56" i="4" s="1"/>
  <c r="M56" i="4" s="1"/>
  <c r="L23" i="4"/>
  <c r="N23" i="4"/>
  <c r="O23" i="4"/>
  <c r="P23" i="4"/>
  <c r="Q23" i="4"/>
  <c r="R23" i="4"/>
  <c r="S23" i="4"/>
  <c r="T23" i="4"/>
  <c r="U23" i="4"/>
  <c r="V23" i="4"/>
  <c r="W23" i="4"/>
  <c r="X23" i="4"/>
  <c r="Y23" i="4"/>
  <c r="Z23" i="4"/>
  <c r="AA23" i="4"/>
  <c r="AB23" i="4"/>
  <c r="AC23" i="4"/>
  <c r="AD23" i="4"/>
  <c r="AE23" i="4"/>
  <c r="AG23" i="4"/>
  <c r="AH23" i="4"/>
  <c r="AI23" i="4"/>
  <c r="AJ23" i="4"/>
  <c r="AK23" i="4"/>
  <c r="AL23" i="4"/>
  <c r="AM23" i="4"/>
  <c r="AN23" i="4"/>
  <c r="AO23" i="4"/>
  <c r="AP23" i="4"/>
  <c r="AQ23" i="4"/>
  <c r="AR23" i="4"/>
  <c r="AS23" i="4"/>
  <c r="AT23" i="4"/>
  <c r="AU23" i="4"/>
  <c r="AV23" i="4"/>
  <c r="AW23" i="4"/>
  <c r="AX23" i="4"/>
  <c r="AY23" i="4"/>
  <c r="AZ23" i="4"/>
  <c r="BA23" i="4"/>
  <c r="BB23" i="4"/>
  <c r="BC23" i="4"/>
  <c r="BD23" i="4"/>
  <c r="BE23" i="4"/>
  <c r="BG23" i="4"/>
  <c r="BH23" i="4"/>
  <c r="BI23" i="4"/>
  <c r="BJ23" i="4"/>
  <c r="BK23" i="4"/>
  <c r="BL23" i="4"/>
  <c r="BM23" i="4"/>
  <c r="BO23" i="4"/>
  <c r="BP23" i="4"/>
  <c r="BQ23" i="4"/>
  <c r="BR23" i="4"/>
  <c r="BS23" i="4"/>
  <c r="BT23" i="4"/>
  <c r="BU23" i="4"/>
  <c r="BV23" i="4"/>
  <c r="BW23" i="4"/>
  <c r="BX23" i="4"/>
  <c r="BZ23" i="4"/>
  <c r="CB23" i="4"/>
  <c r="L66" i="4" l="1"/>
  <c r="F33" i="4"/>
  <c r="F101" i="4" s="1"/>
  <c r="L67" i="4"/>
  <c r="F34" i="4"/>
  <c r="F102" i="4" s="1"/>
  <c r="L60" i="4"/>
  <c r="F27" i="4"/>
  <c r="F95" i="4" s="1"/>
  <c r="L69" i="4"/>
  <c r="F36" i="4"/>
  <c r="F104" i="4" s="1"/>
  <c r="L58" i="4"/>
  <c r="F25" i="4"/>
  <c r="F93" i="4" s="1"/>
  <c r="L73" i="4"/>
  <c r="F40" i="4"/>
  <c r="F108" i="4" s="1"/>
  <c r="L68" i="4"/>
  <c r="F35" i="4"/>
  <c r="F103" i="4" s="1"/>
  <c r="L75" i="4"/>
  <c r="F42" i="4"/>
  <c r="F110" i="4" s="1"/>
  <c r="L56" i="4"/>
  <c r="F23" i="4"/>
  <c r="F91" i="4" s="1"/>
  <c r="L55" i="4"/>
  <c r="F22" i="4"/>
  <c r="F90" i="4" s="1"/>
  <c r="L76" i="4"/>
  <c r="F43" i="4"/>
  <c r="F111" i="4" s="1"/>
  <c r="L53" i="4"/>
  <c r="F20" i="4"/>
  <c r="L63" i="4"/>
  <c r="F30" i="4"/>
  <c r="F98" i="4" s="1"/>
  <c r="L70" i="4"/>
  <c r="F37" i="4"/>
  <c r="L61" i="4"/>
  <c r="F28" i="4"/>
  <c r="F96" i="4" s="1"/>
  <c r="L54" i="4"/>
  <c r="F21" i="4"/>
  <c r="F89" i="4" s="1"/>
  <c r="L71" i="4"/>
  <c r="F38" i="4"/>
  <c r="F106" i="4" s="1"/>
  <c r="L72" i="4"/>
  <c r="F39" i="4"/>
  <c r="L59" i="4"/>
  <c r="F26" i="4"/>
  <c r="F94" i="4" s="1"/>
  <c r="L65" i="4"/>
  <c r="F32" i="4"/>
  <c r="L57" i="4"/>
  <c r="F24" i="4"/>
  <c r="L64" i="4"/>
  <c r="F31" i="4"/>
  <c r="F99" i="4" s="1"/>
  <c r="L82" i="4"/>
  <c r="F49" i="4"/>
  <c r="F117" i="4" s="1"/>
  <c r="L79" i="4"/>
  <c r="F46" i="4"/>
  <c r="F114" i="4" s="1"/>
  <c r="L81" i="4"/>
  <c r="F48" i="4"/>
  <c r="F116" i="4" s="1"/>
  <c r="L77" i="4"/>
  <c r="F44" i="4"/>
  <c r="F112" i="4" s="1"/>
  <c r="L78" i="4"/>
  <c r="F45" i="4"/>
  <c r="F113" i="4" s="1"/>
  <c r="L62" i="4"/>
  <c r="F29" i="4"/>
  <c r="F97" i="4" s="1"/>
  <c r="BX17" i="4" l="1"/>
  <c r="BW17" i="4"/>
  <c r="BV47" i="4"/>
  <c r="BV17" i="4"/>
  <c r="B17" i="4"/>
  <c r="T18" i="4" l="1"/>
  <c r="S18" i="4"/>
  <c r="AB47" i="4" l="1"/>
  <c r="AA47" i="4"/>
  <c r="Z47" i="4"/>
  <c r="Y47" i="4"/>
  <c r="X47" i="4"/>
  <c r="W47" i="4"/>
  <c r="V47" i="4"/>
  <c r="U47" i="4"/>
  <c r="T47" i="4"/>
  <c r="S47" i="4"/>
  <c r="BU47" i="4"/>
  <c r="BS47" i="4"/>
  <c r="BR47" i="4"/>
  <c r="BQ47" i="4"/>
  <c r="BP47" i="4"/>
  <c r="BO47" i="4"/>
  <c r="BN47" i="4"/>
  <c r="BS18" i="4"/>
  <c r="BU18" i="4"/>
  <c r="BR18" i="4"/>
  <c r="BQ18" i="4"/>
  <c r="BP18" i="4"/>
  <c r="BM18" i="4"/>
  <c r="BM47" i="4"/>
  <c r="BL47" i="4"/>
  <c r="BK47" i="4"/>
  <c r="BJ47" i="4"/>
  <c r="BI47" i="4"/>
  <c r="BH47" i="4"/>
  <c r="BG47" i="4"/>
  <c r="BF47" i="4"/>
  <c r="BE47" i="4"/>
  <c r="BD47" i="4"/>
  <c r="BC47" i="4"/>
  <c r="BL18" i="4"/>
  <c r="BK18" i="4"/>
  <c r="BJ18" i="4"/>
  <c r="BH18" i="4"/>
  <c r="BG18" i="4"/>
  <c r="BE18" i="4"/>
  <c r="BD18" i="4"/>
  <c r="BC18" i="4"/>
  <c r="BB47" i="4"/>
  <c r="BA47" i="4"/>
  <c r="AZ47" i="4"/>
  <c r="AY47" i="4"/>
  <c r="AX47" i="4"/>
  <c r="AW47" i="4"/>
  <c r="AU47" i="4"/>
  <c r="AT47" i="4"/>
  <c r="AS47" i="4"/>
  <c r="BB18" i="4"/>
  <c r="AZ18" i="4"/>
  <c r="AY18" i="4"/>
  <c r="AX18" i="4"/>
  <c r="AW18" i="4"/>
  <c r="AU18" i="4"/>
  <c r="AT18" i="4"/>
  <c r="AS18" i="4"/>
  <c r="AR47" i="4"/>
  <c r="AQ47" i="4"/>
  <c r="AP47" i="4"/>
  <c r="AO47" i="4"/>
  <c r="AN47" i="4"/>
  <c r="AM47" i="4"/>
  <c r="AL47" i="4"/>
  <c r="AP18" i="4"/>
  <c r="AN18" i="4"/>
  <c r="AM18" i="4"/>
  <c r="AL18" i="4"/>
  <c r="AK47" i="4"/>
  <c r="AJ47" i="4"/>
  <c r="AH47" i="4"/>
  <c r="AG47" i="4"/>
  <c r="AE47" i="4"/>
  <c r="AJ18" i="4"/>
  <c r="AE18" i="4"/>
  <c r="AG18" i="4"/>
  <c r="AD18" i="4"/>
  <c r="AD47" i="4"/>
  <c r="AC47" i="4"/>
  <c r="AC18" i="4"/>
  <c r="AB18" i="4" l="1"/>
  <c r="AA18" i="4"/>
  <c r="Z18" i="4"/>
  <c r="Y18" i="4"/>
  <c r="X18" i="4"/>
  <c r="W18" i="4"/>
  <c r="V18" i="4"/>
  <c r="U18" i="4"/>
  <c r="R18" i="4" l="1"/>
  <c r="Q18" i="4"/>
  <c r="O18" i="4"/>
  <c r="N47" i="4"/>
  <c r="R47" i="4"/>
  <c r="Q47" i="4"/>
  <c r="P47" i="4"/>
  <c r="O47" i="4"/>
  <c r="N16" i="4"/>
  <c r="L47" i="4"/>
  <c r="K47" i="4"/>
  <c r="E80" i="4" s="1"/>
  <c r="K80" i="4" s="1"/>
  <c r="M80" i="4" s="1"/>
  <c r="H47" i="4"/>
  <c r="CB47" i="4"/>
  <c r="D80" i="4"/>
  <c r="C80" i="4"/>
  <c r="A47" i="4"/>
  <c r="L80" i="4" l="1"/>
  <c r="F47" i="4"/>
  <c r="F115" i="4" s="1"/>
  <c r="CA41" i="4"/>
  <c r="CA27" i="4"/>
  <c r="CA33" i="4"/>
  <c r="CA36" i="4"/>
  <c r="CA40" i="4"/>
  <c r="CA34" i="4"/>
  <c r="CA35" i="4"/>
  <c r="CA42" i="4"/>
  <c r="CA25" i="4"/>
  <c r="CA19" i="4"/>
  <c r="CA39" i="4"/>
  <c r="CA44" i="4"/>
  <c r="CA32" i="4"/>
  <c r="CA20" i="4"/>
  <c r="CA38" i="4"/>
  <c r="CA22" i="4"/>
  <c r="CA46" i="4"/>
  <c r="CA49" i="4"/>
  <c r="CA24" i="4"/>
  <c r="CA48" i="4"/>
  <c r="CA31" i="4"/>
  <c r="CA28" i="4"/>
  <c r="CA30" i="4"/>
  <c r="CA43" i="4"/>
  <c r="CA45" i="4"/>
  <c r="CA37" i="4"/>
  <c r="CA23" i="4"/>
  <c r="CA21" i="4"/>
  <c r="CA26" i="4"/>
  <c r="CA29" i="4"/>
  <c r="CA47" i="4"/>
  <c r="CE42" i="4" l="1"/>
  <c r="CC42" i="4"/>
  <c r="CG42" i="4"/>
  <c r="CE35" i="4"/>
  <c r="CC35" i="4"/>
  <c r="CG35" i="4"/>
  <c r="CE33" i="4"/>
  <c r="CG33" i="4"/>
  <c r="CC33" i="4"/>
  <c r="CC19" i="4"/>
  <c r="CE19" i="4"/>
  <c r="CG19" i="4"/>
  <c r="CC34" i="4"/>
  <c r="CE34" i="4"/>
  <c r="CG34" i="4"/>
  <c r="CE27" i="4"/>
  <c r="CC27" i="4"/>
  <c r="CG27" i="4"/>
  <c r="CC36" i="4"/>
  <c r="CE36" i="4"/>
  <c r="CG36" i="4"/>
  <c r="CG25" i="4"/>
  <c r="CE25" i="4"/>
  <c r="CC25" i="4"/>
  <c r="CE40" i="4"/>
  <c r="CG40" i="4"/>
  <c r="CC40" i="4"/>
  <c r="CE41" i="4"/>
  <c r="CC41" i="4"/>
  <c r="CG41" i="4"/>
  <c r="CE29" i="4"/>
  <c r="CG29" i="4"/>
  <c r="CC29" i="4"/>
  <c r="CC37" i="4"/>
  <c r="CE37" i="4"/>
  <c r="CG37" i="4"/>
  <c r="CG28" i="4"/>
  <c r="CE28" i="4"/>
  <c r="CC28" i="4"/>
  <c r="CG49" i="4"/>
  <c r="CE49" i="4"/>
  <c r="CC49" i="4"/>
  <c r="CC20" i="4"/>
  <c r="CG20" i="4"/>
  <c r="CE20" i="4"/>
  <c r="CC26" i="4"/>
  <c r="CG26" i="4"/>
  <c r="CE26" i="4"/>
  <c r="CC45" i="4"/>
  <c r="CG45" i="4"/>
  <c r="CE45" i="4"/>
  <c r="CC31" i="4"/>
  <c r="CE31" i="4"/>
  <c r="CG31" i="4"/>
  <c r="CE46" i="4"/>
  <c r="CC46" i="4"/>
  <c r="CG46" i="4"/>
  <c r="CG32" i="4"/>
  <c r="CC32" i="4"/>
  <c r="CE32" i="4"/>
  <c r="CE21" i="4"/>
  <c r="CG21" i="4"/>
  <c r="CC21" i="4"/>
  <c r="CE43" i="4"/>
  <c r="CC43" i="4"/>
  <c r="CG43" i="4"/>
  <c r="CC48" i="4"/>
  <c r="CG48" i="4"/>
  <c r="CE48" i="4"/>
  <c r="CC22" i="4"/>
  <c r="CE22" i="4"/>
  <c r="CG22" i="4"/>
  <c r="CC44" i="4"/>
  <c r="CG44" i="4"/>
  <c r="CE44" i="4"/>
  <c r="CG23" i="4"/>
  <c r="CE23" i="4"/>
  <c r="CC23" i="4"/>
  <c r="CE30" i="4"/>
  <c r="CC30" i="4"/>
  <c r="CG30" i="4"/>
  <c r="CG24" i="4"/>
  <c r="CE24" i="4"/>
  <c r="CC24" i="4"/>
  <c r="CE38" i="4"/>
  <c r="CC38" i="4"/>
  <c r="CG38" i="4"/>
  <c r="CC39" i="4"/>
  <c r="CE39" i="4"/>
  <c r="CG39" i="4"/>
  <c r="CC47" i="4"/>
  <c r="CE47" i="4"/>
  <c r="CG47" i="4"/>
  <c r="CH36" i="4" l="1"/>
  <c r="CJ36" i="4" s="1"/>
  <c r="CH19" i="4"/>
  <c r="CL19" i="4" s="1"/>
  <c r="CH40" i="4"/>
  <c r="CL40" i="4" s="1"/>
  <c r="CH32" i="4"/>
  <c r="CJ32" i="4" s="1"/>
  <c r="CH42" i="4"/>
  <c r="CL42" i="4" s="1"/>
  <c r="CH31" i="4"/>
  <c r="CJ31" i="4" s="1"/>
  <c r="CH49" i="4"/>
  <c r="CL49" i="4" s="1"/>
  <c r="CH41" i="4"/>
  <c r="CL41" i="4" s="1"/>
  <c r="CH29" i="4"/>
  <c r="CL29" i="4" s="1"/>
  <c r="CH25" i="4"/>
  <c r="CH27" i="4"/>
  <c r="CH34" i="4"/>
  <c r="CH33" i="4"/>
  <c r="CH35" i="4"/>
  <c r="CH38" i="4"/>
  <c r="CH48" i="4"/>
  <c r="CH21" i="4"/>
  <c r="CH39" i="4"/>
  <c r="CH44" i="4"/>
  <c r="CH28" i="4"/>
  <c r="CH24" i="4"/>
  <c r="CH30" i="4"/>
  <c r="CH23" i="4"/>
  <c r="CH22" i="4"/>
  <c r="CH43" i="4"/>
  <c r="CH46" i="4"/>
  <c r="CH26" i="4"/>
  <c r="CH37" i="4"/>
  <c r="CH45" i="4"/>
  <c r="CH20" i="4"/>
  <c r="CH47" i="4"/>
  <c r="CJ19" i="4" l="1"/>
  <c r="E19" i="4" s="1"/>
  <c r="CL32" i="4"/>
  <c r="E32" i="4" s="1"/>
  <c r="CJ40" i="4"/>
  <c r="E40" i="4" s="1"/>
  <c r="CL36" i="4"/>
  <c r="E36" i="4" s="1"/>
  <c r="CJ41" i="4"/>
  <c r="E41" i="4" s="1"/>
  <c r="CJ49" i="4"/>
  <c r="E49" i="4" s="1"/>
  <c r="CJ42" i="4"/>
  <c r="E42" i="4" s="1"/>
  <c r="CJ29" i="4"/>
  <c r="E29" i="4" s="1"/>
  <c r="CL31" i="4"/>
  <c r="E31" i="4" s="1"/>
  <c r="CJ35" i="4"/>
  <c r="CL35" i="4"/>
  <c r="CL25" i="4"/>
  <c r="CJ25" i="4"/>
  <c r="CJ27" i="4"/>
  <c r="CL27" i="4"/>
  <c r="CL33" i="4"/>
  <c r="CJ33" i="4"/>
  <c r="CL34" i="4"/>
  <c r="CJ34" i="4"/>
  <c r="CJ37" i="4"/>
  <c r="CL37" i="4"/>
  <c r="CJ22" i="4"/>
  <c r="CL22" i="4"/>
  <c r="CJ45" i="4"/>
  <c r="CL45" i="4"/>
  <c r="CJ26" i="4"/>
  <c r="CL26" i="4"/>
  <c r="CL23" i="4"/>
  <c r="CJ23" i="4"/>
  <c r="CL39" i="4"/>
  <c r="CJ39" i="4"/>
  <c r="CL21" i="4"/>
  <c r="CJ21" i="4"/>
  <c r="CL46" i="4"/>
  <c r="CJ46" i="4"/>
  <c r="CL30" i="4"/>
  <c r="CJ30" i="4"/>
  <c r="CJ43" i="4"/>
  <c r="CL43" i="4"/>
  <c r="CJ24" i="4"/>
  <c r="CL24" i="4"/>
  <c r="CL28" i="4"/>
  <c r="CJ28" i="4"/>
  <c r="CL48" i="4"/>
  <c r="CJ48" i="4"/>
  <c r="CJ20" i="4"/>
  <c r="CL20" i="4"/>
  <c r="CJ44" i="4"/>
  <c r="CL44" i="4"/>
  <c r="CJ38" i="4"/>
  <c r="CL38" i="4"/>
  <c r="CJ47" i="4"/>
  <c r="CL47" i="4"/>
  <c r="G29" i="4" l="1"/>
  <c r="I29" i="4" s="1"/>
  <c r="J29" i="4" s="1"/>
  <c r="M29" i="4" s="1"/>
  <c r="E97" i="4"/>
  <c r="G97" i="4" s="1"/>
  <c r="G49" i="4"/>
  <c r="I49" i="4" s="1"/>
  <c r="J49" i="4" s="1"/>
  <c r="M49" i="4" s="1"/>
  <c r="E117" i="4"/>
  <c r="G117" i="4" s="1"/>
  <c r="G36" i="4"/>
  <c r="I36" i="4" s="1"/>
  <c r="J36" i="4" s="1"/>
  <c r="M36" i="4" s="1"/>
  <c r="E104" i="4"/>
  <c r="G104" i="4" s="1"/>
  <c r="G32" i="4"/>
  <c r="I32" i="4" s="1"/>
  <c r="J32" i="4" s="1"/>
  <c r="M32" i="4" s="1"/>
  <c r="E100" i="4"/>
  <c r="G100" i="4" s="1"/>
  <c r="G31" i="4"/>
  <c r="I31" i="4" s="1"/>
  <c r="J31" i="4" s="1"/>
  <c r="M31" i="4" s="1"/>
  <c r="E99" i="4"/>
  <c r="G99" i="4" s="1"/>
  <c r="I99" i="4" s="1"/>
  <c r="J99" i="4" s="1"/>
  <c r="M99" i="4" s="1"/>
  <c r="G42" i="4"/>
  <c r="E110" i="4"/>
  <c r="G110" i="4" s="1"/>
  <c r="G41" i="4"/>
  <c r="I41" i="4" s="1"/>
  <c r="J41" i="4" s="1"/>
  <c r="M41" i="4" s="1"/>
  <c r="E109" i="4"/>
  <c r="G109" i="4" s="1"/>
  <c r="I109" i="4" s="1"/>
  <c r="J109" i="4" s="1"/>
  <c r="M109" i="4" s="1"/>
  <c r="G40" i="4"/>
  <c r="E108" i="4"/>
  <c r="G108" i="4" s="1"/>
  <c r="G19" i="4"/>
  <c r="I19" i="4" s="1"/>
  <c r="J19" i="4" s="1"/>
  <c r="M19" i="4" s="1"/>
  <c r="E87" i="4"/>
  <c r="G87" i="4" s="1"/>
  <c r="I87" i="4" s="1"/>
  <c r="J87" i="4" s="1"/>
  <c r="M87" i="4" s="1"/>
  <c r="E35" i="4"/>
  <c r="E34" i="4"/>
  <c r="E33" i="4"/>
  <c r="E25" i="4"/>
  <c r="I40" i="4"/>
  <c r="J40" i="4" s="1"/>
  <c r="M40" i="4" s="1"/>
  <c r="E43" i="4"/>
  <c r="I42" i="4"/>
  <c r="J42" i="4" s="1"/>
  <c r="M42" i="4" s="1"/>
  <c r="E46" i="4"/>
  <c r="E27" i="4"/>
  <c r="E24" i="4"/>
  <c r="E22" i="4"/>
  <c r="E48" i="4"/>
  <c r="E26" i="4"/>
  <c r="E23" i="4"/>
  <c r="E45" i="4"/>
  <c r="E38" i="4"/>
  <c r="E20" i="4"/>
  <c r="E28" i="4"/>
  <c r="E30" i="4"/>
  <c r="E21" i="4"/>
  <c r="E44" i="4"/>
  <c r="E39" i="4"/>
  <c r="E37" i="4"/>
  <c r="E47" i="4"/>
  <c r="E115" i="4" s="1"/>
  <c r="G115" i="4" s="1"/>
  <c r="I115" i="4" s="1"/>
  <c r="J115" i="4" s="1"/>
  <c r="M115" i="4" s="1"/>
  <c r="G37" i="4" l="1"/>
  <c r="I37" i="4" s="1"/>
  <c r="J37" i="4" s="1"/>
  <c r="M37" i="4" s="1"/>
  <c r="E105" i="4"/>
  <c r="G105" i="4" s="1"/>
  <c r="I105" i="4" s="1"/>
  <c r="J105" i="4" s="1"/>
  <c r="M105" i="4" s="1"/>
  <c r="G44" i="4"/>
  <c r="I44" i="4" s="1"/>
  <c r="J44" i="4" s="1"/>
  <c r="M44" i="4" s="1"/>
  <c r="E112" i="4"/>
  <c r="G112" i="4" s="1"/>
  <c r="G30" i="4"/>
  <c r="E98" i="4"/>
  <c r="G98" i="4" s="1"/>
  <c r="G20" i="4"/>
  <c r="E88" i="4"/>
  <c r="G88" i="4" s="1"/>
  <c r="I88" i="4" s="1"/>
  <c r="J88" i="4" s="1"/>
  <c r="M88" i="4" s="1"/>
  <c r="G23" i="4"/>
  <c r="I23" i="4" s="1"/>
  <c r="J23" i="4" s="1"/>
  <c r="M23" i="4" s="1"/>
  <c r="E91" i="4"/>
  <c r="G91" i="4" s="1"/>
  <c r="I91" i="4" s="1"/>
  <c r="J91" i="4" s="1"/>
  <c r="M91" i="4" s="1"/>
  <c r="G48" i="4"/>
  <c r="I48" i="4" s="1"/>
  <c r="J48" i="4" s="1"/>
  <c r="M48" i="4" s="1"/>
  <c r="E116" i="4"/>
  <c r="G116" i="4" s="1"/>
  <c r="G24" i="4"/>
  <c r="I24" i="4" s="1"/>
  <c r="J24" i="4" s="1"/>
  <c r="M24" i="4" s="1"/>
  <c r="E92" i="4"/>
  <c r="G92" i="4" s="1"/>
  <c r="G46" i="4"/>
  <c r="I46" i="4" s="1"/>
  <c r="J46" i="4" s="1"/>
  <c r="M46" i="4" s="1"/>
  <c r="E114" i="4"/>
  <c r="G114" i="4" s="1"/>
  <c r="G43" i="4"/>
  <c r="I43" i="4" s="1"/>
  <c r="J43" i="4" s="1"/>
  <c r="M43" i="4" s="1"/>
  <c r="E111" i="4"/>
  <c r="G111" i="4" s="1"/>
  <c r="G25" i="4"/>
  <c r="I25" i="4" s="1"/>
  <c r="J25" i="4" s="1"/>
  <c r="M25" i="4" s="1"/>
  <c r="E93" i="4"/>
  <c r="G93" i="4" s="1"/>
  <c r="G34" i="4"/>
  <c r="I34" i="4" s="1"/>
  <c r="J34" i="4" s="1"/>
  <c r="M34" i="4" s="1"/>
  <c r="E102" i="4"/>
  <c r="G102" i="4" s="1"/>
  <c r="I108" i="4"/>
  <c r="J108" i="4" s="1"/>
  <c r="M108" i="4" s="1"/>
  <c r="I110" i="4"/>
  <c r="J110" i="4" s="1"/>
  <c r="M110" i="4" s="1"/>
  <c r="I100" i="4"/>
  <c r="J100" i="4" s="1"/>
  <c r="M100" i="4" s="1"/>
  <c r="I104" i="4"/>
  <c r="J104" i="4" s="1"/>
  <c r="M104" i="4" s="1"/>
  <c r="I117" i="4"/>
  <c r="J117" i="4" s="1"/>
  <c r="M117" i="4" s="1"/>
  <c r="I97" i="4"/>
  <c r="J97" i="4" s="1"/>
  <c r="M97" i="4" s="1"/>
  <c r="G39" i="4"/>
  <c r="I39" i="4" s="1"/>
  <c r="J39" i="4" s="1"/>
  <c r="M39" i="4" s="1"/>
  <c r="E107" i="4"/>
  <c r="G107" i="4" s="1"/>
  <c r="I107" i="4" s="1"/>
  <c r="J107" i="4" s="1"/>
  <c r="M107" i="4" s="1"/>
  <c r="G21" i="4"/>
  <c r="I21" i="4" s="1"/>
  <c r="J21" i="4" s="1"/>
  <c r="M21" i="4" s="1"/>
  <c r="E89" i="4"/>
  <c r="G89" i="4" s="1"/>
  <c r="I89" i="4" s="1"/>
  <c r="J89" i="4" s="1"/>
  <c r="M89" i="4" s="1"/>
  <c r="G28" i="4"/>
  <c r="I28" i="4" s="1"/>
  <c r="J28" i="4" s="1"/>
  <c r="M28" i="4" s="1"/>
  <c r="E96" i="4"/>
  <c r="G96" i="4" s="1"/>
  <c r="G38" i="4"/>
  <c r="I38" i="4" s="1"/>
  <c r="J38" i="4" s="1"/>
  <c r="M38" i="4" s="1"/>
  <c r="E106" i="4"/>
  <c r="G106" i="4" s="1"/>
  <c r="G45" i="4"/>
  <c r="I45" i="4" s="1"/>
  <c r="J45" i="4" s="1"/>
  <c r="M45" i="4" s="1"/>
  <c r="E113" i="4"/>
  <c r="G113" i="4" s="1"/>
  <c r="G26" i="4"/>
  <c r="I26" i="4" s="1"/>
  <c r="J26" i="4" s="1"/>
  <c r="M26" i="4" s="1"/>
  <c r="E94" i="4"/>
  <c r="G94" i="4" s="1"/>
  <c r="G22" i="4"/>
  <c r="I22" i="4" s="1"/>
  <c r="J22" i="4" s="1"/>
  <c r="M22" i="4" s="1"/>
  <c r="E90" i="4"/>
  <c r="G90" i="4" s="1"/>
  <c r="G27" i="4"/>
  <c r="I27" i="4" s="1"/>
  <c r="J27" i="4" s="1"/>
  <c r="M27" i="4" s="1"/>
  <c r="E95" i="4"/>
  <c r="G95" i="4" s="1"/>
  <c r="G33" i="4"/>
  <c r="I33" i="4" s="1"/>
  <c r="J33" i="4" s="1"/>
  <c r="M33" i="4" s="1"/>
  <c r="E101" i="4"/>
  <c r="G101" i="4" s="1"/>
  <c r="G35" i="4"/>
  <c r="I35" i="4" s="1"/>
  <c r="J35" i="4" s="1"/>
  <c r="M35" i="4" s="1"/>
  <c r="E103" i="4"/>
  <c r="G103" i="4" s="1"/>
  <c r="I30" i="4"/>
  <c r="J30" i="4" s="1"/>
  <c r="M30" i="4" s="1"/>
  <c r="I20" i="4"/>
  <c r="J20" i="4" s="1"/>
  <c r="M20" i="4" s="1"/>
  <c r="G47" i="4"/>
  <c r="I47" i="4" s="1"/>
  <c r="J47" i="4" s="1"/>
  <c r="M47" i="4" s="1"/>
  <c r="I102" i="4" l="1"/>
  <c r="J102" i="4" s="1"/>
  <c r="M102" i="4" s="1"/>
  <c r="I93" i="4"/>
  <c r="J93" i="4" s="1"/>
  <c r="M93" i="4" s="1"/>
  <c r="I111" i="4"/>
  <c r="J111" i="4" s="1"/>
  <c r="M111" i="4" s="1"/>
  <c r="I114" i="4"/>
  <c r="J114" i="4" s="1"/>
  <c r="M114" i="4" s="1"/>
  <c r="I92" i="4"/>
  <c r="J92" i="4" s="1"/>
  <c r="M92" i="4" s="1"/>
  <c r="I116" i="4"/>
  <c r="J116" i="4" s="1"/>
  <c r="M116" i="4" s="1"/>
  <c r="I98" i="4"/>
  <c r="J98" i="4" s="1"/>
  <c r="M98" i="4" s="1"/>
  <c r="I112" i="4"/>
  <c r="J112" i="4" s="1"/>
  <c r="M112" i="4" s="1"/>
  <c r="I103" i="4"/>
  <c r="J103" i="4" s="1"/>
  <c r="M103" i="4" s="1"/>
  <c r="I101" i="4"/>
  <c r="J101" i="4" s="1"/>
  <c r="M101" i="4" s="1"/>
  <c r="I95" i="4"/>
  <c r="J95" i="4" s="1"/>
  <c r="M95" i="4" s="1"/>
  <c r="I90" i="4"/>
  <c r="J90" i="4" s="1"/>
  <c r="M90" i="4" s="1"/>
  <c r="I94" i="4"/>
  <c r="J94" i="4" s="1"/>
  <c r="M94" i="4" s="1"/>
  <c r="I113" i="4"/>
  <c r="J113" i="4" s="1"/>
  <c r="M113" i="4" s="1"/>
  <c r="I106" i="4"/>
  <c r="J106" i="4" s="1"/>
  <c r="M106" i="4" s="1"/>
  <c r="I96" i="4"/>
  <c r="J96" i="4" s="1"/>
  <c r="M96" i="4" s="1"/>
  <c r="M118"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51" authorId="0" shapeId="0" xr:uid="{1F6483EF-2D23-4C46-88B1-D47D12EB0201}">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<sst xmlns="http://schemas.openxmlformats.org/spreadsheetml/2006/main" count="716" uniqueCount="304">
  <si>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</si>
  <si>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</si>
  <si>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</si>
  <si>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</si>
  <si>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</si>
  <si>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</si>
  <si>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</si>
  <si>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</si>
  <si>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</si>
  <si>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</si>
  <si>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</si>
  <si>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</si>
  <si>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</si>
  <si>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</si>
  <si>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</si>
  <si>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</si>
  <si>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</si>
  <si>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</si>
  <si>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</si>
  <si>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</si>
  <si>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</si>
  <si>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</si>
  <si>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</si>
  <si>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</si>
  <si>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</si>
  <si>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</si>
  <si>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</si>
  <si>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</si>
  <si>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</si>
  <si>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</si>
  <si>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</si>
  <si>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</si>
  <si>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</si>
  <si>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</si>
  <si>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</si>
  <si>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</si>
  <si>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</si>
  <si>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</si>
  <si>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</si>
  <si>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</si>
  <si>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</si>
  <si>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</si>
  <si>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</si>
  <si>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</si>
  <si>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</si>
  <si>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</si>
  <si>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</si>
  <si>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</si>
  <si>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</si>
  <si>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</si>
  <si>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</si>
  <si>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</si>
  <si>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</si>
  <si>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</si>
  <si>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</si>
  <si>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</si>
  <si>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</si>
  <si>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</si>
  <si>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</si>
  <si>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</si>
  <si>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</si>
  <si>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</si>
  <si>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</si>
  <si>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</si>
  <si>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</si>
  <si>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</si>
  <si>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</si>
  <si>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</si>
  <si>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</si>
  <si>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</si>
  <si>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</si>
  <si>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</si>
  <si>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</si>
  <si>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</si>
  <si>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</si>
  <si>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</si>
  <si>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</si>
  <si>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</si>
  <si>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</si>
  <si>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</si>
  <si>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</si>
  <si>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</si>
  <si>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</si>
  <si>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</si>
  <si>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</si>
  <si>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</si>
  <si>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</si>
  <si>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</si>
  <si>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</si>
  <si>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</si>
  <si>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</si>
  <si>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</si>
  <si>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</si>
  <si>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</si>
  <si>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</si>
  <si>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</si>
  <si>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</si>
  <si>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</si>
  <si>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</si>
  <si>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</si>
  <si>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</si>
  <si>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</si>
  <si>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</si>
  <si>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</si>
  <si>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</si>
  <si>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</si>
  <si>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</si>
  <si>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</si>
  <si>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</si>
  <si>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</si>
  <si>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</si>
  <si>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</si>
  <si>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</si>
  <si>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</si>
  <si>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</si>
  <si>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</si>
  <si>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</si>
  <si>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</si>
  <si>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</si>
  <si>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</si>
  <si>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</si>
  <si>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</si>
  <si>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</si>
  <si>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</si>
  <si>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</si>
  <si>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</si>
  <si>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</si>
  <si>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</si>
  <si>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</si>
  <si>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</si>
  <si>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</si>
  <si>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</si>
  <si>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</si>
  <si>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</si>
  <si>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</si>
  <si>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</si>
  <si>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</si>
  <si>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 xml:space="preserve">One Year Rate Contract for Supply of 1.1 kV Power and Control Cables at TPNODL, TPCODL &amp; TPSODL. </t>
  </si>
  <si>
    <t xml:space="preserve">TPCODL / CCG / 23-24 / 1000000538 </t>
  </si>
  <si>
    <t xml:space="preserve">Tata Power Odisha DISCOMs </t>
  </si>
  <si>
    <t>Price shall be fixed and firm during the contractual period.</t>
  </si>
  <si>
    <r>
      <t xml:space="preserve">Bidders shall be allowed to participate in Reverse auction as per following criteria hence bidders are advised to quote their most competitive rates while submitting the bids to avoid disqualification from participation in Reverse Auction.  Reverse Auction shall be as per the below approach:  No of bidders allowed to participate in RA process shall be: </t>
    </r>
    <r>
      <rPr>
        <b/>
        <sz val="11"/>
        <rFont val="Calibri"/>
        <family val="2"/>
        <scheme val="minor"/>
      </rPr>
      <t>Total No of bidders on whom tender would be split PLUS 2 more bidders.</t>
    </r>
  </si>
  <si>
    <t xml:space="preserve"> 20/Feb/2024 [17:00 Hrs.]</t>
  </si>
  <si>
    <t xml:space="preserve">Bids shall remain valid for 180 days from the due date of submission of the bid. Notwithstanding clause above, CCG may solicit the Bidder’s consent to an extension of the Period of Bid Validity. The request and responses thereto shall be made in writing. </t>
  </si>
  <si>
    <t>Delivery Period shall be 60 + 7 days (considering the approval of CAT-A / drawing / GTP) from date of receipt of release order for the first lot however for remaining lots the delivery period will be 60 days from RO date.</t>
  </si>
  <si>
    <t xml:space="preserve">Payment Terms: On delivery of the materials in good condition and certification of acceptance by certified official, Associate shall submit the Bills/ Invoices in original in the name of respective Odisha discom to Invoice Desk. The payment shall be released within 30 days from the date of submission of error free certified bills/ invoices. Any change in statutory taxes, duties and levies during the contract period shall be borne by respective Odisha DISCOMs. However, in case of delay in work execution owing to reasons not attributable to Odisha Disom, any increase in total liability shall be passed on the Bidder, whereas any benefits arising owing to such statutory variation in taxes and duties shall be passed on TP Discom. </t>
  </si>
  <si>
    <t xml:space="preserve">Cable length on one drum shall be: (a) 4 Core Cable – 95 sq.mm. to 300 sq.mm. – 500 meters with + 5% tolerance 
(b) 4 Core Cable – 16 sq.mm. to 50 sq.mm. – 1000 meters with + 5% tolerance  
(c) 2 Core &amp; 1 Core Cables – 1000 meters with + 5% tolerance (as per PO terms and conditions) </t>
  </si>
  <si>
    <t xml:space="preserve">Wooden drums shall be free from sharp edges and visual defects. </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</si>
  <si>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</si>
  <si>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</si>
  <si>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</si>
  <si>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</si>
  <si>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</si>
  <si>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</si>
  <si>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</si>
  <si>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</si>
  <si>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</si>
  <si>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</si>
  <si>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</si>
  <si>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</si>
  <si>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</si>
  <si>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</si>
  <si>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</si>
  <si>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</si>
  <si>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</si>
  <si>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</si>
  <si>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</si>
  <si>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ENQ-12232-22-23</t>
  </si>
  <si>
    <t>FA0800011</t>
  </si>
  <si>
    <t>1 CORE X 16 SQ. MM. CU/ARD (PVC)</t>
  </si>
  <si>
    <t>WOOD</t>
  </si>
  <si>
    <t>KMS</t>
  </si>
  <si>
    <t>MD0100004</t>
  </si>
  <si>
    <t>DRUM - 28 X 10 X 23 X 2</t>
  </si>
  <si>
    <t>FA1100091</t>
  </si>
  <si>
    <t>4 CORE X 240 SQ. MM. AL/ARD - WIRE (XLPE)</t>
  </si>
  <si>
    <t>MD0100048</t>
  </si>
  <si>
    <t>DRUM - 74 X 35 X 39 X 3</t>
  </si>
  <si>
    <t>FA0900125</t>
  </si>
  <si>
    <t>4 CORE X 16 SQ. MM. CU/ARD - WIRE (PVC)</t>
  </si>
  <si>
    <t>MD0100066</t>
  </si>
  <si>
    <t>DRUM - 40 X 15 X 23 X 2</t>
  </si>
  <si>
    <t>FA0900024</t>
  </si>
  <si>
    <t>4 CORE X 4 SQ. MM. CU/ARD - WIRE (PVC)</t>
  </si>
  <si>
    <t>MD0100005</t>
  </si>
  <si>
    <t>DRUM - 36 X 14 X 23 X 2</t>
  </si>
  <si>
    <t>FA0900148</t>
  </si>
  <si>
    <t>2 CORE X 16 SQ. MM. CU/ARD - WIRE (PVC)</t>
  </si>
  <si>
    <t>FA0900022</t>
  </si>
  <si>
    <t>4 CORE X 10 SQ. MM. CU/ARD - WIRE (PVC)</t>
  </si>
  <si>
    <t>Type A PVC-1.45</t>
  </si>
  <si>
    <t>FA0900165</t>
  </si>
  <si>
    <t>2 CORE X 50 SQ. MM. CU/ARD - WIRE (PVC)</t>
  </si>
  <si>
    <t>MD0100075</t>
  </si>
  <si>
    <t>DRUM - 42 X 15 X 23 X 2</t>
  </si>
  <si>
    <t>FA0500017</t>
  </si>
  <si>
    <t>1 CORE X 50 SQ. MM. AL/UNARD. (XLPE)</t>
  </si>
  <si>
    <t>FA1200026</t>
  </si>
  <si>
    <t>4 CORE X 150 SQ. MM. AL/UNARD (XLPE)</t>
  </si>
  <si>
    <t>MD0100070</t>
  </si>
  <si>
    <t>DRUM - 68 X 24 X 32 X 3</t>
  </si>
  <si>
    <t>FA0900117</t>
  </si>
  <si>
    <t>4 CORE X 35 SQ. MM. AL/ARD - WIRE (XLPE)</t>
  </si>
  <si>
    <t>MD0100013</t>
  </si>
  <si>
    <t>DRUM - 48 X 14 X 36 X 2.25</t>
  </si>
  <si>
    <t>FA0900116</t>
  </si>
  <si>
    <t>4 CORE X 50 SQ. MM. AL/ARD - WIRE (XLPE)</t>
  </si>
  <si>
    <t>MD0100068</t>
  </si>
  <si>
    <t>DRUM - 54 X 20 X 36 X 2.5</t>
  </si>
  <si>
    <t>FA0300006</t>
  </si>
  <si>
    <t>4 CORE X 2.5 SQ. MM. CU/UNARD.(PVC)</t>
  </si>
  <si>
    <t>MD0100003</t>
  </si>
  <si>
    <t>DRUM - 28 X 14 X 23 X 2</t>
  </si>
  <si>
    <t>FA0300017</t>
  </si>
  <si>
    <t>16 CORE X 2.5 SQ. MM. CU/UNARD.(PVC)</t>
  </si>
  <si>
    <t>FA0600021</t>
  </si>
  <si>
    <t>1 CORE X 185 SQ. MM. AL/UNARD. (XLPE)</t>
  </si>
  <si>
    <t>MD0100090</t>
  </si>
  <si>
    <t>DRUM - 43 X 15 X 36 X 2.5</t>
  </si>
  <si>
    <t>FA1100177</t>
  </si>
  <si>
    <t>4 CORE X 150 SQ. MM. AL/ARD - WIRE (XLPE)</t>
  </si>
  <si>
    <t>MD0100024</t>
  </si>
  <si>
    <t>DRUM - 70 X 30 X 36 X 3</t>
  </si>
  <si>
    <t>FA0300011</t>
  </si>
  <si>
    <t>10 CORE X 2.5 SQ. MM. CU/UNARD. (PVC)</t>
  </si>
  <si>
    <t>FA1100176</t>
  </si>
  <si>
    <t>4 CORE X 300 SQ. MM. AL/ARD - WIRE (XLPE)</t>
  </si>
  <si>
    <t>MD0100040</t>
  </si>
  <si>
    <t>DRUM - 86 X 38 X 46 X 4</t>
  </si>
  <si>
    <t>FA0600019</t>
  </si>
  <si>
    <t>1 CORE X 150 SQ. MM. AL/UNARD. (XLPE)</t>
  </si>
  <si>
    <t>MD0100085</t>
  </si>
  <si>
    <t>DRUM - 43 X 15 X 28 X 2.25</t>
  </si>
  <si>
    <t>FA0200003</t>
  </si>
  <si>
    <t>12 CORE X 2.5 SQ. MM. CU/ARD - WIRE (PVC)</t>
  </si>
  <si>
    <t>FA0600020</t>
  </si>
  <si>
    <t>1 CORE X 300 SQ. MM. AL/UNARD. (XLPE)</t>
  </si>
  <si>
    <t>MD0100017</t>
  </si>
  <si>
    <t>DRUM - 52 X 18 X 36 X 2.5</t>
  </si>
  <si>
    <t>FA0600032</t>
  </si>
  <si>
    <t>1 CORE X 630 SQ. MM. ALU/UNARD (XLPE)</t>
  </si>
  <si>
    <t>MD0100062</t>
  </si>
  <si>
    <t>DRUM - 74 X 24 X 32 X 3</t>
  </si>
  <si>
    <t>FA0600013</t>
  </si>
  <si>
    <t>1 CORE X 95 SQ. MM. AL/UNARD(XLPE )</t>
  </si>
  <si>
    <t>FA0200002</t>
  </si>
  <si>
    <t>10 CORE X 2.5 SQ. MM. CU/ARD - WIRE (PVC)</t>
  </si>
  <si>
    <t>FA0200018</t>
  </si>
  <si>
    <t>7 CORE X 2.5 SQ. MM. CU/ARD - WIRE (PVC)</t>
  </si>
  <si>
    <t>FA0900042</t>
  </si>
  <si>
    <t>2 CORE X 10 SQ. MM. ALU/ARD - WIRE (XLPE)</t>
  </si>
  <si>
    <t>DRUM - 42 X 15 X 23 X 2</t>
  </si>
  <si>
    <t>FA0200011</t>
  </si>
  <si>
    <t>4 CORE X 2.5 SQ. MM. CU/ARD - WIRE (PVC)</t>
  </si>
  <si>
    <t>FA0900111</t>
  </si>
  <si>
    <t>4 CORE X 25 SQ. MM. ALU/ARD - WIRE (XLPE)</t>
  </si>
  <si>
    <t>FA0900112</t>
  </si>
  <si>
    <t>4 CORE X 10 SQ. MM. AL/ARD - WIRE (XLPE)</t>
  </si>
  <si>
    <t>MD0100064</t>
  </si>
  <si>
    <t>DRUM - 42 X 15 X 32 X 2</t>
  </si>
  <si>
    <t>FA1100094</t>
  </si>
  <si>
    <t>4 CORE X 95 SQ. MM. ALU/ARD - WIRE (XLPE)</t>
  </si>
  <si>
    <t>MD0100061</t>
  </si>
  <si>
    <t>DRUM - 56 X 24 X 32 X 3</t>
  </si>
  <si>
    <t>FA0900020</t>
  </si>
  <si>
    <t>2 CORE X 6 SQ. MM. AL/ARD - WIRE (XLPE)</t>
  </si>
  <si>
    <t>FA0900041</t>
  </si>
  <si>
    <t>2 CORE X 4 SQ. MM. AL/ARD - WIRE (XLPE)</t>
  </si>
  <si>
    <t>NCWBT</t>
  </si>
  <si>
    <t>UV resistance  RS-5/kg</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</si>
  <si>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</si>
  <si>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</si>
  <si>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</si>
  <si>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</si>
  <si>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</si>
  <si>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</si>
  <si>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</si>
  <si>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</si>
  <si>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</si>
  <si>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</si>
  <si>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FA0900052</t>
  </si>
  <si>
    <t>4 CORE X 16 SQ. MM. CU/ARD - WIRE (XLPE)</t>
  </si>
  <si>
    <t>FA0900121</t>
  </si>
  <si>
    <t>4 CORE X 10 SQ. MM. CU/ARD - WIRE (XLPE)</t>
  </si>
  <si>
    <t>FA0800019</t>
  </si>
  <si>
    <t>1 CORE X 16 SQ. MM. CU/ARD (XLPE)</t>
  </si>
  <si>
    <t>FA0900171</t>
  </si>
  <si>
    <t>2 CORE X 16 SQ. MM. CU/ARD - WIRE (XLPE)</t>
  </si>
  <si>
    <t>2 CORE X 50 SQ. MM. CU/ARD - WIRE (XLPE)</t>
  </si>
  <si>
    <t>FA0900229</t>
  </si>
  <si>
    <t>MD0100060</t>
  </si>
  <si>
    <t>DRUM - 52 X 25 X 28 X 3</t>
  </si>
  <si>
    <t>MD0100116</t>
  </si>
  <si>
    <t>DRUM - 48 X 24 X 28 X 2</t>
  </si>
  <si>
    <t>MD0100019</t>
  </si>
  <si>
    <t>DRUM - 54 X 24 X 32 X 3</t>
  </si>
  <si>
    <t>EX-WORKS (PER MTR)</t>
  </si>
  <si>
    <t>MTR</t>
  </si>
  <si>
    <t>cable weight per km</t>
  </si>
  <si>
    <t>single drum weight with cable</t>
  </si>
  <si>
    <t>Empty Drum Wt.</t>
  </si>
  <si>
    <t>weight in truck</t>
  </si>
  <si>
    <t>FA0200005</t>
  </si>
  <si>
    <t>16 CORE X 2.5 SQ. MM. CU/ARD - WIRE (PVC)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</si>
</sst>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 #,##0.00_ ;_ * \-#,##0.00_ ;_ * &quot;-&quot;??_ ;_ @_ "/>
    <numFmt numFmtId="165" formatCode="0.0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11"/>
      <name val="Calibri"/>
      <family val="2"/>
      <scheme val="minor"/>
    </font>
    <font>
      <b/>
      <sz val="9"/>
      <color indexed="81"/>
      <name val="Tahoma"/>
      <family val="2"/>
    </font>
    <font>
      <sz val="9"/>
      <color indexed="81"/>
      <name val="Tahoma"/>
      <family val="2"/>
    </font>
    <font>
      <sz val="11"/>
      <name val="Calibri"/>
      <family val="2"/>
    </font>
    <font>
      <sz val="11"/>
      <color rgb="FFFF000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FFFF00"/>
        <bgColor indexed="64"/>
      </patternFill>
    </fill>
    <fill>
      <patternFill patternType="solid">
        <fgColor rgb="FFFFFF00"/>
        <bgColor rgb="FF000000"/>
      </patternFill>
    </fill>
    <fill>
      <patternFill patternType="solid">
        <fgColor theme="3" tint="0.79998168889431442"/>
        <bgColor indexed="64"/>
      </patternFill>
    </fill>
    <fill>
      <patternFill patternType="solid">
        <fgColor rgb="FF00B0F0"/>
        <bgColor indexed="64"/>
      </patternFill>
    </fill>
    <fill>
      <patternFill patternType="solid">
        <fgColor theme="5" tint="0.399975585192419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92">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0" fontId="0" fillId="0" borderId="1" xfId="0" applyBorder="1" applyAlignment="1">
      <alignment vertical="center" wrapText="1"/>
    </xf>
    <xf numFmtId="14" fontId="0" fillId="0" borderId="0" xfId="0" applyNumberFormat="1"/>
    <xf numFmtId="10" fontId="0" fillId="0" borderId="0" xfId="0" applyNumberFormat="1"/>
    <xf numFmtId="3" fontId="0" fillId="0" borderId="0" xfId="0" applyNumberFormat="1"/>
    <xf numFmtId="4" fontId="0" fillId="0" borderId="0" xfId="0" applyNumberFormat="1"/>
    <xf numFmtId="0" fontId="8" fillId="5" borderId="0" xfId="0" applyFont="1" applyFill="1" applyAlignment="1">
      <alignment vertical="center" wrapText="1"/>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7" fillId="4" borderId="1" xfId="0" applyFont="1" applyFill="1" applyBorder="1" applyAlignment="1">
      <alignment vertical="center" wrapText="1"/>
    </xf>
    <xf numFmtId="164" fontId="8" fillId="7" borderId="1" xfId="1" applyFont="1" applyFill="1" applyBorder="1" applyAlignment="1">
      <alignment vertical="center" wrapText="1"/>
    </xf>
    <xf numFmtId="0" fontId="0" fillId="8" borderId="1" xfId="0" applyFill="1" applyBorder="1" applyAlignment="1">
      <alignment vertical="center" wrapText="1"/>
    </xf>
    <xf numFmtId="0" fontId="2" fillId="0" borderId="1" xfId="0" applyFont="1" applyBorder="1"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9" borderId="1" xfId="7" applyFont="1" applyFill="1" applyBorder="1" applyAlignment="1">
      <alignment horizontal="center" vertical="center"/>
    </xf>
    <xf numFmtId="43" fontId="0" fillId="0" borderId="1" xfId="0" applyNumberFormat="1" applyBorder="1" applyAlignment="1">
      <alignment wrapText="1"/>
    </xf>
    <xf numFmtId="0" fontId="0" fillId="6" borderId="1" xfId="0" applyFill="1" applyBorder="1" applyAlignment="1">
      <alignment wrapText="1"/>
    </xf>
    <xf numFmtId="0" fontId="2" fillId="10" borderId="1" xfId="0" applyFont="1" applyFill="1" applyBorder="1" applyAlignment="1">
      <alignment horizontal="center" vertical="top"/>
    </xf>
    <xf numFmtId="164" fontId="0" fillId="6" borderId="1" xfId="1" applyFont="1" applyFill="1" applyBorder="1" applyAlignment="1">
      <alignment wrapText="1"/>
    </xf>
    <xf numFmtId="0" fontId="0" fillId="6" borderId="0" xfId="0" applyFill="1"/>
    <xf numFmtId="164" fontId="0" fillId="0" borderId="0" xfId="0" applyNumberFormat="1"/>
    <xf numFmtId="0" fontId="16" fillId="0" borderId="0" xfId="0" applyFont="1" applyAlignment="1">
      <alignment horizontal="center" vertical="top" wrapText="1"/>
    </xf>
    <xf numFmtId="0" fontId="17" fillId="0" borderId="1" xfId="0" applyFont="1" applyBorder="1" applyAlignment="1">
      <alignment wrapText="1"/>
    </xf>
    <xf numFmtId="0" fontId="17" fillId="6" borderId="1" xfId="0" applyFont="1" applyFill="1" applyBorder="1" applyAlignment="1">
      <alignment wrapText="1"/>
    </xf>
    <xf numFmtId="0" fontId="2" fillId="0" borderId="1" xfId="0" applyFont="1" applyBorder="1" applyAlignment="1">
      <alignment wrapText="1"/>
    </xf>
    <xf numFmtId="0" fontId="0" fillId="6" borderId="0" xfId="0" applyFill="1" applyAlignment="1">
      <alignment wrapText="1"/>
    </xf>
    <xf numFmtId="0" fontId="10" fillId="0" borderId="1" xfId="0" applyFont="1" applyBorder="1" applyAlignment="1">
      <alignment horizontal="left" vertical="top"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0" fillId="0" borderId="1" xfId="0"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32"/>
  <sheetViews>
    <sheetView topLeftCell="BX1" workbookViewId="0">
      <selection activeCell="V7" sqref="V7"/>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21" width="8.85546875" customWidth="1"/>
    <col min="22" max="22" width="15.42578125" bestFit="1" customWidth="1"/>
    <col min="23"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2" s="14" customFormat="1" x14ac:dyDescent="0.25">
      <c r="A1" t="s">
        <v>0</v>
      </c>
      <c r="B1" t="s">
        <v>133</v>
      </c>
      <c r="C1" t="s">
        <v>1</v>
      </c>
      <c r="D1" t="s">
        <v>2</v>
      </c>
      <c r="E1" t="s">
        <v>134</v>
      </c>
      <c r="F1" t="s">
        <v>3</v>
      </c>
      <c r="G1" t="s">
        <v>148</v>
      </c>
      <c r="H1" t="s">
        <v>4</v>
      </c>
      <c r="I1" t="s">
        <v>5</v>
      </c>
      <c r="J1" t="s">
        <v>6</v>
      </c>
      <c r="K1" t="s">
        <v>149</v>
      </c>
      <c r="L1" t="s">
        <v>7</v>
      </c>
      <c r="M1" t="s">
        <v>8</v>
      </c>
      <c r="N1" t="s">
        <v>9</v>
      </c>
      <c r="O1" t="s">
        <v>150</v>
      </c>
      <c r="P1" t="s">
        <v>10</v>
      </c>
      <c r="Q1" t="s">
        <v>11</v>
      </c>
      <c r="R1" t="s">
        <v>12</v>
      </c>
      <c r="S1" t="s">
        <v>151</v>
      </c>
      <c r="T1" t="s">
        <v>13</v>
      </c>
      <c r="U1" t="s">
        <v>14</v>
      </c>
      <c r="V1" t="s">
        <v>15</v>
      </c>
      <c r="W1" t="s">
        <v>152</v>
      </c>
      <c r="X1" t="s">
        <v>16</v>
      </c>
      <c r="Y1" t="s">
        <v>17</v>
      </c>
      <c r="Z1" t="s">
        <v>18</v>
      </c>
      <c r="AA1" t="s">
        <v>153</v>
      </c>
      <c r="AB1" t="s">
        <v>19</v>
      </c>
      <c r="AC1" t="s">
        <v>20</v>
      </c>
      <c r="AD1" t="s">
        <v>21</v>
      </c>
      <c r="AE1" t="s">
        <v>154</v>
      </c>
      <c r="AF1" t="s">
        <v>22</v>
      </c>
      <c r="AG1" t="s">
        <v>23</v>
      </c>
      <c r="AH1" t="s">
        <v>24</v>
      </c>
      <c r="AI1" t="s">
        <v>155</v>
      </c>
      <c r="AJ1" t="s">
        <v>25</v>
      </c>
      <c r="AK1" t="s">
        <v>26</v>
      </c>
      <c r="AL1" t="s">
        <v>27</v>
      </c>
      <c r="AM1" t="s">
        <v>156</v>
      </c>
      <c r="AN1" t="s">
        <v>28</v>
      </c>
      <c r="AO1" t="s">
        <v>29</v>
      </c>
      <c r="AP1" t="s">
        <v>30</v>
      </c>
      <c r="AQ1" t="s">
        <v>157</v>
      </c>
      <c r="AR1" t="s">
        <v>31</v>
      </c>
      <c r="AS1" t="s">
        <v>32</v>
      </c>
      <c r="AT1" t="s">
        <v>33</v>
      </c>
      <c r="AU1" t="s">
        <v>158</v>
      </c>
      <c r="AV1" t="s">
        <v>34</v>
      </c>
      <c r="AW1" t="s">
        <v>35</v>
      </c>
      <c r="AX1" t="s">
        <v>36</v>
      </c>
      <c r="AY1" t="s">
        <v>159</v>
      </c>
      <c r="AZ1" t="s">
        <v>37</v>
      </c>
      <c r="BA1" t="s">
        <v>38</v>
      </c>
      <c r="BB1" t="s">
        <v>39</v>
      </c>
      <c r="BC1" t="s">
        <v>160</v>
      </c>
      <c r="BD1" t="s">
        <v>40</v>
      </c>
      <c r="BE1" t="s">
        <v>41</v>
      </c>
      <c r="BF1" t="s">
        <v>42</v>
      </c>
      <c r="BG1" t="s">
        <v>161</v>
      </c>
      <c r="BH1" t="s">
        <v>43</v>
      </c>
      <c r="BI1" t="s">
        <v>44</v>
      </c>
      <c r="BJ1" t="s">
        <v>45</v>
      </c>
      <c r="BK1" t="s">
        <v>162</v>
      </c>
      <c r="BL1" t="s">
        <v>46</v>
      </c>
      <c r="BM1" t="s">
        <v>47</v>
      </c>
      <c r="BN1" t="s">
        <v>48</v>
      </c>
      <c r="BO1" t="s">
        <v>163</v>
      </c>
      <c r="BP1" t="s">
        <v>49</v>
      </c>
      <c r="BQ1" t="s">
        <v>50</v>
      </c>
      <c r="BR1" t="s">
        <v>51</v>
      </c>
      <c r="BS1" t="s">
        <v>164</v>
      </c>
      <c r="BT1" t="s">
        <v>52</v>
      </c>
      <c r="BU1" t="s">
        <v>53</v>
      </c>
      <c r="BV1" t="s">
        <v>54</v>
      </c>
      <c r="BW1" t="s">
        <v>165</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135</v>
      </c>
      <c r="CW1" t="s">
        <v>136</v>
      </c>
      <c r="CX1" t="s">
        <v>166</v>
      </c>
    </row>
    <row r="2" spans="1:102" x14ac:dyDescent="0.25">
      <c r="A2" t="s">
        <v>167</v>
      </c>
      <c r="B2" s="51">
        <v>45334</v>
      </c>
      <c r="C2" t="s">
        <v>168</v>
      </c>
      <c r="D2" t="s">
        <v>169</v>
      </c>
      <c r="E2" t="s">
        <v>170</v>
      </c>
      <c r="J2" t="s">
        <v>82</v>
      </c>
      <c r="K2">
        <v>740</v>
      </c>
      <c r="L2">
        <v>142.24</v>
      </c>
      <c r="M2">
        <v>105257.60000000001</v>
      </c>
      <c r="P2">
        <v>0</v>
      </c>
      <c r="T2">
        <v>0</v>
      </c>
      <c r="V2" t="s">
        <v>105</v>
      </c>
      <c r="W2">
        <v>103.07</v>
      </c>
      <c r="X2">
        <v>40</v>
      </c>
      <c r="Y2">
        <v>4122.8</v>
      </c>
      <c r="AB2">
        <v>0</v>
      </c>
      <c r="AF2">
        <v>0</v>
      </c>
      <c r="AH2" t="s">
        <v>104</v>
      </c>
      <c r="AI2">
        <v>221</v>
      </c>
      <c r="AJ2">
        <v>65</v>
      </c>
      <c r="AK2">
        <v>14365</v>
      </c>
      <c r="AL2" t="s">
        <v>99</v>
      </c>
      <c r="AM2">
        <v>92</v>
      </c>
      <c r="AN2">
        <v>88</v>
      </c>
      <c r="AO2">
        <v>8096</v>
      </c>
      <c r="AR2">
        <v>0</v>
      </c>
      <c r="AV2">
        <v>0</v>
      </c>
      <c r="AZ2">
        <v>0</v>
      </c>
      <c r="BD2">
        <v>0</v>
      </c>
      <c r="BH2">
        <v>0</v>
      </c>
      <c r="BL2">
        <v>15</v>
      </c>
      <c r="BP2">
        <v>0</v>
      </c>
      <c r="BT2">
        <v>0</v>
      </c>
      <c r="BX2">
        <v>0</v>
      </c>
      <c r="BZ2">
        <v>3751.68</v>
      </c>
      <c r="CA2">
        <v>135593.07999999999</v>
      </c>
      <c r="CH2">
        <v>135593.07999999999</v>
      </c>
      <c r="CM2">
        <v>135593.07999999999</v>
      </c>
      <c r="CO2">
        <v>135593.07999999999</v>
      </c>
      <c r="CP2" s="52">
        <v>0.18</v>
      </c>
      <c r="CQ2">
        <v>24406.75</v>
      </c>
      <c r="CR2">
        <v>159999.82999999999</v>
      </c>
      <c r="CS2">
        <v>0.12</v>
      </c>
      <c r="CT2" t="s">
        <v>171</v>
      </c>
      <c r="CU2" s="53">
        <v>19200</v>
      </c>
      <c r="CV2" t="s">
        <v>172</v>
      </c>
      <c r="CW2" t="s">
        <v>173</v>
      </c>
      <c r="CX2">
        <v>500</v>
      </c>
    </row>
    <row r="3" spans="1:102" x14ac:dyDescent="0.25">
      <c r="A3" t="s">
        <v>167</v>
      </c>
      <c r="B3" s="51">
        <v>45334</v>
      </c>
      <c r="C3" t="s">
        <v>174</v>
      </c>
      <c r="D3" t="s">
        <v>175</v>
      </c>
      <c r="E3" t="s">
        <v>170</v>
      </c>
      <c r="J3" t="s">
        <v>80</v>
      </c>
      <c r="K3">
        <v>216</v>
      </c>
      <c r="L3">
        <v>2594.88</v>
      </c>
      <c r="M3">
        <v>560494.07999999996</v>
      </c>
      <c r="P3">
        <v>0</v>
      </c>
      <c r="T3">
        <v>0</v>
      </c>
      <c r="V3" t="s">
        <v>86</v>
      </c>
      <c r="W3">
        <v>107</v>
      </c>
      <c r="X3">
        <v>438</v>
      </c>
      <c r="Y3">
        <v>46866</v>
      </c>
      <c r="AB3">
        <v>0</v>
      </c>
      <c r="AD3" t="s">
        <v>87</v>
      </c>
      <c r="AE3">
        <v>60.05</v>
      </c>
      <c r="AF3">
        <v>244</v>
      </c>
      <c r="AG3">
        <v>14652.2</v>
      </c>
      <c r="AH3" t="s">
        <v>118</v>
      </c>
      <c r="AI3">
        <v>83.9</v>
      </c>
      <c r="AJ3">
        <v>2364</v>
      </c>
      <c r="AK3">
        <v>198339.6</v>
      </c>
      <c r="AL3" t="s">
        <v>99</v>
      </c>
      <c r="AM3">
        <v>92</v>
      </c>
      <c r="AN3">
        <v>735</v>
      </c>
      <c r="AO3">
        <v>67620</v>
      </c>
      <c r="AR3">
        <v>0</v>
      </c>
      <c r="AV3">
        <v>0</v>
      </c>
      <c r="AX3" t="s">
        <v>36</v>
      </c>
      <c r="AY3">
        <v>445</v>
      </c>
      <c r="AZ3">
        <v>0</v>
      </c>
      <c r="BA3">
        <v>0</v>
      </c>
      <c r="BD3">
        <v>0</v>
      </c>
      <c r="BH3">
        <v>0</v>
      </c>
      <c r="BL3">
        <v>0</v>
      </c>
      <c r="BP3">
        <v>0</v>
      </c>
      <c r="BR3" t="s">
        <v>51</v>
      </c>
      <c r="BS3">
        <v>445</v>
      </c>
      <c r="BT3">
        <v>0</v>
      </c>
      <c r="BU3">
        <v>0</v>
      </c>
      <c r="BX3">
        <v>0</v>
      </c>
      <c r="BZ3">
        <v>27302</v>
      </c>
      <c r="CA3">
        <v>915273.88</v>
      </c>
      <c r="CH3">
        <v>915273.88</v>
      </c>
      <c r="CM3">
        <v>915273.88</v>
      </c>
      <c r="CO3">
        <v>915273.88</v>
      </c>
      <c r="CP3" s="52">
        <v>0.18</v>
      </c>
      <c r="CQ3">
        <v>164749.29999999999</v>
      </c>
      <c r="CR3">
        <v>1080023.18</v>
      </c>
      <c r="CS3">
        <v>1</v>
      </c>
      <c r="CT3" t="s">
        <v>171</v>
      </c>
      <c r="CU3" s="53">
        <v>1080023</v>
      </c>
      <c r="CV3" t="s">
        <v>176</v>
      </c>
      <c r="CW3" t="s">
        <v>177</v>
      </c>
      <c r="CX3">
        <v>500</v>
      </c>
    </row>
    <row r="4" spans="1:102" x14ac:dyDescent="0.25">
      <c r="A4" t="s">
        <v>167</v>
      </c>
      <c r="B4" s="51">
        <v>45334</v>
      </c>
      <c r="C4" t="s">
        <v>178</v>
      </c>
      <c r="D4" t="s">
        <v>179</v>
      </c>
      <c r="E4" t="s">
        <v>170</v>
      </c>
      <c r="J4" t="s">
        <v>82</v>
      </c>
      <c r="K4">
        <v>740</v>
      </c>
      <c r="L4">
        <v>568.96</v>
      </c>
      <c r="M4">
        <v>421030.40000000002</v>
      </c>
      <c r="P4">
        <v>0</v>
      </c>
      <c r="T4">
        <v>0</v>
      </c>
      <c r="V4" t="s">
        <v>105</v>
      </c>
      <c r="W4">
        <v>103.07</v>
      </c>
      <c r="X4">
        <v>114</v>
      </c>
      <c r="Y4">
        <v>11749.98</v>
      </c>
      <c r="AB4">
        <v>0</v>
      </c>
      <c r="AD4" t="s">
        <v>87</v>
      </c>
      <c r="AE4">
        <v>60.05</v>
      </c>
      <c r="AF4">
        <v>40</v>
      </c>
      <c r="AG4">
        <v>2402</v>
      </c>
      <c r="AH4" t="s">
        <v>118</v>
      </c>
      <c r="AI4">
        <v>83.9</v>
      </c>
      <c r="AJ4">
        <v>498</v>
      </c>
      <c r="AK4">
        <v>41782.199999999997</v>
      </c>
      <c r="AL4" t="s">
        <v>99</v>
      </c>
      <c r="AM4">
        <v>92</v>
      </c>
      <c r="AN4">
        <v>166</v>
      </c>
      <c r="AO4">
        <v>15272</v>
      </c>
      <c r="AR4">
        <v>0</v>
      </c>
      <c r="AV4">
        <v>0</v>
      </c>
      <c r="AZ4">
        <v>0</v>
      </c>
      <c r="BD4">
        <v>0</v>
      </c>
      <c r="BH4">
        <v>0</v>
      </c>
      <c r="BL4">
        <v>0</v>
      </c>
      <c r="BP4">
        <v>0</v>
      </c>
      <c r="BT4">
        <v>0</v>
      </c>
      <c r="BX4">
        <v>0</v>
      </c>
      <c r="BZ4">
        <v>5151.4799999999996</v>
      </c>
      <c r="CA4">
        <v>497388.06</v>
      </c>
      <c r="CH4">
        <v>497388.06</v>
      </c>
      <c r="CM4">
        <v>497388.06</v>
      </c>
      <c r="CO4">
        <v>497388.06</v>
      </c>
      <c r="CP4" s="52">
        <v>0.18</v>
      </c>
      <c r="CQ4">
        <v>89529.85</v>
      </c>
      <c r="CR4">
        <v>586917.91</v>
      </c>
      <c r="CS4">
        <v>1.5</v>
      </c>
      <c r="CT4" t="s">
        <v>171</v>
      </c>
      <c r="CU4" s="53">
        <v>880377</v>
      </c>
      <c r="CV4" t="s">
        <v>180</v>
      </c>
      <c r="CW4" t="s">
        <v>181</v>
      </c>
      <c r="CX4">
        <v>500</v>
      </c>
    </row>
    <row r="5" spans="1:102" x14ac:dyDescent="0.25">
      <c r="A5" t="s">
        <v>167</v>
      </c>
      <c r="B5" s="51">
        <v>45334</v>
      </c>
      <c r="C5" t="s">
        <v>182</v>
      </c>
      <c r="D5" t="s">
        <v>183</v>
      </c>
      <c r="E5" t="s">
        <v>170</v>
      </c>
      <c r="J5" t="s">
        <v>82</v>
      </c>
      <c r="K5">
        <v>740</v>
      </c>
      <c r="L5">
        <v>144</v>
      </c>
      <c r="M5">
        <v>106560</v>
      </c>
      <c r="P5">
        <v>0</v>
      </c>
      <c r="T5">
        <v>0</v>
      </c>
      <c r="V5" t="s">
        <v>105</v>
      </c>
      <c r="W5">
        <v>103.07</v>
      </c>
      <c r="X5">
        <v>76</v>
      </c>
      <c r="Y5">
        <v>7833.32</v>
      </c>
      <c r="Z5" t="s">
        <v>18</v>
      </c>
      <c r="AA5">
        <v>119.6</v>
      </c>
      <c r="AB5">
        <v>4</v>
      </c>
      <c r="AC5">
        <v>478.4</v>
      </c>
      <c r="AD5" t="s">
        <v>87</v>
      </c>
      <c r="AE5">
        <v>60.05</v>
      </c>
      <c r="AF5">
        <v>34</v>
      </c>
      <c r="AG5">
        <v>2041.7</v>
      </c>
      <c r="AH5" t="s">
        <v>118</v>
      </c>
      <c r="AI5">
        <v>83.9</v>
      </c>
      <c r="AJ5">
        <v>352</v>
      </c>
      <c r="AK5">
        <v>29532.799999999999</v>
      </c>
      <c r="AL5" t="s">
        <v>99</v>
      </c>
      <c r="AM5">
        <v>92</v>
      </c>
      <c r="AN5">
        <v>119</v>
      </c>
      <c r="AO5">
        <v>10948</v>
      </c>
      <c r="AR5">
        <v>0</v>
      </c>
      <c r="AV5">
        <v>0</v>
      </c>
      <c r="AZ5">
        <v>0</v>
      </c>
      <c r="BD5">
        <v>0</v>
      </c>
      <c r="BH5">
        <v>0</v>
      </c>
      <c r="BL5">
        <v>0</v>
      </c>
      <c r="BP5">
        <v>0</v>
      </c>
      <c r="BT5">
        <v>0</v>
      </c>
      <c r="BX5">
        <v>0</v>
      </c>
      <c r="BZ5">
        <v>4610.79</v>
      </c>
      <c r="CA5">
        <v>162005.01</v>
      </c>
      <c r="CH5">
        <v>162005.01</v>
      </c>
      <c r="CM5">
        <v>162005.01</v>
      </c>
      <c r="CO5">
        <v>162005.01</v>
      </c>
      <c r="CP5" s="52">
        <v>0.18</v>
      </c>
      <c r="CQ5">
        <v>29160.9</v>
      </c>
      <c r="CR5">
        <v>191165.91</v>
      </c>
      <c r="CS5">
        <v>2</v>
      </c>
      <c r="CT5" t="s">
        <v>171</v>
      </c>
      <c r="CU5" s="53">
        <v>382332</v>
      </c>
      <c r="CV5" t="s">
        <v>184</v>
      </c>
      <c r="CW5" t="s">
        <v>185</v>
      </c>
      <c r="CX5">
        <v>500</v>
      </c>
    </row>
    <row r="6" spans="1:102" x14ac:dyDescent="0.25">
      <c r="A6" t="s">
        <v>167</v>
      </c>
      <c r="B6" s="51">
        <v>45334</v>
      </c>
      <c r="C6" t="s">
        <v>186</v>
      </c>
      <c r="D6" t="s">
        <v>187</v>
      </c>
      <c r="E6" t="s">
        <v>170</v>
      </c>
      <c r="J6" t="s">
        <v>82</v>
      </c>
      <c r="K6">
        <v>740</v>
      </c>
      <c r="L6">
        <v>284.48</v>
      </c>
      <c r="M6">
        <v>210515.20000000001</v>
      </c>
      <c r="P6">
        <v>0</v>
      </c>
      <c r="T6">
        <v>0</v>
      </c>
      <c r="V6" t="s">
        <v>105</v>
      </c>
      <c r="W6">
        <v>103.07</v>
      </c>
      <c r="X6">
        <v>57</v>
      </c>
      <c r="Y6">
        <v>5874.99</v>
      </c>
      <c r="AB6">
        <v>0</v>
      </c>
      <c r="AD6" t="s">
        <v>87</v>
      </c>
      <c r="AE6">
        <v>60.05</v>
      </c>
      <c r="AF6">
        <v>33</v>
      </c>
      <c r="AG6">
        <v>1981.65</v>
      </c>
      <c r="AH6" t="s">
        <v>118</v>
      </c>
      <c r="AI6">
        <v>83.9</v>
      </c>
      <c r="AJ6">
        <v>416</v>
      </c>
      <c r="AK6">
        <v>34902.400000000001</v>
      </c>
      <c r="AL6" t="s">
        <v>99</v>
      </c>
      <c r="AM6">
        <v>92</v>
      </c>
      <c r="AN6">
        <v>144</v>
      </c>
      <c r="AO6">
        <v>13248</v>
      </c>
      <c r="AR6">
        <v>0</v>
      </c>
      <c r="AV6">
        <v>0</v>
      </c>
      <c r="AZ6">
        <v>0</v>
      </c>
      <c r="BD6">
        <v>0</v>
      </c>
      <c r="BH6">
        <v>0</v>
      </c>
      <c r="BL6">
        <v>0</v>
      </c>
      <c r="BP6">
        <v>0</v>
      </c>
      <c r="BT6">
        <v>0</v>
      </c>
      <c r="BX6">
        <v>0</v>
      </c>
      <c r="BZ6">
        <v>4610.79</v>
      </c>
      <c r="CA6">
        <v>271133.03000000003</v>
      </c>
      <c r="CH6">
        <v>271133.03000000003</v>
      </c>
      <c r="CM6">
        <v>271133.03000000003</v>
      </c>
      <c r="CO6">
        <v>271133.03000000003</v>
      </c>
      <c r="CP6" s="52">
        <v>0.18</v>
      </c>
      <c r="CQ6">
        <v>48803.95</v>
      </c>
      <c r="CR6">
        <v>319936.98</v>
      </c>
      <c r="CS6">
        <v>2.12</v>
      </c>
      <c r="CT6" t="s">
        <v>171</v>
      </c>
      <c r="CU6" s="53">
        <v>678266</v>
      </c>
      <c r="CV6" t="s">
        <v>184</v>
      </c>
      <c r="CW6" t="s">
        <v>185</v>
      </c>
      <c r="CX6">
        <v>500</v>
      </c>
    </row>
    <row r="7" spans="1:102" x14ac:dyDescent="0.25">
      <c r="A7" t="s">
        <v>167</v>
      </c>
      <c r="B7" s="51">
        <v>45334</v>
      </c>
      <c r="C7" t="s">
        <v>188</v>
      </c>
      <c r="D7" t="s">
        <v>189</v>
      </c>
      <c r="E7" t="s">
        <v>170</v>
      </c>
      <c r="J7" t="s">
        <v>82</v>
      </c>
      <c r="K7">
        <v>740</v>
      </c>
      <c r="L7">
        <v>355.6</v>
      </c>
      <c r="M7">
        <v>263144</v>
      </c>
      <c r="P7">
        <v>0</v>
      </c>
      <c r="T7">
        <v>0</v>
      </c>
      <c r="V7" t="s">
        <v>190</v>
      </c>
      <c r="W7">
        <v>73.069999999999993</v>
      </c>
      <c r="X7">
        <v>98</v>
      </c>
      <c r="Y7">
        <v>7160.86</v>
      </c>
      <c r="AB7">
        <v>0</v>
      </c>
      <c r="AD7" t="s">
        <v>103</v>
      </c>
      <c r="AE7">
        <v>58.05</v>
      </c>
      <c r="AF7">
        <v>35</v>
      </c>
      <c r="AG7">
        <v>2031.75</v>
      </c>
      <c r="AH7" t="s">
        <v>118</v>
      </c>
      <c r="AI7">
        <v>83.9</v>
      </c>
      <c r="AJ7">
        <v>441</v>
      </c>
      <c r="AK7">
        <v>36999.9</v>
      </c>
      <c r="AL7" t="s">
        <v>103</v>
      </c>
      <c r="AM7">
        <v>58.05</v>
      </c>
      <c r="AN7">
        <v>151</v>
      </c>
      <c r="AO7">
        <v>8765.5499999999993</v>
      </c>
      <c r="AR7">
        <v>0</v>
      </c>
      <c r="AV7">
        <v>0</v>
      </c>
      <c r="AZ7">
        <v>0</v>
      </c>
      <c r="BD7">
        <v>0</v>
      </c>
      <c r="BH7">
        <v>0</v>
      </c>
      <c r="BL7">
        <v>0</v>
      </c>
      <c r="BP7">
        <v>0</v>
      </c>
      <c r="BT7">
        <v>0</v>
      </c>
      <c r="BX7">
        <v>0</v>
      </c>
      <c r="BZ7">
        <v>5151.4799999999996</v>
      </c>
      <c r="CA7">
        <v>323253.53999999998</v>
      </c>
      <c r="CH7">
        <v>323253.53999999998</v>
      </c>
      <c r="CM7">
        <v>323253.53999999998</v>
      </c>
      <c r="CO7">
        <v>323253.53999999998</v>
      </c>
      <c r="CP7" s="52">
        <v>0.18</v>
      </c>
      <c r="CQ7">
        <v>58185.64</v>
      </c>
      <c r="CR7">
        <v>381439.18</v>
      </c>
      <c r="CS7">
        <v>3</v>
      </c>
      <c r="CT7" t="s">
        <v>171</v>
      </c>
      <c r="CU7" s="53">
        <v>1144318</v>
      </c>
      <c r="CV7" t="s">
        <v>180</v>
      </c>
      <c r="CW7" t="s">
        <v>181</v>
      </c>
      <c r="CX7">
        <v>500</v>
      </c>
    </row>
    <row r="8" spans="1:102" x14ac:dyDescent="0.25">
      <c r="A8" t="s">
        <v>167</v>
      </c>
      <c r="B8" s="51">
        <v>45334</v>
      </c>
      <c r="C8" t="s">
        <v>191</v>
      </c>
      <c r="D8" t="s">
        <v>192</v>
      </c>
      <c r="E8" t="s">
        <v>170</v>
      </c>
      <c r="J8" t="s">
        <v>82</v>
      </c>
      <c r="K8">
        <v>740</v>
      </c>
      <c r="L8">
        <v>860</v>
      </c>
      <c r="M8">
        <v>636400</v>
      </c>
      <c r="P8">
        <v>0</v>
      </c>
      <c r="T8">
        <v>0</v>
      </c>
      <c r="V8" t="s">
        <v>105</v>
      </c>
      <c r="W8">
        <v>103.07</v>
      </c>
      <c r="X8">
        <v>132</v>
      </c>
      <c r="Y8">
        <v>13605.24</v>
      </c>
      <c r="AB8">
        <v>0</v>
      </c>
      <c r="AD8" t="s">
        <v>87</v>
      </c>
      <c r="AE8">
        <v>60.05</v>
      </c>
      <c r="AF8">
        <v>50</v>
      </c>
      <c r="AG8">
        <v>3002.5</v>
      </c>
      <c r="AH8" t="s">
        <v>118</v>
      </c>
      <c r="AI8">
        <v>83.9</v>
      </c>
      <c r="AJ8">
        <v>575</v>
      </c>
      <c r="AK8">
        <v>48242.5</v>
      </c>
      <c r="AL8" t="s">
        <v>99</v>
      </c>
      <c r="AM8">
        <v>92</v>
      </c>
      <c r="AN8">
        <v>204</v>
      </c>
      <c r="AO8">
        <v>18768</v>
      </c>
      <c r="AR8">
        <v>0</v>
      </c>
      <c r="AV8">
        <v>0</v>
      </c>
      <c r="AZ8">
        <v>0</v>
      </c>
      <c r="BD8">
        <v>0</v>
      </c>
      <c r="BH8">
        <v>0</v>
      </c>
      <c r="BL8">
        <v>0</v>
      </c>
      <c r="BP8">
        <v>0</v>
      </c>
      <c r="BT8">
        <v>0</v>
      </c>
      <c r="BX8">
        <v>0</v>
      </c>
      <c r="BZ8">
        <v>7084.06</v>
      </c>
      <c r="CA8">
        <v>727102.3</v>
      </c>
      <c r="CH8">
        <v>727102.3</v>
      </c>
      <c r="CM8">
        <v>727102.3</v>
      </c>
      <c r="CO8">
        <v>727102.3</v>
      </c>
      <c r="CP8" s="52">
        <v>0.18</v>
      </c>
      <c r="CQ8">
        <v>130878.41</v>
      </c>
      <c r="CR8">
        <v>857980.71</v>
      </c>
      <c r="CS8">
        <v>3.65</v>
      </c>
      <c r="CT8" t="s">
        <v>171</v>
      </c>
      <c r="CU8" s="53">
        <v>3131630</v>
      </c>
      <c r="CV8" t="s">
        <v>193</v>
      </c>
      <c r="CW8" t="s">
        <v>194</v>
      </c>
      <c r="CX8">
        <v>500</v>
      </c>
    </row>
    <row r="9" spans="1:102" x14ac:dyDescent="0.25">
      <c r="A9" t="s">
        <v>167</v>
      </c>
      <c r="B9" s="51">
        <v>45334</v>
      </c>
      <c r="C9" t="s">
        <v>195</v>
      </c>
      <c r="D9" t="s">
        <v>196</v>
      </c>
      <c r="E9" t="s">
        <v>170</v>
      </c>
      <c r="J9" t="s">
        <v>80</v>
      </c>
      <c r="K9">
        <v>216</v>
      </c>
      <c r="L9">
        <v>135</v>
      </c>
      <c r="M9">
        <v>29160</v>
      </c>
      <c r="P9">
        <v>0</v>
      </c>
      <c r="T9">
        <v>0</v>
      </c>
      <c r="V9" t="s">
        <v>86</v>
      </c>
      <c r="W9">
        <v>107</v>
      </c>
      <c r="X9">
        <v>37</v>
      </c>
      <c r="Y9">
        <v>3959</v>
      </c>
      <c r="AB9">
        <v>0</v>
      </c>
      <c r="AF9">
        <v>0</v>
      </c>
      <c r="AJ9">
        <v>0</v>
      </c>
      <c r="AL9" t="s">
        <v>99</v>
      </c>
      <c r="AM9">
        <v>92</v>
      </c>
      <c r="AN9">
        <v>110</v>
      </c>
      <c r="AO9">
        <v>10120</v>
      </c>
      <c r="AR9">
        <v>0</v>
      </c>
      <c r="AV9">
        <v>0</v>
      </c>
      <c r="AZ9">
        <v>0</v>
      </c>
      <c r="BD9">
        <v>0</v>
      </c>
      <c r="BH9">
        <v>0</v>
      </c>
      <c r="BL9">
        <v>0</v>
      </c>
      <c r="BP9">
        <v>0</v>
      </c>
      <c r="BT9">
        <v>0</v>
      </c>
      <c r="BX9">
        <v>0</v>
      </c>
      <c r="BZ9">
        <v>2305.4</v>
      </c>
      <c r="CA9">
        <v>45544.4</v>
      </c>
      <c r="CH9">
        <v>45544.4</v>
      </c>
      <c r="CM9">
        <v>45544.4</v>
      </c>
      <c r="CO9">
        <v>45544.4</v>
      </c>
      <c r="CP9" s="52">
        <v>0.18</v>
      </c>
      <c r="CQ9">
        <v>8197.99</v>
      </c>
      <c r="CR9">
        <v>53742.39</v>
      </c>
      <c r="CS9">
        <v>6.5</v>
      </c>
      <c r="CT9" t="s">
        <v>171</v>
      </c>
      <c r="CU9" s="53">
        <v>349326</v>
      </c>
      <c r="CV9" t="s">
        <v>184</v>
      </c>
      <c r="CW9" t="s">
        <v>185</v>
      </c>
      <c r="CX9">
        <v>1000</v>
      </c>
    </row>
    <row r="10" spans="1:102" x14ac:dyDescent="0.25">
      <c r="A10" t="s">
        <v>167</v>
      </c>
      <c r="B10" s="51">
        <v>45334</v>
      </c>
      <c r="C10" t="s">
        <v>197</v>
      </c>
      <c r="D10" t="s">
        <v>198</v>
      </c>
      <c r="E10" t="s">
        <v>170</v>
      </c>
      <c r="J10" t="s">
        <v>80</v>
      </c>
      <c r="K10">
        <v>216</v>
      </c>
      <c r="L10">
        <v>1620</v>
      </c>
      <c r="M10">
        <v>349920</v>
      </c>
      <c r="P10">
        <v>0</v>
      </c>
      <c r="T10">
        <v>0</v>
      </c>
      <c r="V10" t="s">
        <v>86</v>
      </c>
      <c r="W10">
        <v>107</v>
      </c>
      <c r="X10">
        <v>297</v>
      </c>
      <c r="Y10">
        <v>31779</v>
      </c>
      <c r="AB10">
        <v>0</v>
      </c>
      <c r="AD10" t="s">
        <v>87</v>
      </c>
      <c r="AE10">
        <v>60.05</v>
      </c>
      <c r="AF10">
        <v>138</v>
      </c>
      <c r="AG10">
        <v>8286.9</v>
      </c>
      <c r="AJ10">
        <v>0</v>
      </c>
      <c r="AL10" t="s">
        <v>99</v>
      </c>
      <c r="AM10">
        <v>92</v>
      </c>
      <c r="AN10">
        <v>552</v>
      </c>
      <c r="AO10">
        <v>50784</v>
      </c>
      <c r="AR10">
        <v>0</v>
      </c>
      <c r="AV10">
        <v>0</v>
      </c>
      <c r="AX10" t="s">
        <v>36</v>
      </c>
      <c r="AY10">
        <v>445</v>
      </c>
      <c r="AZ10">
        <v>0</v>
      </c>
      <c r="BA10">
        <v>0</v>
      </c>
      <c r="BD10">
        <v>0</v>
      </c>
      <c r="BH10">
        <v>0</v>
      </c>
      <c r="BL10">
        <v>0</v>
      </c>
      <c r="BP10">
        <v>0</v>
      </c>
      <c r="BT10">
        <v>0</v>
      </c>
      <c r="BX10">
        <v>0</v>
      </c>
      <c r="BZ10">
        <v>17878.84</v>
      </c>
      <c r="CA10">
        <v>458648.74</v>
      </c>
      <c r="CH10">
        <v>458648.74</v>
      </c>
      <c r="CM10">
        <v>458648.74</v>
      </c>
      <c r="CO10">
        <v>458648.74</v>
      </c>
      <c r="CP10" s="52">
        <v>0.18</v>
      </c>
      <c r="CQ10">
        <v>82556.77</v>
      </c>
      <c r="CR10">
        <v>541205.51</v>
      </c>
      <c r="CS10">
        <v>7.9249999999999998</v>
      </c>
      <c r="CT10" t="s">
        <v>171</v>
      </c>
      <c r="CU10" s="53">
        <v>4289054</v>
      </c>
      <c r="CV10" t="s">
        <v>199</v>
      </c>
      <c r="CW10" t="s">
        <v>200</v>
      </c>
      <c r="CX10">
        <v>500</v>
      </c>
    </row>
    <row r="11" spans="1:102" x14ac:dyDescent="0.25">
      <c r="A11" t="s">
        <v>167</v>
      </c>
      <c r="B11" s="51">
        <v>45334</v>
      </c>
      <c r="C11" t="s">
        <v>201</v>
      </c>
      <c r="D11" t="s">
        <v>202</v>
      </c>
      <c r="E11" t="s">
        <v>170</v>
      </c>
      <c r="J11" t="s">
        <v>80</v>
      </c>
      <c r="K11">
        <v>216</v>
      </c>
      <c r="L11">
        <v>378.42</v>
      </c>
      <c r="M11">
        <v>81738.720000000001</v>
      </c>
      <c r="P11">
        <v>0</v>
      </c>
      <c r="T11">
        <v>0</v>
      </c>
      <c r="V11" t="s">
        <v>86</v>
      </c>
      <c r="W11">
        <v>107</v>
      </c>
      <c r="X11">
        <v>109</v>
      </c>
      <c r="Y11">
        <v>11663</v>
      </c>
      <c r="AB11">
        <v>0</v>
      </c>
      <c r="AD11" t="s">
        <v>87</v>
      </c>
      <c r="AE11">
        <v>60.05</v>
      </c>
      <c r="AF11">
        <v>51</v>
      </c>
      <c r="AG11">
        <v>3062.55</v>
      </c>
      <c r="AH11" t="s">
        <v>118</v>
      </c>
      <c r="AI11">
        <v>83.9</v>
      </c>
      <c r="AJ11">
        <v>639</v>
      </c>
      <c r="AK11">
        <v>53612.1</v>
      </c>
      <c r="AL11" t="s">
        <v>99</v>
      </c>
      <c r="AM11">
        <v>92</v>
      </c>
      <c r="AN11">
        <v>230</v>
      </c>
      <c r="AO11">
        <v>21160</v>
      </c>
      <c r="AR11">
        <v>0</v>
      </c>
      <c r="AV11">
        <v>0</v>
      </c>
      <c r="AZ11">
        <v>0</v>
      </c>
      <c r="BD11">
        <v>0</v>
      </c>
      <c r="BH11">
        <v>0</v>
      </c>
      <c r="BL11">
        <v>0</v>
      </c>
      <c r="BP11">
        <v>0</v>
      </c>
      <c r="BR11" t="s">
        <v>51</v>
      </c>
      <c r="BS11">
        <v>445</v>
      </c>
      <c r="BT11">
        <v>0</v>
      </c>
      <c r="BU11">
        <v>0</v>
      </c>
      <c r="BX11">
        <v>0</v>
      </c>
      <c r="BZ11">
        <v>3743.02</v>
      </c>
      <c r="CA11">
        <v>174979.39</v>
      </c>
      <c r="CH11">
        <v>174979.39</v>
      </c>
      <c r="CM11">
        <v>174979.39</v>
      </c>
      <c r="CO11">
        <v>174979.39</v>
      </c>
      <c r="CP11" s="52">
        <v>0.18</v>
      </c>
      <c r="CQ11">
        <v>31496.29</v>
      </c>
      <c r="CR11">
        <v>206475.68</v>
      </c>
      <c r="CS11">
        <v>10.199999999999999</v>
      </c>
      <c r="CT11" t="s">
        <v>171</v>
      </c>
      <c r="CU11" s="53">
        <v>2106052</v>
      </c>
      <c r="CV11" t="s">
        <v>203</v>
      </c>
      <c r="CW11" t="s">
        <v>204</v>
      </c>
      <c r="CX11">
        <v>1000</v>
      </c>
    </row>
    <row r="12" spans="1:102" x14ac:dyDescent="0.25">
      <c r="A12" t="s">
        <v>167</v>
      </c>
      <c r="B12" s="51">
        <v>45334</v>
      </c>
      <c r="C12" t="s">
        <v>205</v>
      </c>
      <c r="D12" t="s">
        <v>206</v>
      </c>
      <c r="E12" t="s">
        <v>170</v>
      </c>
      <c r="J12" t="s">
        <v>80</v>
      </c>
      <c r="K12">
        <v>216</v>
      </c>
      <c r="L12">
        <v>540.6</v>
      </c>
      <c r="M12">
        <v>116769.60000000001</v>
      </c>
      <c r="P12">
        <v>0</v>
      </c>
      <c r="T12">
        <v>0</v>
      </c>
      <c r="V12" t="s">
        <v>86</v>
      </c>
      <c r="W12">
        <v>107</v>
      </c>
      <c r="X12">
        <v>124</v>
      </c>
      <c r="Y12">
        <v>13268</v>
      </c>
      <c r="AB12">
        <v>0</v>
      </c>
      <c r="AD12" t="s">
        <v>87</v>
      </c>
      <c r="AE12">
        <v>60.05</v>
      </c>
      <c r="AF12">
        <v>69</v>
      </c>
      <c r="AG12">
        <v>4143.45</v>
      </c>
      <c r="AH12" t="s">
        <v>118</v>
      </c>
      <c r="AI12">
        <v>83.9</v>
      </c>
      <c r="AJ12">
        <v>898</v>
      </c>
      <c r="AK12">
        <v>75342.2</v>
      </c>
      <c r="AL12" t="s">
        <v>99</v>
      </c>
      <c r="AM12">
        <v>92</v>
      </c>
      <c r="AN12">
        <v>260</v>
      </c>
      <c r="AO12">
        <v>23920</v>
      </c>
      <c r="AR12">
        <v>0</v>
      </c>
      <c r="AV12">
        <v>0</v>
      </c>
      <c r="AZ12">
        <v>0</v>
      </c>
      <c r="BD12">
        <v>0</v>
      </c>
      <c r="BH12">
        <v>0</v>
      </c>
      <c r="BL12">
        <v>0</v>
      </c>
      <c r="BP12">
        <v>0</v>
      </c>
      <c r="BR12" t="s">
        <v>51</v>
      </c>
      <c r="BS12">
        <v>445</v>
      </c>
      <c r="BT12">
        <v>0</v>
      </c>
      <c r="BU12">
        <v>0</v>
      </c>
      <c r="BX12">
        <v>0</v>
      </c>
      <c r="BZ12">
        <v>5708.97</v>
      </c>
      <c r="CA12">
        <v>239152.22</v>
      </c>
      <c r="CH12">
        <v>239152.22</v>
      </c>
      <c r="CM12">
        <v>239152.22</v>
      </c>
      <c r="CO12">
        <v>239152.22</v>
      </c>
      <c r="CP12" s="52">
        <v>0.18</v>
      </c>
      <c r="CQ12">
        <v>43047.4</v>
      </c>
      <c r="CR12">
        <v>282199.62</v>
      </c>
      <c r="CS12">
        <v>13.67</v>
      </c>
      <c r="CT12" t="s">
        <v>171</v>
      </c>
      <c r="CU12" s="53">
        <v>3857669</v>
      </c>
      <c r="CV12" t="s">
        <v>207</v>
      </c>
      <c r="CW12" t="s">
        <v>208</v>
      </c>
      <c r="CX12">
        <v>1000</v>
      </c>
    </row>
    <row r="13" spans="1:102" x14ac:dyDescent="0.25">
      <c r="A13" t="s">
        <v>167</v>
      </c>
      <c r="B13" s="51">
        <v>45334</v>
      </c>
      <c r="C13" t="s">
        <v>209</v>
      </c>
      <c r="D13" t="s">
        <v>210</v>
      </c>
      <c r="E13" t="s">
        <v>170</v>
      </c>
      <c r="J13" t="s">
        <v>82</v>
      </c>
      <c r="K13">
        <v>740</v>
      </c>
      <c r="L13">
        <v>88.8</v>
      </c>
      <c r="M13">
        <v>65712</v>
      </c>
      <c r="P13">
        <v>0</v>
      </c>
      <c r="T13">
        <v>0</v>
      </c>
      <c r="V13" t="s">
        <v>105</v>
      </c>
      <c r="W13">
        <v>103.07</v>
      </c>
      <c r="X13">
        <v>52</v>
      </c>
      <c r="Y13">
        <v>5359.64</v>
      </c>
      <c r="Z13" t="s">
        <v>18</v>
      </c>
      <c r="AA13">
        <v>119.6</v>
      </c>
      <c r="AB13">
        <v>4</v>
      </c>
      <c r="AC13">
        <v>478.4</v>
      </c>
      <c r="AD13" t="s">
        <v>87</v>
      </c>
      <c r="AE13">
        <v>60.05</v>
      </c>
      <c r="AF13">
        <v>27</v>
      </c>
      <c r="AG13">
        <v>1621.35</v>
      </c>
      <c r="AJ13">
        <v>0</v>
      </c>
      <c r="AL13" t="s">
        <v>99</v>
      </c>
      <c r="AM13">
        <v>92</v>
      </c>
      <c r="AN13">
        <v>109</v>
      </c>
      <c r="AO13">
        <v>10028</v>
      </c>
      <c r="AR13">
        <v>0</v>
      </c>
      <c r="AV13">
        <v>0</v>
      </c>
      <c r="AZ13">
        <v>0</v>
      </c>
      <c r="BD13">
        <v>0</v>
      </c>
      <c r="BH13">
        <v>0</v>
      </c>
      <c r="BL13">
        <v>15</v>
      </c>
      <c r="BP13">
        <v>0</v>
      </c>
      <c r="BT13">
        <v>0</v>
      </c>
      <c r="BX13">
        <v>0</v>
      </c>
      <c r="BZ13">
        <v>3850.93</v>
      </c>
      <c r="CA13">
        <v>87050.32</v>
      </c>
      <c r="CH13">
        <v>87050.32</v>
      </c>
      <c r="CM13">
        <v>87050.32</v>
      </c>
      <c r="CO13">
        <v>87050.32</v>
      </c>
      <c r="CP13" s="52">
        <v>0.18</v>
      </c>
      <c r="CQ13">
        <v>15669.06</v>
      </c>
      <c r="CR13">
        <v>102719.38</v>
      </c>
      <c r="CS13">
        <v>16.3</v>
      </c>
      <c r="CT13" t="s">
        <v>171</v>
      </c>
      <c r="CU13" s="53">
        <v>1674326</v>
      </c>
      <c r="CV13" t="s">
        <v>211</v>
      </c>
      <c r="CW13" t="s">
        <v>212</v>
      </c>
      <c r="CX13">
        <v>500</v>
      </c>
    </row>
    <row r="14" spans="1:102" x14ac:dyDescent="0.25">
      <c r="A14" t="s">
        <v>167</v>
      </c>
      <c r="B14" s="51">
        <v>45334</v>
      </c>
      <c r="C14" t="s">
        <v>213</v>
      </c>
      <c r="D14" t="s">
        <v>214</v>
      </c>
      <c r="E14" t="s">
        <v>170</v>
      </c>
      <c r="J14" t="s">
        <v>82</v>
      </c>
      <c r="K14">
        <v>740</v>
      </c>
      <c r="L14">
        <v>355.2</v>
      </c>
      <c r="M14">
        <v>262848</v>
      </c>
      <c r="P14">
        <v>0</v>
      </c>
      <c r="T14">
        <v>0</v>
      </c>
      <c r="V14" t="s">
        <v>105</v>
      </c>
      <c r="W14">
        <v>103.07</v>
      </c>
      <c r="X14">
        <v>208</v>
      </c>
      <c r="Y14">
        <v>21438.560000000001</v>
      </c>
      <c r="Z14" t="s">
        <v>18</v>
      </c>
      <c r="AA14">
        <v>119.6</v>
      </c>
      <c r="AB14">
        <v>5</v>
      </c>
      <c r="AC14">
        <v>598</v>
      </c>
      <c r="AD14" t="s">
        <v>87</v>
      </c>
      <c r="AE14">
        <v>60.05</v>
      </c>
      <c r="AF14">
        <v>42</v>
      </c>
      <c r="AG14">
        <v>2522.1</v>
      </c>
      <c r="AJ14">
        <v>0</v>
      </c>
      <c r="AL14" t="s">
        <v>99</v>
      </c>
      <c r="AM14">
        <v>92</v>
      </c>
      <c r="AN14">
        <v>191</v>
      </c>
      <c r="AO14">
        <v>17572</v>
      </c>
      <c r="AR14">
        <v>0</v>
      </c>
      <c r="AV14">
        <v>0</v>
      </c>
      <c r="AZ14">
        <v>0</v>
      </c>
      <c r="BD14">
        <v>0</v>
      </c>
      <c r="BH14">
        <v>0</v>
      </c>
      <c r="BL14">
        <v>0</v>
      </c>
      <c r="BP14">
        <v>0</v>
      </c>
      <c r="BT14">
        <v>0</v>
      </c>
      <c r="BX14">
        <v>0</v>
      </c>
      <c r="BZ14">
        <v>7084.06</v>
      </c>
      <c r="CA14">
        <v>312062.71999999997</v>
      </c>
      <c r="CH14">
        <v>312062.71999999997</v>
      </c>
      <c r="CM14">
        <v>312062.71999999997</v>
      </c>
      <c r="CO14">
        <v>312062.71999999997</v>
      </c>
      <c r="CP14" s="52">
        <v>0.18</v>
      </c>
      <c r="CQ14">
        <v>56171.29</v>
      </c>
      <c r="CR14">
        <v>368234.01</v>
      </c>
      <c r="CS14">
        <v>18.5</v>
      </c>
      <c r="CT14" t="s">
        <v>171</v>
      </c>
      <c r="CU14" s="53">
        <v>6812329</v>
      </c>
      <c r="CV14" t="s">
        <v>193</v>
      </c>
      <c r="CW14" t="s">
        <v>194</v>
      </c>
      <c r="CX14">
        <v>500</v>
      </c>
    </row>
    <row r="15" spans="1:102" x14ac:dyDescent="0.25">
      <c r="A15" t="s">
        <v>167</v>
      </c>
      <c r="B15" s="51">
        <v>45334</v>
      </c>
      <c r="C15" t="s">
        <v>215</v>
      </c>
      <c r="D15" t="s">
        <v>216</v>
      </c>
      <c r="E15" t="s">
        <v>170</v>
      </c>
      <c r="J15" t="s">
        <v>80</v>
      </c>
      <c r="K15">
        <v>216</v>
      </c>
      <c r="L15">
        <v>499.5</v>
      </c>
      <c r="M15">
        <v>107892</v>
      </c>
      <c r="P15">
        <v>0</v>
      </c>
      <c r="T15">
        <v>0</v>
      </c>
      <c r="V15" t="s">
        <v>86</v>
      </c>
      <c r="W15">
        <v>107</v>
      </c>
      <c r="X15">
        <v>90</v>
      </c>
      <c r="Y15">
        <v>9630</v>
      </c>
      <c r="AB15">
        <v>0</v>
      </c>
      <c r="AF15">
        <v>0</v>
      </c>
      <c r="AJ15">
        <v>0</v>
      </c>
      <c r="AL15" t="s">
        <v>99</v>
      </c>
      <c r="AM15">
        <v>92</v>
      </c>
      <c r="AN15">
        <v>207</v>
      </c>
      <c r="AO15">
        <v>19044</v>
      </c>
      <c r="AR15">
        <v>0</v>
      </c>
      <c r="AV15">
        <v>0</v>
      </c>
      <c r="AX15" t="s">
        <v>36</v>
      </c>
      <c r="AY15">
        <v>445</v>
      </c>
      <c r="AZ15">
        <v>0</v>
      </c>
      <c r="BA15">
        <v>0</v>
      </c>
      <c r="BD15">
        <v>0</v>
      </c>
      <c r="BH15">
        <v>0</v>
      </c>
      <c r="BL15">
        <v>0</v>
      </c>
      <c r="BP15">
        <v>0</v>
      </c>
      <c r="BT15">
        <v>0</v>
      </c>
      <c r="BX15">
        <v>0</v>
      </c>
      <c r="BZ15">
        <v>3505.61</v>
      </c>
      <c r="CA15">
        <v>140071.60999999999</v>
      </c>
      <c r="CH15">
        <v>140071.60999999999</v>
      </c>
      <c r="CM15">
        <v>140071.60999999999</v>
      </c>
      <c r="CO15">
        <v>140071.60999999999</v>
      </c>
      <c r="CP15" s="52">
        <v>0.18</v>
      </c>
      <c r="CQ15">
        <v>25212.89</v>
      </c>
      <c r="CR15">
        <v>165284.5</v>
      </c>
      <c r="CS15">
        <v>20</v>
      </c>
      <c r="CT15" t="s">
        <v>171</v>
      </c>
      <c r="CU15" s="53">
        <v>3305690</v>
      </c>
      <c r="CV15" t="s">
        <v>217</v>
      </c>
      <c r="CW15" t="s">
        <v>218</v>
      </c>
      <c r="CX15">
        <v>1000</v>
      </c>
    </row>
    <row r="16" spans="1:102" x14ac:dyDescent="0.25">
      <c r="A16" t="s">
        <v>167</v>
      </c>
      <c r="B16" s="51">
        <v>45334</v>
      </c>
      <c r="C16" t="s">
        <v>219</v>
      </c>
      <c r="D16" t="s">
        <v>220</v>
      </c>
      <c r="E16" t="s">
        <v>170</v>
      </c>
      <c r="J16" t="s">
        <v>80</v>
      </c>
      <c r="K16">
        <v>216</v>
      </c>
      <c r="L16">
        <v>1620</v>
      </c>
      <c r="M16">
        <v>349920</v>
      </c>
      <c r="P16">
        <v>0</v>
      </c>
      <c r="T16">
        <v>0</v>
      </c>
      <c r="V16" t="s">
        <v>86</v>
      </c>
      <c r="W16">
        <v>107</v>
      </c>
      <c r="X16">
        <v>276</v>
      </c>
      <c r="Y16">
        <v>29532</v>
      </c>
      <c r="AB16">
        <v>0</v>
      </c>
      <c r="AD16" t="s">
        <v>87</v>
      </c>
      <c r="AE16">
        <v>60.05</v>
      </c>
      <c r="AF16">
        <v>148</v>
      </c>
      <c r="AG16">
        <v>8887.4</v>
      </c>
      <c r="AH16" t="s">
        <v>118</v>
      </c>
      <c r="AI16">
        <v>83.9</v>
      </c>
      <c r="AJ16">
        <v>1965</v>
      </c>
      <c r="AK16">
        <v>164863.5</v>
      </c>
      <c r="AL16" t="s">
        <v>99</v>
      </c>
      <c r="AM16">
        <v>92</v>
      </c>
      <c r="AN16">
        <v>543</v>
      </c>
      <c r="AO16">
        <v>49956</v>
      </c>
      <c r="AR16">
        <v>0</v>
      </c>
      <c r="AV16">
        <v>0</v>
      </c>
      <c r="AX16" t="s">
        <v>36</v>
      </c>
      <c r="AY16">
        <v>445</v>
      </c>
      <c r="AZ16">
        <v>0</v>
      </c>
      <c r="BA16">
        <v>0</v>
      </c>
      <c r="BD16">
        <v>48</v>
      </c>
      <c r="BH16">
        <v>0</v>
      </c>
      <c r="BL16">
        <v>0</v>
      </c>
      <c r="BP16">
        <v>0</v>
      </c>
      <c r="BR16" t="s">
        <v>51</v>
      </c>
      <c r="BS16">
        <v>445</v>
      </c>
      <c r="BT16">
        <v>26</v>
      </c>
      <c r="BU16" s="54">
        <v>11570</v>
      </c>
      <c r="BX16">
        <v>0</v>
      </c>
      <c r="BZ16">
        <v>18867.25</v>
      </c>
      <c r="CA16">
        <v>633596.15</v>
      </c>
      <c r="CH16">
        <v>633596.15</v>
      </c>
      <c r="CM16">
        <v>633596.15</v>
      </c>
      <c r="CO16">
        <v>633596.15</v>
      </c>
      <c r="CP16" s="52">
        <v>0.18</v>
      </c>
      <c r="CQ16">
        <v>114047.31</v>
      </c>
      <c r="CR16">
        <v>747643.46</v>
      </c>
      <c r="CS16">
        <v>22.17</v>
      </c>
      <c r="CT16" t="s">
        <v>171</v>
      </c>
      <c r="CU16" s="53">
        <v>16575255</v>
      </c>
      <c r="CV16" t="s">
        <v>221</v>
      </c>
      <c r="CW16" t="s">
        <v>222</v>
      </c>
      <c r="CX16">
        <v>500</v>
      </c>
    </row>
    <row r="17" spans="1:102" x14ac:dyDescent="0.25">
      <c r="A17" t="s">
        <v>167</v>
      </c>
      <c r="B17" s="51">
        <v>45334</v>
      </c>
      <c r="C17" t="s">
        <v>223</v>
      </c>
      <c r="D17" t="s">
        <v>224</v>
      </c>
      <c r="E17" t="s">
        <v>170</v>
      </c>
      <c r="J17" t="s">
        <v>82</v>
      </c>
      <c r="K17">
        <v>740</v>
      </c>
      <c r="L17">
        <v>222</v>
      </c>
      <c r="M17">
        <v>164280</v>
      </c>
      <c r="P17">
        <v>0</v>
      </c>
      <c r="T17">
        <v>0</v>
      </c>
      <c r="V17" t="s">
        <v>105</v>
      </c>
      <c r="W17">
        <v>103.07</v>
      </c>
      <c r="X17">
        <v>130</v>
      </c>
      <c r="Y17">
        <v>13399.1</v>
      </c>
      <c r="Z17" t="s">
        <v>18</v>
      </c>
      <c r="AA17">
        <v>119.6</v>
      </c>
      <c r="AB17">
        <v>5</v>
      </c>
      <c r="AC17">
        <v>598</v>
      </c>
      <c r="AD17" t="s">
        <v>87</v>
      </c>
      <c r="AE17">
        <v>60.05</v>
      </c>
      <c r="AF17">
        <v>36</v>
      </c>
      <c r="AG17">
        <v>2161.8000000000002</v>
      </c>
      <c r="AJ17">
        <v>0</v>
      </c>
      <c r="AL17" t="s">
        <v>99</v>
      </c>
      <c r="AM17">
        <v>92</v>
      </c>
      <c r="AN17">
        <v>165</v>
      </c>
      <c r="AO17">
        <v>15180</v>
      </c>
      <c r="AR17">
        <v>0</v>
      </c>
      <c r="AV17">
        <v>0</v>
      </c>
      <c r="AZ17">
        <v>0</v>
      </c>
      <c r="BD17">
        <v>0</v>
      </c>
      <c r="BH17">
        <v>0</v>
      </c>
      <c r="BL17">
        <v>0</v>
      </c>
      <c r="BP17">
        <v>0</v>
      </c>
      <c r="BT17">
        <v>0</v>
      </c>
      <c r="BX17">
        <v>0</v>
      </c>
      <c r="BZ17">
        <v>5151.4799999999996</v>
      </c>
      <c r="CA17">
        <v>200770.38</v>
      </c>
      <c r="CH17">
        <v>200770.38</v>
      </c>
      <c r="CM17">
        <v>200770.38</v>
      </c>
      <c r="CO17">
        <v>200770.38</v>
      </c>
      <c r="CP17" s="52">
        <v>0.18</v>
      </c>
      <c r="CQ17">
        <v>36138.67</v>
      </c>
      <c r="CR17">
        <v>236909.05</v>
      </c>
      <c r="CS17">
        <v>22.3</v>
      </c>
      <c r="CT17" t="s">
        <v>171</v>
      </c>
      <c r="CU17" s="53">
        <v>5283072</v>
      </c>
      <c r="CV17" t="s">
        <v>180</v>
      </c>
      <c r="CW17" t="s">
        <v>181</v>
      </c>
      <c r="CX17">
        <v>500</v>
      </c>
    </row>
    <row r="18" spans="1:102" x14ac:dyDescent="0.25">
      <c r="A18" t="s">
        <v>167</v>
      </c>
      <c r="B18" s="51">
        <v>45334</v>
      </c>
      <c r="C18" t="s">
        <v>225</v>
      </c>
      <c r="D18" t="s">
        <v>226</v>
      </c>
      <c r="E18" t="s">
        <v>170</v>
      </c>
      <c r="J18" t="s">
        <v>80</v>
      </c>
      <c r="K18">
        <v>216</v>
      </c>
      <c r="L18">
        <v>3240</v>
      </c>
      <c r="M18">
        <v>699840</v>
      </c>
      <c r="P18">
        <v>0</v>
      </c>
      <c r="T18">
        <v>0</v>
      </c>
      <c r="V18" t="s">
        <v>86</v>
      </c>
      <c r="W18">
        <v>107</v>
      </c>
      <c r="X18">
        <v>488</v>
      </c>
      <c r="Y18">
        <v>52216</v>
      </c>
      <c r="AB18">
        <v>0</v>
      </c>
      <c r="AD18" t="s">
        <v>87</v>
      </c>
      <c r="AE18">
        <v>60.05</v>
      </c>
      <c r="AF18">
        <v>255</v>
      </c>
      <c r="AG18">
        <v>15312.75</v>
      </c>
      <c r="AH18" t="s">
        <v>118</v>
      </c>
      <c r="AI18">
        <v>83.9</v>
      </c>
      <c r="AJ18">
        <v>3436</v>
      </c>
      <c r="AK18">
        <v>288280.40000000002</v>
      </c>
      <c r="AL18" t="s">
        <v>99</v>
      </c>
      <c r="AM18">
        <v>92</v>
      </c>
      <c r="AN18">
        <v>888</v>
      </c>
      <c r="AO18">
        <v>81696</v>
      </c>
      <c r="AR18">
        <v>0</v>
      </c>
      <c r="AV18">
        <v>0</v>
      </c>
      <c r="AX18" t="s">
        <v>36</v>
      </c>
      <c r="AY18">
        <v>445</v>
      </c>
      <c r="AZ18">
        <v>0</v>
      </c>
      <c r="BA18">
        <v>0</v>
      </c>
      <c r="BD18">
        <v>90</v>
      </c>
      <c r="BH18">
        <v>0</v>
      </c>
      <c r="BL18">
        <v>0</v>
      </c>
      <c r="BP18">
        <v>0</v>
      </c>
      <c r="BR18" t="s">
        <v>51</v>
      </c>
      <c r="BS18">
        <v>445</v>
      </c>
      <c r="BT18">
        <v>36</v>
      </c>
      <c r="BU18" s="54">
        <v>16020</v>
      </c>
      <c r="BX18">
        <v>0</v>
      </c>
      <c r="BZ18">
        <v>47086</v>
      </c>
      <c r="CA18">
        <v>1200451.1499999999</v>
      </c>
      <c r="CH18">
        <v>1200451.1499999999</v>
      </c>
      <c r="CM18">
        <v>1200451.1499999999</v>
      </c>
      <c r="CO18">
        <v>1200451.1499999999</v>
      </c>
      <c r="CP18" s="52">
        <v>0.18</v>
      </c>
      <c r="CQ18">
        <v>216081.21</v>
      </c>
      <c r="CR18">
        <v>1416532.36</v>
      </c>
      <c r="CS18">
        <v>34.32</v>
      </c>
      <c r="CT18" t="s">
        <v>171</v>
      </c>
      <c r="CU18" s="53">
        <v>48615390</v>
      </c>
      <c r="CV18" t="s">
        <v>227</v>
      </c>
      <c r="CW18" t="s">
        <v>228</v>
      </c>
      <c r="CX18">
        <v>500</v>
      </c>
    </row>
    <row r="19" spans="1:102" x14ac:dyDescent="0.25">
      <c r="A19" t="s">
        <v>167</v>
      </c>
      <c r="B19" s="51">
        <v>45334</v>
      </c>
      <c r="C19" t="s">
        <v>229</v>
      </c>
      <c r="D19" t="s">
        <v>230</v>
      </c>
      <c r="E19" t="s">
        <v>170</v>
      </c>
      <c r="J19" t="s">
        <v>80</v>
      </c>
      <c r="K19">
        <v>216</v>
      </c>
      <c r="L19">
        <v>405</v>
      </c>
      <c r="M19">
        <v>87480</v>
      </c>
      <c r="P19">
        <v>0</v>
      </c>
      <c r="T19">
        <v>0</v>
      </c>
      <c r="V19" t="s">
        <v>86</v>
      </c>
      <c r="W19">
        <v>107</v>
      </c>
      <c r="X19">
        <v>72</v>
      </c>
      <c r="Y19">
        <v>7704</v>
      </c>
      <c r="AB19">
        <v>0</v>
      </c>
      <c r="AF19">
        <v>0</v>
      </c>
      <c r="AJ19">
        <v>0</v>
      </c>
      <c r="AL19" t="s">
        <v>99</v>
      </c>
      <c r="AM19">
        <v>92</v>
      </c>
      <c r="AN19">
        <v>187</v>
      </c>
      <c r="AO19">
        <v>17204</v>
      </c>
      <c r="AR19">
        <v>0</v>
      </c>
      <c r="AV19">
        <v>0</v>
      </c>
      <c r="AX19" t="s">
        <v>36</v>
      </c>
      <c r="AY19">
        <v>445</v>
      </c>
      <c r="AZ19">
        <v>0</v>
      </c>
      <c r="BA19">
        <v>0</v>
      </c>
      <c r="BD19">
        <v>0</v>
      </c>
      <c r="BH19">
        <v>0</v>
      </c>
      <c r="BL19">
        <v>0</v>
      </c>
      <c r="BP19">
        <v>0</v>
      </c>
      <c r="BT19">
        <v>0</v>
      </c>
      <c r="BX19">
        <v>0</v>
      </c>
      <c r="BZ19">
        <v>3257.88</v>
      </c>
      <c r="CA19">
        <v>115645.88</v>
      </c>
      <c r="CH19">
        <v>115645.88</v>
      </c>
      <c r="CM19">
        <v>115645.88</v>
      </c>
      <c r="CO19">
        <v>115645.88</v>
      </c>
      <c r="CP19" s="52">
        <v>0.18</v>
      </c>
      <c r="CQ19">
        <v>20816.259999999998</v>
      </c>
      <c r="CR19">
        <v>136462.14000000001</v>
      </c>
      <c r="CS19">
        <v>47.838000000000001</v>
      </c>
      <c r="CT19" t="s">
        <v>171</v>
      </c>
      <c r="CU19" s="53">
        <v>6528076</v>
      </c>
      <c r="CV19" t="s">
        <v>231</v>
      </c>
      <c r="CW19" t="s">
        <v>232</v>
      </c>
      <c r="CX19">
        <v>1000</v>
      </c>
    </row>
    <row r="20" spans="1:102" x14ac:dyDescent="0.25">
      <c r="A20" t="s">
        <v>167</v>
      </c>
      <c r="B20" s="51">
        <v>45334</v>
      </c>
      <c r="C20" t="s">
        <v>233</v>
      </c>
      <c r="D20" t="s">
        <v>234</v>
      </c>
      <c r="E20" t="s">
        <v>170</v>
      </c>
      <c r="J20" t="s">
        <v>82</v>
      </c>
      <c r="K20">
        <v>740</v>
      </c>
      <c r="L20">
        <v>266.39999999999998</v>
      </c>
      <c r="M20">
        <v>197136</v>
      </c>
      <c r="P20">
        <v>0</v>
      </c>
      <c r="T20">
        <v>0</v>
      </c>
      <c r="V20" t="s">
        <v>105</v>
      </c>
      <c r="W20">
        <v>103.07</v>
      </c>
      <c r="X20">
        <v>156</v>
      </c>
      <c r="Y20">
        <v>16078.92</v>
      </c>
      <c r="Z20" t="s">
        <v>18</v>
      </c>
      <c r="AA20">
        <v>119.6</v>
      </c>
      <c r="AB20">
        <v>6</v>
      </c>
      <c r="AC20">
        <v>717.6</v>
      </c>
      <c r="AD20" t="s">
        <v>87</v>
      </c>
      <c r="AE20">
        <v>60.05</v>
      </c>
      <c r="AF20">
        <v>40</v>
      </c>
      <c r="AG20">
        <v>2402</v>
      </c>
      <c r="AH20" t="s">
        <v>118</v>
      </c>
      <c r="AI20">
        <v>83.9</v>
      </c>
      <c r="AJ20">
        <v>508</v>
      </c>
      <c r="AK20">
        <v>42621.2</v>
      </c>
      <c r="AL20" t="s">
        <v>99</v>
      </c>
      <c r="AM20">
        <v>92</v>
      </c>
      <c r="AN20">
        <v>170</v>
      </c>
      <c r="AO20">
        <v>15640</v>
      </c>
      <c r="AR20">
        <v>0</v>
      </c>
      <c r="AV20">
        <v>0</v>
      </c>
      <c r="AZ20">
        <v>0</v>
      </c>
      <c r="BD20">
        <v>0</v>
      </c>
      <c r="BH20">
        <v>0</v>
      </c>
      <c r="BL20">
        <v>28</v>
      </c>
      <c r="BP20">
        <v>0</v>
      </c>
      <c r="BT20">
        <v>0</v>
      </c>
      <c r="BX20">
        <v>0</v>
      </c>
      <c r="BZ20">
        <v>5151.4799999999996</v>
      </c>
      <c r="CA20">
        <v>279747.20000000001</v>
      </c>
      <c r="CH20">
        <v>279747.20000000001</v>
      </c>
      <c r="CM20">
        <v>279747.20000000001</v>
      </c>
      <c r="CO20">
        <v>279747.20000000001</v>
      </c>
      <c r="CP20" s="52">
        <v>0.18</v>
      </c>
      <c r="CQ20">
        <v>50354.5</v>
      </c>
      <c r="CR20">
        <v>330101.7</v>
      </c>
      <c r="CS20">
        <v>62.667000000000002</v>
      </c>
      <c r="CT20" t="s">
        <v>171</v>
      </c>
      <c r="CU20" s="53">
        <v>20686483</v>
      </c>
      <c r="CV20" t="s">
        <v>180</v>
      </c>
      <c r="CW20" t="s">
        <v>181</v>
      </c>
      <c r="CX20">
        <v>500</v>
      </c>
    </row>
    <row r="21" spans="1:102" x14ac:dyDescent="0.25">
      <c r="A21" t="s">
        <v>167</v>
      </c>
      <c r="B21" s="51">
        <v>45334</v>
      </c>
      <c r="C21" t="s">
        <v>235</v>
      </c>
      <c r="D21" t="s">
        <v>236</v>
      </c>
      <c r="E21" t="s">
        <v>170</v>
      </c>
      <c r="J21" t="s">
        <v>80</v>
      </c>
      <c r="K21">
        <v>216</v>
      </c>
      <c r="L21">
        <v>810</v>
      </c>
      <c r="M21">
        <v>174960</v>
      </c>
      <c r="P21">
        <v>0</v>
      </c>
      <c r="T21">
        <v>0</v>
      </c>
      <c r="V21" t="s">
        <v>86</v>
      </c>
      <c r="W21">
        <v>107</v>
      </c>
      <c r="X21">
        <v>132</v>
      </c>
      <c r="Y21">
        <v>14124</v>
      </c>
      <c r="AB21">
        <v>0</v>
      </c>
      <c r="AF21">
        <v>0</v>
      </c>
      <c r="AJ21">
        <v>0</v>
      </c>
      <c r="AL21" t="s">
        <v>99</v>
      </c>
      <c r="AM21">
        <v>92</v>
      </c>
      <c r="AN21">
        <v>251</v>
      </c>
      <c r="AO21">
        <v>23092</v>
      </c>
      <c r="AR21">
        <v>0</v>
      </c>
      <c r="AV21">
        <v>0</v>
      </c>
      <c r="AX21" t="s">
        <v>36</v>
      </c>
      <c r="AY21">
        <v>445</v>
      </c>
      <c r="AZ21">
        <v>0</v>
      </c>
      <c r="BA21">
        <v>0</v>
      </c>
      <c r="BD21">
        <v>0</v>
      </c>
      <c r="BH21">
        <v>0</v>
      </c>
      <c r="BL21">
        <v>0</v>
      </c>
      <c r="BP21">
        <v>0</v>
      </c>
      <c r="BT21">
        <v>0</v>
      </c>
      <c r="BX21">
        <v>0</v>
      </c>
      <c r="BZ21">
        <v>4956.84</v>
      </c>
      <c r="CA21">
        <v>217132.84</v>
      </c>
      <c r="CH21">
        <v>217132.84</v>
      </c>
      <c r="CM21">
        <v>217132.84</v>
      </c>
      <c r="CO21">
        <v>217132.84</v>
      </c>
      <c r="CP21" s="52">
        <v>0.18</v>
      </c>
      <c r="CQ21">
        <v>39083.910000000003</v>
      </c>
      <c r="CR21">
        <v>256216.75</v>
      </c>
      <c r="CS21">
        <v>63.368000000000002</v>
      </c>
      <c r="CT21" t="s">
        <v>171</v>
      </c>
      <c r="CU21" s="53">
        <v>16235943</v>
      </c>
      <c r="CV21" t="s">
        <v>237</v>
      </c>
      <c r="CW21" t="s">
        <v>238</v>
      </c>
      <c r="CX21">
        <v>1000</v>
      </c>
    </row>
    <row r="22" spans="1:102" x14ac:dyDescent="0.25">
      <c r="A22" t="s">
        <v>167</v>
      </c>
      <c r="B22" s="51">
        <v>45334</v>
      </c>
      <c r="C22" t="s">
        <v>239</v>
      </c>
      <c r="D22" t="s">
        <v>240</v>
      </c>
      <c r="E22" t="s">
        <v>170</v>
      </c>
      <c r="J22" t="s">
        <v>80</v>
      </c>
      <c r="K22">
        <v>216</v>
      </c>
      <c r="L22">
        <v>1701</v>
      </c>
      <c r="M22">
        <v>367416</v>
      </c>
      <c r="P22">
        <v>0</v>
      </c>
      <c r="T22">
        <v>0</v>
      </c>
      <c r="V22" t="s">
        <v>86</v>
      </c>
      <c r="W22">
        <v>107</v>
      </c>
      <c r="X22">
        <v>253</v>
      </c>
      <c r="Y22">
        <v>27071</v>
      </c>
      <c r="AB22">
        <v>0</v>
      </c>
      <c r="AF22">
        <v>0</v>
      </c>
      <c r="AJ22">
        <v>0</v>
      </c>
      <c r="AL22" t="s">
        <v>99</v>
      </c>
      <c r="AM22">
        <v>92</v>
      </c>
      <c r="AN22">
        <v>429</v>
      </c>
      <c r="AO22">
        <v>39468</v>
      </c>
      <c r="AR22">
        <v>0</v>
      </c>
      <c r="AV22">
        <v>0</v>
      </c>
      <c r="AX22" t="s">
        <v>36</v>
      </c>
      <c r="AY22">
        <v>445</v>
      </c>
      <c r="AZ22">
        <v>0</v>
      </c>
      <c r="BA22">
        <v>0</v>
      </c>
      <c r="BD22">
        <v>0</v>
      </c>
      <c r="BH22">
        <v>0</v>
      </c>
      <c r="BL22">
        <v>0</v>
      </c>
      <c r="BP22">
        <v>0</v>
      </c>
      <c r="BT22">
        <v>0</v>
      </c>
      <c r="BX22">
        <v>0</v>
      </c>
      <c r="BZ22">
        <v>17290</v>
      </c>
      <c r="CA22">
        <v>451245</v>
      </c>
      <c r="CH22">
        <v>451245</v>
      </c>
      <c r="CM22">
        <v>451245</v>
      </c>
      <c r="CO22">
        <v>451245</v>
      </c>
      <c r="CP22" s="52">
        <v>0.18</v>
      </c>
      <c r="CQ22">
        <v>81224.100000000006</v>
      </c>
      <c r="CR22">
        <v>532469.1</v>
      </c>
      <c r="CS22">
        <v>81.688000000000002</v>
      </c>
      <c r="CT22" t="s">
        <v>171</v>
      </c>
      <c r="CU22" s="53">
        <v>43496336</v>
      </c>
      <c r="CV22" t="s">
        <v>241</v>
      </c>
      <c r="CW22" t="s">
        <v>242</v>
      </c>
      <c r="CX22">
        <v>1000</v>
      </c>
    </row>
    <row r="23" spans="1:102" x14ac:dyDescent="0.25">
      <c r="A23" t="s">
        <v>167</v>
      </c>
      <c r="B23" s="51">
        <v>45334</v>
      </c>
      <c r="C23" t="s">
        <v>243</v>
      </c>
      <c r="D23" t="s">
        <v>244</v>
      </c>
      <c r="E23" t="s">
        <v>170</v>
      </c>
      <c r="J23" t="s">
        <v>80</v>
      </c>
      <c r="K23">
        <v>216</v>
      </c>
      <c r="L23">
        <v>256.5</v>
      </c>
      <c r="M23">
        <v>55404</v>
      </c>
      <c r="P23">
        <v>0</v>
      </c>
      <c r="T23">
        <v>0</v>
      </c>
      <c r="V23" t="s">
        <v>86</v>
      </c>
      <c r="W23">
        <v>107</v>
      </c>
      <c r="X23">
        <v>53</v>
      </c>
      <c r="Y23">
        <v>5671</v>
      </c>
      <c r="AB23">
        <v>0</v>
      </c>
      <c r="AF23">
        <v>0</v>
      </c>
      <c r="AJ23">
        <v>0</v>
      </c>
      <c r="AL23" t="s">
        <v>99</v>
      </c>
      <c r="AM23">
        <v>92</v>
      </c>
      <c r="AN23">
        <v>139</v>
      </c>
      <c r="AO23">
        <v>12788</v>
      </c>
      <c r="AR23">
        <v>0</v>
      </c>
      <c r="AV23">
        <v>0</v>
      </c>
      <c r="AZ23">
        <v>0</v>
      </c>
      <c r="BD23">
        <v>0</v>
      </c>
      <c r="BH23">
        <v>0</v>
      </c>
      <c r="BL23">
        <v>0</v>
      </c>
      <c r="BP23">
        <v>0</v>
      </c>
      <c r="BT23">
        <v>0</v>
      </c>
      <c r="BX23">
        <v>0</v>
      </c>
      <c r="BZ23">
        <v>2575.7399999999998</v>
      </c>
      <c r="CA23">
        <v>76438.740000000005</v>
      </c>
      <c r="CH23">
        <v>76438.740000000005</v>
      </c>
      <c r="CM23">
        <v>76438.740000000005</v>
      </c>
      <c r="CO23">
        <v>76438.740000000005</v>
      </c>
      <c r="CP23" s="52">
        <v>0.18</v>
      </c>
      <c r="CQ23">
        <v>13758.97</v>
      </c>
      <c r="CR23">
        <v>90197.71</v>
      </c>
      <c r="CS23">
        <v>82.207999999999998</v>
      </c>
      <c r="CT23" t="s">
        <v>171</v>
      </c>
      <c r="CU23" s="53">
        <v>7414974</v>
      </c>
      <c r="CV23" t="s">
        <v>180</v>
      </c>
      <c r="CW23" t="s">
        <v>181</v>
      </c>
      <c r="CX23">
        <v>1000</v>
      </c>
    </row>
    <row r="24" spans="1:102" x14ac:dyDescent="0.25">
      <c r="A24" t="s">
        <v>167</v>
      </c>
      <c r="B24" s="51">
        <v>45334</v>
      </c>
      <c r="C24" t="s">
        <v>245</v>
      </c>
      <c r="D24" t="s">
        <v>246</v>
      </c>
      <c r="E24" t="s">
        <v>170</v>
      </c>
      <c r="J24" t="s">
        <v>82</v>
      </c>
      <c r="K24">
        <v>740</v>
      </c>
      <c r="L24">
        <v>222</v>
      </c>
      <c r="M24">
        <v>164280</v>
      </c>
      <c r="P24">
        <v>0</v>
      </c>
      <c r="T24">
        <v>0</v>
      </c>
      <c r="V24" t="s">
        <v>105</v>
      </c>
      <c r="W24">
        <v>103.07</v>
      </c>
      <c r="X24">
        <v>130</v>
      </c>
      <c r="Y24">
        <v>13399.1</v>
      </c>
      <c r="Z24" t="s">
        <v>18</v>
      </c>
      <c r="AA24">
        <v>119.6</v>
      </c>
      <c r="AB24">
        <v>5</v>
      </c>
      <c r="AC24">
        <v>598</v>
      </c>
      <c r="AD24" t="s">
        <v>87</v>
      </c>
      <c r="AE24">
        <v>60.05</v>
      </c>
      <c r="AF24">
        <v>38</v>
      </c>
      <c r="AG24">
        <v>2281.9</v>
      </c>
      <c r="AH24" t="s">
        <v>118</v>
      </c>
      <c r="AI24">
        <v>83.9</v>
      </c>
      <c r="AJ24">
        <v>492</v>
      </c>
      <c r="AK24">
        <v>41278.800000000003</v>
      </c>
      <c r="AL24" t="s">
        <v>99</v>
      </c>
      <c r="AM24">
        <v>92</v>
      </c>
      <c r="AN24">
        <v>166</v>
      </c>
      <c r="AO24">
        <v>15272</v>
      </c>
      <c r="AR24">
        <v>0</v>
      </c>
      <c r="AV24">
        <v>0</v>
      </c>
      <c r="AZ24">
        <v>0</v>
      </c>
      <c r="BD24">
        <v>0</v>
      </c>
      <c r="BH24">
        <v>0</v>
      </c>
      <c r="BL24">
        <v>28</v>
      </c>
      <c r="BP24">
        <v>0</v>
      </c>
      <c r="BT24">
        <v>0</v>
      </c>
      <c r="BX24">
        <v>0</v>
      </c>
      <c r="BZ24">
        <v>5151.4799999999996</v>
      </c>
      <c r="CA24">
        <v>242261.28</v>
      </c>
      <c r="CH24">
        <v>242261.28</v>
      </c>
      <c r="CM24">
        <v>242261.28</v>
      </c>
      <c r="CO24">
        <v>242261.28</v>
      </c>
      <c r="CP24" s="52">
        <v>0.18</v>
      </c>
      <c r="CQ24">
        <v>43607.03</v>
      </c>
      <c r="CR24">
        <v>285868.31</v>
      </c>
      <c r="CS24">
        <v>83.006</v>
      </c>
      <c r="CT24" t="s">
        <v>171</v>
      </c>
      <c r="CU24" s="53">
        <v>23728785</v>
      </c>
      <c r="CV24" t="s">
        <v>180</v>
      </c>
      <c r="CW24" t="s">
        <v>181</v>
      </c>
      <c r="CX24">
        <v>500</v>
      </c>
    </row>
    <row r="25" spans="1:102" x14ac:dyDescent="0.25">
      <c r="A25" t="s">
        <v>167</v>
      </c>
      <c r="B25" s="51">
        <v>45334</v>
      </c>
      <c r="C25" t="s">
        <v>247</v>
      </c>
      <c r="D25" t="s">
        <v>248</v>
      </c>
      <c r="E25" t="s">
        <v>170</v>
      </c>
      <c r="J25" t="s">
        <v>82</v>
      </c>
      <c r="K25">
        <v>740</v>
      </c>
      <c r="L25">
        <v>155.4</v>
      </c>
      <c r="M25">
        <v>114996</v>
      </c>
      <c r="P25">
        <v>0</v>
      </c>
      <c r="T25">
        <v>0</v>
      </c>
      <c r="V25" t="s">
        <v>105</v>
      </c>
      <c r="W25">
        <v>103.07</v>
      </c>
      <c r="X25">
        <v>91</v>
      </c>
      <c r="Y25">
        <v>9379.3700000000008</v>
      </c>
      <c r="Z25" t="s">
        <v>18</v>
      </c>
      <c r="AA25">
        <v>119.6</v>
      </c>
      <c r="AB25">
        <v>4</v>
      </c>
      <c r="AC25">
        <v>478.4</v>
      </c>
      <c r="AD25" t="s">
        <v>87</v>
      </c>
      <c r="AE25">
        <v>60.05</v>
      </c>
      <c r="AF25">
        <v>30</v>
      </c>
      <c r="AG25">
        <v>1801.5</v>
      </c>
      <c r="AH25" t="s">
        <v>118</v>
      </c>
      <c r="AI25">
        <v>83.9</v>
      </c>
      <c r="AJ25">
        <v>339</v>
      </c>
      <c r="AK25">
        <v>28442.1</v>
      </c>
      <c r="AL25" t="s">
        <v>99</v>
      </c>
      <c r="AM25">
        <v>92</v>
      </c>
      <c r="AN25">
        <v>120</v>
      </c>
      <c r="AO25">
        <v>11040</v>
      </c>
      <c r="AR25">
        <v>0</v>
      </c>
      <c r="AV25">
        <v>0</v>
      </c>
      <c r="AZ25">
        <v>0</v>
      </c>
      <c r="BD25">
        <v>0</v>
      </c>
      <c r="BH25">
        <v>0</v>
      </c>
      <c r="BL25">
        <v>22</v>
      </c>
      <c r="BP25">
        <v>0</v>
      </c>
      <c r="BT25">
        <v>0</v>
      </c>
      <c r="BX25">
        <v>0</v>
      </c>
      <c r="BZ25">
        <v>4610.79</v>
      </c>
      <c r="CA25">
        <v>170748.16</v>
      </c>
      <c r="CH25">
        <v>170748.16</v>
      </c>
      <c r="CM25">
        <v>170748.16</v>
      </c>
      <c r="CO25">
        <v>170748.16</v>
      </c>
      <c r="CP25" s="52">
        <v>0.18</v>
      </c>
      <c r="CQ25">
        <v>30734.67</v>
      </c>
      <c r="CR25">
        <v>201482.83</v>
      </c>
      <c r="CS25">
        <v>86.355000000000004</v>
      </c>
      <c r="CT25" t="s">
        <v>171</v>
      </c>
      <c r="CU25" s="53">
        <v>17399050</v>
      </c>
      <c r="CV25" t="s">
        <v>184</v>
      </c>
      <c r="CW25" t="s">
        <v>185</v>
      </c>
      <c r="CX25">
        <v>500</v>
      </c>
    </row>
    <row r="26" spans="1:102" x14ac:dyDescent="0.25">
      <c r="A26" t="s">
        <v>167</v>
      </c>
      <c r="B26" s="51">
        <v>45334</v>
      </c>
      <c r="C26" t="s">
        <v>249</v>
      </c>
      <c r="D26" t="s">
        <v>250</v>
      </c>
      <c r="E26" t="s">
        <v>170</v>
      </c>
      <c r="J26" t="s">
        <v>80</v>
      </c>
      <c r="K26">
        <v>216</v>
      </c>
      <c r="L26">
        <v>54</v>
      </c>
      <c r="M26">
        <v>11664</v>
      </c>
      <c r="P26">
        <v>0</v>
      </c>
      <c r="T26">
        <v>0</v>
      </c>
      <c r="V26" t="s">
        <v>86</v>
      </c>
      <c r="W26">
        <v>107</v>
      </c>
      <c r="X26">
        <v>31</v>
      </c>
      <c r="Y26">
        <v>3317</v>
      </c>
      <c r="AB26">
        <v>0</v>
      </c>
      <c r="AD26" t="s">
        <v>114</v>
      </c>
      <c r="AE26">
        <v>88</v>
      </c>
      <c r="AF26">
        <v>112</v>
      </c>
      <c r="AG26">
        <v>9856</v>
      </c>
      <c r="AH26" t="s">
        <v>118</v>
      </c>
      <c r="AI26">
        <v>83.9</v>
      </c>
      <c r="AJ26">
        <v>360</v>
      </c>
      <c r="AK26">
        <v>30204</v>
      </c>
      <c r="AL26" t="s">
        <v>99</v>
      </c>
      <c r="AM26">
        <v>92</v>
      </c>
      <c r="AN26">
        <v>130</v>
      </c>
      <c r="AO26">
        <v>11960</v>
      </c>
      <c r="AR26">
        <v>0</v>
      </c>
      <c r="AV26">
        <v>0</v>
      </c>
      <c r="AZ26">
        <v>0</v>
      </c>
      <c r="BD26">
        <v>0</v>
      </c>
      <c r="BH26">
        <v>0</v>
      </c>
      <c r="BL26">
        <v>0</v>
      </c>
      <c r="BP26">
        <v>0</v>
      </c>
      <c r="BR26" t="s">
        <v>51</v>
      </c>
      <c r="BS26">
        <v>445</v>
      </c>
      <c r="BT26">
        <v>0</v>
      </c>
      <c r="BU26">
        <v>0</v>
      </c>
      <c r="BX26">
        <v>0</v>
      </c>
      <c r="BZ26">
        <v>3542.03</v>
      </c>
      <c r="CA26">
        <v>70543.03</v>
      </c>
      <c r="CH26">
        <v>70543.03</v>
      </c>
      <c r="CM26">
        <v>70543.03</v>
      </c>
      <c r="CO26">
        <v>70543.03</v>
      </c>
      <c r="CP26" s="52">
        <v>0.18</v>
      </c>
      <c r="CQ26">
        <v>12697.75</v>
      </c>
      <c r="CR26">
        <v>83240.78</v>
      </c>
      <c r="CS26">
        <v>88.712999999999994</v>
      </c>
      <c r="CT26" t="s">
        <v>171</v>
      </c>
      <c r="CU26" s="53">
        <v>7384539</v>
      </c>
      <c r="CV26" t="s">
        <v>193</v>
      </c>
      <c r="CW26" t="s">
        <v>251</v>
      </c>
      <c r="CX26">
        <v>1000</v>
      </c>
    </row>
    <row r="27" spans="1:102" x14ac:dyDescent="0.25">
      <c r="A27" t="s">
        <v>167</v>
      </c>
      <c r="B27" s="51">
        <v>45334</v>
      </c>
      <c r="C27" t="s">
        <v>252</v>
      </c>
      <c r="D27" t="s">
        <v>253</v>
      </c>
      <c r="E27" t="s">
        <v>170</v>
      </c>
      <c r="J27" t="s">
        <v>82</v>
      </c>
      <c r="K27">
        <v>740</v>
      </c>
      <c r="L27">
        <v>88.8</v>
      </c>
      <c r="M27">
        <v>65712</v>
      </c>
      <c r="P27">
        <v>0</v>
      </c>
      <c r="T27">
        <v>0</v>
      </c>
      <c r="V27" t="s">
        <v>105</v>
      </c>
      <c r="W27">
        <v>103.07</v>
      </c>
      <c r="X27">
        <v>52</v>
      </c>
      <c r="Y27">
        <v>5359.64</v>
      </c>
      <c r="Z27" t="s">
        <v>18</v>
      </c>
      <c r="AA27">
        <v>119.6</v>
      </c>
      <c r="AB27">
        <v>3</v>
      </c>
      <c r="AC27">
        <v>358.8</v>
      </c>
      <c r="AD27" t="s">
        <v>87</v>
      </c>
      <c r="AE27">
        <v>60.05</v>
      </c>
      <c r="AF27">
        <v>27</v>
      </c>
      <c r="AG27">
        <v>1621.35</v>
      </c>
      <c r="AH27" t="s">
        <v>118</v>
      </c>
      <c r="AI27">
        <v>83.9</v>
      </c>
      <c r="AJ27">
        <v>289</v>
      </c>
      <c r="AK27">
        <v>24247.1</v>
      </c>
      <c r="AL27" t="s">
        <v>99</v>
      </c>
      <c r="AM27">
        <v>92</v>
      </c>
      <c r="AN27">
        <v>104</v>
      </c>
      <c r="AO27">
        <v>9568</v>
      </c>
      <c r="AR27">
        <v>0</v>
      </c>
      <c r="AV27">
        <v>0</v>
      </c>
      <c r="AZ27">
        <v>0</v>
      </c>
      <c r="BD27">
        <v>0</v>
      </c>
      <c r="BH27">
        <v>0</v>
      </c>
      <c r="BL27">
        <v>19</v>
      </c>
      <c r="BP27">
        <v>0</v>
      </c>
      <c r="BT27">
        <v>0</v>
      </c>
      <c r="BX27">
        <v>0</v>
      </c>
      <c r="BZ27">
        <v>4610.79</v>
      </c>
      <c r="CA27">
        <v>111477.68</v>
      </c>
      <c r="CH27">
        <v>111477.68</v>
      </c>
      <c r="CM27">
        <v>111477.68</v>
      </c>
      <c r="CO27">
        <v>111477.68</v>
      </c>
      <c r="CP27" s="52">
        <v>0.18</v>
      </c>
      <c r="CQ27">
        <v>20065.98</v>
      </c>
      <c r="CR27">
        <v>131543.66</v>
      </c>
      <c r="CS27">
        <v>167.18799999999999</v>
      </c>
      <c r="CT27" t="s">
        <v>171</v>
      </c>
      <c r="CU27" s="53">
        <v>21992522</v>
      </c>
      <c r="CV27" t="s">
        <v>184</v>
      </c>
      <c r="CW27" t="s">
        <v>185</v>
      </c>
      <c r="CX27">
        <v>500</v>
      </c>
    </row>
    <row r="28" spans="1:102" x14ac:dyDescent="0.25">
      <c r="A28" t="s">
        <v>167</v>
      </c>
      <c r="B28" s="51">
        <v>45334</v>
      </c>
      <c r="C28" t="s">
        <v>254</v>
      </c>
      <c r="D28" t="s">
        <v>255</v>
      </c>
      <c r="E28" t="s">
        <v>170</v>
      </c>
      <c r="J28" t="s">
        <v>80</v>
      </c>
      <c r="K28">
        <v>216</v>
      </c>
      <c r="L28">
        <v>270.3</v>
      </c>
      <c r="M28">
        <v>58384.800000000003</v>
      </c>
      <c r="P28">
        <v>0</v>
      </c>
      <c r="T28">
        <v>0</v>
      </c>
      <c r="V28" t="s">
        <v>86</v>
      </c>
      <c r="W28">
        <v>107</v>
      </c>
      <c r="X28">
        <v>95</v>
      </c>
      <c r="Y28">
        <v>10165</v>
      </c>
      <c r="AB28">
        <v>0</v>
      </c>
      <c r="AD28" t="s">
        <v>87</v>
      </c>
      <c r="AE28">
        <v>60.05</v>
      </c>
      <c r="AF28">
        <v>46</v>
      </c>
      <c r="AG28">
        <v>2762.3</v>
      </c>
      <c r="AH28" t="s">
        <v>118</v>
      </c>
      <c r="AI28">
        <v>83.9</v>
      </c>
      <c r="AJ28">
        <v>572</v>
      </c>
      <c r="AK28">
        <v>47990.8</v>
      </c>
      <c r="AL28" t="s">
        <v>99</v>
      </c>
      <c r="AM28">
        <v>92</v>
      </c>
      <c r="AN28">
        <v>185</v>
      </c>
      <c r="AO28">
        <v>17020</v>
      </c>
      <c r="AR28">
        <v>0</v>
      </c>
      <c r="AV28">
        <v>0</v>
      </c>
      <c r="AZ28">
        <v>0</v>
      </c>
      <c r="BD28">
        <v>0</v>
      </c>
      <c r="BH28">
        <v>0</v>
      </c>
      <c r="BL28">
        <v>0</v>
      </c>
      <c r="BP28">
        <v>0</v>
      </c>
      <c r="BT28">
        <v>0</v>
      </c>
      <c r="BX28">
        <v>0</v>
      </c>
      <c r="BZ28">
        <v>3505.61</v>
      </c>
      <c r="CA28">
        <v>139828.51</v>
      </c>
      <c r="CH28">
        <v>139828.51</v>
      </c>
      <c r="CM28">
        <v>139828.51</v>
      </c>
      <c r="CO28">
        <v>139828.51</v>
      </c>
      <c r="CP28" s="52">
        <v>0.18</v>
      </c>
      <c r="CQ28">
        <v>25169.13</v>
      </c>
      <c r="CR28">
        <v>164997.64000000001</v>
      </c>
      <c r="CS28">
        <v>172.51599999999999</v>
      </c>
      <c r="CT28" t="s">
        <v>171</v>
      </c>
      <c r="CU28" s="53">
        <v>28464733</v>
      </c>
      <c r="CV28" t="s">
        <v>217</v>
      </c>
      <c r="CW28" t="s">
        <v>218</v>
      </c>
      <c r="CX28">
        <v>1000</v>
      </c>
    </row>
    <row r="29" spans="1:102" x14ac:dyDescent="0.25">
      <c r="A29" t="s">
        <v>167</v>
      </c>
      <c r="B29" s="51">
        <v>45334</v>
      </c>
      <c r="C29" t="s">
        <v>256</v>
      </c>
      <c r="D29" t="s">
        <v>257</v>
      </c>
      <c r="E29" t="s">
        <v>170</v>
      </c>
      <c r="J29" t="s">
        <v>80</v>
      </c>
      <c r="K29">
        <v>216</v>
      </c>
      <c r="L29">
        <v>108.12</v>
      </c>
      <c r="M29">
        <v>23353.919999999998</v>
      </c>
      <c r="P29">
        <v>0</v>
      </c>
      <c r="T29">
        <v>0</v>
      </c>
      <c r="V29" t="s">
        <v>86</v>
      </c>
      <c r="W29">
        <v>107</v>
      </c>
      <c r="X29">
        <v>64</v>
      </c>
      <c r="Y29">
        <v>6848</v>
      </c>
      <c r="AB29">
        <v>0</v>
      </c>
      <c r="AD29" t="s">
        <v>87</v>
      </c>
      <c r="AE29">
        <v>60.05</v>
      </c>
      <c r="AF29">
        <v>35</v>
      </c>
      <c r="AG29">
        <v>2101.75</v>
      </c>
      <c r="AH29" t="s">
        <v>118</v>
      </c>
      <c r="AI29">
        <v>83.9</v>
      </c>
      <c r="AJ29">
        <v>441</v>
      </c>
      <c r="AK29">
        <v>36999.9</v>
      </c>
      <c r="AL29" t="s">
        <v>99</v>
      </c>
      <c r="AM29">
        <v>92</v>
      </c>
      <c r="AN29">
        <v>151</v>
      </c>
      <c r="AO29">
        <v>13892</v>
      </c>
      <c r="AR29">
        <v>0</v>
      </c>
      <c r="AV29">
        <v>0</v>
      </c>
      <c r="AZ29">
        <v>0</v>
      </c>
      <c r="BD29">
        <v>0</v>
      </c>
      <c r="BH29">
        <v>0</v>
      </c>
      <c r="BL29">
        <v>0</v>
      </c>
      <c r="BP29">
        <v>0</v>
      </c>
      <c r="BT29">
        <v>0</v>
      </c>
      <c r="BX29">
        <v>0</v>
      </c>
      <c r="BZ29">
        <v>4155.88</v>
      </c>
      <c r="CA29">
        <v>87351.45</v>
      </c>
      <c r="CH29">
        <v>87351.45</v>
      </c>
      <c r="CM29">
        <v>87351.45</v>
      </c>
      <c r="CO29">
        <v>87351.45</v>
      </c>
      <c r="CP29" s="52">
        <v>0.18</v>
      </c>
      <c r="CQ29">
        <v>15723.26</v>
      </c>
      <c r="CR29">
        <v>103074.71</v>
      </c>
      <c r="CS29">
        <v>223.52600000000001</v>
      </c>
      <c r="CT29" t="s">
        <v>171</v>
      </c>
      <c r="CU29" s="53">
        <v>23039878</v>
      </c>
      <c r="CV29" t="s">
        <v>258</v>
      </c>
      <c r="CW29" t="s">
        <v>259</v>
      </c>
      <c r="CX29">
        <v>1000</v>
      </c>
    </row>
    <row r="30" spans="1:102" x14ac:dyDescent="0.25">
      <c r="A30" t="s">
        <v>167</v>
      </c>
      <c r="B30" s="51">
        <v>45334</v>
      </c>
      <c r="C30" t="s">
        <v>260</v>
      </c>
      <c r="D30" t="s">
        <v>261</v>
      </c>
      <c r="E30" t="s">
        <v>170</v>
      </c>
      <c r="J30" t="s">
        <v>80</v>
      </c>
      <c r="K30">
        <v>216</v>
      </c>
      <c r="L30">
        <v>1027.1400000000001</v>
      </c>
      <c r="M30">
        <v>221862.24</v>
      </c>
      <c r="P30">
        <v>0</v>
      </c>
      <c r="T30">
        <v>0</v>
      </c>
      <c r="V30" t="s">
        <v>86</v>
      </c>
      <c r="W30">
        <v>107</v>
      </c>
      <c r="X30">
        <v>187</v>
      </c>
      <c r="Y30">
        <v>20009</v>
      </c>
      <c r="AB30">
        <v>0</v>
      </c>
      <c r="AD30" t="s">
        <v>87</v>
      </c>
      <c r="AE30">
        <v>60.05</v>
      </c>
      <c r="AF30">
        <v>93</v>
      </c>
      <c r="AG30">
        <v>5584.65</v>
      </c>
      <c r="AH30" t="s">
        <v>118</v>
      </c>
      <c r="AI30">
        <v>83.9</v>
      </c>
      <c r="AJ30">
        <v>1200</v>
      </c>
      <c r="AK30">
        <v>100680</v>
      </c>
      <c r="AL30" t="s">
        <v>99</v>
      </c>
      <c r="AM30">
        <v>92</v>
      </c>
      <c r="AN30">
        <v>370</v>
      </c>
      <c r="AO30">
        <v>34040</v>
      </c>
      <c r="AR30">
        <v>0</v>
      </c>
      <c r="AV30">
        <v>0</v>
      </c>
      <c r="AZ30">
        <v>0</v>
      </c>
      <c r="BD30">
        <v>0</v>
      </c>
      <c r="BH30">
        <v>0</v>
      </c>
      <c r="BL30">
        <v>0</v>
      </c>
      <c r="BP30">
        <v>0</v>
      </c>
      <c r="BR30" t="s">
        <v>51</v>
      </c>
      <c r="BS30">
        <v>445</v>
      </c>
      <c r="BT30">
        <v>0</v>
      </c>
      <c r="BU30">
        <v>0</v>
      </c>
      <c r="BX30">
        <v>0</v>
      </c>
      <c r="BZ30">
        <v>13713.74</v>
      </c>
      <c r="CA30">
        <v>395889.63</v>
      </c>
      <c r="CH30">
        <v>395889.63</v>
      </c>
      <c r="CM30">
        <v>395889.63</v>
      </c>
      <c r="CO30">
        <v>395889.63</v>
      </c>
      <c r="CP30" s="52">
        <v>0.18</v>
      </c>
      <c r="CQ30">
        <v>71260.13</v>
      </c>
      <c r="CR30">
        <v>467149.76</v>
      </c>
      <c r="CS30">
        <v>249.27</v>
      </c>
      <c r="CT30" t="s">
        <v>171</v>
      </c>
      <c r="CU30" s="53">
        <v>116446422</v>
      </c>
      <c r="CV30" t="s">
        <v>262</v>
      </c>
      <c r="CW30" t="s">
        <v>263</v>
      </c>
      <c r="CX30">
        <v>500</v>
      </c>
    </row>
    <row r="31" spans="1:102" x14ac:dyDescent="0.25">
      <c r="A31" t="s">
        <v>167</v>
      </c>
      <c r="B31" s="51">
        <v>45334</v>
      </c>
      <c r="C31" t="s">
        <v>264</v>
      </c>
      <c r="D31" t="s">
        <v>265</v>
      </c>
      <c r="E31" t="s">
        <v>170</v>
      </c>
      <c r="J31" t="s">
        <v>80</v>
      </c>
      <c r="K31">
        <v>216</v>
      </c>
      <c r="L31">
        <v>33.1</v>
      </c>
      <c r="M31">
        <v>7149.6</v>
      </c>
      <c r="P31">
        <v>0</v>
      </c>
      <c r="T31">
        <v>0</v>
      </c>
      <c r="V31" t="s">
        <v>86</v>
      </c>
      <c r="W31">
        <v>107</v>
      </c>
      <c r="X31">
        <v>26</v>
      </c>
      <c r="Y31">
        <v>2782</v>
      </c>
      <c r="AB31">
        <v>0</v>
      </c>
      <c r="AD31" t="s">
        <v>114</v>
      </c>
      <c r="AE31">
        <v>88</v>
      </c>
      <c r="AF31">
        <v>57</v>
      </c>
      <c r="AG31">
        <v>5016</v>
      </c>
      <c r="AH31" t="s">
        <v>118</v>
      </c>
      <c r="AI31">
        <v>83.9</v>
      </c>
      <c r="AJ31">
        <v>302</v>
      </c>
      <c r="AK31">
        <v>25337.8</v>
      </c>
      <c r="AL31" t="s">
        <v>99</v>
      </c>
      <c r="AM31">
        <v>92</v>
      </c>
      <c r="AN31">
        <v>108</v>
      </c>
      <c r="AO31">
        <v>9936</v>
      </c>
      <c r="AR31">
        <v>0</v>
      </c>
      <c r="AV31">
        <v>0</v>
      </c>
      <c r="AZ31">
        <v>0</v>
      </c>
      <c r="BD31">
        <v>0</v>
      </c>
      <c r="BH31">
        <v>0</v>
      </c>
      <c r="BL31">
        <v>0</v>
      </c>
      <c r="BP31">
        <v>0</v>
      </c>
      <c r="BR31" t="s">
        <v>51</v>
      </c>
      <c r="BS31">
        <v>445</v>
      </c>
      <c r="BT31">
        <v>0</v>
      </c>
      <c r="BU31">
        <v>0</v>
      </c>
      <c r="BX31">
        <v>0</v>
      </c>
      <c r="BZ31">
        <v>2575.7399999999998</v>
      </c>
      <c r="CA31">
        <v>52797.14</v>
      </c>
      <c r="CH31">
        <v>52797.14</v>
      </c>
      <c r="CM31">
        <v>52797.14</v>
      </c>
      <c r="CO31">
        <v>52797.14</v>
      </c>
      <c r="CP31" s="52">
        <v>0.18</v>
      </c>
      <c r="CQ31">
        <v>9503.49</v>
      </c>
      <c r="CR31">
        <v>62300.63</v>
      </c>
      <c r="CS31">
        <v>900</v>
      </c>
      <c r="CT31" t="s">
        <v>171</v>
      </c>
      <c r="CU31" s="53">
        <v>56070563</v>
      </c>
      <c r="CV31" t="s">
        <v>180</v>
      </c>
      <c r="CW31" t="s">
        <v>181</v>
      </c>
      <c r="CX31">
        <v>1000</v>
      </c>
    </row>
    <row r="32" spans="1:102" x14ac:dyDescent="0.25">
      <c r="A32" t="s">
        <v>167</v>
      </c>
      <c r="B32" s="51">
        <v>45334</v>
      </c>
      <c r="C32" t="s">
        <v>266</v>
      </c>
      <c r="D32" t="s">
        <v>267</v>
      </c>
      <c r="E32" t="s">
        <v>170</v>
      </c>
      <c r="J32" t="s">
        <v>80</v>
      </c>
      <c r="K32">
        <v>216</v>
      </c>
      <c r="L32">
        <v>21.6</v>
      </c>
      <c r="M32">
        <v>4665.6000000000004</v>
      </c>
      <c r="P32">
        <v>0</v>
      </c>
      <c r="T32">
        <v>0</v>
      </c>
      <c r="V32" t="s">
        <v>86</v>
      </c>
      <c r="W32">
        <v>107</v>
      </c>
      <c r="X32">
        <v>23</v>
      </c>
      <c r="Y32">
        <v>2461</v>
      </c>
      <c r="AB32">
        <v>0</v>
      </c>
      <c r="AD32" t="s">
        <v>87</v>
      </c>
      <c r="AE32">
        <v>60.05</v>
      </c>
      <c r="AF32">
        <v>47</v>
      </c>
      <c r="AG32">
        <v>2822.35</v>
      </c>
      <c r="AH32" t="s">
        <v>118</v>
      </c>
      <c r="AI32">
        <v>83.9</v>
      </c>
      <c r="AJ32">
        <v>250</v>
      </c>
      <c r="AK32">
        <v>20975</v>
      </c>
      <c r="AL32" t="s">
        <v>99</v>
      </c>
      <c r="AM32">
        <v>92</v>
      </c>
      <c r="AN32">
        <v>92</v>
      </c>
      <c r="AO32">
        <v>8464</v>
      </c>
      <c r="AR32">
        <v>0</v>
      </c>
      <c r="AV32">
        <v>0</v>
      </c>
      <c r="AZ32">
        <v>0</v>
      </c>
      <c r="BD32">
        <v>0</v>
      </c>
      <c r="BH32">
        <v>0</v>
      </c>
      <c r="BL32">
        <v>0</v>
      </c>
      <c r="BP32">
        <v>0</v>
      </c>
      <c r="BT32">
        <v>0</v>
      </c>
      <c r="BX32">
        <v>0</v>
      </c>
      <c r="BZ32">
        <v>2575.7399999999998</v>
      </c>
      <c r="CA32">
        <v>41963.69</v>
      </c>
      <c r="CH32">
        <v>41963.69</v>
      </c>
      <c r="CM32">
        <v>41963.69</v>
      </c>
      <c r="CO32">
        <v>41963.69</v>
      </c>
      <c r="CP32" s="52">
        <v>0.18</v>
      </c>
      <c r="CQ32">
        <v>7553.46</v>
      </c>
      <c r="CR32">
        <v>49517.15</v>
      </c>
      <c r="CS32">
        <v>3493.6880000000001</v>
      </c>
      <c r="CT32" t="s">
        <v>171</v>
      </c>
      <c r="CU32" s="53">
        <v>172997487</v>
      </c>
      <c r="CV32" t="s">
        <v>180</v>
      </c>
      <c r="CW32" t="s">
        <v>181</v>
      </c>
      <c r="CX32">
        <v>1000</v>
      </c>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N118"/>
  <sheetViews>
    <sheetView showZeros="0" tabSelected="1" topLeftCell="A17" workbookViewId="0">
      <pane xSplit="4" ySplit="2" topLeftCell="E51" activePane="bottomRight" state="frozen"/>
      <selection activeCell="A17" sqref="A17"/>
      <selection pane="topRight" activeCell="E17" sqref="E17"/>
      <selection pane="bottomLeft" activeCell="A19" sqref="A19"/>
      <selection pane="bottomRight" activeCell="P46" sqref="P46:BT46"/>
    </sheetView>
  </sheetViews>
  <sheetFormatPr defaultRowHeight="15" x14ac:dyDescent="0.25"/>
  <cols>
    <col min="1" max="1" width="16.140625" bestFit="1" customWidth="1"/>
    <col min="2" max="2" width="10.7109375" bestFit="1" customWidth="1"/>
    <col min="3" max="3" width="10.28515625" bestFit="1" customWidth="1"/>
    <col min="4" max="4" width="42.140625" customWidth="1"/>
    <col min="5" max="5" width="13.7109375" style="4" customWidth="1"/>
    <col min="6" max="6" width="13.28515625" customWidth="1"/>
    <col min="7" max="7" width="12.5703125" customWidth="1"/>
    <col min="8" max="8" width="10.5703125" style="8" customWidth="1"/>
    <col min="9" max="9" width="11.5703125" customWidth="1"/>
    <col min="10" max="10" width="13.140625" customWidth="1"/>
    <col min="11" max="11" width="8.5703125" bestFit="1" customWidth="1"/>
    <col min="12" max="12" width="12.140625" bestFit="1" customWidth="1"/>
    <col min="13" max="13" width="15.28515625" customWidth="1"/>
    <col min="14" max="14" width="7.5703125" style="26" bestFit="1" customWidth="1"/>
    <col min="15" max="15" width="6.42578125" style="26" hidden="1" customWidth="1"/>
    <col min="16" max="16" width="7.42578125" style="26" bestFit="1" customWidth="1"/>
    <col min="17" max="17" width="7.42578125" style="26" hidden="1" customWidth="1"/>
    <col min="18" max="18" width="7.5703125" style="26" hidden="1" customWidth="1"/>
    <col min="19" max="19" width="6.28515625" style="26" hidden="1" customWidth="1"/>
    <col min="20" max="20" width="6.42578125" style="26" hidden="1" customWidth="1"/>
    <col min="21" max="21" width="7.28515625" style="26" hidden="1" customWidth="1"/>
    <col min="22" max="27" width="6.85546875" style="26" hidden="1" customWidth="1"/>
    <col min="28" max="28" width="7.42578125" style="26" hidden="1" customWidth="1"/>
    <col min="29" max="29" width="7.7109375" style="26" hidden="1" customWidth="1"/>
    <col min="30" max="30" width="7.85546875" style="26" hidden="1" customWidth="1"/>
    <col min="31" max="31" width="5.5703125" style="26" hidden="1" customWidth="1"/>
    <col min="32" max="32" width="11.140625" style="26" customWidth="1"/>
    <col min="33" max="33" width="5.5703125" style="26" hidden="1" customWidth="1"/>
    <col min="34" max="34" width="7.5703125" style="26" bestFit="1" customWidth="1"/>
    <col min="35" max="35" width="7.7109375" style="26" bestFit="1" customWidth="1"/>
    <col min="36" max="36" width="5.5703125" style="26" hidden="1" customWidth="1"/>
    <col min="37" max="37" width="10.28515625" style="26" bestFit="1" customWidth="1"/>
    <col min="38" max="40" width="7.85546875" style="26" hidden="1" customWidth="1"/>
    <col min="41" max="41" width="7.85546875" style="26" customWidth="1"/>
    <col min="42" max="42" width="7.85546875" style="26" hidden="1" customWidth="1"/>
    <col min="43" max="44" width="7.85546875" style="26" customWidth="1"/>
    <col min="45" max="45" width="6.28515625" style="26" hidden="1" customWidth="1"/>
    <col min="46" max="46" width="6.85546875" style="26" hidden="1" customWidth="1"/>
    <col min="47" max="47" width="7.28515625" style="26" hidden="1" customWidth="1"/>
    <col min="48" max="48" width="7.7109375" style="26" bestFit="1" customWidth="1"/>
    <col min="49" max="49" width="6.7109375" style="26" hidden="1" customWidth="1"/>
    <col min="50" max="50" width="7" style="26" hidden="1" customWidth="1"/>
    <col min="51" max="51" width="7.85546875" style="26" hidden="1" customWidth="1"/>
    <col min="52" max="52" width="7" style="26" hidden="1" customWidth="1"/>
    <col min="53" max="53" width="7" style="26" bestFit="1" customWidth="1"/>
    <col min="54" max="57" width="7.85546875" style="26" hidden="1" customWidth="1"/>
    <col min="58" max="58" width="10.140625" style="26" customWidth="1"/>
    <col min="59" max="60" width="7.5703125" style="26" hidden="1" customWidth="1"/>
    <col min="61" max="61" width="7.85546875" style="26" customWidth="1"/>
    <col min="62" max="63" width="7.85546875" style="26" hidden="1" customWidth="1"/>
    <col min="64" max="64" width="7.7109375" style="26" hidden="1" customWidth="1"/>
    <col min="65" max="65" width="7.140625" style="26" hidden="1" customWidth="1"/>
    <col min="66" max="66" width="7.7109375" style="26" customWidth="1"/>
    <col min="67" max="67" width="9.140625" style="26" hidden="1" customWidth="1"/>
    <col min="68" max="68" width="35.85546875" style="26" hidden="1" customWidth="1"/>
    <col min="69" max="69" width="14.28515625" style="26" hidden="1" customWidth="1"/>
    <col min="70" max="70" width="16.7109375" style="26" hidden="1" customWidth="1"/>
    <col min="71" max="71" width="20.140625" style="26" hidden="1" customWidth="1"/>
    <col min="72" max="72" width="9.7109375" style="26" customWidth="1"/>
    <col min="73" max="73" width="21.85546875" style="26" hidden="1" customWidth="1"/>
    <col min="74" max="74" width="7.7109375" style="26" bestFit="1" customWidth="1"/>
    <col min="75" max="75" width="10.7109375" style="26" bestFit="1" customWidth="1"/>
    <col min="76" max="76" width="22.7109375" style="26" bestFit="1" customWidth="1"/>
    <col min="77" max="77" width="10.28515625" style="26" customWidth="1"/>
    <col min="78" max="78" width="12.5703125" style="4" customWidth="1"/>
    <col min="79" max="79" width="15.42578125" style="4" bestFit="1" customWidth="1"/>
    <col min="80" max="80" width="6.42578125" style="24" customWidth="1"/>
    <col min="81" max="81" width="6.5703125" style="4" customWidth="1"/>
    <col min="82" max="82" width="9.28515625" style="12" customWidth="1"/>
    <col min="83" max="83" width="11" style="4" bestFit="1" customWidth="1"/>
    <col min="84" max="84" width="6.42578125" style="8" bestFit="1" customWidth="1"/>
    <col min="85" max="85" width="6.85546875" style="4" bestFit="1" customWidth="1"/>
    <col min="86" max="86" width="12.85546875" style="4" bestFit="1" customWidth="1"/>
    <col min="87" max="87" width="6.140625" style="8" bestFit="1" customWidth="1"/>
    <col min="88" max="88" width="10" bestFit="1" customWidth="1"/>
    <col min="89" max="89" width="6.140625" style="8" bestFit="1" customWidth="1"/>
    <col min="90" max="90" width="6.140625" bestFit="1" customWidth="1"/>
  </cols>
  <sheetData>
    <row r="1" spans="1:89" s="40" customFormat="1" ht="15.75" thickBot="1" x14ac:dyDescent="0.3"/>
    <row r="2" spans="1:89" s="40" customFormat="1" ht="23.25" thickBot="1" x14ac:dyDescent="0.5">
      <c r="A2" s="81" t="s">
        <v>139</v>
      </c>
      <c r="B2" s="82"/>
      <c r="C2" s="82"/>
      <c r="D2" s="82"/>
      <c r="E2" s="82"/>
      <c r="F2" s="82"/>
      <c r="G2" s="82"/>
      <c r="H2" s="82"/>
      <c r="I2" s="82"/>
      <c r="J2" s="82"/>
      <c r="K2" s="82"/>
      <c r="L2" s="82"/>
      <c r="M2" s="82"/>
      <c r="N2" s="82"/>
      <c r="O2" s="82"/>
      <c r="P2" s="82"/>
      <c r="Q2" s="82"/>
      <c r="R2" s="83"/>
      <c r="S2" s="43"/>
      <c r="T2" s="43"/>
    </row>
    <row r="3" spans="1:89" s="40" customFormat="1" ht="15.75" thickBot="1" x14ac:dyDescent="0.3">
      <c r="A3"/>
      <c r="B3"/>
      <c r="C3"/>
      <c r="D3"/>
      <c r="E3"/>
      <c r="F3"/>
      <c r="G3"/>
      <c r="H3"/>
      <c r="I3"/>
      <c r="J3"/>
      <c r="K3"/>
      <c r="L3"/>
      <c r="M3"/>
      <c r="N3"/>
      <c r="O3"/>
      <c r="P3"/>
      <c r="Q3"/>
      <c r="R3"/>
      <c r="S3"/>
    </row>
    <row r="4" spans="1:89" s="40" customFormat="1" ht="45.75" thickBot="1" x14ac:dyDescent="0.3">
      <c r="A4" s="41" t="s">
        <v>123</v>
      </c>
      <c r="B4" s="90" t="s">
        <v>138</v>
      </c>
      <c r="C4" s="90"/>
      <c r="D4" s="90"/>
      <c r="E4" s="90"/>
      <c r="F4" s="90"/>
      <c r="G4" s="90"/>
      <c r="H4" s="90"/>
      <c r="I4" s="90"/>
      <c r="J4" s="90"/>
      <c r="K4" s="90"/>
      <c r="L4" s="90"/>
      <c r="M4" s="90"/>
      <c r="N4" s="90"/>
      <c r="O4" s="90"/>
      <c r="P4" s="90"/>
      <c r="Q4" s="90"/>
      <c r="R4" s="90"/>
      <c r="S4"/>
    </row>
    <row r="5" spans="1:89" s="40" customFormat="1" ht="34.5" customHeight="1" x14ac:dyDescent="0.25">
      <c r="A5" s="41" t="s">
        <v>124</v>
      </c>
      <c r="B5" s="90" t="s">
        <v>137</v>
      </c>
      <c r="C5" s="90"/>
      <c r="D5" s="90"/>
      <c r="E5" s="90"/>
      <c r="F5" s="90"/>
      <c r="G5" s="90"/>
      <c r="H5" s="90"/>
      <c r="I5" s="90"/>
      <c r="J5" s="90"/>
      <c r="K5" s="90"/>
      <c r="L5" s="90"/>
      <c r="M5" s="90"/>
      <c r="N5" s="90"/>
      <c r="O5" s="90"/>
      <c r="P5" s="90"/>
      <c r="Q5" s="90"/>
      <c r="R5" s="90"/>
      <c r="S5"/>
    </row>
    <row r="6" spans="1:89" s="40" customFormat="1" ht="48" customHeight="1" x14ac:dyDescent="0.25">
      <c r="A6" s="42" t="s">
        <v>125</v>
      </c>
      <c r="B6" s="77" t="s">
        <v>142</v>
      </c>
      <c r="C6" s="90"/>
      <c r="D6" s="90"/>
      <c r="E6" s="90"/>
      <c r="F6" s="90"/>
      <c r="G6" s="90"/>
      <c r="H6" s="90"/>
      <c r="I6" s="90"/>
      <c r="J6" s="90"/>
      <c r="K6" s="90"/>
      <c r="L6" s="90"/>
      <c r="M6" s="90"/>
      <c r="N6" s="90"/>
      <c r="O6" s="90"/>
      <c r="P6" s="90"/>
      <c r="Q6" s="90"/>
      <c r="R6" s="90"/>
      <c r="S6"/>
    </row>
    <row r="7" spans="1:89" s="40" customFormat="1" ht="30" x14ac:dyDescent="0.25">
      <c r="A7" s="42" t="s">
        <v>122</v>
      </c>
      <c r="B7" s="77" t="s">
        <v>141</v>
      </c>
      <c r="C7" s="90"/>
      <c r="D7" s="90"/>
      <c r="E7" s="90"/>
      <c r="F7" s="90"/>
      <c r="G7" s="90"/>
      <c r="H7" s="90"/>
      <c r="I7" s="90"/>
      <c r="J7" s="90"/>
      <c r="K7" s="90"/>
      <c r="L7" s="90"/>
      <c r="M7" s="90"/>
      <c r="N7" s="90"/>
      <c r="O7" s="90"/>
      <c r="P7" s="90"/>
      <c r="Q7" s="90"/>
      <c r="R7" s="90"/>
      <c r="S7"/>
    </row>
    <row r="8" spans="1:89" s="40" customFormat="1" ht="28.5" customHeight="1" x14ac:dyDescent="0.25">
      <c r="A8" s="42" t="s">
        <v>126</v>
      </c>
      <c r="B8" s="77" t="s">
        <v>140</v>
      </c>
      <c r="C8" s="77"/>
      <c r="D8" s="77"/>
      <c r="E8" s="77"/>
      <c r="F8" s="77"/>
      <c r="G8" s="77"/>
      <c r="H8" s="77"/>
      <c r="I8" s="77"/>
      <c r="J8" s="77"/>
      <c r="K8" s="77"/>
      <c r="L8" s="77"/>
      <c r="M8" s="77"/>
      <c r="N8" s="77"/>
      <c r="O8" s="77"/>
      <c r="P8" s="77"/>
      <c r="Q8" s="77"/>
      <c r="R8" s="77"/>
      <c r="S8"/>
    </row>
    <row r="9" spans="1:89" s="40" customFormat="1" ht="39.75" customHeight="1" x14ac:dyDescent="0.25">
      <c r="A9" s="42" t="s">
        <v>127</v>
      </c>
      <c r="B9" s="78" t="s">
        <v>143</v>
      </c>
      <c r="C9" s="79"/>
      <c r="D9" s="79"/>
      <c r="E9" s="79"/>
      <c r="F9" s="79"/>
      <c r="G9" s="79"/>
      <c r="H9" s="79"/>
      <c r="I9" s="79"/>
      <c r="J9" s="79"/>
      <c r="K9" s="79"/>
      <c r="L9" s="79"/>
      <c r="M9" s="79"/>
      <c r="N9" s="79"/>
      <c r="O9" s="79"/>
      <c r="P9" s="79"/>
      <c r="Q9" s="79"/>
      <c r="R9" s="80"/>
    </row>
    <row r="10" spans="1:89" s="40" customFormat="1" ht="33" customHeight="1" x14ac:dyDescent="0.25">
      <c r="A10" s="42" t="s">
        <v>128</v>
      </c>
      <c r="B10" s="77" t="s">
        <v>144</v>
      </c>
      <c r="C10" s="77"/>
      <c r="D10" s="77"/>
      <c r="E10" s="77"/>
      <c r="F10" s="77"/>
      <c r="G10" s="77"/>
      <c r="H10" s="77"/>
      <c r="I10" s="77"/>
      <c r="J10" s="77"/>
      <c r="K10" s="77"/>
      <c r="L10" s="77"/>
      <c r="M10" s="77"/>
      <c r="N10" s="77"/>
      <c r="O10" s="77"/>
      <c r="P10" s="77"/>
      <c r="Q10" s="77"/>
      <c r="R10" s="77"/>
      <c r="S10"/>
    </row>
    <row r="11" spans="1:89" s="40" customFormat="1" ht="68.25" customHeight="1" x14ac:dyDescent="0.25">
      <c r="A11" s="42" t="s">
        <v>129</v>
      </c>
      <c r="B11" s="86" t="s">
        <v>145</v>
      </c>
      <c r="C11" s="87"/>
      <c r="D11" s="87"/>
      <c r="E11" s="87"/>
      <c r="F11" s="87"/>
      <c r="G11" s="87"/>
      <c r="H11" s="87"/>
      <c r="I11" s="87"/>
      <c r="J11" s="87"/>
      <c r="K11" s="87"/>
      <c r="L11" s="87"/>
      <c r="M11" s="87"/>
      <c r="N11" s="87"/>
      <c r="O11" s="87"/>
      <c r="P11" s="87"/>
      <c r="Q11" s="87"/>
      <c r="R11" s="88"/>
      <c r="S11"/>
    </row>
    <row r="12" spans="1:89" s="40" customFormat="1" ht="50.25" customHeight="1" x14ac:dyDescent="0.25">
      <c r="A12" s="45" t="s">
        <v>130</v>
      </c>
      <c r="B12" s="89" t="s">
        <v>146</v>
      </c>
      <c r="C12" s="89"/>
      <c r="D12" s="89"/>
      <c r="E12" s="89"/>
      <c r="F12" s="89"/>
      <c r="G12" s="89"/>
      <c r="H12" s="89"/>
      <c r="I12" s="89"/>
      <c r="J12" s="89"/>
      <c r="K12" s="89"/>
      <c r="L12" s="89"/>
      <c r="M12" s="89"/>
      <c r="N12" s="89"/>
      <c r="O12" s="89"/>
      <c r="P12" s="89"/>
      <c r="Q12" s="89"/>
      <c r="R12" s="89"/>
    </row>
    <row r="13" spans="1:89" s="40" customFormat="1" ht="24.75" customHeight="1" x14ac:dyDescent="0.25">
      <c r="A13" s="45" t="s">
        <v>131</v>
      </c>
      <c r="B13" s="89" t="s">
        <v>147</v>
      </c>
      <c r="C13" s="89"/>
      <c r="D13" s="89"/>
      <c r="E13" s="89"/>
      <c r="F13" s="89"/>
      <c r="G13" s="89"/>
      <c r="H13" s="89"/>
      <c r="I13" s="89"/>
      <c r="J13" s="89"/>
      <c r="K13" s="89"/>
      <c r="L13" s="89"/>
      <c r="M13" s="89"/>
      <c r="N13" s="89"/>
      <c r="O13" s="89"/>
      <c r="P13" s="89"/>
      <c r="Q13" s="89"/>
      <c r="R13" s="89"/>
    </row>
    <row r="14" spans="1:89" s="40" customFormat="1" ht="30" x14ac:dyDescent="0.25">
      <c r="A14" s="46" t="s">
        <v>132</v>
      </c>
      <c r="B14" s="89"/>
      <c r="C14" s="89"/>
      <c r="D14" s="89"/>
      <c r="E14" s="89"/>
      <c r="F14" s="89"/>
      <c r="G14" s="89"/>
      <c r="H14" s="89"/>
      <c r="I14" s="89"/>
      <c r="J14" s="89"/>
      <c r="K14" s="89"/>
      <c r="L14" s="89"/>
      <c r="M14" s="89"/>
      <c r="N14" s="89"/>
      <c r="O14" s="89"/>
      <c r="P14" s="89"/>
      <c r="Q14" s="89"/>
      <c r="R14" s="89"/>
    </row>
    <row r="16" spans="1:89" s="33" customFormat="1" ht="65.25" customHeight="1" x14ac:dyDescent="0.25">
      <c r="E16" s="38"/>
      <c r="H16" s="39"/>
      <c r="N16" s="91" t="str">
        <f>Sheet1!J1</f>
        <v>Conductor</v>
      </c>
      <c r="O16" s="91"/>
      <c r="P16" s="91"/>
      <c r="Q16" s="91"/>
      <c r="R16" s="91"/>
      <c r="S16" s="91" t="s">
        <v>9</v>
      </c>
      <c r="T16" s="91"/>
      <c r="U16" s="91" t="s">
        <v>3</v>
      </c>
      <c r="V16" s="91"/>
      <c r="W16" s="91"/>
      <c r="X16" s="91"/>
      <c r="Y16" s="91"/>
      <c r="Z16" s="91"/>
      <c r="AA16" s="91"/>
      <c r="AB16" s="91"/>
      <c r="AC16" s="91" t="s">
        <v>12</v>
      </c>
      <c r="AD16" s="91"/>
      <c r="AE16" s="91" t="s">
        <v>15</v>
      </c>
      <c r="AF16" s="91"/>
      <c r="AG16" s="91"/>
      <c r="AH16" s="91"/>
      <c r="AI16" s="91"/>
      <c r="AJ16" s="91"/>
      <c r="AK16" s="10" t="s">
        <v>18</v>
      </c>
      <c r="AL16" s="84" t="s">
        <v>21</v>
      </c>
      <c r="AM16" s="85"/>
      <c r="AN16" s="85"/>
      <c r="AO16" s="85"/>
      <c r="AP16" s="85"/>
      <c r="AQ16" s="85"/>
      <c r="AR16" s="85"/>
      <c r="AS16" s="91" t="s">
        <v>24</v>
      </c>
      <c r="AT16" s="91"/>
      <c r="AU16" s="91"/>
      <c r="AV16" s="91"/>
      <c r="AW16" s="91"/>
      <c r="AX16" s="91"/>
      <c r="AY16" s="91"/>
      <c r="AZ16" s="91"/>
      <c r="BA16" s="91"/>
      <c r="BB16" s="91"/>
      <c r="BC16" s="50" t="s">
        <v>27</v>
      </c>
      <c r="BD16" s="50"/>
      <c r="BE16" s="50"/>
      <c r="BF16" s="60" t="s">
        <v>269</v>
      </c>
      <c r="BG16" s="50"/>
      <c r="BH16" s="50"/>
      <c r="BI16" s="50"/>
      <c r="BJ16" s="50"/>
      <c r="BK16" s="50"/>
      <c r="BL16" s="50"/>
      <c r="BM16" s="34" t="s">
        <v>30</v>
      </c>
      <c r="BN16" s="10" t="s">
        <v>33</v>
      </c>
      <c r="BO16" s="10" t="s">
        <v>36</v>
      </c>
      <c r="BP16" s="10" t="s">
        <v>39</v>
      </c>
      <c r="BQ16" s="10" t="s">
        <v>42</v>
      </c>
      <c r="BR16" s="10" t="s">
        <v>45</v>
      </c>
      <c r="BS16" s="10" t="s">
        <v>48</v>
      </c>
      <c r="BT16" s="10" t="s">
        <v>51</v>
      </c>
      <c r="BU16" s="10" t="s">
        <v>54</v>
      </c>
      <c r="BV16" s="10"/>
      <c r="BW16" s="10"/>
      <c r="BX16" s="10"/>
      <c r="BY16" s="10"/>
      <c r="BZ16" s="35" t="s">
        <v>57</v>
      </c>
      <c r="CA16" s="35" t="s">
        <v>58</v>
      </c>
      <c r="CB16" s="36" t="s">
        <v>79</v>
      </c>
      <c r="CC16" s="35" t="s">
        <v>121</v>
      </c>
      <c r="CD16" s="37"/>
      <c r="CE16" s="38"/>
      <c r="CF16" s="39"/>
      <c r="CG16" s="38"/>
      <c r="CH16" s="38"/>
      <c r="CI16" s="39"/>
      <c r="CK16" s="39"/>
    </row>
    <row r="17" spans="1:92" s="15" customFormat="1" ht="90" customHeight="1" x14ac:dyDescent="0.25">
      <c r="A17" s="18" t="s">
        <v>0</v>
      </c>
      <c r="B17" s="18" t="str">
        <f>Sheet1!B1</f>
        <v>Base Date</v>
      </c>
      <c r="C17" s="18" t="s">
        <v>1</v>
      </c>
      <c r="D17" s="18" t="s">
        <v>2</v>
      </c>
      <c r="E17" s="5" t="s">
        <v>70</v>
      </c>
      <c r="F17" s="13" t="s">
        <v>71</v>
      </c>
      <c r="G17" s="13" t="s">
        <v>72</v>
      </c>
      <c r="H17" s="6" t="s">
        <v>73</v>
      </c>
      <c r="I17" s="13" t="s">
        <v>74</v>
      </c>
      <c r="J17" s="13" t="s">
        <v>75</v>
      </c>
      <c r="K17" s="13" t="s">
        <v>76</v>
      </c>
      <c r="L17" s="13" t="s">
        <v>77</v>
      </c>
      <c r="M17" s="13" t="s">
        <v>78</v>
      </c>
      <c r="N17" s="19" t="s">
        <v>80</v>
      </c>
      <c r="O17" s="19" t="s">
        <v>85</v>
      </c>
      <c r="P17" s="19" t="s">
        <v>82</v>
      </c>
      <c r="Q17" s="19" t="s">
        <v>83</v>
      </c>
      <c r="R17" s="19" t="s">
        <v>84</v>
      </c>
      <c r="S17" s="19" t="s">
        <v>80</v>
      </c>
      <c r="T17" s="19" t="s">
        <v>85</v>
      </c>
      <c r="U17" s="20" t="s">
        <v>91</v>
      </c>
      <c r="V17" s="20" t="s">
        <v>95</v>
      </c>
      <c r="W17" s="20" t="s">
        <v>98</v>
      </c>
      <c r="X17" s="20" t="s">
        <v>102</v>
      </c>
      <c r="Y17" s="20" t="s">
        <v>106</v>
      </c>
      <c r="Z17" s="20" t="s">
        <v>110</v>
      </c>
      <c r="AA17" s="20" t="s">
        <v>113</v>
      </c>
      <c r="AB17" s="20" t="s">
        <v>115</v>
      </c>
      <c r="AC17" s="20" t="s">
        <v>90</v>
      </c>
      <c r="AD17" s="20" t="s">
        <v>94</v>
      </c>
      <c r="AE17" s="20" t="s">
        <v>89</v>
      </c>
      <c r="AF17" s="20" t="s">
        <v>86</v>
      </c>
      <c r="AG17" s="20" t="s">
        <v>97</v>
      </c>
      <c r="AH17" s="20" t="s">
        <v>190</v>
      </c>
      <c r="AI17" s="20" t="s">
        <v>105</v>
      </c>
      <c r="AJ17" s="20" t="s">
        <v>109</v>
      </c>
      <c r="AK17" s="16" t="s">
        <v>18</v>
      </c>
      <c r="AL17" s="20" t="s">
        <v>92</v>
      </c>
      <c r="AM17" s="20" t="s">
        <v>96</v>
      </c>
      <c r="AN17" s="20" t="s">
        <v>99</v>
      </c>
      <c r="AO17" s="20" t="s">
        <v>103</v>
      </c>
      <c r="AP17" s="20" t="s">
        <v>107</v>
      </c>
      <c r="AQ17" s="20" t="s">
        <v>87</v>
      </c>
      <c r="AR17" s="20" t="s">
        <v>114</v>
      </c>
      <c r="AS17" s="20" t="s">
        <v>93</v>
      </c>
      <c r="AT17" s="20" t="s">
        <v>81</v>
      </c>
      <c r="AU17" s="20" t="s">
        <v>100</v>
      </c>
      <c r="AV17" s="20" t="s">
        <v>104</v>
      </c>
      <c r="AW17" s="20" t="s">
        <v>111</v>
      </c>
      <c r="AX17" s="20" t="s">
        <v>88</v>
      </c>
      <c r="AY17" s="20" t="s">
        <v>116</v>
      </c>
      <c r="AZ17" s="20" t="s">
        <v>117</v>
      </c>
      <c r="BA17" s="20" t="s">
        <v>118</v>
      </c>
      <c r="BB17" s="20" t="s">
        <v>120</v>
      </c>
      <c r="BC17" s="20" t="s">
        <v>92</v>
      </c>
      <c r="BD17" s="20" t="s">
        <v>96</v>
      </c>
      <c r="BE17" s="20" t="s">
        <v>101</v>
      </c>
      <c r="BF17" s="20" t="s">
        <v>99</v>
      </c>
      <c r="BG17" s="20" t="s">
        <v>108</v>
      </c>
      <c r="BH17" s="20" t="s">
        <v>112</v>
      </c>
      <c r="BI17" s="20" t="s">
        <v>103</v>
      </c>
      <c r="BJ17" s="20" t="s">
        <v>87</v>
      </c>
      <c r="BK17" s="20" t="s">
        <v>114</v>
      </c>
      <c r="BL17" s="20" t="s">
        <v>119</v>
      </c>
      <c r="BM17" s="16" t="s">
        <v>30</v>
      </c>
      <c r="BN17" s="58" t="s">
        <v>268</v>
      </c>
      <c r="BO17" s="17" t="s">
        <v>36</v>
      </c>
      <c r="BP17" s="21" t="s">
        <v>39</v>
      </c>
      <c r="BQ17" s="17" t="s">
        <v>42</v>
      </c>
      <c r="BR17" s="17" t="s">
        <v>45</v>
      </c>
      <c r="BS17" s="17" t="s">
        <v>48</v>
      </c>
      <c r="BT17" s="21" t="s">
        <v>51</v>
      </c>
      <c r="BU17" s="17" t="s">
        <v>54</v>
      </c>
      <c r="BV17" s="17" t="str">
        <f>Sheet1!E1</f>
        <v>PROPOSE DRUM TYPE</v>
      </c>
      <c r="BW17" s="49" t="str">
        <f>Sheet1!CV1</f>
        <v>DRUM CODE</v>
      </c>
      <c r="BX17" s="49" t="str">
        <f>Sheet1!CW1</f>
        <v>DRUM SIZE (FxbXtx Ft)</v>
      </c>
      <c r="BY17" s="55" t="str">
        <f>Sheet1!CX1</f>
        <v xml:space="preserve">PARTY STANDARD LENGTH (MTR) </v>
      </c>
      <c r="BZ17" s="25"/>
      <c r="CA17" s="25"/>
      <c r="CB17" s="22"/>
      <c r="CC17" s="25"/>
      <c r="CD17" s="11" t="s">
        <v>61</v>
      </c>
      <c r="CE17" s="5" t="s">
        <v>62</v>
      </c>
      <c r="CF17" s="6" t="s">
        <v>63</v>
      </c>
      <c r="CG17" s="5" t="s">
        <v>64</v>
      </c>
      <c r="CH17" s="5" t="s">
        <v>65</v>
      </c>
      <c r="CI17" s="6" t="s">
        <v>66</v>
      </c>
      <c r="CJ17" s="13" t="s">
        <v>67</v>
      </c>
      <c r="CK17" s="6" t="s">
        <v>68</v>
      </c>
      <c r="CL17" s="13" t="s">
        <v>69</v>
      </c>
    </row>
    <row r="18" spans="1:92" s="25" customFormat="1" x14ac:dyDescent="0.25">
      <c r="A18" s="27"/>
      <c r="B18" s="27"/>
      <c r="C18" s="27"/>
      <c r="D18" s="27"/>
      <c r="E18" s="5"/>
      <c r="F18" s="5"/>
      <c r="G18" s="5"/>
      <c r="H18" s="5"/>
      <c r="I18" s="5"/>
      <c r="J18" s="5"/>
      <c r="K18" s="5"/>
      <c r="L18" s="5"/>
      <c r="M18" s="5"/>
      <c r="N18" s="28">
        <v>228</v>
      </c>
      <c r="O18" s="28">
        <f>+IFERROR(VLOOKUP($O$17,Sheet1!J:L,2,0),0)</f>
        <v>0</v>
      </c>
      <c r="P18" s="28">
        <v>782</v>
      </c>
      <c r="Q18" s="28">
        <f>+IFERROR(VLOOKUP($Q$17,Sheet1!J:M,2,0),0)</f>
        <v>0</v>
      </c>
      <c r="R18" s="28">
        <f>+IFERROR(VLOOKUP($R$17,Sheet1!J:M,2,0),0)</f>
        <v>0</v>
      </c>
      <c r="S18" s="28">
        <f>+IFERROR(VLOOKUP($S$17,Sheet1!N:Q,2,0),0)</f>
        <v>0</v>
      </c>
      <c r="T18" s="28">
        <f>+IFERROR(VLOOKUP($T$17,Sheet1!N:O,2,0),0)</f>
        <v>0</v>
      </c>
      <c r="U18" s="29">
        <f>+IFERROR(VLOOKUP($U$17,Sheet1!F:I,2,0),0)</f>
        <v>0</v>
      </c>
      <c r="V18" s="29">
        <f>+IFERROR(VLOOKUP($V$17,Sheet1!F:I,2,0),0)</f>
        <v>0</v>
      </c>
      <c r="W18" s="29">
        <f>+IFERROR(VLOOKUP($W$17,Sheet1!F:I,2,0),0)</f>
        <v>0</v>
      </c>
      <c r="X18" s="29">
        <f>+IFERROR(VLOOKUP($X$17,Sheet1!F:I,2,0),0)</f>
        <v>0</v>
      </c>
      <c r="Y18" s="29">
        <f>+IFERROR(VLOOKUP($Y$17,Sheet1!F:I,2,0),0)</f>
        <v>0</v>
      </c>
      <c r="Z18" s="29">
        <f>+IFERROR(VLOOKUP($Z$17,Sheet1!F:I,2,0),0)</f>
        <v>0</v>
      </c>
      <c r="AA18" s="29">
        <f>+IFERROR(VLOOKUP($AA$17,Sheet1!F:I,2,0),0)</f>
        <v>0</v>
      </c>
      <c r="AB18" s="29">
        <f>+IFERROR(VLOOKUP($AB$17,Sheet1!F:I,2,0),0)</f>
        <v>0</v>
      </c>
      <c r="AC18" s="29">
        <f>+IFERROR(VLOOKUP($AC$17,Sheet1!R:U,2,0),0)</f>
        <v>0</v>
      </c>
      <c r="AD18" s="29">
        <f>+IFERROR(VLOOKUP($AD$17,Sheet1!R:U,2,0),0)</f>
        <v>0</v>
      </c>
      <c r="AE18" s="29">
        <f>+IFERROR(VLOOKUP($AE$17,Sheet1!V:Y,2,0),0)</f>
        <v>0</v>
      </c>
      <c r="AF18" s="29">
        <v>100</v>
      </c>
      <c r="AG18" s="29">
        <f>+IFERROR(VLOOKUP($AG$17,Sheet1!V:Y,2,0),0)</f>
        <v>0</v>
      </c>
      <c r="AH18" s="29">
        <v>75</v>
      </c>
      <c r="AI18" s="29">
        <v>105</v>
      </c>
      <c r="AJ18" s="29">
        <f>+IFERROR(VLOOKUP($AJ$17,Sheet1!V:Y,2,0),0)</f>
        <v>0</v>
      </c>
      <c r="AK18" s="30">
        <v>114</v>
      </c>
      <c r="AL18" s="29">
        <f>+IFERROR(VLOOKUP($AL$17,Sheet1!AD2:AG840,2,0),0)</f>
        <v>0</v>
      </c>
      <c r="AM18" s="29">
        <f>+IFERROR(VLOOKUP($AM$17,Sheet1!AD2:AG840,2,0),0)</f>
        <v>0</v>
      </c>
      <c r="AN18" s="29">
        <f>+IFERROR(VLOOKUP($AN$17,Sheet1!AD2:AG840,2,0),0)</f>
        <v>0</v>
      </c>
      <c r="AO18" s="29">
        <v>59</v>
      </c>
      <c r="AP18" s="29">
        <f>+IFERROR(VLOOKUP($AP$17,Sheet1!AD2:AG840,2,0),0)</f>
        <v>0</v>
      </c>
      <c r="AQ18" s="29">
        <v>61</v>
      </c>
      <c r="AR18" s="29">
        <v>89</v>
      </c>
      <c r="AS18" s="29">
        <f>+IFERROR(VLOOKUP($AS$17,Sheet1!AH2:AK840,2,0),0)</f>
        <v>0</v>
      </c>
      <c r="AT18" s="29">
        <f>+IFERROR(VLOOKUP($AT$17,Sheet1!AH2:AK840,2,0),0)</f>
        <v>0</v>
      </c>
      <c r="AU18" s="29">
        <f>+IFERROR(VLOOKUP($AU$17,Sheet1!AH2:AK840,2,0),0)</f>
        <v>0</v>
      </c>
      <c r="AV18" s="29">
        <v>233</v>
      </c>
      <c r="AW18" s="29">
        <f>+IFERROR(VLOOKUP($AW$17,Sheet1!AH2:AK840,2,0),0)</f>
        <v>0</v>
      </c>
      <c r="AX18" s="29">
        <f>+IFERROR(VLOOKUP($AX$17,Sheet1!AH2:AK840,2,0),0)</f>
        <v>0</v>
      </c>
      <c r="AY18" s="29">
        <f>+IFERROR(VLOOKUP($AY$17,Sheet1!AH2:AK840,2,0),0)</f>
        <v>0</v>
      </c>
      <c r="AZ18" s="29">
        <f>+IFERROR(VLOOKUP($AZ$17,Sheet1!AH2:AK840,2,0),0)</f>
        <v>0</v>
      </c>
      <c r="BA18" s="29">
        <v>82</v>
      </c>
      <c r="BB18" s="29">
        <f>+IFERROR(VLOOKUP($BB$17,Sheet1!AH2:AK840,2,0),0)</f>
        <v>0</v>
      </c>
      <c r="BC18" s="29">
        <f>+IFERROR(VLOOKUP($BC$17,Sheet1!AL2:AO840,2,0),0)</f>
        <v>0</v>
      </c>
      <c r="BD18" s="29">
        <f>+IFERROR(VLOOKUP($BD$17,Sheet1!AL2:AO840,2,0),0)</f>
        <v>0</v>
      </c>
      <c r="BE18" s="29">
        <f>+IFERROR(VLOOKUP($BE$17,Sheet1!AL2:AO840,2,0),0)</f>
        <v>0</v>
      </c>
      <c r="BF18" s="29">
        <v>105</v>
      </c>
      <c r="BG18" s="29">
        <f>+IFERROR(VLOOKUP($BG$17,Sheet1!AL2:AO840,2,0),0)</f>
        <v>0</v>
      </c>
      <c r="BH18" s="29">
        <f>+IFERROR(VLOOKUP($BH$17,Sheet1!AL2:AO840,2,0),0)</f>
        <v>0</v>
      </c>
      <c r="BI18" s="29">
        <v>59</v>
      </c>
      <c r="BJ18" s="29">
        <f>+IFERROR(VLOOKUP($BJ$17,Sheet1!AL2:AO840,2,0),0)</f>
        <v>0</v>
      </c>
      <c r="BK18" s="29">
        <f>+IFERROR(VLOOKUP($BK$17,Sheet1!AL2:AO840,2,0),0)</f>
        <v>0</v>
      </c>
      <c r="BL18" s="29">
        <f>+IFERROR(VLOOKUP($BL$17,Sheet1!AL2:AO840,2,0),0)</f>
        <v>0</v>
      </c>
      <c r="BM18" s="30">
        <f>+IFERROR(VLOOKUP($BM$17,Sheet1!AP2:AS840,2,0),0)</f>
        <v>0</v>
      </c>
      <c r="BN18" s="59">
        <v>340</v>
      </c>
      <c r="BO18" s="31"/>
      <c r="BP18" s="32">
        <f>+IFERROR(VLOOKUP($BP$17,Sheet1!BB2:BE840,2,0),0)</f>
        <v>0</v>
      </c>
      <c r="BQ18" s="31">
        <f>+IFERROR(VLOOKUP($BQ$17,Sheet1!BF2:BI840,2,0),0)</f>
        <v>0</v>
      </c>
      <c r="BR18" s="31">
        <f>+IFERROR(VLOOKUP($BR$17,Sheet1!BJ2:BM840,2,0),0)</f>
        <v>0</v>
      </c>
      <c r="BS18" s="31">
        <f>+IFERROR(VLOOKUP($BS$17,Sheet1!BN2:BQ840,2,0),0)</f>
        <v>0</v>
      </c>
      <c r="BT18" s="32">
        <v>450</v>
      </c>
      <c r="BU18" s="31">
        <f>+IFERROR(VLOOKUP($BU$17,Sheet1!BV2:BY840,2,0),0)</f>
        <v>0</v>
      </c>
      <c r="BV18" s="48"/>
      <c r="BW18" s="48"/>
      <c r="BX18" s="48"/>
      <c r="BY18" s="48"/>
      <c r="CD18" s="5"/>
      <c r="CE18" s="5"/>
      <c r="CF18" s="5"/>
      <c r="CG18" s="5"/>
      <c r="CH18" s="5"/>
      <c r="CI18" s="5"/>
      <c r="CJ18" s="5"/>
      <c r="CK18" s="5"/>
      <c r="CL18" s="5"/>
    </row>
    <row r="19" spans="1:92" x14ac:dyDescent="0.25">
      <c r="A19" s="1" t="str">
        <f>Sheet1!A23</f>
        <v>ENQ-12232-22-23</v>
      </c>
      <c r="B19" s="47">
        <v>45380</v>
      </c>
      <c r="C19" s="1" t="str">
        <f>Sheet1!C23</f>
        <v>FA0600013</v>
      </c>
      <c r="D19" s="73" t="str">
        <f>Sheet1!D23</f>
        <v>1 CORE X 95 SQ. MM. AL/UNARD(XLPE )</v>
      </c>
      <c r="E19" s="3">
        <f t="shared" ref="E19:E49" si="0">CH19+CJ19+CL19</f>
        <v>97423.717196000012</v>
      </c>
      <c r="F19" s="66">
        <f>ROUNDUP(M52,0)</f>
        <v>986</v>
      </c>
      <c r="G19" s="9">
        <f t="shared" ref="G19:G49" si="1">E19+F19</f>
        <v>98409.717196000012</v>
      </c>
      <c r="H19" s="7">
        <f>Sheet1!CP23</f>
        <v>0.18</v>
      </c>
      <c r="I19" s="9">
        <f t="shared" ref="I19:I49" si="2">G19*H19</f>
        <v>17713.74909528</v>
      </c>
      <c r="J19" s="9">
        <f t="shared" ref="J19:J49" si="3">G19+I19</f>
        <v>116123.46629128001</v>
      </c>
      <c r="K19" s="67">
        <f>Sheet1!CS23</f>
        <v>82.207999999999998</v>
      </c>
      <c r="L19" s="1" t="str">
        <f>Sheet1!CT23</f>
        <v>KMS</v>
      </c>
      <c r="M19" s="3">
        <f t="shared" ref="M19:M49" si="4">J19*K19</f>
        <v>9546277.9168735463</v>
      </c>
      <c r="N19" s="57">
        <f>+IFERROR(VLOOKUP($N$17,Sheet1!J23:L23,3,0),0)</f>
        <v>256.5</v>
      </c>
      <c r="O19" s="2">
        <f>+IFERROR(VLOOKUP($O$17,Sheet1!J23:L23,3,0),0)</f>
        <v>0</v>
      </c>
      <c r="P19" s="2">
        <f>+IFERROR(VLOOKUP($P$17,Sheet1!J23:M23,3,0),0)</f>
        <v>0</v>
      </c>
      <c r="Q19" s="2">
        <f>+IFERROR(VLOOKUP($Q$17,Sheet1!J23:M23,3,0),0)</f>
        <v>0</v>
      </c>
      <c r="R19" s="2">
        <f>+IFERROR(VLOOKUP($R$17,Sheet1!J23:M23,3,0),0)</f>
        <v>0</v>
      </c>
      <c r="S19" s="2">
        <f>+IFERROR(VLOOKUP($S$17,Sheet1!N23:Q23,3,0),0)</f>
        <v>0</v>
      </c>
      <c r="T19" s="2">
        <f>+IFERROR(VLOOKUP($T$17,Sheet1!N23:Q23,3,0),0)</f>
        <v>0</v>
      </c>
      <c r="U19" s="2">
        <f>+IFERROR(VLOOKUP($U$17,Sheet1!F23:I23,3,0),0)</f>
        <v>0</v>
      </c>
      <c r="V19" s="2">
        <f>+IFERROR(VLOOKUP($V$17,Sheet1!F23:I23,3,0),0)</f>
        <v>0</v>
      </c>
      <c r="W19" s="2">
        <f>+IFERROR(VLOOKUP($W$17,Sheet1!F23:I23,3,0),0)</f>
        <v>0</v>
      </c>
      <c r="X19" s="2">
        <f>+IFERROR(VLOOKUP($X$17,Sheet1!F23:I23,3,0),0)</f>
        <v>0</v>
      </c>
      <c r="Y19" s="2">
        <f>+IFERROR(VLOOKUP($Y$17,Sheet1!F23:I23,3,0),0)</f>
        <v>0</v>
      </c>
      <c r="Z19" s="2">
        <f>+IFERROR(VLOOKUP($Z$17,Sheet1!F23:I23,3,0),0)</f>
        <v>0</v>
      </c>
      <c r="AA19" s="2">
        <f>+IFERROR(VLOOKUP($AA$17,Sheet1!F23:I23,3,0),0)</f>
        <v>0</v>
      </c>
      <c r="AB19" s="2">
        <f>+IFERROR(VLOOKUP($AB$17,Sheet1!F23:I23,3,0),0)</f>
        <v>0</v>
      </c>
      <c r="AC19" s="2">
        <f>+IFERROR(VLOOKUP($AC$17,Sheet1!R23:U23,3,0),0)</f>
        <v>0</v>
      </c>
      <c r="AD19" s="13">
        <f>+IFERROR(VLOOKUP($AD$17,Sheet1!R23:U23,2,0),0)</f>
        <v>0</v>
      </c>
      <c r="AE19" s="2">
        <f>+IFERROR(VLOOKUP($AE$17,Sheet1!V23:Y23,3,0),0)</f>
        <v>0</v>
      </c>
      <c r="AF19" s="56">
        <v>44</v>
      </c>
      <c r="AG19" s="13">
        <f>+IFERROR(VLOOKUP($AG$17,Sheet1!V23:Y23,3,0),0)</f>
        <v>0</v>
      </c>
      <c r="AH19" s="13">
        <f>+IFERROR(VLOOKUP($AH$17,Sheet1!V23:Y23,3,0),0)</f>
        <v>0</v>
      </c>
      <c r="AI19" s="13">
        <f>+IFERROR(VLOOKUP($AI$17,Sheet1!V23:Y23,3,0),0)</f>
        <v>0</v>
      </c>
      <c r="AJ19" s="13">
        <f>+IFERROR(VLOOKUP($AJ$17,Sheet1!V23:Y23,3,0),0)</f>
        <v>0</v>
      </c>
      <c r="AK19" s="13">
        <f>+IFERROR(VLOOKUP($AK$17,Sheet1!Z23:AB23,3,0),0)</f>
        <v>0</v>
      </c>
      <c r="AL19" s="13">
        <f>+IFERROR(VLOOKUP($AL$17,Sheet1!AD23:AG23,3,0),0)</f>
        <v>0</v>
      </c>
      <c r="AM19" s="13">
        <f>+IFERROR(VLOOKUP($AM$17,Sheet1!AD23:AG23,3,0),0)</f>
        <v>0</v>
      </c>
      <c r="AN19" s="13">
        <f>+IFERROR(VLOOKUP($AN$17,Sheet1!AD23:AG23,3,0),0)</f>
        <v>0</v>
      </c>
      <c r="AO19" s="13">
        <f>+IFERROR(VLOOKUP($AO$17,Sheet1!AD23:AG23,3,0),0)</f>
        <v>0</v>
      </c>
      <c r="AP19" s="13">
        <f>+IFERROR(VLOOKUP($AP$17,Sheet1!AD23:AG23,3,0),0)</f>
        <v>0</v>
      </c>
      <c r="AQ19" s="13">
        <f>+IFERROR(VLOOKUP($AQ$17,Sheet1!AD23:AG23,3,0),0)</f>
        <v>0</v>
      </c>
      <c r="AR19" s="13">
        <f>+IFERROR(VLOOKUP($AR$17,Sheet1!AD23:AG23,3,0),0)</f>
        <v>0</v>
      </c>
      <c r="AS19" s="13">
        <f>+IFERROR(VLOOKUP($AS$17,Sheet1!AH23:AK23,3,0),0)</f>
        <v>0</v>
      </c>
      <c r="AT19" s="13">
        <f>+IFERROR(VLOOKUP($AT$17,Sheet1!AH23:AK23,3,0),0)</f>
        <v>0</v>
      </c>
      <c r="AU19" s="13">
        <f>+IFERROR(VLOOKUP($AU$17,Sheet1!AH23:AK23,3,0),0)</f>
        <v>0</v>
      </c>
      <c r="AV19" s="13">
        <f>+IFERROR(VLOOKUP($AV$17,Sheet1!AH23:AK23,3,0),0)</f>
        <v>0</v>
      </c>
      <c r="AW19" s="13">
        <f>+IFERROR(VLOOKUP($AW$17,Sheet1!AH23:AK23,3,0),0)</f>
        <v>0</v>
      </c>
      <c r="AX19" s="13">
        <f>+IFERROR(VLOOKUP($AX$17,Sheet1!AH23:AK23,3,0),0)</f>
        <v>0</v>
      </c>
      <c r="AY19" s="13">
        <f>+IFERROR(VLOOKUP($AY$17,Sheet1!AH23:AK23,3,0),0)</f>
        <v>0</v>
      </c>
      <c r="AZ19" s="13">
        <f>+IFERROR(VLOOKUP($AZ$17,Sheet1!AH23:AK23,3,0),0)</f>
        <v>0</v>
      </c>
      <c r="BA19" s="13">
        <f>+IFERROR(VLOOKUP($BA$17,Sheet1!AH23:AK23,3,0),0)</f>
        <v>0</v>
      </c>
      <c r="BB19" s="13">
        <f>+IFERROR(VLOOKUP($BB$17,Sheet1!AH23:AK23,3,0),0)</f>
        <v>0</v>
      </c>
      <c r="BC19" s="13">
        <f>+IFERROR(VLOOKUP($BC$17,Sheet1!AL23:AO23,3,0),0)</f>
        <v>0</v>
      </c>
      <c r="BD19" s="13">
        <f>+IFERROR(VLOOKUP($BD$17,Sheet1!AL23:AO23,3,0),0)</f>
        <v>0</v>
      </c>
      <c r="BE19" s="13">
        <f>+IFERROR(VLOOKUP($BE$17,Sheet1!AL23:AO23,3,0),0)</f>
        <v>0</v>
      </c>
      <c r="BF19" s="56">
        <v>140</v>
      </c>
      <c r="BG19" s="13">
        <f>+IFERROR(VLOOKUP($BG$17,Sheet1!AL23:AO23,3,0),0)</f>
        <v>0</v>
      </c>
      <c r="BH19" s="13">
        <f>+IFERROR(VLOOKUP($BH$17,Sheet1!AL23:AO23,3,0),0)</f>
        <v>0</v>
      </c>
      <c r="BI19" s="13">
        <f>+IFERROR(VLOOKUP($BI$17,Sheet1!AL23:AO23,3,0),0)</f>
        <v>0</v>
      </c>
      <c r="BJ19" s="13">
        <f>+IFERROR(VLOOKUP($BJ$17,Sheet1!AL23:AO23,3,0),0)</f>
        <v>0</v>
      </c>
      <c r="BK19" s="13">
        <f>+IFERROR(VLOOKUP($BK$17,Sheet1!AL23:AO23,3,0),0)</f>
        <v>0</v>
      </c>
      <c r="BL19" s="13">
        <f>+IFERROR(VLOOKUP($BL$17,Sheet1!AL23:AO23,3,0),0)</f>
        <v>0</v>
      </c>
      <c r="BM19" s="13">
        <f>+IFERROR(VLOOKUP($BM$17,Sheet1!AP23:AS23,3,0),0)</f>
        <v>0</v>
      </c>
      <c r="BN19" s="13">
        <f>+IFERROR(VLOOKUP($BN$17,Sheet1!AT23:AW23,3,0),0)</f>
        <v>0</v>
      </c>
      <c r="BO19" s="13">
        <f>+IFERROR(VLOOKUP($BO$17,Sheet1!AX23:BA23,3,0),0)</f>
        <v>0</v>
      </c>
      <c r="BP19" s="13">
        <f>+IFERROR(VLOOKUP($BP$17,Sheet1!BB23:BE23,3,0),0)</f>
        <v>0</v>
      </c>
      <c r="BQ19" s="13">
        <f>+IFERROR(VLOOKUP($BQ$17,Sheet1!BF23:BI23,3,0),0)</f>
        <v>0</v>
      </c>
      <c r="BR19" s="13">
        <f>+IFERROR(VLOOKUP($BR$17,Sheet1!BJ23:BM23,3,0),0)</f>
        <v>0</v>
      </c>
      <c r="BS19" s="13">
        <f>+IFERROR(VLOOKUP($BS$17,Sheet1!BN23:BQ23,3,0),0)</f>
        <v>0</v>
      </c>
      <c r="BT19" s="13">
        <f>+IFERROR(VLOOKUP($BT$17,Sheet1!BR23:BU23,3,0),0)</f>
        <v>0</v>
      </c>
      <c r="BU19" s="13">
        <f>+IFERROR(VLOOKUP($BU$17,Sheet1!BV23:BY23,3,0),0)</f>
        <v>0</v>
      </c>
      <c r="BV19" s="13" t="str">
        <f>Sheet1!E23</f>
        <v>WOOD</v>
      </c>
      <c r="BW19" s="13" t="str">
        <f>Sheet1!CV23</f>
        <v>MD0100066</v>
      </c>
      <c r="BX19" s="13" t="str">
        <f>Sheet1!CW23</f>
        <v>DRUM - 40 X 15 X 23 X 2</v>
      </c>
      <c r="BY19" s="13">
        <f>Sheet1!CX23</f>
        <v>1000</v>
      </c>
      <c r="BZ19" s="3">
        <f>Sheet1!BZ23</f>
        <v>2575.7399999999998</v>
      </c>
      <c r="CA19" s="3">
        <f t="shared" ref="CA19:CA49" si="5">SUMPRODUCT($N$18:$BU$18,N19:BU19)+BZ19</f>
        <v>80157.740000000005</v>
      </c>
      <c r="CB19" s="23">
        <f>Sheet1!CB23</f>
        <v>0</v>
      </c>
      <c r="CC19" s="3">
        <f t="shared" ref="CC19:CC49" si="6">CA19*CB19</f>
        <v>0</v>
      </c>
      <c r="CD19" s="44">
        <v>0.18</v>
      </c>
      <c r="CE19" s="3">
        <f t="shared" ref="CE19:CE49" si="7">CA19*CD19</f>
        <v>14428.3932</v>
      </c>
      <c r="CF19" s="44">
        <v>0</v>
      </c>
      <c r="CG19" s="3">
        <f t="shared" ref="CG19:CG49" si="8">CA19*CF19</f>
        <v>0</v>
      </c>
      <c r="CH19" s="3">
        <f t="shared" ref="CH19:CH49" si="9">CA19+CC19+CE19+CG19</f>
        <v>94586.133200000011</v>
      </c>
      <c r="CI19" s="44">
        <v>0.02</v>
      </c>
      <c r="CJ19" s="1">
        <f t="shared" ref="CJ19:CJ49" si="10">CH19*CI19</f>
        <v>1891.7226640000003</v>
      </c>
      <c r="CK19" s="44">
        <v>0.01</v>
      </c>
      <c r="CL19" s="1">
        <f t="shared" ref="CL19:CL49" si="11">CH19*CK19</f>
        <v>945.86133200000017</v>
      </c>
      <c r="CM19">
        <v>55</v>
      </c>
      <c r="CN19">
        <v>20</v>
      </c>
    </row>
    <row r="20" spans="1:92" x14ac:dyDescent="0.25">
      <c r="A20" s="1" t="str">
        <f>Sheet1!A19</f>
        <v>ENQ-12232-22-23</v>
      </c>
      <c r="B20" s="47">
        <v>45380</v>
      </c>
      <c r="C20" s="1" t="str">
        <f>Sheet1!C19</f>
        <v>FA0600019</v>
      </c>
      <c r="D20" s="73" t="str">
        <f>Sheet1!D19</f>
        <v>1 CORE X 150 SQ. MM. AL/UNARD. (XLPE)</v>
      </c>
      <c r="E20" s="3">
        <f t="shared" si="0"/>
        <v>155611.16235199998</v>
      </c>
      <c r="F20" s="66">
        <f t="shared" ref="F20:F49" si="12">ROUNDUP(M53,0)</f>
        <v>1694</v>
      </c>
      <c r="G20" s="9">
        <f t="shared" si="1"/>
        <v>157305.16235199998</v>
      </c>
      <c r="H20" s="7">
        <f>Sheet1!CP19</f>
        <v>0.18</v>
      </c>
      <c r="I20" s="9">
        <f t="shared" si="2"/>
        <v>28314.929223359995</v>
      </c>
      <c r="J20" s="9">
        <f t="shared" si="3"/>
        <v>185620.09157535998</v>
      </c>
      <c r="K20" s="1">
        <f>Sheet1!CS19</f>
        <v>47.838000000000001</v>
      </c>
      <c r="L20" s="1" t="str">
        <f>Sheet1!CT19</f>
        <v>KMS</v>
      </c>
      <c r="M20" s="3">
        <f t="shared" si="4"/>
        <v>8879693.9407820702</v>
      </c>
      <c r="N20" s="57">
        <f>+IFERROR(VLOOKUP($N$17,Sheet1!J19:L19,3,0),0)</f>
        <v>405</v>
      </c>
      <c r="O20" s="2">
        <f>+IFERROR(VLOOKUP($O$17,Sheet1!J19:L19,3,0),0)</f>
        <v>0</v>
      </c>
      <c r="P20" s="2">
        <f>+IFERROR(VLOOKUP($P$17,Sheet1!J19:M19,3,0),0)</f>
        <v>0</v>
      </c>
      <c r="Q20" s="2">
        <f>+IFERROR(VLOOKUP($Q$17,Sheet1!J19:M19,3,0),0)</f>
        <v>0</v>
      </c>
      <c r="R20" s="2">
        <f>+IFERROR(VLOOKUP($R$17,Sheet1!J19:M19,3,0),0)</f>
        <v>0</v>
      </c>
      <c r="S20" s="2">
        <f>+IFERROR(VLOOKUP($S$17,Sheet1!N19:Q19,3,0),0)</f>
        <v>0</v>
      </c>
      <c r="T20" s="2">
        <f>+IFERROR(VLOOKUP($T$17,Sheet1!N19:Q19,3,0),0)</f>
        <v>0</v>
      </c>
      <c r="U20" s="2">
        <f>+IFERROR(VLOOKUP($U$17,Sheet1!F19:I19,3,0),0)</f>
        <v>0</v>
      </c>
      <c r="V20" s="2">
        <f>+IFERROR(VLOOKUP($V$17,Sheet1!F19:I19,3,0),0)</f>
        <v>0</v>
      </c>
      <c r="W20" s="2">
        <f>+IFERROR(VLOOKUP($W$17,Sheet1!F19:I19,3,0),0)</f>
        <v>0</v>
      </c>
      <c r="X20" s="2">
        <f>+IFERROR(VLOOKUP($X$17,Sheet1!F19:I19,3,0),0)</f>
        <v>0</v>
      </c>
      <c r="Y20" s="2">
        <f>+IFERROR(VLOOKUP($Y$17,Sheet1!F19:I19,3,0),0)</f>
        <v>0</v>
      </c>
      <c r="Z20" s="2">
        <f>+IFERROR(VLOOKUP($Z$17,Sheet1!F19:I19,3,0),0)</f>
        <v>0</v>
      </c>
      <c r="AA20" s="2">
        <f>+IFERROR(VLOOKUP($AA$17,Sheet1!F19:I19,3,0),0)</f>
        <v>0</v>
      </c>
      <c r="AB20" s="2">
        <f>+IFERROR(VLOOKUP($AB$17,Sheet1!F19:I19,3,0),0)</f>
        <v>0</v>
      </c>
      <c r="AC20" s="2">
        <f>+IFERROR(VLOOKUP($AC$17,Sheet1!R19:U19,3,0),0)</f>
        <v>0</v>
      </c>
      <c r="AD20" s="13">
        <f>+IFERROR(VLOOKUP($AD$17,Sheet1!R19:U19,2,0),0)</f>
        <v>0</v>
      </c>
      <c r="AE20" s="2">
        <f>+IFERROR(VLOOKUP($AE$17,Sheet1!V19:Y19,3,0),0)</f>
        <v>0</v>
      </c>
      <c r="AF20" s="56">
        <f>+IFERROR(VLOOKUP($AF$17,Sheet1!V19:Y19,3,0),0)</f>
        <v>72</v>
      </c>
      <c r="AG20" s="13">
        <f>+IFERROR(VLOOKUP($AG$17,Sheet1!V19:Y19,3,0),0)</f>
        <v>0</v>
      </c>
      <c r="AH20" s="13">
        <f>+IFERROR(VLOOKUP($AH$17,Sheet1!V19:Y19,3,0),0)</f>
        <v>0</v>
      </c>
      <c r="AI20" s="13">
        <f>+IFERROR(VLOOKUP($AI$17,Sheet1!V19:Y19,3,0),0)</f>
        <v>0</v>
      </c>
      <c r="AJ20" s="13">
        <f>+IFERROR(VLOOKUP($AJ$17,Sheet1!V19:Y19,3,0),0)</f>
        <v>0</v>
      </c>
      <c r="AK20" s="13">
        <f>+IFERROR(VLOOKUP($AK$17,Sheet1!Z19:AB19,3,0),0)</f>
        <v>0</v>
      </c>
      <c r="AL20" s="13">
        <f>+IFERROR(VLOOKUP($AL$17,Sheet1!AD19:AG19,3,0),0)</f>
        <v>0</v>
      </c>
      <c r="AM20" s="13">
        <f>+IFERROR(VLOOKUP($AM$17,Sheet1!AD19:AG19,3,0),0)</f>
        <v>0</v>
      </c>
      <c r="AN20" s="13">
        <f>+IFERROR(VLOOKUP($AN$17,Sheet1!AD19:AG19,3,0),0)</f>
        <v>0</v>
      </c>
      <c r="AO20" s="13">
        <f>+IFERROR(VLOOKUP($AO$17,Sheet1!AD19:AG19,3,0),0)</f>
        <v>0</v>
      </c>
      <c r="AP20" s="13">
        <f>+IFERROR(VLOOKUP($AP$17,Sheet1!AD19:AG19,3,0),0)</f>
        <v>0</v>
      </c>
      <c r="AQ20" s="13">
        <f>+IFERROR(VLOOKUP($AQ$17,Sheet1!AD19:AG19,3,0),0)</f>
        <v>0</v>
      </c>
      <c r="AR20" s="13">
        <f>+IFERROR(VLOOKUP($AR$17,Sheet1!AD19:AG19,3,0),0)</f>
        <v>0</v>
      </c>
      <c r="AS20" s="13">
        <f>+IFERROR(VLOOKUP($AS$17,Sheet1!AH19:AK19,3,0),0)</f>
        <v>0</v>
      </c>
      <c r="AT20" s="13">
        <f>+IFERROR(VLOOKUP($AT$17,Sheet1!AH19:AK19,3,0),0)</f>
        <v>0</v>
      </c>
      <c r="AU20" s="13">
        <f>+IFERROR(VLOOKUP($AU$17,Sheet1!AH19:AK19,3,0),0)</f>
        <v>0</v>
      </c>
      <c r="AV20" s="13">
        <f>+IFERROR(VLOOKUP($AV$17,Sheet1!AH19:AK19,3,0),0)</f>
        <v>0</v>
      </c>
      <c r="AW20" s="13">
        <f>+IFERROR(VLOOKUP($AW$17,Sheet1!AH19:AK19,3,0),0)</f>
        <v>0</v>
      </c>
      <c r="AX20" s="13">
        <f>+IFERROR(VLOOKUP($AX$17,Sheet1!AH19:AK19,3,0),0)</f>
        <v>0</v>
      </c>
      <c r="AY20" s="13">
        <f>+IFERROR(VLOOKUP($AY$17,Sheet1!AH19:AK19,3,0),0)</f>
        <v>0</v>
      </c>
      <c r="AZ20" s="13">
        <f>+IFERROR(VLOOKUP($AZ$17,Sheet1!AH19:AK19,3,0),0)</f>
        <v>0</v>
      </c>
      <c r="BA20" s="13">
        <f>+IFERROR(VLOOKUP($BA$17,Sheet1!AH19:AK19,3,0),0)</f>
        <v>0</v>
      </c>
      <c r="BB20" s="13">
        <f>+IFERROR(VLOOKUP($BB$17,Sheet1!AH19:AK19,3,0),0)</f>
        <v>0</v>
      </c>
      <c r="BC20" s="13">
        <f>+IFERROR(VLOOKUP($BC$17,Sheet1!AL19:AO19,3,0),0)</f>
        <v>0</v>
      </c>
      <c r="BD20" s="13">
        <f>+IFERROR(VLOOKUP($BD$17,Sheet1!AL19:AO19,3,0),0)</f>
        <v>0</v>
      </c>
      <c r="BE20" s="13">
        <f>+IFERROR(VLOOKUP($BE$17,Sheet1!AL19:AO19,3,0),0)</f>
        <v>0</v>
      </c>
      <c r="BF20" s="56">
        <v>195</v>
      </c>
      <c r="BG20" s="13">
        <f>+IFERROR(VLOOKUP($BG$17,Sheet1!AL19:AO19,3,0),0)</f>
        <v>0</v>
      </c>
      <c r="BH20" s="13">
        <f>+IFERROR(VLOOKUP($BH$17,Sheet1!AL19:AO19,3,0),0)</f>
        <v>0</v>
      </c>
      <c r="BI20" s="13">
        <f>+IFERROR(VLOOKUP($BI$17,Sheet1!AL19:AO19,3,0),0)</f>
        <v>0</v>
      </c>
      <c r="BJ20" s="13">
        <f>+IFERROR(VLOOKUP($BJ$17,Sheet1!AL19:AO19,3,0),0)</f>
        <v>0</v>
      </c>
      <c r="BK20" s="13">
        <f>+IFERROR(VLOOKUP($BK$17,Sheet1!AL19:AO19,3,0),0)</f>
        <v>0</v>
      </c>
      <c r="BL20" s="13">
        <f>+IFERROR(VLOOKUP($BL$17,Sheet1!AL19:AO19,3,0),0)</f>
        <v>0</v>
      </c>
      <c r="BM20" s="13">
        <f>+IFERROR(VLOOKUP($BM$17,Sheet1!AP19:AS19,3,0),0)</f>
        <v>0</v>
      </c>
      <c r="BN20" s="56">
        <v>14</v>
      </c>
      <c r="BO20" s="13">
        <f>+IFERROR(VLOOKUP($BO$17,Sheet1!AX19:BA19,3,0),0)</f>
        <v>0</v>
      </c>
      <c r="BP20" s="13">
        <f>+IFERROR(VLOOKUP($BP$17,Sheet1!BB19:BE19,3,0),0)</f>
        <v>0</v>
      </c>
      <c r="BQ20" s="13">
        <f>+IFERROR(VLOOKUP($BQ$17,Sheet1!BF19:BI19,3,0),0)</f>
        <v>0</v>
      </c>
      <c r="BR20" s="13">
        <f>+IFERROR(VLOOKUP($BR$17,Sheet1!BJ19:BM19,3,0),0)</f>
        <v>0</v>
      </c>
      <c r="BS20" s="13">
        <f>+IFERROR(VLOOKUP($BS$17,Sheet1!BN19:BQ19,3,0),0)</f>
        <v>0</v>
      </c>
      <c r="BT20" s="13">
        <f>+IFERROR(VLOOKUP($BT$17,Sheet1!BR19:BU19,3,0),0)</f>
        <v>0</v>
      </c>
      <c r="BU20" s="13">
        <f>+IFERROR(VLOOKUP($BU$17,Sheet1!BV19:BY19,3,0),0)</f>
        <v>0</v>
      </c>
      <c r="BV20" s="13" t="str">
        <f>Sheet1!E19</f>
        <v>WOOD</v>
      </c>
      <c r="BW20" s="13" t="str">
        <f>Sheet1!CV19</f>
        <v>MD0100085</v>
      </c>
      <c r="BX20" s="13" t="str">
        <f>Sheet1!CW19</f>
        <v>DRUM - 43 X 15 X 28 X 2.25</v>
      </c>
      <c r="BY20" s="13">
        <f>Sheet1!CX19</f>
        <v>1000</v>
      </c>
      <c r="BZ20" s="3">
        <f>Sheet1!BZ19</f>
        <v>3257.88</v>
      </c>
      <c r="CA20" s="3">
        <f t="shared" si="5"/>
        <v>128032.88</v>
      </c>
      <c r="CB20" s="23">
        <f>Sheet1!CB19</f>
        <v>0</v>
      </c>
      <c r="CC20" s="3">
        <f t="shared" si="6"/>
        <v>0</v>
      </c>
      <c r="CD20" s="44">
        <v>0.18</v>
      </c>
      <c r="CE20" s="3">
        <f t="shared" si="7"/>
        <v>23045.918399999999</v>
      </c>
      <c r="CF20" s="44">
        <v>0</v>
      </c>
      <c r="CG20" s="3">
        <f t="shared" si="8"/>
        <v>0</v>
      </c>
      <c r="CH20" s="3">
        <f t="shared" si="9"/>
        <v>151078.7984</v>
      </c>
      <c r="CI20" s="44">
        <v>0.02</v>
      </c>
      <c r="CJ20" s="1">
        <f t="shared" si="10"/>
        <v>3021.5759680000001</v>
      </c>
      <c r="CK20" s="44">
        <v>0.01</v>
      </c>
      <c r="CL20" s="1">
        <f t="shared" si="11"/>
        <v>1510.7879840000001</v>
      </c>
      <c r="CM20">
        <v>75</v>
      </c>
      <c r="CN20">
        <v>25</v>
      </c>
    </row>
    <row r="21" spans="1:92" x14ac:dyDescent="0.25">
      <c r="A21" s="1" t="str">
        <f>Sheet1!A15</f>
        <v>ENQ-12232-22-23</v>
      </c>
      <c r="B21" s="47">
        <v>45380</v>
      </c>
      <c r="C21" s="1" t="str">
        <f>Sheet1!C15</f>
        <v>FA0600021</v>
      </c>
      <c r="D21" s="73" t="str">
        <f>Sheet1!D15</f>
        <v>1 CORE X 185 SQ. MM. AL/UNARD. (XLPE)</v>
      </c>
      <c r="E21" s="3">
        <f t="shared" si="0"/>
        <v>190411.38239399999</v>
      </c>
      <c r="F21" s="66">
        <f t="shared" si="12"/>
        <v>2700</v>
      </c>
      <c r="G21" s="9">
        <f t="shared" si="1"/>
        <v>193111.38239399999</v>
      </c>
      <c r="H21" s="7">
        <f>Sheet1!CP15</f>
        <v>0.18</v>
      </c>
      <c r="I21" s="9">
        <f t="shared" si="2"/>
        <v>34760.048830919994</v>
      </c>
      <c r="J21" s="9">
        <f t="shared" si="3"/>
        <v>227871.43122491997</v>
      </c>
      <c r="K21" s="1">
        <f>Sheet1!CS15</f>
        <v>20</v>
      </c>
      <c r="L21" s="1" t="str">
        <f>Sheet1!CT15</f>
        <v>KMS</v>
      </c>
      <c r="M21" s="3">
        <f t="shared" si="4"/>
        <v>4557428.624498399</v>
      </c>
      <c r="N21" s="57">
        <v>500</v>
      </c>
      <c r="O21" s="2">
        <f>+IFERROR(VLOOKUP($O$17,Sheet1!J15:L15,3,0),0)</f>
        <v>0</v>
      </c>
      <c r="P21" s="2">
        <f>+IFERROR(VLOOKUP($P$17,Sheet1!J15:M15,3,0),0)</f>
        <v>0</v>
      </c>
      <c r="Q21" s="2">
        <f>+IFERROR(VLOOKUP($Q$17,Sheet1!J15:M15,3,0),0)</f>
        <v>0</v>
      </c>
      <c r="R21" s="2">
        <f>+IFERROR(VLOOKUP($R$17,Sheet1!J15:M15,3,0),0)</f>
        <v>0</v>
      </c>
      <c r="S21" s="2">
        <f>+IFERROR(VLOOKUP($S$17,Sheet1!N15:Q15,3,0),0)</f>
        <v>0</v>
      </c>
      <c r="T21" s="2">
        <f>+IFERROR(VLOOKUP($T$17,Sheet1!N15:Q15,3,0),0)</f>
        <v>0</v>
      </c>
      <c r="U21" s="2">
        <f>+IFERROR(VLOOKUP($U$17,Sheet1!F15:I15,3,0),0)</f>
        <v>0</v>
      </c>
      <c r="V21" s="2">
        <f>+IFERROR(VLOOKUP($V$17,Sheet1!F15:I15,3,0),0)</f>
        <v>0</v>
      </c>
      <c r="W21" s="2">
        <f>+IFERROR(VLOOKUP($W$17,Sheet1!F15:I15,3,0),0)</f>
        <v>0</v>
      </c>
      <c r="X21" s="2">
        <f>+IFERROR(VLOOKUP($X$17,Sheet1!F15:I15,3,0),0)</f>
        <v>0</v>
      </c>
      <c r="Y21" s="2">
        <f>+IFERROR(VLOOKUP($Y$17,Sheet1!F15:I15,3,0),0)</f>
        <v>0</v>
      </c>
      <c r="Z21" s="2">
        <f>+IFERROR(VLOOKUP($Z$17,Sheet1!F15:I15,3,0),0)</f>
        <v>0</v>
      </c>
      <c r="AA21" s="2">
        <f>+IFERROR(VLOOKUP($AA$17,Sheet1!F15:I15,3,0),0)</f>
        <v>0</v>
      </c>
      <c r="AB21" s="2">
        <f>+IFERROR(VLOOKUP($AB$17,Sheet1!F15:I15,3,0),0)</f>
        <v>0</v>
      </c>
      <c r="AC21" s="2">
        <f>+IFERROR(VLOOKUP($AC$17,Sheet1!R15:U15,3,0),0)</f>
        <v>0</v>
      </c>
      <c r="AD21" s="13">
        <f>+IFERROR(VLOOKUP($AD$17,Sheet1!R15:U15,2,0),0)</f>
        <v>0</v>
      </c>
      <c r="AE21" s="2">
        <f>+IFERROR(VLOOKUP($AE$17,Sheet1!V15:Y15,3,0),0)</f>
        <v>0</v>
      </c>
      <c r="AF21" s="56">
        <f>+IFERROR(VLOOKUP($AF$17,Sheet1!V15:Y15,3,0),0)</f>
        <v>90</v>
      </c>
      <c r="AG21" s="13">
        <f>+IFERROR(VLOOKUP($AG$17,Sheet1!V15:Y15,3,0),0)</f>
        <v>0</v>
      </c>
      <c r="AH21" s="13">
        <f>+IFERROR(VLOOKUP($AH$17,Sheet1!V15:Y15,3,0),0)</f>
        <v>0</v>
      </c>
      <c r="AI21" s="13">
        <f>+IFERROR(VLOOKUP($AI$17,Sheet1!V15:Y15,3,0),0)</f>
        <v>0</v>
      </c>
      <c r="AJ21" s="13">
        <f>+IFERROR(VLOOKUP($AJ$17,Sheet1!V15:Y15,3,0),0)</f>
        <v>0</v>
      </c>
      <c r="AK21" s="13">
        <f>+IFERROR(VLOOKUP($AK$17,Sheet1!Z15:AB15,3,0),0)</f>
        <v>0</v>
      </c>
      <c r="AL21" s="13">
        <f>+IFERROR(VLOOKUP($AL$17,Sheet1!AD15:AG15,3,0),0)</f>
        <v>0</v>
      </c>
      <c r="AM21" s="13">
        <f>+IFERROR(VLOOKUP($AM$17,Sheet1!AD15:AG15,3,0),0)</f>
        <v>0</v>
      </c>
      <c r="AN21" s="13">
        <f>+IFERROR(VLOOKUP($AN$17,Sheet1!AD15:AG15,3,0),0)</f>
        <v>0</v>
      </c>
      <c r="AO21" s="13">
        <f>+IFERROR(VLOOKUP($AO$17,Sheet1!AD15:AG15,3,0),0)</f>
        <v>0</v>
      </c>
      <c r="AP21" s="13">
        <f>+IFERROR(VLOOKUP($AP$17,Sheet1!AD15:AG15,3,0),0)</f>
        <v>0</v>
      </c>
      <c r="AQ21" s="13">
        <f>+IFERROR(VLOOKUP($AQ$17,Sheet1!AD15:AG15,3,0),0)</f>
        <v>0</v>
      </c>
      <c r="AR21" s="13">
        <f>+IFERROR(VLOOKUP($AR$17,Sheet1!AD15:AG15,3,0),0)</f>
        <v>0</v>
      </c>
      <c r="AS21" s="13">
        <f>+IFERROR(VLOOKUP($AS$17,Sheet1!AH15:AK15,3,0),0)</f>
        <v>0</v>
      </c>
      <c r="AT21" s="13">
        <f>+IFERROR(VLOOKUP($AT$17,Sheet1!AH15:AK15,3,0),0)</f>
        <v>0</v>
      </c>
      <c r="AU21" s="13">
        <f>+IFERROR(VLOOKUP($AU$17,Sheet1!AH15:AK15,3,0),0)</f>
        <v>0</v>
      </c>
      <c r="AV21" s="13">
        <f>+IFERROR(VLOOKUP($AV$17,Sheet1!AH15:AK15,3,0),0)</f>
        <v>0</v>
      </c>
      <c r="AW21" s="13">
        <f>+IFERROR(VLOOKUP($AW$17,Sheet1!AH15:AK15,3,0),0)</f>
        <v>0</v>
      </c>
      <c r="AX21" s="13">
        <f>+IFERROR(VLOOKUP($AX$17,Sheet1!AH15:AK15,3,0),0)</f>
        <v>0</v>
      </c>
      <c r="AY21" s="13">
        <f>+IFERROR(VLOOKUP($AY$17,Sheet1!AH15:AK15,3,0),0)</f>
        <v>0</v>
      </c>
      <c r="AZ21" s="13">
        <f>+IFERROR(VLOOKUP($AZ$17,Sheet1!AH15:AK15,3,0),0)</f>
        <v>0</v>
      </c>
      <c r="BA21" s="13">
        <f>+IFERROR(VLOOKUP($BA$17,Sheet1!AH15:AK15,3,0),0)</f>
        <v>0</v>
      </c>
      <c r="BB21" s="13">
        <f>+IFERROR(VLOOKUP($BB$17,Sheet1!AH15:AK15,3,0),0)</f>
        <v>0</v>
      </c>
      <c r="BC21" s="13">
        <f>+IFERROR(VLOOKUP($BC$17,Sheet1!AL15:AO15,3,0),0)</f>
        <v>0</v>
      </c>
      <c r="BD21" s="13">
        <f>+IFERROR(VLOOKUP($BD$17,Sheet1!AL15:AO15,3,0),0)</f>
        <v>0</v>
      </c>
      <c r="BE21" s="13">
        <f>+IFERROR(VLOOKUP($BE$17,Sheet1!AL15:AO15,3,0),0)</f>
        <v>0</v>
      </c>
      <c r="BF21" s="56">
        <v>216</v>
      </c>
      <c r="BG21" s="13">
        <f>+IFERROR(VLOOKUP($BG$17,Sheet1!AL15:AO15,3,0),0)</f>
        <v>0</v>
      </c>
      <c r="BH21" s="13">
        <f>+IFERROR(VLOOKUP($BH$17,Sheet1!AL15:AO15,3,0),0)</f>
        <v>0</v>
      </c>
      <c r="BI21" s="13">
        <f>+IFERROR(VLOOKUP($BI$17,Sheet1!AL15:AO15,3,0),0)</f>
        <v>0</v>
      </c>
      <c r="BJ21" s="13">
        <f>+IFERROR(VLOOKUP($BJ$17,Sheet1!AL15:AO15,3,0),0)</f>
        <v>0</v>
      </c>
      <c r="BK21" s="13">
        <f>+IFERROR(VLOOKUP($BK$17,Sheet1!AL15:AO15,3,0),0)</f>
        <v>0</v>
      </c>
      <c r="BL21" s="13">
        <f>+IFERROR(VLOOKUP($BL$17,Sheet1!AL15:AO15,3,0),0)</f>
        <v>0</v>
      </c>
      <c r="BM21" s="13">
        <f>+IFERROR(VLOOKUP($BM$17,Sheet1!AP15:AS15,3,0),0)</f>
        <v>0</v>
      </c>
      <c r="BN21" s="56">
        <v>22</v>
      </c>
      <c r="BO21" s="13">
        <f>+IFERROR(VLOOKUP($BO$17,Sheet1!AX15:BA15,3,0),0)</f>
        <v>0</v>
      </c>
      <c r="BP21" s="13">
        <f>+IFERROR(VLOOKUP($BP$17,Sheet1!BB15:BE15,3,0),0)</f>
        <v>0</v>
      </c>
      <c r="BQ21" s="13">
        <f>+IFERROR(VLOOKUP($BQ$17,Sheet1!BF15:BI15,3,0),0)</f>
        <v>0</v>
      </c>
      <c r="BR21" s="13">
        <f>+IFERROR(VLOOKUP($BR$17,Sheet1!BJ15:BM15,3,0),0)</f>
        <v>0</v>
      </c>
      <c r="BS21" s="13">
        <f>+IFERROR(VLOOKUP($BS$17,Sheet1!BN15:BQ15,3,0),0)</f>
        <v>0</v>
      </c>
      <c r="BT21" s="13">
        <f>+IFERROR(VLOOKUP($BT$17,Sheet1!BR15:BU15,3,0),0)</f>
        <v>0</v>
      </c>
      <c r="BU21" s="13">
        <f>+IFERROR(VLOOKUP($BU$17,Sheet1!BV15:BY15,3,0),0)</f>
        <v>0</v>
      </c>
      <c r="BV21" s="13" t="str">
        <f>Sheet1!E15</f>
        <v>WOOD</v>
      </c>
      <c r="BW21" s="13" t="str">
        <f>Sheet1!CV15</f>
        <v>MD0100090</v>
      </c>
      <c r="BX21" s="13" t="str">
        <f>Sheet1!CW15</f>
        <v>DRUM - 43 X 15 X 36 X 2.5</v>
      </c>
      <c r="BY21" s="13">
        <f>Sheet1!CX15</f>
        <v>1000</v>
      </c>
      <c r="BZ21" s="3">
        <f>Sheet1!BZ15</f>
        <v>3505.61</v>
      </c>
      <c r="CA21" s="3">
        <f t="shared" si="5"/>
        <v>156665.60999999999</v>
      </c>
      <c r="CB21" s="23">
        <f>Sheet1!CB15</f>
        <v>0</v>
      </c>
      <c r="CC21" s="3">
        <f t="shared" si="6"/>
        <v>0</v>
      </c>
      <c r="CD21" s="44">
        <v>0.18</v>
      </c>
      <c r="CE21" s="3">
        <f t="shared" si="7"/>
        <v>28199.809799999995</v>
      </c>
      <c r="CF21" s="44">
        <v>0</v>
      </c>
      <c r="CG21" s="3">
        <f t="shared" si="8"/>
        <v>0</v>
      </c>
      <c r="CH21" s="3">
        <f t="shared" si="9"/>
        <v>184865.41979999997</v>
      </c>
      <c r="CI21" s="44">
        <v>0.02</v>
      </c>
      <c r="CJ21" s="1">
        <f t="shared" si="10"/>
        <v>3697.3083959999994</v>
      </c>
      <c r="CK21" s="44">
        <v>0.01</v>
      </c>
      <c r="CL21" s="1">
        <f t="shared" si="11"/>
        <v>1848.6541979999997</v>
      </c>
      <c r="CM21">
        <v>75</v>
      </c>
      <c r="CN21">
        <v>25</v>
      </c>
    </row>
    <row r="22" spans="1:92" x14ac:dyDescent="0.25">
      <c r="A22" s="1" t="str">
        <f>Sheet1!A21</f>
        <v>ENQ-12232-22-23</v>
      </c>
      <c r="B22" s="47">
        <v>45380</v>
      </c>
      <c r="C22" s="1" t="str">
        <f>Sheet1!C21</f>
        <v>FA0600020</v>
      </c>
      <c r="D22" s="73" t="str">
        <f>Sheet1!D21</f>
        <v>1 CORE X 300 SQ. MM. AL/UNARD. (XLPE)</v>
      </c>
      <c r="E22" s="3">
        <f t="shared" si="0"/>
        <v>290640.83833600004</v>
      </c>
      <c r="F22" s="66">
        <f t="shared" si="12"/>
        <v>2983</v>
      </c>
      <c r="G22" s="9">
        <f t="shared" si="1"/>
        <v>293623.83833600004</v>
      </c>
      <c r="H22" s="7">
        <f>Sheet1!CP21</f>
        <v>0.18</v>
      </c>
      <c r="I22" s="9">
        <f t="shared" si="2"/>
        <v>52852.290900480009</v>
      </c>
      <c r="J22" s="9">
        <f t="shared" si="3"/>
        <v>346476.12923648005</v>
      </c>
      <c r="K22" s="67">
        <f>Sheet1!CS21</f>
        <v>63.368000000000002</v>
      </c>
      <c r="L22" s="1" t="str">
        <f>Sheet1!CT21</f>
        <v>KMS</v>
      </c>
      <c r="M22" s="3">
        <f t="shared" si="4"/>
        <v>21955499.357457269</v>
      </c>
      <c r="N22" s="57">
        <f>+IFERROR(VLOOKUP($N$17,Sheet1!J21:L21,3,0),0)</f>
        <v>810</v>
      </c>
      <c r="O22" s="2">
        <f>+IFERROR(VLOOKUP($O$17,Sheet1!J21:L21,3,0),0)</f>
        <v>0</v>
      </c>
      <c r="P22" s="2">
        <f>+IFERROR(VLOOKUP($P$17,Sheet1!J21:M21,3,0),0)</f>
        <v>0</v>
      </c>
      <c r="Q22" s="2">
        <f>+IFERROR(VLOOKUP($Q$17,Sheet1!J21:M21,3,0),0)</f>
        <v>0</v>
      </c>
      <c r="R22" s="2">
        <f>+IFERROR(VLOOKUP($R$17,Sheet1!J21:M21,3,0),0)</f>
        <v>0</v>
      </c>
      <c r="S22" s="2">
        <f>+IFERROR(VLOOKUP($S$17,Sheet1!N21:Q21,3,0),0)</f>
        <v>0</v>
      </c>
      <c r="T22" s="2">
        <f>+IFERROR(VLOOKUP($T$17,Sheet1!N21:Q21,3,0),0)</f>
        <v>0</v>
      </c>
      <c r="U22" s="2">
        <f>+IFERROR(VLOOKUP($U$17,Sheet1!F21:I21,3,0),0)</f>
        <v>0</v>
      </c>
      <c r="V22" s="2">
        <f>+IFERROR(VLOOKUP($V$17,Sheet1!F21:I21,3,0),0)</f>
        <v>0</v>
      </c>
      <c r="W22" s="2">
        <f>+IFERROR(VLOOKUP($W$17,Sheet1!F21:I21,3,0),0)</f>
        <v>0</v>
      </c>
      <c r="X22" s="2">
        <f>+IFERROR(VLOOKUP($X$17,Sheet1!F21:I21,3,0),0)</f>
        <v>0</v>
      </c>
      <c r="Y22" s="2">
        <f>+IFERROR(VLOOKUP($Y$17,Sheet1!F21:I21,3,0),0)</f>
        <v>0</v>
      </c>
      <c r="Z22" s="2">
        <f>+IFERROR(VLOOKUP($Z$17,Sheet1!F21:I21,3,0),0)</f>
        <v>0</v>
      </c>
      <c r="AA22" s="2">
        <f>+IFERROR(VLOOKUP($AA$17,Sheet1!F21:I21,3,0),0)</f>
        <v>0</v>
      </c>
      <c r="AB22" s="2">
        <f>+IFERROR(VLOOKUP($AB$17,Sheet1!F21:I21,3,0),0)</f>
        <v>0</v>
      </c>
      <c r="AC22" s="2">
        <f>+IFERROR(VLOOKUP($AC$17,Sheet1!R21:U21,3,0),0)</f>
        <v>0</v>
      </c>
      <c r="AD22" s="13">
        <f>+IFERROR(VLOOKUP($AD$17,Sheet1!R21:U21,2,0),0)</f>
        <v>0</v>
      </c>
      <c r="AE22" s="2">
        <f>+IFERROR(VLOOKUP($AE$17,Sheet1!V21:Y21,3,0),0)</f>
        <v>0</v>
      </c>
      <c r="AF22" s="56">
        <f>+IFERROR(VLOOKUP($AF$17,Sheet1!V21:Y21,3,0),0)</f>
        <v>132</v>
      </c>
      <c r="AG22" s="13">
        <f>+IFERROR(VLOOKUP($AG$17,Sheet1!V21:Y21,3,0),0)</f>
        <v>0</v>
      </c>
      <c r="AH22" s="13">
        <f>+IFERROR(VLOOKUP($AH$17,Sheet1!V21:Y21,3,0),0)</f>
        <v>0</v>
      </c>
      <c r="AI22" s="13">
        <f>+IFERROR(VLOOKUP($AI$17,Sheet1!V21:Y21,3,0),0)</f>
        <v>0</v>
      </c>
      <c r="AJ22" s="13">
        <f>+IFERROR(VLOOKUP($AJ$17,Sheet1!V21:Y21,3,0),0)</f>
        <v>0</v>
      </c>
      <c r="AK22" s="13">
        <f>+IFERROR(VLOOKUP($AK$17,Sheet1!Z21:AB21,3,0),0)</f>
        <v>0</v>
      </c>
      <c r="AL22" s="13">
        <f>+IFERROR(VLOOKUP($AL$17,Sheet1!AD21:AG21,3,0),0)</f>
        <v>0</v>
      </c>
      <c r="AM22" s="13">
        <f>+IFERROR(VLOOKUP($AM$17,Sheet1!AD21:AG21,3,0),0)</f>
        <v>0</v>
      </c>
      <c r="AN22" s="13">
        <f>+IFERROR(VLOOKUP($AN$17,Sheet1!AD21:AG21,3,0),0)</f>
        <v>0</v>
      </c>
      <c r="AO22" s="13">
        <f>+IFERROR(VLOOKUP($AO$17,Sheet1!AD21:AG21,3,0),0)</f>
        <v>0</v>
      </c>
      <c r="AP22" s="13">
        <f>+IFERROR(VLOOKUP($AP$17,Sheet1!AD21:AG21,3,0),0)</f>
        <v>0</v>
      </c>
      <c r="AQ22" s="13">
        <f>+IFERROR(VLOOKUP($AQ$17,Sheet1!AD21:AG21,3,0),0)</f>
        <v>0</v>
      </c>
      <c r="AR22" s="13">
        <f>+IFERROR(VLOOKUP($AR$17,Sheet1!AD21:AG21,3,0),0)</f>
        <v>0</v>
      </c>
      <c r="AS22" s="13">
        <f>+IFERROR(VLOOKUP($AS$17,Sheet1!AH21:AK21,3,0),0)</f>
        <v>0</v>
      </c>
      <c r="AT22" s="13">
        <f>+IFERROR(VLOOKUP($AT$17,Sheet1!AH21:AK21,3,0),0)</f>
        <v>0</v>
      </c>
      <c r="AU22" s="13">
        <f>+IFERROR(VLOOKUP($AU$17,Sheet1!AH21:AK21,3,0),0)</f>
        <v>0</v>
      </c>
      <c r="AV22" s="13">
        <f>+IFERROR(VLOOKUP($AV$17,Sheet1!AH21:AK21,3,0),0)</f>
        <v>0</v>
      </c>
      <c r="AW22" s="13">
        <f>+IFERROR(VLOOKUP($AW$17,Sheet1!AH21:AK21,3,0),0)</f>
        <v>0</v>
      </c>
      <c r="AX22" s="13">
        <f>+IFERROR(VLOOKUP($AX$17,Sheet1!AH21:AK21,3,0),0)</f>
        <v>0</v>
      </c>
      <c r="AY22" s="13">
        <f>+IFERROR(VLOOKUP($AY$17,Sheet1!AH21:AK21,3,0),0)</f>
        <v>0</v>
      </c>
      <c r="AZ22" s="13">
        <f>+IFERROR(VLOOKUP($AZ$17,Sheet1!AH21:AK21,3,0),0)</f>
        <v>0</v>
      </c>
      <c r="BA22" s="13">
        <f>+IFERROR(VLOOKUP($BA$17,Sheet1!AH21:AK21,3,0),0)</f>
        <v>0</v>
      </c>
      <c r="BB22" s="13">
        <f>+IFERROR(VLOOKUP($BB$17,Sheet1!AH21:AK21,3,0),0)</f>
        <v>0</v>
      </c>
      <c r="BC22" s="13">
        <f>+IFERROR(VLOOKUP($BC$17,Sheet1!AL21:AO21,3,0),0)</f>
        <v>0</v>
      </c>
      <c r="BD22" s="13">
        <f>+IFERROR(VLOOKUP($BD$17,Sheet1!AL21:AO21,3,0),0)</f>
        <v>0</v>
      </c>
      <c r="BE22" s="13">
        <f>+IFERROR(VLOOKUP($BE$17,Sheet1!AL21:AO21,3,0),0)</f>
        <v>0</v>
      </c>
      <c r="BF22" s="56">
        <v>255</v>
      </c>
      <c r="BG22" s="13">
        <f>+IFERROR(VLOOKUP($BG$17,Sheet1!AL21:AO21,3,0),0)</f>
        <v>0</v>
      </c>
      <c r="BH22" s="13">
        <f>+IFERROR(VLOOKUP($BH$17,Sheet1!AL21:AO21,3,0),0)</f>
        <v>0</v>
      </c>
      <c r="BI22" s="13">
        <f>+IFERROR(VLOOKUP($BI$17,Sheet1!AL21:AO21,3,0),0)</f>
        <v>0</v>
      </c>
      <c r="BJ22" s="13">
        <f>+IFERROR(VLOOKUP($BJ$17,Sheet1!AL21:AO21,3,0),0)</f>
        <v>0</v>
      </c>
      <c r="BK22" s="13">
        <f>+IFERROR(VLOOKUP($BK$17,Sheet1!AL21:AO21,3,0),0)</f>
        <v>0</v>
      </c>
      <c r="BL22" s="13">
        <f>+IFERROR(VLOOKUP($BL$17,Sheet1!AL21:AO21,3,0),0)</f>
        <v>0</v>
      </c>
      <c r="BM22" s="13">
        <f>+IFERROR(VLOOKUP($BM$17,Sheet1!AP21:AS21,3,0),0)</f>
        <v>0</v>
      </c>
      <c r="BN22" s="56">
        <v>28</v>
      </c>
      <c r="BO22" s="13">
        <f>+IFERROR(VLOOKUP($BO$17,Sheet1!AX21:BA21,3,0),0)</f>
        <v>0</v>
      </c>
      <c r="BP22" s="13">
        <f>+IFERROR(VLOOKUP($BP$17,Sheet1!BB21:BE21,3,0),0)</f>
        <v>0</v>
      </c>
      <c r="BQ22" s="13">
        <f>+IFERROR(VLOOKUP($BQ$17,Sheet1!BF21:BI21,3,0),0)</f>
        <v>0</v>
      </c>
      <c r="BR22" s="13">
        <f>+IFERROR(VLOOKUP($BR$17,Sheet1!BJ21:BM21,3,0),0)</f>
        <v>0</v>
      </c>
      <c r="BS22" s="13">
        <f>+IFERROR(VLOOKUP($BS$17,Sheet1!BN21:BQ21,3,0),0)</f>
        <v>0</v>
      </c>
      <c r="BT22" s="13">
        <f>+IFERROR(VLOOKUP($BT$17,Sheet1!BR21:BU21,3,0),0)</f>
        <v>0</v>
      </c>
      <c r="BU22" s="13">
        <f>+IFERROR(VLOOKUP($BU$17,Sheet1!BV21:BY21,3,0),0)</f>
        <v>0</v>
      </c>
      <c r="BV22" s="13" t="str">
        <f>Sheet1!E21</f>
        <v>WOOD</v>
      </c>
      <c r="BW22" s="13" t="str">
        <f>Sheet1!CV21</f>
        <v>MD0100017</v>
      </c>
      <c r="BX22" s="13" t="str">
        <f>Sheet1!CW21</f>
        <v>DRUM - 52 X 18 X 36 X 2.5</v>
      </c>
      <c r="BY22" s="13">
        <f>Sheet1!CX21</f>
        <v>1000</v>
      </c>
      <c r="BZ22" s="3">
        <f>Sheet1!BZ21</f>
        <v>4956.84</v>
      </c>
      <c r="CA22" s="3">
        <f t="shared" si="5"/>
        <v>239131.84</v>
      </c>
      <c r="CB22" s="23">
        <f>Sheet1!CB21</f>
        <v>0</v>
      </c>
      <c r="CC22" s="3">
        <f t="shared" si="6"/>
        <v>0</v>
      </c>
      <c r="CD22" s="44">
        <v>0.18</v>
      </c>
      <c r="CE22" s="3">
        <f t="shared" si="7"/>
        <v>43043.731199999995</v>
      </c>
      <c r="CF22" s="44">
        <v>0</v>
      </c>
      <c r="CG22" s="3">
        <f t="shared" si="8"/>
        <v>0</v>
      </c>
      <c r="CH22" s="3">
        <f t="shared" si="9"/>
        <v>282175.57120000001</v>
      </c>
      <c r="CI22" s="44">
        <v>0.02</v>
      </c>
      <c r="CJ22" s="1">
        <f t="shared" si="10"/>
        <v>5643.5114240000003</v>
      </c>
      <c r="CK22" s="44">
        <v>0.01</v>
      </c>
      <c r="CL22" s="1">
        <f t="shared" si="11"/>
        <v>2821.7557120000001</v>
      </c>
      <c r="CM22">
        <v>120</v>
      </c>
      <c r="CN22">
        <v>30</v>
      </c>
    </row>
    <row r="23" spans="1:92" x14ac:dyDescent="0.25">
      <c r="A23" s="1" t="str">
        <f>Sheet1!A22</f>
        <v>ENQ-12232-22-23</v>
      </c>
      <c r="B23" s="47">
        <v>45380</v>
      </c>
      <c r="C23" s="1" t="str">
        <f>Sheet1!C22</f>
        <v>FA0600032</v>
      </c>
      <c r="D23" s="73" t="str">
        <f>Sheet1!D22</f>
        <v>1 CORE X 630 SQ. MM. ALU/UNARD (XLPE)</v>
      </c>
      <c r="E23" s="3">
        <f t="shared" si="0"/>
        <v>590390.27319999994</v>
      </c>
      <c r="F23" s="66">
        <f t="shared" si="12"/>
        <v>5619</v>
      </c>
      <c r="G23" s="9">
        <f t="shared" si="1"/>
        <v>596009.27319999994</v>
      </c>
      <c r="H23" s="7">
        <f>Sheet1!CP22</f>
        <v>0.18</v>
      </c>
      <c r="I23" s="9">
        <f t="shared" si="2"/>
        <v>107281.66917599998</v>
      </c>
      <c r="J23" s="9">
        <f t="shared" si="3"/>
        <v>703290.94237599988</v>
      </c>
      <c r="K23" s="1">
        <f>Sheet1!CS22</f>
        <v>81.688000000000002</v>
      </c>
      <c r="L23" s="1" t="str">
        <f>Sheet1!CT22</f>
        <v>KMS</v>
      </c>
      <c r="M23" s="3">
        <f t="shared" si="4"/>
        <v>57450430.500810683</v>
      </c>
      <c r="N23" s="2">
        <f>+IFERROR(VLOOKUP($N$17,Sheet1!J22:L22,3,0),0)</f>
        <v>1701</v>
      </c>
      <c r="O23" s="2">
        <f>+IFERROR(VLOOKUP($O$17,Sheet1!J22:L22,3,0),0)</f>
        <v>0</v>
      </c>
      <c r="P23" s="2">
        <f>+IFERROR(VLOOKUP($P$17,Sheet1!J22:M22,3,0),0)</f>
        <v>0</v>
      </c>
      <c r="Q23" s="2">
        <f>+IFERROR(VLOOKUP($Q$17,Sheet1!J22:M22,3,0),0)</f>
        <v>0</v>
      </c>
      <c r="R23" s="2">
        <f>+IFERROR(VLOOKUP($R$17,Sheet1!J22:M22,3,0),0)</f>
        <v>0</v>
      </c>
      <c r="S23" s="2">
        <f>+IFERROR(VLOOKUP($S$17,Sheet1!N22:Q22,3,0),0)</f>
        <v>0</v>
      </c>
      <c r="T23" s="2">
        <f>+IFERROR(VLOOKUP($T$17,Sheet1!N22:Q22,3,0),0)</f>
        <v>0</v>
      </c>
      <c r="U23" s="2">
        <f>+IFERROR(VLOOKUP($U$17,Sheet1!F22:I22,3,0),0)</f>
        <v>0</v>
      </c>
      <c r="V23" s="2">
        <f>+IFERROR(VLOOKUP($V$17,Sheet1!F22:I22,3,0),0)</f>
        <v>0</v>
      </c>
      <c r="W23" s="2">
        <f>+IFERROR(VLOOKUP($W$17,Sheet1!F22:I22,3,0),0)</f>
        <v>0</v>
      </c>
      <c r="X23" s="2">
        <f>+IFERROR(VLOOKUP($X$17,Sheet1!F22:I22,3,0),0)</f>
        <v>0</v>
      </c>
      <c r="Y23" s="2">
        <f>+IFERROR(VLOOKUP($Y$17,Sheet1!F22:I22,3,0),0)</f>
        <v>0</v>
      </c>
      <c r="Z23" s="2">
        <f>+IFERROR(VLOOKUP($Z$17,Sheet1!F22:I22,3,0),0)</f>
        <v>0</v>
      </c>
      <c r="AA23" s="2">
        <f>+IFERROR(VLOOKUP($AA$17,Sheet1!F22:I22,3,0),0)</f>
        <v>0</v>
      </c>
      <c r="AB23" s="2">
        <f>+IFERROR(VLOOKUP($AB$17,Sheet1!F22:I22,3,0),0)</f>
        <v>0</v>
      </c>
      <c r="AC23" s="2">
        <f>+IFERROR(VLOOKUP($AC$17,Sheet1!R22:U22,3,0),0)</f>
        <v>0</v>
      </c>
      <c r="AD23" s="13">
        <f>+IFERROR(VLOOKUP($AD$17,Sheet1!R22:U22,2,0),0)</f>
        <v>0</v>
      </c>
      <c r="AE23" s="2">
        <f>+IFERROR(VLOOKUP($AE$17,Sheet1!V22:Y22,3,0),0)</f>
        <v>0</v>
      </c>
      <c r="AF23" s="56">
        <v>242</v>
      </c>
      <c r="AG23" s="13">
        <f>+IFERROR(VLOOKUP($AG$17,Sheet1!V22:Y22,3,0),0)</f>
        <v>0</v>
      </c>
      <c r="AH23" s="13">
        <f>+IFERROR(VLOOKUP($AH$17,Sheet1!V22:Y22,3,0),0)</f>
        <v>0</v>
      </c>
      <c r="AI23" s="13">
        <f>+IFERROR(VLOOKUP($AI$17,Sheet1!V22:Y22,3,0),0)</f>
        <v>0</v>
      </c>
      <c r="AJ23" s="13">
        <f>+IFERROR(VLOOKUP($AJ$17,Sheet1!V22:Y22,3,0),0)</f>
        <v>0</v>
      </c>
      <c r="AK23" s="13">
        <f>+IFERROR(VLOOKUP($AK$17,Sheet1!Z22:AB22,3,0),0)</f>
        <v>0</v>
      </c>
      <c r="AL23" s="13">
        <f>+IFERROR(VLOOKUP($AL$17,Sheet1!AD22:AG22,3,0),0)</f>
        <v>0</v>
      </c>
      <c r="AM23" s="13">
        <f>+IFERROR(VLOOKUP($AM$17,Sheet1!AD22:AG22,3,0),0)</f>
        <v>0</v>
      </c>
      <c r="AN23" s="13">
        <f>+IFERROR(VLOOKUP($AN$17,Sheet1!AD22:AG22,3,0),0)</f>
        <v>0</v>
      </c>
      <c r="AO23" s="13">
        <f>+IFERROR(VLOOKUP($AO$17,Sheet1!AD22:AG22,3,0),0)</f>
        <v>0</v>
      </c>
      <c r="AP23" s="13">
        <f>+IFERROR(VLOOKUP($AP$17,Sheet1!AD22:AG22,3,0),0)</f>
        <v>0</v>
      </c>
      <c r="AQ23" s="13">
        <f>+IFERROR(VLOOKUP($AQ$17,Sheet1!AD22:AG22,3,0),0)</f>
        <v>0</v>
      </c>
      <c r="AR23" s="13">
        <f>+IFERROR(VLOOKUP($AR$17,Sheet1!AD22:AG22,3,0),0)</f>
        <v>0</v>
      </c>
      <c r="AS23" s="13">
        <f>+IFERROR(VLOOKUP($AS$17,Sheet1!AH22:AK22,3,0),0)</f>
        <v>0</v>
      </c>
      <c r="AT23" s="13">
        <f>+IFERROR(VLOOKUP($AT$17,Sheet1!AH22:AK22,3,0),0)</f>
        <v>0</v>
      </c>
      <c r="AU23" s="13">
        <f>+IFERROR(VLOOKUP($AU$17,Sheet1!AH22:AK22,3,0),0)</f>
        <v>0</v>
      </c>
      <c r="AV23" s="13">
        <f>+IFERROR(VLOOKUP($AV$17,Sheet1!AH22:AK22,3,0),0)</f>
        <v>0</v>
      </c>
      <c r="AW23" s="13">
        <f>+IFERROR(VLOOKUP($AW$17,Sheet1!AH22:AK22,3,0),0)</f>
        <v>0</v>
      </c>
      <c r="AX23" s="13">
        <f>+IFERROR(VLOOKUP($AX$17,Sheet1!AH22:AK22,3,0),0)</f>
        <v>0</v>
      </c>
      <c r="AY23" s="13">
        <f>+IFERROR(VLOOKUP($AY$17,Sheet1!AH22:AK22,3,0),0)</f>
        <v>0</v>
      </c>
      <c r="AZ23" s="13">
        <f>+IFERROR(VLOOKUP($AZ$17,Sheet1!AH22:AK22,3,0),0)</f>
        <v>0</v>
      </c>
      <c r="BA23" s="13">
        <f>+IFERROR(VLOOKUP($BA$17,Sheet1!AH22:AK22,3,0),0)</f>
        <v>0</v>
      </c>
      <c r="BB23" s="13">
        <f>+IFERROR(VLOOKUP($BB$17,Sheet1!AH22:AK22,3,0),0)</f>
        <v>0</v>
      </c>
      <c r="BC23" s="13">
        <f>+IFERROR(VLOOKUP($BC$17,Sheet1!AL22:AO22,3,0),0)</f>
        <v>0</v>
      </c>
      <c r="BD23" s="13">
        <f>+IFERROR(VLOOKUP($BD$17,Sheet1!AL22:AO22,3,0),0)</f>
        <v>0</v>
      </c>
      <c r="BE23" s="13">
        <f>+IFERROR(VLOOKUP($BE$17,Sheet1!AL22:AO22,3,0),0)</f>
        <v>0</v>
      </c>
      <c r="BF23" s="56">
        <v>408</v>
      </c>
      <c r="BG23" s="13">
        <f>+IFERROR(VLOOKUP($BG$17,Sheet1!AL22:AO22,3,0),0)</f>
        <v>0</v>
      </c>
      <c r="BH23" s="13">
        <f>+IFERROR(VLOOKUP($BH$17,Sheet1!AL22:AO22,3,0),0)</f>
        <v>0</v>
      </c>
      <c r="BI23" s="13">
        <f>+IFERROR(VLOOKUP($BI$17,Sheet1!AL22:AO22,3,0),0)</f>
        <v>0</v>
      </c>
      <c r="BJ23" s="13">
        <f>+IFERROR(VLOOKUP($BJ$17,Sheet1!AL22:AO22,3,0),0)</f>
        <v>0</v>
      </c>
      <c r="BK23" s="13">
        <f>+IFERROR(VLOOKUP($BK$17,Sheet1!AL22:AO22,3,0),0)</f>
        <v>0</v>
      </c>
      <c r="BL23" s="13">
        <f>+IFERROR(VLOOKUP($BL$17,Sheet1!AL22:AO22,3,0),0)</f>
        <v>0</v>
      </c>
      <c r="BM23" s="13">
        <f>+IFERROR(VLOOKUP($BM$17,Sheet1!AP22:AS22,3,0),0)</f>
        <v>0</v>
      </c>
      <c r="BN23" s="56">
        <v>40</v>
      </c>
      <c r="BO23" s="13">
        <f>+IFERROR(VLOOKUP($BO$17,Sheet1!AX22:BA22,3,0),0)</f>
        <v>0</v>
      </c>
      <c r="BP23" s="13">
        <f>+IFERROR(VLOOKUP($BP$17,Sheet1!BB22:BE22,3,0),0)</f>
        <v>0</v>
      </c>
      <c r="BQ23" s="13">
        <f>+IFERROR(VLOOKUP($BQ$17,Sheet1!BF22:BI22,3,0),0)</f>
        <v>0</v>
      </c>
      <c r="BR23" s="13">
        <f>+IFERROR(VLOOKUP($BR$17,Sheet1!BJ22:BM22,3,0),0)</f>
        <v>0</v>
      </c>
      <c r="BS23" s="13">
        <f>+IFERROR(VLOOKUP($BS$17,Sheet1!BN22:BQ22,3,0),0)</f>
        <v>0</v>
      </c>
      <c r="BT23" s="13">
        <f>+IFERROR(VLOOKUP($BT$17,Sheet1!BR22:BU22,3,0),0)</f>
        <v>0</v>
      </c>
      <c r="BU23" s="13">
        <f>+IFERROR(VLOOKUP($BU$17,Sheet1!BV22:BY22,3,0),0)</f>
        <v>0</v>
      </c>
      <c r="BV23" s="13" t="str">
        <f>Sheet1!E22</f>
        <v>WOOD</v>
      </c>
      <c r="BW23" s="13" t="str">
        <f>Sheet1!CV22</f>
        <v>MD0100062</v>
      </c>
      <c r="BX23" s="13" t="str">
        <f>Sheet1!CW22</f>
        <v>DRUM - 74 X 24 X 32 X 3</v>
      </c>
      <c r="BY23" s="13">
        <f>Sheet1!CX22</f>
        <v>1000</v>
      </c>
      <c r="BZ23" s="3">
        <f>Sheet1!BZ22</f>
        <v>17290</v>
      </c>
      <c r="CA23" s="3">
        <f t="shared" si="5"/>
        <v>485758</v>
      </c>
      <c r="CB23" s="23">
        <f>Sheet1!CB22</f>
        <v>0</v>
      </c>
      <c r="CC23" s="3">
        <f t="shared" si="6"/>
        <v>0</v>
      </c>
      <c r="CD23" s="44">
        <v>0.18</v>
      </c>
      <c r="CE23" s="3">
        <f t="shared" si="7"/>
        <v>87436.44</v>
      </c>
      <c r="CF23" s="44">
        <v>0</v>
      </c>
      <c r="CG23" s="3">
        <f t="shared" si="8"/>
        <v>0</v>
      </c>
      <c r="CH23" s="3">
        <f t="shared" si="9"/>
        <v>573194.43999999994</v>
      </c>
      <c r="CI23" s="44">
        <v>0.02</v>
      </c>
      <c r="CJ23" s="1">
        <f t="shared" si="10"/>
        <v>11463.888799999999</v>
      </c>
      <c r="CK23" s="44">
        <v>0.01</v>
      </c>
      <c r="CL23" s="1">
        <f t="shared" si="11"/>
        <v>5731.9443999999994</v>
      </c>
      <c r="CM23">
        <v>300</v>
      </c>
      <c r="CN23">
        <v>65</v>
      </c>
    </row>
    <row r="24" spans="1:92" hidden="1" x14ac:dyDescent="0.25">
      <c r="A24" s="1" t="str">
        <f>Sheet1!A10</f>
        <v>ENQ-12232-22-23</v>
      </c>
      <c r="B24" s="47">
        <v>45380</v>
      </c>
      <c r="C24" s="1" t="str">
        <f>Sheet1!C10</f>
        <v>FA1200026</v>
      </c>
      <c r="D24" s="1" t="str">
        <f>Sheet1!D10</f>
        <v>4 CORE X 150 SQ. MM. AL/UNARD (XLPE)</v>
      </c>
      <c r="E24" s="3">
        <f t="shared" si="0"/>
        <v>605334.63713600009</v>
      </c>
      <c r="F24" s="66" t="e">
        <f t="shared" si="12"/>
        <v>#DIV/0!</v>
      </c>
      <c r="G24" s="9" t="e">
        <f t="shared" si="1"/>
        <v>#DIV/0!</v>
      </c>
      <c r="H24" s="7">
        <f>Sheet1!CP10</f>
        <v>0.18</v>
      </c>
      <c r="I24" s="9" t="e">
        <f t="shared" si="2"/>
        <v>#DIV/0!</v>
      </c>
      <c r="J24" s="9" t="e">
        <f t="shared" si="3"/>
        <v>#DIV/0!</v>
      </c>
      <c r="K24" s="1"/>
      <c r="L24" s="1" t="str">
        <f>Sheet1!CT10</f>
        <v>KMS</v>
      </c>
      <c r="M24" s="3" t="e">
        <f t="shared" si="4"/>
        <v>#DIV/0!</v>
      </c>
      <c r="N24" s="57">
        <f>+IFERROR(VLOOKUP($N$17,Sheet1!J10:L10,3,0),0)</f>
        <v>1620</v>
      </c>
      <c r="O24" s="2">
        <f>+IFERROR(VLOOKUP($O$17,Sheet1!J10:L10,3,0),0)</f>
        <v>0</v>
      </c>
      <c r="P24" s="2">
        <f>+IFERROR(VLOOKUP($P$17,Sheet1!J10:M10,3,0),0)</f>
        <v>0</v>
      </c>
      <c r="Q24" s="2">
        <f>+IFERROR(VLOOKUP($Q$17,Sheet1!J10:M10,3,0),0)</f>
        <v>0</v>
      </c>
      <c r="R24" s="2">
        <f>+IFERROR(VLOOKUP($R$17,Sheet1!J10:M10,3,0),0)</f>
        <v>0</v>
      </c>
      <c r="S24" s="2">
        <f>+IFERROR(VLOOKUP($S$17,Sheet1!N10:Q10,3,0),0)</f>
        <v>0</v>
      </c>
      <c r="T24" s="2">
        <f>+IFERROR(VLOOKUP($T$17,Sheet1!N10:Q10,3,0),0)</f>
        <v>0</v>
      </c>
      <c r="U24" s="2">
        <f>+IFERROR(VLOOKUP($U$17,Sheet1!F10:I10,3,0),0)</f>
        <v>0</v>
      </c>
      <c r="V24" s="2">
        <f>+IFERROR(VLOOKUP($V$17,Sheet1!F10:I10,3,0),0)</f>
        <v>0</v>
      </c>
      <c r="W24" s="2">
        <f>+IFERROR(VLOOKUP($W$17,Sheet1!F10:I10,3,0),0)</f>
        <v>0</v>
      </c>
      <c r="X24" s="2">
        <f>+IFERROR(VLOOKUP($X$17,Sheet1!F10:I10,3,0),0)</f>
        <v>0</v>
      </c>
      <c r="Y24" s="2">
        <f>+IFERROR(VLOOKUP($Y$17,Sheet1!F10:I10,3,0),0)</f>
        <v>0</v>
      </c>
      <c r="Z24" s="2">
        <f>+IFERROR(VLOOKUP($Z$17,Sheet1!F10:I10,3,0),0)</f>
        <v>0</v>
      </c>
      <c r="AA24" s="2">
        <f>+IFERROR(VLOOKUP($AA$17,Sheet1!F10:I10,3,0),0)</f>
        <v>0</v>
      </c>
      <c r="AB24" s="2">
        <f>+IFERROR(VLOOKUP($AB$17,Sheet1!F10:I10,3,0),0)</f>
        <v>0</v>
      </c>
      <c r="AC24" s="2">
        <f>+IFERROR(VLOOKUP($AC$17,Sheet1!R10:U10,3,0),0)</f>
        <v>0</v>
      </c>
      <c r="AD24" s="13">
        <f>+IFERROR(VLOOKUP($AD$17,Sheet1!R10:U10,2,0),0)</f>
        <v>0</v>
      </c>
      <c r="AE24" s="2">
        <f>+IFERROR(VLOOKUP($AE$17,Sheet1!V10:Y10,3,0),0)</f>
        <v>0</v>
      </c>
      <c r="AF24" s="56">
        <v>276</v>
      </c>
      <c r="AG24" s="13">
        <f>+IFERROR(VLOOKUP($AG$17,Sheet1!V10:Y10,3,0),0)</f>
        <v>0</v>
      </c>
      <c r="AH24" s="13">
        <f>+IFERROR(VLOOKUP($AH$17,Sheet1!V10:Y10,3,0),0)</f>
        <v>0</v>
      </c>
      <c r="AI24" s="13">
        <f>+IFERROR(VLOOKUP($AI$17,Sheet1!V10:Y10,3,0),0)</f>
        <v>0</v>
      </c>
      <c r="AJ24" s="13">
        <f>+IFERROR(VLOOKUP($AJ$17,Sheet1!V10:Y10,3,0),0)</f>
        <v>0</v>
      </c>
      <c r="AK24" s="13">
        <f>+IFERROR(VLOOKUP($AK$17,Sheet1!Z10:AB10,3,0),0)</f>
        <v>0</v>
      </c>
      <c r="AL24" s="13">
        <f>+IFERROR(VLOOKUP($AL$17,Sheet1!AD10:AG10,3,0),0)</f>
        <v>0</v>
      </c>
      <c r="AM24" s="13">
        <f>+IFERROR(VLOOKUP($AM$17,Sheet1!AD10:AG10,3,0),0)</f>
        <v>0</v>
      </c>
      <c r="AN24" s="13">
        <f>+IFERROR(VLOOKUP($AN$17,Sheet1!AD10:AG10,3,0),0)</f>
        <v>0</v>
      </c>
      <c r="AO24" s="13">
        <f>+IFERROR(VLOOKUP($AO$17,Sheet1!AD10:AG10,3,0),0)</f>
        <v>0</v>
      </c>
      <c r="AP24" s="13">
        <f>+IFERROR(VLOOKUP($AP$17,Sheet1!AD10:AG10,3,0),0)</f>
        <v>0</v>
      </c>
      <c r="AQ24" s="56">
        <v>135</v>
      </c>
      <c r="AR24" s="13">
        <f>+IFERROR(VLOOKUP($AR$17,Sheet1!AD10:AG10,3,0),0)</f>
        <v>0</v>
      </c>
      <c r="AS24" s="13">
        <f>+IFERROR(VLOOKUP($AS$17,Sheet1!AH10:AK10,3,0),0)</f>
        <v>0</v>
      </c>
      <c r="AT24" s="13">
        <f>+IFERROR(VLOOKUP($AT$17,Sheet1!AH10:AK10,3,0),0)</f>
        <v>0</v>
      </c>
      <c r="AU24" s="13">
        <f>+IFERROR(VLOOKUP($AU$17,Sheet1!AH10:AK10,3,0),0)</f>
        <v>0</v>
      </c>
      <c r="AV24" s="13">
        <f>+IFERROR(VLOOKUP($AV$17,Sheet1!AH10:AK10,3,0),0)</f>
        <v>0</v>
      </c>
      <c r="AW24" s="13">
        <f>+IFERROR(VLOOKUP($AW$17,Sheet1!AH10:AK10,3,0),0)</f>
        <v>0</v>
      </c>
      <c r="AX24" s="13">
        <f>+IFERROR(VLOOKUP($AX$17,Sheet1!AH10:AK10,3,0),0)</f>
        <v>0</v>
      </c>
      <c r="AY24" s="13">
        <f>+IFERROR(VLOOKUP($AY$17,Sheet1!AH10:AK10,3,0),0)</f>
        <v>0</v>
      </c>
      <c r="AZ24" s="13">
        <f>+IFERROR(VLOOKUP($AZ$17,Sheet1!AH10:AK10,3,0),0)</f>
        <v>0</v>
      </c>
      <c r="BA24" s="13">
        <f>+IFERROR(VLOOKUP($BA$17,Sheet1!AH10:AK10,3,0),0)</f>
        <v>0</v>
      </c>
      <c r="BB24" s="13">
        <f>+IFERROR(VLOOKUP($BB$17,Sheet1!AH10:AK10,3,0),0)</f>
        <v>0</v>
      </c>
      <c r="BC24" s="13">
        <f>+IFERROR(VLOOKUP($BC$17,Sheet1!AL10:AO10,3,0),0)</f>
        <v>0</v>
      </c>
      <c r="BD24" s="13">
        <f>+IFERROR(VLOOKUP($BD$17,Sheet1!AL10:AO10,3,0),0)</f>
        <v>0</v>
      </c>
      <c r="BE24" s="13">
        <f>+IFERROR(VLOOKUP($BE$17,Sheet1!AL10:AO10,3,0),0)</f>
        <v>0</v>
      </c>
      <c r="BF24" s="56">
        <v>536</v>
      </c>
      <c r="BG24" s="13">
        <f>+IFERROR(VLOOKUP($BG$17,Sheet1!AL10:AO10,3,0),0)</f>
        <v>0</v>
      </c>
      <c r="BH24" s="13">
        <f>+IFERROR(VLOOKUP($BH$17,Sheet1!AL10:AO10,3,0),0)</f>
        <v>0</v>
      </c>
      <c r="BI24" s="13">
        <f>+IFERROR(VLOOKUP($BI$17,Sheet1!AL10:AO10,3,0),0)</f>
        <v>0</v>
      </c>
      <c r="BJ24" s="13">
        <f>+IFERROR(VLOOKUP($BJ$17,Sheet1!AL10:AO10,3,0),0)</f>
        <v>0</v>
      </c>
      <c r="BK24" s="13">
        <f>+IFERROR(VLOOKUP($BK$17,Sheet1!AL10:AO10,3,0),0)</f>
        <v>0</v>
      </c>
      <c r="BL24" s="13">
        <f>+IFERROR(VLOOKUP($BL$17,Sheet1!AL10:AO10,3,0),0)</f>
        <v>0</v>
      </c>
      <c r="BM24" s="13">
        <f>+IFERROR(VLOOKUP($BM$17,Sheet1!AP10:AS10,3,0),0)</f>
        <v>0</v>
      </c>
      <c r="BN24" s="56">
        <v>55</v>
      </c>
      <c r="BO24" s="13">
        <f>+IFERROR(VLOOKUP($BO$17,Sheet1!AX10:BA10,3,0),0)</f>
        <v>0</v>
      </c>
      <c r="BP24" s="13">
        <f>+IFERROR(VLOOKUP($BP$17,Sheet1!BB10:BE10,3,0),0)</f>
        <v>0</v>
      </c>
      <c r="BQ24" s="13">
        <f>+IFERROR(VLOOKUP($BQ$17,Sheet1!BF10:BI10,3,0),0)</f>
        <v>0</v>
      </c>
      <c r="BR24" s="13">
        <f>+IFERROR(VLOOKUP($BR$17,Sheet1!BJ10:BM10,3,0),0)</f>
        <v>0</v>
      </c>
      <c r="BS24" s="13">
        <f>+IFERROR(VLOOKUP($BS$17,Sheet1!BN10:BQ10,3,0),0)</f>
        <v>0</v>
      </c>
      <c r="BT24" s="13">
        <f>+IFERROR(VLOOKUP($BT$17,Sheet1!BR10:BU10,3,0),0)</f>
        <v>0</v>
      </c>
      <c r="BU24" s="13">
        <f>+IFERROR(VLOOKUP($BU$17,Sheet1!BV10:BY10,3,0),0)</f>
        <v>0</v>
      </c>
      <c r="BV24" s="13" t="str">
        <f>Sheet1!E10</f>
        <v>WOOD</v>
      </c>
      <c r="BW24" s="13" t="str">
        <f>Sheet1!CV10</f>
        <v>MD0100070</v>
      </c>
      <c r="BX24" s="13" t="str">
        <f>Sheet1!CW10</f>
        <v>DRUM - 68 X 24 X 32 X 3</v>
      </c>
      <c r="BY24" s="13">
        <f>Sheet1!CX10</f>
        <v>500</v>
      </c>
      <c r="BZ24" s="3">
        <f>Sheet1!BZ10</f>
        <v>17878.84</v>
      </c>
      <c r="CA24" s="3">
        <f t="shared" si="5"/>
        <v>498053.84</v>
      </c>
      <c r="CB24" s="23">
        <f>Sheet1!CB10</f>
        <v>0</v>
      </c>
      <c r="CC24" s="3">
        <f t="shared" si="6"/>
        <v>0</v>
      </c>
      <c r="CD24" s="44">
        <v>0.18</v>
      </c>
      <c r="CE24" s="3">
        <f t="shared" si="7"/>
        <v>89649.691200000001</v>
      </c>
      <c r="CF24" s="44">
        <v>0</v>
      </c>
      <c r="CG24" s="3">
        <f t="shared" si="8"/>
        <v>0</v>
      </c>
      <c r="CH24" s="3">
        <f t="shared" si="9"/>
        <v>587703.53120000008</v>
      </c>
      <c r="CI24" s="44">
        <v>0.02</v>
      </c>
      <c r="CJ24" s="1">
        <f t="shared" si="10"/>
        <v>11754.070624000002</v>
      </c>
      <c r="CK24" s="44">
        <v>0.01</v>
      </c>
      <c r="CL24" s="1">
        <f t="shared" si="11"/>
        <v>5877.0353120000009</v>
      </c>
      <c r="CM24">
        <v>250</v>
      </c>
      <c r="CN24">
        <v>50</v>
      </c>
    </row>
    <row r="25" spans="1:92" x14ac:dyDescent="0.25">
      <c r="A25" s="1" t="str">
        <f>Sheet1!A28</f>
        <v>ENQ-12232-22-23</v>
      </c>
      <c r="B25" s="47">
        <v>45380</v>
      </c>
      <c r="C25" s="1" t="str">
        <f>Sheet1!C28</f>
        <v>FA0900111</v>
      </c>
      <c r="D25" s="73" t="str">
        <f>Sheet1!D28</f>
        <v>4 CORE X 25 SQ. MM. ALU/ARD - WIRE (XLPE)</v>
      </c>
      <c r="E25" s="3">
        <f t="shared" si="0"/>
        <v>190246.57415399997</v>
      </c>
      <c r="F25" s="66">
        <f t="shared" si="12"/>
        <v>2464</v>
      </c>
      <c r="G25" s="9">
        <f t="shared" si="1"/>
        <v>192710.57415399997</v>
      </c>
      <c r="H25" s="7">
        <f>Sheet1!CP28</f>
        <v>0.18</v>
      </c>
      <c r="I25" s="9">
        <f t="shared" si="2"/>
        <v>34687.903347719992</v>
      </c>
      <c r="J25" s="9">
        <f t="shared" si="3"/>
        <v>227398.47750171996</v>
      </c>
      <c r="K25" s="74">
        <f>48.74+166.6+25.776</f>
        <v>241.11600000000001</v>
      </c>
      <c r="L25" s="1" t="str">
        <f>Sheet1!CT28</f>
        <v>KMS</v>
      </c>
      <c r="M25" s="3">
        <f t="shared" si="4"/>
        <v>54829411.301304713</v>
      </c>
      <c r="N25" s="57">
        <f>+IFERROR(VLOOKUP($N$17,Sheet1!J28:L28,3,0),0)</f>
        <v>270.3</v>
      </c>
      <c r="O25" s="2">
        <f>+IFERROR(VLOOKUP($O$17,Sheet1!J28:L28,3,0),0)</f>
        <v>0</v>
      </c>
      <c r="P25" s="2">
        <f>+IFERROR(VLOOKUP($P$17,Sheet1!J28:M28,3,0),0)</f>
        <v>0</v>
      </c>
      <c r="Q25" s="2">
        <f>+IFERROR(VLOOKUP($Q$17,Sheet1!J28:M28,3,0),0)</f>
        <v>0</v>
      </c>
      <c r="R25" s="2">
        <f>+IFERROR(VLOOKUP($R$17,Sheet1!J28:M28,3,0),0)</f>
        <v>0</v>
      </c>
      <c r="S25" s="2">
        <f>+IFERROR(VLOOKUP($S$17,Sheet1!N28:Q28,3,0),0)</f>
        <v>0</v>
      </c>
      <c r="T25" s="2">
        <f>+IFERROR(VLOOKUP($T$17,Sheet1!N28:Q28,3,0),0)</f>
        <v>0</v>
      </c>
      <c r="U25" s="2">
        <f>+IFERROR(VLOOKUP($U$17,Sheet1!F28:I28,3,0),0)</f>
        <v>0</v>
      </c>
      <c r="V25" s="2">
        <f>+IFERROR(VLOOKUP($V$17,Sheet1!F28:I28,3,0),0)</f>
        <v>0</v>
      </c>
      <c r="W25" s="2">
        <f>+IFERROR(VLOOKUP($W$17,Sheet1!F28:I28,3,0),0)</f>
        <v>0</v>
      </c>
      <c r="X25" s="2">
        <f>+IFERROR(VLOOKUP($X$17,Sheet1!F28:I28,3,0),0)</f>
        <v>0</v>
      </c>
      <c r="Y25" s="2">
        <f>+IFERROR(VLOOKUP($Y$17,Sheet1!F28:I28,3,0),0)</f>
        <v>0</v>
      </c>
      <c r="Z25" s="2">
        <f>+IFERROR(VLOOKUP($Z$17,Sheet1!F28:I28,3,0),0)</f>
        <v>0</v>
      </c>
      <c r="AA25" s="2">
        <f>+IFERROR(VLOOKUP($AA$17,Sheet1!F28:I28,3,0),0)</f>
        <v>0</v>
      </c>
      <c r="AB25" s="2">
        <f>+IFERROR(VLOOKUP($AB$17,Sheet1!F28:I28,3,0),0)</f>
        <v>0</v>
      </c>
      <c r="AC25" s="2">
        <f>+IFERROR(VLOOKUP($AC$17,Sheet1!R28:U28,3,0),0)</f>
        <v>0</v>
      </c>
      <c r="AD25" s="13">
        <f>+IFERROR(VLOOKUP($AD$17,Sheet1!R28:U28,2,0),0)</f>
        <v>0</v>
      </c>
      <c r="AE25" s="2">
        <f>+IFERROR(VLOOKUP($AE$17,Sheet1!V28:Y28,3,0),0)</f>
        <v>0</v>
      </c>
      <c r="AF25" s="56">
        <v>90</v>
      </c>
      <c r="AG25" s="13">
        <f>+IFERROR(VLOOKUP($AG$17,Sheet1!V28:Y28,3,0),0)</f>
        <v>0</v>
      </c>
      <c r="AH25" s="13">
        <f>+IFERROR(VLOOKUP($AH$17,Sheet1!V28:Y28,3,0),0)</f>
        <v>0</v>
      </c>
      <c r="AI25" s="13">
        <f>+IFERROR(VLOOKUP($AI$17,Sheet1!V28:Y28,3,0),0)</f>
        <v>0</v>
      </c>
      <c r="AJ25" s="13">
        <f>+IFERROR(VLOOKUP($AJ$17,Sheet1!V28:Y28,3,0),0)</f>
        <v>0</v>
      </c>
      <c r="AK25" s="13">
        <f>+IFERROR(VLOOKUP($AK$17,Sheet1!Z28:AB28,3,0),0)</f>
        <v>0</v>
      </c>
      <c r="AL25" s="13">
        <f>+IFERROR(VLOOKUP($AL$17,Sheet1!AD28:AG28,3,0),0)</f>
        <v>0</v>
      </c>
      <c r="AM25" s="13">
        <f>+IFERROR(VLOOKUP($AM$17,Sheet1!AD28:AG28,3,0),0)</f>
        <v>0</v>
      </c>
      <c r="AN25" s="13">
        <f>+IFERROR(VLOOKUP($AN$17,Sheet1!AD28:AG28,3,0),0)</f>
        <v>0</v>
      </c>
      <c r="AO25" s="13">
        <f>+IFERROR(VLOOKUP($AO$17,Sheet1!AD28:AG28,3,0),0)</f>
        <v>0</v>
      </c>
      <c r="AP25" s="13">
        <f>+IFERROR(VLOOKUP($AP$17,Sheet1!AD28:AG28,3,0),0)</f>
        <v>0</v>
      </c>
      <c r="AQ25" s="56">
        <v>44</v>
      </c>
      <c r="AR25" s="13">
        <f>+IFERROR(VLOOKUP($AR$17,Sheet1!AD28:AG28,3,0),0)</f>
        <v>0</v>
      </c>
      <c r="AS25" s="13">
        <f>+IFERROR(VLOOKUP($AS$17,Sheet1!AH28:AK28,3,0),0)</f>
        <v>0</v>
      </c>
      <c r="AT25" s="13">
        <f>+IFERROR(VLOOKUP($AT$17,Sheet1!AH28:AK28,3,0),0)</f>
        <v>0</v>
      </c>
      <c r="AU25" s="13">
        <f>+IFERROR(VLOOKUP($AU$17,Sheet1!AH28:AK28,3,0),0)</f>
        <v>0</v>
      </c>
      <c r="AV25" s="13">
        <f>+IFERROR(VLOOKUP($AV$17,Sheet1!AH28:AK28,3,0),0)</f>
        <v>0</v>
      </c>
      <c r="AW25" s="13">
        <f>+IFERROR(VLOOKUP($AW$17,Sheet1!AH28:AK28,3,0),0)</f>
        <v>0</v>
      </c>
      <c r="AX25" s="13">
        <f>+IFERROR(VLOOKUP($AX$17,Sheet1!AH28:AK28,3,0),0)</f>
        <v>0</v>
      </c>
      <c r="AY25" s="13">
        <f>+IFERROR(VLOOKUP($AY$17,Sheet1!AH28:AK28,3,0),0)</f>
        <v>0</v>
      </c>
      <c r="AZ25" s="13">
        <f>+IFERROR(VLOOKUP($AZ$17,Sheet1!AH28:AK28,3,0),0)</f>
        <v>0</v>
      </c>
      <c r="BA25" s="56">
        <v>641</v>
      </c>
      <c r="BB25" s="13">
        <f>+IFERROR(VLOOKUP($BB$17,Sheet1!AH28:AK28,3,0),0)</f>
        <v>0</v>
      </c>
      <c r="BC25" s="13">
        <f>+IFERROR(VLOOKUP($BC$17,Sheet1!AL28:AO28,3,0),0)</f>
        <v>0</v>
      </c>
      <c r="BD25" s="13">
        <f>+IFERROR(VLOOKUP($BD$17,Sheet1!AL28:AO28,3,0),0)</f>
        <v>0</v>
      </c>
      <c r="BE25" s="13">
        <f>+IFERROR(VLOOKUP($BE$17,Sheet1!AL28:AO28,3,0),0)</f>
        <v>0</v>
      </c>
      <c r="BF25" s="56">
        <v>190</v>
      </c>
      <c r="BG25" s="13">
        <f>+IFERROR(VLOOKUP($BG$17,Sheet1!AL28:AO28,3,0),0)</f>
        <v>0</v>
      </c>
      <c r="BH25" s="13">
        <f>+IFERROR(VLOOKUP($BH$17,Sheet1!AL28:AO28,3,0),0)</f>
        <v>0</v>
      </c>
      <c r="BI25" s="13">
        <f>+IFERROR(VLOOKUP($BI$17,Sheet1!AL28:AO28,3,0),0)</f>
        <v>0</v>
      </c>
      <c r="BJ25" s="13">
        <f>+IFERROR(VLOOKUP($BJ$17,Sheet1!AL28:AO28,3,0),0)</f>
        <v>0</v>
      </c>
      <c r="BK25" s="13">
        <f>+IFERROR(VLOOKUP($BK$17,Sheet1!AL28:AO28,3,0),0)</f>
        <v>0</v>
      </c>
      <c r="BL25" s="13">
        <f>+IFERROR(VLOOKUP($BL$17,Sheet1!AL28:AO28,3,0),0)</f>
        <v>0</v>
      </c>
      <c r="BM25" s="13">
        <f>+IFERROR(VLOOKUP($BM$17,Sheet1!AP28:AS28,3,0),0)</f>
        <v>0</v>
      </c>
      <c r="BN25" s="13">
        <f>+IFERROR(VLOOKUP($BN$17,Sheet1!AT28:AW28,3,0),0)</f>
        <v>0</v>
      </c>
      <c r="BO25" s="13">
        <f>+IFERROR(VLOOKUP($BO$17,Sheet1!AX28:BA28,3,0),0)</f>
        <v>0</v>
      </c>
      <c r="BP25" s="13">
        <f>+IFERROR(VLOOKUP($BP$17,Sheet1!BB28:BE28,3,0),0)</f>
        <v>0</v>
      </c>
      <c r="BQ25" s="13">
        <f>+IFERROR(VLOOKUP($BQ$17,Sheet1!BF28:BI28,3,0),0)</f>
        <v>0</v>
      </c>
      <c r="BR25" s="13">
        <f>+IFERROR(VLOOKUP($BR$17,Sheet1!BJ28:BM28,3,0),0)</f>
        <v>0</v>
      </c>
      <c r="BS25" s="13">
        <f>+IFERROR(VLOOKUP($BS$17,Sheet1!BN28:BQ28,3,0),0)</f>
        <v>0</v>
      </c>
      <c r="BT25" s="56">
        <v>16</v>
      </c>
      <c r="BU25" s="13">
        <f>+IFERROR(VLOOKUP($BU$17,Sheet1!BV28:BY28,3,0),0)</f>
        <v>0</v>
      </c>
      <c r="BV25" s="13" t="str">
        <f>Sheet1!E28</f>
        <v>WOOD</v>
      </c>
      <c r="BW25" s="13" t="str">
        <f>Sheet1!CV28</f>
        <v>MD0100090</v>
      </c>
      <c r="BX25" s="13" t="str">
        <f>Sheet1!CW28</f>
        <v>DRUM - 43 X 15 X 36 X 2.5</v>
      </c>
      <c r="BY25" s="13">
        <f>Sheet1!CX28</f>
        <v>1000</v>
      </c>
      <c r="BZ25" s="3">
        <f>Sheet1!BZ28</f>
        <v>3505.61</v>
      </c>
      <c r="CA25" s="3">
        <f t="shared" si="5"/>
        <v>156530.00999999998</v>
      </c>
      <c r="CB25" s="23">
        <f>Sheet1!CB28</f>
        <v>0</v>
      </c>
      <c r="CC25" s="3">
        <f t="shared" si="6"/>
        <v>0</v>
      </c>
      <c r="CD25" s="44">
        <v>0.18</v>
      </c>
      <c r="CE25" s="3">
        <f t="shared" si="7"/>
        <v>28175.401799999996</v>
      </c>
      <c r="CF25" s="44">
        <v>0</v>
      </c>
      <c r="CG25" s="3">
        <f t="shared" si="8"/>
        <v>0</v>
      </c>
      <c r="CH25" s="3">
        <f t="shared" si="9"/>
        <v>184705.41179999997</v>
      </c>
      <c r="CI25" s="44">
        <v>0.02</v>
      </c>
      <c r="CJ25" s="1">
        <f t="shared" si="10"/>
        <v>3694.1082359999996</v>
      </c>
      <c r="CK25" s="44">
        <v>0.01</v>
      </c>
      <c r="CL25" s="1">
        <f t="shared" si="11"/>
        <v>1847.0541179999998</v>
      </c>
      <c r="CM25">
        <v>75</v>
      </c>
      <c r="CN25">
        <v>25</v>
      </c>
    </row>
    <row r="26" spans="1:92" x14ac:dyDescent="0.25">
      <c r="A26" s="1" t="str">
        <f>Sheet1!A12</f>
        <v>ENQ-12232-22-23</v>
      </c>
      <c r="B26" s="47">
        <v>45380</v>
      </c>
      <c r="C26" s="1" t="str">
        <f>Sheet1!C12</f>
        <v>FA0900116</v>
      </c>
      <c r="D26" s="73" t="str">
        <f>Sheet1!D12</f>
        <v>4 CORE X 50 SQ. MM. AL/ARD - WIRE (XLPE)</v>
      </c>
      <c r="E26" s="3">
        <f t="shared" si="0"/>
        <v>323438.56533799996</v>
      </c>
      <c r="F26" s="66">
        <f t="shared" si="12"/>
        <v>3904</v>
      </c>
      <c r="G26" s="9">
        <f t="shared" si="1"/>
        <v>327342.56533799996</v>
      </c>
      <c r="H26" s="7">
        <f>Sheet1!CP12</f>
        <v>0.18</v>
      </c>
      <c r="I26" s="9">
        <f t="shared" si="2"/>
        <v>58921.66176083999</v>
      </c>
      <c r="J26" s="9">
        <f t="shared" si="3"/>
        <v>386264.22709883994</v>
      </c>
      <c r="K26" s="74">
        <f>13.67+14</f>
        <v>27.67</v>
      </c>
      <c r="L26" s="1" t="str">
        <f>Sheet1!CT12</f>
        <v>KMS</v>
      </c>
      <c r="M26" s="3">
        <f t="shared" si="4"/>
        <v>10687931.163824901</v>
      </c>
      <c r="N26" s="57">
        <v>541</v>
      </c>
      <c r="O26" s="2">
        <f>+IFERROR(VLOOKUP($O$17,Sheet1!J12:L12,3,0),0)</f>
        <v>0</v>
      </c>
      <c r="P26" s="2">
        <f>+IFERROR(VLOOKUP($P$17,Sheet1!J12:M12,3,0),0)</f>
        <v>0</v>
      </c>
      <c r="Q26" s="2">
        <f>+IFERROR(VLOOKUP($Q$17,Sheet1!J12:M12,3,0),0)</f>
        <v>0</v>
      </c>
      <c r="R26" s="2">
        <f>+IFERROR(VLOOKUP($R$17,Sheet1!J12:M12,3,0),0)</f>
        <v>0</v>
      </c>
      <c r="S26" s="2">
        <f>+IFERROR(VLOOKUP($S$17,Sheet1!N12:Q12,3,0),0)</f>
        <v>0</v>
      </c>
      <c r="T26" s="2">
        <f>+IFERROR(VLOOKUP($T$17,Sheet1!N12:Q12,3,0),0)</f>
        <v>0</v>
      </c>
      <c r="U26" s="2">
        <f>+IFERROR(VLOOKUP($U$17,Sheet1!F12:I12,3,0),0)</f>
        <v>0</v>
      </c>
      <c r="V26" s="2">
        <f>+IFERROR(VLOOKUP($V$17,Sheet1!F12:I12,3,0),0)</f>
        <v>0</v>
      </c>
      <c r="W26" s="2">
        <f>+IFERROR(VLOOKUP($W$17,Sheet1!F12:I12,3,0),0)</f>
        <v>0</v>
      </c>
      <c r="X26" s="2">
        <f>+IFERROR(VLOOKUP($X$17,Sheet1!F12:I12,3,0),0)</f>
        <v>0</v>
      </c>
      <c r="Y26" s="2">
        <f>+IFERROR(VLOOKUP($Y$17,Sheet1!F12:I12,3,0),0)</f>
        <v>0</v>
      </c>
      <c r="Z26" s="2">
        <f>+IFERROR(VLOOKUP($Z$17,Sheet1!F12:I12,3,0),0)</f>
        <v>0</v>
      </c>
      <c r="AA26" s="2">
        <f>+IFERROR(VLOOKUP($AA$17,Sheet1!F12:I12,3,0),0)</f>
        <v>0</v>
      </c>
      <c r="AB26" s="2">
        <f>+IFERROR(VLOOKUP($AB$17,Sheet1!F12:I12,3,0),0)</f>
        <v>0</v>
      </c>
      <c r="AC26" s="2">
        <f>+IFERROR(VLOOKUP($AC$17,Sheet1!R12:U12,3,0),0)</f>
        <v>0</v>
      </c>
      <c r="AD26" s="13">
        <f>+IFERROR(VLOOKUP($AD$17,Sheet1!R12:U12,2,0),0)</f>
        <v>0</v>
      </c>
      <c r="AE26" s="2">
        <f>+IFERROR(VLOOKUP($AE$17,Sheet1!V12:Y12,3,0),0)</f>
        <v>0</v>
      </c>
      <c r="AF26" s="56">
        <v>119</v>
      </c>
      <c r="AG26" s="13">
        <f>+IFERROR(VLOOKUP($AG$17,Sheet1!V12:Y12,3,0),0)</f>
        <v>0</v>
      </c>
      <c r="AH26" s="13">
        <f>+IFERROR(VLOOKUP($AH$17,Sheet1!V12:Y12,3,0),0)</f>
        <v>0</v>
      </c>
      <c r="AI26" s="13">
        <f>+IFERROR(VLOOKUP($AI$17,Sheet1!V12:Y12,3,0),0)</f>
        <v>0</v>
      </c>
      <c r="AJ26" s="13">
        <f>+IFERROR(VLOOKUP($AJ$17,Sheet1!V12:Y12,3,0),0)</f>
        <v>0</v>
      </c>
      <c r="AK26" s="13">
        <f>+IFERROR(VLOOKUP($AK$17,Sheet1!Z12:AB12,3,0),0)</f>
        <v>0</v>
      </c>
      <c r="AL26" s="13">
        <f>+IFERROR(VLOOKUP($AL$17,Sheet1!AD12:AG12,3,0),0)</f>
        <v>0</v>
      </c>
      <c r="AM26" s="13">
        <f>+IFERROR(VLOOKUP($AM$17,Sheet1!AD12:AG12,3,0),0)</f>
        <v>0</v>
      </c>
      <c r="AN26" s="13">
        <f>+IFERROR(VLOOKUP($AN$17,Sheet1!AD12:AG12,3,0),0)</f>
        <v>0</v>
      </c>
      <c r="AO26" s="13">
        <f>+IFERROR(VLOOKUP($AO$17,Sheet1!AD12:AG12,3,0),0)</f>
        <v>0</v>
      </c>
      <c r="AP26" s="13">
        <f>+IFERROR(VLOOKUP($AP$17,Sheet1!AD12:AG12,3,0),0)</f>
        <v>0</v>
      </c>
      <c r="AQ26" s="56">
        <v>56</v>
      </c>
      <c r="AR26" s="13">
        <f>+IFERROR(VLOOKUP($AR$17,Sheet1!AD12:AG12,3,0),0)</f>
        <v>0</v>
      </c>
      <c r="AS26" s="13">
        <f>+IFERROR(VLOOKUP($AS$17,Sheet1!AH12:AK12,3,0),0)</f>
        <v>0</v>
      </c>
      <c r="AT26" s="13">
        <f>+IFERROR(VLOOKUP($AT$17,Sheet1!AH12:AK12,3,0),0)</f>
        <v>0</v>
      </c>
      <c r="AU26" s="13">
        <f>+IFERROR(VLOOKUP($AU$17,Sheet1!AH12:AK12,3,0),0)</f>
        <v>0</v>
      </c>
      <c r="AV26" s="13">
        <f>+IFERROR(VLOOKUP($AV$17,Sheet1!AH12:AK12,3,0),0)</f>
        <v>0</v>
      </c>
      <c r="AW26" s="13">
        <f>+IFERROR(VLOOKUP($AW$17,Sheet1!AH12:AK12,3,0),0)</f>
        <v>0</v>
      </c>
      <c r="AX26" s="13">
        <f>+IFERROR(VLOOKUP($AX$17,Sheet1!AH12:AK12,3,0),0)</f>
        <v>0</v>
      </c>
      <c r="AY26" s="13">
        <f>+IFERROR(VLOOKUP($AY$17,Sheet1!AH12:AK12,3,0),0)</f>
        <v>0</v>
      </c>
      <c r="AZ26" s="13">
        <f>+IFERROR(VLOOKUP($AZ$17,Sheet1!AH12:AK12,3,0),0)</f>
        <v>0</v>
      </c>
      <c r="BA26" s="56">
        <v>1042</v>
      </c>
      <c r="BB26" s="13">
        <f>+IFERROR(VLOOKUP($BB$17,Sheet1!AH12:AK12,3,0),0)</f>
        <v>0</v>
      </c>
      <c r="BC26" s="13">
        <f>+IFERROR(VLOOKUP($BC$17,Sheet1!AL12:AO12,3,0),0)</f>
        <v>0</v>
      </c>
      <c r="BD26" s="13">
        <f>+IFERROR(VLOOKUP($BD$17,Sheet1!AL12:AO12,3,0),0)</f>
        <v>0</v>
      </c>
      <c r="BE26" s="13">
        <f>+IFERROR(VLOOKUP($BE$17,Sheet1!AL12:AO12,3,0),0)</f>
        <v>0</v>
      </c>
      <c r="BF26" s="56">
        <v>260</v>
      </c>
      <c r="BG26" s="13">
        <f>+IFERROR(VLOOKUP($BG$17,Sheet1!AL12:AO12,3,0),0)</f>
        <v>0</v>
      </c>
      <c r="BH26" s="13">
        <f>+IFERROR(VLOOKUP($BH$17,Sheet1!AL12:AO12,3,0),0)</f>
        <v>0</v>
      </c>
      <c r="BI26" s="13">
        <f>+IFERROR(VLOOKUP($BI$17,Sheet1!AL12:AO12,3,0),0)</f>
        <v>0</v>
      </c>
      <c r="BJ26" s="13">
        <f>+IFERROR(VLOOKUP($BJ$17,Sheet1!AL12:AO12,3,0),0)</f>
        <v>0</v>
      </c>
      <c r="BK26" s="13">
        <f>+IFERROR(VLOOKUP($BK$17,Sheet1!AL12:AO12,3,0),0)</f>
        <v>0</v>
      </c>
      <c r="BL26" s="13">
        <f>+IFERROR(VLOOKUP($BL$17,Sheet1!AL12:AO12,3,0),0)</f>
        <v>0</v>
      </c>
      <c r="BM26" s="13">
        <f>+IFERROR(VLOOKUP($BM$17,Sheet1!AP12:AS12,3,0),0)</f>
        <v>0</v>
      </c>
      <c r="BN26" s="13">
        <f>+IFERROR(VLOOKUP($BN$17,Sheet1!AT12:AW12,3,0),0)</f>
        <v>0</v>
      </c>
      <c r="BO26" s="13">
        <f>+IFERROR(VLOOKUP($BO$17,Sheet1!AX12:BA12,3,0),0)</f>
        <v>0</v>
      </c>
      <c r="BP26" s="13">
        <f>+IFERROR(VLOOKUP($BP$17,Sheet1!BB12:BE12,3,0),0)</f>
        <v>0</v>
      </c>
      <c r="BQ26" s="13">
        <f>+IFERROR(VLOOKUP($BQ$17,Sheet1!BF12:BI12,3,0),0)</f>
        <v>0</v>
      </c>
      <c r="BR26" s="13">
        <f>+IFERROR(VLOOKUP($BR$17,Sheet1!BJ12:BM12,3,0),0)</f>
        <v>0</v>
      </c>
      <c r="BS26" s="13">
        <f>+IFERROR(VLOOKUP($BS$17,Sheet1!BN12:BQ12,3,0),0)</f>
        <v>0</v>
      </c>
      <c r="BT26" s="56">
        <v>20</v>
      </c>
      <c r="BU26" s="13">
        <f>+IFERROR(VLOOKUP($BU$17,Sheet1!BV12:BY12,3,0),0)</f>
        <v>0</v>
      </c>
      <c r="BV26" s="13" t="str">
        <f>Sheet1!E12</f>
        <v>WOOD</v>
      </c>
      <c r="BW26" s="13" t="str">
        <f>Sheet1!CV12</f>
        <v>MD0100068</v>
      </c>
      <c r="BX26" s="13" t="str">
        <f>Sheet1!CW12</f>
        <v>DRUM - 54 X 20 X 36 X 2.5</v>
      </c>
      <c r="BY26" s="13">
        <f>Sheet1!CX12</f>
        <v>1000</v>
      </c>
      <c r="BZ26" s="3">
        <f>Sheet1!BZ12</f>
        <v>5708.97</v>
      </c>
      <c r="CA26" s="3">
        <f t="shared" si="5"/>
        <v>266116.96999999997</v>
      </c>
      <c r="CB26" s="23">
        <f>Sheet1!CB12</f>
        <v>0</v>
      </c>
      <c r="CC26" s="3">
        <f t="shared" si="6"/>
        <v>0</v>
      </c>
      <c r="CD26" s="44">
        <v>0.18</v>
      </c>
      <c r="CE26" s="3">
        <f t="shared" si="7"/>
        <v>47901.054599999996</v>
      </c>
      <c r="CF26" s="44">
        <v>0</v>
      </c>
      <c r="CG26" s="3">
        <f t="shared" si="8"/>
        <v>0</v>
      </c>
      <c r="CH26" s="3">
        <f t="shared" si="9"/>
        <v>314018.02459999995</v>
      </c>
      <c r="CI26" s="44">
        <v>0.02</v>
      </c>
      <c r="CJ26" s="1">
        <f t="shared" si="10"/>
        <v>6280.3604919999989</v>
      </c>
      <c r="CK26" s="44">
        <v>0.01</v>
      </c>
      <c r="CL26" s="1">
        <f t="shared" si="11"/>
        <v>3140.1802459999994</v>
      </c>
      <c r="CM26">
        <v>150</v>
      </c>
      <c r="CN26">
        <v>30</v>
      </c>
    </row>
    <row r="27" spans="1:92" x14ac:dyDescent="0.25">
      <c r="A27" s="1" t="str">
        <f>Sheet1!A30</f>
        <v>ENQ-12232-22-23</v>
      </c>
      <c r="B27" s="47">
        <v>45380</v>
      </c>
      <c r="C27" s="1" t="str">
        <f>Sheet1!C30</f>
        <v>FA1100094</v>
      </c>
      <c r="D27" s="73" t="str">
        <f>Sheet1!D30</f>
        <v>4 CORE X 95 SQ. MM. ALU/ARD - WIRE (XLPE)</v>
      </c>
      <c r="E27" s="3">
        <f t="shared" si="0"/>
        <v>523865.03819599998</v>
      </c>
      <c r="F27" s="66">
        <f t="shared" si="12"/>
        <v>6130</v>
      </c>
      <c r="G27" s="9">
        <f t="shared" si="1"/>
        <v>529995.03819600004</v>
      </c>
      <c r="H27" s="7">
        <f>Sheet1!CP30</f>
        <v>0.18</v>
      </c>
      <c r="I27" s="9">
        <f t="shared" si="2"/>
        <v>95399.106875280006</v>
      </c>
      <c r="J27" s="9">
        <f t="shared" si="3"/>
        <v>625394.14507128007</v>
      </c>
      <c r="K27" s="73">
        <f>6.27+143.5</f>
        <v>149.77000000000001</v>
      </c>
      <c r="L27" s="1" t="str">
        <f>Sheet1!CT30</f>
        <v>KMS</v>
      </c>
      <c r="M27" s="3">
        <f t="shared" si="4"/>
        <v>93665281.107325628</v>
      </c>
      <c r="N27" s="57">
        <v>1027</v>
      </c>
      <c r="O27" s="2">
        <f>+IFERROR(VLOOKUP($O$17,Sheet1!J30:L30,3,0),0)</f>
        <v>0</v>
      </c>
      <c r="P27" s="2">
        <f>+IFERROR(VLOOKUP($P$17,Sheet1!J30:M30,3,0),0)</f>
        <v>0</v>
      </c>
      <c r="Q27" s="2">
        <f>+IFERROR(VLOOKUP($Q$17,Sheet1!J30:M30,3,0),0)</f>
        <v>0</v>
      </c>
      <c r="R27" s="2">
        <f>+IFERROR(VLOOKUP($R$17,Sheet1!J30:M30,3,0),0)</f>
        <v>0</v>
      </c>
      <c r="S27" s="2">
        <f>+IFERROR(VLOOKUP($S$17,Sheet1!N30:Q30,3,0),0)</f>
        <v>0</v>
      </c>
      <c r="T27" s="2">
        <f>+IFERROR(VLOOKUP($T$17,Sheet1!N30:Q30,3,0),0)</f>
        <v>0</v>
      </c>
      <c r="U27" s="2">
        <f>+IFERROR(VLOOKUP($U$17,Sheet1!F30:I30,3,0),0)</f>
        <v>0</v>
      </c>
      <c r="V27" s="2">
        <f>+IFERROR(VLOOKUP($V$17,Sheet1!F30:I30,3,0),0)</f>
        <v>0</v>
      </c>
      <c r="W27" s="2">
        <f>+IFERROR(VLOOKUP($W$17,Sheet1!F30:I30,3,0),0)</f>
        <v>0</v>
      </c>
      <c r="X27" s="2">
        <f>+IFERROR(VLOOKUP($X$17,Sheet1!F30:I30,3,0),0)</f>
        <v>0</v>
      </c>
      <c r="Y27" s="2">
        <f>+IFERROR(VLOOKUP($Y$17,Sheet1!F30:I30,3,0),0)</f>
        <v>0</v>
      </c>
      <c r="Z27" s="2">
        <f>+IFERROR(VLOOKUP($Z$17,Sheet1!F30:I30,3,0),0)</f>
        <v>0</v>
      </c>
      <c r="AA27" s="2">
        <f>+IFERROR(VLOOKUP($AA$17,Sheet1!F30:I30,3,0),0)</f>
        <v>0</v>
      </c>
      <c r="AB27" s="2">
        <f>+IFERROR(VLOOKUP($AB$17,Sheet1!F30:I30,3,0),0)</f>
        <v>0</v>
      </c>
      <c r="AC27" s="2">
        <f>+IFERROR(VLOOKUP($AC$17,Sheet1!R30:U30,3,0),0)</f>
        <v>0</v>
      </c>
      <c r="AD27" s="13">
        <f>+IFERROR(VLOOKUP($AD$17,Sheet1!R30:U30,2,0),0)</f>
        <v>0</v>
      </c>
      <c r="AE27" s="2">
        <f>+IFERROR(VLOOKUP($AE$17,Sheet1!V30:Y30,3,0),0)</f>
        <v>0</v>
      </c>
      <c r="AF27" s="56">
        <v>172</v>
      </c>
      <c r="AG27" s="13">
        <f>+IFERROR(VLOOKUP($AG$17,Sheet1!V30:Y30,3,0),0)</f>
        <v>0</v>
      </c>
      <c r="AH27" s="13">
        <f>+IFERROR(VLOOKUP($AH$17,Sheet1!V30:Y30,3,0),0)</f>
        <v>0</v>
      </c>
      <c r="AI27" s="13">
        <f>+IFERROR(VLOOKUP($AI$17,Sheet1!V30:Y30,3,0),0)</f>
        <v>0</v>
      </c>
      <c r="AJ27" s="13">
        <f>+IFERROR(VLOOKUP($AJ$17,Sheet1!V30:Y30,3,0),0)</f>
        <v>0</v>
      </c>
      <c r="AK27" s="13">
        <f>+IFERROR(VLOOKUP($AK$17,Sheet1!Z30:AB30,3,0),0)</f>
        <v>0</v>
      </c>
      <c r="AL27" s="13">
        <f>+IFERROR(VLOOKUP($AL$17,Sheet1!AD30:AG30,3,0),0)</f>
        <v>0</v>
      </c>
      <c r="AM27" s="13">
        <f>+IFERROR(VLOOKUP($AM$17,Sheet1!AD30:AG30,3,0),0)</f>
        <v>0</v>
      </c>
      <c r="AN27" s="13">
        <f>+IFERROR(VLOOKUP($AN$17,Sheet1!AD30:AG30,3,0),0)</f>
        <v>0</v>
      </c>
      <c r="AO27" s="13">
        <f>+IFERROR(VLOOKUP($AO$17,Sheet1!AD30:AG30,3,0),0)</f>
        <v>0</v>
      </c>
      <c r="AP27" s="13">
        <f>+IFERROR(VLOOKUP($AP$17,Sheet1!AD30:AG30,3,0),0)</f>
        <v>0</v>
      </c>
      <c r="AQ27" s="56">
        <v>89</v>
      </c>
      <c r="AR27" s="13">
        <f>+IFERROR(VLOOKUP($AR$17,Sheet1!AD30:AG30,3,0),0)</f>
        <v>0</v>
      </c>
      <c r="AS27" s="13">
        <f>+IFERROR(VLOOKUP($AS$17,Sheet1!AH30:AK30,3,0),0)</f>
        <v>0</v>
      </c>
      <c r="AT27" s="13">
        <f>+IFERROR(VLOOKUP($AT$17,Sheet1!AH30:AK30,3,0),0)</f>
        <v>0</v>
      </c>
      <c r="AU27" s="13">
        <f>+IFERROR(VLOOKUP($AU$17,Sheet1!AH30:AK30,3,0),0)</f>
        <v>0</v>
      </c>
      <c r="AV27" s="13">
        <f>+IFERROR(VLOOKUP($AV$17,Sheet1!AH30:AK30,3,0),0)</f>
        <v>0</v>
      </c>
      <c r="AW27" s="13">
        <f>+IFERROR(VLOOKUP($AW$17,Sheet1!AH30:AK30,3,0),0)</f>
        <v>0</v>
      </c>
      <c r="AX27" s="13">
        <f>+IFERROR(VLOOKUP($AX$17,Sheet1!AH30:AK30,3,0),0)</f>
        <v>0</v>
      </c>
      <c r="AY27" s="13">
        <f>+IFERROR(VLOOKUP($AY$17,Sheet1!AH30:AK30,3,0),0)</f>
        <v>0</v>
      </c>
      <c r="AZ27" s="13">
        <f>+IFERROR(VLOOKUP($AZ$17,Sheet1!AH30:AK30,3,0),0)</f>
        <v>0</v>
      </c>
      <c r="BA27" s="56">
        <v>1362</v>
      </c>
      <c r="BB27" s="13">
        <f>+IFERROR(VLOOKUP($BB$17,Sheet1!AH30:AK30,3,0),0)</f>
        <v>0</v>
      </c>
      <c r="BC27" s="13">
        <f>+IFERROR(VLOOKUP($BC$17,Sheet1!AL30:AO30,3,0),0)</f>
        <v>0</v>
      </c>
      <c r="BD27" s="13">
        <f>+IFERROR(VLOOKUP($BD$17,Sheet1!AL30:AO30,3,0),0)</f>
        <v>0</v>
      </c>
      <c r="BE27" s="13">
        <f>+IFERROR(VLOOKUP($BE$17,Sheet1!AL30:AO30,3,0),0)</f>
        <v>0</v>
      </c>
      <c r="BF27" s="56">
        <v>358</v>
      </c>
      <c r="BG27" s="13">
        <f>+IFERROR(VLOOKUP($BG$17,Sheet1!AL30:AO30,3,0),0)</f>
        <v>0</v>
      </c>
      <c r="BH27" s="13">
        <f>+IFERROR(VLOOKUP($BH$17,Sheet1!AL30:AO30,3,0),0)</f>
        <v>0</v>
      </c>
      <c r="BI27" s="13">
        <f>+IFERROR(VLOOKUP($BI$17,Sheet1!AL30:AO30,3,0),0)</f>
        <v>0</v>
      </c>
      <c r="BJ27" s="13">
        <f>+IFERROR(VLOOKUP($BJ$17,Sheet1!AL30:AO30,3,0),0)</f>
        <v>0</v>
      </c>
      <c r="BK27" s="13">
        <f>+IFERROR(VLOOKUP($BK$17,Sheet1!AL30:AO30,3,0),0)</f>
        <v>0</v>
      </c>
      <c r="BL27" s="13">
        <f>+IFERROR(VLOOKUP($BL$17,Sheet1!AL30:AO30,3,0),0)</f>
        <v>0</v>
      </c>
      <c r="BM27" s="13">
        <f>+IFERROR(VLOOKUP($BM$17,Sheet1!AP30:AS30,3,0),0)</f>
        <v>0</v>
      </c>
      <c r="BN27" s="13">
        <f>+IFERROR(VLOOKUP($BN$17,Sheet1!AT30:AW30,3,0),0)</f>
        <v>0</v>
      </c>
      <c r="BO27" s="13">
        <f>+IFERROR(VLOOKUP($BO$17,Sheet1!AX30:BA30,3,0),0)</f>
        <v>0</v>
      </c>
      <c r="BP27" s="13">
        <f>+IFERROR(VLOOKUP($BP$17,Sheet1!BB30:BE30,3,0),0)</f>
        <v>0</v>
      </c>
      <c r="BQ27" s="13">
        <f>+IFERROR(VLOOKUP($BQ$17,Sheet1!BF30:BI30,3,0),0)</f>
        <v>0</v>
      </c>
      <c r="BR27" s="13">
        <f>+IFERROR(VLOOKUP($BR$17,Sheet1!BJ30:BM30,3,0),0)</f>
        <v>0</v>
      </c>
      <c r="BS27" s="13">
        <f>+IFERROR(VLOOKUP($BS$17,Sheet1!BN30:BQ30,3,0),0)</f>
        <v>0</v>
      </c>
      <c r="BT27" s="56">
        <v>25</v>
      </c>
      <c r="BU27" s="13">
        <f>+IFERROR(VLOOKUP($BU$17,Sheet1!BV30:BY30,3,0),0)</f>
        <v>0</v>
      </c>
      <c r="BV27" s="13" t="str">
        <f>Sheet1!E30</f>
        <v>WOOD</v>
      </c>
      <c r="BW27" s="13" t="str">
        <f>Sheet1!CV30</f>
        <v>MD0100061</v>
      </c>
      <c r="BX27" s="13" t="str">
        <f>Sheet1!CW30</f>
        <v>DRUM - 56 X 24 X 32 X 3</v>
      </c>
      <c r="BY27" s="13">
        <f>Sheet1!CX30</f>
        <v>500</v>
      </c>
      <c r="BZ27" s="3">
        <f>Sheet1!BZ30</f>
        <v>13713.74</v>
      </c>
      <c r="CA27" s="3">
        <f t="shared" si="5"/>
        <v>431022.74</v>
      </c>
      <c r="CB27" s="23">
        <f>Sheet1!CB30</f>
        <v>0</v>
      </c>
      <c r="CC27" s="3">
        <f t="shared" si="6"/>
        <v>0</v>
      </c>
      <c r="CD27" s="44">
        <v>0.18</v>
      </c>
      <c r="CE27" s="3">
        <f t="shared" si="7"/>
        <v>77584.093199999988</v>
      </c>
      <c r="CF27" s="44">
        <v>0</v>
      </c>
      <c r="CG27" s="3">
        <f t="shared" si="8"/>
        <v>0</v>
      </c>
      <c r="CH27" s="3">
        <f t="shared" si="9"/>
        <v>508606.83319999999</v>
      </c>
      <c r="CI27" s="44">
        <v>0.02</v>
      </c>
      <c r="CJ27" s="1">
        <f t="shared" si="10"/>
        <v>10172.136664</v>
      </c>
      <c r="CK27" s="44">
        <v>0.01</v>
      </c>
      <c r="CL27" s="1">
        <f t="shared" si="11"/>
        <v>5086.0683319999998</v>
      </c>
      <c r="CM27">
        <v>160</v>
      </c>
      <c r="CN27">
        <v>30</v>
      </c>
    </row>
    <row r="28" spans="1:92" x14ac:dyDescent="0.25">
      <c r="A28" s="1" t="str">
        <f>Sheet1!A16</f>
        <v>ENQ-12232-22-23</v>
      </c>
      <c r="B28" s="47">
        <v>45380</v>
      </c>
      <c r="C28" s="1" t="str">
        <f>Sheet1!C16</f>
        <v>FA1100177</v>
      </c>
      <c r="D28" s="73" t="str">
        <f>Sheet1!D16</f>
        <v>4 CORE X 150 SQ. MM. AL/ARD - WIRE (XLPE)</v>
      </c>
      <c r="E28" s="3">
        <f t="shared" si="0"/>
        <v>852046.75064999994</v>
      </c>
      <c r="F28" s="66">
        <f t="shared" si="12"/>
        <v>11444</v>
      </c>
      <c r="G28" s="9">
        <f t="shared" si="1"/>
        <v>863490.75064999994</v>
      </c>
      <c r="H28" s="7">
        <f>Sheet1!CP16</f>
        <v>0.18</v>
      </c>
      <c r="I28" s="9">
        <f t="shared" si="2"/>
        <v>155428.33511699998</v>
      </c>
      <c r="J28" s="9">
        <f t="shared" si="3"/>
        <v>1018919.085767</v>
      </c>
      <c r="K28" s="73">
        <f>1.6+3.5+18.495</f>
        <v>23.594999999999999</v>
      </c>
      <c r="L28" s="1" t="str">
        <f>Sheet1!CT16</f>
        <v>KMS</v>
      </c>
      <c r="M28" s="3">
        <f t="shared" si="4"/>
        <v>24041395.828672364</v>
      </c>
      <c r="N28" s="57">
        <f>+IFERROR(VLOOKUP($N$17,Sheet1!J16:L16,3,0),0)</f>
        <v>1620</v>
      </c>
      <c r="O28" s="2">
        <f>+IFERROR(VLOOKUP($O$17,Sheet1!J16:L16,3,0),0)</f>
        <v>0</v>
      </c>
      <c r="P28" s="2">
        <f>+IFERROR(VLOOKUP($P$17,Sheet1!J16:M16,3,0),0)</f>
        <v>0</v>
      </c>
      <c r="Q28" s="2">
        <f>+IFERROR(VLOOKUP($Q$17,Sheet1!J16:M16,3,0),0)</f>
        <v>0</v>
      </c>
      <c r="R28" s="2">
        <f>+IFERROR(VLOOKUP($R$17,Sheet1!J16:M16,3,0),0)</f>
        <v>0</v>
      </c>
      <c r="S28" s="2">
        <f>+IFERROR(VLOOKUP($S$17,Sheet1!N16:Q16,3,0),0)</f>
        <v>0</v>
      </c>
      <c r="T28" s="2">
        <f>+IFERROR(VLOOKUP($T$17,Sheet1!N16:Q16,3,0),0)</f>
        <v>0</v>
      </c>
      <c r="U28" s="2">
        <f>+IFERROR(VLOOKUP($U$17,Sheet1!F16:I16,3,0),0)</f>
        <v>0</v>
      </c>
      <c r="V28" s="2">
        <f>+IFERROR(VLOOKUP($V$17,Sheet1!F16:I16,3,0),0)</f>
        <v>0</v>
      </c>
      <c r="W28" s="2">
        <f>+IFERROR(VLOOKUP($W$17,Sheet1!F16:I16,3,0),0)</f>
        <v>0</v>
      </c>
      <c r="X28" s="2">
        <f>+IFERROR(VLOOKUP($X$17,Sheet1!F16:I16,3,0),0)</f>
        <v>0</v>
      </c>
      <c r="Y28" s="2">
        <f>+IFERROR(VLOOKUP($Y$17,Sheet1!F16:I16,3,0),0)</f>
        <v>0</v>
      </c>
      <c r="Z28" s="2">
        <f>+IFERROR(VLOOKUP($Z$17,Sheet1!F16:I16,3,0),0)</f>
        <v>0</v>
      </c>
      <c r="AA28" s="2">
        <f>+IFERROR(VLOOKUP($AA$17,Sheet1!F16:I16,3,0),0)</f>
        <v>0</v>
      </c>
      <c r="AB28" s="2">
        <f>+IFERROR(VLOOKUP($AB$17,Sheet1!F16:I16,3,0),0)</f>
        <v>0</v>
      </c>
      <c r="AC28" s="2">
        <f>+IFERROR(VLOOKUP($AC$17,Sheet1!R16:U16,3,0),0)</f>
        <v>0</v>
      </c>
      <c r="AD28" s="13">
        <f>+IFERROR(VLOOKUP($AD$17,Sheet1!R16:U16,2,0),0)</f>
        <v>0</v>
      </c>
      <c r="AE28" s="2">
        <f>+IFERROR(VLOOKUP($AE$17,Sheet1!V16:Y16,3,0),0)</f>
        <v>0</v>
      </c>
      <c r="AF28" s="56">
        <f>+IFERROR(VLOOKUP($AF$17,Sheet1!V16:Y16,3,0),0)</f>
        <v>276</v>
      </c>
      <c r="AG28" s="13">
        <f>+IFERROR(VLOOKUP($AG$17,Sheet1!V16:Y16,3,0),0)</f>
        <v>0</v>
      </c>
      <c r="AH28" s="13">
        <f>+IFERROR(VLOOKUP($AH$17,Sheet1!V16:Y16,3,0),0)</f>
        <v>0</v>
      </c>
      <c r="AI28" s="13">
        <f>+IFERROR(VLOOKUP($AI$17,Sheet1!V16:Y16,3,0),0)</f>
        <v>0</v>
      </c>
      <c r="AJ28" s="13">
        <f>+IFERROR(VLOOKUP($AJ$17,Sheet1!V16:Y16,3,0),0)</f>
        <v>0</v>
      </c>
      <c r="AK28" s="13">
        <f>+IFERROR(VLOOKUP($AK$17,Sheet1!Z16:AB16,3,0),0)</f>
        <v>0</v>
      </c>
      <c r="AL28" s="13">
        <f>+IFERROR(VLOOKUP($AL$17,Sheet1!AD16:AG16,3,0),0)</f>
        <v>0</v>
      </c>
      <c r="AM28" s="13">
        <f>+IFERROR(VLOOKUP($AM$17,Sheet1!AD16:AG16,3,0),0)</f>
        <v>0</v>
      </c>
      <c r="AN28" s="13">
        <f>+IFERROR(VLOOKUP($AN$17,Sheet1!AD16:AG16,3,0),0)</f>
        <v>0</v>
      </c>
      <c r="AO28" s="13">
        <f>+IFERROR(VLOOKUP($AO$17,Sheet1!AD16:AG16,3,0),0)</f>
        <v>0</v>
      </c>
      <c r="AP28" s="13">
        <f>+IFERROR(VLOOKUP($AP$17,Sheet1!AD16:AG16,3,0),0)</f>
        <v>0</v>
      </c>
      <c r="AQ28" s="56">
        <v>135</v>
      </c>
      <c r="AR28" s="13">
        <f>+IFERROR(VLOOKUP($AR$17,Sheet1!AD16:AG16,3,0),0)</f>
        <v>0</v>
      </c>
      <c r="AS28" s="13">
        <f>+IFERROR(VLOOKUP($AS$17,Sheet1!AH16:AK16,3,0),0)</f>
        <v>0</v>
      </c>
      <c r="AT28" s="13">
        <f>+IFERROR(VLOOKUP($AT$17,Sheet1!AH16:AK16,3,0),0)</f>
        <v>0</v>
      </c>
      <c r="AU28" s="13">
        <f>+IFERROR(VLOOKUP($AU$17,Sheet1!AH16:AK16,3,0),0)</f>
        <v>0</v>
      </c>
      <c r="AV28" s="13">
        <f>+IFERROR(VLOOKUP($AV$17,Sheet1!AH16:AK16,3,0),0)</f>
        <v>0</v>
      </c>
      <c r="AW28" s="13">
        <f>+IFERROR(VLOOKUP($AW$17,Sheet1!AH16:AK16,3,0),0)</f>
        <v>0</v>
      </c>
      <c r="AX28" s="13">
        <f>+IFERROR(VLOOKUP($AX$17,Sheet1!AH16:AK16,3,0),0)</f>
        <v>0</v>
      </c>
      <c r="AY28" s="13">
        <f>+IFERROR(VLOOKUP($AY$17,Sheet1!AH16:AK16,3,0),0)</f>
        <v>0</v>
      </c>
      <c r="AZ28" s="13">
        <f>+IFERROR(VLOOKUP($AZ$17,Sheet1!AH16:AK16,3,0),0)</f>
        <v>0</v>
      </c>
      <c r="BA28" s="56">
        <v>2290</v>
      </c>
      <c r="BB28" s="13">
        <f>+IFERROR(VLOOKUP($BB$17,Sheet1!AH16:AK16,3,0),0)</f>
        <v>0</v>
      </c>
      <c r="BC28" s="13">
        <f>+IFERROR(VLOOKUP($BC$17,Sheet1!AL16:AO16,3,0),0)</f>
        <v>0</v>
      </c>
      <c r="BD28" s="13">
        <f>+IFERROR(VLOOKUP($BD$17,Sheet1!AL16:AO16,3,0),0)</f>
        <v>0</v>
      </c>
      <c r="BE28" s="13">
        <f>+IFERROR(VLOOKUP($BE$17,Sheet1!AL16:AO16,3,0),0)</f>
        <v>0</v>
      </c>
      <c r="BF28" s="56">
        <v>530</v>
      </c>
      <c r="BG28" s="13">
        <f>+IFERROR(VLOOKUP($BG$17,Sheet1!AL16:AO16,3,0),0)</f>
        <v>0</v>
      </c>
      <c r="BH28" s="13">
        <f>+IFERROR(VLOOKUP($BH$17,Sheet1!AL16:AO16,3,0),0)</f>
        <v>0</v>
      </c>
      <c r="BI28" s="13">
        <f>+IFERROR(VLOOKUP($BI$17,Sheet1!AL16:AO16,3,0),0)</f>
        <v>0</v>
      </c>
      <c r="BJ28" s="13">
        <f>+IFERROR(VLOOKUP($BJ$17,Sheet1!AL16:AO16,3,0),0)</f>
        <v>0</v>
      </c>
      <c r="BK28" s="13">
        <f>+IFERROR(VLOOKUP($BK$17,Sheet1!AL16:AO16,3,0),0)</f>
        <v>0</v>
      </c>
      <c r="BL28" s="13">
        <f>+IFERROR(VLOOKUP($BL$17,Sheet1!AL16:AO16,3,0),0)</f>
        <v>0</v>
      </c>
      <c r="BM28" s="13">
        <f>+IFERROR(VLOOKUP($BM$17,Sheet1!AP16:AS16,3,0),0)</f>
        <v>0</v>
      </c>
      <c r="BN28" s="56">
        <v>55</v>
      </c>
      <c r="BO28" s="13">
        <f>+IFERROR(VLOOKUP($BO$17,Sheet1!AX16:BA16,3,0),0)</f>
        <v>0</v>
      </c>
      <c r="BP28" s="13">
        <f>+IFERROR(VLOOKUP($BP$17,Sheet1!BB16:BE16,3,0),0)</f>
        <v>0</v>
      </c>
      <c r="BQ28" s="13">
        <f>+IFERROR(VLOOKUP($BQ$17,Sheet1!BF16:BI16,3,0),0)</f>
        <v>0</v>
      </c>
      <c r="BR28" s="13">
        <f>+IFERROR(VLOOKUP($BR$17,Sheet1!BJ16:BM16,3,0),0)</f>
        <v>0</v>
      </c>
      <c r="BS28" s="13">
        <f>+IFERROR(VLOOKUP($BS$17,Sheet1!BN16:BQ16,3,0),0)</f>
        <v>0</v>
      </c>
      <c r="BT28" s="56">
        <v>33</v>
      </c>
      <c r="BU28" s="13">
        <f>+IFERROR(VLOOKUP($BU$17,Sheet1!BV16:BY16,3,0),0)</f>
        <v>0</v>
      </c>
      <c r="BV28" s="13" t="str">
        <f>Sheet1!E16</f>
        <v>WOOD</v>
      </c>
      <c r="BW28" s="13" t="str">
        <f>Sheet1!CV16</f>
        <v>MD0100024</v>
      </c>
      <c r="BX28" s="13" t="str">
        <f>Sheet1!CW16</f>
        <v>DRUM - 70 X 30 X 36 X 3</v>
      </c>
      <c r="BY28" s="13">
        <f>Sheet1!CX16</f>
        <v>500</v>
      </c>
      <c r="BZ28" s="3">
        <f>Sheet1!BZ16</f>
        <v>18867.25</v>
      </c>
      <c r="CA28" s="3">
        <f t="shared" si="5"/>
        <v>701042.25</v>
      </c>
      <c r="CB28" s="23">
        <f>Sheet1!CB16</f>
        <v>0</v>
      </c>
      <c r="CC28" s="3">
        <f t="shared" si="6"/>
        <v>0</v>
      </c>
      <c r="CD28" s="44">
        <v>0.18</v>
      </c>
      <c r="CE28" s="3">
        <f t="shared" si="7"/>
        <v>126187.605</v>
      </c>
      <c r="CF28" s="44">
        <v>0</v>
      </c>
      <c r="CG28" s="3">
        <f t="shared" si="8"/>
        <v>0</v>
      </c>
      <c r="CH28" s="3">
        <f t="shared" si="9"/>
        <v>827229.85499999998</v>
      </c>
      <c r="CI28" s="44">
        <v>0.02</v>
      </c>
      <c r="CJ28" s="1">
        <f t="shared" si="10"/>
        <v>16544.597099999999</v>
      </c>
      <c r="CK28" s="44">
        <v>0.01</v>
      </c>
      <c r="CL28" s="1">
        <f t="shared" si="11"/>
        <v>8272.2985499999995</v>
      </c>
      <c r="CM28">
        <v>260</v>
      </c>
      <c r="CN28">
        <v>55</v>
      </c>
    </row>
    <row r="29" spans="1:92" x14ac:dyDescent="0.25">
      <c r="A29" s="1" t="str">
        <f>Sheet1!A3</f>
        <v>ENQ-12232-22-23</v>
      </c>
      <c r="B29" s="47">
        <v>45380</v>
      </c>
      <c r="C29" s="1" t="str">
        <f>Sheet1!C3</f>
        <v>FA1100091</v>
      </c>
      <c r="D29" s="73" t="str">
        <f>Sheet1!D3</f>
        <v>4 CORE X 240 SQ. MM. AL/ARD - WIRE (XLPE)</v>
      </c>
      <c r="E29" s="3">
        <f t="shared" si="0"/>
        <v>1240725.2897999999</v>
      </c>
      <c r="F29" s="66">
        <f t="shared" si="12"/>
        <v>27000</v>
      </c>
      <c r="G29" s="9">
        <f t="shared" si="1"/>
        <v>1267725.2897999999</v>
      </c>
      <c r="H29" s="7">
        <f>Sheet1!CP3</f>
        <v>0.18</v>
      </c>
      <c r="I29" s="9">
        <f t="shared" si="2"/>
        <v>228190.55216399996</v>
      </c>
      <c r="J29" s="9">
        <f t="shared" si="3"/>
        <v>1495915.8419639999</v>
      </c>
      <c r="K29" s="1">
        <f>Sheet1!CS3</f>
        <v>1</v>
      </c>
      <c r="L29" s="1" t="str">
        <f>Sheet1!CT3</f>
        <v>KMS</v>
      </c>
      <c r="M29" s="3">
        <f t="shared" si="4"/>
        <v>1495915.8419639999</v>
      </c>
      <c r="N29" s="57">
        <v>2595</v>
      </c>
      <c r="O29" s="2">
        <f>+IFERROR(VLOOKUP($O$17,Sheet1!J3:L3,3,0),0)</f>
        <v>0</v>
      </c>
      <c r="P29" s="2">
        <f>+IFERROR(VLOOKUP($P$17,Sheet1!J3:M3,3,0),0)</f>
        <v>0</v>
      </c>
      <c r="Q29" s="2">
        <f>+IFERROR(VLOOKUP($Q$17,Sheet1!J3:M3,3,0),0)</f>
        <v>0</v>
      </c>
      <c r="R29" s="2">
        <f>+IFERROR(VLOOKUP($R$17,Sheet1!J3:M3,3,0),0)</f>
        <v>0</v>
      </c>
      <c r="S29" s="2">
        <f>+IFERROR(VLOOKUP($S$17,Sheet1!N3:Q3,3,0),0)</f>
        <v>0</v>
      </c>
      <c r="T29" s="2">
        <f>+IFERROR(VLOOKUP($T$17,Sheet1!N3:Q3,3,0),0)</f>
        <v>0</v>
      </c>
      <c r="U29" s="2">
        <f>+IFERROR(VLOOKUP($U$17,Sheet1!F3:I3,3,0),0)</f>
        <v>0</v>
      </c>
      <c r="V29" s="2">
        <f>+IFERROR(VLOOKUP($V$17,Sheet1!F3:I3,3,0),0)</f>
        <v>0</v>
      </c>
      <c r="W29" s="2">
        <f>+IFERROR(VLOOKUP($W$17,Sheet1!F3:I3,3,0),0)</f>
        <v>0</v>
      </c>
      <c r="X29" s="2">
        <f>+IFERROR(VLOOKUP($X$17,Sheet1!F3:I3,3,0),0)</f>
        <v>0</v>
      </c>
      <c r="Y29" s="2">
        <f>+IFERROR(VLOOKUP($Y$17,Sheet1!F3:I3,3,0),0)</f>
        <v>0</v>
      </c>
      <c r="Z29" s="2">
        <f>+IFERROR(VLOOKUP($Z$17,Sheet1!F3:I3,3,0),0)</f>
        <v>0</v>
      </c>
      <c r="AA29" s="2">
        <f>+IFERROR(VLOOKUP($AA$17,Sheet1!F3:I3,3,0),0)</f>
        <v>0</v>
      </c>
      <c r="AB29" s="2">
        <f>+IFERROR(VLOOKUP($AB$17,Sheet1!F3:I3,3,0),0)</f>
        <v>0</v>
      </c>
      <c r="AC29" s="2">
        <f>+IFERROR(VLOOKUP($AC$17,Sheet1!R3:U3,3,0),0)</f>
        <v>0</v>
      </c>
      <c r="AD29" s="13">
        <f>+IFERROR(VLOOKUP($AD$17,Sheet1!R3:U3,2,0),0)</f>
        <v>0</v>
      </c>
      <c r="AE29" s="2">
        <f>+IFERROR(VLOOKUP($AE$17,Sheet1!V3:Y3,3,0),0)</f>
        <v>0</v>
      </c>
      <c r="AF29" s="56">
        <v>415</v>
      </c>
      <c r="AG29" s="13">
        <f>+IFERROR(VLOOKUP($AG$17,Sheet1!V3:Y3,3,0),0)</f>
        <v>0</v>
      </c>
      <c r="AH29" s="13">
        <f>+IFERROR(VLOOKUP($AH$17,Sheet1!V3:Y3,3,0),0)</f>
        <v>0</v>
      </c>
      <c r="AI29" s="13">
        <f>+IFERROR(VLOOKUP($AI$17,Sheet1!V3:Y3,3,0),0)</f>
        <v>0</v>
      </c>
      <c r="AJ29" s="13">
        <f>+IFERROR(VLOOKUP($AJ$17,Sheet1!V3:Y3,3,0),0)</f>
        <v>0</v>
      </c>
      <c r="AK29" s="13">
        <f>+IFERROR(VLOOKUP($AK$17,Sheet1!Z3:AB3,3,0),0)</f>
        <v>0</v>
      </c>
      <c r="AL29" s="13">
        <f>+IFERROR(VLOOKUP($AL$17,Sheet1!AD3:AG3,3,0),0)</f>
        <v>0</v>
      </c>
      <c r="AM29" s="13">
        <f>+IFERROR(VLOOKUP($AM$17,Sheet1!AD3:AG3,3,0),0)</f>
        <v>0</v>
      </c>
      <c r="AN29" s="13">
        <f>+IFERROR(VLOOKUP($AN$17,Sheet1!AD3:AG3,3,0),0)</f>
        <v>0</v>
      </c>
      <c r="AO29" s="13">
        <f>+IFERROR(VLOOKUP($AO$17,Sheet1!AD3:AG3,3,0),0)</f>
        <v>0</v>
      </c>
      <c r="AP29" s="13">
        <f>+IFERROR(VLOOKUP($AP$17,Sheet1!AD3:AG3,3,0),0)</f>
        <v>0</v>
      </c>
      <c r="AQ29" s="56">
        <v>185</v>
      </c>
      <c r="AR29" s="13">
        <f>+IFERROR(VLOOKUP($AR$17,Sheet1!AD3:AG3,3,0),0)</f>
        <v>0</v>
      </c>
      <c r="AS29" s="13">
        <f>+IFERROR(VLOOKUP($AS$17,Sheet1!AH3:AK3,3,0),0)</f>
        <v>0</v>
      </c>
      <c r="AT29" s="13">
        <f>+IFERROR(VLOOKUP($AT$17,Sheet1!AH3:AK3,3,0),0)</f>
        <v>0</v>
      </c>
      <c r="AU29" s="13">
        <f>+IFERROR(VLOOKUP($AU$17,Sheet1!AH3:AK3,3,0),0)</f>
        <v>0</v>
      </c>
      <c r="AV29" s="13">
        <f>+IFERROR(VLOOKUP($AV$17,Sheet1!AH3:AK3,3,0),0)</f>
        <v>0</v>
      </c>
      <c r="AW29" s="13">
        <f>+IFERROR(VLOOKUP($AW$17,Sheet1!AH3:AK3,3,0),0)</f>
        <v>0</v>
      </c>
      <c r="AX29" s="13">
        <f>+IFERROR(VLOOKUP($AX$17,Sheet1!AH3:AK3,3,0),0)</f>
        <v>0</v>
      </c>
      <c r="AY29" s="13">
        <f>+IFERROR(VLOOKUP($AY$17,Sheet1!AH3:AK3,3,0),0)</f>
        <v>0</v>
      </c>
      <c r="AZ29" s="13">
        <f>+IFERROR(VLOOKUP($AZ$17,Sheet1!AH3:AK3,3,0),0)</f>
        <v>0</v>
      </c>
      <c r="BA29" s="56">
        <v>2800</v>
      </c>
      <c r="BB29" s="13">
        <f>+IFERROR(VLOOKUP($BB$17,Sheet1!AH3:AK3,3,0),0)</f>
        <v>0</v>
      </c>
      <c r="BC29" s="13">
        <f>+IFERROR(VLOOKUP($BC$17,Sheet1!AL3:AO3,3,0),0)</f>
        <v>0</v>
      </c>
      <c r="BD29" s="13">
        <f>+IFERROR(VLOOKUP($BD$17,Sheet1!AL3:AO3,3,0),0)</f>
        <v>0</v>
      </c>
      <c r="BE29" s="13">
        <f>+IFERROR(VLOOKUP($BE$17,Sheet1!AL3:AO3,3,0),0)</f>
        <v>0</v>
      </c>
      <c r="BF29" s="56">
        <v>728</v>
      </c>
      <c r="BG29" s="13">
        <f>+IFERROR(VLOOKUP($BG$17,Sheet1!AL3:AO3,3,0),0)</f>
        <v>0</v>
      </c>
      <c r="BH29" s="13">
        <f>+IFERROR(VLOOKUP($BH$17,Sheet1!AL3:AO3,3,0),0)</f>
        <v>0</v>
      </c>
      <c r="BI29" s="13">
        <f>+IFERROR(VLOOKUP($BI$17,Sheet1!AL3:AO3,3,0),0)</f>
        <v>0</v>
      </c>
      <c r="BJ29" s="13">
        <f>+IFERROR(VLOOKUP($BJ$17,Sheet1!AL3:AO3,3,0),0)</f>
        <v>0</v>
      </c>
      <c r="BK29" s="13">
        <f>+IFERROR(VLOOKUP($BK$17,Sheet1!AL3:AO3,3,0),0)</f>
        <v>0</v>
      </c>
      <c r="BL29" s="13">
        <f>+IFERROR(VLOOKUP($BL$17,Sheet1!AL3:AO3,3,0),0)</f>
        <v>0</v>
      </c>
      <c r="BM29" s="13">
        <f>+IFERROR(VLOOKUP($BM$17,Sheet1!AP3:AS3,3,0),0)</f>
        <v>0</v>
      </c>
      <c r="BN29" s="56">
        <v>75</v>
      </c>
      <c r="BO29" s="13">
        <f>+IFERROR(VLOOKUP($BO$17,Sheet1!AX3:BA3,3,0),0)</f>
        <v>0</v>
      </c>
      <c r="BP29" s="13">
        <f>+IFERROR(VLOOKUP($BP$17,Sheet1!BB3:BE3,3,0),0)</f>
        <v>0</v>
      </c>
      <c r="BQ29" s="13">
        <f>+IFERROR(VLOOKUP($BQ$17,Sheet1!BF3:BI3,3,0),0)</f>
        <v>0</v>
      </c>
      <c r="BR29" s="13">
        <f>+IFERROR(VLOOKUP($BR$17,Sheet1!BJ3:BM3,3,0),0)</f>
        <v>0</v>
      </c>
      <c r="BS29" s="13">
        <f>+IFERROR(VLOOKUP($BS$17,Sheet1!BN3:BQ3,3,0),0)</f>
        <v>0</v>
      </c>
      <c r="BT29" s="56">
        <v>39</v>
      </c>
      <c r="BU29" s="13">
        <f>+IFERROR(VLOOKUP($BU$17,Sheet1!BV3:BY3,3,0),0)</f>
        <v>0</v>
      </c>
      <c r="BV29" s="13" t="str">
        <f>Sheet1!E3</f>
        <v>WOOD</v>
      </c>
      <c r="BW29" s="13" t="str">
        <f>Sheet1!CV3</f>
        <v>MD0100048</v>
      </c>
      <c r="BX29" s="13" t="str">
        <f>Sheet1!CW3</f>
        <v>DRUM - 74 X 35 X 39 X 3</v>
      </c>
      <c r="BY29" s="13">
        <f>Sheet1!CX3</f>
        <v>500</v>
      </c>
      <c r="BZ29" s="3">
        <f>Sheet1!BZ3</f>
        <v>27302</v>
      </c>
      <c r="CA29" s="3">
        <f t="shared" si="5"/>
        <v>1020837</v>
      </c>
      <c r="CB29" s="23">
        <f>Sheet1!CB3</f>
        <v>0</v>
      </c>
      <c r="CC29" s="3">
        <f t="shared" si="6"/>
        <v>0</v>
      </c>
      <c r="CD29" s="44">
        <v>0.18</v>
      </c>
      <c r="CE29" s="3">
        <f t="shared" si="7"/>
        <v>183750.66</v>
      </c>
      <c r="CF29" s="44">
        <v>0</v>
      </c>
      <c r="CG29" s="3">
        <f t="shared" si="8"/>
        <v>0</v>
      </c>
      <c r="CH29" s="3">
        <f t="shared" si="9"/>
        <v>1204587.6599999999</v>
      </c>
      <c r="CI29" s="44">
        <v>0.02</v>
      </c>
      <c r="CJ29" s="1">
        <f t="shared" si="10"/>
        <v>24091.753199999999</v>
      </c>
      <c r="CK29" s="44">
        <v>0.01</v>
      </c>
      <c r="CL29" s="1">
        <f t="shared" si="11"/>
        <v>12045.8766</v>
      </c>
      <c r="CM29">
        <v>300</v>
      </c>
      <c r="CN29">
        <v>65</v>
      </c>
    </row>
    <row r="30" spans="1:92" x14ac:dyDescent="0.25">
      <c r="A30" s="1" t="str">
        <f>Sheet1!A18</f>
        <v>ENQ-12232-22-23</v>
      </c>
      <c r="B30" s="47">
        <v>45380</v>
      </c>
      <c r="C30" s="1" t="str">
        <f>Sheet1!C18</f>
        <v>FA1100176</v>
      </c>
      <c r="D30" s="73" t="str">
        <f>Sheet1!D18</f>
        <v>4 CORE X 300 SQ. MM. AL/ARD - WIRE (XLPE)</v>
      </c>
      <c r="E30" s="3">
        <f t="shared" si="0"/>
        <v>1527030.9907999998</v>
      </c>
      <c r="F30" s="66">
        <f t="shared" si="12"/>
        <v>19566</v>
      </c>
      <c r="G30" s="9">
        <f t="shared" si="1"/>
        <v>1546596.9907999998</v>
      </c>
      <c r="H30" s="7">
        <f>Sheet1!CP18</f>
        <v>0.18</v>
      </c>
      <c r="I30" s="9">
        <f t="shared" si="2"/>
        <v>278387.45834399993</v>
      </c>
      <c r="J30" s="9">
        <f t="shared" si="3"/>
        <v>1824984.4491439997</v>
      </c>
      <c r="K30" s="73">
        <f>2.1+10.32</f>
        <v>12.42</v>
      </c>
      <c r="L30" s="1" t="str">
        <f>Sheet1!CT18</f>
        <v>KMS</v>
      </c>
      <c r="M30" s="3">
        <f t="shared" si="4"/>
        <v>22666306.858368475</v>
      </c>
      <c r="N30" s="57">
        <f>+IFERROR(VLOOKUP($N$17,Sheet1!J18:L18,3,0),0)</f>
        <v>3240</v>
      </c>
      <c r="O30" s="2">
        <f>+IFERROR(VLOOKUP($O$17,Sheet1!J18:L18,3,0),0)</f>
        <v>0</v>
      </c>
      <c r="P30" s="2">
        <f>+IFERROR(VLOOKUP($P$17,Sheet1!J18:M18,3,0),0)</f>
        <v>0</v>
      </c>
      <c r="Q30" s="2">
        <f>+IFERROR(VLOOKUP($Q$17,Sheet1!J18:M18,3,0),0)</f>
        <v>0</v>
      </c>
      <c r="R30" s="2">
        <f>+IFERROR(VLOOKUP($R$17,Sheet1!J18:M18,3,0),0)</f>
        <v>0</v>
      </c>
      <c r="S30" s="2">
        <f>+IFERROR(VLOOKUP($S$17,Sheet1!N18:Q18,3,0),0)</f>
        <v>0</v>
      </c>
      <c r="T30" s="2">
        <f>+IFERROR(VLOOKUP($T$17,Sheet1!N18:Q18,3,0),0)</f>
        <v>0</v>
      </c>
      <c r="U30" s="2">
        <f>+IFERROR(VLOOKUP($U$17,Sheet1!F18:I18,3,0),0)</f>
        <v>0</v>
      </c>
      <c r="V30" s="2">
        <f>+IFERROR(VLOOKUP($V$17,Sheet1!F18:I18,3,0),0)</f>
        <v>0</v>
      </c>
      <c r="W30" s="2">
        <f>+IFERROR(VLOOKUP($W$17,Sheet1!F18:I18,3,0),0)</f>
        <v>0</v>
      </c>
      <c r="X30" s="2">
        <f>+IFERROR(VLOOKUP($X$17,Sheet1!F18:I18,3,0),0)</f>
        <v>0</v>
      </c>
      <c r="Y30" s="2">
        <f>+IFERROR(VLOOKUP($Y$17,Sheet1!F18:I18,3,0),0)</f>
        <v>0</v>
      </c>
      <c r="Z30" s="2">
        <f>+IFERROR(VLOOKUP($Z$17,Sheet1!F18:I18,3,0),0)</f>
        <v>0</v>
      </c>
      <c r="AA30" s="2">
        <f>+IFERROR(VLOOKUP($AA$17,Sheet1!F18:I18,3,0),0)</f>
        <v>0</v>
      </c>
      <c r="AB30" s="2">
        <f>+IFERROR(VLOOKUP($AB$17,Sheet1!F18:I18,3,0),0)</f>
        <v>0</v>
      </c>
      <c r="AC30" s="2">
        <f>+IFERROR(VLOOKUP($AC$17,Sheet1!R18:U18,3,0),0)</f>
        <v>0</v>
      </c>
      <c r="AD30" s="13">
        <f>+IFERROR(VLOOKUP($AD$17,Sheet1!R18:U18,2,0),0)</f>
        <v>0</v>
      </c>
      <c r="AE30" s="2">
        <f>+IFERROR(VLOOKUP($AE$17,Sheet1!V18:Y18,3,0),0)</f>
        <v>0</v>
      </c>
      <c r="AF30" s="56">
        <v>500</v>
      </c>
      <c r="AG30" s="13">
        <f>+IFERROR(VLOOKUP($AG$17,Sheet1!V18:Y18,3,0),0)</f>
        <v>0</v>
      </c>
      <c r="AH30" s="13">
        <f>+IFERROR(VLOOKUP($AH$17,Sheet1!V18:Y18,3,0),0)</f>
        <v>0</v>
      </c>
      <c r="AI30" s="13">
        <f>+IFERROR(VLOOKUP($AI$17,Sheet1!V18:Y18,3,0),0)</f>
        <v>0</v>
      </c>
      <c r="AJ30" s="13">
        <f>+IFERROR(VLOOKUP($AJ$17,Sheet1!V18:Y18,3,0),0)</f>
        <v>0</v>
      </c>
      <c r="AK30" s="13">
        <f>+IFERROR(VLOOKUP($AK$17,Sheet1!Z18:AB18,3,0),0)</f>
        <v>0</v>
      </c>
      <c r="AL30" s="13">
        <f>+IFERROR(VLOOKUP($AL$17,Sheet1!AD18:AG18,3,0),0)</f>
        <v>0</v>
      </c>
      <c r="AM30" s="13">
        <f>+IFERROR(VLOOKUP($AM$17,Sheet1!AD18:AG18,3,0),0)</f>
        <v>0</v>
      </c>
      <c r="AN30" s="13">
        <f>+IFERROR(VLOOKUP($AN$17,Sheet1!AD18:AG18,3,0),0)</f>
        <v>0</v>
      </c>
      <c r="AO30" s="13">
        <f>+IFERROR(VLOOKUP($AO$17,Sheet1!AD18:AG18,3,0),0)</f>
        <v>0</v>
      </c>
      <c r="AP30" s="13">
        <f>+IFERROR(VLOOKUP($AP$17,Sheet1!AD18:AG18,3,0),0)</f>
        <v>0</v>
      </c>
      <c r="AQ30" s="56">
        <v>240</v>
      </c>
      <c r="AR30" s="13">
        <f>+IFERROR(VLOOKUP($AR$17,Sheet1!AD18:AG18,3,0),0)</f>
        <v>0</v>
      </c>
      <c r="AS30" s="13">
        <f>+IFERROR(VLOOKUP($AS$17,Sheet1!AH18:AK18,3,0),0)</f>
        <v>0</v>
      </c>
      <c r="AT30" s="13">
        <f>+IFERROR(VLOOKUP($AT$17,Sheet1!AH18:AK18,3,0),0)</f>
        <v>0</v>
      </c>
      <c r="AU30" s="13">
        <f>+IFERROR(VLOOKUP($AU$17,Sheet1!AH18:AK18,3,0),0)</f>
        <v>0</v>
      </c>
      <c r="AV30" s="13">
        <f>+IFERROR(VLOOKUP($AV$17,Sheet1!AH18:AK18,3,0),0)</f>
        <v>0</v>
      </c>
      <c r="AW30" s="13">
        <f>+IFERROR(VLOOKUP($AW$17,Sheet1!AH18:AK18,3,0),0)</f>
        <v>0</v>
      </c>
      <c r="AX30" s="13">
        <f>+IFERROR(VLOOKUP($AX$17,Sheet1!AH18:AK18,3,0),0)</f>
        <v>0</v>
      </c>
      <c r="AY30" s="13">
        <f>+IFERROR(VLOOKUP($AY$17,Sheet1!AH18:AK18,3,0),0)</f>
        <v>0</v>
      </c>
      <c r="AZ30" s="13">
        <f>+IFERROR(VLOOKUP($AZ$17,Sheet1!AH18:AK18,3,0),0)</f>
        <v>0</v>
      </c>
      <c r="BA30" s="56">
        <v>3118</v>
      </c>
      <c r="BB30" s="13">
        <f>+IFERROR(VLOOKUP($BB$17,Sheet1!AH18:AK18,3,0),0)</f>
        <v>0</v>
      </c>
      <c r="BC30" s="13">
        <f>+IFERROR(VLOOKUP($BC$17,Sheet1!AL18:AO18,3,0),0)</f>
        <v>0</v>
      </c>
      <c r="BD30" s="13">
        <f>+IFERROR(VLOOKUP($BD$17,Sheet1!AL18:AO18,3,0),0)</f>
        <v>0</v>
      </c>
      <c r="BE30" s="13">
        <f>+IFERROR(VLOOKUP($BE$17,Sheet1!AL18:AO18,3,0),0)</f>
        <v>0</v>
      </c>
      <c r="BF30" s="56">
        <v>880</v>
      </c>
      <c r="BG30" s="13">
        <f>+IFERROR(VLOOKUP($BG$17,Sheet1!AL18:AO18,3,0),0)</f>
        <v>0</v>
      </c>
      <c r="BH30" s="13">
        <f>+IFERROR(VLOOKUP($BH$17,Sheet1!AL18:AO18,3,0),0)</f>
        <v>0</v>
      </c>
      <c r="BI30" s="13">
        <f>+IFERROR(VLOOKUP($BI$17,Sheet1!AL18:AO18,3,0),0)</f>
        <v>0</v>
      </c>
      <c r="BJ30" s="13">
        <f>+IFERROR(VLOOKUP($BJ$17,Sheet1!AL18:AO18,3,0),0)</f>
        <v>0</v>
      </c>
      <c r="BK30" s="13">
        <f>+IFERROR(VLOOKUP($BK$17,Sheet1!AL18:AO18,3,0),0)</f>
        <v>0</v>
      </c>
      <c r="BL30" s="13">
        <f>+IFERROR(VLOOKUP($BL$17,Sheet1!AL18:AO18,3,0),0)</f>
        <v>0</v>
      </c>
      <c r="BM30" s="13">
        <f>+IFERROR(VLOOKUP($BM$17,Sheet1!AP18:AS18,3,0),0)</f>
        <v>0</v>
      </c>
      <c r="BN30" s="56">
        <v>112</v>
      </c>
      <c r="BO30" s="13">
        <f>+IFERROR(VLOOKUP($BO$17,Sheet1!AX18:BA18,3,0),0)</f>
        <v>0</v>
      </c>
      <c r="BP30" s="13">
        <f>+IFERROR(VLOOKUP($BP$17,Sheet1!BB18:BE18,3,0),0)</f>
        <v>0</v>
      </c>
      <c r="BQ30" s="13">
        <f>+IFERROR(VLOOKUP($BQ$17,Sheet1!BF18:BI18,3,0),0)</f>
        <v>0</v>
      </c>
      <c r="BR30" s="13">
        <f>+IFERROR(VLOOKUP($BR$17,Sheet1!BJ18:BM18,3,0),0)</f>
        <v>0</v>
      </c>
      <c r="BS30" s="13">
        <f>+IFERROR(VLOOKUP($BS$17,Sheet1!BN18:BQ18,3,0),0)</f>
        <v>0</v>
      </c>
      <c r="BT30" s="56">
        <v>44</v>
      </c>
      <c r="BU30" s="13">
        <f>+IFERROR(VLOOKUP($BU$17,Sheet1!BV18:BY18,3,0),0)</f>
        <v>0</v>
      </c>
      <c r="BV30" s="13" t="str">
        <f>Sheet1!E18</f>
        <v>WOOD</v>
      </c>
      <c r="BW30" s="13" t="str">
        <f>Sheet1!CV18</f>
        <v>MD0100040</v>
      </c>
      <c r="BX30" s="13" t="str">
        <f>Sheet1!CW18</f>
        <v>DRUM - 86 X 38 X 46 X 4</v>
      </c>
      <c r="BY30" s="13">
        <f>Sheet1!CX18</f>
        <v>500</v>
      </c>
      <c r="BZ30" s="3">
        <f>Sheet1!BZ18</f>
        <v>47086</v>
      </c>
      <c r="CA30" s="3">
        <f t="shared" si="5"/>
        <v>1256402</v>
      </c>
      <c r="CB30" s="23">
        <f>Sheet1!CB18</f>
        <v>0</v>
      </c>
      <c r="CC30" s="3">
        <f t="shared" si="6"/>
        <v>0</v>
      </c>
      <c r="CD30" s="44">
        <v>0.18</v>
      </c>
      <c r="CE30" s="3">
        <f t="shared" si="7"/>
        <v>226152.36</v>
      </c>
      <c r="CF30" s="44">
        <v>0</v>
      </c>
      <c r="CG30" s="3">
        <f t="shared" si="8"/>
        <v>0</v>
      </c>
      <c r="CH30" s="3">
        <f t="shared" si="9"/>
        <v>1482554.3599999999</v>
      </c>
      <c r="CI30" s="44">
        <v>0.02</v>
      </c>
      <c r="CJ30" s="1">
        <f t="shared" si="10"/>
        <v>29651.087199999998</v>
      </c>
      <c r="CK30" s="44">
        <v>0.01</v>
      </c>
      <c r="CL30" s="1">
        <f t="shared" si="11"/>
        <v>14825.543599999999</v>
      </c>
      <c r="CM30">
        <v>475</v>
      </c>
      <c r="CN30">
        <v>100</v>
      </c>
    </row>
    <row r="31" spans="1:92" x14ac:dyDescent="0.25">
      <c r="A31" s="1" t="str">
        <f>Sheet1!A9</f>
        <v>ENQ-12232-22-23</v>
      </c>
      <c r="B31" s="47">
        <v>45380</v>
      </c>
      <c r="C31" s="1" t="str">
        <f>Sheet1!C9</f>
        <v>FA0500017</v>
      </c>
      <c r="D31" s="73" t="str">
        <f>Sheet1!D9</f>
        <v>1 CORE X 50 SQ. MM. AL/UNARD. (XLPE)</v>
      </c>
      <c r="E31" s="3">
        <f t="shared" si="0"/>
        <v>58746.845159999997</v>
      </c>
      <c r="F31" s="66">
        <f t="shared" si="12"/>
        <v>4154</v>
      </c>
      <c r="G31" s="9">
        <f t="shared" si="1"/>
        <v>62900.845159999997</v>
      </c>
      <c r="H31" s="7">
        <f>Sheet1!CP9</f>
        <v>0.18</v>
      </c>
      <c r="I31" s="9">
        <f t="shared" si="2"/>
        <v>11322.152128799999</v>
      </c>
      <c r="J31" s="9">
        <f t="shared" si="3"/>
        <v>74222.99728879999</v>
      </c>
      <c r="K31" s="1">
        <f>Sheet1!CS9</f>
        <v>6.5</v>
      </c>
      <c r="L31" s="1" t="str">
        <f>Sheet1!CT9</f>
        <v>KMS</v>
      </c>
      <c r="M31" s="3">
        <f t="shared" si="4"/>
        <v>482449.48237719992</v>
      </c>
      <c r="N31" s="57">
        <f>+IFERROR(VLOOKUP($N$17,Sheet1!J9:L9,3,0),0)</f>
        <v>135</v>
      </c>
      <c r="O31" s="2">
        <f>+IFERROR(VLOOKUP($O$17,Sheet1!J9:L9,3,0),0)</f>
        <v>0</v>
      </c>
      <c r="P31" s="2">
        <f>+IFERROR(VLOOKUP($P$17,Sheet1!J9:M9,3,0),0)</f>
        <v>0</v>
      </c>
      <c r="Q31" s="2">
        <f>+IFERROR(VLOOKUP($Q$17,Sheet1!J9:M9,3,0),0)</f>
        <v>0</v>
      </c>
      <c r="R31" s="2">
        <f>+IFERROR(VLOOKUP($R$17,Sheet1!J9:M9,3,0),0)</f>
        <v>0</v>
      </c>
      <c r="S31" s="2">
        <f>+IFERROR(VLOOKUP($S$17,Sheet1!N9:Q9,3,0),0)</f>
        <v>0</v>
      </c>
      <c r="T31" s="2">
        <f>+IFERROR(VLOOKUP($T$17,Sheet1!N9:Q9,3,0),0)</f>
        <v>0</v>
      </c>
      <c r="U31" s="2">
        <f>+IFERROR(VLOOKUP($U$17,Sheet1!F9:I9,3,0),0)</f>
        <v>0</v>
      </c>
      <c r="V31" s="2">
        <f>+IFERROR(VLOOKUP($V$17,Sheet1!F9:I9,3,0),0)</f>
        <v>0</v>
      </c>
      <c r="W31" s="2">
        <f>+IFERROR(VLOOKUP($W$17,Sheet1!F9:I9,3,0),0)</f>
        <v>0</v>
      </c>
      <c r="X31" s="2">
        <f>+IFERROR(VLOOKUP($X$17,Sheet1!F9:I9,3,0),0)</f>
        <v>0</v>
      </c>
      <c r="Y31" s="2">
        <f>+IFERROR(VLOOKUP($Y$17,Sheet1!F9:I9,3,0),0)</f>
        <v>0</v>
      </c>
      <c r="Z31" s="2">
        <f>+IFERROR(VLOOKUP($Z$17,Sheet1!F9:I9,3,0),0)</f>
        <v>0</v>
      </c>
      <c r="AA31" s="2">
        <f>+IFERROR(VLOOKUP($AA$17,Sheet1!F9:I9,3,0),0)</f>
        <v>0</v>
      </c>
      <c r="AB31" s="2">
        <f>+IFERROR(VLOOKUP($AB$17,Sheet1!F9:I9,3,0),0)</f>
        <v>0</v>
      </c>
      <c r="AC31" s="2">
        <f>+IFERROR(VLOOKUP($AC$17,Sheet1!R9:U9,3,0),0)</f>
        <v>0</v>
      </c>
      <c r="AD31" s="13">
        <f>+IFERROR(VLOOKUP($AD$17,Sheet1!R9:U9,2,0),0)</f>
        <v>0</v>
      </c>
      <c r="AE31" s="2">
        <f>+IFERROR(VLOOKUP($AE$17,Sheet1!V9:Y9,3,0),0)</f>
        <v>0</v>
      </c>
      <c r="AF31" s="56">
        <f>+IFERROR(VLOOKUP($AF$17,Sheet1!V9:Y9,3,0),0)</f>
        <v>37</v>
      </c>
      <c r="AG31" s="13">
        <f>+IFERROR(VLOOKUP($AG$17,Sheet1!V9:Y9,3,0),0)</f>
        <v>0</v>
      </c>
      <c r="AH31" s="13">
        <f>+IFERROR(VLOOKUP($AH$17,Sheet1!V9:Y9,3,0),0)</f>
        <v>0</v>
      </c>
      <c r="AI31" s="13">
        <f>+IFERROR(VLOOKUP($AI$17,Sheet1!V9:Y9,3,0),0)</f>
        <v>0</v>
      </c>
      <c r="AJ31" s="13">
        <f>+IFERROR(VLOOKUP($AJ$17,Sheet1!V9:Y9,3,0),0)</f>
        <v>0</v>
      </c>
      <c r="AK31" s="13">
        <f>+IFERROR(VLOOKUP($AK$17,Sheet1!Z9:AB9,3,0),0)</f>
        <v>0</v>
      </c>
      <c r="AL31" s="13">
        <f>+IFERROR(VLOOKUP($AL$17,Sheet1!AD9:AG9,3,0),0)</f>
        <v>0</v>
      </c>
      <c r="AM31" s="13">
        <f>+IFERROR(VLOOKUP($AM$17,Sheet1!AD9:AG9,3,0),0)</f>
        <v>0</v>
      </c>
      <c r="AN31" s="13">
        <f>+IFERROR(VLOOKUP($AN$17,Sheet1!AD9:AG9,3,0),0)</f>
        <v>0</v>
      </c>
      <c r="AO31" s="13">
        <f>+IFERROR(VLOOKUP($AO$17,Sheet1!AD9:AG9,3,0),0)</f>
        <v>0</v>
      </c>
      <c r="AP31" s="13">
        <f>+IFERROR(VLOOKUP($AP$17,Sheet1!AD9:AG9,3,0),0)</f>
        <v>0</v>
      </c>
      <c r="AQ31" s="13">
        <f>+IFERROR(VLOOKUP($AQ$17,Sheet1!AD9:AG9,3,0),0)</f>
        <v>0</v>
      </c>
      <c r="AR31" s="13">
        <f>+IFERROR(VLOOKUP($AR$17,Sheet1!AD9:AG9,3,0),0)</f>
        <v>0</v>
      </c>
      <c r="AS31" s="13">
        <f>+IFERROR(VLOOKUP($AS$17,Sheet1!AH9:AK9,3,0),0)</f>
        <v>0</v>
      </c>
      <c r="AT31" s="13">
        <f>+IFERROR(VLOOKUP($AT$17,Sheet1!AH9:AK9,3,0),0)</f>
        <v>0</v>
      </c>
      <c r="AU31" s="13">
        <f>+IFERROR(VLOOKUP($AU$17,Sheet1!AH9:AK9,3,0),0)</f>
        <v>0</v>
      </c>
      <c r="AV31" s="13">
        <f>+IFERROR(VLOOKUP($AV$17,Sheet1!AH9:AK9,3,0),0)</f>
        <v>0</v>
      </c>
      <c r="AW31" s="13">
        <f>+IFERROR(VLOOKUP($AW$17,Sheet1!AH9:AK9,3,0),0)</f>
        <v>0</v>
      </c>
      <c r="AX31" s="13">
        <f>+IFERROR(VLOOKUP($AX$17,Sheet1!AH9:AK9,3,0),0)</f>
        <v>0</v>
      </c>
      <c r="AY31" s="13">
        <f>+IFERROR(VLOOKUP($AY$17,Sheet1!AH9:AK9,3,0),0)</f>
        <v>0</v>
      </c>
      <c r="AZ31" s="13">
        <f>+IFERROR(VLOOKUP($AZ$17,Sheet1!AH9:AK9,3,0),0)</f>
        <v>0</v>
      </c>
      <c r="BA31" s="13">
        <f>+IFERROR(VLOOKUP($BA$17,Sheet1!AH9:AK9,3,0),0)</f>
        <v>0</v>
      </c>
      <c r="BB31" s="13">
        <f>+IFERROR(VLOOKUP($BB$17,Sheet1!AH9:AK9,3,0),0)</f>
        <v>0</v>
      </c>
      <c r="BC31" s="13">
        <f>+IFERROR(VLOOKUP($BC$17,Sheet1!AL9:AO9,3,0),0)</f>
        <v>0</v>
      </c>
      <c r="BD31" s="13">
        <f>+IFERROR(VLOOKUP($BD$17,Sheet1!AL9:AO9,3,0),0)</f>
        <v>0</v>
      </c>
      <c r="BE31" s="13">
        <f>+IFERROR(VLOOKUP($BE$17,Sheet1!AL9:AO9,3,0),0)</f>
        <v>0</v>
      </c>
      <c r="BF31" s="56">
        <f>+IFERROR(VLOOKUP($BF$17,Sheet1!AL9:AO9,3,0),0)</f>
        <v>110</v>
      </c>
      <c r="BG31" s="13">
        <f>+IFERROR(VLOOKUP($BG$17,Sheet1!AL9:AO9,3,0),0)</f>
        <v>0</v>
      </c>
      <c r="BH31" s="13">
        <f>+IFERROR(VLOOKUP($BH$17,Sheet1!AL9:AO9,3,0),0)</f>
        <v>0</v>
      </c>
      <c r="BI31" s="13">
        <f>+IFERROR(VLOOKUP($BI$17,Sheet1!AL9:AO9,3,0),0)</f>
        <v>0</v>
      </c>
      <c r="BJ31" s="13">
        <f>+IFERROR(VLOOKUP($BJ$17,Sheet1!AL9:AO9,3,0),0)</f>
        <v>0</v>
      </c>
      <c r="BK31" s="13">
        <f>+IFERROR(VLOOKUP($BK$17,Sheet1!AL9:AO9,3,0),0)</f>
        <v>0</v>
      </c>
      <c r="BL31" s="13">
        <f>+IFERROR(VLOOKUP($BL$17,Sheet1!AL9:AO9,3,0),0)</f>
        <v>0</v>
      </c>
      <c r="BM31" s="13">
        <f>+IFERROR(VLOOKUP($BM$17,Sheet1!AP9:AS9,3,0),0)</f>
        <v>0</v>
      </c>
      <c r="BN31" s="13">
        <f>+IFERROR(VLOOKUP($BN$17,Sheet1!AT9:AW9,3,0),0)</f>
        <v>0</v>
      </c>
      <c r="BO31" s="13">
        <f>+IFERROR(VLOOKUP($BO$17,Sheet1!AX9:BA9,3,0),0)</f>
        <v>0</v>
      </c>
      <c r="BP31" s="13">
        <f>+IFERROR(VLOOKUP($BP$17,Sheet1!BB9:BE9,3,0),0)</f>
        <v>0</v>
      </c>
      <c r="BQ31" s="13">
        <f>+IFERROR(VLOOKUP($BQ$17,Sheet1!BF9:BI9,3,0),0)</f>
        <v>0</v>
      </c>
      <c r="BR31" s="13">
        <f>+IFERROR(VLOOKUP($BR$17,Sheet1!BJ9:BM9,3,0),0)</f>
        <v>0</v>
      </c>
      <c r="BS31" s="13">
        <f>+IFERROR(VLOOKUP($BS$17,Sheet1!BN9:BQ9,3,0),0)</f>
        <v>0</v>
      </c>
      <c r="BT31" s="13">
        <f>+IFERROR(VLOOKUP($BT$17,Sheet1!BR9:BU9,3,0),0)</f>
        <v>0</v>
      </c>
      <c r="BU31" s="13">
        <f>+IFERROR(VLOOKUP($BU$17,Sheet1!BV9:BY9,3,0),0)</f>
        <v>0</v>
      </c>
      <c r="BV31" s="13" t="str">
        <f>Sheet1!E9</f>
        <v>WOOD</v>
      </c>
      <c r="BW31" s="13" t="str">
        <f>Sheet1!CV9</f>
        <v>MD0100005</v>
      </c>
      <c r="BX31" s="13" t="str">
        <f>Sheet1!CW9</f>
        <v>DRUM - 36 X 14 X 23 X 2</v>
      </c>
      <c r="BY31" s="13">
        <f>Sheet1!CX9</f>
        <v>1000</v>
      </c>
      <c r="BZ31" s="3">
        <f>Sheet1!BZ9</f>
        <v>2305.4</v>
      </c>
      <c r="CA31" s="3">
        <f t="shared" si="5"/>
        <v>48335.4</v>
      </c>
      <c r="CB31" s="23">
        <f>Sheet1!CB9</f>
        <v>0</v>
      </c>
      <c r="CC31" s="3">
        <f t="shared" si="6"/>
        <v>0</v>
      </c>
      <c r="CD31" s="44">
        <v>0.18</v>
      </c>
      <c r="CE31" s="3">
        <f t="shared" si="7"/>
        <v>8700.3719999999994</v>
      </c>
      <c r="CF31" s="44">
        <v>0</v>
      </c>
      <c r="CG31" s="3">
        <f t="shared" si="8"/>
        <v>0</v>
      </c>
      <c r="CH31" s="3">
        <f t="shared" si="9"/>
        <v>57035.771999999997</v>
      </c>
      <c r="CI31" s="44">
        <v>0.02</v>
      </c>
      <c r="CJ31" s="1">
        <f t="shared" si="10"/>
        <v>1140.7154399999999</v>
      </c>
      <c r="CK31" s="44">
        <v>0.01</v>
      </c>
      <c r="CL31" s="1">
        <f t="shared" si="11"/>
        <v>570.35771999999997</v>
      </c>
      <c r="CM31">
        <v>50</v>
      </c>
      <c r="CN31">
        <v>15</v>
      </c>
    </row>
    <row r="32" spans="1:92" hidden="1" x14ac:dyDescent="0.25">
      <c r="A32" s="1" t="str">
        <f>Sheet1!A11</f>
        <v>ENQ-12232-22-23</v>
      </c>
      <c r="B32" s="47">
        <v>45380</v>
      </c>
      <c r="C32" s="1" t="str">
        <f>Sheet1!C11</f>
        <v>FA0900117</v>
      </c>
      <c r="D32" s="1" t="str">
        <f>Sheet1!D11</f>
        <v>4 CORE X 35 SQ. MM. AL/ARD - WIRE (XLPE)</v>
      </c>
      <c r="E32" s="3">
        <f t="shared" si="0"/>
        <v>238349.687508</v>
      </c>
      <c r="F32" s="66" t="e">
        <f t="shared" si="12"/>
        <v>#DIV/0!</v>
      </c>
      <c r="G32" s="9" t="e">
        <f t="shared" si="1"/>
        <v>#DIV/0!</v>
      </c>
      <c r="H32" s="7">
        <f>Sheet1!CP11</f>
        <v>0.18</v>
      </c>
      <c r="I32" s="9" t="e">
        <f t="shared" si="2"/>
        <v>#DIV/0!</v>
      </c>
      <c r="J32" s="9" t="e">
        <f t="shared" si="3"/>
        <v>#DIV/0!</v>
      </c>
      <c r="K32" s="1"/>
      <c r="L32" s="1" t="str">
        <f>Sheet1!CT11</f>
        <v>KMS</v>
      </c>
      <c r="M32" s="3" t="e">
        <f t="shared" si="4"/>
        <v>#DIV/0!</v>
      </c>
      <c r="N32" s="57">
        <v>378</v>
      </c>
      <c r="O32" s="2">
        <f>+IFERROR(VLOOKUP($O$17,Sheet1!J11:L11,3,0),0)</f>
        <v>0</v>
      </c>
      <c r="P32" s="2">
        <f>+IFERROR(VLOOKUP($P$17,Sheet1!J11:M11,3,0),0)</f>
        <v>0</v>
      </c>
      <c r="Q32" s="2">
        <f>+IFERROR(VLOOKUP($Q$17,Sheet1!J11:M11,3,0),0)</f>
        <v>0</v>
      </c>
      <c r="R32" s="2">
        <f>+IFERROR(VLOOKUP($R$17,Sheet1!J11:M11,3,0),0)</f>
        <v>0</v>
      </c>
      <c r="S32" s="2">
        <f>+IFERROR(VLOOKUP($S$17,Sheet1!N11:Q11,3,0),0)</f>
        <v>0</v>
      </c>
      <c r="T32" s="2">
        <f>+IFERROR(VLOOKUP($T$17,Sheet1!N11:Q11,3,0),0)</f>
        <v>0</v>
      </c>
      <c r="U32" s="2">
        <f>+IFERROR(VLOOKUP($U$17,Sheet1!F11:I11,3,0),0)</f>
        <v>0</v>
      </c>
      <c r="V32" s="2">
        <f>+IFERROR(VLOOKUP($V$17,Sheet1!F11:I11,3,0),0)</f>
        <v>0</v>
      </c>
      <c r="W32" s="2">
        <f>+IFERROR(VLOOKUP($W$17,Sheet1!F11:I11,3,0),0)</f>
        <v>0</v>
      </c>
      <c r="X32" s="2">
        <f>+IFERROR(VLOOKUP($X$17,Sheet1!F11:I11,3,0),0)</f>
        <v>0</v>
      </c>
      <c r="Y32" s="2">
        <f>+IFERROR(VLOOKUP($Y$17,Sheet1!F11:I11,3,0),0)</f>
        <v>0</v>
      </c>
      <c r="Z32" s="2">
        <f>+IFERROR(VLOOKUP($Z$17,Sheet1!F11:I11,3,0),0)</f>
        <v>0</v>
      </c>
      <c r="AA32" s="2">
        <f>+IFERROR(VLOOKUP($AA$17,Sheet1!F11:I11,3,0),0)</f>
        <v>0</v>
      </c>
      <c r="AB32" s="2">
        <f>+IFERROR(VLOOKUP($AB$17,Sheet1!F11:I11,3,0),0)</f>
        <v>0</v>
      </c>
      <c r="AC32" s="2">
        <f>+IFERROR(VLOOKUP($AC$17,Sheet1!R11:U11,3,0),0)</f>
        <v>0</v>
      </c>
      <c r="AD32" s="13">
        <f>+IFERROR(VLOOKUP($AD$17,Sheet1!R11:U11,2,0),0)</f>
        <v>0</v>
      </c>
      <c r="AE32" s="2">
        <f>+IFERROR(VLOOKUP($AE$17,Sheet1!V11:Y11,3,0),0)</f>
        <v>0</v>
      </c>
      <c r="AF32" s="56">
        <v>102</v>
      </c>
      <c r="AG32" s="13">
        <f>+IFERROR(VLOOKUP($AG$17,Sheet1!V11:Y11,3,0),0)</f>
        <v>0</v>
      </c>
      <c r="AH32" s="13">
        <f>+IFERROR(VLOOKUP($AH$17,Sheet1!V11:Y11,3,0),0)</f>
        <v>0</v>
      </c>
      <c r="AI32" s="13">
        <f>+IFERROR(VLOOKUP($AI$17,Sheet1!V11:Y11,3,0),0)</f>
        <v>0</v>
      </c>
      <c r="AJ32" s="13">
        <f>+IFERROR(VLOOKUP($AJ$17,Sheet1!V11:Y11,3,0),0)</f>
        <v>0</v>
      </c>
      <c r="AK32" s="13">
        <f>+IFERROR(VLOOKUP($AK$17,Sheet1!Z11:AB11,3,0),0)</f>
        <v>0</v>
      </c>
      <c r="AL32" s="13">
        <f>+IFERROR(VLOOKUP($AL$17,Sheet1!AD11:AG11,3,0),0)</f>
        <v>0</v>
      </c>
      <c r="AM32" s="13">
        <f>+IFERROR(VLOOKUP($AM$17,Sheet1!AD11:AG11,3,0),0)</f>
        <v>0</v>
      </c>
      <c r="AN32" s="13">
        <f>+IFERROR(VLOOKUP($AN$17,Sheet1!AD11:AG11,3,0),0)</f>
        <v>0</v>
      </c>
      <c r="AO32" s="13">
        <f>+IFERROR(VLOOKUP($AO$17,Sheet1!AD11:AG11,3,0),0)</f>
        <v>0</v>
      </c>
      <c r="AP32" s="13">
        <f>+IFERROR(VLOOKUP($AP$17,Sheet1!AD11:AG11,3,0),0)</f>
        <v>0</v>
      </c>
      <c r="AQ32" s="56">
        <f>+IFERROR(VLOOKUP($AQ$17,Sheet1!AD11:AG11,3,0),0)</f>
        <v>51</v>
      </c>
      <c r="AR32" s="13">
        <f>+IFERROR(VLOOKUP($AR$17,Sheet1!AD11:AG11,3,0),0)</f>
        <v>0</v>
      </c>
      <c r="AS32" s="13">
        <f>+IFERROR(VLOOKUP($AS$17,Sheet1!AH11:AK11,3,0),0)</f>
        <v>0</v>
      </c>
      <c r="AT32" s="13">
        <f>+IFERROR(VLOOKUP($AT$17,Sheet1!AH11:AK11,3,0),0)</f>
        <v>0</v>
      </c>
      <c r="AU32" s="13">
        <f>+IFERROR(VLOOKUP($AU$17,Sheet1!AH11:AK11,3,0),0)</f>
        <v>0</v>
      </c>
      <c r="AV32" s="13">
        <f>+IFERROR(VLOOKUP($AV$17,Sheet1!AH11:AK11,3,0),0)</f>
        <v>0</v>
      </c>
      <c r="AW32" s="13">
        <f>+IFERROR(VLOOKUP($AW$17,Sheet1!AH11:AK11,3,0),0)</f>
        <v>0</v>
      </c>
      <c r="AX32" s="13">
        <f>+IFERROR(VLOOKUP($AX$17,Sheet1!AH11:AK11,3,0),0)</f>
        <v>0</v>
      </c>
      <c r="AY32" s="13">
        <f>+IFERROR(VLOOKUP($AY$17,Sheet1!AH11:AK11,3,0),0)</f>
        <v>0</v>
      </c>
      <c r="AZ32" s="13">
        <f>+IFERROR(VLOOKUP($AZ$17,Sheet1!AH11:AK11,3,0),0)</f>
        <v>0</v>
      </c>
      <c r="BA32" s="56">
        <v>770</v>
      </c>
      <c r="BB32" s="13">
        <f>+IFERROR(VLOOKUP($BB$17,Sheet1!AH11:AK11,3,0),0)</f>
        <v>0</v>
      </c>
      <c r="BC32" s="13">
        <f>+IFERROR(VLOOKUP($BC$17,Sheet1!AL11:AO11,3,0),0)</f>
        <v>0</v>
      </c>
      <c r="BD32" s="13">
        <f>+IFERROR(VLOOKUP($BD$17,Sheet1!AL11:AO11,3,0),0)</f>
        <v>0</v>
      </c>
      <c r="BE32" s="13">
        <f>+IFERROR(VLOOKUP($BE$17,Sheet1!AL11:AO11,3,0),0)</f>
        <v>0</v>
      </c>
      <c r="BF32" s="56">
        <v>206</v>
      </c>
      <c r="BG32" s="13">
        <f>+IFERROR(VLOOKUP($BG$17,Sheet1!AL11:AO11,3,0),0)</f>
        <v>0</v>
      </c>
      <c r="BH32" s="13">
        <f>+IFERROR(VLOOKUP($BH$17,Sheet1!AL11:AO11,3,0),0)</f>
        <v>0</v>
      </c>
      <c r="BI32" s="13">
        <f>+IFERROR(VLOOKUP($BI$17,Sheet1!AL11:AO11,3,0),0)</f>
        <v>0</v>
      </c>
      <c r="BJ32" s="13">
        <f>+IFERROR(VLOOKUP($BJ$17,Sheet1!AL11:AO11,3,0),0)</f>
        <v>0</v>
      </c>
      <c r="BK32" s="13">
        <f>+IFERROR(VLOOKUP($BK$17,Sheet1!AL11:AO11,3,0),0)</f>
        <v>0</v>
      </c>
      <c r="BL32" s="13">
        <f>+IFERROR(VLOOKUP($BL$17,Sheet1!AL11:AO11,3,0),0)</f>
        <v>0</v>
      </c>
      <c r="BM32" s="13">
        <f>+IFERROR(VLOOKUP($BM$17,Sheet1!AP11:AS11,3,0),0)</f>
        <v>0</v>
      </c>
      <c r="BN32" s="13">
        <f>+IFERROR(VLOOKUP($BN$17,Sheet1!AT11:AW11,3,0),0)</f>
        <v>0</v>
      </c>
      <c r="BO32" s="13">
        <f>+IFERROR(VLOOKUP($BO$17,Sheet1!AX11:BA11,3,0),0)</f>
        <v>0</v>
      </c>
      <c r="BP32" s="13">
        <f>+IFERROR(VLOOKUP($BP$17,Sheet1!BB11:BE11,3,0),0)</f>
        <v>0</v>
      </c>
      <c r="BQ32" s="13">
        <f>+IFERROR(VLOOKUP($BQ$17,Sheet1!BF11:BI11,3,0),0)</f>
        <v>0</v>
      </c>
      <c r="BR32" s="13">
        <f>+IFERROR(VLOOKUP($BR$17,Sheet1!BJ11:BM11,3,0),0)</f>
        <v>0</v>
      </c>
      <c r="BS32" s="13">
        <f>+IFERROR(VLOOKUP($BS$17,Sheet1!BN11:BQ11,3,0),0)</f>
        <v>0</v>
      </c>
      <c r="BT32" s="56">
        <v>18</v>
      </c>
      <c r="BU32" s="13">
        <f>+IFERROR(VLOOKUP($BU$17,Sheet1!BV11:BY11,3,0),0)</f>
        <v>0</v>
      </c>
      <c r="BV32" s="13" t="str">
        <f>Sheet1!E11</f>
        <v>WOOD</v>
      </c>
      <c r="BW32" s="13" t="str">
        <f>Sheet1!CV11</f>
        <v>MD0100013</v>
      </c>
      <c r="BX32" s="13" t="str">
        <f>Sheet1!CW11</f>
        <v>DRUM - 48 X 14 X 36 X 2.25</v>
      </c>
      <c r="BY32" s="13">
        <f>Sheet1!CX11</f>
        <v>1000</v>
      </c>
      <c r="BZ32" s="3">
        <f>Sheet1!BZ11</f>
        <v>3743.02</v>
      </c>
      <c r="CA32" s="3">
        <f t="shared" si="5"/>
        <v>196108.02</v>
      </c>
      <c r="CB32" s="23">
        <f>Sheet1!CB11</f>
        <v>0</v>
      </c>
      <c r="CC32" s="3">
        <f t="shared" si="6"/>
        <v>0</v>
      </c>
      <c r="CD32" s="44">
        <v>0.18</v>
      </c>
      <c r="CE32" s="3">
        <f t="shared" si="7"/>
        <v>35299.443599999999</v>
      </c>
      <c r="CF32" s="44">
        <v>0</v>
      </c>
      <c r="CG32" s="3">
        <f t="shared" si="8"/>
        <v>0</v>
      </c>
      <c r="CH32" s="3">
        <f t="shared" si="9"/>
        <v>231407.46359999999</v>
      </c>
      <c r="CI32" s="44">
        <v>0.02</v>
      </c>
      <c r="CJ32" s="1">
        <f t="shared" si="10"/>
        <v>4628.1492719999997</v>
      </c>
      <c r="CK32" s="44">
        <v>0.01</v>
      </c>
      <c r="CL32" s="1">
        <f t="shared" si="11"/>
        <v>2314.0746359999998</v>
      </c>
      <c r="CM32">
        <v>100</v>
      </c>
      <c r="CN32">
        <v>25</v>
      </c>
    </row>
    <row r="33" spans="1:92" x14ac:dyDescent="0.25">
      <c r="A33" s="1" t="str">
        <f>Sheet1!A32</f>
        <v>ENQ-12232-22-23</v>
      </c>
      <c r="B33" s="47">
        <v>45380</v>
      </c>
      <c r="C33" s="1" t="str">
        <f>Sheet1!C32</f>
        <v>FA0900041</v>
      </c>
      <c r="D33" s="73" t="str">
        <f>Sheet1!D32</f>
        <v>2 CORE X 4 SQ. MM. AL/ARD - WIRE (XLPE)</v>
      </c>
      <c r="E33" s="3">
        <f t="shared" si="0"/>
        <v>60576.435396000001</v>
      </c>
      <c r="F33" s="66">
        <f t="shared" si="12"/>
        <v>969</v>
      </c>
      <c r="G33" s="9">
        <f t="shared" si="1"/>
        <v>61545.435396000001</v>
      </c>
      <c r="H33" s="7">
        <f>Sheet1!CP32</f>
        <v>0.18</v>
      </c>
      <c r="I33" s="9">
        <f t="shared" si="2"/>
        <v>11078.178371279999</v>
      </c>
      <c r="J33" s="9">
        <f t="shared" si="3"/>
        <v>72623.613767279996</v>
      </c>
      <c r="K33" s="73">
        <f>1731.8+1207.5+16.888</f>
        <v>2956.1880000000001</v>
      </c>
      <c r="L33" s="1" t="str">
        <f>Sheet1!CT32</f>
        <v>KMS</v>
      </c>
      <c r="M33" s="3">
        <f t="shared" si="4"/>
        <v>214689055.53546792</v>
      </c>
      <c r="N33" s="57">
        <v>22</v>
      </c>
      <c r="O33" s="2">
        <f>+IFERROR(VLOOKUP($O$17,Sheet1!J32:L32,3,0),0)</f>
        <v>0</v>
      </c>
      <c r="P33" s="2">
        <f>+IFERROR(VLOOKUP($P$17,Sheet1!J32:M32,3,0),0)</f>
        <v>0</v>
      </c>
      <c r="Q33" s="2">
        <f>+IFERROR(VLOOKUP($Q$17,Sheet1!J32:M32,3,0),0)</f>
        <v>0</v>
      </c>
      <c r="R33" s="2">
        <f>+IFERROR(VLOOKUP($R$17,Sheet1!J32:M32,3,0),0)</f>
        <v>0</v>
      </c>
      <c r="S33" s="2">
        <f>+IFERROR(VLOOKUP($S$17,Sheet1!N32:Q32,3,0),0)</f>
        <v>0</v>
      </c>
      <c r="T33" s="2">
        <f>+IFERROR(VLOOKUP($T$17,Sheet1!N32:Q32,3,0),0)</f>
        <v>0</v>
      </c>
      <c r="U33" s="2">
        <f>+IFERROR(VLOOKUP($U$17,Sheet1!F32:I32,3,0),0)</f>
        <v>0</v>
      </c>
      <c r="V33" s="2">
        <f>+IFERROR(VLOOKUP($V$17,Sheet1!F32:I32,3,0),0)</f>
        <v>0</v>
      </c>
      <c r="W33" s="2">
        <f>+IFERROR(VLOOKUP($W$17,Sheet1!F32:I32,3,0),0)</f>
        <v>0</v>
      </c>
      <c r="X33" s="2">
        <f>+IFERROR(VLOOKUP($X$17,Sheet1!F32:I32,3,0),0)</f>
        <v>0</v>
      </c>
      <c r="Y33" s="2">
        <f>+IFERROR(VLOOKUP($Y$17,Sheet1!F32:I32,3,0),0)</f>
        <v>0</v>
      </c>
      <c r="Z33" s="2">
        <f>+IFERROR(VLOOKUP($Z$17,Sheet1!F32:I32,3,0),0)</f>
        <v>0</v>
      </c>
      <c r="AA33" s="2">
        <f>+IFERROR(VLOOKUP($AA$17,Sheet1!F32:I32,3,0),0)</f>
        <v>0</v>
      </c>
      <c r="AB33" s="2">
        <f>+IFERROR(VLOOKUP($AB$17,Sheet1!F32:I32,3,0),0)</f>
        <v>0</v>
      </c>
      <c r="AC33" s="2">
        <f>+IFERROR(VLOOKUP($AC$17,Sheet1!R32:U32,3,0),0)</f>
        <v>0</v>
      </c>
      <c r="AD33" s="13">
        <f>+IFERROR(VLOOKUP($AD$17,Sheet1!R32:U32,2,0),0)</f>
        <v>0</v>
      </c>
      <c r="AE33" s="2">
        <f>+IFERROR(VLOOKUP($AE$17,Sheet1!V32:Y32,3,0),0)</f>
        <v>0</v>
      </c>
      <c r="AF33" s="56">
        <v>20</v>
      </c>
      <c r="AG33" s="13">
        <f>+IFERROR(VLOOKUP($AG$17,Sheet1!V32:Y32,3,0),0)</f>
        <v>0</v>
      </c>
      <c r="AH33" s="13">
        <f>+IFERROR(VLOOKUP($AH$17,Sheet1!V32:Y32,3,0),0)</f>
        <v>0</v>
      </c>
      <c r="AI33" s="13">
        <f>+IFERROR(VLOOKUP($AI$17,Sheet1!V32:Y32,3,0),0)</f>
        <v>0</v>
      </c>
      <c r="AJ33" s="13">
        <f>+IFERROR(VLOOKUP($AJ$17,Sheet1!V32:Y32,3,0),0)</f>
        <v>0</v>
      </c>
      <c r="AK33" s="13">
        <f>+IFERROR(VLOOKUP($AK$17,Sheet1!Z32:AB32,3,0),0)</f>
        <v>0</v>
      </c>
      <c r="AL33" s="13">
        <f>+IFERROR(VLOOKUP($AL$17,Sheet1!AD32:AG32,3,0),0)</f>
        <v>0</v>
      </c>
      <c r="AM33" s="13">
        <f>+IFERROR(VLOOKUP($AM$17,Sheet1!AD32:AG32,3,0),0)</f>
        <v>0</v>
      </c>
      <c r="AN33" s="13">
        <f>+IFERROR(VLOOKUP($AN$17,Sheet1!AD32:AG32,3,0),0)</f>
        <v>0</v>
      </c>
      <c r="AO33" s="13">
        <f>+IFERROR(VLOOKUP($AO$17,Sheet1!AD32:AG32,3,0),0)</f>
        <v>0</v>
      </c>
      <c r="AP33" s="13">
        <f>+IFERROR(VLOOKUP($AP$17,Sheet1!AD32:AG32,3,0),0)</f>
        <v>0</v>
      </c>
      <c r="AQ33" s="56">
        <v>70</v>
      </c>
      <c r="AR33" s="13">
        <f>+IFERROR(VLOOKUP($AR$17,Sheet1!AD32:AG32,3,0),0)</f>
        <v>0</v>
      </c>
      <c r="AS33" s="13">
        <f>+IFERROR(VLOOKUP($AS$17,Sheet1!AH32:AK32,3,0),0)</f>
        <v>0</v>
      </c>
      <c r="AT33" s="13">
        <f>+IFERROR(VLOOKUP($AT$17,Sheet1!AH32:AK32,3,0),0)</f>
        <v>0</v>
      </c>
      <c r="AU33" s="13">
        <f>+IFERROR(VLOOKUP($AU$17,Sheet1!AH32:AK32,3,0),0)</f>
        <v>0</v>
      </c>
      <c r="AV33" s="13">
        <f>+IFERROR(VLOOKUP($AV$17,Sheet1!AH32:AK32,3,0),0)</f>
        <v>0</v>
      </c>
      <c r="AW33" s="13">
        <f>+IFERROR(VLOOKUP($AW$17,Sheet1!AH32:AK32,3,0),0)</f>
        <v>0</v>
      </c>
      <c r="AX33" s="13">
        <f>+IFERROR(VLOOKUP($AX$17,Sheet1!AH32:AK32,3,0),0)</f>
        <v>0</v>
      </c>
      <c r="AY33" s="13">
        <f>+IFERROR(VLOOKUP($AY$17,Sheet1!AH32:AK32,3,0),0)</f>
        <v>0</v>
      </c>
      <c r="AZ33" s="13">
        <f>+IFERROR(VLOOKUP($AZ$17,Sheet1!AH32:AK32,3,0),0)</f>
        <v>0</v>
      </c>
      <c r="BA33" s="56">
        <v>252</v>
      </c>
      <c r="BB33" s="13">
        <f>+IFERROR(VLOOKUP($BB$17,Sheet1!AH32:AK32,3,0),0)</f>
        <v>0</v>
      </c>
      <c r="BC33" s="13">
        <f>+IFERROR(VLOOKUP($BC$17,Sheet1!AL32:AO32,3,0),0)</f>
        <v>0</v>
      </c>
      <c r="BD33" s="13">
        <f>+IFERROR(VLOOKUP($BD$17,Sheet1!AL32:AO32,3,0),0)</f>
        <v>0</v>
      </c>
      <c r="BE33" s="13">
        <f>+IFERROR(VLOOKUP($BE$17,Sheet1!AL32:AO32,3,0),0)</f>
        <v>0</v>
      </c>
      <c r="BF33" s="56">
        <v>103</v>
      </c>
      <c r="BG33" s="13">
        <f>+IFERROR(VLOOKUP($BG$17,Sheet1!AL32:AO32,3,0),0)</f>
        <v>0</v>
      </c>
      <c r="BH33" s="13">
        <f>+IFERROR(VLOOKUP($BH$17,Sheet1!AL32:AO32,3,0),0)</f>
        <v>0</v>
      </c>
      <c r="BI33" s="13">
        <f>+IFERROR(VLOOKUP($BI$17,Sheet1!AL32:AO32,3,0),0)</f>
        <v>0</v>
      </c>
      <c r="BJ33" s="13">
        <f>+IFERROR(VLOOKUP($BJ$17,Sheet1!AL32:AO32,3,0),0)</f>
        <v>0</v>
      </c>
      <c r="BK33" s="13">
        <f>+IFERROR(VLOOKUP($BK$17,Sheet1!AL32:AO32,3,0),0)</f>
        <v>0</v>
      </c>
      <c r="BL33" s="13">
        <f>+IFERROR(VLOOKUP($BL$17,Sheet1!AL32:AO32,3,0),0)</f>
        <v>0</v>
      </c>
      <c r="BM33" s="13">
        <f>+IFERROR(VLOOKUP($BM$17,Sheet1!AP32:AS32,3,0),0)</f>
        <v>0</v>
      </c>
      <c r="BN33" s="13">
        <f>+IFERROR(VLOOKUP($BN$17,Sheet1!AT32:AW32,3,0),0)</f>
        <v>0</v>
      </c>
      <c r="BO33" s="13">
        <f>+IFERROR(VLOOKUP($BO$17,Sheet1!AX32:BA32,3,0),0)</f>
        <v>0</v>
      </c>
      <c r="BP33" s="13">
        <f>+IFERROR(VLOOKUP($BP$17,Sheet1!BB32:BE32,3,0),0)</f>
        <v>0</v>
      </c>
      <c r="BQ33" s="13">
        <f>+IFERROR(VLOOKUP($BQ$17,Sheet1!BF32:BI32,3,0),0)</f>
        <v>0</v>
      </c>
      <c r="BR33" s="13">
        <f>+IFERROR(VLOOKUP($BR$17,Sheet1!BJ32:BM32,3,0),0)</f>
        <v>0</v>
      </c>
      <c r="BS33" s="13">
        <f>+IFERROR(VLOOKUP($BS$17,Sheet1!BN32:BQ32,3,0),0)</f>
        <v>0</v>
      </c>
      <c r="BT33" s="56">
        <v>10</v>
      </c>
      <c r="BU33" s="13">
        <f>+IFERROR(VLOOKUP($BU$17,Sheet1!BV32:BY32,3,0),0)</f>
        <v>0</v>
      </c>
      <c r="BV33" s="13" t="str">
        <f>Sheet1!E32</f>
        <v>WOOD</v>
      </c>
      <c r="BW33" s="13" t="str">
        <f>Sheet1!CV32</f>
        <v>MD0100066</v>
      </c>
      <c r="BX33" s="13" t="str">
        <f>Sheet1!CW32</f>
        <v>DRUM - 40 X 15 X 23 X 2</v>
      </c>
      <c r="BY33" s="13">
        <f>Sheet1!CX32</f>
        <v>1000</v>
      </c>
      <c r="BZ33" s="3">
        <f>Sheet1!BZ32</f>
        <v>2575.7399999999998</v>
      </c>
      <c r="CA33" s="3">
        <f t="shared" si="5"/>
        <v>49840.74</v>
      </c>
      <c r="CB33" s="23">
        <f>Sheet1!CB32</f>
        <v>0</v>
      </c>
      <c r="CC33" s="3">
        <f t="shared" si="6"/>
        <v>0</v>
      </c>
      <c r="CD33" s="44">
        <v>0.18</v>
      </c>
      <c r="CE33" s="3">
        <f t="shared" si="7"/>
        <v>8971.3331999999991</v>
      </c>
      <c r="CF33" s="44">
        <v>0</v>
      </c>
      <c r="CG33" s="3">
        <f t="shared" si="8"/>
        <v>0</v>
      </c>
      <c r="CH33" s="3">
        <f t="shared" si="9"/>
        <v>58812.073199999999</v>
      </c>
      <c r="CI33" s="44">
        <v>0.02</v>
      </c>
      <c r="CJ33" s="1">
        <f t="shared" si="10"/>
        <v>1176.241464</v>
      </c>
      <c r="CK33" s="44">
        <v>0.01</v>
      </c>
      <c r="CL33" s="1">
        <f t="shared" si="11"/>
        <v>588.12073199999998</v>
      </c>
      <c r="CM33">
        <v>55</v>
      </c>
      <c r="CN33">
        <v>20</v>
      </c>
    </row>
    <row r="34" spans="1:92" x14ac:dyDescent="0.25">
      <c r="A34" s="1" t="str">
        <f>Sheet1!A31</f>
        <v>ENQ-12232-22-23</v>
      </c>
      <c r="B34" s="47">
        <v>45380</v>
      </c>
      <c r="C34" s="1" t="str">
        <f>Sheet1!C31</f>
        <v>FA0900020</v>
      </c>
      <c r="D34" s="73" t="str">
        <f>Sheet1!D31</f>
        <v>2 CORE X 6 SQ. MM. AL/ARD - WIRE (XLPE)</v>
      </c>
      <c r="E34" s="3">
        <f t="shared" si="0"/>
        <v>70266.819596000001</v>
      </c>
      <c r="F34" s="66">
        <f t="shared" si="12"/>
        <v>1072</v>
      </c>
      <c r="G34" s="9">
        <f t="shared" si="1"/>
        <v>71338.819596000001</v>
      </c>
      <c r="H34" s="7">
        <f>Sheet1!CP31</f>
        <v>0.18</v>
      </c>
      <c r="I34" s="9">
        <f t="shared" si="2"/>
        <v>12840.98752728</v>
      </c>
      <c r="J34" s="9">
        <f t="shared" si="3"/>
        <v>84179.807123279999</v>
      </c>
      <c r="K34" s="73">
        <f>630</f>
        <v>630</v>
      </c>
      <c r="L34" s="1" t="str">
        <f>Sheet1!CT31</f>
        <v>KMS</v>
      </c>
      <c r="M34" s="3">
        <f t="shared" si="4"/>
        <v>53033278.487666398</v>
      </c>
      <c r="N34" s="57">
        <v>33</v>
      </c>
      <c r="O34" s="2">
        <f>+IFERROR(VLOOKUP($O$17,Sheet1!J31:L31,3,0),0)</f>
        <v>0</v>
      </c>
      <c r="P34" s="2">
        <f>+IFERROR(VLOOKUP($P$17,Sheet1!J31:M31,3,0),0)</f>
        <v>0</v>
      </c>
      <c r="Q34" s="2">
        <f>+IFERROR(VLOOKUP($Q$17,Sheet1!J31:M31,3,0),0)</f>
        <v>0</v>
      </c>
      <c r="R34" s="2">
        <f>+IFERROR(VLOOKUP($R$17,Sheet1!J31:M31,3,0),0)</f>
        <v>0</v>
      </c>
      <c r="S34" s="2">
        <f>+IFERROR(VLOOKUP($S$17,Sheet1!N31:Q31,3,0),0)</f>
        <v>0</v>
      </c>
      <c r="T34" s="2">
        <f>+IFERROR(VLOOKUP($T$17,Sheet1!N31:Q31,3,0),0)</f>
        <v>0</v>
      </c>
      <c r="U34" s="2">
        <f>+IFERROR(VLOOKUP($U$17,Sheet1!F31:I31,3,0),0)</f>
        <v>0</v>
      </c>
      <c r="V34" s="2">
        <f>+IFERROR(VLOOKUP($V$17,Sheet1!F31:I31,3,0),0)</f>
        <v>0</v>
      </c>
      <c r="W34" s="2">
        <f>+IFERROR(VLOOKUP($W$17,Sheet1!F31:I31,3,0),0)</f>
        <v>0</v>
      </c>
      <c r="X34" s="2">
        <f>+IFERROR(VLOOKUP($X$17,Sheet1!F31:I31,3,0),0)</f>
        <v>0</v>
      </c>
      <c r="Y34" s="2">
        <f>+IFERROR(VLOOKUP($Y$17,Sheet1!F31:I31,3,0),0)</f>
        <v>0</v>
      </c>
      <c r="Z34" s="2">
        <f>+IFERROR(VLOOKUP($Z$17,Sheet1!F31:I31,3,0),0)</f>
        <v>0</v>
      </c>
      <c r="AA34" s="2">
        <f>+IFERROR(VLOOKUP($AA$17,Sheet1!F31:I31,3,0),0)</f>
        <v>0</v>
      </c>
      <c r="AB34" s="2">
        <f>+IFERROR(VLOOKUP($AB$17,Sheet1!F31:I31,3,0),0)</f>
        <v>0</v>
      </c>
      <c r="AC34" s="2">
        <f>+IFERROR(VLOOKUP($AC$17,Sheet1!R31:U31,3,0),0)</f>
        <v>0</v>
      </c>
      <c r="AD34" s="13">
        <f>+IFERROR(VLOOKUP($AD$17,Sheet1!R31:U31,2,0),0)</f>
        <v>0</v>
      </c>
      <c r="AE34" s="2">
        <f>+IFERROR(VLOOKUP($AE$17,Sheet1!V31:Y31,3,0),0)</f>
        <v>0</v>
      </c>
      <c r="AF34" s="56">
        <v>23</v>
      </c>
      <c r="AG34" s="13">
        <f>+IFERROR(VLOOKUP($AG$17,Sheet1!V31:Y31,3,0),0)</f>
        <v>0</v>
      </c>
      <c r="AH34" s="13">
        <f>+IFERROR(VLOOKUP($AH$17,Sheet1!V31:Y31,3,0),0)</f>
        <v>0</v>
      </c>
      <c r="AI34" s="13">
        <f>+IFERROR(VLOOKUP($AI$17,Sheet1!V31:Y31,3,0),0)</f>
        <v>0</v>
      </c>
      <c r="AJ34" s="13">
        <f>+IFERROR(VLOOKUP($AJ$17,Sheet1!V31:Y31,3,0),0)</f>
        <v>0</v>
      </c>
      <c r="AK34" s="13">
        <f>+IFERROR(VLOOKUP($AK$17,Sheet1!Z31:AB31,3,0),0)</f>
        <v>0</v>
      </c>
      <c r="AL34" s="13">
        <f>+IFERROR(VLOOKUP($AL$17,Sheet1!AD31:AG31,3,0),0)</f>
        <v>0</v>
      </c>
      <c r="AM34" s="13">
        <f>+IFERROR(VLOOKUP($AM$17,Sheet1!AD31:AG31,3,0),0)</f>
        <v>0</v>
      </c>
      <c r="AN34" s="13">
        <f>+IFERROR(VLOOKUP($AN$17,Sheet1!AD31:AG31,3,0),0)</f>
        <v>0</v>
      </c>
      <c r="AO34" s="13">
        <f>+IFERROR(VLOOKUP($AO$17,Sheet1!AD31:AG31,3,0),0)</f>
        <v>0</v>
      </c>
      <c r="AP34" s="13">
        <f>+IFERROR(VLOOKUP($AP$17,Sheet1!AD31:AG31,3,0),0)</f>
        <v>0</v>
      </c>
      <c r="AQ34" s="13">
        <f>+IFERROR(VLOOKUP($AQ$17,Sheet1!AD31:AG31,3,0),0)</f>
        <v>0</v>
      </c>
      <c r="AR34" s="56">
        <v>78</v>
      </c>
      <c r="AS34" s="13">
        <f>+IFERROR(VLOOKUP($AS$17,Sheet1!AH31:AK31,3,0),0)</f>
        <v>0</v>
      </c>
      <c r="AT34" s="13">
        <f>+IFERROR(VLOOKUP($AT$17,Sheet1!AH31:AK31,3,0),0)</f>
        <v>0</v>
      </c>
      <c r="AU34" s="13">
        <f>+IFERROR(VLOOKUP($AU$17,Sheet1!AH31:AK31,3,0),0)</f>
        <v>0</v>
      </c>
      <c r="AV34" s="13">
        <f>+IFERROR(VLOOKUP($AV$17,Sheet1!AH31:AK31,3,0),0)</f>
        <v>0</v>
      </c>
      <c r="AW34" s="13">
        <f>+IFERROR(VLOOKUP($AW$17,Sheet1!AH31:AK31,3,0),0)</f>
        <v>0</v>
      </c>
      <c r="AX34" s="13">
        <f>+IFERROR(VLOOKUP($AX$17,Sheet1!AH31:AK31,3,0),0)</f>
        <v>0</v>
      </c>
      <c r="AY34" s="13">
        <f>+IFERROR(VLOOKUP($AY$17,Sheet1!AH31:AK31,3,0),0)</f>
        <v>0</v>
      </c>
      <c r="AZ34" s="13">
        <f>+IFERROR(VLOOKUP($AZ$17,Sheet1!AH31:AK31,3,0),0)</f>
        <v>0</v>
      </c>
      <c r="BA34" s="56">
        <v>276</v>
      </c>
      <c r="BB34" s="13">
        <f>+IFERROR(VLOOKUP($BB$17,Sheet1!AH31:AK31,3,0),0)</f>
        <v>0</v>
      </c>
      <c r="BC34" s="13">
        <f>+IFERROR(VLOOKUP($BC$17,Sheet1!AL31:AO31,3,0),0)</f>
        <v>0</v>
      </c>
      <c r="BD34" s="13">
        <f>+IFERROR(VLOOKUP($BD$17,Sheet1!AL31:AO31,3,0),0)</f>
        <v>0</v>
      </c>
      <c r="BE34" s="13">
        <f>+IFERROR(VLOOKUP($BE$17,Sheet1!AL31:AO31,3,0),0)</f>
        <v>0</v>
      </c>
      <c r="BF34" s="56">
        <v>108</v>
      </c>
      <c r="BG34" s="13">
        <f>+IFERROR(VLOOKUP($BG$17,Sheet1!AL31:AO31,3,0),0)</f>
        <v>0</v>
      </c>
      <c r="BH34" s="13">
        <f>+IFERROR(VLOOKUP($BH$17,Sheet1!AL31:AO31,3,0),0)</f>
        <v>0</v>
      </c>
      <c r="BI34" s="13">
        <f>+IFERROR(VLOOKUP($BI$17,Sheet1!AL31:AO31,3,0),0)</f>
        <v>0</v>
      </c>
      <c r="BJ34" s="13">
        <f>+IFERROR(VLOOKUP($BJ$17,Sheet1!AL31:AO31,3,0),0)</f>
        <v>0</v>
      </c>
      <c r="BK34" s="13">
        <f>+IFERROR(VLOOKUP($BK$17,Sheet1!AL31:AO31,3,0),0)</f>
        <v>0</v>
      </c>
      <c r="BL34" s="13">
        <f>+IFERROR(VLOOKUP($BL$17,Sheet1!AL31:AO31,3,0),0)</f>
        <v>0</v>
      </c>
      <c r="BM34" s="13">
        <f>+IFERROR(VLOOKUP($BM$17,Sheet1!AP31:AS31,3,0),0)</f>
        <v>0</v>
      </c>
      <c r="BN34" s="13">
        <f>+IFERROR(VLOOKUP($BN$17,Sheet1!AT31:AW31,3,0),0)</f>
        <v>0</v>
      </c>
      <c r="BO34" s="13">
        <f>+IFERROR(VLOOKUP($BO$17,Sheet1!AX31:BA31,3,0),0)</f>
        <v>0</v>
      </c>
      <c r="BP34" s="13">
        <f>+IFERROR(VLOOKUP($BP$17,Sheet1!BB31:BE31,3,0),0)</f>
        <v>0</v>
      </c>
      <c r="BQ34" s="13">
        <f>+IFERROR(VLOOKUP($BQ$17,Sheet1!BF31:BI31,3,0),0)</f>
        <v>0</v>
      </c>
      <c r="BR34" s="13">
        <f>+IFERROR(VLOOKUP($BR$17,Sheet1!BJ31:BM31,3,0),0)</f>
        <v>0</v>
      </c>
      <c r="BS34" s="13">
        <f>+IFERROR(VLOOKUP($BS$17,Sheet1!BN31:BQ31,3,0),0)</f>
        <v>0</v>
      </c>
      <c r="BT34" s="56">
        <v>10</v>
      </c>
      <c r="BU34" s="13">
        <f>+IFERROR(VLOOKUP($BU$17,Sheet1!BV31:BY31,3,0),0)</f>
        <v>0</v>
      </c>
      <c r="BV34" s="13" t="str">
        <f>Sheet1!E31</f>
        <v>WOOD</v>
      </c>
      <c r="BW34" s="13" t="str">
        <f>Sheet1!CV31</f>
        <v>MD0100066</v>
      </c>
      <c r="BX34" s="13" t="str">
        <f>Sheet1!CW31</f>
        <v>DRUM - 40 X 15 X 23 X 2</v>
      </c>
      <c r="BY34" s="13">
        <f>Sheet1!CX31</f>
        <v>1000</v>
      </c>
      <c r="BZ34" s="3">
        <f>Sheet1!BZ31</f>
        <v>2575.7399999999998</v>
      </c>
      <c r="CA34" s="3">
        <f t="shared" si="5"/>
        <v>57813.74</v>
      </c>
      <c r="CB34" s="23">
        <f>Sheet1!CB31</f>
        <v>0</v>
      </c>
      <c r="CC34" s="3">
        <f t="shared" si="6"/>
        <v>0</v>
      </c>
      <c r="CD34" s="44">
        <v>0.18</v>
      </c>
      <c r="CE34" s="3">
        <f t="shared" si="7"/>
        <v>10406.473199999999</v>
      </c>
      <c r="CF34" s="44">
        <v>0</v>
      </c>
      <c r="CG34" s="3">
        <f t="shared" si="8"/>
        <v>0</v>
      </c>
      <c r="CH34" s="3">
        <f t="shared" si="9"/>
        <v>68220.213199999998</v>
      </c>
      <c r="CI34" s="44">
        <v>0.02</v>
      </c>
      <c r="CJ34" s="1">
        <f t="shared" si="10"/>
        <v>1364.404264</v>
      </c>
      <c r="CK34" s="44">
        <v>0.01</v>
      </c>
      <c r="CL34" s="1">
        <f t="shared" si="11"/>
        <v>682.20213200000001</v>
      </c>
      <c r="CM34">
        <v>55</v>
      </c>
      <c r="CN34">
        <v>20</v>
      </c>
    </row>
    <row r="35" spans="1:92" x14ac:dyDescent="0.25">
      <c r="A35" s="1" t="str">
        <f>Sheet1!A26</f>
        <v>ENQ-12232-22-23</v>
      </c>
      <c r="B35" s="47">
        <v>45380</v>
      </c>
      <c r="C35" s="1" t="str">
        <f>Sheet1!C26</f>
        <v>FA0900042</v>
      </c>
      <c r="D35" s="73" t="str">
        <f>Sheet1!D26</f>
        <v>2 CORE X 10 SQ. MM. ALU/ARD - WIRE (XLPE)</v>
      </c>
      <c r="E35" s="3">
        <f t="shared" si="0"/>
        <v>91204.867861999999</v>
      </c>
      <c r="F35" s="66">
        <f t="shared" si="12"/>
        <v>1696</v>
      </c>
      <c r="G35" s="9">
        <f t="shared" si="1"/>
        <v>92900.867861999999</v>
      </c>
      <c r="H35" s="7">
        <f>Sheet1!CP26</f>
        <v>0.18</v>
      </c>
      <c r="I35" s="9">
        <f t="shared" si="2"/>
        <v>16722.156215160001</v>
      </c>
      <c r="J35" s="9">
        <f t="shared" si="3"/>
        <v>109623.02407715999</v>
      </c>
      <c r="K35" s="73">
        <f>15.9+35+12.813</f>
        <v>63.713000000000001</v>
      </c>
      <c r="L35" s="1" t="str">
        <f>Sheet1!CT26</f>
        <v>KMS</v>
      </c>
      <c r="M35" s="3">
        <f t="shared" si="4"/>
        <v>6984411.7330280943</v>
      </c>
      <c r="N35" s="57">
        <f>+IFERROR(VLOOKUP($N$17,Sheet1!J26:L26,3,0),0)</f>
        <v>54</v>
      </c>
      <c r="O35" s="2">
        <f>+IFERROR(VLOOKUP($O$17,Sheet1!J26:L26,3,0),0)</f>
        <v>0</v>
      </c>
      <c r="P35" s="2">
        <f>+IFERROR(VLOOKUP($P$17,Sheet1!J26:M26,3,0),0)</f>
        <v>0</v>
      </c>
      <c r="Q35" s="2">
        <f>+IFERROR(VLOOKUP($Q$17,Sheet1!J26:M26,3,0),0)</f>
        <v>0</v>
      </c>
      <c r="R35" s="2">
        <f>+IFERROR(VLOOKUP($R$17,Sheet1!J26:M26,3,0),0)</f>
        <v>0</v>
      </c>
      <c r="S35" s="2">
        <f>+IFERROR(VLOOKUP($S$17,Sheet1!N26:Q26,3,0),0)</f>
        <v>0</v>
      </c>
      <c r="T35" s="2">
        <f>+IFERROR(VLOOKUP($T$17,Sheet1!N26:Q26,3,0),0)</f>
        <v>0</v>
      </c>
      <c r="U35" s="2">
        <f>+IFERROR(VLOOKUP($U$17,Sheet1!F26:I26,3,0),0)</f>
        <v>0</v>
      </c>
      <c r="V35" s="2">
        <f>+IFERROR(VLOOKUP($V$17,Sheet1!F26:I26,3,0),0)</f>
        <v>0</v>
      </c>
      <c r="W35" s="2">
        <f>+IFERROR(VLOOKUP($W$17,Sheet1!F26:I26,3,0),0)</f>
        <v>0</v>
      </c>
      <c r="X35" s="2">
        <f>+IFERROR(VLOOKUP($X$17,Sheet1!F26:I26,3,0),0)</f>
        <v>0</v>
      </c>
      <c r="Y35" s="2">
        <f>+IFERROR(VLOOKUP($Y$17,Sheet1!F26:I26,3,0),0)</f>
        <v>0</v>
      </c>
      <c r="Z35" s="2">
        <f>+IFERROR(VLOOKUP($Z$17,Sheet1!F26:I26,3,0),0)</f>
        <v>0</v>
      </c>
      <c r="AA35" s="2">
        <f>+IFERROR(VLOOKUP($AA$17,Sheet1!F26:I26,3,0),0)</f>
        <v>0</v>
      </c>
      <c r="AB35" s="2">
        <f>+IFERROR(VLOOKUP($AB$17,Sheet1!F26:I26,3,0),0)</f>
        <v>0</v>
      </c>
      <c r="AC35" s="2">
        <f>+IFERROR(VLOOKUP($AC$17,Sheet1!R26:U26,3,0),0)</f>
        <v>0</v>
      </c>
      <c r="AD35" s="13">
        <f>+IFERROR(VLOOKUP($AD$17,Sheet1!R26:U26,2,0),0)</f>
        <v>0</v>
      </c>
      <c r="AE35" s="2">
        <f>+IFERROR(VLOOKUP($AE$17,Sheet1!V26:Y26,3,0),0)</f>
        <v>0</v>
      </c>
      <c r="AF35" s="56">
        <v>25</v>
      </c>
      <c r="AG35" s="13">
        <f>+IFERROR(VLOOKUP($AG$17,Sheet1!V26:Y26,3,0),0)</f>
        <v>0</v>
      </c>
      <c r="AH35" s="13">
        <f>+IFERROR(VLOOKUP($AH$17,Sheet1!V26:Y26,3,0),0)</f>
        <v>0</v>
      </c>
      <c r="AI35" s="13">
        <f>+IFERROR(VLOOKUP($AI$17,Sheet1!V26:Y26,3,0),0)</f>
        <v>0</v>
      </c>
      <c r="AJ35" s="13">
        <f>+IFERROR(VLOOKUP($AJ$17,Sheet1!V26:Y26,3,0),0)</f>
        <v>0</v>
      </c>
      <c r="AK35" s="13">
        <f>+IFERROR(VLOOKUP($AK$17,Sheet1!Z26:AB26,3,0),0)</f>
        <v>0</v>
      </c>
      <c r="AL35" s="13">
        <f>+IFERROR(VLOOKUP($AL$17,Sheet1!AD26:AG26,3,0),0)</f>
        <v>0</v>
      </c>
      <c r="AM35" s="13">
        <f>+IFERROR(VLOOKUP($AM$17,Sheet1!AD26:AG26,3,0),0)</f>
        <v>0</v>
      </c>
      <c r="AN35" s="13">
        <f>+IFERROR(VLOOKUP($AN$17,Sheet1!AD26:AG26,3,0),0)</f>
        <v>0</v>
      </c>
      <c r="AO35" s="13">
        <f>+IFERROR(VLOOKUP($AO$17,Sheet1!AD26:AG26,3,0),0)</f>
        <v>0</v>
      </c>
      <c r="AP35" s="13">
        <f>+IFERROR(VLOOKUP($AP$17,Sheet1!AD26:AG26,3,0),0)</f>
        <v>0</v>
      </c>
      <c r="AQ35" s="13">
        <f>+IFERROR(VLOOKUP($AQ$17,Sheet1!AD26:AG26,3,0),0)</f>
        <v>0</v>
      </c>
      <c r="AR35" s="56">
        <v>103</v>
      </c>
      <c r="AS35" s="13">
        <f>+IFERROR(VLOOKUP($AS$17,Sheet1!AH26:AK26,3,0),0)</f>
        <v>0</v>
      </c>
      <c r="AT35" s="13">
        <f>+IFERROR(VLOOKUP($AT$17,Sheet1!AH26:AK26,3,0),0)</f>
        <v>0</v>
      </c>
      <c r="AU35" s="13">
        <f>+IFERROR(VLOOKUP($AU$17,Sheet1!AH26:AK26,3,0),0)</f>
        <v>0</v>
      </c>
      <c r="AV35" s="13">
        <f>+IFERROR(VLOOKUP($AV$17,Sheet1!AH26:AK26,3,0),0)</f>
        <v>0</v>
      </c>
      <c r="AW35" s="13">
        <f>+IFERROR(VLOOKUP($AW$17,Sheet1!AH26:AK26,3,0),0)</f>
        <v>0</v>
      </c>
      <c r="AX35" s="13">
        <f>+IFERROR(VLOOKUP($AX$17,Sheet1!AH26:AK26,3,0),0)</f>
        <v>0</v>
      </c>
      <c r="AY35" s="13">
        <f>+IFERROR(VLOOKUP($AY$17,Sheet1!AH26:AK26,3,0),0)</f>
        <v>0</v>
      </c>
      <c r="AZ35" s="13">
        <f>+IFERROR(VLOOKUP($AZ$17,Sheet1!AH26:AK26,3,0),0)</f>
        <v>0</v>
      </c>
      <c r="BA35" s="56">
        <f>+IFERROR(VLOOKUP($BA$17,Sheet1!AH26:AK26,3,0),0)</f>
        <v>360</v>
      </c>
      <c r="BB35" s="13">
        <f>+IFERROR(VLOOKUP($BB$17,Sheet1!AH26:AK26,3,0),0)</f>
        <v>0</v>
      </c>
      <c r="BC35" s="13">
        <f>+IFERROR(VLOOKUP($BC$17,Sheet1!AL26:AO26,3,0),0)</f>
        <v>0</v>
      </c>
      <c r="BD35" s="13">
        <f>+IFERROR(VLOOKUP($BD$17,Sheet1!AL26:AO26,3,0),0)</f>
        <v>0</v>
      </c>
      <c r="BE35" s="13">
        <f>+IFERROR(VLOOKUP($BE$17,Sheet1!AL26:AO26,3,0),0)</f>
        <v>0</v>
      </c>
      <c r="BF35" s="56">
        <v>120</v>
      </c>
      <c r="BG35" s="13">
        <f>+IFERROR(VLOOKUP($BG$17,Sheet1!AL26:AO26,3,0),0)</f>
        <v>0</v>
      </c>
      <c r="BH35" s="13">
        <f>+IFERROR(VLOOKUP($BH$17,Sheet1!AL26:AO26,3,0),0)</f>
        <v>0</v>
      </c>
      <c r="BI35" s="13">
        <f>+IFERROR(VLOOKUP($BI$17,Sheet1!AL26:AO26,3,0),0)</f>
        <v>0</v>
      </c>
      <c r="BJ35" s="13">
        <f>+IFERROR(VLOOKUP($BJ$17,Sheet1!AL26:AO26,3,0),0)</f>
        <v>0</v>
      </c>
      <c r="BK35" s="13">
        <f>+IFERROR(VLOOKUP($BK$17,Sheet1!AL26:AO26,3,0),0)</f>
        <v>0</v>
      </c>
      <c r="BL35" s="13">
        <f>+IFERROR(VLOOKUP($BL$17,Sheet1!AL26:AO26,3,0),0)</f>
        <v>0</v>
      </c>
      <c r="BM35" s="13">
        <f>+IFERROR(VLOOKUP($BM$17,Sheet1!AP26:AS26,3,0),0)</f>
        <v>0</v>
      </c>
      <c r="BN35" s="13">
        <f>+IFERROR(VLOOKUP($BN$17,Sheet1!AT26:AW26,3,0),0)</f>
        <v>0</v>
      </c>
      <c r="BO35" s="13">
        <f>+IFERROR(VLOOKUP($BO$17,Sheet1!AX26:BA26,3,0),0)</f>
        <v>0</v>
      </c>
      <c r="BP35" s="13">
        <f>+IFERROR(VLOOKUP($BP$17,Sheet1!BB26:BE26,3,0),0)</f>
        <v>0</v>
      </c>
      <c r="BQ35" s="13">
        <f>+IFERROR(VLOOKUP($BQ$17,Sheet1!BF26:BI26,3,0),0)</f>
        <v>0</v>
      </c>
      <c r="BR35" s="13">
        <f>+IFERROR(VLOOKUP($BR$17,Sheet1!BJ26:BM26,3,0),0)</f>
        <v>0</v>
      </c>
      <c r="BS35" s="13">
        <f>+IFERROR(VLOOKUP($BS$17,Sheet1!BN26:BQ26,3,0),0)</f>
        <v>0</v>
      </c>
      <c r="BT35" s="56">
        <v>12</v>
      </c>
      <c r="BU35" s="13">
        <f>+IFERROR(VLOOKUP($BU$17,Sheet1!BV26:BY26,3,0),0)</f>
        <v>0</v>
      </c>
      <c r="BV35" s="13" t="str">
        <f>Sheet1!E26</f>
        <v>WOOD</v>
      </c>
      <c r="BW35" s="13" t="str">
        <f>Sheet1!CV26</f>
        <v>MD0100075</v>
      </c>
      <c r="BX35" s="13" t="str">
        <f>Sheet1!CW26</f>
        <v>DRUM - 42 X 15 X 23 X 2</v>
      </c>
      <c r="BY35" s="13">
        <f>Sheet1!CX26</f>
        <v>1000</v>
      </c>
      <c r="BZ35" s="3">
        <f>Sheet1!BZ26</f>
        <v>3542.03</v>
      </c>
      <c r="CA35" s="3">
        <f t="shared" si="5"/>
        <v>75041.03</v>
      </c>
      <c r="CB35" s="23">
        <f>Sheet1!CB26</f>
        <v>0</v>
      </c>
      <c r="CC35" s="3">
        <f t="shared" si="6"/>
        <v>0</v>
      </c>
      <c r="CD35" s="44">
        <v>0.18</v>
      </c>
      <c r="CE35" s="3">
        <f t="shared" si="7"/>
        <v>13507.385399999999</v>
      </c>
      <c r="CF35" s="44">
        <v>0</v>
      </c>
      <c r="CG35" s="3">
        <f t="shared" si="8"/>
        <v>0</v>
      </c>
      <c r="CH35" s="3">
        <f t="shared" si="9"/>
        <v>88548.415399999998</v>
      </c>
      <c r="CI35" s="44">
        <v>0.02</v>
      </c>
      <c r="CJ35" s="1">
        <f t="shared" si="10"/>
        <v>1770.968308</v>
      </c>
      <c r="CK35" s="44">
        <v>0.01</v>
      </c>
      <c r="CL35" s="1">
        <f t="shared" si="11"/>
        <v>885.48415399999999</v>
      </c>
      <c r="CM35">
        <v>55</v>
      </c>
      <c r="CN35">
        <v>20</v>
      </c>
    </row>
    <row r="36" spans="1:92" x14ac:dyDescent="0.25">
      <c r="A36" s="1" t="str">
        <f>Sheet1!A29</f>
        <v>ENQ-12232-22-23</v>
      </c>
      <c r="B36" s="47">
        <v>45380</v>
      </c>
      <c r="C36" s="1" t="str">
        <f>Sheet1!C29</f>
        <v>FA0900112</v>
      </c>
      <c r="D36" s="73" t="str">
        <f>Sheet1!D29</f>
        <v>4 CORE X 10 SQ. MM. AL/ARD - WIRE (XLPE)</v>
      </c>
      <c r="E36" s="3">
        <f t="shared" si="0"/>
        <v>107877.54275200001</v>
      </c>
      <c r="F36" s="66">
        <f t="shared" si="12"/>
        <v>1594</v>
      </c>
      <c r="G36" s="9">
        <f t="shared" si="1"/>
        <v>109471.54275200001</v>
      </c>
      <c r="H36" s="7">
        <f>Sheet1!CP29</f>
        <v>0.18</v>
      </c>
      <c r="I36" s="9">
        <f t="shared" si="2"/>
        <v>19704.877695359999</v>
      </c>
      <c r="J36" s="9">
        <f t="shared" si="3"/>
        <v>129176.42044736001</v>
      </c>
      <c r="K36" s="73">
        <f>17.9+119+15.626</f>
        <v>152.52600000000001</v>
      </c>
      <c r="L36" s="1" t="str">
        <f>Sheet1!CT29</f>
        <v>KMS</v>
      </c>
      <c r="M36" s="3">
        <f t="shared" si="4"/>
        <v>19702762.705154035</v>
      </c>
      <c r="N36" s="57">
        <v>108</v>
      </c>
      <c r="O36" s="2">
        <f>+IFERROR(VLOOKUP($O$17,Sheet1!J29:L29,3,0),0)</f>
        <v>0</v>
      </c>
      <c r="P36" s="2">
        <f>+IFERROR(VLOOKUP($P$17,Sheet1!J29:M29,3,0),0)</f>
        <v>0</v>
      </c>
      <c r="Q36" s="2">
        <f>+IFERROR(VLOOKUP($Q$17,Sheet1!J29:M29,3,0),0)</f>
        <v>0</v>
      </c>
      <c r="R36" s="2">
        <f>+IFERROR(VLOOKUP($R$17,Sheet1!J29:M29,3,0),0)</f>
        <v>0</v>
      </c>
      <c r="S36" s="2">
        <f>+IFERROR(VLOOKUP($S$17,Sheet1!N29:Q29,3,0),0)</f>
        <v>0</v>
      </c>
      <c r="T36" s="2">
        <f>+IFERROR(VLOOKUP($T$17,Sheet1!N29:Q29,3,0),0)</f>
        <v>0</v>
      </c>
      <c r="U36" s="2">
        <f>+IFERROR(VLOOKUP($U$17,Sheet1!F29:I29,3,0),0)</f>
        <v>0</v>
      </c>
      <c r="V36" s="2">
        <f>+IFERROR(VLOOKUP($V$17,Sheet1!F29:I29,3,0),0)</f>
        <v>0</v>
      </c>
      <c r="W36" s="2">
        <f>+IFERROR(VLOOKUP($W$17,Sheet1!F29:I29,3,0),0)</f>
        <v>0</v>
      </c>
      <c r="X36" s="2">
        <f>+IFERROR(VLOOKUP($X$17,Sheet1!F29:I29,3,0),0)</f>
        <v>0</v>
      </c>
      <c r="Y36" s="2">
        <f>+IFERROR(VLOOKUP($Y$17,Sheet1!F29:I29,3,0),0)</f>
        <v>0</v>
      </c>
      <c r="Z36" s="2">
        <f>+IFERROR(VLOOKUP($Z$17,Sheet1!F29:I29,3,0),0)</f>
        <v>0</v>
      </c>
      <c r="AA36" s="2">
        <f>+IFERROR(VLOOKUP($AA$17,Sheet1!F29:I29,3,0),0)</f>
        <v>0</v>
      </c>
      <c r="AB36" s="2">
        <f>+IFERROR(VLOOKUP($AB$17,Sheet1!F29:I29,3,0),0)</f>
        <v>0</v>
      </c>
      <c r="AC36" s="2">
        <f>+IFERROR(VLOOKUP($AC$17,Sheet1!R29:U29,3,0),0)</f>
        <v>0</v>
      </c>
      <c r="AD36" s="13">
        <f>+IFERROR(VLOOKUP($AD$17,Sheet1!R29:U29,2,0),0)</f>
        <v>0</v>
      </c>
      <c r="AE36" s="2">
        <f>+IFERROR(VLOOKUP($AE$17,Sheet1!V29:Y29,3,0),0)</f>
        <v>0</v>
      </c>
      <c r="AF36" s="56">
        <v>50</v>
      </c>
      <c r="AG36" s="13">
        <f>+IFERROR(VLOOKUP($AG$17,Sheet1!V29:Y29,3,0),0)</f>
        <v>0</v>
      </c>
      <c r="AH36" s="13">
        <f>+IFERROR(VLOOKUP($AH$17,Sheet1!V29:Y29,3,0),0)</f>
        <v>0</v>
      </c>
      <c r="AI36" s="13">
        <f>+IFERROR(VLOOKUP($AI$17,Sheet1!V29:Y29,3,0),0)</f>
        <v>0</v>
      </c>
      <c r="AJ36" s="13">
        <f>+IFERROR(VLOOKUP($AJ$17,Sheet1!V29:Y29,3,0),0)</f>
        <v>0</v>
      </c>
      <c r="AK36" s="13">
        <f>+IFERROR(VLOOKUP($AK$17,Sheet1!Z29:AB29,3,0),0)</f>
        <v>0</v>
      </c>
      <c r="AL36" s="13">
        <f>+IFERROR(VLOOKUP($AL$17,Sheet1!AD29:AG29,3,0),0)</f>
        <v>0</v>
      </c>
      <c r="AM36" s="13">
        <f>+IFERROR(VLOOKUP($AM$17,Sheet1!AD29:AG29,3,0),0)</f>
        <v>0</v>
      </c>
      <c r="AN36" s="13">
        <f>+IFERROR(VLOOKUP($AN$17,Sheet1!AD29:AG29,3,0),0)</f>
        <v>0</v>
      </c>
      <c r="AO36" s="13">
        <f>+IFERROR(VLOOKUP($AO$17,Sheet1!AD29:AG29,3,0),0)</f>
        <v>0</v>
      </c>
      <c r="AP36" s="13">
        <f>+IFERROR(VLOOKUP($AP$17,Sheet1!AD29:AG29,3,0),0)</f>
        <v>0</v>
      </c>
      <c r="AQ36" s="56">
        <f>+IFERROR(VLOOKUP($AQ$17,Sheet1!AD29:AG29,3,0),0)</f>
        <v>35</v>
      </c>
      <c r="AR36" s="13">
        <f>+IFERROR(VLOOKUP($AR$17,Sheet1!AD29:AG29,3,0),0)</f>
        <v>0</v>
      </c>
      <c r="AS36" s="13">
        <f>+IFERROR(VLOOKUP($AS$17,Sheet1!AH29:AK29,3,0),0)</f>
        <v>0</v>
      </c>
      <c r="AT36" s="13">
        <f>+IFERROR(VLOOKUP($AT$17,Sheet1!AH29:AK29,3,0),0)</f>
        <v>0</v>
      </c>
      <c r="AU36" s="13">
        <f>+IFERROR(VLOOKUP($AU$17,Sheet1!AH29:AK29,3,0),0)</f>
        <v>0</v>
      </c>
      <c r="AV36" s="13">
        <f>+IFERROR(VLOOKUP($AV$17,Sheet1!AH29:AK29,3,0),0)</f>
        <v>0</v>
      </c>
      <c r="AW36" s="13">
        <f>+IFERROR(VLOOKUP($AW$17,Sheet1!AH29:AK29,3,0),0)</f>
        <v>0</v>
      </c>
      <c r="AX36" s="13">
        <f>+IFERROR(VLOOKUP($AX$17,Sheet1!AH29:AK29,3,0),0)</f>
        <v>0</v>
      </c>
      <c r="AY36" s="13">
        <f>+IFERROR(VLOOKUP($AY$17,Sheet1!AH29:AK29,3,0),0)</f>
        <v>0</v>
      </c>
      <c r="AZ36" s="13">
        <f>+IFERROR(VLOOKUP($AZ$17,Sheet1!AH29:AK29,3,0),0)</f>
        <v>0</v>
      </c>
      <c r="BA36" s="56">
        <v>377</v>
      </c>
      <c r="BB36" s="13">
        <f>+IFERROR(VLOOKUP($BB$17,Sheet1!AH29:AK29,3,0),0)</f>
        <v>0</v>
      </c>
      <c r="BC36" s="13">
        <f>+IFERROR(VLOOKUP($BC$17,Sheet1!AL29:AO29,3,0),0)</f>
        <v>0</v>
      </c>
      <c r="BD36" s="13">
        <f>+IFERROR(VLOOKUP($BD$17,Sheet1!AL29:AO29,3,0),0)</f>
        <v>0</v>
      </c>
      <c r="BE36" s="13">
        <f>+IFERROR(VLOOKUP($BE$17,Sheet1!AL29:AO29,3,0),0)</f>
        <v>0</v>
      </c>
      <c r="BF36" s="56">
        <f>+IFERROR(VLOOKUP($BF$17,Sheet1!AL29:AO29,3,0),0)</f>
        <v>151</v>
      </c>
      <c r="BG36" s="13">
        <f>+IFERROR(VLOOKUP($BG$17,Sheet1!AL29:AO29,3,0),0)</f>
        <v>0</v>
      </c>
      <c r="BH36" s="13">
        <f>+IFERROR(VLOOKUP($BH$17,Sheet1!AL29:AO29,3,0),0)</f>
        <v>0</v>
      </c>
      <c r="BI36" s="13">
        <f>+IFERROR(VLOOKUP($BI$17,Sheet1!AL29:AO29,3,0),0)</f>
        <v>0</v>
      </c>
      <c r="BJ36" s="13">
        <f>+IFERROR(VLOOKUP($BJ$17,Sheet1!AL29:AO29,3,0),0)</f>
        <v>0</v>
      </c>
      <c r="BK36" s="13">
        <f>+IFERROR(VLOOKUP($BK$17,Sheet1!AL29:AO29,3,0),0)</f>
        <v>0</v>
      </c>
      <c r="BL36" s="13">
        <f>+IFERROR(VLOOKUP($BL$17,Sheet1!AL29:AO29,3,0),0)</f>
        <v>0</v>
      </c>
      <c r="BM36" s="13">
        <f>+IFERROR(VLOOKUP($BM$17,Sheet1!AP29:AS29,3,0),0)</f>
        <v>0</v>
      </c>
      <c r="BN36" s="13">
        <f>+IFERROR(VLOOKUP($BN$17,Sheet1!AT29:AW29,3,0),0)</f>
        <v>0</v>
      </c>
      <c r="BO36" s="13">
        <f>+IFERROR(VLOOKUP($BO$17,Sheet1!AX29:BA29,3,0),0)</f>
        <v>0</v>
      </c>
      <c r="BP36" s="13">
        <f>+IFERROR(VLOOKUP($BP$17,Sheet1!BB29:BE29,3,0),0)</f>
        <v>0</v>
      </c>
      <c r="BQ36" s="13">
        <f>+IFERROR(VLOOKUP($BQ$17,Sheet1!BF29:BI29,3,0),0)</f>
        <v>0</v>
      </c>
      <c r="BR36" s="13">
        <f>+IFERROR(VLOOKUP($BR$17,Sheet1!BJ29:BM29,3,0),0)</f>
        <v>0</v>
      </c>
      <c r="BS36" s="13">
        <f>+IFERROR(VLOOKUP($BS$17,Sheet1!BN29:BQ29,3,0),0)</f>
        <v>0</v>
      </c>
      <c r="BT36" s="56">
        <v>13.5</v>
      </c>
      <c r="BU36" s="13">
        <f>+IFERROR(VLOOKUP($BU$17,Sheet1!BV29:BY29,3,0),0)</f>
        <v>0</v>
      </c>
      <c r="BV36" s="13" t="str">
        <f>Sheet1!E29</f>
        <v>WOOD</v>
      </c>
      <c r="BW36" s="13" t="str">
        <f>Sheet1!CV29</f>
        <v>MD0100064</v>
      </c>
      <c r="BX36" s="13" t="str">
        <f>Sheet1!CW29</f>
        <v>DRUM - 42 X 15 X 32 X 2</v>
      </c>
      <c r="BY36" s="13">
        <f>Sheet1!CX29</f>
        <v>1000</v>
      </c>
      <c r="BZ36" s="3">
        <f>Sheet1!BZ29</f>
        <v>4155.88</v>
      </c>
      <c r="CA36" s="3">
        <f t="shared" si="5"/>
        <v>88758.88</v>
      </c>
      <c r="CB36" s="23">
        <f>Sheet1!CB29</f>
        <v>0</v>
      </c>
      <c r="CC36" s="3">
        <f t="shared" si="6"/>
        <v>0</v>
      </c>
      <c r="CD36" s="44">
        <v>0.18</v>
      </c>
      <c r="CE36" s="3">
        <f t="shared" si="7"/>
        <v>15976.598400000001</v>
      </c>
      <c r="CF36" s="44">
        <v>0</v>
      </c>
      <c r="CG36" s="3">
        <f t="shared" si="8"/>
        <v>0</v>
      </c>
      <c r="CH36" s="3">
        <f t="shared" si="9"/>
        <v>104735.47840000001</v>
      </c>
      <c r="CI36" s="44">
        <v>0.02</v>
      </c>
      <c r="CJ36" s="1">
        <f t="shared" si="10"/>
        <v>2094.7095680000002</v>
      </c>
      <c r="CK36" s="44">
        <v>0.01</v>
      </c>
      <c r="CL36" s="1">
        <f t="shared" si="11"/>
        <v>1047.3547840000001</v>
      </c>
      <c r="CM36">
        <v>55</v>
      </c>
      <c r="CN36">
        <v>20</v>
      </c>
    </row>
    <row r="37" spans="1:92" hidden="1" x14ac:dyDescent="0.25">
      <c r="A37" s="1" t="str">
        <f>Sheet1!A17</f>
        <v>ENQ-12232-22-23</v>
      </c>
      <c r="B37" s="47">
        <v>45380</v>
      </c>
      <c r="C37" s="1" t="str">
        <f>Sheet1!C17</f>
        <v>FA0300011</v>
      </c>
      <c r="D37" s="1" t="str">
        <f>Sheet1!D17</f>
        <v>10 CORE X 2.5 SQ. MM. CU/UNARD. (PVC)</v>
      </c>
      <c r="E37" s="3">
        <f t="shared" si="0"/>
        <v>258268.221792</v>
      </c>
      <c r="F37" s="66" t="e">
        <f t="shared" si="12"/>
        <v>#DIV/0!</v>
      </c>
      <c r="G37" s="9" t="e">
        <f t="shared" si="1"/>
        <v>#DIV/0!</v>
      </c>
      <c r="H37" s="7">
        <f>Sheet1!CP17</f>
        <v>0.18</v>
      </c>
      <c r="I37" s="9" t="e">
        <f t="shared" si="2"/>
        <v>#DIV/0!</v>
      </c>
      <c r="J37" s="9" t="e">
        <f t="shared" si="3"/>
        <v>#DIV/0!</v>
      </c>
      <c r="K37" s="1"/>
      <c r="L37" s="1" t="str">
        <f>Sheet1!CT17</f>
        <v>KMS</v>
      </c>
      <c r="M37" s="3" t="e">
        <f t="shared" si="4"/>
        <v>#DIV/0!</v>
      </c>
      <c r="N37" s="2">
        <f>+IFERROR(VLOOKUP($N$17,Sheet1!J17:L17,3,0),0)</f>
        <v>0</v>
      </c>
      <c r="O37" s="2">
        <f>+IFERROR(VLOOKUP($O$17,Sheet1!J17:L17,3,0),0)</f>
        <v>0</v>
      </c>
      <c r="P37" s="2">
        <f>+IFERROR(VLOOKUP($P$17,Sheet1!J17:M17,3,0),0)</f>
        <v>222</v>
      </c>
      <c r="Q37" s="2">
        <f>+IFERROR(VLOOKUP($Q$17,Sheet1!J17:M17,3,0),0)</f>
        <v>0</v>
      </c>
      <c r="R37" s="2">
        <f>+IFERROR(VLOOKUP($R$17,Sheet1!J17:M17,3,0),0)</f>
        <v>0</v>
      </c>
      <c r="S37" s="2">
        <f>+IFERROR(VLOOKUP($S$17,Sheet1!N17:Q17,3,0),0)</f>
        <v>0</v>
      </c>
      <c r="T37" s="2">
        <f>+IFERROR(VLOOKUP($T$17,Sheet1!N17:Q17,3,0),0)</f>
        <v>0</v>
      </c>
      <c r="U37" s="2">
        <f>+IFERROR(VLOOKUP($U$17,Sheet1!F17:I17,3,0),0)</f>
        <v>0</v>
      </c>
      <c r="V37" s="2">
        <f>+IFERROR(VLOOKUP($V$17,Sheet1!F17:I17,3,0),0)</f>
        <v>0</v>
      </c>
      <c r="W37" s="2">
        <f>+IFERROR(VLOOKUP($W$17,Sheet1!F17:I17,3,0),0)</f>
        <v>0</v>
      </c>
      <c r="X37" s="2">
        <f>+IFERROR(VLOOKUP($X$17,Sheet1!F17:I17,3,0),0)</f>
        <v>0</v>
      </c>
      <c r="Y37" s="2">
        <f>+IFERROR(VLOOKUP($Y$17,Sheet1!F17:I17,3,0),0)</f>
        <v>0</v>
      </c>
      <c r="Z37" s="2">
        <f>+IFERROR(VLOOKUP($Z$17,Sheet1!F17:I17,3,0),0)</f>
        <v>0</v>
      </c>
      <c r="AA37" s="2">
        <f>+IFERROR(VLOOKUP($AA$17,Sheet1!F17:I17,3,0),0)</f>
        <v>0</v>
      </c>
      <c r="AB37" s="2">
        <f>+IFERROR(VLOOKUP($AB$17,Sheet1!F17:I17,3,0),0)</f>
        <v>0</v>
      </c>
      <c r="AC37" s="2">
        <f>+IFERROR(VLOOKUP($AC$17,Sheet1!R17:U17,3,0),0)</f>
        <v>0</v>
      </c>
      <c r="AD37" s="13">
        <f>+IFERROR(VLOOKUP($AD$17,Sheet1!R17:U17,2,0),0)</f>
        <v>0</v>
      </c>
      <c r="AE37" s="2">
        <f>+IFERROR(VLOOKUP($AE$17,Sheet1!V17:Y17,3,0),0)</f>
        <v>0</v>
      </c>
      <c r="AF37" s="13">
        <f>+IFERROR(VLOOKUP($AF$17,Sheet1!V17:Y17,3,0),0)</f>
        <v>0</v>
      </c>
      <c r="AG37" s="13">
        <f>+IFERROR(VLOOKUP($AG$17,Sheet1!V17:Y17,3,0),0)</f>
        <v>0</v>
      </c>
      <c r="AH37" s="13">
        <f>+IFERROR(VLOOKUP($AH$17,Sheet1!V17:Y17,3,0),0)</f>
        <v>0</v>
      </c>
      <c r="AI37" s="13">
        <f>+IFERROR(VLOOKUP($AI$17,Sheet1!V17:Y17,3,0),0)</f>
        <v>130</v>
      </c>
      <c r="AJ37" s="13">
        <f>+IFERROR(VLOOKUP($AJ$17,Sheet1!V17:Y17,3,0),0)</f>
        <v>0</v>
      </c>
      <c r="AK37" s="13">
        <f>+IFERROR(VLOOKUP($AK$17,Sheet1!Z17:AB17,3,0),0)</f>
        <v>5</v>
      </c>
      <c r="AL37" s="13">
        <f>+IFERROR(VLOOKUP($AL$17,Sheet1!AD17:AG17,3,0),0)</f>
        <v>0</v>
      </c>
      <c r="AM37" s="13">
        <f>+IFERROR(VLOOKUP($AM$17,Sheet1!AD17:AG17,3,0),0)</f>
        <v>0</v>
      </c>
      <c r="AN37" s="13">
        <f>+IFERROR(VLOOKUP($AN$17,Sheet1!AD17:AG17,3,0),0)</f>
        <v>0</v>
      </c>
      <c r="AO37" s="13">
        <f>+IFERROR(VLOOKUP($AO$17,Sheet1!AD17:AG17,3,0),0)</f>
        <v>0</v>
      </c>
      <c r="AP37" s="13">
        <f>+IFERROR(VLOOKUP($AP$17,Sheet1!AD17:AG17,3,0),0)</f>
        <v>0</v>
      </c>
      <c r="AQ37" s="13">
        <f>+IFERROR(VLOOKUP($AQ$17,Sheet1!AD17:AG17,3,0),0)</f>
        <v>36</v>
      </c>
      <c r="AR37" s="13">
        <f>+IFERROR(VLOOKUP($AR$17,Sheet1!AD17:AG17,3,0),0)</f>
        <v>0</v>
      </c>
      <c r="AS37" s="13">
        <f>+IFERROR(VLOOKUP($AS$17,Sheet1!AH17:AK17,3,0),0)</f>
        <v>0</v>
      </c>
      <c r="AT37" s="13">
        <f>+IFERROR(VLOOKUP($AT$17,Sheet1!AH17:AK17,3,0),0)</f>
        <v>0</v>
      </c>
      <c r="AU37" s="13">
        <f>+IFERROR(VLOOKUP($AU$17,Sheet1!AH17:AK17,3,0),0)</f>
        <v>0</v>
      </c>
      <c r="AV37" s="13">
        <f>+IFERROR(VLOOKUP($AV$17,Sheet1!AH17:AK17,3,0),0)</f>
        <v>0</v>
      </c>
      <c r="AW37" s="13">
        <f>+IFERROR(VLOOKUP($AW$17,Sheet1!AH17:AK17,3,0),0)</f>
        <v>0</v>
      </c>
      <c r="AX37" s="13">
        <f>+IFERROR(VLOOKUP($AX$17,Sheet1!AH17:AK17,3,0),0)</f>
        <v>0</v>
      </c>
      <c r="AY37" s="13">
        <f>+IFERROR(VLOOKUP($AY$17,Sheet1!AH17:AK17,3,0),0)</f>
        <v>0</v>
      </c>
      <c r="AZ37" s="13">
        <f>+IFERROR(VLOOKUP($AZ$17,Sheet1!AH17:AK17,3,0),0)</f>
        <v>0</v>
      </c>
      <c r="BA37" s="13">
        <f>+IFERROR(VLOOKUP($BA$17,Sheet1!AH17:AK17,3,0),0)</f>
        <v>0</v>
      </c>
      <c r="BB37" s="13">
        <f>+IFERROR(VLOOKUP($BB$17,Sheet1!AH17:AK17,3,0),0)</f>
        <v>0</v>
      </c>
      <c r="BC37" s="13">
        <f>+IFERROR(VLOOKUP($BC$17,Sheet1!AL17:AO17,3,0),0)</f>
        <v>0</v>
      </c>
      <c r="BD37" s="13">
        <f>+IFERROR(VLOOKUP($BD$17,Sheet1!AL17:AO17,3,0),0)</f>
        <v>0</v>
      </c>
      <c r="BE37" s="13">
        <f>+IFERROR(VLOOKUP($BE$17,Sheet1!AL17:AO17,3,0),0)</f>
        <v>0</v>
      </c>
      <c r="BF37" s="13">
        <f>+IFERROR(VLOOKUP($BF$17,Sheet1!AL17:AO17,3,0),0)</f>
        <v>165</v>
      </c>
      <c r="BG37" s="13">
        <f>+IFERROR(VLOOKUP($BG$17,Sheet1!AL17:AO17,3,0),0)</f>
        <v>0</v>
      </c>
      <c r="BH37" s="13">
        <f>+IFERROR(VLOOKUP($BH$17,Sheet1!AL17:AO17,3,0),0)</f>
        <v>0</v>
      </c>
      <c r="BI37" s="13">
        <f>+IFERROR(VLOOKUP($BI$17,Sheet1!AL17:AO17,3,0),0)</f>
        <v>0</v>
      </c>
      <c r="BJ37" s="13">
        <f>+IFERROR(VLOOKUP($BJ$17,Sheet1!AL17:AO17,3,0),0)</f>
        <v>0</v>
      </c>
      <c r="BK37" s="13">
        <f>+IFERROR(VLOOKUP($BK$17,Sheet1!AL17:AO17,3,0),0)</f>
        <v>0</v>
      </c>
      <c r="BL37" s="13">
        <f>+IFERROR(VLOOKUP($BL$17,Sheet1!AL17:AO17,3,0),0)</f>
        <v>0</v>
      </c>
      <c r="BM37" s="13">
        <f>+IFERROR(VLOOKUP($BM$17,Sheet1!AP17:AS17,3,0),0)</f>
        <v>0</v>
      </c>
      <c r="BN37" s="13">
        <f>+IFERROR(VLOOKUP($BN$17,Sheet1!AT17:AW17,3,0),0)</f>
        <v>0</v>
      </c>
      <c r="BO37" s="13">
        <f>+IFERROR(VLOOKUP($BO$17,Sheet1!AX17:BA17,3,0),0)</f>
        <v>0</v>
      </c>
      <c r="BP37" s="13">
        <f>+IFERROR(VLOOKUP($BP$17,Sheet1!BB17:BE17,3,0),0)</f>
        <v>0</v>
      </c>
      <c r="BQ37" s="13">
        <f>+IFERROR(VLOOKUP($BQ$17,Sheet1!BF17:BI17,3,0),0)</f>
        <v>0</v>
      </c>
      <c r="BR37" s="13">
        <f>+IFERROR(VLOOKUP($BR$17,Sheet1!BJ17:BM17,3,0),0)</f>
        <v>0</v>
      </c>
      <c r="BS37" s="13">
        <f>+IFERROR(VLOOKUP($BS$17,Sheet1!BN17:BQ17,3,0),0)</f>
        <v>0</v>
      </c>
      <c r="BT37" s="13">
        <f>+IFERROR(VLOOKUP($BT$17,Sheet1!BR17:BU17,3,0),0)</f>
        <v>0</v>
      </c>
      <c r="BU37" s="13">
        <f>+IFERROR(VLOOKUP($BU$17,Sheet1!BV17:BY17,3,0),0)</f>
        <v>0</v>
      </c>
      <c r="BV37" s="13" t="str">
        <f>Sheet1!E17</f>
        <v>WOOD</v>
      </c>
      <c r="BW37" s="13" t="str">
        <f>Sheet1!CV17</f>
        <v>MD0100066</v>
      </c>
      <c r="BX37" s="13" t="str">
        <f>Sheet1!CW17</f>
        <v>DRUM - 40 X 15 X 23 X 2</v>
      </c>
      <c r="BY37" s="13">
        <f>Sheet1!CX17</f>
        <v>500</v>
      </c>
      <c r="BZ37" s="3">
        <f>Sheet1!BZ17</f>
        <v>5151.4799999999996</v>
      </c>
      <c r="CA37" s="3">
        <f t="shared" si="5"/>
        <v>212496.48</v>
      </c>
      <c r="CB37" s="23">
        <f>Sheet1!CB17</f>
        <v>0</v>
      </c>
      <c r="CC37" s="3">
        <f t="shared" si="6"/>
        <v>0</v>
      </c>
      <c r="CD37" s="44">
        <v>0.18</v>
      </c>
      <c r="CE37" s="3">
        <f t="shared" si="7"/>
        <v>38249.366399999999</v>
      </c>
      <c r="CF37" s="44">
        <v>0</v>
      </c>
      <c r="CG37" s="3">
        <f t="shared" si="8"/>
        <v>0</v>
      </c>
      <c r="CH37" s="3">
        <f t="shared" si="9"/>
        <v>250745.84640000001</v>
      </c>
      <c r="CI37" s="44">
        <v>0.02</v>
      </c>
      <c r="CJ37" s="1">
        <f t="shared" si="10"/>
        <v>5014.9169280000006</v>
      </c>
      <c r="CK37" s="44">
        <v>0.01</v>
      </c>
      <c r="CL37" s="1">
        <f t="shared" si="11"/>
        <v>2507.4584640000003</v>
      </c>
      <c r="CM37">
        <v>55</v>
      </c>
      <c r="CN37">
        <v>20</v>
      </c>
    </row>
    <row r="38" spans="1:92" x14ac:dyDescent="0.25">
      <c r="A38" s="1" t="str">
        <f>Sheet1!A14</f>
        <v>ENQ-12232-22-23</v>
      </c>
      <c r="B38" s="47">
        <v>45380</v>
      </c>
      <c r="C38" s="1" t="s">
        <v>302</v>
      </c>
      <c r="D38" s="75" t="s">
        <v>303</v>
      </c>
      <c r="E38" s="3">
        <f t="shared" si="0"/>
        <v>460295.14552400005</v>
      </c>
      <c r="F38" s="66">
        <f t="shared" si="12"/>
        <v>3104</v>
      </c>
      <c r="G38" s="9">
        <f t="shared" si="1"/>
        <v>463399.14552400005</v>
      </c>
      <c r="H38" s="7">
        <f>Sheet1!CP14</f>
        <v>0.18</v>
      </c>
      <c r="I38" s="9">
        <f t="shared" si="2"/>
        <v>83411.846194320009</v>
      </c>
      <c r="J38" s="9">
        <f t="shared" si="3"/>
        <v>546810.99171832006</v>
      </c>
      <c r="K38" s="73">
        <f>25+2+16.5</f>
        <v>43.5</v>
      </c>
      <c r="L38" s="1" t="str">
        <f>Sheet1!CT14</f>
        <v>KMS</v>
      </c>
      <c r="M38" s="3">
        <f t="shared" si="4"/>
        <v>23786278.139746923</v>
      </c>
      <c r="N38" s="2">
        <f>+IFERROR(VLOOKUP($N$17,Sheet1!J14:L14,3,0),0)</f>
        <v>0</v>
      </c>
      <c r="O38" s="2">
        <f>+IFERROR(VLOOKUP($O$17,Sheet1!J14:L14,3,0),0)</f>
        <v>0</v>
      </c>
      <c r="P38" s="2">
        <v>355</v>
      </c>
      <c r="Q38" s="2">
        <f>+IFERROR(VLOOKUP($Q$17,Sheet1!J14:M14,3,0),0)</f>
        <v>0</v>
      </c>
      <c r="R38" s="2">
        <f>+IFERROR(VLOOKUP($R$17,Sheet1!J14:M14,3,0),0)</f>
        <v>0</v>
      </c>
      <c r="S38" s="2">
        <f>+IFERROR(VLOOKUP($S$17,Sheet1!N14:Q14,3,0),0)</f>
        <v>0</v>
      </c>
      <c r="T38" s="2">
        <f>+IFERROR(VLOOKUP($T$17,Sheet1!N14:Q14,3,0),0)</f>
        <v>0</v>
      </c>
      <c r="U38" s="2">
        <f>+IFERROR(VLOOKUP($U$17,Sheet1!F14:I14,3,0),0)</f>
        <v>0</v>
      </c>
      <c r="V38" s="2">
        <f>+IFERROR(VLOOKUP($V$17,Sheet1!F14:I14,3,0),0)</f>
        <v>0</v>
      </c>
      <c r="W38" s="2">
        <f>+IFERROR(VLOOKUP($W$17,Sheet1!F14:I14,3,0),0)</f>
        <v>0</v>
      </c>
      <c r="X38" s="2">
        <f>+IFERROR(VLOOKUP($X$17,Sheet1!F14:I14,3,0),0)</f>
        <v>0</v>
      </c>
      <c r="Y38" s="2">
        <f>+IFERROR(VLOOKUP($Y$17,Sheet1!F14:I14,3,0),0)</f>
        <v>0</v>
      </c>
      <c r="Z38" s="2">
        <f>+IFERROR(VLOOKUP($Z$17,Sheet1!F14:I14,3,0),0)</f>
        <v>0</v>
      </c>
      <c r="AA38" s="2">
        <f>+IFERROR(VLOOKUP($AA$17,Sheet1!F14:I14,3,0),0)</f>
        <v>0</v>
      </c>
      <c r="AB38" s="2">
        <f>+IFERROR(VLOOKUP($AB$17,Sheet1!F14:I14,3,0),0)</f>
        <v>0</v>
      </c>
      <c r="AC38" s="2">
        <f>+IFERROR(VLOOKUP($AC$17,Sheet1!R14:U14,3,0),0)</f>
        <v>0</v>
      </c>
      <c r="AD38" s="13">
        <f>+IFERROR(VLOOKUP($AD$17,Sheet1!R14:U14,2,0),0)</f>
        <v>0</v>
      </c>
      <c r="AE38" s="2">
        <f>+IFERROR(VLOOKUP($AE$17,Sheet1!V14:Y14,3,0),0)</f>
        <v>0</v>
      </c>
      <c r="AF38" s="13">
        <f>+IFERROR(VLOOKUP($AF$17,Sheet1!V14:Y14,3,0),0)</f>
        <v>0</v>
      </c>
      <c r="AG38" s="13">
        <f>+IFERROR(VLOOKUP($AG$17,Sheet1!V14:Y14,3,0),0)</f>
        <v>0</v>
      </c>
      <c r="AH38" s="13">
        <f>+IFERROR(VLOOKUP($AH$17,Sheet1!V14:Y14,3,0),0)</f>
        <v>0</v>
      </c>
      <c r="AI38" s="13">
        <v>214</v>
      </c>
      <c r="AJ38" s="13">
        <f>+IFERROR(VLOOKUP($AJ$17,Sheet1!V14:Y14,3,0),0)</f>
        <v>0</v>
      </c>
      <c r="AK38" s="13">
        <v>6</v>
      </c>
      <c r="AL38" s="13">
        <f>+IFERROR(VLOOKUP($AL$17,Sheet1!AD14:AG14,3,0),0)</f>
        <v>0</v>
      </c>
      <c r="AM38" s="13">
        <f>+IFERROR(VLOOKUP($AM$17,Sheet1!AD14:AG14,3,0),0)</f>
        <v>0</v>
      </c>
      <c r="AN38" s="13">
        <f>+IFERROR(VLOOKUP($AN$17,Sheet1!AD14:AG14,3,0),0)</f>
        <v>0</v>
      </c>
      <c r="AO38" s="13">
        <f>+IFERROR(VLOOKUP($AO$17,Sheet1!AD14:AG14,3,0),0)</f>
        <v>0</v>
      </c>
      <c r="AP38" s="13">
        <f>+IFERROR(VLOOKUP($AP$17,Sheet1!AD14:AG14,3,0),0)</f>
        <v>0</v>
      </c>
      <c r="AQ38" s="13">
        <v>58</v>
      </c>
      <c r="AR38" s="13">
        <f>+IFERROR(VLOOKUP($AR$17,Sheet1!AD14:AG14,3,0),0)</f>
        <v>0</v>
      </c>
      <c r="AS38" s="13">
        <f>+IFERROR(VLOOKUP($AS$17,Sheet1!AH14:AK14,3,0),0)</f>
        <v>0</v>
      </c>
      <c r="AT38" s="13">
        <f>+IFERROR(VLOOKUP($AT$17,Sheet1!AH14:AK14,3,0),0)</f>
        <v>0</v>
      </c>
      <c r="AU38" s="13">
        <f>+IFERROR(VLOOKUP($AU$17,Sheet1!AH14:AK14,3,0),0)</f>
        <v>0</v>
      </c>
      <c r="AV38" s="13">
        <f>+IFERROR(VLOOKUP($AV$17,Sheet1!AH14:AK14,3,0),0)</f>
        <v>0</v>
      </c>
      <c r="AW38" s="13">
        <f>+IFERROR(VLOOKUP($AW$17,Sheet1!AH14:AK14,3,0),0)</f>
        <v>0</v>
      </c>
      <c r="AX38" s="13">
        <f>+IFERROR(VLOOKUP($AX$17,Sheet1!AH14:AK14,3,0),0)</f>
        <v>0</v>
      </c>
      <c r="AY38" s="13">
        <f>+IFERROR(VLOOKUP($AY$17,Sheet1!AH14:AK14,3,0),0)</f>
        <v>0</v>
      </c>
      <c r="AZ38" s="13">
        <f>+IFERROR(VLOOKUP($AZ$17,Sheet1!AH14:AK14,3,0),0)</f>
        <v>0</v>
      </c>
      <c r="BA38" s="13">
        <v>574</v>
      </c>
      <c r="BB38" s="13">
        <f>+IFERROR(VLOOKUP($BB$17,Sheet1!AH14:AK14,3,0),0)</f>
        <v>0</v>
      </c>
      <c r="BC38" s="13">
        <f>+IFERROR(VLOOKUP($BC$17,Sheet1!AL14:AO14,3,0),0)</f>
        <v>0</v>
      </c>
      <c r="BD38" s="13">
        <f>+IFERROR(VLOOKUP($BD$17,Sheet1!AL14:AO14,3,0),0)</f>
        <v>0</v>
      </c>
      <c r="BE38" s="13">
        <f>+IFERROR(VLOOKUP($BE$17,Sheet1!AL14:AO14,3,0),0)</f>
        <v>0</v>
      </c>
      <c r="BF38" s="13">
        <v>193</v>
      </c>
      <c r="BG38" s="13">
        <f>+IFERROR(VLOOKUP($BG$17,Sheet1!AL14:AO14,3,0),0)</f>
        <v>0</v>
      </c>
      <c r="BH38" s="13">
        <f>+IFERROR(VLOOKUP($BH$17,Sheet1!AL14:AO14,3,0),0)</f>
        <v>0</v>
      </c>
      <c r="BI38" s="13">
        <f>+IFERROR(VLOOKUP($BI$17,Sheet1!AL14:AO14,3,0),0)</f>
        <v>0</v>
      </c>
      <c r="BJ38" s="13">
        <f>+IFERROR(VLOOKUP($BJ$17,Sheet1!AL14:AO14,3,0),0)</f>
        <v>0</v>
      </c>
      <c r="BK38" s="13">
        <f>+IFERROR(VLOOKUP($BK$17,Sheet1!AL14:AO14,3,0),0)</f>
        <v>0</v>
      </c>
      <c r="BL38" s="13">
        <f>+IFERROR(VLOOKUP($BL$17,Sheet1!AL14:AO14,3,0),0)</f>
        <v>0</v>
      </c>
      <c r="BM38" s="13">
        <f>+IFERROR(VLOOKUP($BM$17,Sheet1!AP14:AS14,3,0),0)</f>
        <v>0</v>
      </c>
      <c r="BN38" s="13">
        <f>+IFERROR(VLOOKUP($BN$17,Sheet1!AT14:AW14,3,0),0)</f>
        <v>0</v>
      </c>
      <c r="BO38" s="13">
        <f>+IFERROR(VLOOKUP($BO$17,Sheet1!AX14:BA14,3,0),0)</f>
        <v>0</v>
      </c>
      <c r="BP38" s="13">
        <f>+IFERROR(VLOOKUP($BP$17,Sheet1!BB14:BE14,3,0),0)</f>
        <v>0</v>
      </c>
      <c r="BQ38" s="13">
        <f>+IFERROR(VLOOKUP($BQ$17,Sheet1!BF14:BI14,3,0),0)</f>
        <v>0</v>
      </c>
      <c r="BR38" s="13">
        <f>+IFERROR(VLOOKUP($BR$17,Sheet1!BJ14:BM14,3,0),0)</f>
        <v>0</v>
      </c>
      <c r="BS38" s="13">
        <f>+IFERROR(VLOOKUP($BS$17,Sheet1!BN14:BQ14,3,0),0)</f>
        <v>0</v>
      </c>
      <c r="BT38" s="13">
        <f>+IFERROR(VLOOKUP($BT$17,Sheet1!BR14:BU14,3,0),0)</f>
        <v>0</v>
      </c>
      <c r="BU38" s="13">
        <f>+IFERROR(VLOOKUP($BU$17,Sheet1!BV14:BY14,3,0),0)</f>
        <v>0</v>
      </c>
      <c r="BV38" s="13" t="str">
        <f>Sheet1!E14</f>
        <v>WOOD</v>
      </c>
      <c r="BW38" s="13" t="str">
        <f>Sheet1!CV14</f>
        <v>MD0100075</v>
      </c>
      <c r="BX38" s="13" t="str">
        <f>Sheet1!CW14</f>
        <v>DRUM - 42 X 15 X 23 X 2</v>
      </c>
      <c r="BY38" s="13">
        <f>Sheet1!CX14</f>
        <v>500</v>
      </c>
      <c r="BZ38" s="3">
        <f>Sheet1!BZ14</f>
        <v>7084.06</v>
      </c>
      <c r="CA38" s="3">
        <f t="shared" si="5"/>
        <v>378719.06</v>
      </c>
      <c r="CB38" s="23">
        <f>Sheet1!CB14</f>
        <v>0</v>
      </c>
      <c r="CC38" s="3">
        <f t="shared" si="6"/>
        <v>0</v>
      </c>
      <c r="CD38" s="44">
        <v>0.18</v>
      </c>
      <c r="CE38" s="3">
        <f t="shared" si="7"/>
        <v>68169.430800000002</v>
      </c>
      <c r="CF38" s="44">
        <v>0</v>
      </c>
      <c r="CG38" s="3">
        <f t="shared" si="8"/>
        <v>0</v>
      </c>
      <c r="CH38" s="3">
        <f t="shared" si="9"/>
        <v>446888.49080000003</v>
      </c>
      <c r="CI38" s="44">
        <v>0.02</v>
      </c>
      <c r="CJ38" s="1">
        <f t="shared" si="10"/>
        <v>8937.769816</v>
      </c>
      <c r="CK38" s="44">
        <v>0.01</v>
      </c>
      <c r="CL38" s="1">
        <f t="shared" si="11"/>
        <v>4468.884908</v>
      </c>
      <c r="CM38">
        <v>55</v>
      </c>
      <c r="CN38">
        <v>20</v>
      </c>
    </row>
    <row r="39" spans="1:92" hidden="1" x14ac:dyDescent="0.25">
      <c r="A39" s="1" t="str">
        <f>Sheet1!A13</f>
        <v>ENQ-12232-22-23</v>
      </c>
      <c r="B39" s="47">
        <v>45380</v>
      </c>
      <c r="C39" s="1" t="str">
        <f>Sheet1!C13</f>
        <v>FA0300006</v>
      </c>
      <c r="D39" s="1" t="str">
        <f>Sheet1!D13</f>
        <v>4 CORE X 2.5 SQ. MM. CU/UNARD.(PVC)</v>
      </c>
      <c r="E39" s="3">
        <f t="shared" si="0"/>
        <v>112182.064162</v>
      </c>
      <c r="F39" s="66" t="e">
        <f t="shared" si="12"/>
        <v>#DIV/0!</v>
      </c>
      <c r="G39" s="9" t="e">
        <f t="shared" si="1"/>
        <v>#DIV/0!</v>
      </c>
      <c r="H39" s="7">
        <f>Sheet1!CP13</f>
        <v>0.18</v>
      </c>
      <c r="I39" s="9" t="e">
        <f t="shared" si="2"/>
        <v>#DIV/0!</v>
      </c>
      <c r="J39" s="9" t="e">
        <f t="shared" si="3"/>
        <v>#DIV/0!</v>
      </c>
      <c r="K39" s="1"/>
      <c r="L39" s="1" t="str">
        <f>Sheet1!CT13</f>
        <v>KMS</v>
      </c>
      <c r="M39" s="3" t="e">
        <f t="shared" si="4"/>
        <v>#DIV/0!</v>
      </c>
      <c r="N39" s="2">
        <f>+IFERROR(VLOOKUP($N$17,Sheet1!J13:L13,3,0),0)</f>
        <v>0</v>
      </c>
      <c r="O39" s="2">
        <f>+IFERROR(VLOOKUP($O$17,Sheet1!J13:L13,3,0),0)</f>
        <v>0</v>
      </c>
      <c r="P39" s="2">
        <f>+IFERROR(VLOOKUP($P$17,Sheet1!J13:M13,3,0),0)</f>
        <v>88.8</v>
      </c>
      <c r="Q39" s="2">
        <f>+IFERROR(VLOOKUP($Q$17,Sheet1!J13:M13,3,0),0)</f>
        <v>0</v>
      </c>
      <c r="R39" s="2">
        <f>+IFERROR(VLOOKUP($R$17,Sheet1!J13:M13,3,0),0)</f>
        <v>0</v>
      </c>
      <c r="S39" s="2">
        <f>+IFERROR(VLOOKUP($S$17,Sheet1!N13:Q13,3,0),0)</f>
        <v>0</v>
      </c>
      <c r="T39" s="2">
        <f>+IFERROR(VLOOKUP($T$17,Sheet1!N13:Q13,3,0),0)</f>
        <v>0</v>
      </c>
      <c r="U39" s="2">
        <f>+IFERROR(VLOOKUP($U$17,Sheet1!F13:I13,3,0),0)</f>
        <v>0</v>
      </c>
      <c r="V39" s="2">
        <f>+IFERROR(VLOOKUP($V$17,Sheet1!F13:I13,3,0),0)</f>
        <v>0</v>
      </c>
      <c r="W39" s="2">
        <f>+IFERROR(VLOOKUP($W$17,Sheet1!F13:I13,3,0),0)</f>
        <v>0</v>
      </c>
      <c r="X39" s="2">
        <f>+IFERROR(VLOOKUP($X$17,Sheet1!F13:I13,3,0),0)</f>
        <v>0</v>
      </c>
      <c r="Y39" s="2">
        <f>+IFERROR(VLOOKUP($Y$17,Sheet1!F13:I13,3,0),0)</f>
        <v>0</v>
      </c>
      <c r="Z39" s="2">
        <f>+IFERROR(VLOOKUP($Z$17,Sheet1!F13:I13,3,0),0)</f>
        <v>0</v>
      </c>
      <c r="AA39" s="2">
        <f>+IFERROR(VLOOKUP($AA$17,Sheet1!F13:I13,3,0),0)</f>
        <v>0</v>
      </c>
      <c r="AB39" s="2">
        <f>+IFERROR(VLOOKUP($AB$17,Sheet1!F13:I13,3,0),0)</f>
        <v>0</v>
      </c>
      <c r="AC39" s="2">
        <f>+IFERROR(VLOOKUP($AC$17,Sheet1!R13:U13,3,0),0)</f>
        <v>0</v>
      </c>
      <c r="AD39" s="13">
        <f>+IFERROR(VLOOKUP($AD$17,Sheet1!R13:U13,2,0),0)</f>
        <v>0</v>
      </c>
      <c r="AE39" s="2">
        <f>+IFERROR(VLOOKUP($AE$17,Sheet1!V13:Y13,3,0),0)</f>
        <v>0</v>
      </c>
      <c r="AF39" s="13">
        <f>+IFERROR(VLOOKUP($AF$17,Sheet1!V13:Y13,3,0),0)</f>
        <v>0</v>
      </c>
      <c r="AG39" s="13">
        <f>+IFERROR(VLOOKUP($AG$17,Sheet1!V13:Y13,3,0),0)</f>
        <v>0</v>
      </c>
      <c r="AH39" s="13">
        <f>+IFERROR(VLOOKUP($AH$17,Sheet1!V13:Y13,3,0),0)</f>
        <v>0</v>
      </c>
      <c r="AI39" s="13">
        <f>+IFERROR(VLOOKUP($AI$17,Sheet1!V13:Y13,3,0),0)</f>
        <v>52</v>
      </c>
      <c r="AJ39" s="13">
        <f>+IFERROR(VLOOKUP($AJ$17,Sheet1!V13:Y13,3,0),0)</f>
        <v>0</v>
      </c>
      <c r="AK39" s="13">
        <f>+IFERROR(VLOOKUP($AK$17,Sheet1!Z13:AB13,3,0),0)</f>
        <v>4</v>
      </c>
      <c r="AL39" s="13">
        <f>+IFERROR(VLOOKUP($AL$17,Sheet1!AD13:AG13,3,0),0)</f>
        <v>0</v>
      </c>
      <c r="AM39" s="13">
        <f>+IFERROR(VLOOKUP($AM$17,Sheet1!AD13:AG13,3,0),0)</f>
        <v>0</v>
      </c>
      <c r="AN39" s="13">
        <f>+IFERROR(VLOOKUP($AN$17,Sheet1!AD13:AG13,3,0),0)</f>
        <v>0</v>
      </c>
      <c r="AO39" s="13">
        <f>+IFERROR(VLOOKUP($AO$17,Sheet1!AD13:AG13,3,0),0)</f>
        <v>0</v>
      </c>
      <c r="AP39" s="13">
        <f>+IFERROR(VLOOKUP($AP$17,Sheet1!AD13:AG13,3,0),0)</f>
        <v>0</v>
      </c>
      <c r="AQ39" s="13">
        <f>+IFERROR(VLOOKUP($AQ$17,Sheet1!AD13:AG13,3,0),0)</f>
        <v>27</v>
      </c>
      <c r="AR39" s="13">
        <f>+IFERROR(VLOOKUP($AR$17,Sheet1!AD13:AG13,3,0),0)</f>
        <v>0</v>
      </c>
      <c r="AS39" s="13">
        <f>+IFERROR(VLOOKUP($AS$17,Sheet1!AH13:AK13,3,0),0)</f>
        <v>0</v>
      </c>
      <c r="AT39" s="13">
        <f>+IFERROR(VLOOKUP($AT$17,Sheet1!AH13:AK13,3,0),0)</f>
        <v>0</v>
      </c>
      <c r="AU39" s="13">
        <f>+IFERROR(VLOOKUP($AU$17,Sheet1!AH13:AK13,3,0),0)</f>
        <v>0</v>
      </c>
      <c r="AV39" s="13">
        <f>+IFERROR(VLOOKUP($AV$17,Sheet1!AH13:AK13,3,0),0)</f>
        <v>0</v>
      </c>
      <c r="AW39" s="13">
        <f>+IFERROR(VLOOKUP($AW$17,Sheet1!AH13:AK13,3,0),0)</f>
        <v>0</v>
      </c>
      <c r="AX39" s="13">
        <f>+IFERROR(VLOOKUP($AX$17,Sheet1!AH13:AK13,3,0),0)</f>
        <v>0</v>
      </c>
      <c r="AY39" s="13">
        <f>+IFERROR(VLOOKUP($AY$17,Sheet1!AH13:AK13,3,0),0)</f>
        <v>0</v>
      </c>
      <c r="AZ39" s="13">
        <f>+IFERROR(VLOOKUP($AZ$17,Sheet1!AH13:AK13,3,0),0)</f>
        <v>0</v>
      </c>
      <c r="BA39" s="13">
        <f>+IFERROR(VLOOKUP($BA$17,Sheet1!AH13:AK13,3,0),0)</f>
        <v>0</v>
      </c>
      <c r="BB39" s="13">
        <f>+IFERROR(VLOOKUP($BB$17,Sheet1!AH13:AK13,3,0),0)</f>
        <v>0</v>
      </c>
      <c r="BC39" s="13">
        <f>+IFERROR(VLOOKUP($BC$17,Sheet1!AL13:AO13,3,0),0)</f>
        <v>0</v>
      </c>
      <c r="BD39" s="13">
        <f>+IFERROR(VLOOKUP($BD$17,Sheet1!AL13:AO13,3,0),0)</f>
        <v>0</v>
      </c>
      <c r="BE39" s="13">
        <f>+IFERROR(VLOOKUP($BE$17,Sheet1!AL13:AO13,3,0),0)</f>
        <v>0</v>
      </c>
      <c r="BF39" s="13">
        <f>+IFERROR(VLOOKUP($BF$17,Sheet1!AL13:AO13,3,0),0)</f>
        <v>109</v>
      </c>
      <c r="BG39" s="13">
        <f>+IFERROR(VLOOKUP($BG$17,Sheet1!AL13:AO13,3,0),0)</f>
        <v>0</v>
      </c>
      <c r="BH39" s="13">
        <f>+IFERROR(VLOOKUP($BH$17,Sheet1!AL13:AO13,3,0),0)</f>
        <v>0</v>
      </c>
      <c r="BI39" s="13">
        <f>+IFERROR(VLOOKUP($BI$17,Sheet1!AL13:AO13,3,0),0)</f>
        <v>0</v>
      </c>
      <c r="BJ39" s="13">
        <f>+IFERROR(VLOOKUP($BJ$17,Sheet1!AL13:AO13,3,0),0)</f>
        <v>0</v>
      </c>
      <c r="BK39" s="13">
        <f>+IFERROR(VLOOKUP($BK$17,Sheet1!AL13:AO13,3,0),0)</f>
        <v>0</v>
      </c>
      <c r="BL39" s="13">
        <f>+IFERROR(VLOOKUP($BL$17,Sheet1!AL13:AO13,3,0),0)</f>
        <v>0</v>
      </c>
      <c r="BM39" s="13">
        <f>+IFERROR(VLOOKUP($BM$17,Sheet1!AP13:AS13,3,0),0)</f>
        <v>0</v>
      </c>
      <c r="BN39" s="13">
        <f>+IFERROR(VLOOKUP($BN$17,Sheet1!AT13:AW13,3,0),0)</f>
        <v>0</v>
      </c>
      <c r="BO39" s="13">
        <f>+IFERROR(VLOOKUP($BO$17,Sheet1!AX13:BA13,3,0),0)</f>
        <v>0</v>
      </c>
      <c r="BP39" s="13">
        <f>+IFERROR(VLOOKUP($BP$17,Sheet1!BB13:BE13,3,0),0)</f>
        <v>0</v>
      </c>
      <c r="BQ39" s="13">
        <f>+IFERROR(VLOOKUP($BQ$17,Sheet1!BF13:BI13,3,0),0)</f>
        <v>0</v>
      </c>
      <c r="BR39" s="13">
        <f>+IFERROR(VLOOKUP($BR$17,Sheet1!BJ13:BM13,3,0),0)</f>
        <v>0</v>
      </c>
      <c r="BS39" s="13">
        <f>+IFERROR(VLOOKUP($BS$17,Sheet1!BN13:BQ13,3,0),0)</f>
        <v>0</v>
      </c>
      <c r="BT39" s="13">
        <f>+IFERROR(VLOOKUP($BT$17,Sheet1!BR13:BU13,3,0),0)</f>
        <v>0</v>
      </c>
      <c r="BU39" s="13">
        <f>+IFERROR(VLOOKUP($BU$17,Sheet1!BV13:BY13,3,0),0)</f>
        <v>0</v>
      </c>
      <c r="BV39" s="13" t="str">
        <f>Sheet1!E13</f>
        <v>WOOD</v>
      </c>
      <c r="BW39" s="13" t="str">
        <f>Sheet1!CV13</f>
        <v>MD0100003</v>
      </c>
      <c r="BX39" s="13" t="str">
        <f>Sheet1!CW13</f>
        <v>DRUM - 28 X 14 X 23 X 2</v>
      </c>
      <c r="BY39" s="13">
        <f>Sheet1!CX13</f>
        <v>500</v>
      </c>
      <c r="BZ39" s="3">
        <f>Sheet1!BZ13</f>
        <v>3850.93</v>
      </c>
      <c r="CA39" s="3">
        <f t="shared" si="5"/>
        <v>92300.529999999984</v>
      </c>
      <c r="CB39" s="23">
        <f>Sheet1!CB13</f>
        <v>0</v>
      </c>
      <c r="CC39" s="3">
        <f t="shared" si="6"/>
        <v>0</v>
      </c>
      <c r="CD39" s="44">
        <v>0.18</v>
      </c>
      <c r="CE39" s="3">
        <f t="shared" si="7"/>
        <v>16614.095399999998</v>
      </c>
      <c r="CF39" s="44">
        <v>0</v>
      </c>
      <c r="CG39" s="3">
        <f t="shared" si="8"/>
        <v>0</v>
      </c>
      <c r="CH39" s="3">
        <f t="shared" si="9"/>
        <v>108914.62539999999</v>
      </c>
      <c r="CI39" s="44">
        <v>0.02</v>
      </c>
      <c r="CJ39" s="1">
        <f t="shared" si="10"/>
        <v>2178.292508</v>
      </c>
      <c r="CK39" s="44">
        <v>0.01</v>
      </c>
      <c r="CL39" s="1">
        <f t="shared" si="11"/>
        <v>1089.146254</v>
      </c>
      <c r="CM39">
        <v>45</v>
      </c>
      <c r="CN39">
        <v>15</v>
      </c>
    </row>
    <row r="40" spans="1:92" x14ac:dyDescent="0.25">
      <c r="A40" s="1" t="str">
        <f>Sheet1!A27</f>
        <v>ENQ-12232-22-23</v>
      </c>
      <c r="B40" s="47">
        <v>45380</v>
      </c>
      <c r="C40" s="1" t="str">
        <f>Sheet1!C27</f>
        <v>FA0200011</v>
      </c>
      <c r="D40" s="73" t="str">
        <f>Sheet1!D27</f>
        <v>4 CORE X 2.5 SQ. MM. CU/ARD - WIRE (PVC)</v>
      </c>
      <c r="E40" s="3">
        <f t="shared" si="0"/>
        <v>141131.50660599998</v>
      </c>
      <c r="F40" s="66">
        <f t="shared" si="12"/>
        <v>1636</v>
      </c>
      <c r="G40" s="9">
        <f t="shared" si="1"/>
        <v>142767.50660599998</v>
      </c>
      <c r="H40" s="7">
        <f>Sheet1!CP27</f>
        <v>0.18</v>
      </c>
      <c r="I40" s="9">
        <f t="shared" si="2"/>
        <v>25698.151189079996</v>
      </c>
      <c r="J40" s="9">
        <f t="shared" si="3"/>
        <v>168465.65779507998</v>
      </c>
      <c r="K40" s="73">
        <f>143.155+1.4+20.533</f>
        <v>165.08800000000002</v>
      </c>
      <c r="L40" s="1" t="str">
        <f>Sheet1!CT27</f>
        <v>KMS</v>
      </c>
      <c r="M40" s="3">
        <f t="shared" si="4"/>
        <v>27811658.514074169</v>
      </c>
      <c r="N40" s="2">
        <f>+IFERROR(VLOOKUP($N$17,Sheet1!J27:L27,3,0),0)</f>
        <v>0</v>
      </c>
      <c r="O40" s="2">
        <f>+IFERROR(VLOOKUP($O$17,Sheet1!J27:L27,3,0),0)</f>
        <v>0</v>
      </c>
      <c r="P40" s="57">
        <f>+IFERROR(VLOOKUP($P$17,Sheet1!J27:M27,3,0),0)</f>
        <v>88.8</v>
      </c>
      <c r="Q40" s="2">
        <f>+IFERROR(VLOOKUP($Q$17,Sheet1!J27:M27,3,0),0)</f>
        <v>0</v>
      </c>
      <c r="R40" s="2">
        <f>+IFERROR(VLOOKUP($R$17,Sheet1!J27:M27,3,0),0)</f>
        <v>0</v>
      </c>
      <c r="S40" s="2">
        <f>+IFERROR(VLOOKUP($S$17,Sheet1!N27:Q27,3,0),0)</f>
        <v>0</v>
      </c>
      <c r="T40" s="2">
        <f>+IFERROR(VLOOKUP($T$17,Sheet1!N27:Q27,3,0),0)</f>
        <v>0</v>
      </c>
      <c r="U40" s="2">
        <f>+IFERROR(VLOOKUP($U$17,Sheet1!F27:I27,3,0),0)</f>
        <v>0</v>
      </c>
      <c r="V40" s="2">
        <f>+IFERROR(VLOOKUP($V$17,Sheet1!F27:I27,3,0),0)</f>
        <v>0</v>
      </c>
      <c r="W40" s="2">
        <f>+IFERROR(VLOOKUP($W$17,Sheet1!F27:I27,3,0),0)</f>
        <v>0</v>
      </c>
      <c r="X40" s="2">
        <f>+IFERROR(VLOOKUP($X$17,Sheet1!F27:I27,3,0),0)</f>
        <v>0</v>
      </c>
      <c r="Y40" s="2">
        <f>+IFERROR(VLOOKUP($Y$17,Sheet1!F27:I27,3,0),0)</f>
        <v>0</v>
      </c>
      <c r="Z40" s="2">
        <f>+IFERROR(VLOOKUP($Z$17,Sheet1!F27:I27,3,0),0)</f>
        <v>0</v>
      </c>
      <c r="AA40" s="2">
        <f>+IFERROR(VLOOKUP($AA$17,Sheet1!F27:I27,3,0),0)</f>
        <v>0</v>
      </c>
      <c r="AB40" s="2">
        <f>+IFERROR(VLOOKUP($AB$17,Sheet1!F27:I27,3,0),0)</f>
        <v>0</v>
      </c>
      <c r="AC40" s="2">
        <f>+IFERROR(VLOOKUP($AC$17,Sheet1!R27:U27,3,0),0)</f>
        <v>0</v>
      </c>
      <c r="AD40" s="13">
        <f>+IFERROR(VLOOKUP($AD$17,Sheet1!R27:U27,2,0),0)</f>
        <v>0</v>
      </c>
      <c r="AE40" s="2">
        <f>+IFERROR(VLOOKUP($AE$17,Sheet1!V27:Y27,3,0),0)</f>
        <v>0</v>
      </c>
      <c r="AF40" s="13">
        <f>+IFERROR(VLOOKUP($AF$17,Sheet1!V27:Y27,3,0),0)</f>
        <v>0</v>
      </c>
      <c r="AG40" s="13">
        <f>+IFERROR(VLOOKUP($AG$17,Sheet1!V27:Y27,3,0),0)</f>
        <v>0</v>
      </c>
      <c r="AH40" s="13">
        <f>+IFERROR(VLOOKUP($AH$17,Sheet1!V27:Y27,3,0),0)</f>
        <v>0</v>
      </c>
      <c r="AI40" s="56">
        <f>+IFERROR(VLOOKUP($AI$17,Sheet1!V27:Y27,3,0),0)</f>
        <v>52</v>
      </c>
      <c r="AJ40" s="13">
        <f>+IFERROR(VLOOKUP($AJ$17,Sheet1!V27:Y27,3,0),0)</f>
        <v>0</v>
      </c>
      <c r="AK40" s="56">
        <f>+IFERROR(VLOOKUP($AK$17,Sheet1!Z27:AB27,3,0),0)</f>
        <v>3</v>
      </c>
      <c r="AL40" s="13">
        <f>+IFERROR(VLOOKUP($AL$17,Sheet1!AD27:AG27,3,0),0)</f>
        <v>0</v>
      </c>
      <c r="AM40" s="13">
        <f>+IFERROR(VLOOKUP($AM$17,Sheet1!AD27:AG27,3,0),0)</f>
        <v>0</v>
      </c>
      <c r="AN40" s="13">
        <f>+IFERROR(VLOOKUP($AN$17,Sheet1!AD27:AG27,3,0),0)</f>
        <v>0</v>
      </c>
      <c r="AO40" s="13">
        <f>+IFERROR(VLOOKUP($AO$17,Sheet1!AD27:AG27,3,0),0)</f>
        <v>0</v>
      </c>
      <c r="AP40" s="13">
        <f>+IFERROR(VLOOKUP($AP$17,Sheet1!AD27:AG27,3,0),0)</f>
        <v>0</v>
      </c>
      <c r="AQ40" s="56">
        <f>+IFERROR(VLOOKUP($AQ$17,Sheet1!AD27:AG27,3,0),0)</f>
        <v>27</v>
      </c>
      <c r="AR40" s="13">
        <f>+IFERROR(VLOOKUP($AR$17,Sheet1!AD27:AG27,3,0),0)</f>
        <v>0</v>
      </c>
      <c r="AS40" s="13">
        <f>+IFERROR(VLOOKUP($AS$17,Sheet1!AH27:AK27,3,0),0)</f>
        <v>0</v>
      </c>
      <c r="AT40" s="13">
        <f>+IFERROR(VLOOKUP($AT$17,Sheet1!AH27:AK27,3,0),0)</f>
        <v>0</v>
      </c>
      <c r="AU40" s="13">
        <f>+IFERROR(VLOOKUP($AU$17,Sheet1!AH27:AK27,3,0),0)</f>
        <v>0</v>
      </c>
      <c r="AV40" s="13">
        <f>+IFERROR(VLOOKUP($AV$17,Sheet1!AH27:AK27,3,0),0)</f>
        <v>0</v>
      </c>
      <c r="AW40" s="13">
        <f>+IFERROR(VLOOKUP($AW$17,Sheet1!AH27:AK27,3,0),0)</f>
        <v>0</v>
      </c>
      <c r="AX40" s="13">
        <f>+IFERROR(VLOOKUP($AX$17,Sheet1!AH27:AK27,3,0),0)</f>
        <v>0</v>
      </c>
      <c r="AY40" s="13">
        <f>+IFERROR(VLOOKUP($AY$17,Sheet1!AH27:AK27,3,0),0)</f>
        <v>0</v>
      </c>
      <c r="AZ40" s="13">
        <f>+IFERROR(VLOOKUP($AZ$17,Sheet1!AH27:AK27,3,0),0)</f>
        <v>0</v>
      </c>
      <c r="BA40" s="56">
        <f>+IFERROR(VLOOKUP($BA$17,Sheet1!AH27:AK27,3,0),0)</f>
        <v>289</v>
      </c>
      <c r="BB40" s="13">
        <f>+IFERROR(VLOOKUP($BB$17,Sheet1!AH27:AK27,3,0),0)</f>
        <v>0</v>
      </c>
      <c r="BC40" s="13">
        <f>+IFERROR(VLOOKUP($BC$17,Sheet1!AL27:AO27,3,0),0)</f>
        <v>0</v>
      </c>
      <c r="BD40" s="13">
        <f>+IFERROR(VLOOKUP($BD$17,Sheet1!AL27:AO27,3,0),0)</f>
        <v>0</v>
      </c>
      <c r="BE40" s="13">
        <f>+IFERROR(VLOOKUP($BE$17,Sheet1!AL27:AO27,3,0),0)</f>
        <v>0</v>
      </c>
      <c r="BF40" s="56">
        <f>+IFERROR(VLOOKUP($BF$17,Sheet1!AL27:AO27,3,0),0)</f>
        <v>104</v>
      </c>
      <c r="BG40" s="13">
        <f>+IFERROR(VLOOKUP($BG$17,Sheet1!AL27:AO27,3,0),0)</f>
        <v>0</v>
      </c>
      <c r="BH40" s="13">
        <f>+IFERROR(VLOOKUP($BH$17,Sheet1!AL27:AO27,3,0),0)</f>
        <v>0</v>
      </c>
      <c r="BI40" s="13">
        <f>+IFERROR(VLOOKUP($BI$17,Sheet1!AL27:AO27,3,0),0)</f>
        <v>0</v>
      </c>
      <c r="BJ40" s="13">
        <f>+IFERROR(VLOOKUP($BJ$17,Sheet1!AL27:AO27,3,0),0)</f>
        <v>0</v>
      </c>
      <c r="BK40" s="13">
        <f>+IFERROR(VLOOKUP($BK$17,Sheet1!AL27:AO27,3,0),0)</f>
        <v>0</v>
      </c>
      <c r="BL40" s="13">
        <f>+IFERROR(VLOOKUP($BL$17,Sheet1!AL27:AO27,3,0),0)</f>
        <v>0</v>
      </c>
      <c r="BM40" s="13">
        <f>+IFERROR(VLOOKUP($BM$17,Sheet1!AP27:AS27,3,0),0)</f>
        <v>0</v>
      </c>
      <c r="BN40" s="13">
        <f>+IFERROR(VLOOKUP($BN$17,Sheet1!AT27:AW27,3,0),0)</f>
        <v>0</v>
      </c>
      <c r="BO40" s="13">
        <f>+IFERROR(VLOOKUP($BO$17,Sheet1!AX27:BA27,3,0),0)</f>
        <v>0</v>
      </c>
      <c r="BP40" s="13">
        <f>+IFERROR(VLOOKUP($BP$17,Sheet1!BB27:BE27,3,0),0)</f>
        <v>0</v>
      </c>
      <c r="BQ40" s="13">
        <f>+IFERROR(VLOOKUP($BQ$17,Sheet1!BF27:BI27,3,0),0)</f>
        <v>0</v>
      </c>
      <c r="BR40" s="13">
        <f>+IFERROR(VLOOKUP($BR$17,Sheet1!BJ27:BM27,3,0),0)</f>
        <v>0</v>
      </c>
      <c r="BS40" s="13">
        <f>+IFERROR(VLOOKUP($BS$17,Sheet1!BN27:BQ27,3,0),0)</f>
        <v>0</v>
      </c>
      <c r="BT40" s="13">
        <f>+IFERROR(VLOOKUP($BT$17,Sheet1!BR27:BU27,3,0),0)</f>
        <v>0</v>
      </c>
      <c r="BU40" s="13">
        <f>+IFERROR(VLOOKUP($BU$17,Sheet1!BV27:BY27,3,0),0)</f>
        <v>0</v>
      </c>
      <c r="BV40" s="13" t="str">
        <f>Sheet1!E27</f>
        <v>WOOD</v>
      </c>
      <c r="BW40" s="13" t="str">
        <f>Sheet1!CV27</f>
        <v>MD0100005</v>
      </c>
      <c r="BX40" s="13" t="str">
        <f>Sheet1!CW27</f>
        <v>DRUM - 36 X 14 X 23 X 2</v>
      </c>
      <c r="BY40" s="13">
        <f>Sheet1!CX27</f>
        <v>500</v>
      </c>
      <c r="BZ40" s="3">
        <f>Sheet1!BZ27</f>
        <v>4610.79</v>
      </c>
      <c r="CA40" s="3">
        <f t="shared" si="5"/>
        <v>116119.38999999998</v>
      </c>
      <c r="CB40" s="23">
        <f>Sheet1!CB27</f>
        <v>0</v>
      </c>
      <c r="CC40" s="3">
        <f t="shared" si="6"/>
        <v>0</v>
      </c>
      <c r="CD40" s="44">
        <v>0.18</v>
      </c>
      <c r="CE40" s="3">
        <f t="shared" si="7"/>
        <v>20901.490199999997</v>
      </c>
      <c r="CF40" s="44">
        <v>0</v>
      </c>
      <c r="CG40" s="3">
        <f t="shared" si="8"/>
        <v>0</v>
      </c>
      <c r="CH40" s="3">
        <f t="shared" si="9"/>
        <v>137020.88019999999</v>
      </c>
      <c r="CI40" s="44">
        <v>0.02</v>
      </c>
      <c r="CJ40" s="1">
        <f t="shared" si="10"/>
        <v>2740.4176039999998</v>
      </c>
      <c r="CK40" s="44">
        <v>0.01</v>
      </c>
      <c r="CL40" s="1">
        <f t="shared" si="11"/>
        <v>1370.2088019999999</v>
      </c>
      <c r="CM40">
        <v>50</v>
      </c>
      <c r="CN40">
        <v>15</v>
      </c>
    </row>
    <row r="41" spans="1:92" x14ac:dyDescent="0.25">
      <c r="A41" s="1" t="str">
        <f>Sheet1!A25</f>
        <v>ENQ-12232-22-23</v>
      </c>
      <c r="B41" s="47">
        <v>45380</v>
      </c>
      <c r="C41" s="1" t="str">
        <f>Sheet1!C25</f>
        <v>FA0200018</v>
      </c>
      <c r="D41" s="73" t="str">
        <f>Sheet1!D25</f>
        <v>7 CORE X 2.5 SQ. MM. CU/ARD - WIRE (PVC)</v>
      </c>
      <c r="E41" s="3">
        <f t="shared" si="0"/>
        <v>218312.08048599999</v>
      </c>
      <c r="F41" s="66">
        <f t="shared" si="12"/>
        <v>1831</v>
      </c>
      <c r="G41" s="9">
        <f t="shared" si="1"/>
        <v>220143.08048599999</v>
      </c>
      <c r="H41" s="7">
        <f>Sheet1!CP25</f>
        <v>0.18</v>
      </c>
      <c r="I41" s="9">
        <f t="shared" si="2"/>
        <v>39625.754487480001</v>
      </c>
      <c r="J41" s="9">
        <f t="shared" si="3"/>
        <v>259768.83497348</v>
      </c>
      <c r="K41" s="73">
        <f>72.355+1.4</f>
        <v>73.75500000000001</v>
      </c>
      <c r="L41" s="1" t="str">
        <f>Sheet1!CT25</f>
        <v>KMS</v>
      </c>
      <c r="M41" s="3">
        <f t="shared" si="4"/>
        <v>19159250.423469018</v>
      </c>
      <c r="N41" s="2">
        <f>+IFERROR(VLOOKUP($N$17,Sheet1!J25:L25,3,0),0)</f>
        <v>0</v>
      </c>
      <c r="O41" s="2">
        <f>+IFERROR(VLOOKUP($O$17,Sheet1!J25:L25,3,0),0)</f>
        <v>0</v>
      </c>
      <c r="P41" s="57">
        <f>+IFERROR(VLOOKUP($P$17,Sheet1!J25:M25,3,0),0)</f>
        <v>155.4</v>
      </c>
      <c r="Q41" s="2">
        <f>+IFERROR(VLOOKUP($Q$17,Sheet1!J25:M25,3,0),0)</f>
        <v>0</v>
      </c>
      <c r="R41" s="2">
        <f>+IFERROR(VLOOKUP($R$17,Sheet1!J25:M25,3,0),0)</f>
        <v>0</v>
      </c>
      <c r="S41" s="2">
        <f>+IFERROR(VLOOKUP($S$17,Sheet1!N25:Q25,3,0),0)</f>
        <v>0</v>
      </c>
      <c r="T41" s="2">
        <f>+IFERROR(VLOOKUP($T$17,Sheet1!N25:Q25,3,0),0)</f>
        <v>0</v>
      </c>
      <c r="U41" s="2">
        <f>+IFERROR(VLOOKUP($U$17,Sheet1!F25:I25,3,0),0)</f>
        <v>0</v>
      </c>
      <c r="V41" s="2">
        <f>+IFERROR(VLOOKUP($V$17,Sheet1!F25:I25,3,0),0)</f>
        <v>0</v>
      </c>
      <c r="W41" s="2">
        <f>+IFERROR(VLOOKUP($W$17,Sheet1!F25:I25,3,0),0)</f>
        <v>0</v>
      </c>
      <c r="X41" s="2">
        <f>+IFERROR(VLOOKUP($X$17,Sheet1!F25:I25,3,0),0)</f>
        <v>0</v>
      </c>
      <c r="Y41" s="2">
        <f>+IFERROR(VLOOKUP($Y$17,Sheet1!F25:I25,3,0),0)</f>
        <v>0</v>
      </c>
      <c r="Z41" s="2">
        <f>+IFERROR(VLOOKUP($Z$17,Sheet1!F25:I25,3,0),0)</f>
        <v>0</v>
      </c>
      <c r="AA41" s="2">
        <f>+IFERROR(VLOOKUP($AA$17,Sheet1!F25:I25,3,0),0)</f>
        <v>0</v>
      </c>
      <c r="AB41" s="2">
        <f>+IFERROR(VLOOKUP($AB$17,Sheet1!F25:I25,3,0),0)</f>
        <v>0</v>
      </c>
      <c r="AC41" s="2">
        <f>+IFERROR(VLOOKUP($AC$17,Sheet1!R25:U25,3,0),0)</f>
        <v>0</v>
      </c>
      <c r="AD41" s="13">
        <f>+IFERROR(VLOOKUP($AD$17,Sheet1!R25:U25,2,0),0)</f>
        <v>0</v>
      </c>
      <c r="AE41" s="2">
        <f>+IFERROR(VLOOKUP($AE$17,Sheet1!V25:Y25,3,0),0)</f>
        <v>0</v>
      </c>
      <c r="AF41" s="13">
        <f>+IFERROR(VLOOKUP($AF$17,Sheet1!V25:Y25,3,0),0)</f>
        <v>0</v>
      </c>
      <c r="AG41" s="13">
        <f>+IFERROR(VLOOKUP($AG$17,Sheet1!V25:Y25,3,0),0)</f>
        <v>0</v>
      </c>
      <c r="AH41" s="13">
        <f>+IFERROR(VLOOKUP($AH$17,Sheet1!V25:Y25,3,0),0)</f>
        <v>0</v>
      </c>
      <c r="AI41" s="56">
        <f>+IFERROR(VLOOKUP($AI$17,Sheet1!V25:Y25,3,0),0)</f>
        <v>91</v>
      </c>
      <c r="AJ41" s="13">
        <f>+IFERROR(VLOOKUP($AJ$17,Sheet1!V25:Y25,3,0),0)</f>
        <v>0</v>
      </c>
      <c r="AK41" s="56">
        <f>+IFERROR(VLOOKUP($AK$17,Sheet1!Z25:AB25,3,0),0)</f>
        <v>4</v>
      </c>
      <c r="AL41" s="13">
        <f>+IFERROR(VLOOKUP($AL$17,Sheet1!AD25:AG25,3,0),0)</f>
        <v>0</v>
      </c>
      <c r="AM41" s="13">
        <f>+IFERROR(VLOOKUP($AM$17,Sheet1!AD25:AG25,3,0),0)</f>
        <v>0</v>
      </c>
      <c r="AN41" s="13">
        <f>+IFERROR(VLOOKUP($AN$17,Sheet1!AD25:AG25,3,0),0)</f>
        <v>0</v>
      </c>
      <c r="AO41" s="13">
        <f>+IFERROR(VLOOKUP($AO$17,Sheet1!AD25:AG25,3,0),0)</f>
        <v>0</v>
      </c>
      <c r="AP41" s="13">
        <f>+IFERROR(VLOOKUP($AP$17,Sheet1!AD25:AG25,3,0),0)</f>
        <v>0</v>
      </c>
      <c r="AQ41" s="56">
        <v>33</v>
      </c>
      <c r="AR41" s="13">
        <f>+IFERROR(VLOOKUP($AR$17,Sheet1!AD25:AG25,3,0),0)</f>
        <v>0</v>
      </c>
      <c r="AS41" s="13">
        <f>+IFERROR(VLOOKUP($AS$17,Sheet1!AH25:AK25,3,0),0)</f>
        <v>0</v>
      </c>
      <c r="AT41" s="13">
        <f>+IFERROR(VLOOKUP($AT$17,Sheet1!AH25:AK25,3,0),0)</f>
        <v>0</v>
      </c>
      <c r="AU41" s="13">
        <f>+IFERROR(VLOOKUP($AU$17,Sheet1!AH25:AK25,3,0),0)</f>
        <v>0</v>
      </c>
      <c r="AV41" s="13">
        <f>+IFERROR(VLOOKUP($AV$17,Sheet1!AH25:AK25,3,0),0)</f>
        <v>0</v>
      </c>
      <c r="AW41" s="13">
        <f>+IFERROR(VLOOKUP($AW$17,Sheet1!AH25:AK25,3,0),0)</f>
        <v>0</v>
      </c>
      <c r="AX41" s="13">
        <f>+IFERROR(VLOOKUP($AX$17,Sheet1!AH25:AK25,3,0),0)</f>
        <v>0</v>
      </c>
      <c r="AY41" s="13">
        <f>+IFERROR(VLOOKUP($AY$17,Sheet1!AH25:AK25,3,0),0)</f>
        <v>0</v>
      </c>
      <c r="AZ41" s="13">
        <f>+IFERROR(VLOOKUP($AZ$17,Sheet1!AH25:AK25,3,0),0)</f>
        <v>0</v>
      </c>
      <c r="BA41" s="56">
        <v>352</v>
      </c>
      <c r="BB41" s="13">
        <f>+IFERROR(VLOOKUP($BB$17,Sheet1!AH25:AK25,3,0),0)</f>
        <v>0</v>
      </c>
      <c r="BC41" s="13">
        <f>+IFERROR(VLOOKUP($BC$17,Sheet1!AL25:AO25,3,0),0)</f>
        <v>0</v>
      </c>
      <c r="BD41" s="13">
        <f>+IFERROR(VLOOKUP($BD$17,Sheet1!AL25:AO25,3,0),0)</f>
        <v>0</v>
      </c>
      <c r="BE41" s="13">
        <f>+IFERROR(VLOOKUP($BE$17,Sheet1!AL25:AO25,3,0),0)</f>
        <v>0</v>
      </c>
      <c r="BF41" s="56">
        <v>120</v>
      </c>
      <c r="BG41" s="13">
        <f>+IFERROR(VLOOKUP($BG$17,Sheet1!AL25:AO25,3,0),0)</f>
        <v>0</v>
      </c>
      <c r="BH41" s="13">
        <f>+IFERROR(VLOOKUP($BH$17,Sheet1!AL25:AO25,3,0),0)</f>
        <v>0</v>
      </c>
      <c r="BI41" s="13">
        <f>+IFERROR(VLOOKUP($BI$17,Sheet1!AL25:AO25,3,0),0)</f>
        <v>0</v>
      </c>
      <c r="BJ41" s="13">
        <f>+IFERROR(VLOOKUP($BJ$17,Sheet1!AL25:AO25,3,0),0)</f>
        <v>0</v>
      </c>
      <c r="BK41" s="13">
        <f>+IFERROR(VLOOKUP($BK$17,Sheet1!AL25:AO25,3,0),0)</f>
        <v>0</v>
      </c>
      <c r="BL41" s="13">
        <f>+IFERROR(VLOOKUP($BL$17,Sheet1!AL25:AO25,3,0),0)</f>
        <v>0</v>
      </c>
      <c r="BM41" s="13">
        <f>+IFERROR(VLOOKUP($BM$17,Sheet1!AP25:AS25,3,0),0)</f>
        <v>0</v>
      </c>
      <c r="BN41" s="13">
        <f>+IFERROR(VLOOKUP($BN$17,Sheet1!AT25:AW25,3,0),0)</f>
        <v>0</v>
      </c>
      <c r="BO41" s="13">
        <f>+IFERROR(VLOOKUP($BO$17,Sheet1!AX25:BA25,3,0),0)</f>
        <v>0</v>
      </c>
      <c r="BP41" s="13">
        <f>+IFERROR(VLOOKUP($BP$17,Sheet1!BB25:BE25,3,0),0)</f>
        <v>0</v>
      </c>
      <c r="BQ41" s="13">
        <f>+IFERROR(VLOOKUP($BQ$17,Sheet1!BF25:BI25,3,0),0)</f>
        <v>0</v>
      </c>
      <c r="BR41" s="13">
        <f>+IFERROR(VLOOKUP($BR$17,Sheet1!BJ25:BM25,3,0),0)</f>
        <v>0</v>
      </c>
      <c r="BS41" s="13">
        <f>+IFERROR(VLOOKUP($BS$17,Sheet1!BN25:BQ25,3,0),0)</f>
        <v>0</v>
      </c>
      <c r="BT41" s="13">
        <f>+IFERROR(VLOOKUP($BT$17,Sheet1!BR25:BU25,3,0),0)</f>
        <v>0</v>
      </c>
      <c r="BU41" s="13">
        <f>+IFERROR(VLOOKUP($BU$17,Sheet1!BV25:BY25,3,0),0)</f>
        <v>0</v>
      </c>
      <c r="BV41" s="13" t="str">
        <f>Sheet1!E25</f>
        <v>WOOD</v>
      </c>
      <c r="BW41" s="13" t="str">
        <f>Sheet1!CV25</f>
        <v>MD0100005</v>
      </c>
      <c r="BX41" s="13" t="str">
        <f>Sheet1!CW25</f>
        <v>DRUM - 36 X 14 X 23 X 2</v>
      </c>
      <c r="BY41" s="13">
        <f>Sheet1!CX25</f>
        <v>500</v>
      </c>
      <c r="BZ41" s="3">
        <f>Sheet1!BZ25</f>
        <v>4610.79</v>
      </c>
      <c r="CA41" s="3">
        <f t="shared" si="5"/>
        <v>179621.59</v>
      </c>
      <c r="CB41" s="23">
        <f>Sheet1!CB25</f>
        <v>0</v>
      </c>
      <c r="CC41" s="3">
        <f t="shared" si="6"/>
        <v>0</v>
      </c>
      <c r="CD41" s="44">
        <v>0.18</v>
      </c>
      <c r="CE41" s="3">
        <f t="shared" si="7"/>
        <v>32331.886199999997</v>
      </c>
      <c r="CF41" s="44">
        <v>0</v>
      </c>
      <c r="CG41" s="3">
        <f t="shared" si="8"/>
        <v>0</v>
      </c>
      <c r="CH41" s="3">
        <f t="shared" si="9"/>
        <v>211953.4762</v>
      </c>
      <c r="CI41" s="44">
        <v>0.02</v>
      </c>
      <c r="CJ41" s="1">
        <f t="shared" si="10"/>
        <v>4239.0695240000005</v>
      </c>
      <c r="CK41" s="44">
        <v>0.01</v>
      </c>
      <c r="CL41" s="1">
        <f t="shared" si="11"/>
        <v>2119.5347620000002</v>
      </c>
      <c r="CM41">
        <v>50</v>
      </c>
      <c r="CN41">
        <v>15</v>
      </c>
    </row>
    <row r="42" spans="1:92" x14ac:dyDescent="0.25">
      <c r="A42" s="1" t="str">
        <f>Sheet1!A24</f>
        <v>ENQ-12232-22-23</v>
      </c>
      <c r="B42" s="47">
        <v>45380</v>
      </c>
      <c r="C42" s="1" t="str">
        <f>Sheet1!C24</f>
        <v>FA0200002</v>
      </c>
      <c r="D42" s="73" t="str">
        <f>Sheet1!D24</f>
        <v>10 CORE X 2.5 SQ. MM. CU/ARD - WIRE (PVC)</v>
      </c>
      <c r="E42" s="3">
        <f t="shared" si="0"/>
        <v>310334.74239199999</v>
      </c>
      <c r="F42" s="66">
        <f t="shared" si="12"/>
        <v>2187</v>
      </c>
      <c r="G42" s="9">
        <f t="shared" si="1"/>
        <v>312521.74239199999</v>
      </c>
      <c r="H42" s="7">
        <f>Sheet1!CP24</f>
        <v>0.18</v>
      </c>
      <c r="I42" s="9">
        <f t="shared" si="2"/>
        <v>56253.913630559997</v>
      </c>
      <c r="J42" s="9">
        <f t="shared" si="3"/>
        <v>368775.65602255997</v>
      </c>
      <c r="K42" s="73">
        <f>58.006+10.5+30.3</f>
        <v>98.805999999999997</v>
      </c>
      <c r="L42" s="1" t="str">
        <f>Sheet1!CT24</f>
        <v>KMS</v>
      </c>
      <c r="M42" s="3">
        <f t="shared" si="4"/>
        <v>36437247.468965061</v>
      </c>
      <c r="N42" s="2">
        <f>+IFERROR(VLOOKUP($N$17,Sheet1!J24:L24,3,0),0)</f>
        <v>0</v>
      </c>
      <c r="O42" s="2">
        <f>+IFERROR(VLOOKUP($O$17,Sheet1!J24:L24,3,0),0)</f>
        <v>0</v>
      </c>
      <c r="P42" s="57">
        <f>+IFERROR(VLOOKUP($P$17,Sheet1!J24:M24,3,0),0)</f>
        <v>222</v>
      </c>
      <c r="Q42" s="2">
        <f>+IFERROR(VLOOKUP($Q$17,Sheet1!J24:M24,3,0),0)</f>
        <v>0</v>
      </c>
      <c r="R42" s="2">
        <f>+IFERROR(VLOOKUP($R$17,Sheet1!J24:M24,3,0),0)</f>
        <v>0</v>
      </c>
      <c r="S42" s="2">
        <f>+IFERROR(VLOOKUP($S$17,Sheet1!N24:Q24,3,0),0)</f>
        <v>0</v>
      </c>
      <c r="T42" s="2">
        <f>+IFERROR(VLOOKUP($T$17,Sheet1!N24:Q24,3,0),0)</f>
        <v>0</v>
      </c>
      <c r="U42" s="2">
        <f>+IFERROR(VLOOKUP($U$17,Sheet1!F24:I24,3,0),0)</f>
        <v>0</v>
      </c>
      <c r="V42" s="2">
        <f>+IFERROR(VLOOKUP($V$17,Sheet1!F24:I24,3,0),0)</f>
        <v>0</v>
      </c>
      <c r="W42" s="2">
        <f>+IFERROR(VLOOKUP($W$17,Sheet1!F24:I24,3,0),0)</f>
        <v>0</v>
      </c>
      <c r="X42" s="2">
        <f>+IFERROR(VLOOKUP($X$17,Sheet1!F24:I24,3,0),0)</f>
        <v>0</v>
      </c>
      <c r="Y42" s="2">
        <f>+IFERROR(VLOOKUP($Y$17,Sheet1!F24:I24,3,0),0)</f>
        <v>0</v>
      </c>
      <c r="Z42" s="2">
        <f>+IFERROR(VLOOKUP($Z$17,Sheet1!F24:I24,3,0),0)</f>
        <v>0</v>
      </c>
      <c r="AA42" s="2">
        <f>+IFERROR(VLOOKUP($AA$17,Sheet1!F24:I24,3,0),0)</f>
        <v>0</v>
      </c>
      <c r="AB42" s="2">
        <f>+IFERROR(VLOOKUP($AB$17,Sheet1!F24:I24,3,0),0)</f>
        <v>0</v>
      </c>
      <c r="AC42" s="2">
        <f>+IFERROR(VLOOKUP($AC$17,Sheet1!R24:U24,3,0),0)</f>
        <v>0</v>
      </c>
      <c r="AD42" s="13">
        <f>+IFERROR(VLOOKUP($AD$17,Sheet1!R24:U24,2,0),0)</f>
        <v>0</v>
      </c>
      <c r="AE42" s="2">
        <f>+IFERROR(VLOOKUP($AE$17,Sheet1!V24:Y24,3,0),0)</f>
        <v>0</v>
      </c>
      <c r="AF42" s="13">
        <f>+IFERROR(VLOOKUP($AF$17,Sheet1!V24:Y24,3,0),0)</f>
        <v>0</v>
      </c>
      <c r="AG42" s="13">
        <f>+IFERROR(VLOOKUP($AG$17,Sheet1!V24:Y24,3,0),0)</f>
        <v>0</v>
      </c>
      <c r="AH42" s="13">
        <f>+IFERROR(VLOOKUP($AH$17,Sheet1!V24:Y24,3,0),0)</f>
        <v>0</v>
      </c>
      <c r="AI42" s="56">
        <f>+IFERROR(VLOOKUP($AI$17,Sheet1!V24:Y24,3,0),0)</f>
        <v>130</v>
      </c>
      <c r="AJ42" s="13">
        <f>+IFERROR(VLOOKUP($AJ$17,Sheet1!V24:Y24,3,0),0)</f>
        <v>0</v>
      </c>
      <c r="AK42" s="56">
        <f>+IFERROR(VLOOKUP($AK$17,Sheet1!Z24:AB24,3,0),0)</f>
        <v>5</v>
      </c>
      <c r="AL42" s="13">
        <f>+IFERROR(VLOOKUP($AL$17,Sheet1!AD24:AG24,3,0),0)</f>
        <v>0</v>
      </c>
      <c r="AM42" s="13">
        <f>+IFERROR(VLOOKUP($AM$17,Sheet1!AD24:AG24,3,0),0)</f>
        <v>0</v>
      </c>
      <c r="AN42" s="13">
        <f>+IFERROR(VLOOKUP($AN$17,Sheet1!AD24:AG24,3,0),0)</f>
        <v>0</v>
      </c>
      <c r="AO42" s="13">
        <f>+IFERROR(VLOOKUP($AO$17,Sheet1!AD24:AG24,3,0),0)</f>
        <v>0</v>
      </c>
      <c r="AP42" s="13">
        <f>+IFERROR(VLOOKUP($AP$17,Sheet1!AD24:AG24,3,0),0)</f>
        <v>0</v>
      </c>
      <c r="AQ42" s="56">
        <v>42</v>
      </c>
      <c r="AR42" s="13">
        <f>+IFERROR(VLOOKUP($AR$17,Sheet1!AD24:AG24,3,0),0)</f>
        <v>0</v>
      </c>
      <c r="AS42" s="13">
        <f>+IFERROR(VLOOKUP($AS$17,Sheet1!AH24:AK24,3,0),0)</f>
        <v>0</v>
      </c>
      <c r="AT42" s="13">
        <f>+IFERROR(VLOOKUP($AT$17,Sheet1!AH24:AK24,3,0),0)</f>
        <v>0</v>
      </c>
      <c r="AU42" s="13">
        <f>+IFERROR(VLOOKUP($AU$17,Sheet1!AH24:AK24,3,0),0)</f>
        <v>0</v>
      </c>
      <c r="AV42" s="13">
        <f>+IFERROR(VLOOKUP($AV$17,Sheet1!AH24:AK24,3,0),0)</f>
        <v>0</v>
      </c>
      <c r="AW42" s="13">
        <f>+IFERROR(VLOOKUP($AW$17,Sheet1!AH24:AK24,3,0),0)</f>
        <v>0</v>
      </c>
      <c r="AX42" s="13">
        <f>+IFERROR(VLOOKUP($AX$17,Sheet1!AH24:AK24,3,0),0)</f>
        <v>0</v>
      </c>
      <c r="AY42" s="13">
        <f>+IFERROR(VLOOKUP($AY$17,Sheet1!AH24:AK24,3,0),0)</f>
        <v>0</v>
      </c>
      <c r="AZ42" s="13">
        <f>+IFERROR(VLOOKUP($AZ$17,Sheet1!AH24:AK24,3,0),0)</f>
        <v>0</v>
      </c>
      <c r="BA42" s="56">
        <v>509</v>
      </c>
      <c r="BB42" s="13">
        <f>+IFERROR(VLOOKUP($BB$17,Sheet1!AH24:AK24,3,0),0)</f>
        <v>0</v>
      </c>
      <c r="BC42" s="13">
        <f>+IFERROR(VLOOKUP($BC$17,Sheet1!AL24:AO24,3,0),0)</f>
        <v>0</v>
      </c>
      <c r="BD42" s="13">
        <f>+IFERROR(VLOOKUP($BD$17,Sheet1!AL24:AO24,3,0),0)</f>
        <v>0</v>
      </c>
      <c r="BE42" s="13">
        <f>+IFERROR(VLOOKUP($BE$17,Sheet1!AL24:AO24,3,0),0)</f>
        <v>0</v>
      </c>
      <c r="BF42" s="56">
        <v>172</v>
      </c>
      <c r="BG42" s="13">
        <f>+IFERROR(VLOOKUP($BG$17,Sheet1!AL24:AO24,3,0),0)</f>
        <v>0</v>
      </c>
      <c r="BH42" s="13">
        <f>+IFERROR(VLOOKUP($BH$17,Sheet1!AL24:AO24,3,0),0)</f>
        <v>0</v>
      </c>
      <c r="BI42" s="13">
        <f>+IFERROR(VLOOKUP($BI$17,Sheet1!AL24:AO24,3,0),0)</f>
        <v>0</v>
      </c>
      <c r="BJ42" s="13">
        <f>+IFERROR(VLOOKUP($BJ$17,Sheet1!AL24:AO24,3,0),0)</f>
        <v>0</v>
      </c>
      <c r="BK42" s="13">
        <f>+IFERROR(VLOOKUP($BK$17,Sheet1!AL24:AO24,3,0),0)</f>
        <v>0</v>
      </c>
      <c r="BL42" s="13">
        <f>+IFERROR(VLOOKUP($BL$17,Sheet1!AL24:AO24,3,0),0)</f>
        <v>0</v>
      </c>
      <c r="BM42" s="13">
        <f>+IFERROR(VLOOKUP($BM$17,Sheet1!AP24:AS24,3,0),0)</f>
        <v>0</v>
      </c>
      <c r="BN42" s="13">
        <f>+IFERROR(VLOOKUP($BN$17,Sheet1!AT24:AW24,3,0),0)</f>
        <v>0</v>
      </c>
      <c r="BO42" s="13">
        <f>+IFERROR(VLOOKUP($BO$17,Sheet1!AX24:BA24,3,0),0)</f>
        <v>0</v>
      </c>
      <c r="BP42" s="13">
        <f>+IFERROR(VLOOKUP($BP$17,Sheet1!BB24:BE24,3,0),0)</f>
        <v>0</v>
      </c>
      <c r="BQ42" s="13">
        <f>+IFERROR(VLOOKUP($BQ$17,Sheet1!BF24:BI24,3,0),0)</f>
        <v>0</v>
      </c>
      <c r="BR42" s="13">
        <f>+IFERROR(VLOOKUP($BR$17,Sheet1!BJ24:BM24,3,0),0)</f>
        <v>0</v>
      </c>
      <c r="BS42" s="13">
        <f>+IFERROR(VLOOKUP($BS$17,Sheet1!BN24:BQ24,3,0),0)</f>
        <v>0</v>
      </c>
      <c r="BT42" s="13">
        <f>+IFERROR(VLOOKUP($BT$17,Sheet1!BR24:BU24,3,0),0)</f>
        <v>0</v>
      </c>
      <c r="BU42" s="13">
        <f>+IFERROR(VLOOKUP($BU$17,Sheet1!BV24:BY24,3,0),0)</f>
        <v>0</v>
      </c>
      <c r="BV42" s="13" t="str">
        <f>Sheet1!E24</f>
        <v>WOOD</v>
      </c>
      <c r="BW42" s="13" t="str">
        <f>Sheet1!CV24</f>
        <v>MD0100066</v>
      </c>
      <c r="BX42" s="13" t="str">
        <f>Sheet1!CW24</f>
        <v>DRUM - 40 X 15 X 23 X 2</v>
      </c>
      <c r="BY42" s="13">
        <f>Sheet1!CX24</f>
        <v>500</v>
      </c>
      <c r="BZ42" s="3">
        <f>Sheet1!BZ24</f>
        <v>5151.4799999999996</v>
      </c>
      <c r="CA42" s="3">
        <f t="shared" si="5"/>
        <v>255335.48</v>
      </c>
      <c r="CB42" s="23">
        <f>Sheet1!CB24</f>
        <v>0</v>
      </c>
      <c r="CC42" s="3">
        <f t="shared" si="6"/>
        <v>0</v>
      </c>
      <c r="CD42" s="44">
        <v>0.18</v>
      </c>
      <c r="CE42" s="3">
        <f t="shared" si="7"/>
        <v>45960.386400000003</v>
      </c>
      <c r="CF42" s="44">
        <v>0</v>
      </c>
      <c r="CG42" s="3">
        <f t="shared" si="8"/>
        <v>0</v>
      </c>
      <c r="CH42" s="3">
        <f t="shared" si="9"/>
        <v>301295.8664</v>
      </c>
      <c r="CI42" s="44">
        <v>0.02</v>
      </c>
      <c r="CJ42" s="1">
        <f t="shared" si="10"/>
        <v>6025.9173280000005</v>
      </c>
      <c r="CK42" s="44">
        <v>0.01</v>
      </c>
      <c r="CL42" s="1">
        <f t="shared" si="11"/>
        <v>3012.9586640000002</v>
      </c>
      <c r="CM42">
        <v>55</v>
      </c>
      <c r="CN42">
        <v>20</v>
      </c>
    </row>
    <row r="43" spans="1:92" x14ac:dyDescent="0.25">
      <c r="A43" s="1" t="str">
        <f>Sheet1!A20</f>
        <v>ENQ-12232-22-23</v>
      </c>
      <c r="B43" s="47">
        <v>45380</v>
      </c>
      <c r="C43" s="1" t="str">
        <f>Sheet1!C20</f>
        <v>FA0200003</v>
      </c>
      <c r="D43" s="73" t="str">
        <f>Sheet1!D20</f>
        <v>12 CORE X 2.5 SQ. MM. CU/ARD - WIRE (PVC)</v>
      </c>
      <c r="E43" s="3">
        <f t="shared" si="0"/>
        <v>358599.24871199997</v>
      </c>
      <c r="F43" s="66">
        <f t="shared" si="12"/>
        <v>2586</v>
      </c>
      <c r="G43" s="9">
        <f t="shared" si="1"/>
        <v>361185.24871199997</v>
      </c>
      <c r="H43" s="7">
        <f>Sheet1!CP20</f>
        <v>0.18</v>
      </c>
      <c r="I43" s="9">
        <f t="shared" si="2"/>
        <v>65013.344768159994</v>
      </c>
      <c r="J43" s="9">
        <f t="shared" si="3"/>
        <v>426198.59348015999</v>
      </c>
      <c r="K43" s="1">
        <f>Sheet1!CS20</f>
        <v>62.667000000000002</v>
      </c>
      <c r="L43" s="1" t="str">
        <f>Sheet1!CT20</f>
        <v>KMS</v>
      </c>
      <c r="M43" s="3">
        <f t="shared" si="4"/>
        <v>26708587.257621188</v>
      </c>
      <c r="N43" s="2">
        <f>+IFERROR(VLOOKUP($N$17,Sheet1!J20:L20,3,0),0)</f>
        <v>0</v>
      </c>
      <c r="O43" s="2">
        <f>+IFERROR(VLOOKUP($O$17,Sheet1!J20:L20,3,0),0)</f>
        <v>0</v>
      </c>
      <c r="P43" s="57">
        <f>+IFERROR(VLOOKUP($P$17,Sheet1!J20:M20,3,0),0)</f>
        <v>266.39999999999998</v>
      </c>
      <c r="Q43" s="2">
        <f>+IFERROR(VLOOKUP($Q$17,Sheet1!J20:M20,3,0),0)</f>
        <v>0</v>
      </c>
      <c r="R43" s="2">
        <f>+IFERROR(VLOOKUP($R$17,Sheet1!J20:M20,3,0),0)</f>
        <v>0</v>
      </c>
      <c r="S43" s="2">
        <f>+IFERROR(VLOOKUP($S$17,Sheet1!N20:Q20,3,0),0)</f>
        <v>0</v>
      </c>
      <c r="T43" s="2">
        <f>+IFERROR(VLOOKUP($T$17,Sheet1!N20:Q20,3,0),0)</f>
        <v>0</v>
      </c>
      <c r="U43" s="2">
        <f>+IFERROR(VLOOKUP($U$17,Sheet1!F20:I20,3,0),0)</f>
        <v>0</v>
      </c>
      <c r="V43" s="2">
        <f>+IFERROR(VLOOKUP($V$17,Sheet1!F20:I20,3,0),0)</f>
        <v>0</v>
      </c>
      <c r="W43" s="2">
        <f>+IFERROR(VLOOKUP($W$17,Sheet1!F20:I20,3,0),0)</f>
        <v>0</v>
      </c>
      <c r="X43" s="2">
        <f>+IFERROR(VLOOKUP($X$17,Sheet1!F20:I20,3,0),0)</f>
        <v>0</v>
      </c>
      <c r="Y43" s="2">
        <f>+IFERROR(VLOOKUP($Y$17,Sheet1!F20:I20,3,0),0)</f>
        <v>0</v>
      </c>
      <c r="Z43" s="2">
        <f>+IFERROR(VLOOKUP($Z$17,Sheet1!F20:I20,3,0),0)</f>
        <v>0</v>
      </c>
      <c r="AA43" s="2">
        <f>+IFERROR(VLOOKUP($AA$17,Sheet1!F20:I20,3,0),0)</f>
        <v>0</v>
      </c>
      <c r="AB43" s="2">
        <f>+IFERROR(VLOOKUP($AB$17,Sheet1!F20:I20,3,0),0)</f>
        <v>0</v>
      </c>
      <c r="AC43" s="2">
        <f>+IFERROR(VLOOKUP($AC$17,Sheet1!R20:U20,3,0),0)</f>
        <v>0</v>
      </c>
      <c r="AD43" s="13">
        <f>+IFERROR(VLOOKUP($AD$17,Sheet1!R20:U20,2,0),0)</f>
        <v>0</v>
      </c>
      <c r="AE43" s="2">
        <f>+IFERROR(VLOOKUP($AE$17,Sheet1!V20:Y20,3,0),0)</f>
        <v>0</v>
      </c>
      <c r="AF43" s="13">
        <f>+IFERROR(VLOOKUP($AF$17,Sheet1!V20:Y20,3,0),0)</f>
        <v>0</v>
      </c>
      <c r="AG43" s="13">
        <f>+IFERROR(VLOOKUP($AG$17,Sheet1!V20:Y20,3,0),0)</f>
        <v>0</v>
      </c>
      <c r="AH43" s="13">
        <f>+IFERROR(VLOOKUP($AH$17,Sheet1!V20:Y20,3,0),0)</f>
        <v>0</v>
      </c>
      <c r="AI43" s="56">
        <f>+IFERROR(VLOOKUP($AI$17,Sheet1!V20:Y20,3,0),0)</f>
        <v>156</v>
      </c>
      <c r="AJ43" s="13">
        <f>+IFERROR(VLOOKUP($AJ$17,Sheet1!V20:Y20,3,0),0)</f>
        <v>0</v>
      </c>
      <c r="AK43" s="56">
        <f>+IFERROR(VLOOKUP($AK$17,Sheet1!Z20:AB20,3,0),0)</f>
        <v>6</v>
      </c>
      <c r="AL43" s="13">
        <f>+IFERROR(VLOOKUP($AL$17,Sheet1!AD20:AG20,3,0),0)</f>
        <v>0</v>
      </c>
      <c r="AM43" s="13">
        <f>+IFERROR(VLOOKUP($AM$17,Sheet1!AD20:AG20,3,0),0)</f>
        <v>0</v>
      </c>
      <c r="AN43" s="13">
        <f>+IFERROR(VLOOKUP($AN$17,Sheet1!AD20:AG20,3,0),0)</f>
        <v>0</v>
      </c>
      <c r="AO43" s="13">
        <f>+IFERROR(VLOOKUP($AO$17,Sheet1!AD20:AG20,3,0),0)</f>
        <v>0</v>
      </c>
      <c r="AP43" s="13">
        <f>+IFERROR(VLOOKUP($AP$17,Sheet1!AD20:AG20,3,0),0)</f>
        <v>0</v>
      </c>
      <c r="AQ43" s="56">
        <v>44</v>
      </c>
      <c r="AR43" s="13">
        <f>+IFERROR(VLOOKUP($AR$17,Sheet1!AD20:AG20,3,0),0)</f>
        <v>0</v>
      </c>
      <c r="AS43" s="13">
        <f>+IFERROR(VLOOKUP($AS$17,Sheet1!AH20:AK20,3,0),0)</f>
        <v>0</v>
      </c>
      <c r="AT43" s="13">
        <f>+IFERROR(VLOOKUP($AT$17,Sheet1!AH20:AK20,3,0),0)</f>
        <v>0</v>
      </c>
      <c r="AU43" s="13">
        <f>+IFERROR(VLOOKUP($AU$17,Sheet1!AH20:AK20,3,0),0)</f>
        <v>0</v>
      </c>
      <c r="AV43" s="13">
        <f>+IFERROR(VLOOKUP($AV$17,Sheet1!AH20:AK20,3,0),0)</f>
        <v>0</v>
      </c>
      <c r="AW43" s="13">
        <f>+IFERROR(VLOOKUP($AW$17,Sheet1!AH20:AK20,3,0),0)</f>
        <v>0</v>
      </c>
      <c r="AX43" s="13">
        <f>+IFERROR(VLOOKUP($AX$17,Sheet1!AH20:AK20,3,0),0)</f>
        <v>0</v>
      </c>
      <c r="AY43" s="13">
        <f>+IFERROR(VLOOKUP($AY$17,Sheet1!AH20:AK20,3,0),0)</f>
        <v>0</v>
      </c>
      <c r="AZ43" s="13">
        <f>+IFERROR(VLOOKUP($AZ$17,Sheet1!AH20:AK20,3,0),0)</f>
        <v>0</v>
      </c>
      <c r="BA43" s="56">
        <v>526</v>
      </c>
      <c r="BB43" s="13">
        <f>+IFERROR(VLOOKUP($BB$17,Sheet1!AH20:AK20,3,0),0)</f>
        <v>0</v>
      </c>
      <c r="BC43" s="13">
        <f>+IFERROR(VLOOKUP($BC$17,Sheet1!AL20:AO20,3,0),0)</f>
        <v>0</v>
      </c>
      <c r="BD43" s="13">
        <f>+IFERROR(VLOOKUP($BD$17,Sheet1!AL20:AO20,3,0),0)</f>
        <v>0</v>
      </c>
      <c r="BE43" s="13">
        <f>+IFERROR(VLOOKUP($BE$17,Sheet1!AL20:AO20,3,0),0)</f>
        <v>0</v>
      </c>
      <c r="BF43" s="56">
        <v>178</v>
      </c>
      <c r="BG43" s="13">
        <f>+IFERROR(VLOOKUP($BG$17,Sheet1!AL20:AO20,3,0),0)</f>
        <v>0</v>
      </c>
      <c r="BH43" s="13">
        <f>+IFERROR(VLOOKUP($BH$17,Sheet1!AL20:AO20,3,0),0)</f>
        <v>0</v>
      </c>
      <c r="BI43" s="13">
        <f>+IFERROR(VLOOKUP($BI$17,Sheet1!AL20:AO20,3,0),0)</f>
        <v>0</v>
      </c>
      <c r="BJ43" s="13">
        <f>+IFERROR(VLOOKUP($BJ$17,Sheet1!AL20:AO20,3,0),0)</f>
        <v>0</v>
      </c>
      <c r="BK43" s="13">
        <f>+IFERROR(VLOOKUP($BK$17,Sheet1!AL20:AO20,3,0),0)</f>
        <v>0</v>
      </c>
      <c r="BL43" s="13">
        <f>+IFERROR(VLOOKUP($BL$17,Sheet1!AL20:AO20,3,0),0)</f>
        <v>0</v>
      </c>
      <c r="BM43" s="13">
        <f>+IFERROR(VLOOKUP($BM$17,Sheet1!AP20:AS20,3,0),0)</f>
        <v>0</v>
      </c>
      <c r="BN43" s="13">
        <f>+IFERROR(VLOOKUP($BN$17,Sheet1!AT20:AW20,3,0),0)</f>
        <v>0</v>
      </c>
      <c r="BO43" s="13">
        <f>+IFERROR(VLOOKUP($BO$17,Sheet1!AX20:BA20,3,0),0)</f>
        <v>0</v>
      </c>
      <c r="BP43" s="13">
        <f>+IFERROR(VLOOKUP($BP$17,Sheet1!BB20:BE20,3,0),0)</f>
        <v>0</v>
      </c>
      <c r="BQ43" s="13">
        <f>+IFERROR(VLOOKUP($BQ$17,Sheet1!BF20:BI20,3,0),0)</f>
        <v>0</v>
      </c>
      <c r="BR43" s="13">
        <f>+IFERROR(VLOOKUP($BR$17,Sheet1!BJ20:BM20,3,0),0)</f>
        <v>0</v>
      </c>
      <c r="BS43" s="13">
        <f>+IFERROR(VLOOKUP($BS$17,Sheet1!BN20:BQ20,3,0),0)</f>
        <v>0</v>
      </c>
      <c r="BT43" s="13">
        <f>+IFERROR(VLOOKUP($BT$17,Sheet1!BR20:BU20,3,0),0)</f>
        <v>0</v>
      </c>
      <c r="BU43" s="13">
        <f>+IFERROR(VLOOKUP($BU$17,Sheet1!BV20:BY20,3,0),0)</f>
        <v>0</v>
      </c>
      <c r="BV43" s="13" t="str">
        <f>Sheet1!E20</f>
        <v>WOOD</v>
      </c>
      <c r="BW43" s="13" t="str">
        <f>Sheet1!CV20</f>
        <v>MD0100066</v>
      </c>
      <c r="BX43" s="13" t="str">
        <f>Sheet1!CW20</f>
        <v>DRUM - 40 X 15 X 23 X 2</v>
      </c>
      <c r="BY43" s="13">
        <f>Sheet1!CX20</f>
        <v>500</v>
      </c>
      <c r="BZ43" s="3">
        <f>Sheet1!BZ20</f>
        <v>5151.4799999999996</v>
      </c>
      <c r="CA43" s="3">
        <f t="shared" si="5"/>
        <v>295046.27999999997</v>
      </c>
      <c r="CB43" s="23">
        <f>Sheet1!CB20</f>
        <v>0</v>
      </c>
      <c r="CC43" s="3">
        <f t="shared" si="6"/>
        <v>0</v>
      </c>
      <c r="CD43" s="44">
        <v>0.18</v>
      </c>
      <c r="CE43" s="3">
        <f t="shared" si="7"/>
        <v>53108.330399999992</v>
      </c>
      <c r="CF43" s="44">
        <v>0</v>
      </c>
      <c r="CG43" s="3">
        <f t="shared" si="8"/>
        <v>0</v>
      </c>
      <c r="CH43" s="3">
        <f t="shared" si="9"/>
        <v>348154.61039999995</v>
      </c>
      <c r="CI43" s="44">
        <v>0.02</v>
      </c>
      <c r="CJ43" s="1">
        <f t="shared" si="10"/>
        <v>6963.0922079999991</v>
      </c>
      <c r="CK43" s="44">
        <v>0.01</v>
      </c>
      <c r="CL43" s="1">
        <f t="shared" si="11"/>
        <v>3481.5461039999996</v>
      </c>
      <c r="CM43">
        <v>55</v>
      </c>
      <c r="CN43">
        <v>20</v>
      </c>
    </row>
    <row r="44" spans="1:92" x14ac:dyDescent="0.25">
      <c r="A44" s="1" t="str">
        <f>Sheet1!A5</f>
        <v>ENQ-12232-22-23</v>
      </c>
      <c r="B44" s="47">
        <v>45380</v>
      </c>
      <c r="C44" s="1" t="str">
        <f>Sheet1!C5</f>
        <v>FA0900024</v>
      </c>
      <c r="D44" s="73" t="str">
        <f>Sheet1!D5</f>
        <v>4 CORE X 4 SQ. MM. CU/ARD - WIRE (PVC)</v>
      </c>
      <c r="E44" s="3">
        <f t="shared" si="0"/>
        <v>205509.29996600002</v>
      </c>
      <c r="F44" s="66">
        <f t="shared" si="12"/>
        <v>1500</v>
      </c>
      <c r="G44" s="9">
        <f t="shared" si="1"/>
        <v>207009.29996600002</v>
      </c>
      <c r="H44" s="7">
        <f>Sheet1!CP5</f>
        <v>0.18</v>
      </c>
      <c r="I44" s="9">
        <f t="shared" si="2"/>
        <v>37261.673993880002</v>
      </c>
      <c r="J44" s="9">
        <f t="shared" si="3"/>
        <v>244270.97395988001</v>
      </c>
      <c r="K44" s="73">
        <f>6+12</f>
        <v>18</v>
      </c>
      <c r="L44" s="1" t="str">
        <f>Sheet1!CT5</f>
        <v>KMS</v>
      </c>
      <c r="M44" s="3">
        <f t="shared" si="4"/>
        <v>4396877.53127784</v>
      </c>
      <c r="N44" s="2">
        <f>+IFERROR(VLOOKUP($N$17,Sheet1!J5:L5,3,0),0)</f>
        <v>0</v>
      </c>
      <c r="O44" s="2">
        <f>+IFERROR(VLOOKUP($O$17,Sheet1!J5:L5,3,0),0)</f>
        <v>0</v>
      </c>
      <c r="P44" s="2">
        <f>+IFERROR(VLOOKUP($P$17,Sheet1!J5:M5,3,0),0)</f>
        <v>144</v>
      </c>
      <c r="Q44" s="2">
        <f>+IFERROR(VLOOKUP($Q$17,Sheet1!J5:M5,3,0),0)</f>
        <v>0</v>
      </c>
      <c r="R44" s="2">
        <f>+IFERROR(VLOOKUP($R$17,Sheet1!J5:M5,3,0),0)</f>
        <v>0</v>
      </c>
      <c r="S44" s="2">
        <f>+IFERROR(VLOOKUP($S$17,Sheet1!N5:Q5,3,0),0)</f>
        <v>0</v>
      </c>
      <c r="T44" s="2">
        <f>+IFERROR(VLOOKUP($T$17,Sheet1!N5:Q5,3,0),0)</f>
        <v>0</v>
      </c>
      <c r="U44" s="2">
        <f>+IFERROR(VLOOKUP($U$17,Sheet1!F5:I5,3,0),0)</f>
        <v>0</v>
      </c>
      <c r="V44" s="2">
        <f>+IFERROR(VLOOKUP($V$17,Sheet1!F5:I5,3,0),0)</f>
        <v>0</v>
      </c>
      <c r="W44" s="2">
        <f>+IFERROR(VLOOKUP($W$17,Sheet1!F5:I5,3,0),0)</f>
        <v>0</v>
      </c>
      <c r="X44" s="2">
        <f>+IFERROR(VLOOKUP($X$17,Sheet1!F5:I5,3,0),0)</f>
        <v>0</v>
      </c>
      <c r="Y44" s="2">
        <f>+IFERROR(VLOOKUP($Y$17,Sheet1!F5:I5,3,0),0)</f>
        <v>0</v>
      </c>
      <c r="Z44" s="2">
        <f>+IFERROR(VLOOKUP($Z$17,Sheet1!F5:I5,3,0),0)</f>
        <v>0</v>
      </c>
      <c r="AA44" s="2">
        <f>+IFERROR(VLOOKUP($AA$17,Sheet1!F5:I5,3,0),0)</f>
        <v>0</v>
      </c>
      <c r="AB44" s="2">
        <f>+IFERROR(VLOOKUP($AB$17,Sheet1!F5:I5,3,0),0)</f>
        <v>0</v>
      </c>
      <c r="AC44" s="2">
        <f>+IFERROR(VLOOKUP($AC$17,Sheet1!R5:U5,3,0),0)</f>
        <v>0</v>
      </c>
      <c r="AD44" s="13">
        <f>+IFERROR(VLOOKUP($AD$17,Sheet1!R5:U5,2,0),0)</f>
        <v>0</v>
      </c>
      <c r="AE44" s="2">
        <f>+IFERROR(VLOOKUP($AE$17,Sheet1!V5:Y5,3,0),0)</f>
        <v>0</v>
      </c>
      <c r="AF44" s="13">
        <f>+IFERROR(VLOOKUP($AF$17,Sheet1!V5:Y5,3,0),0)</f>
        <v>0</v>
      </c>
      <c r="AG44" s="13">
        <f>+IFERROR(VLOOKUP($AG$17,Sheet1!V5:Y5,3,0),0)</f>
        <v>0</v>
      </c>
      <c r="AH44" s="13">
        <f>+IFERROR(VLOOKUP($AH$17,Sheet1!V5:Y5,3,0),0)</f>
        <v>0</v>
      </c>
      <c r="AI44" s="13">
        <f>+IFERROR(VLOOKUP($AI$17,Sheet1!V5:Y5,3,0),0)</f>
        <v>76</v>
      </c>
      <c r="AJ44" s="13">
        <f>+IFERROR(VLOOKUP($AJ$17,Sheet1!V5:Y5,3,0),0)</f>
        <v>0</v>
      </c>
      <c r="AK44" s="13">
        <f>+IFERROR(VLOOKUP($AK$17,Sheet1!Z5:AB5,3,0),0)</f>
        <v>4</v>
      </c>
      <c r="AL44" s="13">
        <f>+IFERROR(VLOOKUP($AL$17,Sheet1!AD5:AG5,3,0),0)</f>
        <v>0</v>
      </c>
      <c r="AM44" s="13">
        <f>+IFERROR(VLOOKUP($AM$17,Sheet1!AD5:AG5,3,0),0)</f>
        <v>0</v>
      </c>
      <c r="AN44" s="13">
        <f>+IFERROR(VLOOKUP($AN$17,Sheet1!AD5:AG5,3,0),0)</f>
        <v>0</v>
      </c>
      <c r="AO44" s="13">
        <f>+IFERROR(VLOOKUP($AO$17,Sheet1!AD5:AG5,3,0),0)</f>
        <v>0</v>
      </c>
      <c r="AP44" s="13">
        <f>+IFERROR(VLOOKUP($AP$17,Sheet1!AD5:AG5,3,0),0)</f>
        <v>0</v>
      </c>
      <c r="AQ44" s="13">
        <f>+IFERROR(VLOOKUP($AQ$17,Sheet1!AD5:AG5,3,0),0)</f>
        <v>34</v>
      </c>
      <c r="AR44" s="13">
        <f>+IFERROR(VLOOKUP($AR$17,Sheet1!AD5:AG5,3,0),0)</f>
        <v>0</v>
      </c>
      <c r="AS44" s="13">
        <f>+IFERROR(VLOOKUP($AS$17,Sheet1!AH5:AK5,3,0),0)</f>
        <v>0</v>
      </c>
      <c r="AT44" s="13">
        <f>+IFERROR(VLOOKUP($AT$17,Sheet1!AH5:AK5,3,0),0)</f>
        <v>0</v>
      </c>
      <c r="AU44" s="13">
        <f>+IFERROR(VLOOKUP($AU$17,Sheet1!AH5:AK5,3,0),0)</f>
        <v>0</v>
      </c>
      <c r="AV44" s="13">
        <f>+IFERROR(VLOOKUP($AV$17,Sheet1!AH5:AK5,3,0),0)</f>
        <v>0</v>
      </c>
      <c r="AW44" s="13">
        <f>+IFERROR(VLOOKUP($AW$17,Sheet1!AH5:AK5,3,0),0)</f>
        <v>0</v>
      </c>
      <c r="AX44" s="13">
        <f>+IFERROR(VLOOKUP($AX$17,Sheet1!AH5:AK5,3,0),0)</f>
        <v>0</v>
      </c>
      <c r="AY44" s="13">
        <f>+IFERROR(VLOOKUP($AY$17,Sheet1!AH5:AK5,3,0),0)</f>
        <v>0</v>
      </c>
      <c r="AZ44" s="13">
        <f>+IFERROR(VLOOKUP($AZ$17,Sheet1!AH5:AK5,3,0),0)</f>
        <v>0</v>
      </c>
      <c r="BA44" s="13">
        <f>+IFERROR(VLOOKUP($BA$17,Sheet1!AH5:AK5,3,0),0)</f>
        <v>352</v>
      </c>
      <c r="BB44" s="13">
        <f>+IFERROR(VLOOKUP($BB$17,Sheet1!AH5:AK5,3,0),0)</f>
        <v>0</v>
      </c>
      <c r="BC44" s="13">
        <f>+IFERROR(VLOOKUP($BC$17,Sheet1!AL5:AO5,3,0),0)</f>
        <v>0</v>
      </c>
      <c r="BD44" s="13">
        <f>+IFERROR(VLOOKUP($BD$17,Sheet1!AL5:AO5,3,0),0)</f>
        <v>0</v>
      </c>
      <c r="BE44" s="13">
        <f>+IFERROR(VLOOKUP($BE$17,Sheet1!AL5:AO5,3,0),0)</f>
        <v>0</v>
      </c>
      <c r="BF44" s="13">
        <f>+IFERROR(VLOOKUP($BF$17,Sheet1!AL5:AO5,3,0),0)</f>
        <v>119</v>
      </c>
      <c r="BG44" s="13">
        <f>+IFERROR(VLOOKUP($BG$17,Sheet1!AL5:AO5,3,0),0)</f>
        <v>0</v>
      </c>
      <c r="BH44" s="13">
        <f>+IFERROR(VLOOKUP($BH$17,Sheet1!AL5:AO5,3,0),0)</f>
        <v>0</v>
      </c>
      <c r="BI44" s="13">
        <f>+IFERROR(VLOOKUP($BI$17,Sheet1!AL5:AO5,3,0),0)</f>
        <v>0</v>
      </c>
      <c r="BJ44" s="13">
        <f>+IFERROR(VLOOKUP($BJ$17,Sheet1!AL5:AO5,3,0),0)</f>
        <v>0</v>
      </c>
      <c r="BK44" s="13">
        <f>+IFERROR(VLOOKUP($BK$17,Sheet1!AL5:AO5,3,0),0)</f>
        <v>0</v>
      </c>
      <c r="BL44" s="13">
        <f>+IFERROR(VLOOKUP($BL$17,Sheet1!AL5:AO5,3,0),0)</f>
        <v>0</v>
      </c>
      <c r="BM44" s="13">
        <f>+IFERROR(VLOOKUP($BM$17,Sheet1!AP5:AS5,3,0),0)</f>
        <v>0</v>
      </c>
      <c r="BN44" s="13">
        <f>+IFERROR(VLOOKUP($BN$17,Sheet1!AT5:AW5,3,0),0)</f>
        <v>0</v>
      </c>
      <c r="BO44" s="13">
        <f>+IFERROR(VLOOKUP($BO$17,Sheet1!AX5:BA5,3,0),0)</f>
        <v>0</v>
      </c>
      <c r="BP44" s="13">
        <f>+IFERROR(VLOOKUP($BP$17,Sheet1!BB5:BE5,3,0),0)</f>
        <v>0</v>
      </c>
      <c r="BQ44" s="13">
        <f>+IFERROR(VLOOKUP($BQ$17,Sheet1!BF5:BI5,3,0),0)</f>
        <v>0</v>
      </c>
      <c r="BR44" s="13">
        <f>+IFERROR(VLOOKUP($BR$17,Sheet1!BJ5:BM5,3,0),0)</f>
        <v>0</v>
      </c>
      <c r="BS44" s="13">
        <f>+IFERROR(VLOOKUP($BS$17,Sheet1!BN5:BQ5,3,0),0)</f>
        <v>0</v>
      </c>
      <c r="BT44" s="13">
        <f>+IFERROR(VLOOKUP($BT$17,Sheet1!BR5:BU5,3,0),0)</f>
        <v>0</v>
      </c>
      <c r="BU44" s="13">
        <f>+IFERROR(VLOOKUP($BU$17,Sheet1!BV5:BY5,3,0),0)</f>
        <v>0</v>
      </c>
      <c r="BV44" s="13" t="str">
        <f>Sheet1!E5</f>
        <v>WOOD</v>
      </c>
      <c r="BW44" s="13" t="str">
        <f>Sheet1!CV5</f>
        <v>MD0100005</v>
      </c>
      <c r="BX44" s="13" t="str">
        <f>Sheet1!CW5</f>
        <v>DRUM - 36 X 14 X 23 X 2</v>
      </c>
      <c r="BY44" s="13">
        <f>Sheet1!CX5</f>
        <v>500</v>
      </c>
      <c r="BZ44" s="3">
        <f>Sheet1!BZ5</f>
        <v>4610.79</v>
      </c>
      <c r="CA44" s="3">
        <f t="shared" si="5"/>
        <v>169087.79</v>
      </c>
      <c r="CB44" s="23">
        <f>Sheet1!CB5</f>
        <v>0</v>
      </c>
      <c r="CC44" s="3">
        <f t="shared" si="6"/>
        <v>0</v>
      </c>
      <c r="CD44" s="44">
        <v>0.18</v>
      </c>
      <c r="CE44" s="3">
        <f t="shared" si="7"/>
        <v>30435.802200000002</v>
      </c>
      <c r="CF44" s="44">
        <v>0</v>
      </c>
      <c r="CG44" s="3">
        <f t="shared" si="8"/>
        <v>0</v>
      </c>
      <c r="CH44" s="3">
        <f t="shared" si="9"/>
        <v>199523.59220000001</v>
      </c>
      <c r="CI44" s="44">
        <v>0.02</v>
      </c>
      <c r="CJ44" s="1">
        <f t="shared" si="10"/>
        <v>3990.4718440000001</v>
      </c>
      <c r="CK44" s="44">
        <v>0.01</v>
      </c>
      <c r="CL44" s="1">
        <f t="shared" si="11"/>
        <v>1995.2359220000001</v>
      </c>
      <c r="CM44">
        <v>50</v>
      </c>
      <c r="CN44">
        <v>15</v>
      </c>
    </row>
    <row r="45" spans="1:92" x14ac:dyDescent="0.25">
      <c r="A45" s="1" t="str">
        <f>Sheet1!A4</f>
        <v>ENQ-12232-22-23</v>
      </c>
      <c r="B45" s="47">
        <v>45380</v>
      </c>
      <c r="C45" s="67" t="s">
        <v>280</v>
      </c>
      <c r="D45" s="74" t="s">
        <v>281</v>
      </c>
      <c r="E45" s="3">
        <f t="shared" si="0"/>
        <v>631814.41108800005</v>
      </c>
      <c r="F45" s="66">
        <f t="shared" si="12"/>
        <v>18000</v>
      </c>
      <c r="G45" s="9">
        <f t="shared" si="1"/>
        <v>649814.41108800005</v>
      </c>
      <c r="H45" s="7">
        <f>Sheet1!CP4</f>
        <v>0.18</v>
      </c>
      <c r="I45" s="9">
        <f t="shared" si="2"/>
        <v>116966.59399584001</v>
      </c>
      <c r="J45" s="9">
        <f t="shared" si="3"/>
        <v>766781.00508384011</v>
      </c>
      <c r="K45" s="1">
        <f>Sheet1!CS4</f>
        <v>1.5</v>
      </c>
      <c r="L45" s="1" t="str">
        <f>Sheet1!CT4</f>
        <v>KMS</v>
      </c>
      <c r="M45" s="3">
        <f t="shared" si="4"/>
        <v>1150171.50762576</v>
      </c>
      <c r="N45" s="2">
        <f>+IFERROR(VLOOKUP($N$17,Sheet1!J4:L4,3,0),0)</f>
        <v>0</v>
      </c>
      <c r="O45" s="2">
        <f>+IFERROR(VLOOKUP($O$17,Sheet1!J4:L4,3,0),0)</f>
        <v>0</v>
      </c>
      <c r="P45" s="2">
        <f>+IFERROR(VLOOKUP($P$17,Sheet1!J4:M4,3,0),0)</f>
        <v>568.96</v>
      </c>
      <c r="Q45" s="2">
        <f>+IFERROR(VLOOKUP($Q$17,Sheet1!J4:M4,3,0),0)</f>
        <v>0</v>
      </c>
      <c r="R45" s="2">
        <f>+IFERROR(VLOOKUP($R$17,Sheet1!J4:M4,3,0),0)</f>
        <v>0</v>
      </c>
      <c r="S45" s="2">
        <f>+IFERROR(VLOOKUP($S$17,Sheet1!N4:Q4,3,0),0)</f>
        <v>0</v>
      </c>
      <c r="T45" s="2">
        <f>+IFERROR(VLOOKUP($T$17,Sheet1!N4:Q4,3,0),0)</f>
        <v>0</v>
      </c>
      <c r="U45" s="2">
        <f>+IFERROR(VLOOKUP($U$17,Sheet1!F4:I4,3,0),0)</f>
        <v>0</v>
      </c>
      <c r="V45" s="2">
        <f>+IFERROR(VLOOKUP($V$17,Sheet1!F4:I4,3,0),0)</f>
        <v>0</v>
      </c>
      <c r="W45" s="2">
        <f>+IFERROR(VLOOKUP($W$17,Sheet1!F4:I4,3,0),0)</f>
        <v>0</v>
      </c>
      <c r="X45" s="2">
        <f>+IFERROR(VLOOKUP($X$17,Sheet1!F4:I4,3,0),0)</f>
        <v>0</v>
      </c>
      <c r="Y45" s="2">
        <f>+IFERROR(VLOOKUP($Y$17,Sheet1!F4:I4,3,0),0)</f>
        <v>0</v>
      </c>
      <c r="Z45" s="2">
        <f>+IFERROR(VLOOKUP($Z$17,Sheet1!F4:I4,3,0),0)</f>
        <v>0</v>
      </c>
      <c r="AA45" s="2">
        <f>+IFERROR(VLOOKUP($AA$17,Sheet1!F4:I4,3,0),0)</f>
        <v>0</v>
      </c>
      <c r="AB45" s="2">
        <f>+IFERROR(VLOOKUP($AB$17,Sheet1!F4:I4,3,0),0)</f>
        <v>0</v>
      </c>
      <c r="AC45" s="2">
        <f>+IFERROR(VLOOKUP($AC$17,Sheet1!R4:U4,3,0),0)</f>
        <v>0</v>
      </c>
      <c r="AD45" s="13">
        <f>+IFERROR(VLOOKUP($AD$17,Sheet1!R4:U4,2,0),0)</f>
        <v>0</v>
      </c>
      <c r="AE45" s="2">
        <f>+IFERROR(VLOOKUP($AE$17,Sheet1!V4:Y4,3,0),0)</f>
        <v>0</v>
      </c>
      <c r="AF45" s="13">
        <v>58</v>
      </c>
      <c r="AG45" s="13">
        <f>+IFERROR(VLOOKUP($AG$17,Sheet1!V4:Y4,3,0),0)</f>
        <v>0</v>
      </c>
      <c r="AH45" s="13">
        <f>+IFERROR(VLOOKUP($AH$17,Sheet1!V4:Y4,3,0),0)</f>
        <v>0</v>
      </c>
      <c r="AI45" s="13"/>
      <c r="AJ45" s="13">
        <f>+IFERROR(VLOOKUP($AJ$17,Sheet1!V4:Y4,3,0),0)</f>
        <v>0</v>
      </c>
      <c r="AK45" s="13">
        <f>+IFERROR(VLOOKUP($AK$17,Sheet1!Z4:AB4,3,0),0)</f>
        <v>0</v>
      </c>
      <c r="AL45" s="13">
        <f>+IFERROR(VLOOKUP($AL$17,Sheet1!AD4:AG4,3,0),0)</f>
        <v>0</v>
      </c>
      <c r="AM45" s="13">
        <f>+IFERROR(VLOOKUP($AM$17,Sheet1!AD4:AG4,3,0),0)</f>
        <v>0</v>
      </c>
      <c r="AN45" s="13">
        <f>+IFERROR(VLOOKUP($AN$17,Sheet1!AD4:AG4,3,0),0)</f>
        <v>0</v>
      </c>
      <c r="AO45" s="13">
        <f>+IFERROR(VLOOKUP($AO$17,Sheet1!AD4:AG4,3,0),0)</f>
        <v>0</v>
      </c>
      <c r="AP45" s="13">
        <f>+IFERROR(VLOOKUP($AP$17,Sheet1!AD4:AG4,3,0),0)</f>
        <v>0</v>
      </c>
      <c r="AQ45" s="13">
        <v>38</v>
      </c>
      <c r="AR45" s="13">
        <f>+IFERROR(VLOOKUP($AR$17,Sheet1!AD4:AG4,3,0),0)</f>
        <v>0</v>
      </c>
      <c r="AS45" s="13">
        <f>+IFERROR(VLOOKUP($AS$17,Sheet1!AH4:AK4,3,0),0)</f>
        <v>0</v>
      </c>
      <c r="AT45" s="13">
        <f>+IFERROR(VLOOKUP($AT$17,Sheet1!AH4:AK4,3,0),0)</f>
        <v>0</v>
      </c>
      <c r="AU45" s="13">
        <f>+IFERROR(VLOOKUP($AU$17,Sheet1!AH4:AK4,3,0),0)</f>
        <v>0</v>
      </c>
      <c r="AV45" s="13">
        <f>+IFERROR(VLOOKUP($AV$17,Sheet1!AH4:AK4,3,0),0)</f>
        <v>0</v>
      </c>
      <c r="AW45" s="13">
        <f>+IFERROR(VLOOKUP($AW$17,Sheet1!AH4:AK4,3,0),0)</f>
        <v>0</v>
      </c>
      <c r="AX45" s="13">
        <f>+IFERROR(VLOOKUP($AX$17,Sheet1!AH4:AK4,3,0),0)</f>
        <v>0</v>
      </c>
      <c r="AY45" s="13">
        <f>+IFERROR(VLOOKUP($AY$17,Sheet1!AH4:AK4,3,0),0)</f>
        <v>0</v>
      </c>
      <c r="AZ45" s="13">
        <f>+IFERROR(VLOOKUP($AZ$17,Sheet1!AH4:AK4,3,0),0)</f>
        <v>0</v>
      </c>
      <c r="BA45" s="13">
        <v>460</v>
      </c>
      <c r="BB45" s="13">
        <f>+IFERROR(VLOOKUP($BB$17,Sheet1!AH4:AK4,3,0),0)</f>
        <v>0</v>
      </c>
      <c r="BC45" s="13">
        <f>+IFERROR(VLOOKUP($BC$17,Sheet1!AL4:AO4,3,0),0)</f>
        <v>0</v>
      </c>
      <c r="BD45" s="13">
        <f>+IFERROR(VLOOKUP($BD$17,Sheet1!AL4:AO4,3,0),0)</f>
        <v>0</v>
      </c>
      <c r="BE45" s="13">
        <f>+IFERROR(VLOOKUP($BE$17,Sheet1!AL4:AO4,3,0),0)</f>
        <v>0</v>
      </c>
      <c r="BF45" s="13">
        <v>158</v>
      </c>
      <c r="BG45" s="13">
        <f>+IFERROR(VLOOKUP($BG$17,Sheet1!AL4:AO4,3,0),0)</f>
        <v>0</v>
      </c>
      <c r="BH45" s="13">
        <f>+IFERROR(VLOOKUP($BH$17,Sheet1!AL4:AO4,3,0),0)</f>
        <v>0</v>
      </c>
      <c r="BI45" s="13">
        <f>+IFERROR(VLOOKUP($BI$17,Sheet1!AL4:AO4,3,0),0)</f>
        <v>0</v>
      </c>
      <c r="BJ45" s="13">
        <f>+IFERROR(VLOOKUP($BJ$17,Sheet1!AL4:AO4,3,0),0)</f>
        <v>0</v>
      </c>
      <c r="BK45" s="13">
        <f>+IFERROR(VLOOKUP($BK$17,Sheet1!AL4:AO4,3,0),0)</f>
        <v>0</v>
      </c>
      <c r="BL45" s="13">
        <f>+IFERROR(VLOOKUP($BL$17,Sheet1!AL4:AO4,3,0),0)</f>
        <v>0</v>
      </c>
      <c r="BM45" s="13">
        <f>+IFERROR(VLOOKUP($BM$17,Sheet1!AP4:AS4,3,0),0)</f>
        <v>0</v>
      </c>
      <c r="BN45" s="13">
        <f>+IFERROR(VLOOKUP($BN$17,Sheet1!AT4:AW4,3,0),0)</f>
        <v>0</v>
      </c>
      <c r="BO45" s="13">
        <f>+IFERROR(VLOOKUP($BO$17,Sheet1!AX4:BA4,3,0),0)</f>
        <v>0</v>
      </c>
      <c r="BP45" s="13">
        <f>+IFERROR(VLOOKUP($BP$17,Sheet1!BB4:BE4,3,0),0)</f>
        <v>0</v>
      </c>
      <c r="BQ45" s="13">
        <f>+IFERROR(VLOOKUP($BQ$17,Sheet1!BF4:BI4,3,0),0)</f>
        <v>0</v>
      </c>
      <c r="BR45" s="13">
        <f>+IFERROR(VLOOKUP($BR$17,Sheet1!BJ4:BM4,3,0),0)</f>
        <v>0</v>
      </c>
      <c r="BS45" s="13">
        <f>+IFERROR(VLOOKUP($BS$17,Sheet1!BN4:BQ4,3,0),0)</f>
        <v>0</v>
      </c>
      <c r="BT45" s="13">
        <v>14</v>
      </c>
      <c r="BU45" s="13">
        <f>+IFERROR(VLOOKUP($BU$17,Sheet1!BV4:BY4,3,0),0)</f>
        <v>0</v>
      </c>
      <c r="BV45" s="56" t="str">
        <f>Sheet1!E4</f>
        <v>WOOD</v>
      </c>
      <c r="BW45" s="56" t="s">
        <v>290</v>
      </c>
      <c r="BX45" s="56" t="s">
        <v>291</v>
      </c>
      <c r="BY45" s="56">
        <v>1000</v>
      </c>
      <c r="BZ45" s="69">
        <v>6186</v>
      </c>
      <c r="CA45" s="3">
        <f t="shared" si="5"/>
        <v>519840.72000000003</v>
      </c>
      <c r="CB45" s="23">
        <f>Sheet1!CB4</f>
        <v>0</v>
      </c>
      <c r="CC45" s="3">
        <f t="shared" si="6"/>
        <v>0</v>
      </c>
      <c r="CD45" s="44">
        <v>0.18</v>
      </c>
      <c r="CE45" s="3">
        <f t="shared" si="7"/>
        <v>93571.329599999997</v>
      </c>
      <c r="CF45" s="44">
        <v>0</v>
      </c>
      <c r="CG45" s="3">
        <f t="shared" si="8"/>
        <v>0</v>
      </c>
      <c r="CH45" s="3">
        <f t="shared" si="9"/>
        <v>613412.04960000003</v>
      </c>
      <c r="CI45" s="44">
        <v>0.02</v>
      </c>
      <c r="CJ45" s="1">
        <f t="shared" si="10"/>
        <v>12268.240992000001</v>
      </c>
      <c r="CK45" s="44">
        <v>0.01</v>
      </c>
      <c r="CL45" s="1">
        <f t="shared" si="11"/>
        <v>6134.1204960000005</v>
      </c>
      <c r="CM45">
        <v>120</v>
      </c>
      <c r="CN45">
        <v>30</v>
      </c>
    </row>
    <row r="46" spans="1:92" x14ac:dyDescent="0.25">
      <c r="A46" s="1" t="str">
        <f>Sheet1!A7</f>
        <v>ENQ-12232-22-23</v>
      </c>
      <c r="B46" s="47">
        <v>45380</v>
      </c>
      <c r="C46" s="67" t="s">
        <v>282</v>
      </c>
      <c r="D46" s="74" t="s">
        <v>283</v>
      </c>
      <c r="E46" s="3">
        <f t="shared" si="0"/>
        <v>416153.20308000001</v>
      </c>
      <c r="F46" s="66">
        <f t="shared" si="12"/>
        <v>9000</v>
      </c>
      <c r="G46" s="9">
        <f t="shared" si="1"/>
        <v>425153.20308000001</v>
      </c>
      <c r="H46" s="7">
        <f>Sheet1!CP7</f>
        <v>0.18</v>
      </c>
      <c r="I46" s="9">
        <f t="shared" si="2"/>
        <v>76527.576554400002</v>
      </c>
      <c r="J46" s="9">
        <f t="shared" si="3"/>
        <v>501680.77963440004</v>
      </c>
      <c r="K46" s="1">
        <f>Sheet1!CS7</f>
        <v>3</v>
      </c>
      <c r="L46" s="1" t="str">
        <f>Sheet1!CT7</f>
        <v>KMS</v>
      </c>
      <c r="M46" s="3">
        <f t="shared" si="4"/>
        <v>1505042.3389032001</v>
      </c>
      <c r="N46" s="2">
        <f>+IFERROR(VLOOKUP($N$17,Sheet1!J7:L7,3,0),0)</f>
        <v>0</v>
      </c>
      <c r="O46" s="2">
        <f>+IFERROR(VLOOKUP($O$17,Sheet1!J7:L7,3,0),0)</f>
        <v>0</v>
      </c>
      <c r="P46" s="2">
        <f>+IFERROR(VLOOKUP($P$17,Sheet1!J7:M7,3,0),0)</f>
        <v>355.6</v>
      </c>
      <c r="Q46" s="2">
        <f>+IFERROR(VLOOKUP($Q$17,Sheet1!J7:M7,3,0),0)</f>
        <v>0</v>
      </c>
      <c r="R46" s="2">
        <f>+IFERROR(VLOOKUP($R$17,Sheet1!J7:M7,3,0),0)</f>
        <v>0</v>
      </c>
      <c r="S46" s="2">
        <f>+IFERROR(VLOOKUP($S$17,Sheet1!N7:Q7,3,0),0)</f>
        <v>0</v>
      </c>
      <c r="T46" s="2">
        <f>+IFERROR(VLOOKUP($T$17,Sheet1!N7:Q7,3,0),0)</f>
        <v>0</v>
      </c>
      <c r="U46" s="2">
        <f>+IFERROR(VLOOKUP($U$17,Sheet1!F7:I7,3,0),0)</f>
        <v>0</v>
      </c>
      <c r="V46" s="2">
        <f>+IFERROR(VLOOKUP($V$17,Sheet1!F7:I7,3,0),0)</f>
        <v>0</v>
      </c>
      <c r="W46" s="2">
        <f>+IFERROR(VLOOKUP($W$17,Sheet1!F7:I7,3,0),0)</f>
        <v>0</v>
      </c>
      <c r="X46" s="2">
        <f>+IFERROR(VLOOKUP($X$17,Sheet1!F7:I7,3,0),0)</f>
        <v>0</v>
      </c>
      <c r="Y46" s="2">
        <f>+IFERROR(VLOOKUP($Y$17,Sheet1!F7:I7,3,0),0)</f>
        <v>0</v>
      </c>
      <c r="Z46" s="2">
        <f>+IFERROR(VLOOKUP($Z$17,Sheet1!F7:I7,3,0),0)</f>
        <v>0</v>
      </c>
      <c r="AA46" s="2">
        <f>+IFERROR(VLOOKUP($AA$17,Sheet1!F7:I7,3,0),0)</f>
        <v>0</v>
      </c>
      <c r="AB46" s="2">
        <f>+IFERROR(VLOOKUP($AB$17,Sheet1!F7:I7,3,0),0)</f>
        <v>0</v>
      </c>
      <c r="AC46" s="2">
        <f>+IFERROR(VLOOKUP($AC$17,Sheet1!R7:U7,3,0),0)</f>
        <v>0</v>
      </c>
      <c r="AD46" s="13">
        <f>+IFERROR(VLOOKUP($AD$17,Sheet1!R7:U7,2,0),0)</f>
        <v>0</v>
      </c>
      <c r="AE46" s="2">
        <f>+IFERROR(VLOOKUP($AE$17,Sheet1!V7:Y7,3,0),0)</f>
        <v>0</v>
      </c>
      <c r="AF46" s="13">
        <v>50</v>
      </c>
      <c r="AG46" s="13">
        <f>+IFERROR(VLOOKUP($AG$17,Sheet1!V7:Y7,3,0),0)</f>
        <v>0</v>
      </c>
      <c r="AH46" s="13"/>
      <c r="AI46" s="13">
        <f>+IFERROR(VLOOKUP($AI$17,Sheet1!V7:Y7,3,0),0)</f>
        <v>0</v>
      </c>
      <c r="AJ46" s="13">
        <f>+IFERROR(VLOOKUP($AJ$17,Sheet1!V7:Y7,3,0),0)</f>
        <v>0</v>
      </c>
      <c r="AK46" s="13">
        <f>+IFERROR(VLOOKUP($AK$17,Sheet1!Z7:AB7,3,0),0)</f>
        <v>0</v>
      </c>
      <c r="AL46" s="13">
        <f>+IFERROR(VLOOKUP($AL$17,Sheet1!AD7:AG7,3,0),0)</f>
        <v>0</v>
      </c>
      <c r="AM46" s="13">
        <f>+IFERROR(VLOOKUP($AM$17,Sheet1!AD7:AG7,3,0),0)</f>
        <v>0</v>
      </c>
      <c r="AN46" s="13">
        <f>+IFERROR(VLOOKUP($AN$17,Sheet1!AD7:AG7,3,0),0)</f>
        <v>0</v>
      </c>
      <c r="AO46" s="13"/>
      <c r="AP46" s="13">
        <f>+IFERROR(VLOOKUP($AP$17,Sheet1!AD7:AG7,3,0),0)</f>
        <v>0</v>
      </c>
      <c r="AQ46" s="13">
        <v>35</v>
      </c>
      <c r="AR46" s="13">
        <f>+IFERROR(VLOOKUP($AR$17,Sheet1!AD7:AG7,3,0),0)</f>
        <v>0</v>
      </c>
      <c r="AS46" s="13">
        <f>+IFERROR(VLOOKUP($AS$17,Sheet1!AH7:AK7,3,0),0)</f>
        <v>0</v>
      </c>
      <c r="AT46" s="13">
        <f>+IFERROR(VLOOKUP($AT$17,Sheet1!AH7:AK7,3,0),0)</f>
        <v>0</v>
      </c>
      <c r="AU46" s="13">
        <f>+IFERROR(VLOOKUP($AU$17,Sheet1!AH7:AK7,3,0),0)</f>
        <v>0</v>
      </c>
      <c r="AV46" s="13">
        <f>+IFERROR(VLOOKUP($AV$17,Sheet1!AH7:AK7,3,0),0)</f>
        <v>0</v>
      </c>
      <c r="AW46" s="13">
        <f>+IFERROR(VLOOKUP($AW$17,Sheet1!AH7:AK7,3,0),0)</f>
        <v>0</v>
      </c>
      <c r="AX46" s="13">
        <f>+IFERROR(VLOOKUP($AX$17,Sheet1!AH7:AK7,3,0),0)</f>
        <v>0</v>
      </c>
      <c r="AY46" s="13">
        <f>+IFERROR(VLOOKUP($AY$17,Sheet1!AH7:AK7,3,0),0)</f>
        <v>0</v>
      </c>
      <c r="AZ46" s="13">
        <f>+IFERROR(VLOOKUP($AZ$17,Sheet1!AH7:AK7,3,0),0)</f>
        <v>0</v>
      </c>
      <c r="BA46" s="13">
        <v>377</v>
      </c>
      <c r="BB46" s="13">
        <f>+IFERROR(VLOOKUP($BB$17,Sheet1!AH7:AK7,3,0),0)</f>
        <v>0</v>
      </c>
      <c r="BC46" s="13">
        <f>+IFERROR(VLOOKUP($BC$17,Sheet1!AL7:AO7,3,0),0)</f>
        <v>0</v>
      </c>
      <c r="BD46" s="13">
        <f>+IFERROR(VLOOKUP($BD$17,Sheet1!AL7:AO7,3,0),0)</f>
        <v>0</v>
      </c>
      <c r="BE46" s="13">
        <f>+IFERROR(VLOOKUP($BE$17,Sheet1!AL7:AO7,3,0),0)</f>
        <v>0</v>
      </c>
      <c r="BF46" s="13">
        <v>151</v>
      </c>
      <c r="BG46" s="13">
        <f>+IFERROR(VLOOKUP($BG$17,Sheet1!AL7:AO7,3,0),0)</f>
        <v>0</v>
      </c>
      <c r="BH46" s="13">
        <f>+IFERROR(VLOOKUP($BH$17,Sheet1!AL7:AO7,3,0),0)</f>
        <v>0</v>
      </c>
      <c r="BI46" s="13"/>
      <c r="BJ46" s="13">
        <f>+IFERROR(VLOOKUP($BJ$17,Sheet1!AL7:AO7,3,0),0)</f>
        <v>0</v>
      </c>
      <c r="BK46" s="13">
        <f>+IFERROR(VLOOKUP($BK$17,Sheet1!AL7:AO7,3,0),0)</f>
        <v>0</v>
      </c>
      <c r="BL46" s="13">
        <f>+IFERROR(VLOOKUP($BL$17,Sheet1!AL7:AO7,3,0),0)</f>
        <v>0</v>
      </c>
      <c r="BM46" s="13">
        <f>+IFERROR(VLOOKUP($BM$17,Sheet1!AP7:AS7,3,0),0)</f>
        <v>0</v>
      </c>
      <c r="BN46" s="13">
        <f>+IFERROR(VLOOKUP($BN$17,Sheet1!AT7:AW7,3,0),0)</f>
        <v>0</v>
      </c>
      <c r="BO46" s="13">
        <f>+IFERROR(VLOOKUP($BO$17,Sheet1!AX7:BA7,3,0),0)</f>
        <v>0</v>
      </c>
      <c r="BP46" s="13">
        <f>+IFERROR(VLOOKUP($BP$17,Sheet1!BB7:BE7,3,0),0)</f>
        <v>0</v>
      </c>
      <c r="BQ46" s="13">
        <f>+IFERROR(VLOOKUP($BQ$17,Sheet1!BF7:BI7,3,0),0)</f>
        <v>0</v>
      </c>
      <c r="BR46" s="13">
        <f>+IFERROR(VLOOKUP($BR$17,Sheet1!BJ7:BM7,3,0),0)</f>
        <v>0</v>
      </c>
      <c r="BS46" s="13">
        <f>+IFERROR(VLOOKUP($BS$17,Sheet1!BN7:BQ7,3,0),0)</f>
        <v>0</v>
      </c>
      <c r="BT46" s="13">
        <v>13.5</v>
      </c>
      <c r="BU46" s="13">
        <f>+IFERROR(VLOOKUP($BU$17,Sheet1!BV7:BY7,3,0),0)</f>
        <v>0</v>
      </c>
      <c r="BV46" s="56" t="str">
        <f>Sheet1!E7</f>
        <v>WOOD</v>
      </c>
      <c r="BW46" s="56" t="s">
        <v>292</v>
      </c>
      <c r="BX46" s="56" t="s">
        <v>293</v>
      </c>
      <c r="BY46" s="56">
        <v>1000</v>
      </c>
      <c r="BZ46" s="69">
        <v>4342</v>
      </c>
      <c r="CA46" s="3">
        <f t="shared" si="5"/>
        <v>342400.2</v>
      </c>
      <c r="CB46" s="23">
        <f>Sheet1!CB7</f>
        <v>0</v>
      </c>
      <c r="CC46" s="3">
        <f t="shared" si="6"/>
        <v>0</v>
      </c>
      <c r="CD46" s="44">
        <v>0.18</v>
      </c>
      <c r="CE46" s="3">
        <f t="shared" si="7"/>
        <v>61632.036</v>
      </c>
      <c r="CF46" s="44">
        <v>0</v>
      </c>
      <c r="CG46" s="3">
        <f t="shared" si="8"/>
        <v>0</v>
      </c>
      <c r="CH46" s="3">
        <f t="shared" si="9"/>
        <v>404032.23600000003</v>
      </c>
      <c r="CI46" s="44">
        <v>0.02</v>
      </c>
      <c r="CJ46" s="1">
        <f t="shared" si="10"/>
        <v>8080.6447200000011</v>
      </c>
      <c r="CK46" s="44">
        <v>0.01</v>
      </c>
      <c r="CL46" s="1">
        <f t="shared" si="11"/>
        <v>4040.3223600000006</v>
      </c>
      <c r="CM46">
        <v>100</v>
      </c>
      <c r="CN46">
        <v>25</v>
      </c>
    </row>
    <row r="47" spans="1:92" x14ac:dyDescent="0.25">
      <c r="A47" s="1" t="str">
        <f>Sheet1!A2</f>
        <v>ENQ-12232-22-23</v>
      </c>
      <c r="B47" s="47">
        <v>45380</v>
      </c>
      <c r="C47" s="67" t="s">
        <v>284</v>
      </c>
      <c r="D47" s="74" t="s">
        <v>285</v>
      </c>
      <c r="E47" s="3">
        <f t="shared" si="0"/>
        <v>173830.25143199999</v>
      </c>
      <c r="F47" s="66">
        <f t="shared" si="12"/>
        <v>225000</v>
      </c>
      <c r="G47" s="9">
        <f t="shared" si="1"/>
        <v>398830.25143199996</v>
      </c>
      <c r="H47" s="7">
        <f>Sheet1!CP2</f>
        <v>0.18</v>
      </c>
      <c r="I47" s="9">
        <f t="shared" si="2"/>
        <v>71789.445257759988</v>
      </c>
      <c r="J47" s="9">
        <f t="shared" si="3"/>
        <v>470619.69668975996</v>
      </c>
      <c r="K47" s="1">
        <f>Sheet1!CS2</f>
        <v>0.12</v>
      </c>
      <c r="L47" s="1" t="str">
        <f>Sheet1!CT2</f>
        <v>KMS</v>
      </c>
      <c r="M47" s="3">
        <f t="shared" si="4"/>
        <v>56474.363602771191</v>
      </c>
      <c r="N47" s="2">
        <f>+IFERROR(VLOOKUP($N$17,Sheet1!J2:L2,3,0),0)</f>
        <v>0</v>
      </c>
      <c r="O47" s="2">
        <f>+IFERROR(VLOOKUP($O$17,Sheet1!J2:L2,3,0),0)</f>
        <v>0</v>
      </c>
      <c r="P47" s="2">
        <f>+IFERROR(VLOOKUP($P$17,Sheet1!J2:M2,3,0),0)</f>
        <v>142.24</v>
      </c>
      <c r="Q47" s="2">
        <f>+IFERROR(VLOOKUP($Q$17,Sheet1!J2:M2,3,0),0)</f>
        <v>0</v>
      </c>
      <c r="R47" s="2">
        <f>+IFERROR(VLOOKUP($R$17,Sheet1!J2:M2,3,0),0)</f>
        <v>0</v>
      </c>
      <c r="S47" s="2">
        <f>+IFERROR(VLOOKUP($S$17,Sheet1!N2:Q2,3,0),0)</f>
        <v>0</v>
      </c>
      <c r="T47" s="2">
        <f>+IFERROR(VLOOKUP($T$17,Sheet1!N2:Q2,3,0),0)</f>
        <v>0</v>
      </c>
      <c r="U47" s="2">
        <f>+IFERROR(VLOOKUP($U$17,Sheet1!F2:I2,3,0),0)</f>
        <v>0</v>
      </c>
      <c r="V47" s="2">
        <f>+IFERROR(VLOOKUP($V$17,Sheet1!F2:I2,3,0),0)</f>
        <v>0</v>
      </c>
      <c r="W47" s="2">
        <f>+IFERROR(VLOOKUP($W$17,Sheet1!F2:I2,3,0),0)</f>
        <v>0</v>
      </c>
      <c r="X47" s="2">
        <f>+IFERROR(VLOOKUP($X$17,Sheet1!F2:I2,3,0),0)</f>
        <v>0</v>
      </c>
      <c r="Y47" s="2">
        <f>+IFERROR(VLOOKUP($Y$17,Sheet1!F2:I2,3,0),0)</f>
        <v>0</v>
      </c>
      <c r="Z47" s="2">
        <f>+IFERROR(VLOOKUP($Z$17,Sheet1!F2:I2,3,0),0)</f>
        <v>0</v>
      </c>
      <c r="AA47" s="2">
        <f>+IFERROR(VLOOKUP($AA$17,Sheet1!F2:I2,3,0),0)</f>
        <v>0</v>
      </c>
      <c r="AB47" s="2">
        <f>+IFERROR(VLOOKUP($AB$17,Sheet1!F2:I2,3,0),0)</f>
        <v>0</v>
      </c>
      <c r="AC47" s="2">
        <f>+IFERROR(VLOOKUP($AC$17,Sheet1!R2:U2,3,0),0)</f>
        <v>0</v>
      </c>
      <c r="AD47" s="13">
        <f>+IFERROR(VLOOKUP($AD$17,Sheet1!R2:U2,2,0),0)</f>
        <v>0</v>
      </c>
      <c r="AE47" s="2">
        <f>+IFERROR(VLOOKUP($AE$17,Sheet1!V2:Y2,3,0),0)</f>
        <v>0</v>
      </c>
      <c r="AF47" s="13">
        <v>22</v>
      </c>
      <c r="AG47" s="13">
        <f>+IFERROR(VLOOKUP($AG$17,Sheet1!V2:Y2,3,0),0)</f>
        <v>0</v>
      </c>
      <c r="AH47" s="13">
        <f>+IFERROR(VLOOKUP($AH$17,Sheet1!V2:Y2,3,0),0)</f>
        <v>0</v>
      </c>
      <c r="AI47" s="13"/>
      <c r="AJ47" s="13">
        <f>+IFERROR(VLOOKUP($AJ$17,Sheet1!V2:Y2,3,0),0)</f>
        <v>0</v>
      </c>
      <c r="AK47" s="13">
        <f>+IFERROR(VLOOKUP($AK$17,Sheet1!Z2:AB2,3,0),0)</f>
        <v>0</v>
      </c>
      <c r="AL47" s="13">
        <f>+IFERROR(VLOOKUP($AL$17,Sheet1!AD2:AG2,3,0),0)</f>
        <v>0</v>
      </c>
      <c r="AM47" s="13">
        <f>+IFERROR(VLOOKUP($AM$17,Sheet1!AD2:AG2,3,0),0)</f>
        <v>0</v>
      </c>
      <c r="AN47" s="13">
        <f>+IFERROR(VLOOKUP($AN$17,Sheet1!AD2:AG2,3,0),0)</f>
        <v>0</v>
      </c>
      <c r="AO47" s="13">
        <f>+IFERROR(VLOOKUP($AO$17,Sheet1!AD2:AG2,3,0),0)</f>
        <v>0</v>
      </c>
      <c r="AP47" s="13">
        <f>+IFERROR(VLOOKUP($AP$17,Sheet1!AD2:AG2,3,0),0)</f>
        <v>0</v>
      </c>
      <c r="AQ47" s="13">
        <f>+IFERROR(VLOOKUP($AQ$17,Sheet1!AD2:AG2,3,0),0)</f>
        <v>0</v>
      </c>
      <c r="AR47" s="13">
        <f>+IFERROR(VLOOKUP($AR$17,Sheet1!AD2:AG2,3,0),0)</f>
        <v>0</v>
      </c>
      <c r="AS47" s="13">
        <f>+IFERROR(VLOOKUP($AS$17,Sheet1!AH2:AK2,3,0),0)</f>
        <v>0</v>
      </c>
      <c r="AT47" s="13">
        <f>+IFERROR(VLOOKUP($AT$17,Sheet1!AH2:AK2,3,0),0)</f>
        <v>0</v>
      </c>
      <c r="AU47" s="13">
        <f>+IFERROR(VLOOKUP($AU$17,Sheet1!AH2:AK2,3,0),0)</f>
        <v>0</v>
      </c>
      <c r="AV47" s="13">
        <v>62</v>
      </c>
      <c r="AW47" s="13">
        <f>+IFERROR(VLOOKUP($AW$17,Sheet1!AH2:AK2,3,0),0)</f>
        <v>0</v>
      </c>
      <c r="AX47" s="13">
        <f>+IFERROR(VLOOKUP($AX$17,Sheet1!AH2:AK2,3,0),0)</f>
        <v>0</v>
      </c>
      <c r="AY47" s="13">
        <f>+IFERROR(VLOOKUP($AY$17,Sheet1!AH2:AK2,3,0),0)</f>
        <v>0</v>
      </c>
      <c r="AZ47" s="13">
        <f>+IFERROR(VLOOKUP($AZ$17,Sheet1!AH2:AK2,3,0),0)</f>
        <v>0</v>
      </c>
      <c r="BA47" s="13">
        <f>+IFERROR(VLOOKUP($BA$17,Sheet1!AH2:AK2,3,0),0)</f>
        <v>0</v>
      </c>
      <c r="BB47" s="13">
        <f>+IFERROR(VLOOKUP($BB$17,Sheet1!AH2:AK2,3,0),0)</f>
        <v>0</v>
      </c>
      <c r="BC47" s="13">
        <f>+IFERROR(VLOOKUP($BC$17,Sheet1!AL2:AO2,3,0),0)</f>
        <v>0</v>
      </c>
      <c r="BD47" s="13">
        <f>+IFERROR(VLOOKUP($BD$17,Sheet1!AL2:AO2,3,0),0)</f>
        <v>0</v>
      </c>
      <c r="BE47" s="13">
        <f>+IFERROR(VLOOKUP($BE$17,Sheet1!AL2:AO2,3,0),0)</f>
        <v>0</v>
      </c>
      <c r="BF47" s="13">
        <f>+IFERROR(VLOOKUP($BF$17,Sheet1!AL2:AO2,3,0),0)</f>
        <v>88</v>
      </c>
      <c r="BG47" s="13">
        <f>+IFERROR(VLOOKUP($BG$17,Sheet1!AL2:AO2,3,0),0)</f>
        <v>0</v>
      </c>
      <c r="BH47" s="13">
        <f>+IFERROR(VLOOKUP($BH$17,Sheet1!AL2:AO2,3,0),0)</f>
        <v>0</v>
      </c>
      <c r="BI47" s="13">
        <f>+IFERROR(VLOOKUP($BI$17,Sheet1!AL2:AO2,3,0),0)</f>
        <v>0</v>
      </c>
      <c r="BJ47" s="13">
        <f>+IFERROR(VLOOKUP($BJ$17,Sheet1!AL2:AO2,3,0),0)</f>
        <v>0</v>
      </c>
      <c r="BK47" s="13">
        <f>+IFERROR(VLOOKUP($BK$17,Sheet1!AL2:AO2,3,0),0)</f>
        <v>0</v>
      </c>
      <c r="BL47" s="13">
        <f>+IFERROR(VLOOKUP($BL$17,Sheet1!AL2:AO2,3,0),0)</f>
        <v>0</v>
      </c>
      <c r="BM47" s="13">
        <f>+IFERROR(VLOOKUP($BM$17,Sheet1!AP2:AS2,3,0),0)</f>
        <v>0</v>
      </c>
      <c r="BN47" s="13">
        <f>+IFERROR(VLOOKUP($BN$17,Sheet1!AT2:AW2,3,0),0)</f>
        <v>0</v>
      </c>
      <c r="BO47" s="13">
        <f>+IFERROR(VLOOKUP($BO$17,Sheet1!AX2:BA2,3,0),0)</f>
        <v>0</v>
      </c>
      <c r="BP47" s="13">
        <f>+IFERROR(VLOOKUP($BP$17,Sheet1!BB2:BE2,3,0),0)</f>
        <v>0</v>
      </c>
      <c r="BQ47" s="13">
        <f>+IFERROR(VLOOKUP($BQ$17,Sheet1!BF2:BI2,3,0),0)</f>
        <v>0</v>
      </c>
      <c r="BR47" s="13">
        <f>+IFERROR(VLOOKUP($BR$17,Sheet1!BJ2:BM2,3,0),0)</f>
        <v>0</v>
      </c>
      <c r="BS47" s="13">
        <f>+IFERROR(VLOOKUP($BS$17,Sheet1!BN2:BQ2,3,0),0)</f>
        <v>0</v>
      </c>
      <c r="BT47" s="13">
        <v>8</v>
      </c>
      <c r="BU47" s="13">
        <f>+IFERROR(VLOOKUP($BU$17,Sheet1!BV2:BY2,3,0),0)</f>
        <v>0</v>
      </c>
      <c r="BV47" s="56" t="str">
        <f>Sheet1!E2</f>
        <v>WOOD</v>
      </c>
      <c r="BW47" s="56" t="s">
        <v>184</v>
      </c>
      <c r="BX47" s="56" t="s">
        <v>185</v>
      </c>
      <c r="BY47" s="56">
        <v>1000</v>
      </c>
      <c r="BZ47" s="69">
        <v>2305.4</v>
      </c>
      <c r="CA47" s="3">
        <f t="shared" si="5"/>
        <v>143023.07999999999</v>
      </c>
      <c r="CB47" s="23">
        <f>Sheet1!CB2</f>
        <v>0</v>
      </c>
      <c r="CC47" s="3">
        <f t="shared" si="6"/>
        <v>0</v>
      </c>
      <c r="CD47" s="44">
        <v>0.18</v>
      </c>
      <c r="CE47" s="3">
        <f t="shared" si="7"/>
        <v>25744.154399999996</v>
      </c>
      <c r="CF47" s="44">
        <v>0</v>
      </c>
      <c r="CG47" s="3">
        <f t="shared" si="8"/>
        <v>0</v>
      </c>
      <c r="CH47" s="3">
        <f t="shared" si="9"/>
        <v>168767.23439999999</v>
      </c>
      <c r="CI47" s="44">
        <v>0.02</v>
      </c>
      <c r="CJ47" s="1">
        <f t="shared" si="10"/>
        <v>3375.3446879999997</v>
      </c>
      <c r="CK47" s="44">
        <v>0.01</v>
      </c>
      <c r="CL47" s="1">
        <f t="shared" si="11"/>
        <v>1687.6723439999998</v>
      </c>
      <c r="CM47">
        <v>50</v>
      </c>
      <c r="CN47">
        <v>15</v>
      </c>
    </row>
    <row r="48" spans="1:92" x14ac:dyDescent="0.25">
      <c r="A48" s="1" t="str">
        <f>Sheet1!A6</f>
        <v>ENQ-12232-22-23</v>
      </c>
      <c r="B48" s="47">
        <v>45380</v>
      </c>
      <c r="C48" s="67" t="s">
        <v>286</v>
      </c>
      <c r="D48" s="74" t="s">
        <v>287</v>
      </c>
      <c r="E48" s="3">
        <f t="shared" si="0"/>
        <v>357448.36214400001</v>
      </c>
      <c r="F48" s="66">
        <f t="shared" si="12"/>
        <v>12736</v>
      </c>
      <c r="G48" s="9">
        <f t="shared" si="1"/>
        <v>370184.36214400001</v>
      </c>
      <c r="H48" s="7">
        <f>Sheet1!CP6</f>
        <v>0.18</v>
      </c>
      <c r="I48" s="9">
        <f t="shared" si="2"/>
        <v>66633.185185919996</v>
      </c>
      <c r="J48" s="9">
        <f t="shared" si="3"/>
        <v>436817.54732991999</v>
      </c>
      <c r="K48" s="1">
        <f>Sheet1!CS6</f>
        <v>2.12</v>
      </c>
      <c r="L48" s="1" t="str">
        <f>Sheet1!CT6</f>
        <v>KMS</v>
      </c>
      <c r="M48" s="3">
        <f t="shared" si="4"/>
        <v>926053.20033943048</v>
      </c>
      <c r="N48" s="2">
        <f>+IFERROR(VLOOKUP($N$17,Sheet1!J6:L6,3,0),0)</f>
        <v>0</v>
      </c>
      <c r="O48" s="2">
        <f>+IFERROR(VLOOKUP($O$17,Sheet1!J6:L6,3,0),0)</f>
        <v>0</v>
      </c>
      <c r="P48" s="2">
        <f>+IFERROR(VLOOKUP($P$17,Sheet1!J6:M6,3,0),0)</f>
        <v>284.48</v>
      </c>
      <c r="Q48" s="2">
        <f>+IFERROR(VLOOKUP($Q$17,Sheet1!J6:M6,3,0),0)</f>
        <v>0</v>
      </c>
      <c r="R48" s="2">
        <f>+IFERROR(VLOOKUP($R$17,Sheet1!J6:M6,3,0),0)</f>
        <v>0</v>
      </c>
      <c r="S48" s="2">
        <f>+IFERROR(VLOOKUP($S$17,Sheet1!N6:Q6,3,0),0)</f>
        <v>0</v>
      </c>
      <c r="T48" s="2">
        <f>+IFERROR(VLOOKUP($T$17,Sheet1!N6:Q6,3,0),0)</f>
        <v>0</v>
      </c>
      <c r="U48" s="2">
        <f>+IFERROR(VLOOKUP($U$17,Sheet1!F6:I6,3,0),0)</f>
        <v>0</v>
      </c>
      <c r="V48" s="2">
        <f>+IFERROR(VLOOKUP($V$17,Sheet1!F6:I6,3,0),0)</f>
        <v>0</v>
      </c>
      <c r="W48" s="2">
        <f>+IFERROR(VLOOKUP($W$17,Sheet1!F6:I6,3,0),0)</f>
        <v>0</v>
      </c>
      <c r="X48" s="2">
        <f>+IFERROR(VLOOKUP($X$17,Sheet1!F6:I6,3,0),0)</f>
        <v>0</v>
      </c>
      <c r="Y48" s="2">
        <f>+IFERROR(VLOOKUP($Y$17,Sheet1!F6:I6,3,0),0)</f>
        <v>0</v>
      </c>
      <c r="Z48" s="2">
        <f>+IFERROR(VLOOKUP($Z$17,Sheet1!F6:I6,3,0),0)</f>
        <v>0</v>
      </c>
      <c r="AA48" s="2">
        <f>+IFERROR(VLOOKUP($AA$17,Sheet1!F6:I6,3,0),0)</f>
        <v>0</v>
      </c>
      <c r="AB48" s="2">
        <f>+IFERROR(VLOOKUP($AB$17,Sheet1!F6:I6,3,0),0)</f>
        <v>0</v>
      </c>
      <c r="AC48" s="2">
        <f>+IFERROR(VLOOKUP($AC$17,Sheet1!R6:U6,3,0),0)</f>
        <v>0</v>
      </c>
      <c r="AD48" s="13">
        <f>+IFERROR(VLOOKUP($AD$17,Sheet1!R6:U6,2,0),0)</f>
        <v>0</v>
      </c>
      <c r="AE48" s="2">
        <f>+IFERROR(VLOOKUP($AE$17,Sheet1!V6:Y6,3,0),0)</f>
        <v>0</v>
      </c>
      <c r="AF48" s="13">
        <v>29</v>
      </c>
      <c r="AG48" s="13">
        <f>+IFERROR(VLOOKUP($AG$17,Sheet1!V6:Y6,3,0),0)</f>
        <v>0</v>
      </c>
      <c r="AH48" s="13">
        <f>+IFERROR(VLOOKUP($AH$17,Sheet1!V6:Y6,3,0),0)</f>
        <v>0</v>
      </c>
      <c r="AI48" s="13"/>
      <c r="AJ48" s="13">
        <f>+IFERROR(VLOOKUP($AJ$17,Sheet1!V6:Y6,3,0),0)</f>
        <v>0</v>
      </c>
      <c r="AK48" s="13">
        <f>+IFERROR(VLOOKUP($AK$17,Sheet1!Z6:AB6,3,0),0)</f>
        <v>0</v>
      </c>
      <c r="AL48" s="13">
        <f>+IFERROR(VLOOKUP($AL$17,Sheet1!AD6:AG6,3,0),0)</f>
        <v>0</v>
      </c>
      <c r="AM48" s="13">
        <f>+IFERROR(VLOOKUP($AM$17,Sheet1!AD6:AG6,3,0),0)</f>
        <v>0</v>
      </c>
      <c r="AN48" s="13">
        <f>+IFERROR(VLOOKUP($AN$17,Sheet1!AD6:AG6,3,0),0)</f>
        <v>0</v>
      </c>
      <c r="AO48" s="13">
        <f>+IFERROR(VLOOKUP($AO$17,Sheet1!AD6:AG6,3,0),0)</f>
        <v>0</v>
      </c>
      <c r="AP48" s="13">
        <f>+IFERROR(VLOOKUP($AP$17,Sheet1!AD6:AG6,3,0),0)</f>
        <v>0</v>
      </c>
      <c r="AQ48" s="13">
        <v>60</v>
      </c>
      <c r="AR48" s="13">
        <f>+IFERROR(VLOOKUP($AR$17,Sheet1!AD6:AG6,3,0),0)</f>
        <v>0</v>
      </c>
      <c r="AS48" s="13">
        <f>+IFERROR(VLOOKUP($AS$17,Sheet1!AH6:AK6,3,0),0)</f>
        <v>0</v>
      </c>
      <c r="AT48" s="13">
        <f>+IFERROR(VLOOKUP($AT$17,Sheet1!AH6:AK6,3,0),0)</f>
        <v>0</v>
      </c>
      <c r="AU48" s="13">
        <f>+IFERROR(VLOOKUP($AU$17,Sheet1!AH6:AK6,3,0),0)</f>
        <v>0</v>
      </c>
      <c r="AV48" s="13">
        <f>+IFERROR(VLOOKUP($AV$17,Sheet1!AH6:AK6,3,0),0)</f>
        <v>0</v>
      </c>
      <c r="AW48" s="13">
        <f>+IFERROR(VLOOKUP($AW$17,Sheet1!AH6:AK6,3,0),0)</f>
        <v>0</v>
      </c>
      <c r="AX48" s="13">
        <f>+IFERROR(VLOOKUP($AX$17,Sheet1!AH6:AK6,3,0),0)</f>
        <v>0</v>
      </c>
      <c r="AY48" s="13">
        <f>+IFERROR(VLOOKUP($AY$17,Sheet1!AH6:AK6,3,0),0)</f>
        <v>0</v>
      </c>
      <c r="AZ48" s="13">
        <f>+IFERROR(VLOOKUP($AZ$17,Sheet1!AH6:AK6,3,0),0)</f>
        <v>0</v>
      </c>
      <c r="BA48" s="13">
        <v>487</v>
      </c>
      <c r="BB48" s="13">
        <f>+IFERROR(VLOOKUP($BB$17,Sheet1!AH6:AK6,3,0),0)</f>
        <v>0</v>
      </c>
      <c r="BC48" s="13">
        <f>+IFERROR(VLOOKUP($BC$17,Sheet1!AL6:AO6,3,0),0)</f>
        <v>0</v>
      </c>
      <c r="BD48" s="13">
        <f>+IFERROR(VLOOKUP($BD$17,Sheet1!AL6:AO6,3,0),0)</f>
        <v>0</v>
      </c>
      <c r="BE48" s="13">
        <f>+IFERROR(VLOOKUP($BE$17,Sheet1!AL6:AO6,3,0),0)</f>
        <v>0</v>
      </c>
      <c r="BF48" s="13">
        <v>150</v>
      </c>
      <c r="BG48" s="13">
        <f>+IFERROR(VLOOKUP($BG$17,Sheet1!AL6:AO6,3,0),0)</f>
        <v>0</v>
      </c>
      <c r="BH48" s="13">
        <f>+IFERROR(VLOOKUP($BH$17,Sheet1!AL6:AO6,3,0),0)</f>
        <v>0</v>
      </c>
      <c r="BI48" s="13">
        <f>+IFERROR(VLOOKUP($BI$17,Sheet1!AL6:AO6,3,0),0)</f>
        <v>0</v>
      </c>
      <c r="BJ48" s="13">
        <f>+IFERROR(VLOOKUP($BJ$17,Sheet1!AL6:AO6,3,0),0)</f>
        <v>0</v>
      </c>
      <c r="BK48" s="13">
        <f>+IFERROR(VLOOKUP($BK$17,Sheet1!AL6:AO6,3,0),0)</f>
        <v>0</v>
      </c>
      <c r="BL48" s="13">
        <f>+IFERROR(VLOOKUP($BL$17,Sheet1!AL6:AO6,3,0),0)</f>
        <v>0</v>
      </c>
      <c r="BM48" s="13">
        <f>+IFERROR(VLOOKUP($BM$17,Sheet1!AP6:AS6,3,0),0)</f>
        <v>0</v>
      </c>
      <c r="BN48" s="13">
        <f>+IFERROR(VLOOKUP($BN$17,Sheet1!AT6:AW6,3,0),0)</f>
        <v>0</v>
      </c>
      <c r="BO48" s="13">
        <f>+IFERROR(VLOOKUP($BO$17,Sheet1!AX6:BA6,3,0),0)</f>
        <v>0</v>
      </c>
      <c r="BP48" s="13">
        <f>+IFERROR(VLOOKUP($BP$17,Sheet1!BB6:BE6,3,0),0)</f>
        <v>0</v>
      </c>
      <c r="BQ48" s="13">
        <f>+IFERROR(VLOOKUP($BQ$17,Sheet1!BF6:BI6,3,0),0)</f>
        <v>0</v>
      </c>
      <c r="BR48" s="13">
        <f>+IFERROR(VLOOKUP($BR$17,Sheet1!BJ6:BM6,3,0),0)</f>
        <v>0</v>
      </c>
      <c r="BS48" s="13">
        <f>+IFERROR(VLOOKUP($BS$17,Sheet1!BN6:BQ6,3,0),0)</f>
        <v>0</v>
      </c>
      <c r="BT48" s="13">
        <v>13</v>
      </c>
      <c r="BU48" s="13">
        <f>+IFERROR(VLOOKUP($BU$17,Sheet1!BV6:BY6,3,0),0)</f>
        <v>0</v>
      </c>
      <c r="BV48" s="56" t="str">
        <f>Sheet1!E6</f>
        <v>WOOD</v>
      </c>
      <c r="BW48" s="56" t="s">
        <v>193</v>
      </c>
      <c r="BX48" s="56" t="s">
        <v>194</v>
      </c>
      <c r="BY48" s="56">
        <v>1000</v>
      </c>
      <c r="BZ48" s="69">
        <v>3542</v>
      </c>
      <c r="CA48" s="3">
        <f t="shared" si="5"/>
        <v>294099.36</v>
      </c>
      <c r="CB48" s="23">
        <f>Sheet1!CB6</f>
        <v>0</v>
      </c>
      <c r="CC48" s="3">
        <f t="shared" si="6"/>
        <v>0</v>
      </c>
      <c r="CD48" s="44">
        <v>0.18</v>
      </c>
      <c r="CE48" s="3">
        <f t="shared" si="7"/>
        <v>52937.884799999993</v>
      </c>
      <c r="CF48" s="44">
        <v>0</v>
      </c>
      <c r="CG48" s="3">
        <f t="shared" si="8"/>
        <v>0</v>
      </c>
      <c r="CH48" s="3">
        <f t="shared" si="9"/>
        <v>347037.24479999999</v>
      </c>
      <c r="CI48" s="44">
        <v>0.02</v>
      </c>
      <c r="CJ48" s="1">
        <f t="shared" si="10"/>
        <v>6940.7448960000002</v>
      </c>
      <c r="CK48" s="44">
        <v>0.01</v>
      </c>
      <c r="CL48" s="1">
        <f t="shared" si="11"/>
        <v>3470.3724480000001</v>
      </c>
      <c r="CM48">
        <v>55</v>
      </c>
      <c r="CN48">
        <v>20</v>
      </c>
    </row>
    <row r="49" spans="1:92" x14ac:dyDescent="0.25">
      <c r="A49" s="1" t="str">
        <f>Sheet1!A8</f>
        <v>ENQ-12232-22-23</v>
      </c>
      <c r="B49" s="47">
        <v>45380</v>
      </c>
      <c r="C49" s="67" t="s">
        <v>289</v>
      </c>
      <c r="D49" s="74" t="s">
        <v>288</v>
      </c>
      <c r="E49" s="3">
        <f t="shared" si="0"/>
        <v>975668.42700000003</v>
      </c>
      <c r="F49" s="66">
        <f t="shared" si="12"/>
        <v>7398</v>
      </c>
      <c r="G49" s="9">
        <f t="shared" si="1"/>
        <v>983066.42700000003</v>
      </c>
      <c r="H49" s="7">
        <f>Sheet1!CP8</f>
        <v>0.18</v>
      </c>
      <c r="I49" s="9">
        <f t="shared" si="2"/>
        <v>176951.95686000001</v>
      </c>
      <c r="J49" s="9">
        <f t="shared" si="3"/>
        <v>1160018.3838599999</v>
      </c>
      <c r="K49" s="1">
        <f>Sheet1!CS8</f>
        <v>3.65</v>
      </c>
      <c r="L49" s="1" t="str">
        <f>Sheet1!CT8</f>
        <v>KMS</v>
      </c>
      <c r="M49" s="3">
        <f t="shared" si="4"/>
        <v>4234067.1010889998</v>
      </c>
      <c r="N49" s="2">
        <f>+IFERROR(VLOOKUP($N$17,Sheet1!J8:L8,3,0),0)</f>
        <v>0</v>
      </c>
      <c r="O49" s="2">
        <f>+IFERROR(VLOOKUP($O$17,Sheet1!J8:L8,3,0),0)</f>
        <v>0</v>
      </c>
      <c r="P49" s="2">
        <f>+IFERROR(VLOOKUP($P$17,Sheet1!J8:M8,3,0),0)</f>
        <v>860</v>
      </c>
      <c r="Q49" s="2">
        <f>+IFERROR(VLOOKUP($Q$17,Sheet1!J8:M8,3,0),0)</f>
        <v>0</v>
      </c>
      <c r="R49" s="2">
        <f>+IFERROR(VLOOKUP($R$17,Sheet1!J8:M8,3,0),0)</f>
        <v>0</v>
      </c>
      <c r="S49" s="2">
        <f>+IFERROR(VLOOKUP($S$17,Sheet1!N8:Q8,3,0),0)</f>
        <v>0</v>
      </c>
      <c r="T49" s="2">
        <f>+IFERROR(VLOOKUP($T$17,Sheet1!N8:Q8,3,0),0)</f>
        <v>0</v>
      </c>
      <c r="U49" s="2">
        <f>+IFERROR(VLOOKUP($U$17,Sheet1!F8:I8,3,0),0)</f>
        <v>0</v>
      </c>
      <c r="V49" s="2">
        <f>+IFERROR(VLOOKUP($V$17,Sheet1!F8:I8,3,0),0)</f>
        <v>0</v>
      </c>
      <c r="W49" s="2">
        <f>+IFERROR(VLOOKUP($W$17,Sheet1!F8:I8,3,0),0)</f>
        <v>0</v>
      </c>
      <c r="X49" s="2">
        <f>+IFERROR(VLOOKUP($X$17,Sheet1!F8:I8,3,0),0)</f>
        <v>0</v>
      </c>
      <c r="Y49" s="2">
        <f>+IFERROR(VLOOKUP($Y$17,Sheet1!F8:I8,3,0),0)</f>
        <v>0</v>
      </c>
      <c r="Z49" s="2">
        <f>+IFERROR(VLOOKUP($Z$17,Sheet1!F8:I8,3,0),0)</f>
        <v>0</v>
      </c>
      <c r="AA49" s="2">
        <f>+IFERROR(VLOOKUP($AA$17,Sheet1!F8:I8,3,0),0)</f>
        <v>0</v>
      </c>
      <c r="AB49" s="2">
        <f>+IFERROR(VLOOKUP($AB$17,Sheet1!F8:I8,3,0),0)</f>
        <v>0</v>
      </c>
      <c r="AC49" s="2">
        <f>+IFERROR(VLOOKUP($AC$17,Sheet1!R8:U8,3,0),0)</f>
        <v>0</v>
      </c>
      <c r="AD49" s="13">
        <f>+IFERROR(VLOOKUP($AD$17,Sheet1!R8:U8,2,0),0)</f>
        <v>0</v>
      </c>
      <c r="AE49" s="2">
        <f>+IFERROR(VLOOKUP($AE$17,Sheet1!V8:Y8,3,0),0)</f>
        <v>0</v>
      </c>
      <c r="AF49" s="13">
        <v>64</v>
      </c>
      <c r="AG49" s="13">
        <f>+IFERROR(VLOOKUP($AG$17,Sheet1!V8:Y8,3,0),0)</f>
        <v>0</v>
      </c>
      <c r="AH49" s="13">
        <f>+IFERROR(VLOOKUP($AH$17,Sheet1!V8:Y8,3,0),0)</f>
        <v>0</v>
      </c>
      <c r="AI49" s="13"/>
      <c r="AJ49" s="13">
        <f>+IFERROR(VLOOKUP($AJ$17,Sheet1!V8:Y8,3,0),0)</f>
        <v>0</v>
      </c>
      <c r="AK49" s="13">
        <f>+IFERROR(VLOOKUP($AK$17,Sheet1!Z8:AB8,3,0),0)</f>
        <v>0</v>
      </c>
      <c r="AL49" s="13">
        <f>+IFERROR(VLOOKUP($AL$17,Sheet1!AD8:AG8,3,0),0)</f>
        <v>0</v>
      </c>
      <c r="AM49" s="13">
        <f>+IFERROR(VLOOKUP($AM$17,Sheet1!AD8:AG8,3,0),0)</f>
        <v>0</v>
      </c>
      <c r="AN49" s="13">
        <f>+IFERROR(VLOOKUP($AN$17,Sheet1!AD8:AG8,3,0),0)</f>
        <v>0</v>
      </c>
      <c r="AO49" s="13">
        <f>+IFERROR(VLOOKUP($AO$17,Sheet1!AD8:AG8,3,0),0)</f>
        <v>0</v>
      </c>
      <c r="AP49" s="13">
        <f>+IFERROR(VLOOKUP($AP$17,Sheet1!AD8:AG8,3,0),0)</f>
        <v>0</v>
      </c>
      <c r="AQ49" s="13">
        <v>80</v>
      </c>
      <c r="AR49" s="13">
        <f>+IFERROR(VLOOKUP($AR$17,Sheet1!AD8:AG8,3,0),0)</f>
        <v>0</v>
      </c>
      <c r="AS49" s="13">
        <f>+IFERROR(VLOOKUP($AS$17,Sheet1!AH8:AK8,3,0),0)</f>
        <v>0</v>
      </c>
      <c r="AT49" s="13">
        <f>+IFERROR(VLOOKUP($AT$17,Sheet1!AH8:AK8,3,0),0)</f>
        <v>0</v>
      </c>
      <c r="AU49" s="13">
        <f>+IFERROR(VLOOKUP($AU$17,Sheet1!AH8:AK8,3,0),0)</f>
        <v>0</v>
      </c>
      <c r="AV49" s="13">
        <f>+IFERROR(VLOOKUP($AV$17,Sheet1!AH8:AK8,3,0),0)</f>
        <v>0</v>
      </c>
      <c r="AW49" s="13">
        <f>+IFERROR(VLOOKUP($AW$17,Sheet1!AH8:AK8,3,0),0)</f>
        <v>0</v>
      </c>
      <c r="AX49" s="13">
        <f>+IFERROR(VLOOKUP($AX$17,Sheet1!AH8:AK8,3,0),0)</f>
        <v>0</v>
      </c>
      <c r="AY49" s="13">
        <f>+IFERROR(VLOOKUP($AY$17,Sheet1!AH8:AK8,3,0),0)</f>
        <v>0</v>
      </c>
      <c r="AZ49" s="13">
        <f>+IFERROR(VLOOKUP($AZ$17,Sheet1!AH8:AK8,3,0),0)</f>
        <v>0</v>
      </c>
      <c r="BA49" s="13">
        <v>1018</v>
      </c>
      <c r="BB49" s="13">
        <f>+IFERROR(VLOOKUP($BB$17,Sheet1!AH8:AK8,3,0),0)</f>
        <v>0</v>
      </c>
      <c r="BC49" s="13">
        <f>+IFERROR(VLOOKUP($BC$17,Sheet1!AL8:AO8,3,0),0)</f>
        <v>0</v>
      </c>
      <c r="BD49" s="13">
        <f>+IFERROR(VLOOKUP($BD$17,Sheet1!AL8:AO8,3,0),0)</f>
        <v>0</v>
      </c>
      <c r="BE49" s="13">
        <f>+IFERROR(VLOOKUP($BE$17,Sheet1!AL8:AO8,3,0),0)</f>
        <v>0</v>
      </c>
      <c r="BF49" s="13">
        <v>200</v>
      </c>
      <c r="BG49" s="13">
        <f>+IFERROR(VLOOKUP($BG$17,Sheet1!AL8:AO8,3,0),0)</f>
        <v>0</v>
      </c>
      <c r="BH49" s="13">
        <f>+IFERROR(VLOOKUP($BH$17,Sheet1!AL8:AO8,3,0),0)</f>
        <v>0</v>
      </c>
      <c r="BI49" s="13">
        <f>+IFERROR(VLOOKUP($BI$17,Sheet1!AL8:AO8,3,0),0)</f>
        <v>0</v>
      </c>
      <c r="BJ49" s="13">
        <f>+IFERROR(VLOOKUP($BJ$17,Sheet1!AL8:AO8,3,0),0)</f>
        <v>0</v>
      </c>
      <c r="BK49" s="13">
        <f>+IFERROR(VLOOKUP($BK$17,Sheet1!AL8:AO8,3,0),0)</f>
        <v>0</v>
      </c>
      <c r="BL49" s="13">
        <f>+IFERROR(VLOOKUP($BL$17,Sheet1!AL8:AO8,3,0),0)</f>
        <v>0</v>
      </c>
      <c r="BM49" s="13">
        <f>+IFERROR(VLOOKUP($BM$17,Sheet1!AP8:AS8,3,0),0)</f>
        <v>0</v>
      </c>
      <c r="BN49" s="13">
        <f>+IFERROR(VLOOKUP($BN$17,Sheet1!AT8:AW8,3,0),0)</f>
        <v>0</v>
      </c>
      <c r="BO49" s="13">
        <f>+IFERROR(VLOOKUP($BO$17,Sheet1!AX8:BA8,3,0),0)</f>
        <v>0</v>
      </c>
      <c r="BP49" s="13">
        <f>+IFERROR(VLOOKUP($BP$17,Sheet1!BB8:BE8,3,0),0)</f>
        <v>0</v>
      </c>
      <c r="BQ49" s="13">
        <f>+IFERROR(VLOOKUP($BQ$17,Sheet1!BF8:BI8,3,0),0)</f>
        <v>0</v>
      </c>
      <c r="BR49" s="13">
        <f>+IFERROR(VLOOKUP($BR$17,Sheet1!BJ8:BM8,3,0),0)</f>
        <v>0</v>
      </c>
      <c r="BS49" s="13">
        <f>+IFERROR(VLOOKUP($BS$17,Sheet1!BN8:BQ8,3,0),0)</f>
        <v>0</v>
      </c>
      <c r="BT49" s="13">
        <v>18</v>
      </c>
      <c r="BU49" s="13">
        <f>+IFERROR(VLOOKUP($BU$17,Sheet1!BV8:BY8,3,0),0)</f>
        <v>0</v>
      </c>
      <c r="BV49" s="56" t="str">
        <f>Sheet1!E8</f>
        <v>WOOD</v>
      </c>
      <c r="BW49" s="56" t="s">
        <v>294</v>
      </c>
      <c r="BX49" s="56" t="s">
        <v>295</v>
      </c>
      <c r="BY49" s="56">
        <v>1000</v>
      </c>
      <c r="BZ49" s="69">
        <v>6379</v>
      </c>
      <c r="CA49" s="3">
        <f t="shared" si="5"/>
        <v>802755</v>
      </c>
      <c r="CB49" s="23">
        <f>Sheet1!CB8</f>
        <v>0</v>
      </c>
      <c r="CC49" s="3">
        <f t="shared" si="6"/>
        <v>0</v>
      </c>
      <c r="CD49" s="44">
        <v>0.18</v>
      </c>
      <c r="CE49" s="3">
        <f t="shared" si="7"/>
        <v>144495.9</v>
      </c>
      <c r="CF49" s="44">
        <v>0</v>
      </c>
      <c r="CG49" s="3">
        <f t="shared" si="8"/>
        <v>0</v>
      </c>
      <c r="CH49" s="3">
        <f t="shared" si="9"/>
        <v>947250.9</v>
      </c>
      <c r="CI49" s="44">
        <v>0.02</v>
      </c>
      <c r="CJ49" s="1">
        <f t="shared" si="10"/>
        <v>18945.018</v>
      </c>
      <c r="CK49" s="44">
        <v>0.01</v>
      </c>
      <c r="CL49" s="1">
        <f t="shared" si="11"/>
        <v>9472.509</v>
      </c>
      <c r="CM49">
        <v>150</v>
      </c>
      <c r="CN49">
        <v>30</v>
      </c>
    </row>
    <row r="51" spans="1:92" ht="60" x14ac:dyDescent="0.25">
      <c r="E51" s="2" t="s">
        <v>270</v>
      </c>
      <c r="F51" s="2" t="s">
        <v>271</v>
      </c>
      <c r="G51" s="61" t="s">
        <v>272</v>
      </c>
      <c r="H51" s="2" t="s">
        <v>273</v>
      </c>
      <c r="I51" s="2" t="s">
        <v>274</v>
      </c>
      <c r="J51" s="2" t="s">
        <v>275</v>
      </c>
      <c r="K51" s="2" t="s">
        <v>276</v>
      </c>
      <c r="L51" s="61" t="s">
        <v>277</v>
      </c>
      <c r="M51" s="62" t="s">
        <v>278</v>
      </c>
      <c r="N51" s="26" t="s">
        <v>298</v>
      </c>
      <c r="P51" s="72" t="s">
        <v>300</v>
      </c>
      <c r="AF51" s="26" t="s">
        <v>299</v>
      </c>
      <c r="AH51" s="26" t="s">
        <v>301</v>
      </c>
    </row>
    <row r="52" spans="1:92" x14ac:dyDescent="0.25">
      <c r="C52" t="str">
        <f>C19</f>
        <v>FA0600013</v>
      </c>
      <c r="D52" t="str">
        <f>D19</f>
        <v>1 CORE X 95 SQ. MM. AL/UNARD(XLPE )</v>
      </c>
      <c r="E52" s="61">
        <f>K19</f>
        <v>82.207999999999998</v>
      </c>
      <c r="F52" s="63">
        <f>BY19/1000</f>
        <v>1</v>
      </c>
      <c r="G52" s="61" t="s">
        <v>279</v>
      </c>
      <c r="H52" s="64">
        <v>27000</v>
      </c>
      <c r="I52" s="68">
        <v>31</v>
      </c>
      <c r="J52" s="61">
        <f>F52*I52</f>
        <v>31</v>
      </c>
      <c r="K52" s="61">
        <f>ROUNDUP((E52/J52),0)</f>
        <v>3</v>
      </c>
      <c r="L52" s="61">
        <f>M52*E52</f>
        <v>81000</v>
      </c>
      <c r="M52" s="65">
        <f>(H52*K52)/E52</f>
        <v>985.30556636823667</v>
      </c>
      <c r="N52" s="26">
        <f>SUM(N19:BT19)</f>
        <v>440.5</v>
      </c>
      <c r="P52" s="26">
        <f>CM19+CN19</f>
        <v>75</v>
      </c>
      <c r="AF52" s="26">
        <f>((N52*F52)+P52)</f>
        <v>515.5</v>
      </c>
      <c r="AH52" s="26">
        <f>I52*AF52</f>
        <v>15980.5</v>
      </c>
    </row>
    <row r="53" spans="1:92" x14ac:dyDescent="0.25">
      <c r="C53" t="str">
        <f t="shared" ref="C53:D53" si="13">C20</f>
        <v>FA0600019</v>
      </c>
      <c r="D53" t="str">
        <f t="shared" si="13"/>
        <v>1 CORE X 150 SQ. MM. AL/UNARD. (XLPE)</v>
      </c>
      <c r="E53" s="61">
        <f t="shared" ref="E53:E82" si="14">K20</f>
        <v>47.838000000000001</v>
      </c>
      <c r="F53" s="63">
        <f t="shared" ref="F53:F82" si="15">BY20/1000</f>
        <v>1</v>
      </c>
      <c r="G53" s="61" t="s">
        <v>279</v>
      </c>
      <c r="H53" s="64">
        <v>27000</v>
      </c>
      <c r="I53" s="68">
        <v>20</v>
      </c>
      <c r="J53" s="61">
        <f t="shared" ref="J53:J82" si="16">F53*I53</f>
        <v>20</v>
      </c>
      <c r="K53" s="61">
        <f t="shared" ref="K53:K82" si="17">ROUNDUP((E53/J53),0)</f>
        <v>3</v>
      </c>
      <c r="L53" s="61">
        <f t="shared" ref="L53:L82" si="18">M53*E53</f>
        <v>81000</v>
      </c>
      <c r="M53" s="65">
        <f t="shared" ref="M53:M82" si="19">(H53*K53)/E53</f>
        <v>1693.2145992725448</v>
      </c>
      <c r="N53" s="26">
        <f t="shared" ref="N53:N82" si="20">SUM(N20:BT20)</f>
        <v>686</v>
      </c>
      <c r="P53" s="26">
        <f t="shared" ref="P53:P82" si="21">CM20+CN20</f>
        <v>100</v>
      </c>
      <c r="AF53" s="26">
        <f t="shared" ref="AF53:AF82" si="22">((N53*F53)+P53)</f>
        <v>786</v>
      </c>
      <c r="AH53" s="26">
        <f t="shared" ref="AH53:AH82" si="23">I53*AF53</f>
        <v>15720</v>
      </c>
    </row>
    <row r="54" spans="1:92" x14ac:dyDescent="0.25">
      <c r="C54" t="str">
        <f t="shared" ref="C54:D54" si="24">C21</f>
        <v>FA0600021</v>
      </c>
      <c r="D54" t="str">
        <f t="shared" si="24"/>
        <v>1 CORE X 185 SQ. MM. AL/UNARD. (XLPE)</v>
      </c>
      <c r="E54" s="61">
        <f t="shared" si="14"/>
        <v>20</v>
      </c>
      <c r="F54" s="63">
        <f t="shared" si="15"/>
        <v>1</v>
      </c>
      <c r="G54" s="61" t="s">
        <v>279</v>
      </c>
      <c r="H54" s="64">
        <v>27000</v>
      </c>
      <c r="I54" s="68">
        <v>17</v>
      </c>
      <c r="J54" s="61">
        <f t="shared" si="16"/>
        <v>17</v>
      </c>
      <c r="K54" s="61">
        <f t="shared" si="17"/>
        <v>2</v>
      </c>
      <c r="L54" s="61">
        <f t="shared" si="18"/>
        <v>54000</v>
      </c>
      <c r="M54" s="65">
        <f t="shared" si="19"/>
        <v>2700</v>
      </c>
      <c r="N54" s="26">
        <f t="shared" si="20"/>
        <v>828</v>
      </c>
      <c r="P54" s="26">
        <f t="shared" si="21"/>
        <v>100</v>
      </c>
      <c r="AF54" s="26">
        <f t="shared" si="22"/>
        <v>928</v>
      </c>
      <c r="AH54" s="26">
        <f t="shared" si="23"/>
        <v>15776</v>
      </c>
    </row>
    <row r="55" spans="1:92" x14ac:dyDescent="0.25">
      <c r="C55" t="str">
        <f t="shared" ref="C55:D55" si="25">C22</f>
        <v>FA0600020</v>
      </c>
      <c r="D55" t="str">
        <f t="shared" si="25"/>
        <v>1 CORE X 300 SQ. MM. AL/UNARD. (XLPE)</v>
      </c>
      <c r="E55" s="61">
        <f t="shared" si="14"/>
        <v>63.368000000000002</v>
      </c>
      <c r="F55" s="63">
        <f t="shared" si="15"/>
        <v>1</v>
      </c>
      <c r="G55" s="61" t="s">
        <v>279</v>
      </c>
      <c r="H55" s="64">
        <v>27000</v>
      </c>
      <c r="I55" s="68">
        <v>10</v>
      </c>
      <c r="J55" s="61">
        <f t="shared" si="16"/>
        <v>10</v>
      </c>
      <c r="K55" s="61">
        <f t="shared" si="17"/>
        <v>7</v>
      </c>
      <c r="L55" s="61">
        <f t="shared" si="18"/>
        <v>189000</v>
      </c>
      <c r="M55" s="65">
        <f t="shared" si="19"/>
        <v>2982.57795732862</v>
      </c>
      <c r="N55" s="76">
        <f t="shared" si="20"/>
        <v>1225</v>
      </c>
      <c r="O55" s="76"/>
      <c r="P55" s="76">
        <f t="shared" si="21"/>
        <v>150</v>
      </c>
      <c r="Q55" s="76"/>
      <c r="R55" s="76"/>
      <c r="S55" s="76"/>
      <c r="T55" s="76"/>
      <c r="U55" s="76"/>
      <c r="V55" s="76"/>
      <c r="W55" s="76"/>
      <c r="X55" s="76"/>
      <c r="Y55" s="76"/>
      <c r="Z55" s="76"/>
      <c r="AA55" s="76"/>
      <c r="AB55" s="76"/>
      <c r="AC55" s="76"/>
      <c r="AD55" s="76"/>
      <c r="AE55" s="76"/>
      <c r="AF55" s="76">
        <f t="shared" si="22"/>
        <v>1375</v>
      </c>
      <c r="AG55" s="76"/>
      <c r="AH55" s="76">
        <f t="shared" si="23"/>
        <v>13750</v>
      </c>
    </row>
    <row r="56" spans="1:92" x14ac:dyDescent="0.25">
      <c r="C56" t="str">
        <f t="shared" ref="C56:D56" si="26">C23</f>
        <v>FA0600032</v>
      </c>
      <c r="D56" t="str">
        <f t="shared" si="26"/>
        <v>1 CORE X 630 SQ. MM. ALU/UNARD (XLPE)</v>
      </c>
      <c r="E56" s="61">
        <f t="shared" si="14"/>
        <v>81.688000000000002</v>
      </c>
      <c r="F56" s="63">
        <f t="shared" si="15"/>
        <v>1</v>
      </c>
      <c r="G56" s="61" t="s">
        <v>279</v>
      </c>
      <c r="H56" s="64">
        <v>27000</v>
      </c>
      <c r="I56" s="68">
        <v>5</v>
      </c>
      <c r="J56" s="61">
        <f t="shared" si="16"/>
        <v>5</v>
      </c>
      <c r="K56" s="61">
        <f t="shared" si="17"/>
        <v>17</v>
      </c>
      <c r="L56" s="61">
        <f t="shared" si="18"/>
        <v>459000</v>
      </c>
      <c r="M56" s="65">
        <f t="shared" si="19"/>
        <v>5618.9403584369793</v>
      </c>
      <c r="N56" s="26">
        <f t="shared" si="20"/>
        <v>2391</v>
      </c>
      <c r="P56" s="26">
        <f t="shared" si="21"/>
        <v>365</v>
      </c>
      <c r="AF56" s="26">
        <f t="shared" si="22"/>
        <v>2756</v>
      </c>
      <c r="AH56" s="26">
        <f t="shared" si="23"/>
        <v>13780</v>
      </c>
    </row>
    <row r="57" spans="1:92" hidden="1" x14ac:dyDescent="0.25">
      <c r="C57" t="str">
        <f t="shared" ref="C57:D57" si="27">C24</f>
        <v>FA1200026</v>
      </c>
      <c r="D57" t="str">
        <f t="shared" si="27"/>
        <v>4 CORE X 150 SQ. MM. AL/UNARD (XLPE)</v>
      </c>
      <c r="E57" s="61">
        <f t="shared" si="14"/>
        <v>0</v>
      </c>
      <c r="F57" s="63">
        <f t="shared" si="15"/>
        <v>0.5</v>
      </c>
      <c r="G57" s="61" t="s">
        <v>279</v>
      </c>
      <c r="H57" s="64">
        <v>27000</v>
      </c>
      <c r="I57" s="68">
        <v>8</v>
      </c>
      <c r="J57" s="61">
        <f t="shared" si="16"/>
        <v>4</v>
      </c>
      <c r="K57" s="61">
        <f t="shared" si="17"/>
        <v>0</v>
      </c>
      <c r="L57" s="61" t="e">
        <f t="shared" si="18"/>
        <v>#DIV/0!</v>
      </c>
      <c r="M57" s="65" t="e">
        <f t="shared" si="19"/>
        <v>#DIV/0!</v>
      </c>
      <c r="N57" s="26">
        <f t="shared" si="20"/>
        <v>2622</v>
      </c>
      <c r="P57" s="26">
        <f t="shared" si="21"/>
        <v>300</v>
      </c>
      <c r="AF57" s="26">
        <f t="shared" si="22"/>
        <v>1611</v>
      </c>
      <c r="AH57" s="26">
        <f t="shared" si="23"/>
        <v>12888</v>
      </c>
    </row>
    <row r="58" spans="1:92" x14ac:dyDescent="0.25">
      <c r="C58" t="str">
        <f t="shared" ref="C58:D58" si="28">C25</f>
        <v>FA0900111</v>
      </c>
      <c r="D58" t="str">
        <f t="shared" si="28"/>
        <v>4 CORE X 25 SQ. MM. ALU/ARD - WIRE (XLPE)</v>
      </c>
      <c r="E58" s="61">
        <f t="shared" si="14"/>
        <v>241.11600000000001</v>
      </c>
      <c r="F58" s="63">
        <f t="shared" si="15"/>
        <v>1</v>
      </c>
      <c r="G58" s="61" t="s">
        <v>279</v>
      </c>
      <c r="H58" s="64">
        <v>27000</v>
      </c>
      <c r="I58" s="68">
        <v>11</v>
      </c>
      <c r="J58" s="61">
        <f t="shared" si="16"/>
        <v>11</v>
      </c>
      <c r="K58" s="61">
        <f t="shared" si="17"/>
        <v>22</v>
      </c>
      <c r="L58" s="61">
        <f t="shared" si="18"/>
        <v>594000</v>
      </c>
      <c r="M58" s="65">
        <f t="shared" si="19"/>
        <v>2463.5445179913399</v>
      </c>
      <c r="N58" s="26">
        <f t="shared" si="20"/>
        <v>1251.3</v>
      </c>
      <c r="P58" s="26">
        <f t="shared" si="21"/>
        <v>100</v>
      </c>
      <c r="AF58" s="26">
        <f t="shared" si="22"/>
        <v>1351.3</v>
      </c>
      <c r="AH58" s="26">
        <f t="shared" si="23"/>
        <v>14864.3</v>
      </c>
    </row>
    <row r="59" spans="1:92" x14ac:dyDescent="0.25">
      <c r="C59" t="str">
        <f t="shared" ref="C59:D59" si="29">C26</f>
        <v>FA0900116</v>
      </c>
      <c r="D59" t="str">
        <f t="shared" si="29"/>
        <v>4 CORE X 50 SQ. MM. AL/ARD - WIRE (XLPE)</v>
      </c>
      <c r="E59" s="61">
        <f t="shared" si="14"/>
        <v>27.67</v>
      </c>
      <c r="F59" s="63">
        <f t="shared" si="15"/>
        <v>1</v>
      </c>
      <c r="G59" s="61" t="s">
        <v>279</v>
      </c>
      <c r="H59" s="64">
        <v>27000</v>
      </c>
      <c r="I59" s="68">
        <v>7</v>
      </c>
      <c r="J59" s="61">
        <f t="shared" si="16"/>
        <v>7</v>
      </c>
      <c r="K59" s="61">
        <f t="shared" si="17"/>
        <v>4</v>
      </c>
      <c r="L59" s="61">
        <f t="shared" si="18"/>
        <v>108000</v>
      </c>
      <c r="M59" s="65">
        <f t="shared" si="19"/>
        <v>3903.1441994940365</v>
      </c>
      <c r="N59" s="26">
        <f t="shared" si="20"/>
        <v>2038</v>
      </c>
      <c r="P59" s="26">
        <f t="shared" si="21"/>
        <v>180</v>
      </c>
      <c r="AF59" s="26">
        <f t="shared" si="22"/>
        <v>2218</v>
      </c>
      <c r="AH59" s="26">
        <f t="shared" si="23"/>
        <v>15526</v>
      </c>
    </row>
    <row r="60" spans="1:92" x14ac:dyDescent="0.25">
      <c r="C60" t="str">
        <f t="shared" ref="C60:D60" si="30">C27</f>
        <v>FA1100094</v>
      </c>
      <c r="D60" t="str">
        <f t="shared" si="30"/>
        <v>4 CORE X 95 SQ. MM. ALU/ARD - WIRE (XLPE)</v>
      </c>
      <c r="E60" s="61">
        <f t="shared" si="14"/>
        <v>149.77000000000001</v>
      </c>
      <c r="F60" s="63">
        <f t="shared" si="15"/>
        <v>0.5</v>
      </c>
      <c r="G60" s="61" t="s">
        <v>279</v>
      </c>
      <c r="H60" s="64">
        <v>27000</v>
      </c>
      <c r="I60" s="68">
        <v>9</v>
      </c>
      <c r="J60" s="61">
        <f t="shared" si="16"/>
        <v>4.5</v>
      </c>
      <c r="K60" s="61">
        <f t="shared" si="17"/>
        <v>34</v>
      </c>
      <c r="L60" s="61">
        <f t="shared" si="18"/>
        <v>918000</v>
      </c>
      <c r="M60" s="65">
        <f t="shared" si="19"/>
        <v>6129.3984108967079</v>
      </c>
      <c r="N60" s="26">
        <f t="shared" si="20"/>
        <v>3033</v>
      </c>
      <c r="P60" s="26">
        <f t="shared" si="21"/>
        <v>190</v>
      </c>
      <c r="AF60" s="26">
        <f t="shared" si="22"/>
        <v>1706.5</v>
      </c>
      <c r="AH60" s="26">
        <f t="shared" si="23"/>
        <v>15358.5</v>
      </c>
    </row>
    <row r="61" spans="1:92" x14ac:dyDescent="0.25">
      <c r="C61" t="str">
        <f t="shared" ref="C61:D61" si="31">C28</f>
        <v>FA1100177</v>
      </c>
      <c r="D61" t="str">
        <f t="shared" si="31"/>
        <v>4 CORE X 150 SQ. MM. AL/ARD - WIRE (XLPE)</v>
      </c>
      <c r="E61" s="61">
        <f t="shared" si="14"/>
        <v>23.594999999999999</v>
      </c>
      <c r="F61" s="63">
        <f t="shared" si="15"/>
        <v>0.5</v>
      </c>
      <c r="G61" s="61" t="s">
        <v>279</v>
      </c>
      <c r="H61" s="64">
        <v>27000</v>
      </c>
      <c r="I61" s="68">
        <v>5</v>
      </c>
      <c r="J61" s="61">
        <f t="shared" si="16"/>
        <v>2.5</v>
      </c>
      <c r="K61" s="61">
        <f t="shared" si="17"/>
        <v>10</v>
      </c>
      <c r="L61" s="61">
        <f t="shared" si="18"/>
        <v>270000</v>
      </c>
      <c r="M61" s="65">
        <f t="shared" si="19"/>
        <v>11443.102352193262</v>
      </c>
      <c r="N61" s="26">
        <f t="shared" si="20"/>
        <v>4939</v>
      </c>
      <c r="P61" s="26">
        <f t="shared" si="21"/>
        <v>315</v>
      </c>
      <c r="AF61" s="26">
        <f t="shared" si="22"/>
        <v>2784.5</v>
      </c>
      <c r="AH61" s="26">
        <f t="shared" si="23"/>
        <v>13922.5</v>
      </c>
    </row>
    <row r="62" spans="1:92" x14ac:dyDescent="0.25">
      <c r="C62" t="str">
        <f t="shared" ref="C62:D62" si="32">C29</f>
        <v>FA1100091</v>
      </c>
      <c r="D62" t="str">
        <f t="shared" si="32"/>
        <v>4 CORE X 240 SQ. MM. AL/ARD - WIRE (XLPE)</v>
      </c>
      <c r="E62" s="61">
        <f t="shared" si="14"/>
        <v>1</v>
      </c>
      <c r="F62" s="63">
        <f t="shared" si="15"/>
        <v>0.5</v>
      </c>
      <c r="G62" s="61" t="s">
        <v>279</v>
      </c>
      <c r="H62" s="64">
        <v>27000</v>
      </c>
      <c r="I62" s="68">
        <v>4</v>
      </c>
      <c r="J62" s="61">
        <f t="shared" si="16"/>
        <v>2</v>
      </c>
      <c r="K62" s="61">
        <f t="shared" si="17"/>
        <v>1</v>
      </c>
      <c r="L62" s="61">
        <f t="shared" si="18"/>
        <v>27000</v>
      </c>
      <c r="M62" s="65">
        <f t="shared" si="19"/>
        <v>27000</v>
      </c>
      <c r="N62" s="26">
        <f t="shared" si="20"/>
        <v>6837</v>
      </c>
      <c r="P62" s="26">
        <f t="shared" si="21"/>
        <v>365</v>
      </c>
      <c r="AF62" s="26">
        <f t="shared" si="22"/>
        <v>3783.5</v>
      </c>
      <c r="AH62" s="26">
        <f t="shared" si="23"/>
        <v>15134</v>
      </c>
    </row>
    <row r="63" spans="1:92" x14ac:dyDescent="0.25">
      <c r="C63" t="str">
        <f t="shared" ref="C63:D63" si="33">C30</f>
        <v>FA1100176</v>
      </c>
      <c r="D63" t="str">
        <f t="shared" si="33"/>
        <v>4 CORE X 300 SQ. MM. AL/ARD - WIRE (XLPE)</v>
      </c>
      <c r="E63" s="61">
        <f t="shared" si="14"/>
        <v>12.42</v>
      </c>
      <c r="F63" s="63">
        <f t="shared" si="15"/>
        <v>0.5</v>
      </c>
      <c r="G63" s="61" t="s">
        <v>279</v>
      </c>
      <c r="H63" s="64">
        <v>27000</v>
      </c>
      <c r="I63" s="68">
        <v>3</v>
      </c>
      <c r="J63" s="61">
        <f t="shared" si="16"/>
        <v>1.5</v>
      </c>
      <c r="K63" s="61">
        <f t="shared" si="17"/>
        <v>9</v>
      </c>
      <c r="L63" s="61">
        <f t="shared" si="18"/>
        <v>243000</v>
      </c>
      <c r="M63" s="65">
        <f t="shared" si="19"/>
        <v>19565.217391304348</v>
      </c>
      <c r="N63" s="26">
        <f t="shared" si="20"/>
        <v>8134</v>
      </c>
      <c r="P63" s="26">
        <f t="shared" si="21"/>
        <v>575</v>
      </c>
      <c r="AF63" s="26">
        <f t="shared" si="22"/>
        <v>4642</v>
      </c>
      <c r="AH63" s="26">
        <f t="shared" si="23"/>
        <v>13926</v>
      </c>
    </row>
    <row r="64" spans="1:92" x14ac:dyDescent="0.25">
      <c r="C64" t="str">
        <f t="shared" ref="C64:D64" si="34">C31</f>
        <v>FA0500017</v>
      </c>
      <c r="D64" t="str">
        <f t="shared" si="34"/>
        <v>1 CORE X 50 SQ. MM. AL/UNARD. (XLPE)</v>
      </c>
      <c r="E64" s="61">
        <f t="shared" si="14"/>
        <v>6.5</v>
      </c>
      <c r="F64" s="63">
        <f t="shared" si="15"/>
        <v>1</v>
      </c>
      <c r="G64" s="61" t="s">
        <v>279</v>
      </c>
      <c r="H64" s="64">
        <v>27000</v>
      </c>
      <c r="I64" s="68">
        <v>40</v>
      </c>
      <c r="J64" s="61">
        <f t="shared" si="16"/>
        <v>40</v>
      </c>
      <c r="K64" s="61">
        <f t="shared" si="17"/>
        <v>1</v>
      </c>
      <c r="L64" s="61">
        <f t="shared" si="18"/>
        <v>27000.000000000004</v>
      </c>
      <c r="M64" s="65">
        <f t="shared" si="19"/>
        <v>4153.8461538461543</v>
      </c>
      <c r="N64" s="26">
        <f t="shared" si="20"/>
        <v>282</v>
      </c>
      <c r="P64" s="26">
        <f t="shared" si="21"/>
        <v>65</v>
      </c>
      <c r="AF64" s="26">
        <f t="shared" si="22"/>
        <v>347</v>
      </c>
      <c r="AH64" s="26">
        <f t="shared" si="23"/>
        <v>13880</v>
      </c>
    </row>
    <row r="65" spans="3:34" hidden="1" x14ac:dyDescent="0.25">
      <c r="C65" t="str">
        <f t="shared" ref="C65:D65" si="35">C32</f>
        <v>FA0900117</v>
      </c>
      <c r="D65" t="str">
        <f t="shared" si="35"/>
        <v>4 CORE X 35 SQ. MM. AL/ARD - WIRE (XLPE)</v>
      </c>
      <c r="E65" s="61">
        <f t="shared" si="14"/>
        <v>0</v>
      </c>
      <c r="F65" s="63">
        <f t="shared" si="15"/>
        <v>1</v>
      </c>
      <c r="G65" s="61" t="s">
        <v>279</v>
      </c>
      <c r="H65" s="64">
        <v>27000</v>
      </c>
      <c r="I65" s="68">
        <v>9</v>
      </c>
      <c r="J65" s="61">
        <f t="shared" si="16"/>
        <v>9</v>
      </c>
      <c r="K65" s="61">
        <f t="shared" si="17"/>
        <v>0</v>
      </c>
      <c r="L65" s="61" t="e">
        <f t="shared" si="18"/>
        <v>#DIV/0!</v>
      </c>
      <c r="M65" s="65" t="e">
        <f t="shared" si="19"/>
        <v>#DIV/0!</v>
      </c>
      <c r="N65" s="26">
        <f t="shared" si="20"/>
        <v>1525</v>
      </c>
      <c r="P65" s="26">
        <f t="shared" si="21"/>
        <v>125</v>
      </c>
      <c r="AF65" s="26">
        <f t="shared" si="22"/>
        <v>1650</v>
      </c>
      <c r="AH65" s="26">
        <f t="shared" si="23"/>
        <v>14850</v>
      </c>
    </row>
    <row r="66" spans="3:34" x14ac:dyDescent="0.25">
      <c r="C66" t="str">
        <f t="shared" ref="C66:D66" si="36">C33</f>
        <v>FA0900041</v>
      </c>
      <c r="D66" t="str">
        <f t="shared" si="36"/>
        <v>2 CORE X 4 SQ. MM. AL/ARD - WIRE (XLPE)</v>
      </c>
      <c r="E66" s="61">
        <f t="shared" si="14"/>
        <v>2956.1880000000001</v>
      </c>
      <c r="F66" s="63">
        <f t="shared" si="15"/>
        <v>1</v>
      </c>
      <c r="G66" s="61" t="s">
        <v>279</v>
      </c>
      <c r="H66" s="64">
        <v>27000</v>
      </c>
      <c r="I66" s="68">
        <v>28</v>
      </c>
      <c r="J66" s="61">
        <f t="shared" si="16"/>
        <v>28</v>
      </c>
      <c r="K66" s="61">
        <f t="shared" si="17"/>
        <v>106</v>
      </c>
      <c r="L66" s="61">
        <f t="shared" si="18"/>
        <v>2862000</v>
      </c>
      <c r="M66" s="65">
        <f t="shared" si="19"/>
        <v>968.1386975388574</v>
      </c>
      <c r="N66" s="26">
        <f t="shared" si="20"/>
        <v>477</v>
      </c>
      <c r="P66" s="26">
        <f t="shared" si="21"/>
        <v>75</v>
      </c>
      <c r="AF66" s="26">
        <f t="shared" si="22"/>
        <v>552</v>
      </c>
      <c r="AH66" s="26">
        <f t="shared" si="23"/>
        <v>15456</v>
      </c>
    </row>
    <row r="67" spans="3:34" x14ac:dyDescent="0.25">
      <c r="C67" t="str">
        <f t="shared" ref="C67:D67" si="37">C34</f>
        <v>FA0900020</v>
      </c>
      <c r="D67" t="str">
        <f t="shared" si="37"/>
        <v>2 CORE X 6 SQ. MM. AL/ARD - WIRE (XLPE)</v>
      </c>
      <c r="E67" s="61">
        <f t="shared" si="14"/>
        <v>630</v>
      </c>
      <c r="F67" s="63">
        <f t="shared" si="15"/>
        <v>1</v>
      </c>
      <c r="G67" s="61" t="s">
        <v>279</v>
      </c>
      <c r="H67" s="64">
        <v>27000</v>
      </c>
      <c r="I67" s="68">
        <v>26</v>
      </c>
      <c r="J67" s="61">
        <f t="shared" si="16"/>
        <v>26</v>
      </c>
      <c r="K67" s="61">
        <f t="shared" si="17"/>
        <v>25</v>
      </c>
      <c r="L67" s="61">
        <f t="shared" si="18"/>
        <v>674999.99999999988</v>
      </c>
      <c r="M67" s="65">
        <f t="shared" si="19"/>
        <v>1071.4285714285713</v>
      </c>
      <c r="N67" s="26">
        <f t="shared" si="20"/>
        <v>528</v>
      </c>
      <c r="P67" s="26">
        <f t="shared" si="21"/>
        <v>75</v>
      </c>
      <c r="AF67" s="26">
        <f t="shared" si="22"/>
        <v>603</v>
      </c>
      <c r="AH67" s="26">
        <f t="shared" si="23"/>
        <v>15678</v>
      </c>
    </row>
    <row r="68" spans="3:34" x14ac:dyDescent="0.25">
      <c r="C68" t="str">
        <f t="shared" ref="C68:D68" si="38">C35</f>
        <v>FA0900042</v>
      </c>
      <c r="D68" t="str">
        <f t="shared" si="38"/>
        <v>2 CORE X 10 SQ. MM. ALU/ARD - WIRE (XLPE)</v>
      </c>
      <c r="E68" s="61">
        <f t="shared" si="14"/>
        <v>63.713000000000001</v>
      </c>
      <c r="F68" s="63">
        <f t="shared" si="15"/>
        <v>1</v>
      </c>
      <c r="G68" s="61" t="s">
        <v>279</v>
      </c>
      <c r="H68" s="64">
        <v>27000</v>
      </c>
      <c r="I68" s="68">
        <v>21</v>
      </c>
      <c r="J68" s="61">
        <f t="shared" si="16"/>
        <v>21</v>
      </c>
      <c r="K68" s="61">
        <f t="shared" si="17"/>
        <v>4</v>
      </c>
      <c r="L68" s="61">
        <f t="shared" si="18"/>
        <v>108000</v>
      </c>
      <c r="M68" s="65">
        <f t="shared" si="19"/>
        <v>1695.1014706574797</v>
      </c>
      <c r="N68" s="26">
        <f t="shared" si="20"/>
        <v>674</v>
      </c>
      <c r="P68" s="26">
        <f t="shared" si="21"/>
        <v>75</v>
      </c>
      <c r="AF68" s="26">
        <f t="shared" si="22"/>
        <v>749</v>
      </c>
      <c r="AH68" s="26">
        <f t="shared" si="23"/>
        <v>15729</v>
      </c>
    </row>
    <row r="69" spans="3:34" x14ac:dyDescent="0.25">
      <c r="C69" t="str">
        <f t="shared" ref="C69:D69" si="39">C36</f>
        <v>FA0900112</v>
      </c>
      <c r="D69" t="str">
        <f t="shared" si="39"/>
        <v>4 CORE X 10 SQ. MM. AL/ARD - WIRE (XLPE)</v>
      </c>
      <c r="E69" s="61">
        <f t="shared" si="14"/>
        <v>152.52600000000001</v>
      </c>
      <c r="F69" s="63">
        <f t="shared" si="15"/>
        <v>1</v>
      </c>
      <c r="G69" s="61" t="s">
        <v>279</v>
      </c>
      <c r="H69" s="64">
        <v>27000</v>
      </c>
      <c r="I69" s="68">
        <v>18</v>
      </c>
      <c r="J69" s="61">
        <f t="shared" si="16"/>
        <v>18</v>
      </c>
      <c r="K69" s="61">
        <f t="shared" si="17"/>
        <v>9</v>
      </c>
      <c r="L69" s="61">
        <f t="shared" si="18"/>
        <v>243000</v>
      </c>
      <c r="M69" s="65">
        <f t="shared" si="19"/>
        <v>1593.1710003540379</v>
      </c>
      <c r="N69" s="26">
        <f t="shared" si="20"/>
        <v>734.5</v>
      </c>
      <c r="P69" s="26">
        <f t="shared" si="21"/>
        <v>75</v>
      </c>
      <c r="AF69" s="26">
        <f t="shared" si="22"/>
        <v>809.5</v>
      </c>
      <c r="AH69" s="26">
        <f t="shared" si="23"/>
        <v>14571</v>
      </c>
    </row>
    <row r="70" spans="3:34" hidden="1" x14ac:dyDescent="0.25">
      <c r="C70" t="str">
        <f t="shared" ref="C70:D70" si="40">C37</f>
        <v>FA0300011</v>
      </c>
      <c r="D70" t="str">
        <f t="shared" si="40"/>
        <v>10 CORE X 2.5 SQ. MM. CU/UNARD. (PVC)</v>
      </c>
      <c r="E70" s="61">
        <f t="shared" si="14"/>
        <v>0</v>
      </c>
      <c r="F70" s="63">
        <f t="shared" si="15"/>
        <v>0.5</v>
      </c>
      <c r="G70" s="61" t="s">
        <v>279</v>
      </c>
      <c r="H70" s="64">
        <v>27000</v>
      </c>
      <c r="I70" s="68">
        <v>36</v>
      </c>
      <c r="J70" s="61">
        <f t="shared" si="16"/>
        <v>18</v>
      </c>
      <c r="K70" s="61">
        <f t="shared" si="17"/>
        <v>0</v>
      </c>
      <c r="L70" s="61" t="e">
        <f t="shared" si="18"/>
        <v>#DIV/0!</v>
      </c>
      <c r="M70" s="65" t="e">
        <f t="shared" si="19"/>
        <v>#DIV/0!</v>
      </c>
      <c r="N70" s="26">
        <f t="shared" si="20"/>
        <v>558</v>
      </c>
      <c r="P70" s="26">
        <f t="shared" si="21"/>
        <v>75</v>
      </c>
      <c r="AF70" s="26">
        <f t="shared" si="22"/>
        <v>354</v>
      </c>
      <c r="AH70" s="26">
        <f t="shared" si="23"/>
        <v>12744</v>
      </c>
    </row>
    <row r="71" spans="3:34" x14ac:dyDescent="0.25">
      <c r="C71" t="str">
        <f t="shared" ref="C71:D71" si="41">C38</f>
        <v>FA0200005</v>
      </c>
      <c r="D71" t="str">
        <f t="shared" si="41"/>
        <v>16 CORE X 2.5 SQ. MM. CU/ARD - WIRE (PVC)</v>
      </c>
      <c r="E71" s="61">
        <f t="shared" si="14"/>
        <v>43.5</v>
      </c>
      <c r="F71" s="63">
        <f t="shared" si="15"/>
        <v>0.5</v>
      </c>
      <c r="G71" s="61" t="s">
        <v>279</v>
      </c>
      <c r="H71" s="64">
        <v>27000</v>
      </c>
      <c r="I71" s="68">
        <v>20</v>
      </c>
      <c r="J71" s="61">
        <f t="shared" si="16"/>
        <v>10</v>
      </c>
      <c r="K71" s="61">
        <f t="shared" si="17"/>
        <v>5</v>
      </c>
      <c r="L71" s="61">
        <f t="shared" si="18"/>
        <v>135000</v>
      </c>
      <c r="M71" s="65">
        <f t="shared" si="19"/>
        <v>3103.4482758620688</v>
      </c>
      <c r="N71" s="26">
        <f t="shared" si="20"/>
        <v>1400</v>
      </c>
      <c r="P71" s="26">
        <f t="shared" si="21"/>
        <v>75</v>
      </c>
      <c r="AF71" s="26">
        <f t="shared" si="22"/>
        <v>775</v>
      </c>
      <c r="AH71" s="26">
        <f t="shared" si="23"/>
        <v>15500</v>
      </c>
    </row>
    <row r="72" spans="3:34" hidden="1" x14ac:dyDescent="0.25">
      <c r="C72" t="str">
        <f t="shared" ref="C72:D72" si="42">C39</f>
        <v>FA0300006</v>
      </c>
      <c r="D72" t="str">
        <f t="shared" si="42"/>
        <v>4 CORE X 2.5 SQ. MM. CU/UNARD.(PVC)</v>
      </c>
      <c r="E72" s="61">
        <f t="shared" si="14"/>
        <v>0</v>
      </c>
      <c r="F72" s="63">
        <f t="shared" si="15"/>
        <v>0.5</v>
      </c>
      <c r="G72" s="61" t="s">
        <v>279</v>
      </c>
      <c r="H72" s="64">
        <v>27000</v>
      </c>
      <c r="I72" s="68">
        <v>55</v>
      </c>
      <c r="J72" s="61">
        <f t="shared" si="16"/>
        <v>27.5</v>
      </c>
      <c r="K72" s="61">
        <f t="shared" si="17"/>
        <v>0</v>
      </c>
      <c r="L72" s="61" t="e">
        <f t="shared" si="18"/>
        <v>#DIV/0!</v>
      </c>
      <c r="M72" s="65" t="e">
        <f t="shared" si="19"/>
        <v>#DIV/0!</v>
      </c>
      <c r="N72" s="26">
        <f t="shared" si="20"/>
        <v>280.8</v>
      </c>
      <c r="P72" s="26">
        <f t="shared" si="21"/>
        <v>60</v>
      </c>
      <c r="AF72" s="26">
        <f t="shared" si="22"/>
        <v>200.4</v>
      </c>
      <c r="AH72" s="26">
        <f t="shared" si="23"/>
        <v>11022</v>
      </c>
    </row>
    <row r="73" spans="3:34" x14ac:dyDescent="0.25">
      <c r="C73" t="str">
        <f t="shared" ref="C73:D73" si="43">C40</f>
        <v>FA0200011</v>
      </c>
      <c r="D73" t="str">
        <f t="shared" si="43"/>
        <v>4 CORE X 2.5 SQ. MM. CU/ARD - WIRE (PVC)</v>
      </c>
      <c r="E73" s="61">
        <f t="shared" si="14"/>
        <v>165.08800000000002</v>
      </c>
      <c r="F73" s="63">
        <f t="shared" si="15"/>
        <v>0.5</v>
      </c>
      <c r="G73" s="61" t="s">
        <v>279</v>
      </c>
      <c r="H73" s="64">
        <v>27000</v>
      </c>
      <c r="I73" s="68">
        <v>36</v>
      </c>
      <c r="J73" s="61">
        <f t="shared" si="16"/>
        <v>18</v>
      </c>
      <c r="K73" s="61">
        <f t="shared" si="17"/>
        <v>10</v>
      </c>
      <c r="L73" s="61">
        <f t="shared" si="18"/>
        <v>270000</v>
      </c>
      <c r="M73" s="65">
        <f t="shared" si="19"/>
        <v>1635.4913742973442</v>
      </c>
      <c r="N73" s="26">
        <f t="shared" si="20"/>
        <v>563.79999999999995</v>
      </c>
      <c r="P73" s="26">
        <f t="shared" si="21"/>
        <v>65</v>
      </c>
      <c r="AF73" s="26">
        <f t="shared" si="22"/>
        <v>346.9</v>
      </c>
      <c r="AH73" s="26">
        <f t="shared" si="23"/>
        <v>12488.4</v>
      </c>
    </row>
    <row r="74" spans="3:34" x14ac:dyDescent="0.25">
      <c r="C74" t="str">
        <f t="shared" ref="C74:D74" si="44">C41</f>
        <v>FA0200018</v>
      </c>
      <c r="D74" t="str">
        <f t="shared" si="44"/>
        <v>7 CORE X 2.5 SQ. MM. CU/ARD - WIRE (PVC)</v>
      </c>
      <c r="E74" s="61">
        <f t="shared" si="14"/>
        <v>73.75500000000001</v>
      </c>
      <c r="F74" s="63">
        <f t="shared" si="15"/>
        <v>0.5</v>
      </c>
      <c r="G74" s="61" t="s">
        <v>279</v>
      </c>
      <c r="H74" s="64">
        <v>27000</v>
      </c>
      <c r="I74" s="68">
        <v>36</v>
      </c>
      <c r="J74" s="61">
        <f t="shared" si="16"/>
        <v>18</v>
      </c>
      <c r="K74" s="61">
        <f t="shared" si="17"/>
        <v>5</v>
      </c>
      <c r="L74" s="61">
        <f t="shared" si="18"/>
        <v>135000</v>
      </c>
      <c r="M74" s="65">
        <f t="shared" si="19"/>
        <v>1830.384380719951</v>
      </c>
      <c r="N74" s="26">
        <f t="shared" si="20"/>
        <v>755.4</v>
      </c>
      <c r="P74" s="26">
        <f t="shared" si="21"/>
        <v>65</v>
      </c>
      <c r="AF74" s="26">
        <f t="shared" si="22"/>
        <v>442.7</v>
      </c>
      <c r="AH74" s="26">
        <f t="shared" si="23"/>
        <v>15937.199999999999</v>
      </c>
    </row>
    <row r="75" spans="3:34" x14ac:dyDescent="0.25">
      <c r="C75" t="str">
        <f t="shared" ref="C75:D75" si="45">C42</f>
        <v>FA0200002</v>
      </c>
      <c r="D75" t="str">
        <f t="shared" si="45"/>
        <v>10 CORE X 2.5 SQ. MM. CU/ARD - WIRE (PVC)</v>
      </c>
      <c r="E75" s="61">
        <f t="shared" si="14"/>
        <v>98.805999999999997</v>
      </c>
      <c r="F75" s="63">
        <f t="shared" si="15"/>
        <v>0.5</v>
      </c>
      <c r="G75" s="61" t="s">
        <v>279</v>
      </c>
      <c r="H75" s="64">
        <v>27000</v>
      </c>
      <c r="I75" s="68">
        <v>26</v>
      </c>
      <c r="J75" s="61">
        <f t="shared" si="16"/>
        <v>13</v>
      </c>
      <c r="K75" s="61">
        <f t="shared" si="17"/>
        <v>8</v>
      </c>
      <c r="L75" s="61">
        <f t="shared" si="18"/>
        <v>216000</v>
      </c>
      <c r="M75" s="65">
        <f t="shared" si="19"/>
        <v>2186.1020585794386</v>
      </c>
      <c r="N75" s="26">
        <f t="shared" si="20"/>
        <v>1080</v>
      </c>
      <c r="P75" s="26">
        <f t="shared" si="21"/>
        <v>75</v>
      </c>
      <c r="AF75" s="26">
        <f t="shared" si="22"/>
        <v>615</v>
      </c>
      <c r="AH75" s="26">
        <f t="shared" si="23"/>
        <v>15990</v>
      </c>
    </row>
    <row r="76" spans="3:34" x14ac:dyDescent="0.25">
      <c r="C76" t="str">
        <f t="shared" ref="C76:D76" si="46">C43</f>
        <v>FA0200003</v>
      </c>
      <c r="D76" t="str">
        <f t="shared" si="46"/>
        <v>12 CORE X 2.5 SQ. MM. CU/ARD - WIRE (PVC)</v>
      </c>
      <c r="E76" s="61">
        <f t="shared" si="14"/>
        <v>62.667000000000002</v>
      </c>
      <c r="F76" s="63">
        <f t="shared" si="15"/>
        <v>0.5</v>
      </c>
      <c r="G76" s="61" t="s">
        <v>279</v>
      </c>
      <c r="H76" s="64">
        <v>27000</v>
      </c>
      <c r="I76" s="68">
        <v>24</v>
      </c>
      <c r="J76" s="61">
        <f t="shared" si="16"/>
        <v>12</v>
      </c>
      <c r="K76" s="61">
        <f t="shared" si="17"/>
        <v>6</v>
      </c>
      <c r="L76" s="61">
        <f t="shared" si="18"/>
        <v>162000</v>
      </c>
      <c r="M76" s="65">
        <f t="shared" si="19"/>
        <v>2585.0926324859975</v>
      </c>
      <c r="N76" s="26">
        <f t="shared" si="20"/>
        <v>1176.4000000000001</v>
      </c>
      <c r="P76" s="26">
        <f t="shared" si="21"/>
        <v>75</v>
      </c>
      <c r="AF76" s="26">
        <f t="shared" si="22"/>
        <v>663.2</v>
      </c>
      <c r="AH76" s="26">
        <f t="shared" si="23"/>
        <v>15916.800000000001</v>
      </c>
    </row>
    <row r="77" spans="3:34" x14ac:dyDescent="0.25">
      <c r="C77" t="str">
        <f t="shared" ref="C77:D77" si="47">C44</f>
        <v>FA0900024</v>
      </c>
      <c r="D77" t="str">
        <f t="shared" si="47"/>
        <v>4 CORE X 4 SQ. MM. CU/ARD - WIRE (PVC)</v>
      </c>
      <c r="E77" s="61">
        <f t="shared" si="14"/>
        <v>18</v>
      </c>
      <c r="F77" s="63">
        <f t="shared" si="15"/>
        <v>0.5</v>
      </c>
      <c r="G77" s="61" t="s">
        <v>279</v>
      </c>
      <c r="H77" s="64">
        <v>27000</v>
      </c>
      <c r="I77" s="68">
        <v>36</v>
      </c>
      <c r="J77" s="61">
        <f t="shared" si="16"/>
        <v>18</v>
      </c>
      <c r="K77" s="61">
        <f t="shared" si="17"/>
        <v>1</v>
      </c>
      <c r="L77" s="61">
        <f t="shared" si="18"/>
        <v>27000</v>
      </c>
      <c r="M77" s="65">
        <f t="shared" si="19"/>
        <v>1500</v>
      </c>
      <c r="N77" s="26">
        <f t="shared" si="20"/>
        <v>729</v>
      </c>
      <c r="P77" s="26">
        <f t="shared" si="21"/>
        <v>65</v>
      </c>
      <c r="AF77" s="26">
        <f t="shared" si="22"/>
        <v>429.5</v>
      </c>
      <c r="AH77" s="26">
        <f t="shared" si="23"/>
        <v>15462</v>
      </c>
    </row>
    <row r="78" spans="3:34" x14ac:dyDescent="0.25">
      <c r="C78" s="70" t="str">
        <f t="shared" ref="C78:D78" si="48">C45</f>
        <v>FA0900052</v>
      </c>
      <c r="D78" s="70" t="str">
        <f t="shared" si="48"/>
        <v>4 CORE X 16 SQ. MM. CU/ARD - WIRE (XLPE)</v>
      </c>
      <c r="E78" s="61">
        <f t="shared" si="14"/>
        <v>1.5</v>
      </c>
      <c r="F78" s="63">
        <f t="shared" si="15"/>
        <v>1</v>
      </c>
      <c r="G78" s="61" t="s">
        <v>279</v>
      </c>
      <c r="H78" s="64">
        <v>27000</v>
      </c>
      <c r="I78" s="68">
        <v>10</v>
      </c>
      <c r="J78" s="61">
        <f t="shared" si="16"/>
        <v>10</v>
      </c>
      <c r="K78" s="61">
        <f t="shared" si="17"/>
        <v>1</v>
      </c>
      <c r="L78" s="61">
        <f t="shared" si="18"/>
        <v>27000</v>
      </c>
      <c r="M78" s="65">
        <f t="shared" si="19"/>
        <v>18000</v>
      </c>
      <c r="N78" s="76">
        <f t="shared" si="20"/>
        <v>1296.96</v>
      </c>
      <c r="O78" s="76"/>
      <c r="P78" s="76">
        <f t="shared" si="21"/>
        <v>150</v>
      </c>
      <c r="Q78" s="76"/>
      <c r="R78" s="76"/>
      <c r="S78" s="76"/>
      <c r="T78" s="76"/>
      <c r="U78" s="76"/>
      <c r="V78" s="76"/>
      <c r="W78" s="76"/>
      <c r="X78" s="76"/>
      <c r="Y78" s="76"/>
      <c r="Z78" s="76"/>
      <c r="AA78" s="76"/>
      <c r="AB78" s="76"/>
      <c r="AC78" s="76"/>
      <c r="AD78" s="76"/>
      <c r="AE78" s="76"/>
      <c r="AF78" s="76">
        <f t="shared" si="22"/>
        <v>1446.96</v>
      </c>
      <c r="AG78" s="76"/>
      <c r="AH78" s="76">
        <f t="shared" si="23"/>
        <v>14469.6</v>
      </c>
    </row>
    <row r="79" spans="3:34" x14ac:dyDescent="0.25">
      <c r="C79" s="70" t="str">
        <f t="shared" ref="C79:D79" si="49">C46</f>
        <v>FA0900121</v>
      </c>
      <c r="D79" s="70" t="str">
        <f t="shared" si="49"/>
        <v>4 CORE X 10 SQ. MM. CU/ARD - WIRE (XLPE)</v>
      </c>
      <c r="E79" s="61">
        <f t="shared" si="14"/>
        <v>3</v>
      </c>
      <c r="F79" s="63">
        <f t="shared" si="15"/>
        <v>1</v>
      </c>
      <c r="G79" s="61" t="s">
        <v>279</v>
      </c>
      <c r="H79" s="64">
        <v>27000</v>
      </c>
      <c r="I79" s="68">
        <v>14</v>
      </c>
      <c r="J79" s="61">
        <f t="shared" si="16"/>
        <v>14</v>
      </c>
      <c r="K79" s="61">
        <f t="shared" si="17"/>
        <v>1</v>
      </c>
      <c r="L79" s="61">
        <f t="shared" si="18"/>
        <v>27000</v>
      </c>
      <c r="M79" s="65">
        <f t="shared" si="19"/>
        <v>9000</v>
      </c>
      <c r="N79" s="76">
        <f t="shared" si="20"/>
        <v>982.1</v>
      </c>
      <c r="O79" s="76"/>
      <c r="P79" s="76">
        <f t="shared" si="21"/>
        <v>125</v>
      </c>
      <c r="Q79" s="76"/>
      <c r="R79" s="76"/>
      <c r="S79" s="76"/>
      <c r="T79" s="76"/>
      <c r="U79" s="76"/>
      <c r="V79" s="76"/>
      <c r="W79" s="76"/>
      <c r="X79" s="76"/>
      <c r="Y79" s="76"/>
      <c r="Z79" s="76"/>
      <c r="AA79" s="76"/>
      <c r="AB79" s="76"/>
      <c r="AC79" s="76"/>
      <c r="AD79" s="76"/>
      <c r="AE79" s="76"/>
      <c r="AF79" s="76">
        <f t="shared" si="22"/>
        <v>1107.0999999999999</v>
      </c>
      <c r="AG79" s="76"/>
      <c r="AH79" s="76">
        <f t="shared" si="23"/>
        <v>15499.399999999998</v>
      </c>
    </row>
    <row r="80" spans="3:34" x14ac:dyDescent="0.25">
      <c r="C80" s="70" t="str">
        <f t="shared" ref="C80:D80" si="50">C47</f>
        <v>FA0800019</v>
      </c>
      <c r="D80" s="70" t="str">
        <f t="shared" si="50"/>
        <v>1 CORE X 16 SQ. MM. CU/ARD (XLPE)</v>
      </c>
      <c r="E80" s="61">
        <f t="shared" si="14"/>
        <v>0.12</v>
      </c>
      <c r="F80" s="63">
        <f t="shared" si="15"/>
        <v>1</v>
      </c>
      <c r="G80" s="61" t="s">
        <v>279</v>
      </c>
      <c r="H80" s="64">
        <v>27000</v>
      </c>
      <c r="I80" s="68">
        <v>40</v>
      </c>
      <c r="J80" s="61">
        <f t="shared" si="16"/>
        <v>40</v>
      </c>
      <c r="K80" s="61">
        <f t="shared" si="17"/>
        <v>1</v>
      </c>
      <c r="L80" s="61">
        <f t="shared" si="18"/>
        <v>27000</v>
      </c>
      <c r="M80" s="65">
        <f t="shared" si="19"/>
        <v>225000</v>
      </c>
      <c r="N80" s="26">
        <f t="shared" si="20"/>
        <v>322.24</v>
      </c>
      <c r="P80" s="26">
        <f t="shared" si="21"/>
        <v>65</v>
      </c>
      <c r="AF80" s="26">
        <f t="shared" si="22"/>
        <v>387.24</v>
      </c>
      <c r="AH80" s="26">
        <f t="shared" si="23"/>
        <v>15489.6</v>
      </c>
    </row>
    <row r="81" spans="1:34" x14ac:dyDescent="0.25">
      <c r="C81" s="70" t="str">
        <f t="shared" ref="C81:D81" si="51">C48</f>
        <v>FA0900171</v>
      </c>
      <c r="D81" s="70" t="str">
        <f t="shared" si="51"/>
        <v>2 CORE X 16 SQ. MM. CU/ARD - WIRE (XLPE)</v>
      </c>
      <c r="E81" s="61">
        <f t="shared" si="14"/>
        <v>2.12</v>
      </c>
      <c r="F81" s="63">
        <f t="shared" si="15"/>
        <v>1</v>
      </c>
      <c r="G81" s="61" t="s">
        <v>279</v>
      </c>
      <c r="H81" s="64">
        <v>27000</v>
      </c>
      <c r="I81" s="68">
        <v>14</v>
      </c>
      <c r="J81" s="61">
        <f t="shared" si="16"/>
        <v>14</v>
      </c>
      <c r="K81" s="61">
        <f t="shared" si="17"/>
        <v>1</v>
      </c>
      <c r="L81" s="61">
        <f t="shared" si="18"/>
        <v>27000</v>
      </c>
      <c r="M81" s="65">
        <f t="shared" si="19"/>
        <v>12735.849056603773</v>
      </c>
      <c r="N81" s="26">
        <f t="shared" si="20"/>
        <v>1023.48</v>
      </c>
      <c r="P81" s="26">
        <f t="shared" si="21"/>
        <v>75</v>
      </c>
      <c r="AF81" s="26">
        <f t="shared" si="22"/>
        <v>1098.48</v>
      </c>
      <c r="AH81" s="26">
        <f t="shared" si="23"/>
        <v>15378.720000000001</v>
      </c>
    </row>
    <row r="82" spans="1:34" x14ac:dyDescent="0.25">
      <c r="C82" s="70" t="str">
        <f t="shared" ref="C82:D82" si="52">C49</f>
        <v>FA0900229</v>
      </c>
      <c r="D82" s="70" t="str">
        <f t="shared" si="52"/>
        <v>2 CORE X 50 SQ. MM. CU/ARD - WIRE (XLPE)</v>
      </c>
      <c r="E82" s="61">
        <f t="shared" si="14"/>
        <v>3.65</v>
      </c>
      <c r="F82" s="63">
        <f t="shared" si="15"/>
        <v>1</v>
      </c>
      <c r="G82" s="61" t="s">
        <v>279</v>
      </c>
      <c r="H82" s="64">
        <v>27000</v>
      </c>
      <c r="I82" s="68">
        <v>6</v>
      </c>
      <c r="J82" s="61">
        <f t="shared" si="16"/>
        <v>6</v>
      </c>
      <c r="K82" s="61">
        <f t="shared" si="17"/>
        <v>1</v>
      </c>
      <c r="L82" s="61">
        <f t="shared" si="18"/>
        <v>27000</v>
      </c>
      <c r="M82" s="65">
        <f t="shared" si="19"/>
        <v>7397.2602739726026</v>
      </c>
      <c r="N82" s="26">
        <f t="shared" si="20"/>
        <v>2240</v>
      </c>
      <c r="P82" s="26">
        <f t="shared" si="21"/>
        <v>180</v>
      </c>
      <c r="AF82" s="26">
        <f t="shared" si="22"/>
        <v>2420</v>
      </c>
      <c r="AH82" s="26">
        <f t="shared" si="23"/>
        <v>14520</v>
      </c>
    </row>
    <row r="85" spans="1:34" ht="51" x14ac:dyDescent="0.25">
      <c r="A85" s="18" t="s">
        <v>0</v>
      </c>
      <c r="B85" s="18" t="s">
        <v>133</v>
      </c>
      <c r="C85" s="18" t="s">
        <v>1</v>
      </c>
      <c r="D85" s="18" t="s">
        <v>2</v>
      </c>
      <c r="E85" s="5" t="s">
        <v>296</v>
      </c>
      <c r="F85" s="13" t="s">
        <v>71</v>
      </c>
      <c r="G85" s="13" t="s">
        <v>72</v>
      </c>
      <c r="H85" s="6" t="s">
        <v>73</v>
      </c>
      <c r="I85" s="13" t="s">
        <v>74</v>
      </c>
      <c r="J85" s="13" t="s">
        <v>75</v>
      </c>
      <c r="K85" s="13" t="s">
        <v>76</v>
      </c>
      <c r="L85" s="13" t="s">
        <v>77</v>
      </c>
      <c r="M85" s="13" t="s">
        <v>78</v>
      </c>
    </row>
    <row r="86" spans="1:34" x14ac:dyDescent="0.25">
      <c r="A86" s="27"/>
      <c r="B86" s="27"/>
      <c r="C86" s="27"/>
      <c r="D86" s="27"/>
      <c r="E86" s="5"/>
      <c r="F86" s="5"/>
      <c r="G86" s="5"/>
      <c r="H86" s="5"/>
      <c r="I86" s="5"/>
      <c r="J86" s="5"/>
      <c r="K86" s="5"/>
      <c r="L86" s="5"/>
      <c r="M86" s="5"/>
    </row>
    <row r="87" spans="1:34" x14ac:dyDescent="0.25">
      <c r="A87" s="1" t="str">
        <f>A19</f>
        <v>ENQ-12232-22-23</v>
      </c>
      <c r="B87" s="47">
        <f>B19</f>
        <v>45380</v>
      </c>
      <c r="C87" s="1" t="str">
        <f>C19</f>
        <v>FA0600013</v>
      </c>
      <c r="D87" s="1" t="str">
        <f>D19</f>
        <v>1 CORE X 95 SQ. MM. AL/UNARD(XLPE )</v>
      </c>
      <c r="E87" s="3">
        <f>ROUNDUP(E19/1000,2)</f>
        <v>97.43</v>
      </c>
      <c r="F87" s="66">
        <f>ROUNDUP(F19/1000,2)</f>
        <v>0.99</v>
      </c>
      <c r="G87" s="9">
        <f t="shared" ref="G87:G117" si="53">E87+F87</f>
        <v>98.42</v>
      </c>
      <c r="H87" s="7">
        <f>H19</f>
        <v>0.18</v>
      </c>
      <c r="I87" s="9">
        <f t="shared" ref="I87:I117" si="54">G87*H87</f>
        <v>17.715599999999998</v>
      </c>
      <c r="J87" s="9">
        <f t="shared" ref="J87:J117" si="55">G87+I87</f>
        <v>116.1356</v>
      </c>
      <c r="K87" s="1">
        <f>K19*1000</f>
        <v>82208</v>
      </c>
      <c r="L87" s="1" t="s">
        <v>297</v>
      </c>
      <c r="M87" s="3">
        <f t="shared" ref="M87:M117" si="56">J87*K87</f>
        <v>9547275.4047999997</v>
      </c>
    </row>
    <row r="88" spans="1:34" x14ac:dyDescent="0.25">
      <c r="A88" s="1" t="str">
        <f t="shared" ref="A88:D88" si="57">A20</f>
        <v>ENQ-12232-22-23</v>
      </c>
      <c r="B88" s="47">
        <f t="shared" si="57"/>
        <v>45380</v>
      </c>
      <c r="C88" s="1" t="str">
        <f t="shared" si="57"/>
        <v>FA0600019</v>
      </c>
      <c r="D88" s="1" t="str">
        <f t="shared" si="57"/>
        <v>1 CORE X 150 SQ. MM. AL/UNARD. (XLPE)</v>
      </c>
      <c r="E88" s="3">
        <f t="shared" ref="E88:F117" si="58">ROUNDUP(E20/1000,2)</f>
        <v>155.62</v>
      </c>
      <c r="F88" s="66">
        <f t="shared" si="58"/>
        <v>1.7</v>
      </c>
      <c r="G88" s="9">
        <f t="shared" si="53"/>
        <v>157.32</v>
      </c>
      <c r="H88" s="7">
        <f t="shared" ref="H88:H117" si="59">H20</f>
        <v>0.18</v>
      </c>
      <c r="I88" s="9">
        <f t="shared" si="54"/>
        <v>28.317599999999999</v>
      </c>
      <c r="J88" s="9">
        <f t="shared" si="55"/>
        <v>185.63759999999999</v>
      </c>
      <c r="K88" s="1">
        <f t="shared" ref="K88:K117" si="60">K20*1000</f>
        <v>47838</v>
      </c>
      <c r="L88" s="1" t="s">
        <v>297</v>
      </c>
      <c r="M88" s="3">
        <f t="shared" si="56"/>
        <v>8880531.5088</v>
      </c>
    </row>
    <row r="89" spans="1:34" x14ac:dyDescent="0.25">
      <c r="A89" s="1" t="str">
        <f t="shared" ref="A89:D89" si="61">A21</f>
        <v>ENQ-12232-22-23</v>
      </c>
      <c r="B89" s="47">
        <f t="shared" si="61"/>
        <v>45380</v>
      </c>
      <c r="C89" s="1" t="str">
        <f t="shared" si="61"/>
        <v>FA0600021</v>
      </c>
      <c r="D89" s="1" t="str">
        <f t="shared" si="61"/>
        <v>1 CORE X 185 SQ. MM. AL/UNARD. (XLPE)</v>
      </c>
      <c r="E89" s="3">
        <f t="shared" si="58"/>
        <v>190.42</v>
      </c>
      <c r="F89" s="66">
        <f t="shared" si="58"/>
        <v>2.7</v>
      </c>
      <c r="G89" s="9">
        <f t="shared" si="53"/>
        <v>193.11999999999998</v>
      </c>
      <c r="H89" s="7">
        <f t="shared" si="59"/>
        <v>0.18</v>
      </c>
      <c r="I89" s="9">
        <f t="shared" si="54"/>
        <v>34.761599999999994</v>
      </c>
      <c r="J89" s="9">
        <f t="shared" si="55"/>
        <v>227.88159999999996</v>
      </c>
      <c r="K89" s="1">
        <f t="shared" si="60"/>
        <v>20000</v>
      </c>
      <c r="L89" s="1" t="s">
        <v>297</v>
      </c>
      <c r="M89" s="3">
        <f t="shared" si="56"/>
        <v>4557631.9999999991</v>
      </c>
    </row>
    <row r="90" spans="1:34" x14ac:dyDescent="0.25">
      <c r="A90" s="1" t="str">
        <f t="shared" ref="A90:D90" si="62">A22</f>
        <v>ENQ-12232-22-23</v>
      </c>
      <c r="B90" s="47">
        <f t="shared" si="62"/>
        <v>45380</v>
      </c>
      <c r="C90" s="1" t="str">
        <f t="shared" si="62"/>
        <v>FA0600020</v>
      </c>
      <c r="D90" s="1" t="str">
        <f t="shared" si="62"/>
        <v>1 CORE X 300 SQ. MM. AL/UNARD. (XLPE)</v>
      </c>
      <c r="E90" s="3">
        <f t="shared" si="58"/>
        <v>290.64999999999998</v>
      </c>
      <c r="F90" s="66">
        <f t="shared" si="58"/>
        <v>2.9899999999999998</v>
      </c>
      <c r="G90" s="9">
        <f t="shared" si="53"/>
        <v>293.64</v>
      </c>
      <c r="H90" s="7">
        <f t="shared" si="59"/>
        <v>0.18</v>
      </c>
      <c r="I90" s="9">
        <f t="shared" si="54"/>
        <v>52.855199999999996</v>
      </c>
      <c r="J90" s="9">
        <f t="shared" si="55"/>
        <v>346.49519999999995</v>
      </c>
      <c r="K90" s="1">
        <f t="shared" si="60"/>
        <v>63368</v>
      </c>
      <c r="L90" s="1" t="s">
        <v>297</v>
      </c>
      <c r="M90" s="3">
        <f t="shared" si="56"/>
        <v>21956707.833599996</v>
      </c>
    </row>
    <row r="91" spans="1:34" x14ac:dyDescent="0.25">
      <c r="A91" s="1" t="str">
        <f t="shared" ref="A91:D91" si="63">A23</f>
        <v>ENQ-12232-22-23</v>
      </c>
      <c r="B91" s="47">
        <f t="shared" si="63"/>
        <v>45380</v>
      </c>
      <c r="C91" s="1" t="str">
        <f t="shared" si="63"/>
        <v>FA0600032</v>
      </c>
      <c r="D91" s="1" t="str">
        <f t="shared" si="63"/>
        <v>1 CORE X 630 SQ. MM. ALU/UNARD (XLPE)</v>
      </c>
      <c r="E91" s="3">
        <f t="shared" si="58"/>
        <v>590.4</v>
      </c>
      <c r="F91" s="66">
        <f t="shared" si="58"/>
        <v>5.62</v>
      </c>
      <c r="G91" s="9">
        <f t="shared" si="53"/>
        <v>596.02</v>
      </c>
      <c r="H91" s="7">
        <f t="shared" si="59"/>
        <v>0.18</v>
      </c>
      <c r="I91" s="9">
        <f t="shared" si="54"/>
        <v>107.28359999999999</v>
      </c>
      <c r="J91" s="9">
        <f t="shared" si="55"/>
        <v>703.30359999999996</v>
      </c>
      <c r="K91" s="1">
        <f t="shared" si="60"/>
        <v>81688</v>
      </c>
      <c r="L91" s="1" t="s">
        <v>297</v>
      </c>
      <c r="M91" s="3">
        <f t="shared" si="56"/>
        <v>57451464.476799995</v>
      </c>
    </row>
    <row r="92" spans="1:34" hidden="1" x14ac:dyDescent="0.25">
      <c r="A92" s="1" t="str">
        <f t="shared" ref="A92:D92" si="64">A24</f>
        <v>ENQ-12232-22-23</v>
      </c>
      <c r="B92" s="47">
        <f t="shared" si="64"/>
        <v>45380</v>
      </c>
      <c r="C92" s="1" t="str">
        <f t="shared" si="64"/>
        <v>FA1200026</v>
      </c>
      <c r="D92" s="1" t="str">
        <f t="shared" si="64"/>
        <v>4 CORE X 150 SQ. MM. AL/UNARD (XLPE)</v>
      </c>
      <c r="E92" s="3">
        <f t="shared" si="58"/>
        <v>605.34</v>
      </c>
      <c r="F92" s="66"/>
      <c r="G92" s="9">
        <f t="shared" si="53"/>
        <v>605.34</v>
      </c>
      <c r="H92" s="7">
        <f t="shared" si="59"/>
        <v>0.18</v>
      </c>
      <c r="I92" s="9">
        <f t="shared" si="54"/>
        <v>108.96120000000001</v>
      </c>
      <c r="J92" s="9">
        <f t="shared" si="55"/>
        <v>714.30119999999999</v>
      </c>
      <c r="K92" s="1">
        <f t="shared" si="60"/>
        <v>0</v>
      </c>
      <c r="L92" s="1" t="s">
        <v>297</v>
      </c>
      <c r="M92" s="3">
        <f t="shared" si="56"/>
        <v>0</v>
      </c>
    </row>
    <row r="93" spans="1:34" x14ac:dyDescent="0.25">
      <c r="A93" s="1" t="str">
        <f t="shared" ref="A93:D93" si="65">A25</f>
        <v>ENQ-12232-22-23</v>
      </c>
      <c r="B93" s="47">
        <f t="shared" si="65"/>
        <v>45380</v>
      </c>
      <c r="C93" s="1" t="str">
        <f t="shared" si="65"/>
        <v>FA0900111</v>
      </c>
      <c r="D93" s="1" t="str">
        <f t="shared" si="65"/>
        <v>4 CORE X 25 SQ. MM. ALU/ARD - WIRE (XLPE)</v>
      </c>
      <c r="E93" s="3">
        <f t="shared" si="58"/>
        <v>190.25</v>
      </c>
      <c r="F93" s="66">
        <f t="shared" si="58"/>
        <v>2.4699999999999998</v>
      </c>
      <c r="G93" s="9">
        <f t="shared" si="53"/>
        <v>192.72</v>
      </c>
      <c r="H93" s="7">
        <f t="shared" si="59"/>
        <v>0.18</v>
      </c>
      <c r="I93" s="9">
        <f t="shared" si="54"/>
        <v>34.689599999999999</v>
      </c>
      <c r="J93" s="9">
        <f t="shared" si="55"/>
        <v>227.40960000000001</v>
      </c>
      <c r="K93" s="1">
        <f t="shared" si="60"/>
        <v>241116</v>
      </c>
      <c r="L93" s="1" t="s">
        <v>297</v>
      </c>
      <c r="M93" s="3">
        <f t="shared" si="56"/>
        <v>54832093.113600001</v>
      </c>
    </row>
    <row r="94" spans="1:34" x14ac:dyDescent="0.25">
      <c r="A94" s="1" t="str">
        <f t="shared" ref="A94:D94" si="66">A26</f>
        <v>ENQ-12232-22-23</v>
      </c>
      <c r="B94" s="47">
        <f t="shared" si="66"/>
        <v>45380</v>
      </c>
      <c r="C94" s="1" t="str">
        <f t="shared" si="66"/>
        <v>FA0900116</v>
      </c>
      <c r="D94" s="1" t="str">
        <f t="shared" si="66"/>
        <v>4 CORE X 50 SQ. MM. AL/ARD - WIRE (XLPE)</v>
      </c>
      <c r="E94" s="3">
        <f t="shared" si="58"/>
        <v>323.44</v>
      </c>
      <c r="F94" s="66">
        <f t="shared" si="58"/>
        <v>3.9099999999999997</v>
      </c>
      <c r="G94" s="9">
        <f t="shared" si="53"/>
        <v>327.35000000000002</v>
      </c>
      <c r="H94" s="7">
        <f t="shared" si="59"/>
        <v>0.18</v>
      </c>
      <c r="I94" s="9">
        <f t="shared" si="54"/>
        <v>58.923000000000002</v>
      </c>
      <c r="J94" s="9">
        <f t="shared" si="55"/>
        <v>386.27300000000002</v>
      </c>
      <c r="K94" s="1">
        <f t="shared" si="60"/>
        <v>27670</v>
      </c>
      <c r="L94" s="1" t="s">
        <v>297</v>
      </c>
      <c r="M94" s="3">
        <f t="shared" si="56"/>
        <v>10688173.91</v>
      </c>
    </row>
    <row r="95" spans="1:34" x14ac:dyDescent="0.25">
      <c r="A95" s="1" t="str">
        <f t="shared" ref="A95:D95" si="67">A27</f>
        <v>ENQ-12232-22-23</v>
      </c>
      <c r="B95" s="47">
        <f t="shared" si="67"/>
        <v>45380</v>
      </c>
      <c r="C95" s="1" t="str">
        <f t="shared" si="67"/>
        <v>FA1100094</v>
      </c>
      <c r="D95" s="1" t="str">
        <f t="shared" si="67"/>
        <v>4 CORE X 95 SQ. MM. ALU/ARD - WIRE (XLPE)</v>
      </c>
      <c r="E95" s="3">
        <f t="shared" si="58"/>
        <v>523.87</v>
      </c>
      <c r="F95" s="66">
        <f t="shared" si="58"/>
        <v>6.13</v>
      </c>
      <c r="G95" s="9">
        <f t="shared" si="53"/>
        <v>530</v>
      </c>
      <c r="H95" s="7">
        <f t="shared" si="59"/>
        <v>0.18</v>
      </c>
      <c r="I95" s="9">
        <f t="shared" si="54"/>
        <v>95.399999999999991</v>
      </c>
      <c r="J95" s="9">
        <f t="shared" si="55"/>
        <v>625.4</v>
      </c>
      <c r="K95" s="1">
        <f t="shared" si="60"/>
        <v>149770</v>
      </c>
      <c r="L95" s="1" t="s">
        <v>297</v>
      </c>
      <c r="M95" s="3">
        <f t="shared" si="56"/>
        <v>93666158</v>
      </c>
    </row>
    <row r="96" spans="1:34" x14ac:dyDescent="0.25">
      <c r="A96" s="1" t="str">
        <f t="shared" ref="A96:D96" si="68">A28</f>
        <v>ENQ-12232-22-23</v>
      </c>
      <c r="B96" s="47">
        <f t="shared" si="68"/>
        <v>45380</v>
      </c>
      <c r="C96" s="1" t="str">
        <f t="shared" si="68"/>
        <v>FA1100177</v>
      </c>
      <c r="D96" s="1" t="str">
        <f t="shared" si="68"/>
        <v>4 CORE X 150 SQ. MM. AL/ARD - WIRE (XLPE)</v>
      </c>
      <c r="E96" s="3">
        <f t="shared" si="58"/>
        <v>852.05</v>
      </c>
      <c r="F96" s="66">
        <f t="shared" si="58"/>
        <v>11.45</v>
      </c>
      <c r="G96" s="9">
        <f t="shared" si="53"/>
        <v>863.5</v>
      </c>
      <c r="H96" s="7">
        <f t="shared" si="59"/>
        <v>0.18</v>
      </c>
      <c r="I96" s="9">
        <f t="shared" si="54"/>
        <v>155.43</v>
      </c>
      <c r="J96" s="9">
        <f t="shared" si="55"/>
        <v>1018.9300000000001</v>
      </c>
      <c r="K96" s="1">
        <f t="shared" si="60"/>
        <v>23595</v>
      </c>
      <c r="L96" s="1" t="s">
        <v>297</v>
      </c>
      <c r="M96" s="3">
        <f t="shared" si="56"/>
        <v>24041653.350000001</v>
      </c>
    </row>
    <row r="97" spans="1:13" x14ac:dyDescent="0.25">
      <c r="A97" s="1" t="str">
        <f t="shared" ref="A97:D97" si="69">A29</f>
        <v>ENQ-12232-22-23</v>
      </c>
      <c r="B97" s="47">
        <f t="shared" si="69"/>
        <v>45380</v>
      </c>
      <c r="C97" s="1" t="str">
        <f t="shared" si="69"/>
        <v>FA1100091</v>
      </c>
      <c r="D97" s="1" t="str">
        <f t="shared" si="69"/>
        <v>4 CORE X 240 SQ. MM. AL/ARD - WIRE (XLPE)</v>
      </c>
      <c r="E97" s="3">
        <f t="shared" si="58"/>
        <v>1240.73</v>
      </c>
      <c r="F97" s="66">
        <f t="shared" si="58"/>
        <v>27</v>
      </c>
      <c r="G97" s="9">
        <f t="shared" si="53"/>
        <v>1267.73</v>
      </c>
      <c r="H97" s="7">
        <f t="shared" si="59"/>
        <v>0.18</v>
      </c>
      <c r="I97" s="9">
        <f t="shared" si="54"/>
        <v>228.19139999999999</v>
      </c>
      <c r="J97" s="9">
        <f t="shared" si="55"/>
        <v>1495.9213999999999</v>
      </c>
      <c r="K97" s="1">
        <f t="shared" si="60"/>
        <v>1000</v>
      </c>
      <c r="L97" s="1" t="s">
        <v>297</v>
      </c>
      <c r="M97" s="3">
        <f t="shared" si="56"/>
        <v>1495921.4</v>
      </c>
    </row>
    <row r="98" spans="1:13" x14ac:dyDescent="0.25">
      <c r="A98" s="1" t="str">
        <f t="shared" ref="A98:D98" si="70">A30</f>
        <v>ENQ-12232-22-23</v>
      </c>
      <c r="B98" s="47">
        <f t="shared" si="70"/>
        <v>45380</v>
      </c>
      <c r="C98" s="1" t="str">
        <f t="shared" si="70"/>
        <v>FA1100176</v>
      </c>
      <c r="D98" s="1" t="str">
        <f t="shared" si="70"/>
        <v>4 CORE X 300 SQ. MM. AL/ARD - WIRE (XLPE)</v>
      </c>
      <c r="E98" s="3">
        <f t="shared" si="58"/>
        <v>1527.04</v>
      </c>
      <c r="F98" s="66">
        <f t="shared" si="58"/>
        <v>19.57</v>
      </c>
      <c r="G98" s="9">
        <f t="shared" si="53"/>
        <v>1546.61</v>
      </c>
      <c r="H98" s="7">
        <f t="shared" si="59"/>
        <v>0.18</v>
      </c>
      <c r="I98" s="9">
        <f t="shared" si="54"/>
        <v>278.38979999999998</v>
      </c>
      <c r="J98" s="9">
        <f t="shared" si="55"/>
        <v>1824.9997999999998</v>
      </c>
      <c r="K98" s="1">
        <f t="shared" si="60"/>
        <v>12420</v>
      </c>
      <c r="L98" s="1" t="s">
        <v>297</v>
      </c>
      <c r="M98" s="3">
        <f t="shared" si="56"/>
        <v>22666497.515999999</v>
      </c>
    </row>
    <row r="99" spans="1:13" x14ac:dyDescent="0.25">
      <c r="A99" s="1" t="str">
        <f t="shared" ref="A99:D99" si="71">A31</f>
        <v>ENQ-12232-22-23</v>
      </c>
      <c r="B99" s="47">
        <f t="shared" si="71"/>
        <v>45380</v>
      </c>
      <c r="C99" s="1" t="str">
        <f t="shared" si="71"/>
        <v>FA0500017</v>
      </c>
      <c r="D99" s="1" t="str">
        <f t="shared" si="71"/>
        <v>1 CORE X 50 SQ. MM. AL/UNARD. (XLPE)</v>
      </c>
      <c r="E99" s="3">
        <f t="shared" si="58"/>
        <v>58.75</v>
      </c>
      <c r="F99" s="66">
        <f t="shared" si="58"/>
        <v>4.16</v>
      </c>
      <c r="G99" s="9">
        <f t="shared" si="53"/>
        <v>62.91</v>
      </c>
      <c r="H99" s="7">
        <f t="shared" si="59"/>
        <v>0.18</v>
      </c>
      <c r="I99" s="9">
        <f t="shared" si="54"/>
        <v>11.323799999999999</v>
      </c>
      <c r="J99" s="9">
        <f t="shared" si="55"/>
        <v>74.233800000000002</v>
      </c>
      <c r="K99" s="1">
        <f t="shared" si="60"/>
        <v>6500</v>
      </c>
      <c r="L99" s="1" t="s">
        <v>297</v>
      </c>
      <c r="M99" s="3">
        <f t="shared" si="56"/>
        <v>482519.7</v>
      </c>
    </row>
    <row r="100" spans="1:13" hidden="1" x14ac:dyDescent="0.25">
      <c r="A100" s="1" t="str">
        <f t="shared" ref="A100:D100" si="72">A32</f>
        <v>ENQ-12232-22-23</v>
      </c>
      <c r="B100" s="47">
        <f t="shared" si="72"/>
        <v>45380</v>
      </c>
      <c r="C100" s="1" t="str">
        <f t="shared" si="72"/>
        <v>FA0900117</v>
      </c>
      <c r="D100" s="1" t="str">
        <f t="shared" si="72"/>
        <v>4 CORE X 35 SQ. MM. AL/ARD - WIRE (XLPE)</v>
      </c>
      <c r="E100" s="3">
        <f t="shared" si="58"/>
        <v>238.35</v>
      </c>
      <c r="F100" s="66"/>
      <c r="G100" s="9">
        <f t="shared" si="53"/>
        <v>238.35</v>
      </c>
      <c r="H100" s="7">
        <f t="shared" si="59"/>
        <v>0.18</v>
      </c>
      <c r="I100" s="9">
        <f t="shared" si="54"/>
        <v>42.902999999999999</v>
      </c>
      <c r="J100" s="9">
        <f t="shared" si="55"/>
        <v>281.25299999999999</v>
      </c>
      <c r="K100" s="1">
        <f t="shared" si="60"/>
        <v>0</v>
      </c>
      <c r="L100" s="1" t="s">
        <v>297</v>
      </c>
      <c r="M100" s="3">
        <f t="shared" si="56"/>
        <v>0</v>
      </c>
    </row>
    <row r="101" spans="1:13" x14ac:dyDescent="0.25">
      <c r="A101" s="1" t="str">
        <f t="shared" ref="A101:D101" si="73">A33</f>
        <v>ENQ-12232-22-23</v>
      </c>
      <c r="B101" s="47">
        <f t="shared" si="73"/>
        <v>45380</v>
      </c>
      <c r="C101" s="1" t="str">
        <f t="shared" si="73"/>
        <v>FA0900041</v>
      </c>
      <c r="D101" s="1" t="str">
        <f t="shared" si="73"/>
        <v>2 CORE X 4 SQ. MM. AL/ARD - WIRE (XLPE)</v>
      </c>
      <c r="E101" s="3">
        <f t="shared" si="58"/>
        <v>60.58</v>
      </c>
      <c r="F101" s="66">
        <f t="shared" si="58"/>
        <v>0.97</v>
      </c>
      <c r="G101" s="9">
        <f t="shared" si="53"/>
        <v>61.55</v>
      </c>
      <c r="H101" s="7">
        <f t="shared" si="59"/>
        <v>0.18</v>
      </c>
      <c r="I101" s="9">
        <f t="shared" si="54"/>
        <v>11.078999999999999</v>
      </c>
      <c r="J101" s="9">
        <f t="shared" si="55"/>
        <v>72.628999999999991</v>
      </c>
      <c r="K101" s="1">
        <f t="shared" si="60"/>
        <v>2956188</v>
      </c>
      <c r="L101" s="1" t="s">
        <v>297</v>
      </c>
      <c r="M101" s="3">
        <f t="shared" si="56"/>
        <v>214704978.25199997</v>
      </c>
    </row>
    <row r="102" spans="1:13" x14ac:dyDescent="0.25">
      <c r="A102" s="1" t="str">
        <f t="shared" ref="A102:D102" si="74">A34</f>
        <v>ENQ-12232-22-23</v>
      </c>
      <c r="B102" s="47">
        <f t="shared" si="74"/>
        <v>45380</v>
      </c>
      <c r="C102" s="1" t="str">
        <f t="shared" si="74"/>
        <v>FA0900020</v>
      </c>
      <c r="D102" s="1" t="str">
        <f t="shared" si="74"/>
        <v>2 CORE X 6 SQ. MM. AL/ARD - WIRE (XLPE)</v>
      </c>
      <c r="E102" s="3">
        <f t="shared" si="58"/>
        <v>70.27000000000001</v>
      </c>
      <c r="F102" s="66">
        <f t="shared" si="58"/>
        <v>1.08</v>
      </c>
      <c r="G102" s="9">
        <f t="shared" si="53"/>
        <v>71.350000000000009</v>
      </c>
      <c r="H102" s="7">
        <f t="shared" si="59"/>
        <v>0.18</v>
      </c>
      <c r="I102" s="9">
        <f t="shared" si="54"/>
        <v>12.843000000000002</v>
      </c>
      <c r="J102" s="9">
        <f t="shared" si="55"/>
        <v>84.193000000000012</v>
      </c>
      <c r="K102" s="1">
        <f t="shared" si="60"/>
        <v>630000</v>
      </c>
      <c r="L102" s="1" t="s">
        <v>297</v>
      </c>
      <c r="M102" s="3">
        <f t="shared" si="56"/>
        <v>53041590.000000007</v>
      </c>
    </row>
    <row r="103" spans="1:13" x14ac:dyDescent="0.25">
      <c r="A103" s="1" t="str">
        <f t="shared" ref="A103:D103" si="75">A35</f>
        <v>ENQ-12232-22-23</v>
      </c>
      <c r="B103" s="47">
        <f t="shared" si="75"/>
        <v>45380</v>
      </c>
      <c r="C103" s="1" t="str">
        <f t="shared" si="75"/>
        <v>FA0900042</v>
      </c>
      <c r="D103" s="1" t="str">
        <f t="shared" si="75"/>
        <v>2 CORE X 10 SQ. MM. ALU/ARD - WIRE (XLPE)</v>
      </c>
      <c r="E103" s="3">
        <f t="shared" si="58"/>
        <v>91.210000000000008</v>
      </c>
      <c r="F103" s="66">
        <f t="shared" si="58"/>
        <v>1.7</v>
      </c>
      <c r="G103" s="9">
        <f t="shared" si="53"/>
        <v>92.910000000000011</v>
      </c>
      <c r="H103" s="7">
        <f t="shared" si="59"/>
        <v>0.18</v>
      </c>
      <c r="I103" s="9">
        <f t="shared" si="54"/>
        <v>16.723800000000001</v>
      </c>
      <c r="J103" s="9">
        <f t="shared" si="55"/>
        <v>109.63380000000001</v>
      </c>
      <c r="K103" s="1">
        <f t="shared" si="60"/>
        <v>63713</v>
      </c>
      <c r="L103" s="1" t="s">
        <v>297</v>
      </c>
      <c r="M103" s="3">
        <f t="shared" si="56"/>
        <v>6985098.2994000008</v>
      </c>
    </row>
    <row r="104" spans="1:13" x14ac:dyDescent="0.25">
      <c r="A104" s="1" t="str">
        <f t="shared" ref="A104:D104" si="76">A36</f>
        <v>ENQ-12232-22-23</v>
      </c>
      <c r="B104" s="47">
        <f t="shared" si="76"/>
        <v>45380</v>
      </c>
      <c r="C104" s="1" t="str">
        <f t="shared" si="76"/>
        <v>FA0900112</v>
      </c>
      <c r="D104" s="1" t="str">
        <f t="shared" si="76"/>
        <v>4 CORE X 10 SQ. MM. AL/ARD - WIRE (XLPE)</v>
      </c>
      <c r="E104" s="3">
        <f t="shared" si="58"/>
        <v>107.88000000000001</v>
      </c>
      <c r="F104" s="66">
        <f t="shared" si="58"/>
        <v>1.6</v>
      </c>
      <c r="G104" s="9">
        <f t="shared" si="53"/>
        <v>109.48</v>
      </c>
      <c r="H104" s="7">
        <f t="shared" si="59"/>
        <v>0.18</v>
      </c>
      <c r="I104" s="9">
        <f t="shared" si="54"/>
        <v>19.706399999999999</v>
      </c>
      <c r="J104" s="9">
        <f t="shared" si="55"/>
        <v>129.18639999999999</v>
      </c>
      <c r="K104" s="1">
        <f t="shared" si="60"/>
        <v>152526</v>
      </c>
      <c r="L104" s="1" t="s">
        <v>297</v>
      </c>
      <c r="M104" s="3">
        <f t="shared" si="56"/>
        <v>19704284.8464</v>
      </c>
    </row>
    <row r="105" spans="1:13" hidden="1" x14ac:dyDescent="0.25">
      <c r="A105" s="1" t="str">
        <f t="shared" ref="A105:D105" si="77">A37</f>
        <v>ENQ-12232-22-23</v>
      </c>
      <c r="B105" s="47">
        <f t="shared" si="77"/>
        <v>45380</v>
      </c>
      <c r="C105" s="1" t="str">
        <f t="shared" si="77"/>
        <v>FA0300011</v>
      </c>
      <c r="D105" s="1" t="str">
        <f t="shared" si="77"/>
        <v>10 CORE X 2.5 SQ. MM. CU/UNARD. (PVC)</v>
      </c>
      <c r="E105" s="3">
        <f t="shared" si="58"/>
        <v>258.27</v>
      </c>
      <c r="F105" s="66"/>
      <c r="G105" s="9">
        <f t="shared" si="53"/>
        <v>258.27</v>
      </c>
      <c r="H105" s="7">
        <f t="shared" si="59"/>
        <v>0.18</v>
      </c>
      <c r="I105" s="9">
        <f t="shared" si="54"/>
        <v>46.488599999999998</v>
      </c>
      <c r="J105" s="9">
        <f t="shared" si="55"/>
        <v>304.7586</v>
      </c>
      <c r="K105" s="1">
        <f t="shared" si="60"/>
        <v>0</v>
      </c>
      <c r="L105" s="1" t="s">
        <v>297</v>
      </c>
      <c r="M105" s="3">
        <f t="shared" si="56"/>
        <v>0</v>
      </c>
    </row>
    <row r="106" spans="1:13" x14ac:dyDescent="0.25">
      <c r="A106" s="1" t="str">
        <f t="shared" ref="A106:D106" si="78">A38</f>
        <v>ENQ-12232-22-23</v>
      </c>
      <c r="B106" s="47">
        <f t="shared" si="78"/>
        <v>45380</v>
      </c>
      <c r="C106" s="1" t="str">
        <f t="shared" si="78"/>
        <v>FA0200005</v>
      </c>
      <c r="D106" s="1" t="str">
        <f t="shared" si="78"/>
        <v>16 CORE X 2.5 SQ. MM. CU/ARD - WIRE (PVC)</v>
      </c>
      <c r="E106" s="3">
        <f t="shared" si="58"/>
        <v>460.3</v>
      </c>
      <c r="F106" s="66">
        <f t="shared" si="58"/>
        <v>3.11</v>
      </c>
      <c r="G106" s="9">
        <f t="shared" si="53"/>
        <v>463.41</v>
      </c>
      <c r="H106" s="7">
        <f t="shared" si="59"/>
        <v>0.18</v>
      </c>
      <c r="I106" s="9">
        <f t="shared" si="54"/>
        <v>83.413799999999995</v>
      </c>
      <c r="J106" s="9">
        <f t="shared" si="55"/>
        <v>546.82380000000001</v>
      </c>
      <c r="K106" s="1">
        <f t="shared" si="60"/>
        <v>43500</v>
      </c>
      <c r="L106" s="1" t="s">
        <v>297</v>
      </c>
      <c r="M106" s="3">
        <f t="shared" si="56"/>
        <v>23786835.300000001</v>
      </c>
    </row>
    <row r="107" spans="1:13" hidden="1" x14ac:dyDescent="0.25">
      <c r="A107" s="1" t="str">
        <f t="shared" ref="A107:D107" si="79">A39</f>
        <v>ENQ-12232-22-23</v>
      </c>
      <c r="B107" s="47">
        <f t="shared" si="79"/>
        <v>45380</v>
      </c>
      <c r="C107" s="1" t="str">
        <f t="shared" si="79"/>
        <v>FA0300006</v>
      </c>
      <c r="D107" s="1" t="str">
        <f t="shared" si="79"/>
        <v>4 CORE X 2.5 SQ. MM. CU/UNARD.(PVC)</v>
      </c>
      <c r="E107" s="3">
        <f t="shared" si="58"/>
        <v>112.19000000000001</v>
      </c>
      <c r="F107" s="66"/>
      <c r="G107" s="9">
        <f t="shared" si="53"/>
        <v>112.19000000000001</v>
      </c>
      <c r="H107" s="7">
        <f t="shared" si="59"/>
        <v>0.18</v>
      </c>
      <c r="I107" s="9">
        <f t="shared" si="54"/>
        <v>20.194200000000002</v>
      </c>
      <c r="J107" s="9">
        <f t="shared" si="55"/>
        <v>132.38420000000002</v>
      </c>
      <c r="K107" s="1">
        <f t="shared" si="60"/>
        <v>0</v>
      </c>
      <c r="L107" s="1" t="s">
        <v>297</v>
      </c>
      <c r="M107" s="3">
        <f t="shared" si="56"/>
        <v>0</v>
      </c>
    </row>
    <row r="108" spans="1:13" x14ac:dyDescent="0.25">
      <c r="A108" s="1" t="str">
        <f t="shared" ref="A108:D108" si="80">A40</f>
        <v>ENQ-12232-22-23</v>
      </c>
      <c r="B108" s="47">
        <f t="shared" si="80"/>
        <v>45380</v>
      </c>
      <c r="C108" s="1" t="str">
        <f t="shared" si="80"/>
        <v>FA0200011</v>
      </c>
      <c r="D108" s="1" t="str">
        <f t="shared" si="80"/>
        <v>4 CORE X 2.5 SQ. MM. CU/ARD - WIRE (PVC)</v>
      </c>
      <c r="E108" s="3">
        <f t="shared" si="58"/>
        <v>141.13999999999999</v>
      </c>
      <c r="F108" s="66">
        <f t="shared" si="58"/>
        <v>1.64</v>
      </c>
      <c r="G108" s="9">
        <f t="shared" si="53"/>
        <v>142.77999999999997</v>
      </c>
      <c r="H108" s="7">
        <f t="shared" si="59"/>
        <v>0.18</v>
      </c>
      <c r="I108" s="9">
        <f t="shared" si="54"/>
        <v>25.700399999999995</v>
      </c>
      <c r="J108" s="9">
        <f t="shared" si="55"/>
        <v>168.48039999999997</v>
      </c>
      <c r="K108" s="1">
        <f t="shared" si="60"/>
        <v>165088.00000000003</v>
      </c>
      <c r="L108" s="1" t="s">
        <v>297</v>
      </c>
      <c r="M108" s="3">
        <f t="shared" si="56"/>
        <v>27814092.275200002</v>
      </c>
    </row>
    <row r="109" spans="1:13" x14ac:dyDescent="0.25">
      <c r="A109" s="1" t="str">
        <f t="shared" ref="A109:D109" si="81">A41</f>
        <v>ENQ-12232-22-23</v>
      </c>
      <c r="B109" s="47">
        <f t="shared" si="81"/>
        <v>45380</v>
      </c>
      <c r="C109" s="1" t="str">
        <f t="shared" si="81"/>
        <v>FA0200018</v>
      </c>
      <c r="D109" s="1" t="str">
        <f t="shared" si="81"/>
        <v>7 CORE X 2.5 SQ. MM. CU/ARD - WIRE (PVC)</v>
      </c>
      <c r="E109" s="3">
        <f t="shared" si="58"/>
        <v>218.32</v>
      </c>
      <c r="F109" s="66">
        <f t="shared" si="58"/>
        <v>1.84</v>
      </c>
      <c r="G109" s="9">
        <f t="shared" si="53"/>
        <v>220.16</v>
      </c>
      <c r="H109" s="7">
        <f t="shared" si="59"/>
        <v>0.18</v>
      </c>
      <c r="I109" s="9">
        <f t="shared" si="54"/>
        <v>39.628799999999998</v>
      </c>
      <c r="J109" s="9">
        <f t="shared" si="55"/>
        <v>259.78879999999998</v>
      </c>
      <c r="K109" s="1">
        <f t="shared" si="60"/>
        <v>73755.000000000015</v>
      </c>
      <c r="L109" s="1" t="s">
        <v>297</v>
      </c>
      <c r="M109" s="3">
        <f t="shared" si="56"/>
        <v>19160722.944000002</v>
      </c>
    </row>
    <row r="110" spans="1:13" x14ac:dyDescent="0.25">
      <c r="A110" s="1" t="str">
        <f t="shared" ref="A110:D110" si="82">A42</f>
        <v>ENQ-12232-22-23</v>
      </c>
      <c r="B110" s="47">
        <f t="shared" si="82"/>
        <v>45380</v>
      </c>
      <c r="C110" s="1" t="str">
        <f t="shared" si="82"/>
        <v>FA0200002</v>
      </c>
      <c r="D110" s="1" t="str">
        <f t="shared" si="82"/>
        <v>10 CORE X 2.5 SQ. MM. CU/ARD - WIRE (PVC)</v>
      </c>
      <c r="E110" s="3">
        <f t="shared" si="58"/>
        <v>310.33999999999997</v>
      </c>
      <c r="F110" s="66">
        <f t="shared" si="58"/>
        <v>2.19</v>
      </c>
      <c r="G110" s="9">
        <f t="shared" si="53"/>
        <v>312.52999999999997</v>
      </c>
      <c r="H110" s="7">
        <f t="shared" si="59"/>
        <v>0.18</v>
      </c>
      <c r="I110" s="9">
        <f t="shared" si="54"/>
        <v>56.255399999999995</v>
      </c>
      <c r="J110" s="9">
        <f t="shared" si="55"/>
        <v>368.78539999999998</v>
      </c>
      <c r="K110" s="1">
        <f t="shared" si="60"/>
        <v>98806</v>
      </c>
      <c r="L110" s="1" t="s">
        <v>297</v>
      </c>
      <c r="M110" s="3">
        <f t="shared" si="56"/>
        <v>36438210.2324</v>
      </c>
    </row>
    <row r="111" spans="1:13" x14ac:dyDescent="0.25">
      <c r="A111" s="1" t="str">
        <f t="shared" ref="A111:D111" si="83">A43</f>
        <v>ENQ-12232-22-23</v>
      </c>
      <c r="B111" s="47">
        <f t="shared" si="83"/>
        <v>45380</v>
      </c>
      <c r="C111" s="1" t="str">
        <f t="shared" si="83"/>
        <v>FA0200003</v>
      </c>
      <c r="D111" s="1" t="str">
        <f t="shared" si="83"/>
        <v>12 CORE X 2.5 SQ. MM. CU/ARD - WIRE (PVC)</v>
      </c>
      <c r="E111" s="3">
        <f t="shared" si="58"/>
        <v>358.59999999999997</v>
      </c>
      <c r="F111" s="66">
        <f t="shared" si="58"/>
        <v>2.59</v>
      </c>
      <c r="G111" s="9">
        <f t="shared" si="53"/>
        <v>361.18999999999994</v>
      </c>
      <c r="H111" s="7">
        <f t="shared" si="59"/>
        <v>0.18</v>
      </c>
      <c r="I111" s="9">
        <f t="shared" si="54"/>
        <v>65.014199999999988</v>
      </c>
      <c r="J111" s="9">
        <f t="shared" si="55"/>
        <v>426.2041999999999</v>
      </c>
      <c r="K111" s="1">
        <f t="shared" si="60"/>
        <v>62667</v>
      </c>
      <c r="L111" s="1" t="s">
        <v>297</v>
      </c>
      <c r="M111" s="3">
        <f t="shared" si="56"/>
        <v>26708938.601399995</v>
      </c>
    </row>
    <row r="112" spans="1:13" x14ac:dyDescent="0.25">
      <c r="A112" s="1" t="str">
        <f t="shared" ref="A112:D112" si="84">A44</f>
        <v>ENQ-12232-22-23</v>
      </c>
      <c r="B112" s="47">
        <f t="shared" si="84"/>
        <v>45380</v>
      </c>
      <c r="C112" s="1" t="str">
        <f t="shared" si="84"/>
        <v>FA0900024</v>
      </c>
      <c r="D112" s="1" t="str">
        <f t="shared" si="84"/>
        <v>4 CORE X 4 SQ. MM. CU/ARD - WIRE (PVC)</v>
      </c>
      <c r="E112" s="3">
        <f t="shared" si="58"/>
        <v>205.51</v>
      </c>
      <c r="F112" s="66">
        <f t="shared" si="58"/>
        <v>1.5</v>
      </c>
      <c r="G112" s="9">
        <f t="shared" si="53"/>
        <v>207.01</v>
      </c>
      <c r="H112" s="7">
        <f t="shared" si="59"/>
        <v>0.18</v>
      </c>
      <c r="I112" s="9">
        <f t="shared" si="54"/>
        <v>37.261799999999994</v>
      </c>
      <c r="J112" s="9">
        <f t="shared" si="55"/>
        <v>244.27179999999998</v>
      </c>
      <c r="K112" s="1">
        <f t="shared" si="60"/>
        <v>18000</v>
      </c>
      <c r="L112" s="1" t="s">
        <v>297</v>
      </c>
      <c r="M112" s="3">
        <f t="shared" si="56"/>
        <v>4396892.3999999994</v>
      </c>
    </row>
    <row r="113" spans="1:13" x14ac:dyDescent="0.25">
      <c r="A113" s="1" t="str">
        <f t="shared" ref="A113:D113" si="85">A45</f>
        <v>ENQ-12232-22-23</v>
      </c>
      <c r="B113" s="47">
        <f t="shared" si="85"/>
        <v>45380</v>
      </c>
      <c r="C113" s="1" t="str">
        <f t="shared" si="85"/>
        <v>FA0900052</v>
      </c>
      <c r="D113" s="1" t="str">
        <f t="shared" si="85"/>
        <v>4 CORE X 16 SQ. MM. CU/ARD - WIRE (XLPE)</v>
      </c>
      <c r="E113" s="3">
        <f t="shared" si="58"/>
        <v>631.81999999999994</v>
      </c>
      <c r="F113" s="66">
        <f t="shared" si="58"/>
        <v>18</v>
      </c>
      <c r="G113" s="9">
        <f t="shared" si="53"/>
        <v>649.81999999999994</v>
      </c>
      <c r="H113" s="7">
        <f t="shared" si="59"/>
        <v>0.18</v>
      </c>
      <c r="I113" s="9">
        <f t="shared" si="54"/>
        <v>116.96759999999999</v>
      </c>
      <c r="J113" s="9">
        <f t="shared" si="55"/>
        <v>766.78759999999988</v>
      </c>
      <c r="K113" s="1">
        <f t="shared" si="60"/>
        <v>1500</v>
      </c>
      <c r="L113" s="1" t="s">
        <v>297</v>
      </c>
      <c r="M113" s="3">
        <f t="shared" si="56"/>
        <v>1150181.3999999999</v>
      </c>
    </row>
    <row r="114" spans="1:13" x14ac:dyDescent="0.25">
      <c r="A114" s="1" t="str">
        <f t="shared" ref="A114:D114" si="86">A46</f>
        <v>ENQ-12232-22-23</v>
      </c>
      <c r="B114" s="47">
        <f t="shared" si="86"/>
        <v>45380</v>
      </c>
      <c r="C114" s="1" t="str">
        <f t="shared" si="86"/>
        <v>FA0900121</v>
      </c>
      <c r="D114" s="1" t="str">
        <f t="shared" si="86"/>
        <v>4 CORE X 10 SQ. MM. CU/ARD - WIRE (XLPE)</v>
      </c>
      <c r="E114" s="3">
        <f t="shared" si="58"/>
        <v>416.15999999999997</v>
      </c>
      <c r="F114" s="66">
        <f t="shared" si="58"/>
        <v>9</v>
      </c>
      <c r="G114" s="9">
        <f t="shared" si="53"/>
        <v>425.15999999999997</v>
      </c>
      <c r="H114" s="7">
        <f t="shared" si="59"/>
        <v>0.18</v>
      </c>
      <c r="I114" s="9">
        <f t="shared" si="54"/>
        <v>76.52879999999999</v>
      </c>
      <c r="J114" s="9">
        <f t="shared" si="55"/>
        <v>501.68879999999996</v>
      </c>
      <c r="K114" s="1">
        <f t="shared" si="60"/>
        <v>3000</v>
      </c>
      <c r="L114" s="1" t="s">
        <v>297</v>
      </c>
      <c r="M114" s="3">
        <f t="shared" si="56"/>
        <v>1505066.4</v>
      </c>
    </row>
    <row r="115" spans="1:13" x14ac:dyDescent="0.25">
      <c r="A115" s="1" t="str">
        <f t="shared" ref="A115:D115" si="87">A47</f>
        <v>ENQ-12232-22-23</v>
      </c>
      <c r="B115" s="47">
        <f t="shared" si="87"/>
        <v>45380</v>
      </c>
      <c r="C115" s="1" t="str">
        <f t="shared" si="87"/>
        <v>FA0800019</v>
      </c>
      <c r="D115" s="1" t="str">
        <f t="shared" si="87"/>
        <v>1 CORE X 16 SQ. MM. CU/ARD (XLPE)</v>
      </c>
      <c r="E115" s="3">
        <f t="shared" si="58"/>
        <v>173.84</v>
      </c>
      <c r="F115" s="66">
        <f t="shared" si="58"/>
        <v>225</v>
      </c>
      <c r="G115" s="9">
        <f t="shared" si="53"/>
        <v>398.84000000000003</v>
      </c>
      <c r="H115" s="7">
        <f t="shared" si="59"/>
        <v>0.18</v>
      </c>
      <c r="I115" s="9">
        <f t="shared" si="54"/>
        <v>71.791200000000003</v>
      </c>
      <c r="J115" s="9">
        <f t="shared" si="55"/>
        <v>470.63120000000004</v>
      </c>
      <c r="K115" s="1">
        <f t="shared" si="60"/>
        <v>120</v>
      </c>
      <c r="L115" s="1" t="s">
        <v>297</v>
      </c>
      <c r="M115" s="3">
        <f t="shared" si="56"/>
        <v>56475.744000000006</v>
      </c>
    </row>
    <row r="116" spans="1:13" x14ac:dyDescent="0.25">
      <c r="A116" s="1" t="str">
        <f t="shared" ref="A116:D116" si="88">A48</f>
        <v>ENQ-12232-22-23</v>
      </c>
      <c r="B116" s="47">
        <f t="shared" si="88"/>
        <v>45380</v>
      </c>
      <c r="C116" s="1" t="str">
        <f t="shared" si="88"/>
        <v>FA0900171</v>
      </c>
      <c r="D116" s="1" t="str">
        <f t="shared" si="88"/>
        <v>2 CORE X 16 SQ. MM. CU/ARD - WIRE (XLPE)</v>
      </c>
      <c r="E116" s="3">
        <f t="shared" si="58"/>
        <v>357.45</v>
      </c>
      <c r="F116" s="66">
        <f t="shared" si="58"/>
        <v>12.74</v>
      </c>
      <c r="G116" s="9">
        <f t="shared" si="53"/>
        <v>370.19</v>
      </c>
      <c r="H116" s="7">
        <f t="shared" si="59"/>
        <v>0.18</v>
      </c>
      <c r="I116" s="9">
        <f t="shared" si="54"/>
        <v>66.634199999999993</v>
      </c>
      <c r="J116" s="9">
        <f t="shared" si="55"/>
        <v>436.82420000000002</v>
      </c>
      <c r="K116" s="1">
        <f t="shared" si="60"/>
        <v>2120</v>
      </c>
      <c r="L116" s="1" t="s">
        <v>297</v>
      </c>
      <c r="M116" s="3">
        <f t="shared" si="56"/>
        <v>926067.304</v>
      </c>
    </row>
    <row r="117" spans="1:13" x14ac:dyDescent="0.25">
      <c r="A117" s="1" t="str">
        <f t="shared" ref="A117:D117" si="89">A49</f>
        <v>ENQ-12232-22-23</v>
      </c>
      <c r="B117" s="47">
        <f t="shared" si="89"/>
        <v>45380</v>
      </c>
      <c r="C117" s="1" t="str">
        <f t="shared" si="89"/>
        <v>FA0900229</v>
      </c>
      <c r="D117" s="1" t="str">
        <f t="shared" si="89"/>
        <v>2 CORE X 50 SQ. MM. CU/ARD - WIRE (XLPE)</v>
      </c>
      <c r="E117" s="3">
        <f t="shared" si="58"/>
        <v>975.67</v>
      </c>
      <c r="F117" s="66">
        <f t="shared" si="58"/>
        <v>7.3999999999999995</v>
      </c>
      <c r="G117" s="9">
        <f t="shared" si="53"/>
        <v>983.06999999999994</v>
      </c>
      <c r="H117" s="7">
        <f t="shared" si="59"/>
        <v>0.18</v>
      </c>
      <c r="I117" s="9">
        <f t="shared" si="54"/>
        <v>176.95259999999999</v>
      </c>
      <c r="J117" s="9">
        <f t="shared" si="55"/>
        <v>1160.0226</v>
      </c>
      <c r="K117" s="1">
        <f t="shared" si="60"/>
        <v>3650</v>
      </c>
      <c r="L117" s="1" t="s">
        <v>297</v>
      </c>
      <c r="M117" s="3">
        <f t="shared" si="56"/>
        <v>4234082.49</v>
      </c>
    </row>
    <row r="118" spans="1:13" x14ac:dyDescent="0.25">
      <c r="M118" s="71">
        <f>SUM(M87:M117)</f>
        <v>750880144.70239985</v>
      </c>
    </row>
  </sheetData>
  <mergeCells count="19">
    <mergeCell ref="AS16:BB16"/>
    <mergeCell ref="N16:R16"/>
    <mergeCell ref="S16:T16"/>
    <mergeCell ref="U16:AB16"/>
    <mergeCell ref="AC16:AD16"/>
    <mergeCell ref="AE16:AJ16"/>
    <mergeCell ref="B8:R8"/>
    <mergeCell ref="B9:R9"/>
    <mergeCell ref="B10:R10"/>
    <mergeCell ref="A2:R2"/>
    <mergeCell ref="AL16:AR16"/>
    <mergeCell ref="B11:R11"/>
    <mergeCell ref="B12:R12"/>
    <mergeCell ref="B13:R13"/>
    <mergeCell ref="B14:R14"/>
    <mergeCell ref="B4:R4"/>
    <mergeCell ref="B5:R5"/>
    <mergeCell ref="B6:R6"/>
    <mergeCell ref="B7:R7"/>
  </mergeCells>
  <dataValidations count="1">
    <dataValidation type="list" allowBlank="1" showInputMessage="1" showErrorMessage="1" sqref="G52:G82" xr:uid="{39F93CBE-BB5D-4DFF-B7A9-4A2FC7747281}">
      <formula1>$Q$4:$Q$6</formula1>
    </dataValidation>
  </dataValidations>
  <pageMargins left="0.7" right="0.7" top="0.75" bottom="0.75" header="0.3" footer="0.3"/>
  <pageSetup orientation="portrait"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2024-04-01T09:25:48Z</dcterms:modified>
</cp:coreProperties>
</file>