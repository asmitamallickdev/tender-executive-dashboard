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24226"/>
  <mc:AlternateContent xmlns:mc="http://schemas.openxmlformats.org/markup-compatibility/2006">
    <mc:Choice Requires="x15">
      <x15ac:absPath xmlns:x15ac="http://schemas.microsoft.com/office/spreadsheetml/2010/11/ac" url="E:\working\2024-25\02_FEBRUARY 2025\TPCODL-1917-LTCABLES-15115\"/>
    </mc:Choice>
  </mc:AlternateContent>
  <xr:revisionPtr revIDLastSave="0" documentId="13_ncr:1_{614B4401-09CE-4D2D-BB6A-9B101ED7FFA0}"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PV" sheetId="5"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06" i="4" l="1"/>
  <c r="H105" i="4"/>
  <c r="H104" i="4"/>
  <c r="H103" i="4"/>
  <c r="H102" i="4"/>
  <c r="H101" i="4"/>
  <c r="H100" i="4"/>
  <c r="H99" i="4"/>
  <c r="H98" i="4"/>
  <c r="H97" i="4"/>
  <c r="H95" i="4"/>
  <c r="H94" i="4"/>
  <c r="H93" i="4"/>
  <c r="H92" i="4"/>
  <c r="H91" i="4"/>
  <c r="H90" i="4"/>
  <c r="H89" i="4"/>
  <c r="H88" i="4"/>
  <c r="H87" i="4"/>
  <c r="H86" i="4"/>
  <c r="H85" i="4"/>
  <c r="H84" i="4"/>
  <c r="H83" i="4"/>
  <c r="H82" i="4"/>
  <c r="H81" i="4"/>
  <c r="H80" i="4"/>
  <c r="CB27" i="4"/>
  <c r="C59" i="4" l="1"/>
  <c r="M81" i="4" l="1"/>
  <c r="M82" i="4"/>
  <c r="M83" i="4"/>
  <c r="M84" i="4"/>
  <c r="M85" i="4"/>
  <c r="M86" i="4"/>
  <c r="M87" i="4"/>
  <c r="M88" i="4"/>
  <c r="M89" i="4"/>
  <c r="M90" i="4"/>
  <c r="M91" i="4"/>
  <c r="M92" i="4"/>
  <c r="M93" i="4"/>
  <c r="M94" i="4"/>
  <c r="M95" i="4"/>
  <c r="M96" i="4"/>
  <c r="M97" i="4"/>
  <c r="M98" i="4"/>
  <c r="M99" i="4"/>
  <c r="M100" i="4"/>
  <c r="M101" i="4"/>
  <c r="M102" i="4"/>
  <c r="M103" i="4"/>
  <c r="M104" i="4"/>
  <c r="M105" i="4"/>
  <c r="M106" i="4"/>
  <c r="M80" i="4"/>
  <c r="J81" i="4"/>
  <c r="J82" i="4"/>
  <c r="J83" i="4"/>
  <c r="J84" i="4"/>
  <c r="J85" i="4"/>
  <c r="J86" i="4"/>
  <c r="J87" i="4"/>
  <c r="J88" i="4"/>
  <c r="J89" i="4"/>
  <c r="J90" i="4"/>
  <c r="J91" i="4"/>
  <c r="J92" i="4"/>
  <c r="J93" i="4"/>
  <c r="J94" i="4"/>
  <c r="J95" i="4"/>
  <c r="J96" i="4"/>
  <c r="J97" i="4"/>
  <c r="J98" i="4"/>
  <c r="J99" i="4"/>
  <c r="J100" i="4"/>
  <c r="J101" i="4"/>
  <c r="J102" i="4"/>
  <c r="J103" i="4"/>
  <c r="J104" i="4"/>
  <c r="J105" i="4"/>
  <c r="J106" i="4"/>
  <c r="J80" i="4"/>
  <c r="G81" i="4"/>
  <c r="G82" i="4"/>
  <c r="G83" i="4"/>
  <c r="G84" i="4"/>
  <c r="G85" i="4"/>
  <c r="G86" i="4"/>
  <c r="G87" i="4"/>
  <c r="G89" i="4"/>
  <c r="G90" i="4"/>
  <c r="G91" i="4"/>
  <c r="G92" i="4"/>
  <c r="G93" i="4"/>
  <c r="G94" i="4"/>
  <c r="G95" i="4"/>
  <c r="G96" i="4"/>
  <c r="G97" i="4"/>
  <c r="G98" i="4"/>
  <c r="G99" i="4"/>
  <c r="G100" i="4"/>
  <c r="G101" i="4"/>
  <c r="G102" i="4"/>
  <c r="G103" i="4"/>
  <c r="G104" i="4"/>
  <c r="G105" i="4"/>
  <c r="G106" i="4"/>
  <c r="G80" i="4"/>
  <c r="F81" i="4"/>
  <c r="F82" i="4"/>
  <c r="F83" i="4"/>
  <c r="F84" i="4"/>
  <c r="F85" i="4"/>
  <c r="F86" i="4"/>
  <c r="F87" i="4"/>
  <c r="F88" i="4"/>
  <c r="F89" i="4"/>
  <c r="F90" i="4"/>
  <c r="F91" i="4"/>
  <c r="F92" i="4"/>
  <c r="F93" i="4"/>
  <c r="F94" i="4"/>
  <c r="F95" i="4"/>
  <c r="F96" i="4"/>
  <c r="F97" i="4"/>
  <c r="F98" i="4"/>
  <c r="F99" i="4"/>
  <c r="F100" i="4"/>
  <c r="F101" i="4"/>
  <c r="F102" i="4"/>
  <c r="F103" i="4"/>
  <c r="F104" i="4"/>
  <c r="F105" i="4"/>
  <c r="F106" i="4"/>
  <c r="E81" i="4"/>
  <c r="E82" i="4"/>
  <c r="E83" i="4"/>
  <c r="E84" i="4"/>
  <c r="E85" i="4"/>
  <c r="E86" i="4"/>
  <c r="E87" i="4"/>
  <c r="E88" i="4"/>
  <c r="E89" i="4"/>
  <c r="E90" i="4"/>
  <c r="E91" i="4"/>
  <c r="E92" i="4"/>
  <c r="E93" i="4"/>
  <c r="E94" i="4"/>
  <c r="E95" i="4"/>
  <c r="E96" i="4"/>
  <c r="E97" i="4"/>
  <c r="E98" i="4"/>
  <c r="E99" i="4"/>
  <c r="E100" i="4"/>
  <c r="E101" i="4"/>
  <c r="E102" i="4"/>
  <c r="E103" i="4"/>
  <c r="E104" i="4"/>
  <c r="E105" i="4"/>
  <c r="E106" i="4"/>
  <c r="D81" i="4"/>
  <c r="D82" i="4"/>
  <c r="D83" i="4"/>
  <c r="D84" i="4"/>
  <c r="D85" i="4"/>
  <c r="D86" i="4"/>
  <c r="D87" i="4"/>
  <c r="D88" i="4"/>
  <c r="D89" i="4"/>
  <c r="D90" i="4"/>
  <c r="D91" i="4"/>
  <c r="D92" i="4"/>
  <c r="D93" i="4"/>
  <c r="D94" i="4"/>
  <c r="D95" i="4"/>
  <c r="D96" i="4"/>
  <c r="D97" i="4"/>
  <c r="D98" i="4"/>
  <c r="D99" i="4"/>
  <c r="D100" i="4"/>
  <c r="D101" i="4"/>
  <c r="D102" i="4"/>
  <c r="D103" i="4"/>
  <c r="D104" i="4"/>
  <c r="D105" i="4"/>
  <c r="D106" i="4"/>
  <c r="C81" i="4"/>
  <c r="C82" i="4"/>
  <c r="C83" i="4"/>
  <c r="C84" i="4"/>
  <c r="C85" i="4"/>
  <c r="C86" i="4"/>
  <c r="C87" i="4"/>
  <c r="C88" i="4"/>
  <c r="C89" i="4"/>
  <c r="C90" i="4"/>
  <c r="C91" i="4"/>
  <c r="C92" i="4"/>
  <c r="C93" i="4"/>
  <c r="C94" i="4"/>
  <c r="C95" i="4"/>
  <c r="C96" i="4"/>
  <c r="C97" i="4"/>
  <c r="C98" i="4"/>
  <c r="C99" i="4"/>
  <c r="C100" i="4"/>
  <c r="C101" i="4"/>
  <c r="C102" i="4"/>
  <c r="C103" i="4"/>
  <c r="C104" i="4"/>
  <c r="C105" i="4"/>
  <c r="C106" i="4"/>
  <c r="F80" i="4"/>
  <c r="E80" i="4"/>
  <c r="D80" i="4"/>
  <c r="C80" i="4"/>
  <c r="P57" i="4" l="1"/>
  <c r="P71" i="4"/>
  <c r="P73" i="4"/>
  <c r="AL9" i="5" l="1"/>
  <c r="BH18" i="4"/>
  <c r="AL12" i="5"/>
  <c r="AM12" i="5"/>
  <c r="AL13" i="5"/>
  <c r="AM13" i="5"/>
  <c r="AL14" i="5"/>
  <c r="AM14" i="5"/>
  <c r="AF15" i="5"/>
  <c r="AL15" i="5"/>
  <c r="AM15" i="5"/>
  <c r="AF16" i="5"/>
  <c r="AI16" i="5"/>
  <c r="AK16" i="5"/>
  <c r="AN16" i="5"/>
  <c r="AF17" i="5"/>
  <c r="AI17" i="5"/>
  <c r="AK17" i="5"/>
  <c r="AL17" i="5"/>
  <c r="AN17" i="5"/>
  <c r="AI18" i="5"/>
  <c r="AK18" i="5"/>
  <c r="AL18" i="5"/>
  <c r="AM18" i="5"/>
  <c r="AN18" i="5"/>
  <c r="AF19" i="5"/>
  <c r="AI19" i="5"/>
  <c r="AK19" i="5"/>
  <c r="AL19" i="5"/>
  <c r="AM19" i="5"/>
  <c r="AN19" i="5"/>
  <c r="AF20" i="5"/>
  <c r="AI20" i="5"/>
  <c r="AK20" i="5"/>
  <c r="AL20" i="5"/>
  <c r="AM20" i="5"/>
  <c r="AN20" i="5"/>
  <c r="AF22" i="5"/>
  <c r="AI22" i="5"/>
  <c r="AK22" i="5"/>
  <c r="AL22" i="5"/>
  <c r="AN22" i="5"/>
  <c r="AF23" i="5"/>
  <c r="AK23" i="5"/>
  <c r="AL23" i="5"/>
  <c r="AN23" i="5"/>
  <c r="AF24" i="5"/>
  <c r="AI24" i="5"/>
  <c r="AK24" i="5"/>
  <c r="AL24" i="5"/>
  <c r="AN24" i="5"/>
  <c r="AD25" i="5"/>
  <c r="AF25" i="5"/>
  <c r="AI25" i="5"/>
  <c r="AJ25" i="5"/>
  <c r="AK25" i="5"/>
  <c r="AL25" i="5"/>
  <c r="AN25" i="5"/>
  <c r="AF26" i="5"/>
  <c r="AJ26" i="5"/>
  <c r="AK26" i="5"/>
  <c r="AL26" i="5"/>
  <c r="AN26" i="5"/>
  <c r="AF27" i="5"/>
  <c r="AK27" i="5"/>
  <c r="AN27" i="5"/>
  <c r="AI28" i="5"/>
  <c r="AK28" i="5"/>
  <c r="AL28" i="5"/>
  <c r="AI29" i="5"/>
  <c r="AK29" i="5"/>
  <c r="AL29" i="5"/>
  <c r="AI30" i="5"/>
  <c r="AK30" i="5"/>
  <c r="AL30" i="5"/>
  <c r="AI31" i="5"/>
  <c r="AK31" i="5"/>
  <c r="AL31" i="5"/>
  <c r="AG32" i="5"/>
  <c r="AI32" i="5"/>
  <c r="AL32" i="5"/>
  <c r="AF34" i="5"/>
  <c r="AK34" i="5"/>
  <c r="AL34" i="5"/>
  <c r="AN34" i="5"/>
  <c r="AD35" i="5"/>
  <c r="AF35" i="5"/>
  <c r="AK35" i="5"/>
  <c r="AL35" i="5"/>
  <c r="AN35" i="5"/>
  <c r="AF36" i="5"/>
  <c r="AI36" i="5"/>
  <c r="AJ36" i="5"/>
  <c r="AK36" i="5"/>
  <c r="AL36" i="5"/>
  <c r="AN36" i="5"/>
  <c r="AF37" i="5"/>
  <c r="AI37" i="5"/>
  <c r="AJ37" i="5"/>
  <c r="AK37" i="5"/>
  <c r="AL37" i="5"/>
  <c r="AN37" i="5"/>
  <c r="AP33" i="5"/>
  <c r="AP35" i="5"/>
  <c r="AL11" i="5"/>
  <c r="AF11" i="5"/>
  <c r="AN8" i="5"/>
  <c r="AM8" i="5"/>
  <c r="AL8" i="5"/>
  <c r="AK8" i="5"/>
  <c r="AJ8" i="5"/>
  <c r="AI8" i="5"/>
  <c r="AH8" i="5"/>
  <c r="AG8" i="5"/>
  <c r="AF8" i="5"/>
  <c r="AE8" i="5"/>
  <c r="AD8" i="5"/>
  <c r="D57" i="4" l="1"/>
  <c r="D71" i="4"/>
  <c r="D73" i="4"/>
  <c r="K36" i="5" l="1"/>
  <c r="W36" i="5"/>
  <c r="X36" i="5"/>
  <c r="Y36" i="5"/>
  <c r="Z36" i="5"/>
  <c r="AA36" i="5"/>
  <c r="K37" i="5"/>
  <c r="W37" i="5"/>
  <c r="X37" i="5"/>
  <c r="Y37" i="5"/>
  <c r="Z37" i="5"/>
  <c r="AA37" i="5"/>
  <c r="K12" i="5"/>
  <c r="W12" i="5"/>
  <c r="X12" i="5"/>
  <c r="Y12" i="5"/>
  <c r="Z12" i="5"/>
  <c r="AA12" i="5"/>
  <c r="K13" i="5"/>
  <c r="W13" i="5"/>
  <c r="X13" i="5"/>
  <c r="Y13" i="5"/>
  <c r="Z13" i="5"/>
  <c r="AA13" i="5"/>
  <c r="K14" i="5"/>
  <c r="W14" i="5"/>
  <c r="X14" i="5"/>
  <c r="Y14" i="5"/>
  <c r="Z14" i="5"/>
  <c r="AA14" i="5"/>
  <c r="K15" i="5"/>
  <c r="W15" i="5"/>
  <c r="X15" i="5"/>
  <c r="Y15" i="5"/>
  <c r="Z15" i="5"/>
  <c r="AA15" i="5"/>
  <c r="K16" i="5"/>
  <c r="W16" i="5"/>
  <c r="X16" i="5"/>
  <c r="Y16" i="5"/>
  <c r="Z16" i="5"/>
  <c r="AA16" i="5"/>
  <c r="K17" i="5"/>
  <c r="W17" i="5"/>
  <c r="X17" i="5"/>
  <c r="Y17" i="5"/>
  <c r="Z17" i="5"/>
  <c r="AA17" i="5"/>
  <c r="K18" i="5"/>
  <c r="W18" i="5"/>
  <c r="X18" i="5"/>
  <c r="Y18" i="5"/>
  <c r="Z18" i="5"/>
  <c r="AA18" i="5"/>
  <c r="K19" i="5"/>
  <c r="W19" i="5"/>
  <c r="X19" i="5"/>
  <c r="Y19" i="5"/>
  <c r="Z19" i="5"/>
  <c r="AA19" i="5"/>
  <c r="K20" i="5"/>
  <c r="W20" i="5"/>
  <c r="X20" i="5"/>
  <c r="Y20" i="5"/>
  <c r="Z20" i="5"/>
  <c r="AA20" i="5"/>
  <c r="K21" i="5"/>
  <c r="W21" i="5"/>
  <c r="X21" i="5"/>
  <c r="Y21" i="5"/>
  <c r="Z21" i="5"/>
  <c r="AA21" i="5"/>
  <c r="K22" i="5"/>
  <c r="W22" i="5"/>
  <c r="X22" i="5"/>
  <c r="Y22" i="5"/>
  <c r="Z22" i="5"/>
  <c r="AA22" i="5"/>
  <c r="K23" i="5"/>
  <c r="W23" i="5"/>
  <c r="X23" i="5"/>
  <c r="Y23" i="5"/>
  <c r="Z23" i="5"/>
  <c r="AA23" i="5"/>
  <c r="K24" i="5"/>
  <c r="W24" i="5"/>
  <c r="X24" i="5"/>
  <c r="Y24" i="5"/>
  <c r="Z24" i="5"/>
  <c r="AA24" i="5"/>
  <c r="K25" i="5"/>
  <c r="W25" i="5"/>
  <c r="X25" i="5"/>
  <c r="Y25" i="5"/>
  <c r="Z25" i="5"/>
  <c r="AA25" i="5"/>
  <c r="K26" i="5"/>
  <c r="W26" i="5"/>
  <c r="X26" i="5"/>
  <c r="Y26" i="5"/>
  <c r="Z26" i="5"/>
  <c r="AA26" i="5"/>
  <c r="K27" i="5"/>
  <c r="W27" i="5"/>
  <c r="X27" i="5"/>
  <c r="Y27" i="5"/>
  <c r="Z27" i="5"/>
  <c r="AA27" i="5"/>
  <c r="K28" i="5"/>
  <c r="W28" i="5"/>
  <c r="X28" i="5"/>
  <c r="Y28" i="5"/>
  <c r="Z28" i="5"/>
  <c r="AA28" i="5"/>
  <c r="K29" i="5"/>
  <c r="W29" i="5"/>
  <c r="X29" i="5"/>
  <c r="Y29" i="5"/>
  <c r="Z29" i="5"/>
  <c r="AA29" i="5"/>
  <c r="K30" i="5"/>
  <c r="W30" i="5"/>
  <c r="X30" i="5"/>
  <c r="Y30" i="5"/>
  <c r="Z30" i="5"/>
  <c r="AA30" i="5"/>
  <c r="K31" i="5"/>
  <c r="W31" i="5"/>
  <c r="X31" i="5"/>
  <c r="Y31" i="5"/>
  <c r="Z31" i="5"/>
  <c r="AA31" i="5"/>
  <c r="K32" i="5"/>
  <c r="W32" i="5"/>
  <c r="X32" i="5"/>
  <c r="Y32" i="5"/>
  <c r="Z32" i="5"/>
  <c r="AA32" i="5"/>
  <c r="K33" i="5"/>
  <c r="W33" i="5"/>
  <c r="X33" i="5"/>
  <c r="Y33" i="5"/>
  <c r="Z33" i="5"/>
  <c r="AA33" i="5"/>
  <c r="K34" i="5"/>
  <c r="W34" i="5"/>
  <c r="X34" i="5"/>
  <c r="Y34" i="5"/>
  <c r="Z34" i="5"/>
  <c r="AA34" i="5"/>
  <c r="K35" i="5"/>
  <c r="W35" i="5"/>
  <c r="X35" i="5"/>
  <c r="Y35" i="5"/>
  <c r="Z35" i="5"/>
  <c r="AA35" i="5"/>
  <c r="AA11" i="5"/>
  <c r="Z11" i="5"/>
  <c r="Y11" i="5"/>
  <c r="X11" i="5"/>
  <c r="W11" i="5"/>
  <c r="K11" i="5"/>
  <c r="AB36" i="5" l="1"/>
  <c r="AB37" i="5"/>
  <c r="AB27" i="5"/>
  <c r="AB15" i="5"/>
  <c r="AB30" i="5"/>
  <c r="AB29" i="5"/>
  <c r="AB19" i="5"/>
  <c r="AB18" i="5"/>
  <c r="AB26" i="5"/>
  <c r="AB25" i="5"/>
  <c r="AB23" i="5"/>
  <c r="AB20" i="5"/>
  <c r="AB17" i="5"/>
  <c r="AB12" i="5"/>
  <c r="AB35" i="5"/>
  <c r="AB32" i="5"/>
  <c r="AB22" i="5"/>
  <c r="AB21" i="5"/>
  <c r="AB13" i="5"/>
  <c r="AB24" i="5"/>
  <c r="AB34" i="5"/>
  <c r="AB33" i="5"/>
  <c r="AB31" i="5"/>
  <c r="AB28" i="5"/>
  <c r="AB16" i="5"/>
  <c r="AB14" i="5"/>
  <c r="AB11" i="5"/>
  <c r="CA39" i="4" l="1"/>
  <c r="H69" i="4" s="1"/>
  <c r="L69" i="4" s="1"/>
  <c r="CA40" i="4"/>
  <c r="H70" i="4" s="1"/>
  <c r="L70" i="4" s="1"/>
  <c r="CA36" i="4"/>
  <c r="H66" i="4" s="1"/>
  <c r="L66" i="4" s="1"/>
  <c r="CA37" i="4"/>
  <c r="H67" i="4" s="1"/>
  <c r="L67" i="4" s="1"/>
  <c r="CA29" i="4"/>
  <c r="H59" i="4" s="1"/>
  <c r="L59" i="4" s="1"/>
  <c r="CA19" i="4"/>
  <c r="H49" i="4" s="1"/>
  <c r="L49" i="4" s="1"/>
  <c r="CA20" i="4"/>
  <c r="H50" i="4" s="1"/>
  <c r="L50" i="4" s="1"/>
  <c r="CA22" i="4"/>
  <c r="H52" i="4" s="1"/>
  <c r="L52" i="4" s="1"/>
  <c r="CA21" i="4"/>
  <c r="H51" i="4" s="1"/>
  <c r="L51" i="4" s="1"/>
  <c r="CA23" i="4"/>
  <c r="H53" i="4" s="1"/>
  <c r="L53" i="4" s="1"/>
  <c r="CA43" i="4"/>
  <c r="H73" i="4" s="1"/>
  <c r="L73" i="4" s="1"/>
  <c r="CA33" i="4"/>
  <c r="H63" i="4" s="1"/>
  <c r="L63" i="4" s="1"/>
  <c r="H71" i="4"/>
  <c r="L71" i="4" s="1"/>
  <c r="CA32" i="4"/>
  <c r="H62" i="4" s="1"/>
  <c r="L62" i="4" s="1"/>
  <c r="CA34" i="4"/>
  <c r="H64" i="4" s="1"/>
  <c r="L64" i="4" s="1"/>
  <c r="CA30" i="4"/>
  <c r="H60" i="4" s="1"/>
  <c r="L60" i="4" s="1"/>
  <c r="CA35" i="4"/>
  <c r="H65" i="4" s="1"/>
  <c r="L65" i="4" s="1"/>
  <c r="CA24" i="4"/>
  <c r="H54" i="4" s="1"/>
  <c r="L54" i="4" s="1"/>
  <c r="CA31" i="4"/>
  <c r="H61" i="4" s="1"/>
  <c r="L61" i="4" s="1"/>
  <c r="CA42" i="4"/>
  <c r="H72" i="4" s="1"/>
  <c r="L72" i="4" s="1"/>
  <c r="CA44" i="4"/>
  <c r="H74" i="4" s="1"/>
  <c r="L74" i="4" s="1"/>
  <c r="CA45" i="4"/>
  <c r="H75" i="4" s="1"/>
  <c r="L75" i="4" s="1"/>
  <c r="CA27" i="4"/>
  <c r="H57" i="4" s="1"/>
  <c r="L57" i="4" s="1"/>
  <c r="CA25" i="4"/>
  <c r="H55" i="4" s="1"/>
  <c r="L55" i="4" s="1"/>
  <c r="CA28" i="4"/>
  <c r="H58" i="4" s="1"/>
  <c r="L58" i="4" s="1"/>
  <c r="CA26" i="4"/>
  <c r="H56" i="4" s="1"/>
  <c r="L56" i="4" s="1"/>
  <c r="CA38" i="4"/>
  <c r="H68" i="4" s="1"/>
  <c r="L68" i="4" s="1"/>
  <c r="CA17" i="4"/>
  <c r="C44" i="4"/>
  <c r="E44" i="4"/>
  <c r="E74" i="4" s="1"/>
  <c r="F44" i="4"/>
  <c r="J44" i="4"/>
  <c r="M44" i="4"/>
  <c r="G74" i="4" s="1"/>
  <c r="M74" i="4" s="1"/>
  <c r="O74" i="4" s="1"/>
  <c r="H44" i="4" s="1"/>
  <c r="I105" i="4" s="1"/>
  <c r="N44" i="4"/>
  <c r="P44" i="4"/>
  <c r="Q44" i="4"/>
  <c r="R44" i="4"/>
  <c r="AE36" i="5" s="1"/>
  <c r="S44" i="4"/>
  <c r="T44" i="4"/>
  <c r="U44" i="4"/>
  <c r="V44" i="4"/>
  <c r="W44" i="4"/>
  <c r="X44" i="4"/>
  <c r="Y44" i="4"/>
  <c r="Z44" i="4"/>
  <c r="AA44" i="4"/>
  <c r="AB44" i="4"/>
  <c r="AC44" i="4"/>
  <c r="AD44" i="4"/>
  <c r="AE44" i="4"/>
  <c r="AF44" i="4"/>
  <c r="AG44" i="4"/>
  <c r="AI44" i="4"/>
  <c r="AJ44" i="4"/>
  <c r="AK44" i="4"/>
  <c r="AG36" i="5" s="1"/>
  <c r="AL44" i="4"/>
  <c r="AM44" i="4"/>
  <c r="AH36" i="5" s="1"/>
  <c r="AN44" i="4"/>
  <c r="AO44" i="4"/>
  <c r="AP44" i="4"/>
  <c r="AQ44" i="4"/>
  <c r="AR44" i="4"/>
  <c r="AU44" i="4"/>
  <c r="AV44" i="4"/>
  <c r="AW44" i="4"/>
  <c r="AX44" i="4"/>
  <c r="AY44" i="4"/>
  <c r="AZ44" i="4"/>
  <c r="BA44" i="4"/>
  <c r="BB44" i="4"/>
  <c r="BD44" i="4"/>
  <c r="BE44" i="4"/>
  <c r="BF44" i="4"/>
  <c r="BG44" i="4"/>
  <c r="BI44" i="4"/>
  <c r="BJ44" i="4"/>
  <c r="BK44" i="4"/>
  <c r="BL44" i="4"/>
  <c r="BM44" i="4"/>
  <c r="BN44" i="4"/>
  <c r="BO44" i="4"/>
  <c r="BP44" i="4"/>
  <c r="BQ44" i="4"/>
  <c r="AM36" i="5" s="1"/>
  <c r="BR44" i="4"/>
  <c r="BS44" i="4"/>
  <c r="BT44" i="4"/>
  <c r="BU44" i="4"/>
  <c r="BW44" i="4"/>
  <c r="BX44" i="4"/>
  <c r="BY44" i="4"/>
  <c r="BZ44" i="4"/>
  <c r="CB44" i="4"/>
  <c r="AP36" i="5" s="1"/>
  <c r="C45" i="4"/>
  <c r="E45" i="4"/>
  <c r="E75" i="4" s="1"/>
  <c r="F45" i="4"/>
  <c r="J45" i="4"/>
  <c r="M45" i="4"/>
  <c r="G75" i="4" s="1"/>
  <c r="N45" i="4"/>
  <c r="P45" i="4"/>
  <c r="Q45" i="4"/>
  <c r="R45" i="4"/>
  <c r="AE37" i="5" s="1"/>
  <c r="S45" i="4"/>
  <c r="T45" i="4"/>
  <c r="U45" i="4"/>
  <c r="V45" i="4"/>
  <c r="W45" i="4"/>
  <c r="X45" i="4"/>
  <c r="Y45" i="4"/>
  <c r="Z45" i="4"/>
  <c r="AA45" i="4"/>
  <c r="AB45" i="4"/>
  <c r="AC45" i="4"/>
  <c r="AD45" i="4"/>
  <c r="AE45" i="4"/>
  <c r="AF45" i="4"/>
  <c r="AG45" i="4"/>
  <c r="AI45" i="4"/>
  <c r="AJ45" i="4"/>
  <c r="AK45" i="4"/>
  <c r="AG37" i="5" s="1"/>
  <c r="AL45" i="4"/>
  <c r="AM45" i="4"/>
  <c r="AH37" i="5" s="1"/>
  <c r="AN45" i="4"/>
  <c r="AO45" i="4"/>
  <c r="AP45" i="4"/>
  <c r="AQ45" i="4"/>
  <c r="AR45" i="4"/>
  <c r="AU45" i="4"/>
  <c r="AV45" i="4"/>
  <c r="AW45" i="4"/>
  <c r="AX45" i="4"/>
  <c r="AY45" i="4"/>
  <c r="AZ45" i="4"/>
  <c r="BA45" i="4"/>
  <c r="BB45" i="4"/>
  <c r="BD45" i="4"/>
  <c r="BE45" i="4"/>
  <c r="BF45" i="4"/>
  <c r="BG45" i="4"/>
  <c r="BI45" i="4"/>
  <c r="BJ45" i="4"/>
  <c r="BK45" i="4"/>
  <c r="BL45" i="4"/>
  <c r="BM45" i="4"/>
  <c r="BN45" i="4"/>
  <c r="BO45" i="4"/>
  <c r="BP45" i="4"/>
  <c r="BQ45" i="4"/>
  <c r="AM37" i="5" s="1"/>
  <c r="BR45" i="4"/>
  <c r="BS45" i="4"/>
  <c r="BT45" i="4"/>
  <c r="BU45" i="4"/>
  <c r="BW45" i="4"/>
  <c r="BX45" i="4"/>
  <c r="BY45" i="4"/>
  <c r="BZ45" i="4"/>
  <c r="CB45" i="4"/>
  <c r="AP37" i="5" s="1"/>
  <c r="C27" i="4"/>
  <c r="E27" i="4"/>
  <c r="E57" i="4" s="1"/>
  <c r="F27" i="4"/>
  <c r="J27" i="4"/>
  <c r="G57" i="4"/>
  <c r="N27" i="4"/>
  <c r="P27" i="4"/>
  <c r="Q27" i="4"/>
  <c r="R27" i="4"/>
  <c r="AE19" i="5" s="1"/>
  <c r="S27" i="4"/>
  <c r="T27" i="4"/>
  <c r="U27" i="4"/>
  <c r="V27" i="4"/>
  <c r="W27" i="4"/>
  <c r="X27" i="4"/>
  <c r="Y27" i="4"/>
  <c r="Z27" i="4"/>
  <c r="AA27" i="4"/>
  <c r="AB27" i="4"/>
  <c r="AC27" i="4"/>
  <c r="AD27" i="4"/>
  <c r="AE27" i="4"/>
  <c r="AF27" i="4"/>
  <c r="AG27" i="4"/>
  <c r="AI27" i="4"/>
  <c r="AJ27" i="4"/>
  <c r="AK27" i="4"/>
  <c r="AG19" i="5" s="1"/>
  <c r="AL27" i="4"/>
  <c r="AM27" i="4"/>
  <c r="AH19" i="5" s="1"/>
  <c r="AN27" i="4"/>
  <c r="AO27" i="4"/>
  <c r="AP27" i="4"/>
  <c r="AQ27" i="4"/>
  <c r="AR27" i="4"/>
  <c r="AT27" i="4"/>
  <c r="AJ19" i="5" s="1"/>
  <c r="AU27" i="4"/>
  <c r="AV27" i="4"/>
  <c r="AW27" i="4"/>
  <c r="AX27" i="4"/>
  <c r="AY27" i="4"/>
  <c r="AZ27" i="4"/>
  <c r="BA27" i="4"/>
  <c r="BB27" i="4"/>
  <c r="BD27" i="4"/>
  <c r="BE27" i="4"/>
  <c r="BF27" i="4"/>
  <c r="BG27" i="4"/>
  <c r="BI27" i="4"/>
  <c r="BJ27" i="4"/>
  <c r="BK27" i="4"/>
  <c r="BL27" i="4"/>
  <c r="BM27" i="4"/>
  <c r="BN27" i="4"/>
  <c r="BO27" i="4"/>
  <c r="BP27" i="4"/>
  <c r="BR27" i="4"/>
  <c r="BS27" i="4"/>
  <c r="BT27" i="4"/>
  <c r="BU27" i="4"/>
  <c r="BW27" i="4"/>
  <c r="AP19" i="5"/>
  <c r="C25" i="4"/>
  <c r="E25" i="4"/>
  <c r="E55" i="4" s="1"/>
  <c r="F25" i="4"/>
  <c r="J25" i="4"/>
  <c r="M25" i="4"/>
  <c r="G55" i="4" s="1"/>
  <c r="N25" i="4"/>
  <c r="P25" i="4"/>
  <c r="Q25" i="4"/>
  <c r="R25" i="4"/>
  <c r="AE17" i="5" s="1"/>
  <c r="S25" i="4"/>
  <c r="T25" i="4"/>
  <c r="U25" i="4"/>
  <c r="V25" i="4"/>
  <c r="W25" i="4"/>
  <c r="X25" i="4"/>
  <c r="Y25" i="4"/>
  <c r="Z25" i="4"/>
  <c r="AA25" i="4"/>
  <c r="AB25" i="4"/>
  <c r="AC25" i="4"/>
  <c r="AD25" i="4"/>
  <c r="AE25" i="4"/>
  <c r="AF25" i="4"/>
  <c r="AG25" i="4"/>
  <c r="AI25" i="4"/>
  <c r="AJ25" i="4"/>
  <c r="AK25" i="4"/>
  <c r="AG17" i="5" s="1"/>
  <c r="AL25" i="4"/>
  <c r="AM25" i="4"/>
  <c r="AH17" i="5" s="1"/>
  <c r="AN25" i="4"/>
  <c r="AO25" i="4"/>
  <c r="AP25" i="4"/>
  <c r="AQ25" i="4"/>
  <c r="AR25" i="4"/>
  <c r="AT25" i="4"/>
  <c r="AJ17" i="5" s="1"/>
  <c r="AU25" i="4"/>
  <c r="AV25" i="4"/>
  <c r="AW25" i="4"/>
  <c r="AX25" i="4"/>
  <c r="AY25" i="4"/>
  <c r="AZ25" i="4"/>
  <c r="BA25" i="4"/>
  <c r="BB25" i="4"/>
  <c r="BD25" i="4"/>
  <c r="BE25" i="4"/>
  <c r="BF25" i="4"/>
  <c r="BG25" i="4"/>
  <c r="BI25" i="4"/>
  <c r="BJ25" i="4"/>
  <c r="BK25" i="4"/>
  <c r="BL25" i="4"/>
  <c r="BM25" i="4"/>
  <c r="BN25" i="4"/>
  <c r="BO25" i="4"/>
  <c r="BP25" i="4"/>
  <c r="BQ25" i="4"/>
  <c r="AM17" i="5" s="1"/>
  <c r="BR25" i="4"/>
  <c r="BS25" i="4"/>
  <c r="BT25" i="4"/>
  <c r="BU25" i="4"/>
  <c r="BW25" i="4"/>
  <c r="BX25" i="4"/>
  <c r="BY25" i="4"/>
  <c r="BZ25" i="4"/>
  <c r="CB25" i="4"/>
  <c r="AP17" i="5" s="1"/>
  <c r="C28" i="4"/>
  <c r="E28" i="4"/>
  <c r="E58" i="4" s="1"/>
  <c r="F28" i="4"/>
  <c r="J28" i="4"/>
  <c r="G58" i="4"/>
  <c r="M58" i="4" s="1"/>
  <c r="O58" i="4" s="1"/>
  <c r="H28" i="4" s="1"/>
  <c r="I89" i="4" s="1"/>
  <c r="N28" i="4"/>
  <c r="P28" i="4"/>
  <c r="Q28" i="4"/>
  <c r="R28" i="4"/>
  <c r="AE20" i="5" s="1"/>
  <c r="S28" i="4"/>
  <c r="T28" i="4"/>
  <c r="U28" i="4"/>
  <c r="V28" i="4"/>
  <c r="W28" i="4"/>
  <c r="X28" i="4"/>
  <c r="Y28" i="4"/>
  <c r="Z28" i="4"/>
  <c r="AA28" i="4"/>
  <c r="AB28" i="4"/>
  <c r="AC28" i="4"/>
  <c r="AD28" i="4"/>
  <c r="AE28" i="4"/>
  <c r="AF28" i="4"/>
  <c r="AG28" i="4"/>
  <c r="AI28" i="4"/>
  <c r="AJ28" i="4"/>
  <c r="AK28" i="4"/>
  <c r="AG20" i="5" s="1"/>
  <c r="AL28" i="4"/>
  <c r="AM28" i="4"/>
  <c r="AH20" i="5" s="1"/>
  <c r="AN28" i="4"/>
  <c r="AO28" i="4"/>
  <c r="AP28" i="4"/>
  <c r="AQ28" i="4"/>
  <c r="AR28" i="4"/>
  <c r="AT28" i="4"/>
  <c r="AJ20" i="5" s="1"/>
  <c r="AU28" i="4"/>
  <c r="AV28" i="4"/>
  <c r="AW28" i="4"/>
  <c r="AX28" i="4"/>
  <c r="AY28" i="4"/>
  <c r="AZ28" i="4"/>
  <c r="BA28" i="4"/>
  <c r="BB28" i="4"/>
  <c r="BD28" i="4"/>
  <c r="BE28" i="4"/>
  <c r="BF28" i="4"/>
  <c r="BG28" i="4"/>
  <c r="BI28" i="4"/>
  <c r="BJ28" i="4"/>
  <c r="BK28" i="4"/>
  <c r="BL28" i="4"/>
  <c r="BM28" i="4"/>
  <c r="BN28" i="4"/>
  <c r="BO28" i="4"/>
  <c r="BP28" i="4"/>
  <c r="BR28" i="4"/>
  <c r="BS28" i="4"/>
  <c r="BT28" i="4"/>
  <c r="BU28" i="4"/>
  <c r="BW28" i="4"/>
  <c r="BX28" i="4"/>
  <c r="BY28" i="4"/>
  <c r="BZ28" i="4"/>
  <c r="CB28" i="4"/>
  <c r="AP20" i="5" s="1"/>
  <c r="C26" i="4"/>
  <c r="E26" i="4"/>
  <c r="E56" i="4" s="1"/>
  <c r="F26" i="4"/>
  <c r="J26" i="4"/>
  <c r="G56" i="4"/>
  <c r="N26" i="4"/>
  <c r="P26" i="4"/>
  <c r="Q26" i="4"/>
  <c r="R26" i="4"/>
  <c r="AE18" i="5" s="1"/>
  <c r="S26" i="4"/>
  <c r="T26" i="4"/>
  <c r="U26" i="4"/>
  <c r="V26" i="4"/>
  <c r="W26" i="4"/>
  <c r="X26" i="4"/>
  <c r="Y26" i="4"/>
  <c r="Z26" i="4"/>
  <c r="AA26" i="4"/>
  <c r="AB26" i="4"/>
  <c r="AC26" i="4"/>
  <c r="AD26" i="4"/>
  <c r="AE26" i="4"/>
  <c r="AF26" i="4"/>
  <c r="AG26" i="4"/>
  <c r="AH26" i="4"/>
  <c r="AF18" i="5" s="1"/>
  <c r="AI26" i="4"/>
  <c r="AJ26" i="4"/>
  <c r="AK26" i="4"/>
  <c r="AG18" i="5" s="1"/>
  <c r="AL26" i="4"/>
  <c r="AM26" i="4"/>
  <c r="AH18" i="5" s="1"/>
  <c r="AN26" i="4"/>
  <c r="AO26" i="4"/>
  <c r="AP26" i="4"/>
  <c r="AQ26" i="4"/>
  <c r="AR26" i="4"/>
  <c r="AT26" i="4"/>
  <c r="AJ18" i="5" s="1"/>
  <c r="AU26" i="4"/>
  <c r="AV26" i="4"/>
  <c r="AW26" i="4"/>
  <c r="AX26" i="4"/>
  <c r="AY26" i="4"/>
  <c r="AZ26" i="4"/>
  <c r="BA26" i="4"/>
  <c r="BB26" i="4"/>
  <c r="BD26" i="4"/>
  <c r="BE26" i="4"/>
  <c r="BF26" i="4"/>
  <c r="BG26" i="4"/>
  <c r="BI26" i="4"/>
  <c r="BJ26" i="4"/>
  <c r="BK26" i="4"/>
  <c r="BL26" i="4"/>
  <c r="BM26" i="4"/>
  <c r="BN26" i="4"/>
  <c r="BO26" i="4"/>
  <c r="BP26" i="4"/>
  <c r="BR26" i="4"/>
  <c r="BS26" i="4"/>
  <c r="BT26" i="4"/>
  <c r="BU26" i="4"/>
  <c r="BW26" i="4"/>
  <c r="BX26" i="4"/>
  <c r="BY26" i="4"/>
  <c r="BZ26" i="4"/>
  <c r="CB26" i="4"/>
  <c r="AP18" i="5" s="1"/>
  <c r="C39" i="4"/>
  <c r="E39" i="4"/>
  <c r="E69" i="4" s="1"/>
  <c r="F39" i="4"/>
  <c r="J39" i="4"/>
  <c r="G69" i="4"/>
  <c r="N39" i="4"/>
  <c r="P39" i="4"/>
  <c r="Q39" i="4"/>
  <c r="R39" i="4"/>
  <c r="AE31" i="5" s="1"/>
  <c r="S39" i="4"/>
  <c r="T39" i="4"/>
  <c r="U39" i="4"/>
  <c r="V39" i="4"/>
  <c r="W39" i="4"/>
  <c r="X39" i="4"/>
  <c r="Y39" i="4"/>
  <c r="Z39" i="4"/>
  <c r="AA39" i="4"/>
  <c r="AB39" i="4"/>
  <c r="AC39" i="4"/>
  <c r="AD39" i="4"/>
  <c r="AE39" i="4"/>
  <c r="AF39" i="4"/>
  <c r="AG39" i="4"/>
  <c r="AH39" i="4"/>
  <c r="AF31" i="5" s="1"/>
  <c r="AI39" i="4"/>
  <c r="AJ39" i="4"/>
  <c r="AK39" i="4"/>
  <c r="AG31" i="5" s="1"/>
  <c r="AL39" i="4"/>
  <c r="AM39" i="4"/>
  <c r="AH31" i="5" s="1"/>
  <c r="AN39" i="4"/>
  <c r="AO39" i="4"/>
  <c r="AP39" i="4"/>
  <c r="AQ39" i="4"/>
  <c r="AR39" i="4"/>
  <c r="AT39" i="4"/>
  <c r="AJ31" i="5" s="1"/>
  <c r="AU39" i="4"/>
  <c r="AV39" i="4"/>
  <c r="AW39" i="4"/>
  <c r="AX39" i="4"/>
  <c r="AY39" i="4"/>
  <c r="AZ39" i="4"/>
  <c r="BA39" i="4"/>
  <c r="BB39" i="4"/>
  <c r="BD39" i="4"/>
  <c r="BE39" i="4"/>
  <c r="BF39" i="4"/>
  <c r="BG39" i="4"/>
  <c r="BI39" i="4"/>
  <c r="BJ39" i="4"/>
  <c r="BK39" i="4"/>
  <c r="BL39" i="4"/>
  <c r="BM39" i="4"/>
  <c r="BN39" i="4"/>
  <c r="BO39" i="4"/>
  <c r="BP39" i="4"/>
  <c r="BQ39" i="4"/>
  <c r="AM31" i="5" s="1"/>
  <c r="BR39" i="4"/>
  <c r="BS39" i="4"/>
  <c r="BT39" i="4"/>
  <c r="BU39" i="4"/>
  <c r="BV39" i="4"/>
  <c r="AN31" i="5" s="1"/>
  <c r="BW39" i="4"/>
  <c r="BX39" i="4"/>
  <c r="BY39" i="4"/>
  <c r="BZ39" i="4"/>
  <c r="CB39" i="4"/>
  <c r="AP31" i="5" s="1"/>
  <c r="C40" i="4"/>
  <c r="E40" i="4"/>
  <c r="E70" i="4" s="1"/>
  <c r="F40" i="4"/>
  <c r="J40" i="4"/>
  <c r="G70" i="4"/>
  <c r="N40" i="4"/>
  <c r="P40" i="4"/>
  <c r="Q40" i="4"/>
  <c r="R40" i="4"/>
  <c r="AE32" i="5" s="1"/>
  <c r="S40" i="4"/>
  <c r="T40" i="4"/>
  <c r="U40" i="4"/>
  <c r="V40" i="4"/>
  <c r="W40" i="4"/>
  <c r="X40" i="4"/>
  <c r="Y40" i="4"/>
  <c r="Z40" i="4"/>
  <c r="AA40" i="4"/>
  <c r="AB40" i="4"/>
  <c r="AC40" i="4"/>
  <c r="AD40" i="4"/>
  <c r="AE40" i="4"/>
  <c r="AF40" i="4"/>
  <c r="AG40" i="4"/>
  <c r="AH40" i="4"/>
  <c r="AF32" i="5" s="1"/>
  <c r="AI40" i="4"/>
  <c r="AJ40" i="4"/>
  <c r="AL40" i="4"/>
  <c r="AM40" i="4"/>
  <c r="AH32" i="5" s="1"/>
  <c r="AN40" i="4"/>
  <c r="AO40" i="4"/>
  <c r="AP40" i="4"/>
  <c r="AQ40" i="4"/>
  <c r="AR40" i="4"/>
  <c r="AT40" i="4"/>
  <c r="AJ32" i="5" s="1"/>
  <c r="AU40" i="4"/>
  <c r="AV40" i="4"/>
  <c r="AW40" i="4"/>
  <c r="AX40" i="4"/>
  <c r="AY40" i="4"/>
  <c r="AZ40" i="4"/>
  <c r="BA40" i="4"/>
  <c r="BB40" i="4"/>
  <c r="BC40" i="4"/>
  <c r="AK32" i="5" s="1"/>
  <c r="BD40" i="4"/>
  <c r="BE40" i="4"/>
  <c r="BF40" i="4"/>
  <c r="BG40" i="4"/>
  <c r="BI40" i="4"/>
  <c r="BJ40" i="4"/>
  <c r="BK40" i="4"/>
  <c r="BL40" i="4"/>
  <c r="BM40" i="4"/>
  <c r="BN40" i="4"/>
  <c r="BO40" i="4"/>
  <c r="BP40" i="4"/>
  <c r="BQ40" i="4"/>
  <c r="AM32" i="5" s="1"/>
  <c r="BR40" i="4"/>
  <c r="BS40" i="4"/>
  <c r="BT40" i="4"/>
  <c r="BU40" i="4"/>
  <c r="BV40" i="4"/>
  <c r="AN32" i="5" s="1"/>
  <c r="BW40" i="4"/>
  <c r="BX40" i="4"/>
  <c r="BY40" i="4"/>
  <c r="BZ40" i="4"/>
  <c r="CB40" i="4"/>
  <c r="AP32" i="5" s="1"/>
  <c r="C36" i="4"/>
  <c r="E36" i="4"/>
  <c r="E66" i="4" s="1"/>
  <c r="F36" i="4"/>
  <c r="J36" i="4"/>
  <c r="G66" i="4"/>
  <c r="N36" i="4"/>
  <c r="P36" i="4"/>
  <c r="Q36" i="4"/>
  <c r="R36" i="4"/>
  <c r="AE28" i="5" s="1"/>
  <c r="S36" i="4"/>
  <c r="T36" i="4"/>
  <c r="U36" i="4"/>
  <c r="V36" i="4"/>
  <c r="W36" i="4"/>
  <c r="X36" i="4"/>
  <c r="Y36" i="4"/>
  <c r="Z36" i="4"/>
  <c r="AA36" i="4"/>
  <c r="AB36" i="4"/>
  <c r="AC36" i="4"/>
  <c r="AD36" i="4"/>
  <c r="AE36" i="4"/>
  <c r="AF36" i="4"/>
  <c r="AG36" i="4"/>
  <c r="AH36" i="4"/>
  <c r="AF28" i="5" s="1"/>
  <c r="AI36" i="4"/>
  <c r="AJ36" i="4"/>
  <c r="AK36" i="4"/>
  <c r="AG28" i="5" s="1"/>
  <c r="AL36" i="4"/>
  <c r="AM36" i="4"/>
  <c r="AH28" i="5" s="1"/>
  <c r="AN36" i="4"/>
  <c r="AO36" i="4"/>
  <c r="AP36" i="4"/>
  <c r="AQ36" i="4"/>
  <c r="AR36" i="4"/>
  <c r="AT36" i="4"/>
  <c r="AJ28" i="5" s="1"/>
  <c r="AU36" i="4"/>
  <c r="AV36" i="4"/>
  <c r="AW36" i="4"/>
  <c r="AX36" i="4"/>
  <c r="AY36" i="4"/>
  <c r="AZ36" i="4"/>
  <c r="BA36" i="4"/>
  <c r="BB36" i="4"/>
  <c r="BD36" i="4"/>
  <c r="BE36" i="4"/>
  <c r="BF36" i="4"/>
  <c r="BG36" i="4"/>
  <c r="BI36" i="4"/>
  <c r="BJ36" i="4"/>
  <c r="BK36" i="4"/>
  <c r="BL36" i="4"/>
  <c r="BM36" i="4"/>
  <c r="BN36" i="4"/>
  <c r="BO36" i="4"/>
  <c r="BP36" i="4"/>
  <c r="BQ36" i="4"/>
  <c r="AM28" i="5" s="1"/>
  <c r="BR36" i="4"/>
  <c r="BS36" i="4"/>
  <c r="BT36" i="4"/>
  <c r="BU36" i="4"/>
  <c r="BV36" i="4"/>
  <c r="AN28" i="5" s="1"/>
  <c r="BW36" i="4"/>
  <c r="BX36" i="4"/>
  <c r="BY36" i="4"/>
  <c r="BZ36" i="4"/>
  <c r="CB36" i="4"/>
  <c r="AP28" i="5" s="1"/>
  <c r="C37" i="4"/>
  <c r="E37" i="4"/>
  <c r="E67" i="4" s="1"/>
  <c r="F37" i="4"/>
  <c r="J37" i="4"/>
  <c r="M37" i="4"/>
  <c r="G67" i="4" s="1"/>
  <c r="N37" i="4"/>
  <c r="P37" i="4"/>
  <c r="Q37" i="4"/>
  <c r="R37" i="4"/>
  <c r="AE29" i="5" s="1"/>
  <c r="S37" i="4"/>
  <c r="T37" i="4"/>
  <c r="U37" i="4"/>
  <c r="V37" i="4"/>
  <c r="W37" i="4"/>
  <c r="X37" i="4"/>
  <c r="Y37" i="4"/>
  <c r="Z37" i="4"/>
  <c r="AA37" i="4"/>
  <c r="AB37" i="4"/>
  <c r="AC37" i="4"/>
  <c r="AD37" i="4"/>
  <c r="AE37" i="4"/>
  <c r="AF37" i="4"/>
  <c r="AG37" i="4"/>
  <c r="AH37" i="4"/>
  <c r="AF29" i="5" s="1"/>
  <c r="AI37" i="4"/>
  <c r="AJ37" i="4"/>
  <c r="AK37" i="4"/>
  <c r="AG29" i="5" s="1"/>
  <c r="AL37" i="4"/>
  <c r="AM37" i="4"/>
  <c r="AH29" i="5" s="1"/>
  <c r="AN37" i="4"/>
  <c r="AO37" i="4"/>
  <c r="AP37" i="4"/>
  <c r="AQ37" i="4"/>
  <c r="AR37" i="4"/>
  <c r="AT37" i="4"/>
  <c r="AJ29" i="5" s="1"/>
  <c r="AU37" i="4"/>
  <c r="AV37" i="4"/>
  <c r="AW37" i="4"/>
  <c r="AX37" i="4"/>
  <c r="AY37" i="4"/>
  <c r="AZ37" i="4"/>
  <c r="BA37" i="4"/>
  <c r="BB37" i="4"/>
  <c r="BD37" i="4"/>
  <c r="BE37" i="4"/>
  <c r="BF37" i="4"/>
  <c r="BG37" i="4"/>
  <c r="BI37" i="4"/>
  <c r="BJ37" i="4"/>
  <c r="BK37" i="4"/>
  <c r="BL37" i="4"/>
  <c r="BM37" i="4"/>
  <c r="BN37" i="4"/>
  <c r="BO37" i="4"/>
  <c r="BP37" i="4"/>
  <c r="BQ37" i="4"/>
  <c r="AM29" i="5" s="1"/>
  <c r="BR37" i="4"/>
  <c r="BS37" i="4"/>
  <c r="BT37" i="4"/>
  <c r="BU37" i="4"/>
  <c r="BV37" i="4"/>
  <c r="AN29" i="5" s="1"/>
  <c r="BW37" i="4"/>
  <c r="BX37" i="4"/>
  <c r="BY37" i="4"/>
  <c r="BZ37" i="4"/>
  <c r="CB37" i="4"/>
  <c r="AP29" i="5" s="1"/>
  <c r="C29" i="4"/>
  <c r="E29" i="4"/>
  <c r="E59" i="4" s="1"/>
  <c r="F29" i="4"/>
  <c r="J29" i="4"/>
  <c r="M29" i="4"/>
  <c r="G59" i="4" s="1"/>
  <c r="N29" i="4"/>
  <c r="P29" i="4"/>
  <c r="Q29" i="4"/>
  <c r="R29" i="4"/>
  <c r="AE21" i="5" s="1"/>
  <c r="S29" i="4"/>
  <c r="T29" i="4"/>
  <c r="U29" i="4"/>
  <c r="V29" i="4"/>
  <c r="W29" i="4"/>
  <c r="X29" i="4"/>
  <c r="Y29" i="4"/>
  <c r="Z29" i="4"/>
  <c r="AA29" i="4"/>
  <c r="AB29" i="4"/>
  <c r="AC29" i="4"/>
  <c r="AD29" i="4"/>
  <c r="AE29" i="4"/>
  <c r="AF29" i="4"/>
  <c r="AG29" i="4"/>
  <c r="AH29" i="4"/>
  <c r="AF21" i="5" s="1"/>
  <c r="AI29" i="4"/>
  <c r="AJ29" i="4"/>
  <c r="AK29" i="4"/>
  <c r="AG21" i="5" s="1"/>
  <c r="AL29" i="4"/>
  <c r="AM29" i="4"/>
  <c r="AH21" i="5" s="1"/>
  <c r="AN29" i="4"/>
  <c r="AO29" i="4"/>
  <c r="AP29" i="4"/>
  <c r="AQ29" i="4"/>
  <c r="AR29" i="4"/>
  <c r="AS29" i="4"/>
  <c r="AI21" i="5" s="1"/>
  <c r="AT29" i="4"/>
  <c r="AJ21" i="5" s="1"/>
  <c r="AU29" i="4"/>
  <c r="AV29" i="4"/>
  <c r="AW29" i="4"/>
  <c r="AX29" i="4"/>
  <c r="AY29" i="4"/>
  <c r="AZ29" i="4"/>
  <c r="BA29" i="4"/>
  <c r="BB29" i="4"/>
  <c r="BC29" i="4"/>
  <c r="AK21" i="5" s="1"/>
  <c r="BD29" i="4"/>
  <c r="BE29" i="4"/>
  <c r="BF29" i="4"/>
  <c r="BG29" i="4"/>
  <c r="BH29" i="4"/>
  <c r="AL21" i="5" s="1"/>
  <c r="BI29" i="4"/>
  <c r="BJ29" i="4"/>
  <c r="BK29" i="4"/>
  <c r="BL29" i="4"/>
  <c r="BM29" i="4"/>
  <c r="BN29" i="4"/>
  <c r="BO29" i="4"/>
  <c r="BP29" i="4"/>
  <c r="BQ29" i="4"/>
  <c r="AM21" i="5" s="1"/>
  <c r="BR29" i="4"/>
  <c r="BS29" i="4"/>
  <c r="BT29" i="4"/>
  <c r="BU29" i="4"/>
  <c r="BV29" i="4"/>
  <c r="AN21" i="5" s="1"/>
  <c r="BW29" i="4"/>
  <c r="BX29" i="4"/>
  <c r="BY29" i="4"/>
  <c r="BZ29" i="4"/>
  <c r="CB29" i="4"/>
  <c r="AP21" i="5" s="1"/>
  <c r="C19" i="4"/>
  <c r="E19" i="4"/>
  <c r="E49" i="4" s="1"/>
  <c r="F19" i="4"/>
  <c r="J19" i="4"/>
  <c r="G49" i="4"/>
  <c r="M49" i="4" s="1"/>
  <c r="O49" i="4" s="1"/>
  <c r="H19" i="4" s="1"/>
  <c r="I80" i="4" s="1"/>
  <c r="N19" i="4"/>
  <c r="P19" i="4"/>
  <c r="Q19" i="4"/>
  <c r="R19" i="4"/>
  <c r="AE11" i="5" s="1"/>
  <c r="S19" i="4"/>
  <c r="T19" i="4"/>
  <c r="U19" i="4"/>
  <c r="V19" i="4"/>
  <c r="W19" i="4"/>
  <c r="X19" i="4"/>
  <c r="Y19" i="4"/>
  <c r="Z19" i="4"/>
  <c r="AA19" i="4"/>
  <c r="AB19" i="4"/>
  <c r="AC19" i="4"/>
  <c r="AD19" i="4"/>
  <c r="AE19" i="4"/>
  <c r="AF19" i="4"/>
  <c r="AG19" i="4"/>
  <c r="AI19" i="4"/>
  <c r="AJ19" i="4"/>
  <c r="AK19" i="4"/>
  <c r="AG11" i="5" s="1"/>
  <c r="AL19" i="4"/>
  <c r="AM19" i="4"/>
  <c r="AH11" i="5" s="1"/>
  <c r="AN19" i="4"/>
  <c r="AO19" i="4"/>
  <c r="AP19" i="4"/>
  <c r="AQ19" i="4"/>
  <c r="AR19" i="4"/>
  <c r="AS19" i="4"/>
  <c r="AI11" i="5" s="1"/>
  <c r="AT19" i="4"/>
  <c r="AJ11" i="5" s="1"/>
  <c r="AU19" i="4"/>
  <c r="AV19" i="4"/>
  <c r="AW19" i="4"/>
  <c r="AX19" i="4"/>
  <c r="AY19" i="4"/>
  <c r="AZ19" i="4"/>
  <c r="BA19" i="4"/>
  <c r="BB19" i="4"/>
  <c r="BC19" i="4"/>
  <c r="AK11" i="5" s="1"/>
  <c r="BD19" i="4"/>
  <c r="BE19" i="4"/>
  <c r="BF19" i="4"/>
  <c r="BG19" i="4"/>
  <c r="BI19" i="4"/>
  <c r="BJ19" i="4"/>
  <c r="BK19" i="4"/>
  <c r="BL19" i="4"/>
  <c r="BM19" i="4"/>
  <c r="BN19" i="4"/>
  <c r="BO19" i="4"/>
  <c r="BP19" i="4"/>
  <c r="BQ19" i="4"/>
  <c r="AM11" i="5" s="1"/>
  <c r="BR19" i="4"/>
  <c r="BS19" i="4"/>
  <c r="BT19" i="4"/>
  <c r="BU19" i="4"/>
  <c r="BV19" i="4"/>
  <c r="AN11" i="5" s="1"/>
  <c r="BW19" i="4"/>
  <c r="BX19" i="4"/>
  <c r="BY19" i="4"/>
  <c r="BZ19" i="4"/>
  <c r="CB19" i="4"/>
  <c r="AP11" i="5" s="1"/>
  <c r="C20" i="4"/>
  <c r="E20" i="4"/>
  <c r="E50" i="4" s="1"/>
  <c r="F20" i="4"/>
  <c r="J20" i="4"/>
  <c r="M20" i="4"/>
  <c r="G50" i="4" s="1"/>
  <c r="N20" i="4"/>
  <c r="P20" i="4"/>
  <c r="Q20" i="4"/>
  <c r="R20" i="4"/>
  <c r="AE12" i="5" s="1"/>
  <c r="S20" i="4"/>
  <c r="T20" i="4"/>
  <c r="U20" i="4"/>
  <c r="V20" i="4"/>
  <c r="W20" i="4"/>
  <c r="X20" i="4"/>
  <c r="Y20" i="4"/>
  <c r="Z20" i="4"/>
  <c r="AA20" i="4"/>
  <c r="AB20" i="4"/>
  <c r="AC20" i="4"/>
  <c r="AD20" i="4"/>
  <c r="AE20" i="4"/>
  <c r="AF20" i="4"/>
  <c r="AG20" i="4"/>
  <c r="AH20" i="4"/>
  <c r="AF12" i="5" s="1"/>
  <c r="AI20" i="4"/>
  <c r="AJ20" i="4"/>
  <c r="AK20" i="4"/>
  <c r="AG12" i="5" s="1"/>
  <c r="AL20" i="4"/>
  <c r="AM20" i="4"/>
  <c r="AH12" i="5" s="1"/>
  <c r="AN20" i="4"/>
  <c r="AO20" i="4"/>
  <c r="AP20" i="4"/>
  <c r="AQ20" i="4"/>
  <c r="AR20" i="4"/>
  <c r="AS20" i="4"/>
  <c r="AI12" i="5" s="1"/>
  <c r="AT20" i="4"/>
  <c r="AJ12" i="5" s="1"/>
  <c r="AU20" i="4"/>
  <c r="AV20" i="4"/>
  <c r="AW20" i="4"/>
  <c r="AX20" i="4"/>
  <c r="AY20" i="4"/>
  <c r="AZ20" i="4"/>
  <c r="BA20" i="4"/>
  <c r="BB20" i="4"/>
  <c r="BC20" i="4"/>
  <c r="AK12" i="5" s="1"/>
  <c r="BD20" i="4"/>
  <c r="BE20" i="4"/>
  <c r="BF20" i="4"/>
  <c r="BG20" i="4"/>
  <c r="BI20" i="4"/>
  <c r="BJ20" i="4"/>
  <c r="BK20" i="4"/>
  <c r="BL20" i="4"/>
  <c r="BM20" i="4"/>
  <c r="BN20" i="4"/>
  <c r="BO20" i="4"/>
  <c r="BP20" i="4"/>
  <c r="BR20" i="4"/>
  <c r="BS20" i="4"/>
  <c r="BT20" i="4"/>
  <c r="BU20" i="4"/>
  <c r="BV20" i="4"/>
  <c r="AN12" i="5" s="1"/>
  <c r="BW20" i="4"/>
  <c r="BX20" i="4"/>
  <c r="BY20" i="4"/>
  <c r="BZ20" i="4"/>
  <c r="CB20" i="4"/>
  <c r="AP12" i="5" s="1"/>
  <c r="C22" i="4"/>
  <c r="E22" i="4"/>
  <c r="E52" i="4" s="1"/>
  <c r="F22" i="4"/>
  <c r="J22" i="4"/>
  <c r="G52" i="4"/>
  <c r="N22" i="4"/>
  <c r="P22" i="4"/>
  <c r="Q22" i="4"/>
  <c r="R22" i="4"/>
  <c r="AE14" i="5" s="1"/>
  <c r="S22" i="4"/>
  <c r="T22" i="4"/>
  <c r="U22" i="4"/>
  <c r="V22" i="4"/>
  <c r="W22" i="4"/>
  <c r="X22" i="4"/>
  <c r="Y22" i="4"/>
  <c r="Z22" i="4"/>
  <c r="AA22" i="4"/>
  <c r="AB22" i="4"/>
  <c r="AC22" i="4"/>
  <c r="AD22" i="4"/>
  <c r="AE22" i="4"/>
  <c r="AF22" i="4"/>
  <c r="AG22" i="4"/>
  <c r="AH22" i="4"/>
  <c r="AF14" i="5" s="1"/>
  <c r="AI22" i="4"/>
  <c r="AJ22" i="4"/>
  <c r="AK22" i="4"/>
  <c r="AG14" i="5" s="1"/>
  <c r="AL22" i="4"/>
  <c r="AM22" i="4"/>
  <c r="AH14" i="5" s="1"/>
  <c r="AN22" i="4"/>
  <c r="AO22" i="4"/>
  <c r="AP22" i="4"/>
  <c r="AQ22" i="4"/>
  <c r="AR22" i="4"/>
  <c r="AS22" i="4"/>
  <c r="AI14" i="5" s="1"/>
  <c r="AT22" i="4"/>
  <c r="AJ14" i="5" s="1"/>
  <c r="AU22" i="4"/>
  <c r="AV22" i="4"/>
  <c r="AW22" i="4"/>
  <c r="AX22" i="4"/>
  <c r="AY22" i="4"/>
  <c r="AZ22" i="4"/>
  <c r="BA22" i="4"/>
  <c r="BB22" i="4"/>
  <c r="BC22" i="4"/>
  <c r="AK14" i="5" s="1"/>
  <c r="BD22" i="4"/>
  <c r="BE22" i="4"/>
  <c r="BF22" i="4"/>
  <c r="BG22" i="4"/>
  <c r="BI22" i="4"/>
  <c r="BJ22" i="4"/>
  <c r="BK22" i="4"/>
  <c r="BL22" i="4"/>
  <c r="BM22" i="4"/>
  <c r="BN22" i="4"/>
  <c r="BO22" i="4"/>
  <c r="BP22" i="4"/>
  <c r="BR22" i="4"/>
  <c r="BS22" i="4"/>
  <c r="BT22" i="4"/>
  <c r="BU22" i="4"/>
  <c r="BV22" i="4"/>
  <c r="AN14" i="5" s="1"/>
  <c r="BW22" i="4"/>
  <c r="BX22" i="4"/>
  <c r="BY22" i="4"/>
  <c r="BZ22" i="4"/>
  <c r="CB22" i="4"/>
  <c r="AP14" i="5" s="1"/>
  <c r="C21" i="4"/>
  <c r="E21" i="4"/>
  <c r="E51" i="4" s="1"/>
  <c r="F21" i="4"/>
  <c r="J21" i="4"/>
  <c r="M21" i="4"/>
  <c r="G51" i="4" s="1"/>
  <c r="N21" i="4"/>
  <c r="P21" i="4"/>
  <c r="Q21" i="4"/>
  <c r="R21" i="4"/>
  <c r="AE13" i="5" s="1"/>
  <c r="S21" i="4"/>
  <c r="T21" i="4"/>
  <c r="U21" i="4"/>
  <c r="V21" i="4"/>
  <c r="W21" i="4"/>
  <c r="X21" i="4"/>
  <c r="Y21" i="4"/>
  <c r="Z21" i="4"/>
  <c r="AA21" i="4"/>
  <c r="AB21" i="4"/>
  <c r="AC21" i="4"/>
  <c r="AD21" i="4"/>
  <c r="AE21" i="4"/>
  <c r="AF21" i="4"/>
  <c r="AG21" i="4"/>
  <c r="AH21" i="4"/>
  <c r="AF13" i="5" s="1"/>
  <c r="AI21" i="4"/>
  <c r="AJ21" i="4"/>
  <c r="AK21" i="4"/>
  <c r="AG13" i="5" s="1"/>
  <c r="AL21" i="4"/>
  <c r="AM21" i="4"/>
  <c r="AH13" i="5" s="1"/>
  <c r="AN21" i="4"/>
  <c r="AO21" i="4"/>
  <c r="AP21" i="4"/>
  <c r="AQ21" i="4"/>
  <c r="AR21" i="4"/>
  <c r="AS21" i="4"/>
  <c r="AI13" i="5" s="1"/>
  <c r="AT21" i="4"/>
  <c r="AJ13" i="5" s="1"/>
  <c r="AU21" i="4"/>
  <c r="AV21" i="4"/>
  <c r="AW21" i="4"/>
  <c r="AX21" i="4"/>
  <c r="AY21" i="4"/>
  <c r="AZ21" i="4"/>
  <c r="BA21" i="4"/>
  <c r="BB21" i="4"/>
  <c r="BC21" i="4"/>
  <c r="AK13" i="5" s="1"/>
  <c r="BD21" i="4"/>
  <c r="BE21" i="4"/>
  <c r="BF21" i="4"/>
  <c r="BG21" i="4"/>
  <c r="BI21" i="4"/>
  <c r="BJ21" i="4"/>
  <c r="BK21" i="4"/>
  <c r="BL21" i="4"/>
  <c r="BM21" i="4"/>
  <c r="BN21" i="4"/>
  <c r="BO21" i="4"/>
  <c r="BP21" i="4"/>
  <c r="BR21" i="4"/>
  <c r="BS21" i="4"/>
  <c r="BT21" i="4"/>
  <c r="BU21" i="4"/>
  <c r="BV21" i="4"/>
  <c r="AN13" i="5" s="1"/>
  <c r="BW21" i="4"/>
  <c r="BX21" i="4"/>
  <c r="BY21" i="4"/>
  <c r="BZ21" i="4"/>
  <c r="CB21" i="4"/>
  <c r="AP13" i="5" s="1"/>
  <c r="C23" i="4"/>
  <c r="E23" i="4"/>
  <c r="E53" i="4" s="1"/>
  <c r="F23" i="4"/>
  <c r="J23" i="4"/>
  <c r="G53" i="4"/>
  <c r="N23" i="4"/>
  <c r="P23" i="4"/>
  <c r="Q23" i="4"/>
  <c r="R23" i="4"/>
  <c r="AE15" i="5" s="1"/>
  <c r="S23" i="4"/>
  <c r="T23" i="4"/>
  <c r="U23" i="4"/>
  <c r="V23" i="4"/>
  <c r="W23" i="4"/>
  <c r="X23" i="4"/>
  <c r="Y23" i="4"/>
  <c r="Z23" i="4"/>
  <c r="AA23" i="4"/>
  <c r="AB23" i="4"/>
  <c r="AC23" i="4"/>
  <c r="AD23" i="4"/>
  <c r="AE23" i="4"/>
  <c r="AF23" i="4"/>
  <c r="AG23" i="4"/>
  <c r="AI23" i="4"/>
  <c r="AJ23" i="4"/>
  <c r="AK23" i="4"/>
  <c r="AG15" i="5" s="1"/>
  <c r="AL23" i="4"/>
  <c r="AM23" i="4"/>
  <c r="AH15" i="5" s="1"/>
  <c r="AN23" i="4"/>
  <c r="AO23" i="4"/>
  <c r="AP23" i="4"/>
  <c r="AQ23" i="4"/>
  <c r="AR23" i="4"/>
  <c r="AS23" i="4"/>
  <c r="AI15" i="5" s="1"/>
  <c r="AT23" i="4"/>
  <c r="AJ15" i="5" s="1"/>
  <c r="AU23" i="4"/>
  <c r="AV23" i="4"/>
  <c r="AW23" i="4"/>
  <c r="AX23" i="4"/>
  <c r="AY23" i="4"/>
  <c r="AZ23" i="4"/>
  <c r="BA23" i="4"/>
  <c r="BB23" i="4"/>
  <c r="BC23" i="4"/>
  <c r="AK15" i="5" s="1"/>
  <c r="BD23" i="4"/>
  <c r="BE23" i="4"/>
  <c r="BF23" i="4"/>
  <c r="BG23" i="4"/>
  <c r="BI23" i="4"/>
  <c r="BJ23" i="4"/>
  <c r="BK23" i="4"/>
  <c r="BL23" i="4"/>
  <c r="BM23" i="4"/>
  <c r="BN23" i="4"/>
  <c r="BO23" i="4"/>
  <c r="BP23" i="4"/>
  <c r="BR23" i="4"/>
  <c r="BS23" i="4"/>
  <c r="BT23" i="4"/>
  <c r="BU23" i="4"/>
  <c r="BV23" i="4"/>
  <c r="AN15" i="5" s="1"/>
  <c r="BW23" i="4"/>
  <c r="BX23" i="4"/>
  <c r="BY23" i="4"/>
  <c r="BZ23" i="4"/>
  <c r="CB23" i="4"/>
  <c r="AP15" i="5" s="1"/>
  <c r="C43" i="4"/>
  <c r="E43" i="4"/>
  <c r="E73" i="4" s="1"/>
  <c r="F43" i="4"/>
  <c r="J43" i="4"/>
  <c r="M43" i="4"/>
  <c r="G73" i="4" s="1"/>
  <c r="N43" i="4"/>
  <c r="Q43" i="4"/>
  <c r="R43" i="4"/>
  <c r="AE35" i="5" s="1"/>
  <c r="S43" i="4"/>
  <c r="T43" i="4"/>
  <c r="U43" i="4"/>
  <c r="V43" i="4"/>
  <c r="W43" i="4"/>
  <c r="X43" i="4"/>
  <c r="Y43" i="4"/>
  <c r="Z43" i="4"/>
  <c r="AA43" i="4"/>
  <c r="AB43" i="4"/>
  <c r="AC43" i="4"/>
  <c r="AD43" i="4"/>
  <c r="AE43" i="4"/>
  <c r="AF43" i="4"/>
  <c r="AG43" i="4"/>
  <c r="AI43" i="4"/>
  <c r="AJ43" i="4"/>
  <c r="AK43" i="4"/>
  <c r="AG35" i="5" s="1"/>
  <c r="AL43" i="4"/>
  <c r="AM43" i="4"/>
  <c r="AH35" i="5" s="1"/>
  <c r="AN43" i="4"/>
  <c r="AO43" i="4"/>
  <c r="AP43" i="4"/>
  <c r="AQ43" i="4"/>
  <c r="AR43" i="4"/>
  <c r="AS43" i="4"/>
  <c r="AI35" i="5" s="1"/>
  <c r="AT43" i="4"/>
  <c r="AJ35" i="5" s="1"/>
  <c r="AU43" i="4"/>
  <c r="AV43" i="4"/>
  <c r="AW43" i="4"/>
  <c r="AX43" i="4"/>
  <c r="AY43" i="4"/>
  <c r="AZ43" i="4"/>
  <c r="BA43" i="4"/>
  <c r="BB43" i="4"/>
  <c r="BD43" i="4"/>
  <c r="BE43" i="4"/>
  <c r="BF43" i="4"/>
  <c r="BG43" i="4"/>
  <c r="BI43" i="4"/>
  <c r="BJ43" i="4"/>
  <c r="BK43" i="4"/>
  <c r="BL43" i="4"/>
  <c r="BM43" i="4"/>
  <c r="BN43" i="4"/>
  <c r="BO43" i="4"/>
  <c r="BP43" i="4"/>
  <c r="BQ43" i="4"/>
  <c r="AM35" i="5" s="1"/>
  <c r="BR43" i="4"/>
  <c r="BS43" i="4"/>
  <c r="BT43" i="4"/>
  <c r="BU43" i="4"/>
  <c r="BW43" i="4"/>
  <c r="C33" i="4"/>
  <c r="E33" i="4"/>
  <c r="E63" i="4" s="1"/>
  <c r="F33" i="4"/>
  <c r="J33" i="4"/>
  <c r="G63" i="4"/>
  <c r="N33" i="4"/>
  <c r="Q33" i="4"/>
  <c r="R33" i="4"/>
  <c r="AE25" i="5" s="1"/>
  <c r="S33" i="4"/>
  <c r="T33" i="4"/>
  <c r="U33" i="4"/>
  <c r="V33" i="4"/>
  <c r="W33" i="4"/>
  <c r="X33" i="4"/>
  <c r="Y33" i="4"/>
  <c r="Z33" i="4"/>
  <c r="AA33" i="4"/>
  <c r="AB33" i="4"/>
  <c r="AC33" i="4"/>
  <c r="AD33" i="4"/>
  <c r="AE33" i="4"/>
  <c r="AF33" i="4"/>
  <c r="AG33" i="4"/>
  <c r="AI33" i="4"/>
  <c r="AJ33" i="4"/>
  <c r="AK33" i="4"/>
  <c r="AG25" i="5" s="1"/>
  <c r="AL33" i="4"/>
  <c r="AM33" i="4"/>
  <c r="AH25" i="5" s="1"/>
  <c r="AN33" i="4"/>
  <c r="AO33" i="4"/>
  <c r="AP33" i="4"/>
  <c r="AQ33" i="4"/>
  <c r="AR33" i="4"/>
  <c r="AU33" i="4"/>
  <c r="AV33" i="4"/>
  <c r="AW33" i="4"/>
  <c r="AX33" i="4"/>
  <c r="AY33" i="4"/>
  <c r="AZ33" i="4"/>
  <c r="BA33" i="4"/>
  <c r="BB33" i="4"/>
  <c r="BD33" i="4"/>
  <c r="BE33" i="4"/>
  <c r="BF33" i="4"/>
  <c r="BG33" i="4"/>
  <c r="BI33" i="4"/>
  <c r="BJ33" i="4"/>
  <c r="BK33" i="4"/>
  <c r="BL33" i="4"/>
  <c r="BM33" i="4"/>
  <c r="BN33" i="4"/>
  <c r="BO33" i="4"/>
  <c r="BP33" i="4"/>
  <c r="BQ33" i="4"/>
  <c r="AM25" i="5" s="1"/>
  <c r="BR33" i="4"/>
  <c r="BS33" i="4"/>
  <c r="BT33" i="4"/>
  <c r="BU33" i="4"/>
  <c r="BW33" i="4"/>
  <c r="BX33" i="4"/>
  <c r="BY33" i="4"/>
  <c r="BZ33" i="4"/>
  <c r="CB33" i="4"/>
  <c r="AP25" i="5" s="1"/>
  <c r="C41" i="4"/>
  <c r="E41" i="4"/>
  <c r="E71" i="4" s="1"/>
  <c r="F41" i="4"/>
  <c r="J41" i="4"/>
  <c r="M41" i="4"/>
  <c r="G71" i="4" s="1"/>
  <c r="N41" i="4"/>
  <c r="P41" i="4"/>
  <c r="Q41" i="4"/>
  <c r="R41" i="4"/>
  <c r="AE33" i="5" s="1"/>
  <c r="S41" i="4"/>
  <c r="T41" i="4"/>
  <c r="U41" i="4"/>
  <c r="V41" i="4"/>
  <c r="W41" i="4"/>
  <c r="X41" i="4"/>
  <c r="Y41" i="4"/>
  <c r="Z41" i="4"/>
  <c r="AA41" i="4"/>
  <c r="AB41" i="4"/>
  <c r="AC41" i="4"/>
  <c r="AD41" i="4"/>
  <c r="AE41" i="4"/>
  <c r="AF41" i="4"/>
  <c r="AG41" i="4"/>
  <c r="AH41" i="4"/>
  <c r="AF33" i="5" s="1"/>
  <c r="AI41" i="4"/>
  <c r="AJ41" i="4"/>
  <c r="AK41" i="4"/>
  <c r="AG33" i="5" s="1"/>
  <c r="AL41" i="4"/>
  <c r="AM41" i="4"/>
  <c r="AH33" i="5" s="1"/>
  <c r="AN41" i="4"/>
  <c r="AO41" i="4"/>
  <c r="AP41" i="4"/>
  <c r="AQ41" i="4"/>
  <c r="AR41" i="4"/>
  <c r="AS41" i="4"/>
  <c r="AI33" i="5" s="1"/>
  <c r="AT41" i="4"/>
  <c r="AJ33" i="5" s="1"/>
  <c r="AU41" i="4"/>
  <c r="AV41" i="4"/>
  <c r="AW41" i="4"/>
  <c r="AX41" i="4"/>
  <c r="AY41" i="4"/>
  <c r="AZ41" i="4"/>
  <c r="BA41" i="4"/>
  <c r="BB41" i="4"/>
  <c r="BC41" i="4"/>
  <c r="AK33" i="5" s="1"/>
  <c r="BD41" i="4"/>
  <c r="BE41" i="4"/>
  <c r="BF41" i="4"/>
  <c r="BG41" i="4"/>
  <c r="BH41" i="4"/>
  <c r="AL33" i="5" s="1"/>
  <c r="BI41" i="4"/>
  <c r="BJ41" i="4"/>
  <c r="BK41" i="4"/>
  <c r="BL41" i="4"/>
  <c r="BM41" i="4"/>
  <c r="BN41" i="4"/>
  <c r="BO41" i="4"/>
  <c r="BP41" i="4"/>
  <c r="BQ41" i="4"/>
  <c r="AM33" i="5" s="1"/>
  <c r="BR41" i="4"/>
  <c r="BS41" i="4"/>
  <c r="BT41" i="4"/>
  <c r="BU41" i="4"/>
  <c r="BV41" i="4"/>
  <c r="AN33" i="5" s="1"/>
  <c r="BW41" i="4"/>
  <c r="BX41" i="4"/>
  <c r="C32" i="4"/>
  <c r="E32" i="4"/>
  <c r="E62" i="4" s="1"/>
  <c r="F32" i="4"/>
  <c r="J32" i="4"/>
  <c r="M32" i="4"/>
  <c r="G62" i="4" s="1"/>
  <c r="M62" i="4" s="1"/>
  <c r="O62" i="4" s="1"/>
  <c r="H32" i="4" s="1"/>
  <c r="I93" i="4" s="1"/>
  <c r="N32" i="4"/>
  <c r="P32" i="4"/>
  <c r="Q32" i="4"/>
  <c r="R32" i="4"/>
  <c r="AE24" i="5" s="1"/>
  <c r="S32" i="4"/>
  <c r="T32" i="4"/>
  <c r="U32" i="4"/>
  <c r="V32" i="4"/>
  <c r="W32" i="4"/>
  <c r="X32" i="4"/>
  <c r="Y32" i="4"/>
  <c r="Z32" i="4"/>
  <c r="AA32" i="4"/>
  <c r="AB32" i="4"/>
  <c r="AC32" i="4"/>
  <c r="AD32" i="4"/>
  <c r="AE32" i="4"/>
  <c r="AF32" i="4"/>
  <c r="AG32" i="4"/>
  <c r="AI32" i="4"/>
  <c r="AJ32" i="4"/>
  <c r="AK32" i="4"/>
  <c r="AG24" i="5" s="1"/>
  <c r="AL32" i="4"/>
  <c r="AM32" i="4"/>
  <c r="AH24" i="5" s="1"/>
  <c r="AN32" i="4"/>
  <c r="AO32" i="4"/>
  <c r="AP32" i="4"/>
  <c r="AQ32" i="4"/>
  <c r="AR32" i="4"/>
  <c r="AT32" i="4"/>
  <c r="AJ24" i="5" s="1"/>
  <c r="AU32" i="4"/>
  <c r="AV32" i="4"/>
  <c r="AW32" i="4"/>
  <c r="AX32" i="4"/>
  <c r="AY32" i="4"/>
  <c r="AZ32" i="4"/>
  <c r="BA32" i="4"/>
  <c r="BB32" i="4"/>
  <c r="BD32" i="4"/>
  <c r="BE32" i="4"/>
  <c r="BF32" i="4"/>
  <c r="BG32" i="4"/>
  <c r="BI32" i="4"/>
  <c r="BJ32" i="4"/>
  <c r="BK32" i="4"/>
  <c r="BL32" i="4"/>
  <c r="BM32" i="4"/>
  <c r="BN32" i="4"/>
  <c r="BO32" i="4"/>
  <c r="BP32" i="4"/>
  <c r="BQ32" i="4"/>
  <c r="AM24" i="5" s="1"/>
  <c r="BR32" i="4"/>
  <c r="BS32" i="4"/>
  <c r="BT32" i="4"/>
  <c r="BU32" i="4"/>
  <c r="BW32" i="4"/>
  <c r="BX32" i="4"/>
  <c r="BY32" i="4"/>
  <c r="BZ32" i="4"/>
  <c r="CB32" i="4"/>
  <c r="AP24" i="5" s="1"/>
  <c r="C34" i="4"/>
  <c r="E34" i="4"/>
  <c r="E64" i="4" s="1"/>
  <c r="F34" i="4"/>
  <c r="J34" i="4"/>
  <c r="G64" i="4"/>
  <c r="N34" i="4"/>
  <c r="P34" i="4"/>
  <c r="Q34" i="4"/>
  <c r="R34" i="4"/>
  <c r="AE26" i="5" s="1"/>
  <c r="S34" i="4"/>
  <c r="T34" i="4"/>
  <c r="U34" i="4"/>
  <c r="V34" i="4"/>
  <c r="W34" i="4"/>
  <c r="X34" i="4"/>
  <c r="Y34" i="4"/>
  <c r="Z34" i="4"/>
  <c r="AA34" i="4"/>
  <c r="AB34" i="4"/>
  <c r="AC34" i="4"/>
  <c r="AD34" i="4"/>
  <c r="AE34" i="4"/>
  <c r="AF34" i="4"/>
  <c r="AG34" i="4"/>
  <c r="AI34" i="4"/>
  <c r="AJ34" i="4"/>
  <c r="AK34" i="4"/>
  <c r="AG26" i="5" s="1"/>
  <c r="AL34" i="4"/>
  <c r="AM34" i="4"/>
  <c r="AH26" i="5" s="1"/>
  <c r="AN34" i="4"/>
  <c r="AO34" i="4"/>
  <c r="AP34" i="4"/>
  <c r="AQ34" i="4"/>
  <c r="AR34" i="4"/>
  <c r="AS34" i="4"/>
  <c r="AI26" i="5" s="1"/>
  <c r="AU34" i="4"/>
  <c r="AV34" i="4"/>
  <c r="AW34" i="4"/>
  <c r="AX34" i="4"/>
  <c r="AY34" i="4"/>
  <c r="AZ34" i="4"/>
  <c r="BA34" i="4"/>
  <c r="BB34" i="4"/>
  <c r="BD34" i="4"/>
  <c r="BE34" i="4"/>
  <c r="BF34" i="4"/>
  <c r="BG34" i="4"/>
  <c r="BI34" i="4"/>
  <c r="BJ34" i="4"/>
  <c r="BK34" i="4"/>
  <c r="BL34" i="4"/>
  <c r="BM34" i="4"/>
  <c r="BN34" i="4"/>
  <c r="BO34" i="4"/>
  <c r="BP34" i="4"/>
  <c r="BQ34" i="4"/>
  <c r="AM26" i="5" s="1"/>
  <c r="BR34" i="4"/>
  <c r="BS34" i="4"/>
  <c r="BT34" i="4"/>
  <c r="BU34" i="4"/>
  <c r="BW34" i="4"/>
  <c r="BX34" i="4"/>
  <c r="BY34" i="4"/>
  <c r="BZ34" i="4"/>
  <c r="CB34" i="4"/>
  <c r="AP26" i="5" s="1"/>
  <c r="C30" i="4"/>
  <c r="E30" i="4"/>
  <c r="E60" i="4" s="1"/>
  <c r="F30" i="4"/>
  <c r="J30" i="4"/>
  <c r="G60" i="4"/>
  <c r="M60" i="4" s="1"/>
  <c r="O60" i="4" s="1"/>
  <c r="H30" i="4" s="1"/>
  <c r="I91" i="4" s="1"/>
  <c r="N30" i="4"/>
  <c r="P30" i="4"/>
  <c r="Q30" i="4"/>
  <c r="R30" i="4"/>
  <c r="AE22" i="5" s="1"/>
  <c r="S30" i="4"/>
  <c r="T30" i="4"/>
  <c r="U30" i="4"/>
  <c r="V30" i="4"/>
  <c r="W30" i="4"/>
  <c r="X30" i="4"/>
  <c r="Y30" i="4"/>
  <c r="Z30" i="4"/>
  <c r="AA30" i="4"/>
  <c r="AB30" i="4"/>
  <c r="AC30" i="4"/>
  <c r="AD30" i="4"/>
  <c r="AE30" i="4"/>
  <c r="AF30" i="4"/>
  <c r="AG30" i="4"/>
  <c r="AI30" i="4"/>
  <c r="AJ30" i="4"/>
  <c r="AK30" i="4"/>
  <c r="AG22" i="5" s="1"/>
  <c r="AL30" i="4"/>
  <c r="AM30" i="4"/>
  <c r="AH22" i="5" s="1"/>
  <c r="AN30" i="4"/>
  <c r="AO30" i="4"/>
  <c r="AP30" i="4"/>
  <c r="AQ30" i="4"/>
  <c r="AR30" i="4"/>
  <c r="AT30" i="4"/>
  <c r="AJ22" i="5" s="1"/>
  <c r="AU30" i="4"/>
  <c r="AV30" i="4"/>
  <c r="AW30" i="4"/>
  <c r="AX30" i="4"/>
  <c r="AY30" i="4"/>
  <c r="AZ30" i="4"/>
  <c r="BA30" i="4"/>
  <c r="BB30" i="4"/>
  <c r="BD30" i="4"/>
  <c r="BE30" i="4"/>
  <c r="BF30" i="4"/>
  <c r="BG30" i="4"/>
  <c r="BI30" i="4"/>
  <c r="BJ30" i="4"/>
  <c r="BK30" i="4"/>
  <c r="BL30" i="4"/>
  <c r="BM30" i="4"/>
  <c r="BN30" i="4"/>
  <c r="BO30" i="4"/>
  <c r="BP30" i="4"/>
  <c r="BQ30" i="4"/>
  <c r="AM22" i="5" s="1"/>
  <c r="BR30" i="4"/>
  <c r="BS30" i="4"/>
  <c r="BT30" i="4"/>
  <c r="BU30" i="4"/>
  <c r="BW30" i="4"/>
  <c r="BX30" i="4"/>
  <c r="BY30" i="4"/>
  <c r="BZ30" i="4"/>
  <c r="CB30" i="4"/>
  <c r="AP22" i="5" s="1"/>
  <c r="C35" i="4"/>
  <c r="E35" i="4"/>
  <c r="E65" i="4" s="1"/>
  <c r="F35" i="4"/>
  <c r="J35" i="4"/>
  <c r="G65" i="4"/>
  <c r="N35" i="4"/>
  <c r="P35" i="4"/>
  <c r="Q35" i="4"/>
  <c r="R35" i="4"/>
  <c r="AE27" i="5" s="1"/>
  <c r="S35" i="4"/>
  <c r="T35" i="4"/>
  <c r="U35" i="4"/>
  <c r="V35" i="4"/>
  <c r="W35" i="4"/>
  <c r="X35" i="4"/>
  <c r="Y35" i="4"/>
  <c r="Z35" i="4"/>
  <c r="AA35" i="4"/>
  <c r="AB35" i="4"/>
  <c r="AC35" i="4"/>
  <c r="AD35" i="4"/>
  <c r="AE35" i="4"/>
  <c r="AF35" i="4"/>
  <c r="AG35" i="4"/>
  <c r="AI35" i="4"/>
  <c r="AJ35" i="4"/>
  <c r="AK35" i="4"/>
  <c r="AG27" i="5" s="1"/>
  <c r="AL35" i="4"/>
  <c r="AM35" i="4"/>
  <c r="AH27" i="5" s="1"/>
  <c r="AN35" i="4"/>
  <c r="AO35" i="4"/>
  <c r="AP35" i="4"/>
  <c r="AQ35" i="4"/>
  <c r="AR35" i="4"/>
  <c r="AS35" i="4"/>
  <c r="AI27" i="5" s="1"/>
  <c r="AT35" i="4"/>
  <c r="AJ27" i="5" s="1"/>
  <c r="AU35" i="4"/>
  <c r="AV35" i="4"/>
  <c r="AW35" i="4"/>
  <c r="AX35" i="4"/>
  <c r="AY35" i="4"/>
  <c r="AZ35" i="4"/>
  <c r="BA35" i="4"/>
  <c r="BB35" i="4"/>
  <c r="BD35" i="4"/>
  <c r="BE35" i="4"/>
  <c r="BF35" i="4"/>
  <c r="BG35" i="4"/>
  <c r="BH35" i="4"/>
  <c r="AL27" i="5" s="1"/>
  <c r="BI35" i="4"/>
  <c r="BJ35" i="4"/>
  <c r="BK35" i="4"/>
  <c r="BL35" i="4"/>
  <c r="BM35" i="4"/>
  <c r="BN35" i="4"/>
  <c r="BO35" i="4"/>
  <c r="BP35" i="4"/>
  <c r="BQ35" i="4"/>
  <c r="AM27" i="5" s="1"/>
  <c r="BR35" i="4"/>
  <c r="BS35" i="4"/>
  <c r="BT35" i="4"/>
  <c r="BU35" i="4"/>
  <c r="BW35" i="4"/>
  <c r="BX35" i="4"/>
  <c r="BY35" i="4"/>
  <c r="BZ35" i="4"/>
  <c r="CB35" i="4"/>
  <c r="AP27" i="5" s="1"/>
  <c r="C24" i="4"/>
  <c r="E24" i="4"/>
  <c r="E54" i="4" s="1"/>
  <c r="F24" i="4"/>
  <c r="J24" i="4"/>
  <c r="M24" i="4"/>
  <c r="G54" i="4" s="1"/>
  <c r="M54" i="4" s="1"/>
  <c r="O54" i="4" s="1"/>
  <c r="H24" i="4" s="1"/>
  <c r="I85" i="4" s="1"/>
  <c r="N24" i="4"/>
  <c r="P24" i="4"/>
  <c r="Q24" i="4"/>
  <c r="R24" i="4"/>
  <c r="AE16" i="5" s="1"/>
  <c r="S24" i="4"/>
  <c r="T24" i="4"/>
  <c r="U24" i="4"/>
  <c r="V24" i="4"/>
  <c r="W24" i="4"/>
  <c r="X24" i="4"/>
  <c r="Y24" i="4"/>
  <c r="Z24" i="4"/>
  <c r="AA24" i="4"/>
  <c r="AB24" i="4"/>
  <c r="AC24" i="4"/>
  <c r="AD24" i="4"/>
  <c r="AE24" i="4"/>
  <c r="AF24" i="4"/>
  <c r="AG24" i="4"/>
  <c r="AI24" i="4"/>
  <c r="AJ24" i="4"/>
  <c r="AK24" i="4"/>
  <c r="AG16" i="5" s="1"/>
  <c r="AL24" i="4"/>
  <c r="AM24" i="4"/>
  <c r="AH16" i="5" s="1"/>
  <c r="AN24" i="4"/>
  <c r="AO24" i="4"/>
  <c r="AP24" i="4"/>
  <c r="AQ24" i="4"/>
  <c r="AR24" i="4"/>
  <c r="AT24" i="4"/>
  <c r="AJ16" i="5" s="1"/>
  <c r="AU24" i="4"/>
  <c r="AV24" i="4"/>
  <c r="AW24" i="4"/>
  <c r="AX24" i="4"/>
  <c r="AY24" i="4"/>
  <c r="AZ24" i="4"/>
  <c r="BA24" i="4"/>
  <c r="BB24" i="4"/>
  <c r="BD24" i="4"/>
  <c r="BE24" i="4"/>
  <c r="BF24" i="4"/>
  <c r="BG24" i="4"/>
  <c r="BH24" i="4"/>
  <c r="AL16" i="5" s="1"/>
  <c r="BI24" i="4"/>
  <c r="BJ24" i="4"/>
  <c r="BK24" i="4"/>
  <c r="BL24" i="4"/>
  <c r="BM24" i="4"/>
  <c r="BN24" i="4"/>
  <c r="BO24" i="4"/>
  <c r="BP24" i="4"/>
  <c r="BQ24" i="4"/>
  <c r="AM16" i="5" s="1"/>
  <c r="BR24" i="4"/>
  <c r="BS24" i="4"/>
  <c r="BT24" i="4"/>
  <c r="BU24" i="4"/>
  <c r="BW24" i="4"/>
  <c r="BX24" i="4"/>
  <c r="BY24" i="4"/>
  <c r="BZ24" i="4"/>
  <c r="CB24" i="4"/>
  <c r="AP16" i="5" s="1"/>
  <c r="C31" i="4"/>
  <c r="E31" i="4"/>
  <c r="E61" i="4" s="1"/>
  <c r="F31" i="4"/>
  <c r="J31" i="4"/>
  <c r="M31" i="4"/>
  <c r="G61" i="4" s="1"/>
  <c r="N31" i="4"/>
  <c r="P31" i="4"/>
  <c r="Q31" i="4"/>
  <c r="R31" i="4"/>
  <c r="AE23" i="5" s="1"/>
  <c r="S31" i="4"/>
  <c r="T31" i="4"/>
  <c r="U31" i="4"/>
  <c r="V31" i="4"/>
  <c r="W31" i="4"/>
  <c r="X31" i="4"/>
  <c r="Y31" i="4"/>
  <c r="Z31" i="4"/>
  <c r="AA31" i="4"/>
  <c r="AB31" i="4"/>
  <c r="AC31" i="4"/>
  <c r="AD31" i="4"/>
  <c r="AE31" i="4"/>
  <c r="AF31" i="4"/>
  <c r="AG31" i="4"/>
  <c r="AI31" i="4"/>
  <c r="AJ31" i="4"/>
  <c r="AK31" i="4"/>
  <c r="AG23" i="5" s="1"/>
  <c r="AL31" i="4"/>
  <c r="AM31" i="4"/>
  <c r="AH23" i="5" s="1"/>
  <c r="AN31" i="4"/>
  <c r="AO31" i="4"/>
  <c r="AP31" i="4"/>
  <c r="AQ31" i="4"/>
  <c r="AR31" i="4"/>
  <c r="AS31" i="4"/>
  <c r="AI23" i="5" s="1"/>
  <c r="AT31" i="4"/>
  <c r="AJ23" i="5" s="1"/>
  <c r="AU31" i="4"/>
  <c r="AV31" i="4"/>
  <c r="AW31" i="4"/>
  <c r="AX31" i="4"/>
  <c r="AY31" i="4"/>
  <c r="AZ31" i="4"/>
  <c r="BA31" i="4"/>
  <c r="BB31" i="4"/>
  <c r="BD31" i="4"/>
  <c r="BE31" i="4"/>
  <c r="BF31" i="4"/>
  <c r="BG31" i="4"/>
  <c r="BI31" i="4"/>
  <c r="BJ31" i="4"/>
  <c r="BK31" i="4"/>
  <c r="BL31" i="4"/>
  <c r="BM31" i="4"/>
  <c r="BN31" i="4"/>
  <c r="BO31" i="4"/>
  <c r="BP31" i="4"/>
  <c r="BQ31" i="4"/>
  <c r="AM23" i="5" s="1"/>
  <c r="BR31" i="4"/>
  <c r="BS31" i="4"/>
  <c r="BT31" i="4"/>
  <c r="BU31" i="4"/>
  <c r="BW31" i="4"/>
  <c r="BX31" i="4"/>
  <c r="BY31" i="4"/>
  <c r="BZ31" i="4"/>
  <c r="CB31" i="4"/>
  <c r="AP23" i="5" s="1"/>
  <c r="C42" i="4"/>
  <c r="E42" i="4"/>
  <c r="E72" i="4" s="1"/>
  <c r="F42" i="4"/>
  <c r="J42" i="4"/>
  <c r="M42" i="4"/>
  <c r="G72" i="4" s="1"/>
  <c r="M72" i="4" s="1"/>
  <c r="O72" i="4" s="1"/>
  <c r="H42" i="4" s="1"/>
  <c r="I103" i="4" s="1"/>
  <c r="N42" i="4"/>
  <c r="P42" i="4"/>
  <c r="Q42" i="4"/>
  <c r="R42" i="4"/>
  <c r="AE34" i="5" s="1"/>
  <c r="S42" i="4"/>
  <c r="T42" i="4"/>
  <c r="U42" i="4"/>
  <c r="V42" i="4"/>
  <c r="W42" i="4"/>
  <c r="X42" i="4"/>
  <c r="Y42" i="4"/>
  <c r="Z42" i="4"/>
  <c r="AA42" i="4"/>
  <c r="AB42" i="4"/>
  <c r="AC42" i="4"/>
  <c r="AD42" i="4"/>
  <c r="AE42" i="4"/>
  <c r="AF42" i="4"/>
  <c r="AG42" i="4"/>
  <c r="AI42" i="4"/>
  <c r="AJ42" i="4"/>
  <c r="AK42" i="4"/>
  <c r="AG34" i="5" s="1"/>
  <c r="AL42" i="4"/>
  <c r="AM42" i="4"/>
  <c r="AH34" i="5" s="1"/>
  <c r="AN42" i="4"/>
  <c r="AO42" i="4"/>
  <c r="AP42" i="4"/>
  <c r="AQ42" i="4"/>
  <c r="AR42" i="4"/>
  <c r="AS42" i="4"/>
  <c r="AI34" i="5" s="1"/>
  <c r="AT42" i="4"/>
  <c r="AJ34" i="5" s="1"/>
  <c r="AU42" i="4"/>
  <c r="AV42" i="4"/>
  <c r="AW42" i="4"/>
  <c r="AX42" i="4"/>
  <c r="AY42" i="4"/>
  <c r="AZ42" i="4"/>
  <c r="BA42" i="4"/>
  <c r="BB42" i="4"/>
  <c r="BD42" i="4"/>
  <c r="BE42" i="4"/>
  <c r="BF42" i="4"/>
  <c r="BG42" i="4"/>
  <c r="BI42" i="4"/>
  <c r="BJ42" i="4"/>
  <c r="BK42" i="4"/>
  <c r="BL42" i="4"/>
  <c r="BM42" i="4"/>
  <c r="BN42" i="4"/>
  <c r="BO42" i="4"/>
  <c r="BP42" i="4"/>
  <c r="BQ42" i="4"/>
  <c r="AM34" i="5" s="1"/>
  <c r="BR42" i="4"/>
  <c r="BS42" i="4"/>
  <c r="BT42" i="4"/>
  <c r="BU42" i="4"/>
  <c r="BW42" i="4"/>
  <c r="BX42" i="4"/>
  <c r="BY42" i="4"/>
  <c r="BZ42" i="4"/>
  <c r="CB42" i="4"/>
  <c r="AP34" i="5" s="1"/>
  <c r="K103" i="4" l="1"/>
  <c r="L103" i="4" s="1"/>
  <c r="O103" i="4" s="1"/>
  <c r="K85" i="4"/>
  <c r="L85" i="4"/>
  <c r="O85" i="4" s="1"/>
  <c r="K91" i="4"/>
  <c r="L91" i="4" s="1"/>
  <c r="O91" i="4" s="1"/>
  <c r="K93" i="4"/>
  <c r="L93" i="4" s="1"/>
  <c r="O93" i="4" s="1"/>
  <c r="K89" i="4"/>
  <c r="L89" i="4"/>
  <c r="O89" i="4" s="1"/>
  <c r="K105" i="4"/>
  <c r="L105" i="4" s="1"/>
  <c r="O105" i="4" s="1"/>
  <c r="K80" i="4"/>
  <c r="L80" i="4"/>
  <c r="O80" i="4" s="1"/>
  <c r="R72" i="4"/>
  <c r="AK72" i="4" s="1"/>
  <c r="AM72" i="4" s="1"/>
  <c r="AD34" i="5"/>
  <c r="AO34" i="5" s="1"/>
  <c r="AQ34" i="5" s="1"/>
  <c r="R61" i="4"/>
  <c r="AK61" i="4" s="1"/>
  <c r="AM61" i="4" s="1"/>
  <c r="AD23" i="5"/>
  <c r="AO23" i="5" s="1"/>
  <c r="AQ23" i="5" s="1"/>
  <c r="R54" i="4"/>
  <c r="AK54" i="4" s="1"/>
  <c r="AM54" i="4" s="1"/>
  <c r="AD16" i="5"/>
  <c r="AO16" i="5" s="1"/>
  <c r="AQ16" i="5" s="1"/>
  <c r="P60" i="4"/>
  <c r="D60" i="4"/>
  <c r="R60" i="4"/>
  <c r="AK60" i="4" s="1"/>
  <c r="AM60" i="4" s="1"/>
  <c r="AD22" i="5"/>
  <c r="AO22" i="5" s="1"/>
  <c r="AQ22" i="5" s="1"/>
  <c r="P62" i="4"/>
  <c r="D62" i="4"/>
  <c r="R62" i="4"/>
  <c r="AK62" i="4" s="1"/>
  <c r="AM62" i="4" s="1"/>
  <c r="AD24" i="5"/>
  <c r="AO24" i="5" s="1"/>
  <c r="AQ24" i="5" s="1"/>
  <c r="P63" i="4"/>
  <c r="D63" i="4"/>
  <c r="R63" i="4"/>
  <c r="AK63" i="4" s="1"/>
  <c r="AM63" i="4" s="1"/>
  <c r="AO35" i="5"/>
  <c r="AQ35" i="5" s="1"/>
  <c r="P53" i="4"/>
  <c r="D53" i="4"/>
  <c r="R53" i="4"/>
  <c r="AK53" i="4" s="1"/>
  <c r="AM53" i="4" s="1"/>
  <c r="AD15" i="5"/>
  <c r="AO15" i="5" s="1"/>
  <c r="AQ15" i="5" s="1"/>
  <c r="R51" i="4"/>
  <c r="AK51" i="4" s="1"/>
  <c r="AM51" i="4" s="1"/>
  <c r="AD13" i="5"/>
  <c r="AO13" i="5" s="1"/>
  <c r="AQ13" i="5" s="1"/>
  <c r="R52" i="4"/>
  <c r="AK52" i="4" s="1"/>
  <c r="AM52" i="4" s="1"/>
  <c r="AD14" i="5"/>
  <c r="AO14" i="5" s="1"/>
  <c r="AQ14" i="5" s="1"/>
  <c r="R50" i="4"/>
  <c r="AK50" i="4" s="1"/>
  <c r="AM50" i="4" s="1"/>
  <c r="AD12" i="5"/>
  <c r="AO12" i="5" s="1"/>
  <c r="AQ12" i="5" s="1"/>
  <c r="R49" i="4"/>
  <c r="AK49" i="4" s="1"/>
  <c r="AM49" i="4" s="1"/>
  <c r="AD11" i="5"/>
  <c r="AO11" i="5" s="1"/>
  <c r="AQ11" i="5" s="1"/>
  <c r="R59" i="4"/>
  <c r="AK59" i="4" s="1"/>
  <c r="AM59" i="4" s="1"/>
  <c r="AD21" i="5"/>
  <c r="AO21" i="5" s="1"/>
  <c r="AQ21" i="5" s="1"/>
  <c r="P66" i="4"/>
  <c r="D66" i="4"/>
  <c r="R66" i="4"/>
  <c r="AK66" i="4" s="1"/>
  <c r="AM66" i="4" s="1"/>
  <c r="AD28" i="5"/>
  <c r="AO28" i="5" s="1"/>
  <c r="AQ28" i="5" s="1"/>
  <c r="P69" i="4"/>
  <c r="D69" i="4"/>
  <c r="R69" i="4"/>
  <c r="AK69" i="4" s="1"/>
  <c r="AM69" i="4" s="1"/>
  <c r="AD31" i="5"/>
  <c r="AO31" i="5" s="1"/>
  <c r="AQ31" i="5" s="1"/>
  <c r="P58" i="4"/>
  <c r="D58" i="4"/>
  <c r="P55" i="4"/>
  <c r="D55" i="4"/>
  <c r="R55" i="4"/>
  <c r="AK55" i="4" s="1"/>
  <c r="AM55" i="4" s="1"/>
  <c r="AD17" i="5"/>
  <c r="AO17" i="5" s="1"/>
  <c r="AQ17" i="5" s="1"/>
  <c r="P75" i="4"/>
  <c r="D75" i="4"/>
  <c r="P74" i="4"/>
  <c r="D74" i="4"/>
  <c r="P72" i="4"/>
  <c r="D72" i="4"/>
  <c r="P61" i="4"/>
  <c r="D61" i="4"/>
  <c r="P54" i="4"/>
  <c r="D54" i="4"/>
  <c r="P65" i="4"/>
  <c r="D65" i="4"/>
  <c r="R65" i="4"/>
  <c r="AK65" i="4" s="1"/>
  <c r="AM65" i="4" s="1"/>
  <c r="AD27" i="5"/>
  <c r="AO27" i="5" s="1"/>
  <c r="AQ27" i="5" s="1"/>
  <c r="P64" i="4"/>
  <c r="D64" i="4"/>
  <c r="R64" i="4"/>
  <c r="AK64" i="4" s="1"/>
  <c r="AM64" i="4" s="1"/>
  <c r="AD26" i="5"/>
  <c r="AO26" i="5" s="1"/>
  <c r="AQ26" i="5" s="1"/>
  <c r="R71" i="4"/>
  <c r="AK71" i="4" s="1"/>
  <c r="AM71" i="4" s="1"/>
  <c r="AD33" i="5"/>
  <c r="AO33" i="5" s="1"/>
  <c r="AQ33" i="5" s="1"/>
  <c r="AO25" i="5"/>
  <c r="AQ25" i="5" s="1"/>
  <c r="R73" i="4"/>
  <c r="AK73" i="4" s="1"/>
  <c r="AM73" i="4" s="1"/>
  <c r="P51" i="4"/>
  <c r="D51" i="4"/>
  <c r="P52" i="4"/>
  <c r="D52" i="4"/>
  <c r="P50" i="4"/>
  <c r="D50" i="4"/>
  <c r="P49" i="4"/>
  <c r="D49" i="4"/>
  <c r="P59" i="4"/>
  <c r="D59" i="4"/>
  <c r="P67" i="4"/>
  <c r="D67" i="4"/>
  <c r="R67" i="4"/>
  <c r="AK67" i="4" s="1"/>
  <c r="AM67" i="4" s="1"/>
  <c r="AD29" i="5"/>
  <c r="AO29" i="5" s="1"/>
  <c r="AQ29" i="5" s="1"/>
  <c r="P70" i="4"/>
  <c r="D70" i="4"/>
  <c r="R70" i="4"/>
  <c r="AK70" i="4" s="1"/>
  <c r="AM70" i="4" s="1"/>
  <c r="AD32" i="5"/>
  <c r="AO32" i="5" s="1"/>
  <c r="AQ32" i="5" s="1"/>
  <c r="P56" i="4"/>
  <c r="D56" i="4"/>
  <c r="R56" i="4"/>
  <c r="AK56" i="4" s="1"/>
  <c r="AM56" i="4" s="1"/>
  <c r="AD18" i="5"/>
  <c r="AO18" i="5" s="1"/>
  <c r="AQ18" i="5" s="1"/>
  <c r="R58" i="4"/>
  <c r="AK58" i="4" s="1"/>
  <c r="AM58" i="4" s="1"/>
  <c r="AD20" i="5"/>
  <c r="AO20" i="5" s="1"/>
  <c r="AQ20" i="5" s="1"/>
  <c r="R57" i="4"/>
  <c r="AK57" i="4" s="1"/>
  <c r="AM57" i="4" s="1"/>
  <c r="AD19" i="5"/>
  <c r="AO19" i="5" s="1"/>
  <c r="AQ19" i="5" s="1"/>
  <c r="R75" i="4"/>
  <c r="AK75" i="4" s="1"/>
  <c r="AM75" i="4" s="1"/>
  <c r="AD37" i="5"/>
  <c r="AO37" i="5" s="1"/>
  <c r="AQ37" i="5" s="1"/>
  <c r="R74" i="4"/>
  <c r="AK74" i="4" s="1"/>
  <c r="AM74" i="4" s="1"/>
  <c r="AD36" i="5"/>
  <c r="AO36" i="5" s="1"/>
  <c r="AQ36" i="5" s="1"/>
  <c r="M70" i="4"/>
  <c r="O70" i="4" s="1"/>
  <c r="M56" i="4"/>
  <c r="O56" i="4" s="1"/>
  <c r="H26" i="4" s="1"/>
  <c r="I87" i="4" s="1"/>
  <c r="M66" i="4"/>
  <c r="O66" i="4" s="1"/>
  <c r="H36" i="4" s="1"/>
  <c r="I97" i="4" s="1"/>
  <c r="M64" i="4"/>
  <c r="O64" i="4" s="1"/>
  <c r="H34" i="4" s="1"/>
  <c r="I95" i="4" s="1"/>
  <c r="M52" i="4"/>
  <c r="O52" i="4" s="1"/>
  <c r="F72" i="4"/>
  <c r="B34" i="5"/>
  <c r="F61" i="4"/>
  <c r="B23" i="5"/>
  <c r="F54" i="4"/>
  <c r="B16" i="5"/>
  <c r="F65" i="4"/>
  <c r="B27" i="5"/>
  <c r="F60" i="4"/>
  <c r="B22" i="5"/>
  <c r="F64" i="4"/>
  <c r="B26" i="5"/>
  <c r="F62" i="4"/>
  <c r="B24" i="5"/>
  <c r="F71" i="4"/>
  <c r="B33" i="5"/>
  <c r="F63" i="4"/>
  <c r="B25" i="5"/>
  <c r="F73" i="4"/>
  <c r="B35" i="5"/>
  <c r="F53" i="4"/>
  <c r="B15" i="5"/>
  <c r="F51" i="4"/>
  <c r="B13" i="5"/>
  <c r="F52" i="4"/>
  <c r="B14" i="5"/>
  <c r="F50" i="4"/>
  <c r="B12" i="5"/>
  <c r="F49" i="4"/>
  <c r="B11" i="5"/>
  <c r="F59" i="4"/>
  <c r="B21" i="5"/>
  <c r="F67" i="4"/>
  <c r="B29" i="5"/>
  <c r="F66" i="4"/>
  <c r="B28" i="5"/>
  <c r="F70" i="4"/>
  <c r="B32" i="5"/>
  <c r="F69" i="4"/>
  <c r="B31" i="5"/>
  <c r="F56" i="4"/>
  <c r="B18" i="5"/>
  <c r="F58" i="4"/>
  <c r="B20" i="5"/>
  <c r="F55" i="4"/>
  <c r="B17" i="5"/>
  <c r="F57" i="4"/>
  <c r="B19" i="5"/>
  <c r="F75" i="4"/>
  <c r="B37" i="5"/>
  <c r="F74" i="4"/>
  <c r="B36" i="5"/>
  <c r="M55" i="4"/>
  <c r="O55" i="4" s="1"/>
  <c r="H25" i="4" s="1"/>
  <c r="I86" i="4" s="1"/>
  <c r="N54" i="4"/>
  <c r="N60" i="4"/>
  <c r="N62" i="4"/>
  <c r="N66" i="4"/>
  <c r="N58" i="4"/>
  <c r="N74" i="4"/>
  <c r="N72" i="4"/>
  <c r="N49" i="4"/>
  <c r="M63" i="4"/>
  <c r="O63" i="4" s="1"/>
  <c r="H33" i="4" s="1"/>
  <c r="I94" i="4" s="1"/>
  <c r="M67" i="4"/>
  <c r="O67" i="4" s="1"/>
  <c r="H37" i="4" s="1"/>
  <c r="I98" i="4" s="1"/>
  <c r="M57" i="4"/>
  <c r="O57" i="4" s="1"/>
  <c r="H27" i="4" s="1"/>
  <c r="M61" i="4"/>
  <c r="O61" i="4" s="1"/>
  <c r="H31" i="4" s="1"/>
  <c r="I92" i="4" s="1"/>
  <c r="M73" i="4"/>
  <c r="O73" i="4" s="1"/>
  <c r="H43" i="4" s="1"/>
  <c r="I104" i="4" s="1"/>
  <c r="M50" i="4"/>
  <c r="O50" i="4" s="1"/>
  <c r="H20" i="4" s="1"/>
  <c r="I81" i="4" s="1"/>
  <c r="M75" i="4"/>
  <c r="O75" i="4" s="1"/>
  <c r="H45" i="4" s="1"/>
  <c r="I106" i="4" s="1"/>
  <c r="M53" i="4"/>
  <c r="O53" i="4" s="1"/>
  <c r="H23" i="4" s="1"/>
  <c r="I84" i="4" s="1"/>
  <c r="M65" i="4"/>
  <c r="O65" i="4" s="1"/>
  <c r="H35" i="4" s="1"/>
  <c r="H96" i="4" s="1"/>
  <c r="I96" i="4" s="1"/>
  <c r="M71" i="4"/>
  <c r="O71" i="4" s="1"/>
  <c r="H41" i="4" s="1"/>
  <c r="I102" i="4" s="1"/>
  <c r="M51" i="4"/>
  <c r="O51" i="4" s="1"/>
  <c r="H21" i="4" s="1"/>
  <c r="I82" i="4" s="1"/>
  <c r="M59" i="4"/>
  <c r="O59" i="4" s="1"/>
  <c r="H29" i="4" s="1"/>
  <c r="I90" i="4" s="1"/>
  <c r="M69" i="4"/>
  <c r="O69" i="4" s="1"/>
  <c r="H39" i="4" s="1"/>
  <c r="I100" i="4" s="1"/>
  <c r="K100" i="4" l="1"/>
  <c r="L100" i="4" s="1"/>
  <c r="O100" i="4" s="1"/>
  <c r="K82" i="4"/>
  <c r="L82" i="4" s="1"/>
  <c r="O82" i="4" s="1"/>
  <c r="K96" i="4"/>
  <c r="L96" i="4" s="1"/>
  <c r="O96" i="4" s="1"/>
  <c r="K106" i="4"/>
  <c r="L106" i="4" s="1"/>
  <c r="O106" i="4" s="1"/>
  <c r="K104" i="4"/>
  <c r="L104" i="4" s="1"/>
  <c r="O104" i="4" s="1"/>
  <c r="K94" i="4"/>
  <c r="L94" i="4" s="1"/>
  <c r="O94" i="4" s="1"/>
  <c r="K86" i="4"/>
  <c r="L86" i="4" s="1"/>
  <c r="O86" i="4" s="1"/>
  <c r="K95" i="4"/>
  <c r="L95" i="4"/>
  <c r="O95" i="4" s="1"/>
  <c r="K87" i="4"/>
  <c r="L87" i="4" s="1"/>
  <c r="O87" i="4" s="1"/>
  <c r="K90" i="4"/>
  <c r="L90" i="4" s="1"/>
  <c r="O90" i="4" s="1"/>
  <c r="K102" i="4"/>
  <c r="L102" i="4" s="1"/>
  <c r="O102" i="4" s="1"/>
  <c r="K84" i="4"/>
  <c r="L84" i="4" s="1"/>
  <c r="O84" i="4" s="1"/>
  <c r="K81" i="4"/>
  <c r="L81" i="4" s="1"/>
  <c r="O81" i="4" s="1"/>
  <c r="K92" i="4"/>
  <c r="L92" i="4" s="1"/>
  <c r="O92" i="4" s="1"/>
  <c r="K98" i="4"/>
  <c r="L98" i="4" s="1"/>
  <c r="O98" i="4" s="1"/>
  <c r="N64" i="4"/>
  <c r="K97" i="4"/>
  <c r="L97" i="4" s="1"/>
  <c r="O97" i="4" s="1"/>
  <c r="N56" i="4"/>
  <c r="N55" i="4"/>
  <c r="N52" i="4"/>
  <c r="H22" i="4"/>
  <c r="I83" i="4" s="1"/>
  <c r="N70" i="4"/>
  <c r="H40" i="4"/>
  <c r="I101" i="4" s="1"/>
  <c r="N50" i="4"/>
  <c r="N69" i="4"/>
  <c r="N53" i="4"/>
  <c r="N61" i="4"/>
  <c r="N71" i="4"/>
  <c r="N67" i="4"/>
  <c r="N65" i="4"/>
  <c r="N63" i="4"/>
  <c r="N59" i="4"/>
  <c r="N51" i="4"/>
  <c r="N75" i="4"/>
  <c r="N57" i="4"/>
  <c r="N73" i="4"/>
  <c r="BZ38" i="4"/>
  <c r="BY38" i="4"/>
  <c r="BZ17" i="4"/>
  <c r="BY17" i="4"/>
  <c r="BX38" i="4"/>
  <c r="BX17" i="4"/>
  <c r="D17" i="4"/>
  <c r="K101" i="4" l="1"/>
  <c r="L101" i="4" s="1"/>
  <c r="O101" i="4" s="1"/>
  <c r="K83" i="4"/>
  <c r="L83" i="4" s="1"/>
  <c r="O83" i="4" s="1"/>
  <c r="P68" i="4"/>
  <c r="D68" i="4"/>
  <c r="AD38" i="4"/>
  <c r="AC38" i="4"/>
  <c r="AB38" i="4"/>
  <c r="AA38" i="4"/>
  <c r="Z38" i="4"/>
  <c r="Y38" i="4"/>
  <c r="X38" i="4"/>
  <c r="W38" i="4"/>
  <c r="V38" i="4"/>
  <c r="U38" i="4"/>
  <c r="BW38" i="4"/>
  <c r="BV38" i="4"/>
  <c r="AN30" i="5" s="1"/>
  <c r="BU38" i="4"/>
  <c r="BT38" i="4"/>
  <c r="BS38" i="4"/>
  <c r="BR38" i="4"/>
  <c r="BQ38" i="4"/>
  <c r="AM30" i="5" s="1"/>
  <c r="BP38" i="4"/>
  <c r="BW18" i="4"/>
  <c r="BO38" i="4"/>
  <c r="BN38" i="4"/>
  <c r="BM38" i="4"/>
  <c r="BL38" i="4"/>
  <c r="BK38" i="4"/>
  <c r="BJ38" i="4"/>
  <c r="BI38" i="4"/>
  <c r="BG38" i="4"/>
  <c r="BF38" i="4"/>
  <c r="BE38" i="4"/>
  <c r="BD38" i="4"/>
  <c r="BB38" i="4"/>
  <c r="BA38" i="4"/>
  <c r="AZ38" i="4"/>
  <c r="AY38" i="4"/>
  <c r="AX38" i="4"/>
  <c r="AW38" i="4"/>
  <c r="AV38" i="4"/>
  <c r="AU38" i="4"/>
  <c r="AT38" i="4"/>
  <c r="AJ30" i="5" s="1"/>
  <c r="AR38" i="4"/>
  <c r="AQ38" i="4"/>
  <c r="AP38" i="4"/>
  <c r="AO38" i="4"/>
  <c r="AN38" i="4"/>
  <c r="AM38" i="4"/>
  <c r="AH30" i="5" s="1"/>
  <c r="AL38" i="4"/>
  <c r="AK38" i="4"/>
  <c r="AG30" i="5" s="1"/>
  <c r="AJ38" i="4"/>
  <c r="AI38" i="4"/>
  <c r="AH38" i="4"/>
  <c r="AF30" i="5" s="1"/>
  <c r="AG38" i="4"/>
  <c r="AF38" i="4"/>
  <c r="AE38" i="4"/>
  <c r="CC44" i="4" l="1"/>
  <c r="CC40" i="4"/>
  <c r="CC36" i="4"/>
  <c r="CC32" i="4"/>
  <c r="CC28" i="4"/>
  <c r="CC24" i="4"/>
  <c r="CC20" i="4"/>
  <c r="CC43" i="4"/>
  <c r="CC37" i="4"/>
  <c r="CC33" i="4"/>
  <c r="CC27" i="4"/>
  <c r="CC23" i="4"/>
  <c r="CC19" i="4"/>
  <c r="CC42" i="4"/>
  <c r="CC34" i="4"/>
  <c r="CC30" i="4"/>
  <c r="CC26" i="4"/>
  <c r="CC22" i="4"/>
  <c r="CC45" i="4"/>
  <c r="CC39" i="4"/>
  <c r="CC35" i="4"/>
  <c r="CC31" i="4"/>
  <c r="CC25" i="4"/>
  <c r="CC21" i="4"/>
  <c r="CC29" i="4"/>
  <c r="CC41" i="4"/>
  <c r="P38" i="4"/>
  <c r="T38" i="4"/>
  <c r="S38" i="4"/>
  <c r="R38" i="4"/>
  <c r="AE30" i="5" s="1"/>
  <c r="Q38" i="4"/>
  <c r="P16" i="4"/>
  <c r="N38" i="4"/>
  <c r="G68" i="4"/>
  <c r="M68" i="4" s="1"/>
  <c r="O68" i="4" s="1"/>
  <c r="H38" i="4" s="1"/>
  <c r="I99" i="4" s="1"/>
  <c r="J38" i="4"/>
  <c r="CB38" i="4"/>
  <c r="AP30" i="5" s="1"/>
  <c r="F38" i="4"/>
  <c r="E38" i="4"/>
  <c r="E68" i="4" s="1"/>
  <c r="C38" i="4"/>
  <c r="K99" i="4" l="1"/>
  <c r="L99" i="4" s="1"/>
  <c r="O99" i="4" s="1"/>
  <c r="R68" i="4"/>
  <c r="AK68" i="4" s="1"/>
  <c r="AM68" i="4" s="1"/>
  <c r="AD30" i="5"/>
  <c r="AO30" i="5" s="1"/>
  <c r="AQ30" i="5" s="1"/>
  <c r="CE29" i="4"/>
  <c r="CG29" i="4"/>
  <c r="CE25" i="4"/>
  <c r="CG25" i="4"/>
  <c r="CE35" i="4"/>
  <c r="CG35" i="4"/>
  <c r="CG45" i="4"/>
  <c r="CE45" i="4"/>
  <c r="CG26" i="4"/>
  <c r="CE26" i="4"/>
  <c r="CG34" i="4"/>
  <c r="CE34" i="4"/>
  <c r="CG42" i="4"/>
  <c r="CE42" i="4"/>
  <c r="CE23" i="4"/>
  <c r="CG23" i="4"/>
  <c r="CE33" i="4"/>
  <c r="CG33" i="4"/>
  <c r="CG43" i="4"/>
  <c r="CE43" i="4"/>
  <c r="CG24" i="4"/>
  <c r="CE24" i="4"/>
  <c r="CG32" i="4"/>
  <c r="CE32" i="4"/>
  <c r="CG40" i="4"/>
  <c r="CE40" i="4"/>
  <c r="CG41" i="4"/>
  <c r="CE41" i="4"/>
  <c r="CE21" i="4"/>
  <c r="CG21" i="4"/>
  <c r="CE31" i="4"/>
  <c r="CG31" i="4"/>
  <c r="CG39" i="4"/>
  <c r="CE39" i="4"/>
  <c r="CG22" i="4"/>
  <c r="CE22" i="4"/>
  <c r="CG30" i="4"/>
  <c r="CE30" i="4"/>
  <c r="CC38" i="4"/>
  <c r="CE19" i="4"/>
  <c r="CG19" i="4"/>
  <c r="CE27" i="4"/>
  <c r="CG27" i="4"/>
  <c r="CE37" i="4"/>
  <c r="CG37" i="4"/>
  <c r="CG20" i="4"/>
  <c r="CE20" i="4"/>
  <c r="CG28" i="4"/>
  <c r="CE28" i="4"/>
  <c r="CG36" i="4"/>
  <c r="CE36" i="4"/>
  <c r="CG44" i="4"/>
  <c r="CE44" i="4"/>
  <c r="F68" i="4"/>
  <c r="B30" i="5"/>
  <c r="N68" i="4"/>
  <c r="CJ30" i="4" l="1"/>
  <c r="CJ32" i="4"/>
  <c r="CJ36" i="4"/>
  <c r="CJ35" i="4"/>
  <c r="CG38" i="4"/>
  <c r="CE38" i="4"/>
  <c r="CJ38" i="4" s="1"/>
  <c r="CI28" i="4"/>
  <c r="CJ28" i="4" s="1"/>
  <c r="CI26" i="4"/>
  <c r="CJ26" i="4" s="1"/>
  <c r="CI25" i="4"/>
  <c r="CJ25" i="4" s="1"/>
  <c r="CI45" i="4"/>
  <c r="CJ45" i="4" s="1"/>
  <c r="CI44" i="4"/>
  <c r="CJ44" i="4" s="1"/>
  <c r="CI27" i="4"/>
  <c r="CJ27" i="4" s="1"/>
  <c r="CI39" i="4"/>
  <c r="CJ39" i="4" s="1"/>
  <c r="CI34" i="4"/>
  <c r="CJ34" i="4" s="1"/>
  <c r="CI32" i="4"/>
  <c r="CI19" i="4"/>
  <c r="CJ19" i="4" s="1"/>
  <c r="CI35" i="4"/>
  <c r="CI23" i="4"/>
  <c r="CJ23" i="4" s="1"/>
  <c r="CI40" i="4"/>
  <c r="CJ40" i="4" s="1"/>
  <c r="CI20" i="4"/>
  <c r="CJ20" i="4" s="1"/>
  <c r="CI29" i="4"/>
  <c r="CJ29" i="4" s="1"/>
  <c r="CI21" i="4"/>
  <c r="CJ21" i="4" s="1"/>
  <c r="CI41" i="4"/>
  <c r="CJ41" i="4" s="1"/>
  <c r="CI24" i="4"/>
  <c r="CJ24" i="4" s="1"/>
  <c r="CI37" i="4"/>
  <c r="CJ37" i="4" s="1"/>
  <c r="CI31" i="4"/>
  <c r="CJ31" i="4" s="1"/>
  <c r="CI36" i="4"/>
  <c r="CI42" i="4"/>
  <c r="CJ42" i="4" s="1"/>
  <c r="CI30" i="4"/>
  <c r="CI22" i="4"/>
  <c r="CJ22" i="4" s="1"/>
  <c r="CI33" i="4"/>
  <c r="CJ33" i="4" s="1"/>
  <c r="CI43" i="4"/>
  <c r="CJ43" i="4" s="1"/>
  <c r="CI38" i="4"/>
  <c r="CL43" i="4" l="1"/>
  <c r="G43" i="4" s="1"/>
  <c r="I43" i="4" s="1"/>
  <c r="CN43" i="4"/>
  <c r="CN22" i="4"/>
  <c r="CL22" i="4"/>
  <c r="G22" i="4" s="1"/>
  <c r="I22" i="4" s="1"/>
  <c r="CN42" i="4"/>
  <c r="G42" i="4"/>
  <c r="I42" i="4" s="1"/>
  <c r="CL42" i="4"/>
  <c r="CL31" i="4"/>
  <c r="CN31" i="4"/>
  <c r="G31" i="4" s="1"/>
  <c r="I31" i="4" s="1"/>
  <c r="CN24" i="4"/>
  <c r="CL24" i="4"/>
  <c r="G24" i="4" s="1"/>
  <c r="I24" i="4" s="1"/>
  <c r="CN20" i="4"/>
  <c r="CL20" i="4"/>
  <c r="G20" i="4"/>
  <c r="I20" i="4" s="1"/>
  <c r="CL23" i="4"/>
  <c r="G23" i="4" s="1"/>
  <c r="I23" i="4" s="1"/>
  <c r="CN23" i="4"/>
  <c r="CL19" i="4"/>
  <c r="CN19" i="4"/>
  <c r="G19" i="4" s="1"/>
  <c r="I19" i="4" s="1"/>
  <c r="CN34" i="4"/>
  <c r="G34" i="4"/>
  <c r="I34" i="4" s="1"/>
  <c r="CL34" i="4"/>
  <c r="CL27" i="4"/>
  <c r="CN27" i="4"/>
  <c r="CN26" i="4"/>
  <c r="G26" i="4"/>
  <c r="I26" i="4" s="1"/>
  <c r="CL26" i="4"/>
  <c r="CN38" i="4"/>
  <c r="CL38" i="4"/>
  <c r="G38" i="4" s="1"/>
  <c r="I38" i="4" s="1"/>
  <c r="CN40" i="4"/>
  <c r="CL40" i="4"/>
  <c r="G40" i="4" s="1"/>
  <c r="I40" i="4" s="1"/>
  <c r="CN44" i="4"/>
  <c r="CL44" i="4"/>
  <c r="G44" i="4"/>
  <c r="I44" i="4" s="1"/>
  <c r="CL25" i="4"/>
  <c r="G25" i="4" s="1"/>
  <c r="I25" i="4" s="1"/>
  <c r="K25" i="4" s="1"/>
  <c r="L25" i="4" s="1"/>
  <c r="O25" i="4" s="1"/>
  <c r="CN25" i="4"/>
  <c r="CN28" i="4"/>
  <c r="CL28" i="4"/>
  <c r="G28" i="4"/>
  <c r="I28" i="4" s="1"/>
  <c r="CL21" i="4"/>
  <c r="G21" i="4" s="1"/>
  <c r="I21" i="4" s="1"/>
  <c r="CN21" i="4"/>
  <c r="CL45" i="4"/>
  <c r="CN45" i="4"/>
  <c r="G45" i="4" s="1"/>
  <c r="I45" i="4" s="1"/>
  <c r="CL35" i="4"/>
  <c r="G35" i="4" s="1"/>
  <c r="I35" i="4" s="1"/>
  <c r="CN35" i="4"/>
  <c r="CN36" i="4"/>
  <c r="CL36" i="4"/>
  <c r="G36" i="4"/>
  <c r="I36" i="4" s="1"/>
  <c r="CN32" i="4"/>
  <c r="CL32" i="4"/>
  <c r="G32" i="4" s="1"/>
  <c r="I32" i="4" s="1"/>
  <c r="CN30" i="4"/>
  <c r="CL30" i="4"/>
  <c r="G30" i="4" s="1"/>
  <c r="I30" i="4" s="1"/>
  <c r="CL33" i="4"/>
  <c r="G33" i="4" s="1"/>
  <c r="I33" i="4" s="1"/>
  <c r="CN33" i="4"/>
  <c r="CL37" i="4"/>
  <c r="CN37" i="4"/>
  <c r="G37" i="4" s="1"/>
  <c r="I37" i="4" s="1"/>
  <c r="CL41" i="4"/>
  <c r="G41" i="4" s="1"/>
  <c r="I41" i="4" s="1"/>
  <c r="CN41" i="4"/>
  <c r="CL29" i="4"/>
  <c r="CN29" i="4"/>
  <c r="G29" i="4" s="1"/>
  <c r="I29" i="4" s="1"/>
  <c r="CL39" i="4"/>
  <c r="G39" i="4" s="1"/>
  <c r="I39" i="4" s="1"/>
  <c r="CN39" i="4"/>
  <c r="G27" i="4" l="1"/>
  <c r="V17" i="5"/>
  <c r="AC17" i="5" s="1"/>
  <c r="AR17" i="5" s="1"/>
  <c r="AS17" i="5" s="1"/>
  <c r="AW17" i="5" s="1"/>
  <c r="K19" i="4"/>
  <c r="L19" i="4" s="1"/>
  <c r="O19" i="4" s="1"/>
  <c r="V11" i="5"/>
  <c r="AC11" i="5" s="1"/>
  <c r="AR11" i="5" s="1"/>
  <c r="AS11" i="5" s="1"/>
  <c r="AW11" i="5" s="1"/>
  <c r="K39" i="4"/>
  <c r="L39" i="4" s="1"/>
  <c r="O39" i="4" s="1"/>
  <c r="V31" i="5"/>
  <c r="AC31" i="5" s="1"/>
  <c r="AR31" i="5" s="1"/>
  <c r="AS31" i="5" s="1"/>
  <c r="AW31" i="5" s="1"/>
  <c r="K21" i="4"/>
  <c r="L21" i="4" s="1"/>
  <c r="O21" i="4" s="1"/>
  <c r="V13" i="5"/>
  <c r="AC13" i="5" s="1"/>
  <c r="AR13" i="5" s="1"/>
  <c r="AS13" i="5" s="1"/>
  <c r="AW13" i="5" s="1"/>
  <c r="K28" i="4"/>
  <c r="L28" i="4" s="1"/>
  <c r="O28" i="4" s="1"/>
  <c r="V20" i="5"/>
  <c r="AC20" i="5" s="1"/>
  <c r="AR20" i="5" s="1"/>
  <c r="AS20" i="5" s="1"/>
  <c r="AW20" i="5" s="1"/>
  <c r="K20" i="4"/>
  <c r="L20" i="4" s="1"/>
  <c r="O20" i="4" s="1"/>
  <c r="V12" i="5"/>
  <c r="AC12" i="5" s="1"/>
  <c r="AR12" i="5" s="1"/>
  <c r="AS12" i="5" s="1"/>
  <c r="AW12" i="5" s="1"/>
  <c r="K45" i="4"/>
  <c r="L45" i="4" s="1"/>
  <c r="O45" i="4" s="1"/>
  <c r="V37" i="5"/>
  <c r="AC37" i="5" s="1"/>
  <c r="AR37" i="5" s="1"/>
  <c r="AS37" i="5" s="1"/>
  <c r="AW37" i="5" s="1"/>
  <c r="V19" i="5"/>
  <c r="AC19" i="5" s="1"/>
  <c r="AR19" i="5" s="1"/>
  <c r="AS19" i="5" s="1"/>
  <c r="AW19" i="5" s="1"/>
  <c r="V30" i="5"/>
  <c r="AC30" i="5" s="1"/>
  <c r="AR30" i="5" s="1"/>
  <c r="AS30" i="5" s="1"/>
  <c r="AW30" i="5" s="1"/>
  <c r="I27" i="4" l="1"/>
  <c r="K27" i="4" s="1"/>
  <c r="L27" i="4" s="1"/>
  <c r="O27" i="4" s="1"/>
  <c r="G88" i="4"/>
  <c r="I88" i="4" s="1"/>
  <c r="K88" i="4" s="1"/>
  <c r="L88" i="4" s="1"/>
  <c r="O88" i="4" s="1"/>
  <c r="O107" i="4" s="1"/>
  <c r="O108" i="4" s="1"/>
  <c r="K43" i="4"/>
  <c r="L43" i="4" s="1"/>
  <c r="O43" i="4" s="1"/>
  <c r="V35" i="5"/>
  <c r="AC35" i="5" s="1"/>
  <c r="AR35" i="5" s="1"/>
  <c r="AS35" i="5" s="1"/>
  <c r="AW35" i="5" s="1"/>
  <c r="K32" i="4"/>
  <c r="L32" i="4" s="1"/>
  <c r="O32" i="4" s="1"/>
  <c r="V24" i="5"/>
  <c r="AC24" i="5" s="1"/>
  <c r="AR24" i="5" s="1"/>
  <c r="AS24" i="5" s="1"/>
  <c r="AW24" i="5" s="1"/>
  <c r="V36" i="5"/>
  <c r="AC36" i="5" s="1"/>
  <c r="AR36" i="5" s="1"/>
  <c r="AS36" i="5" s="1"/>
  <c r="AW36" i="5" s="1"/>
  <c r="K40" i="4"/>
  <c r="L40" i="4" s="1"/>
  <c r="O40" i="4" s="1"/>
  <c r="V32" i="5"/>
  <c r="AC32" i="5" s="1"/>
  <c r="AR32" i="5" s="1"/>
  <c r="AS32" i="5" s="1"/>
  <c r="AW32" i="5" s="1"/>
  <c r="K36" i="4"/>
  <c r="L36" i="4" s="1"/>
  <c r="O36" i="4" s="1"/>
  <c r="V28" i="5"/>
  <c r="AC28" i="5" s="1"/>
  <c r="AR28" i="5" s="1"/>
  <c r="AS28" i="5" s="1"/>
  <c r="AW28" i="5" s="1"/>
  <c r="K35" i="4"/>
  <c r="L35" i="4" s="1"/>
  <c r="O35" i="4" s="1"/>
  <c r="V27" i="5"/>
  <c r="AC27" i="5" s="1"/>
  <c r="AR27" i="5" s="1"/>
  <c r="AS27" i="5" s="1"/>
  <c r="AW27" i="5" s="1"/>
  <c r="K23" i="4"/>
  <c r="L23" i="4" s="1"/>
  <c r="O23" i="4" s="1"/>
  <c r="V15" i="5"/>
  <c r="AC15" i="5" s="1"/>
  <c r="AR15" i="5" s="1"/>
  <c r="AS15" i="5" s="1"/>
  <c r="AW15" i="5" s="1"/>
  <c r="K26" i="4"/>
  <c r="L26" i="4" s="1"/>
  <c r="O26" i="4" s="1"/>
  <c r="V18" i="5"/>
  <c r="AC18" i="5" s="1"/>
  <c r="AR18" i="5" s="1"/>
  <c r="AS18" i="5" s="1"/>
  <c r="AW18" i="5" s="1"/>
  <c r="K42" i="4"/>
  <c r="L42" i="4" s="1"/>
  <c r="O42" i="4" s="1"/>
  <c r="V34" i="5"/>
  <c r="AC34" i="5" s="1"/>
  <c r="AR34" i="5" s="1"/>
  <c r="AS34" i="5" s="1"/>
  <c r="AW34" i="5" s="1"/>
  <c r="K41" i="4"/>
  <c r="L41" i="4" s="1"/>
  <c r="O41" i="4" s="1"/>
  <c r="V33" i="5"/>
  <c r="AC33" i="5" s="1"/>
  <c r="AR33" i="5" s="1"/>
  <c r="AS33" i="5" s="1"/>
  <c r="AW33" i="5" s="1"/>
  <c r="K33" i="4"/>
  <c r="L33" i="4" s="1"/>
  <c r="O33" i="4" s="1"/>
  <c r="V25" i="5"/>
  <c r="AC25" i="5" s="1"/>
  <c r="AR25" i="5" s="1"/>
  <c r="AS25" i="5" s="1"/>
  <c r="AW25" i="5" s="1"/>
  <c r="K37" i="4"/>
  <c r="L37" i="4" s="1"/>
  <c r="O37" i="4" s="1"/>
  <c r="V29" i="5"/>
  <c r="AC29" i="5" s="1"/>
  <c r="AR29" i="5" s="1"/>
  <c r="AS29" i="5" s="1"/>
  <c r="AW29" i="5" s="1"/>
  <c r="K29" i="4"/>
  <c r="L29" i="4" s="1"/>
  <c r="O29" i="4" s="1"/>
  <c r="V21" i="5"/>
  <c r="AC21" i="5" s="1"/>
  <c r="AR21" i="5" s="1"/>
  <c r="AS21" i="5" s="1"/>
  <c r="AW21" i="5" s="1"/>
  <c r="K22" i="4"/>
  <c r="L22" i="4" s="1"/>
  <c r="O22" i="4" s="1"/>
  <c r="V14" i="5"/>
  <c r="AC14" i="5" s="1"/>
  <c r="AR14" i="5" s="1"/>
  <c r="AS14" i="5" s="1"/>
  <c r="AW14" i="5" s="1"/>
  <c r="K34" i="4"/>
  <c r="L34" i="4" s="1"/>
  <c r="O34" i="4" s="1"/>
  <c r="V26" i="5"/>
  <c r="AC26" i="5" s="1"/>
  <c r="AR26" i="5" s="1"/>
  <c r="AS26" i="5" s="1"/>
  <c r="AW26" i="5" s="1"/>
  <c r="K30" i="4"/>
  <c r="L30" i="4" s="1"/>
  <c r="O30" i="4" s="1"/>
  <c r="V22" i="5"/>
  <c r="AC22" i="5" s="1"/>
  <c r="AR22" i="5" s="1"/>
  <c r="AS22" i="5" s="1"/>
  <c r="AW22" i="5" s="1"/>
  <c r="K31" i="4"/>
  <c r="L31" i="4" s="1"/>
  <c r="O31" i="4" s="1"/>
  <c r="V23" i="5"/>
  <c r="AC23" i="5" s="1"/>
  <c r="AR23" i="5" s="1"/>
  <c r="AS23" i="5" s="1"/>
  <c r="AW23" i="5" s="1"/>
  <c r="K24" i="4"/>
  <c r="L24" i="4" s="1"/>
  <c r="O24" i="4" s="1"/>
  <c r="V16" i="5"/>
  <c r="AC16" i="5" s="1"/>
  <c r="AR16" i="5" s="1"/>
  <c r="AS16" i="5" s="1"/>
  <c r="AW16" i="5" s="1"/>
  <c r="K44" i="4"/>
  <c r="L44" i="4" s="1"/>
  <c r="O44" i="4" s="1"/>
  <c r="K38" i="4"/>
  <c r="L38" i="4" s="1"/>
  <c r="O38" i="4" s="1"/>
  <c r="O46"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K48" authorId="0" shapeId="0" xr:uid="{AE0700D8-9765-4F50-8625-BE60F86FD8C2}">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<sst xmlns="http://schemas.openxmlformats.org/spreadsheetml/2006/main" count="733" uniqueCount="355">
  <si>
    <t>DOCKET NO.</t>
  </si>
  <si>
    <t>ITEM CODE</t>
  </si>
  <si>
    <t>PROPOSE ERP ITEM NAME</t>
  </si>
  <si>
    <t>Insulation Screening (Metallic)</t>
  </si>
  <si>
    <t>Weight (Insulation Screening (Metallic))</t>
  </si>
  <si>
    <t>Conductor</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</si>
  <si>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</si>
  <si>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</si>
  <si>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</si>
  <si>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</si>
  <si>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</si>
  <si>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</si>
  <si>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</si>
  <si>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</si>
  <si>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</si>
  <si>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</si>
  <si>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</si>
  <si>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</si>
  <si>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</si>
  <si>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</si>
  <si>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</si>
  <si>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</si>
  <si>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</si>
  <si>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</si>
  <si>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FIRM %</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</si>
  <si>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</si>
  <si>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</si>
  <si>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</si>
  <si>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</si>
  <si>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</si>
  <si>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</si>
  <si>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</si>
  <si>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</si>
  <si>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</si>
  <si>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</si>
  <si>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</si>
  <si>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</si>
  <si>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</si>
  <si>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</si>
  <si>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</si>
  <si>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</si>
  <si>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</si>
  <si>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</si>
  <si>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</si>
  <si>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</si>
  <si>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</si>
  <si>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</si>
  <si>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</si>
  <si>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</si>
  <si>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</si>
  <si>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</si>
  <si>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</si>
  <si>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</si>
  <si>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</si>
  <si>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</si>
  <si>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</si>
  <si>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</si>
  <si>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</si>
  <si>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</si>
  <si>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</si>
  <si>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</si>
  <si>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</si>
  <si>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</si>
  <si>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</si>
  <si>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</si>
  <si>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</si>
  <si>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</si>
  <si>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</si>
  <si>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</si>
  <si>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</si>
  <si>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</si>
  <si>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</si>
  <si>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</si>
  <si>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</si>
  <si>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</si>
  <si>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</si>
  <si>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</si>
  <si>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</si>
  <si>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</si>
  <si>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</si>
  <si>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</si>
  <si>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</si>
  <si>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</si>
  <si>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</si>
  <si>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</si>
  <si>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</si>
  <si>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</si>
  <si>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</si>
  <si>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</si>
  <si>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</si>
  <si>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</si>
  <si>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</si>
  <si>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</si>
  <si>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</si>
  <si>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</si>
  <si>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</si>
  <si>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</si>
  <si>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</si>
  <si>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</si>
  <si>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</si>
  <si>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DRUM CODE</t>
  </si>
  <si>
    <t>DRUM SIZE (FxbXtx Ft)</t>
  </si>
  <si>
    <t>One Year Rate Contract for Supply of 1.1 kV Power and Control Cables at TPWODL, TPCODL &amp; TPSODL.</t>
  </si>
  <si>
    <t>TPCODL / CCG / FY 25-26 / 1000001917</t>
  </si>
  <si>
    <t>15/Feb/2025 [17:00 Hrs.]</t>
  </si>
  <si>
    <t>Bidders shall be allowed to participate in Reverse auction as per following criteria hence bidders are advised to quote their most competitive rates while submitting the bids to avoid disqualification from participation in Reverse Auction.
No of bidders allowed to participate in RA process shall be: Total No of bidders on whom tender would be split PLUS 2 more bidders.</t>
  </si>
  <si>
    <t>Bids shall remain valid for 180 days from the due date of submission of the bid.</t>
  </si>
  <si>
    <t>Delivery Period shall be Delivery period shall be 60 + 7 days (considering the approval of CAT-A / drawing / GTP) from date of receipt of release order for the first lot however for remaining lots the delivery period will be 60 days from RO date. Exact delivery location shall be specified in the Release Order. Delivery will be the store locations in TPCODL, TPNODL and TPWODL based on RO Qty.The delivery period for a quantity of up to 200 KM shall be 60 days from the date of issuance of the RO or GTP drawing approval, whichever is later.
For quantities exceeding 200 KM, the delivery period shall be mutually agreed upon between the BA and the DISCOM.</t>
  </si>
  <si>
    <t>On delivery of the materials in good condition and certification of acceptance by certified official, Associate shall submit the Bills/ Invoices in original in the name of respective Odisha discom to Invoice Desk. The payment shall be released within 45 days from the date of submission of error free certified bills/ invoices. Any change in statutory taxes, duties and levies during the contract period shall be borne by respective Odisha DISCOMs. However, in case of delay in work execution owing to reasons not attributable to Odisha Disom, any increase in total liability shall be passed on the Bidder, whereas any benefits arising owing to such statutory variation in taxes and duties shall be passed on TP Discom.</t>
  </si>
  <si>
    <t>Wooden drums shall be free from sharp edges and visual defects</t>
  </si>
  <si>
    <t>Cable length on one drum shall be:
(a) 4 Core Cable – 95 sq.mm. to 300 sq.mm. – 500 meters with + 5% tolerance
(b) 4 Core Cable – 16 sq.mm. to 50 sq.mm. – 1000 meters with + 5% tolerance
(c) 2 Core &amp; 1 Core Cables – 1000 meters with + 5% tolerance (as per PO terms and conditions)</t>
  </si>
  <si>
    <t>TPCODL TPNODL TPSODL TPWODL
(TATA Power and Odisha Government Joint Venture)</t>
  </si>
  <si>
    <t>Propose Drum Type</t>
  </si>
  <si>
    <t>Insulation Screening(Metallic)</t>
  </si>
  <si>
    <t>RM Rate(Insulation Screening(Metallic))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</si>
  <si>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</si>
  <si>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</si>
  <si>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</si>
  <si>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</si>
  <si>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</si>
  <si>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</si>
  <si>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</si>
  <si>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</si>
  <si>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</si>
  <si>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</si>
  <si>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</si>
  <si>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</si>
  <si>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</si>
  <si>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</si>
  <si>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</si>
  <si>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</si>
  <si>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</si>
  <si>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</si>
  <si>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</si>
  <si>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</si>
  <si>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</si>
  <si>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</si>
  <si>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</si>
  <si>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</si>
  <si>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</si>
  <si>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</si>
  <si>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</si>
  <si>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</si>
  <si>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</si>
  <si>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</si>
  <si>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</si>
  <si>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</si>
  <si>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</si>
  <si>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</si>
  <si>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</si>
  <si>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</si>
  <si>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</si>
  <si>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</si>
  <si>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</si>
  <si>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</si>
  <si>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</si>
  <si>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</si>
  <si>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</si>
  <si>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</si>
  <si>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</si>
  <si>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</si>
  <si>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</si>
  <si>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</si>
  <si>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</si>
  <si>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</si>
  <si>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</si>
  <si>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</si>
  <si>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</si>
  <si>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</si>
  <si>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</si>
  <si>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</si>
  <si>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</si>
  <si>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</si>
  <si>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</si>
  <si>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</si>
  <si>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</si>
  <si>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</si>
  <si>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</si>
  <si>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Value</t>
  </si>
  <si>
    <t>MFG Value</t>
  </si>
  <si>
    <t>Profit Value</t>
  </si>
  <si>
    <t>1st EX-Works</t>
  </si>
  <si>
    <t>Intt Value</t>
  </si>
  <si>
    <t>Insp Value</t>
  </si>
  <si>
    <t>EX-Works Per KM</t>
  </si>
  <si>
    <t>Freight Per KM</t>
  </si>
  <si>
    <t>Price Including Freight Per KM</t>
  </si>
  <si>
    <t>GST Value</t>
  </si>
  <si>
    <t>Price Including GST &amp; Freight Per KM</t>
  </si>
  <si>
    <t>Total Price Of Full QTY(Including Freight&amp;GST)</t>
  </si>
  <si>
    <t>Party Standard Length(MTR)</t>
  </si>
  <si>
    <t>ENQ-15115-22-23</t>
  </si>
  <si>
    <t>FA0200002</t>
  </si>
  <si>
    <t>10 CORE X 2.5 SQ. MM. CU/ARD - WIRE (PVC)</t>
  </si>
  <si>
    <t>WOOD</t>
  </si>
  <si>
    <t>KMS</t>
  </si>
  <si>
    <t>MD0100066</t>
  </si>
  <si>
    <t>DRUM - 40 X 15 X 23 X 2</t>
  </si>
  <si>
    <t>FA0200003</t>
  </si>
  <si>
    <t>12 CORE X 2.5 SQ. MM. CU/ARD - WIRE (PVC)</t>
  </si>
  <si>
    <t>FA0200005</t>
  </si>
  <si>
    <t>16 CORE X 2.5 SQ. MM. CU/ARD - WIRE (PVC)</t>
  </si>
  <si>
    <t>MD0100075</t>
  </si>
  <si>
    <t>DRUM - 42 X 15 X 23 X 2</t>
  </si>
  <si>
    <t>FA0200011</t>
  </si>
  <si>
    <t>4 CORE X 2.5 SQ. MM. CU/ARD - WIRE (PVC)</t>
  </si>
  <si>
    <t>MD0100005</t>
  </si>
  <si>
    <t>DRUM - 36 X 14 X 23 X 2</t>
  </si>
  <si>
    <t>FA0200018</t>
  </si>
  <si>
    <t>7 CORE X 2.5 SQ. MM. CU/ARD - WIRE (PVC)</t>
  </si>
  <si>
    <t>FA0500017</t>
  </si>
  <si>
    <t>1 CORE X 50 SQ. MM. AL/UNARD. (XLPE)</t>
  </si>
  <si>
    <t>FA0600013</t>
  </si>
  <si>
    <t>1 CORE X 95 SQ. MM. AL/UNARD(XLPE )</t>
  </si>
  <si>
    <t>FA0600019</t>
  </si>
  <si>
    <t>1 CORE X 150 SQ. MM. AL/UNARD. (XLPE)</t>
  </si>
  <si>
    <t>MD0100085</t>
  </si>
  <si>
    <t>DRUM - 43 X 15 X 28 X 2.25</t>
  </si>
  <si>
    <t>FA0600020</t>
  </si>
  <si>
    <t>1 CORE X 300 SQ. MM. AL/UNARD. (XLPE)</t>
  </si>
  <si>
    <t>MD0100017</t>
  </si>
  <si>
    <t>DRUM - 52 X 18 X 36 X 2.5</t>
  </si>
  <si>
    <t>FA0600021</t>
  </si>
  <si>
    <t>1 CORE X 185 SQ. MM. AL/UNARD. (XLPE)</t>
  </si>
  <si>
    <t>MD0100090</t>
  </si>
  <si>
    <t>DRUM - 43 X 15 X 36 X 2.5</t>
  </si>
  <si>
    <t>FA0600032</t>
  </si>
  <si>
    <t>1 CORE X 630 SQ. MM. ALU/UNARD (XLPE)</t>
  </si>
  <si>
    <t>MD0100062</t>
  </si>
  <si>
    <t>DRUM - 74 X 24 X 32 X 3</t>
  </si>
  <si>
    <t>FA0800001</t>
  </si>
  <si>
    <t>1 CORE X 16 SQ. MM. AL/ARD. (XLPE)</t>
  </si>
  <si>
    <t>FA0900020</t>
  </si>
  <si>
    <t>2 CORE X 6 SQ. MM. AL/ARD - WIRE (XLPE)</t>
  </si>
  <si>
    <t>FA0900024</t>
  </si>
  <si>
    <t>4 CORE X 4 SQ. MM. CU/ARD - WIRE (PVC)</t>
  </si>
  <si>
    <t>FA0900041</t>
  </si>
  <si>
    <t>2 CORE X 4 SQ. MM. AL/ARD - WIRE (XLPE)</t>
  </si>
  <si>
    <t>FA0900042</t>
  </si>
  <si>
    <t>2 CORE X 10 SQ. MM. ALU/ARD - WIRE (XLPE)</t>
  </si>
  <si>
    <t>DRUM - 42 X 15 X 23 X 2</t>
  </si>
  <si>
    <t>FA0900111</t>
  </si>
  <si>
    <t>4 CORE X 25 SQ. MM. ALU/ARD - WIRE (XLPE)</t>
  </si>
  <si>
    <t>FA0900112</t>
  </si>
  <si>
    <t>4 CORE X 10 SQ. MM. AL/ARD - WIRE (XLPE)</t>
  </si>
  <si>
    <t>MD0100064</t>
  </si>
  <si>
    <t>DRUM - 42 X 15 X 32 X 2</t>
  </si>
  <si>
    <t>FA0900116</t>
  </si>
  <si>
    <t>4 CORE X 50 SQ. MM. AL/ARD - WIRE (XLPE)</t>
  </si>
  <si>
    <t>MD0100068</t>
  </si>
  <si>
    <t>DRUM - 54 X 20 X 36 X 2.5</t>
  </si>
  <si>
    <t>FA0900117</t>
  </si>
  <si>
    <t>4 CORE X 35 SQ. MM. AL/ARD - WIRE (XLPE)</t>
  </si>
  <si>
    <t>MD0100013</t>
  </si>
  <si>
    <t>DRUM - 48 X 14 X 36 X 2.25</t>
  </si>
  <si>
    <t>FA0900132</t>
  </si>
  <si>
    <t>4 CORE X 16 SQ. MM. AL/ARD - WIRE (XLPE)</t>
  </si>
  <si>
    <t>FA0900133</t>
  </si>
  <si>
    <t>2 CORE X 16 SQ. MM. AL/ARD - WIRE (XLPE)</t>
  </si>
  <si>
    <t>DRUM - 42 X 15 X 32 X 2 (LOMBU)</t>
  </si>
  <si>
    <t>FA0900160</t>
  </si>
  <si>
    <t>2 CORE X 50 SQ. MM. AL/ARD - WIRE (XLPE)</t>
  </si>
  <si>
    <t>FA1100091</t>
  </si>
  <si>
    <t>4 CORE X 240 SQ. MM. AL/ARD - WIRE (XLPE)</t>
  </si>
  <si>
    <t>MD0100048</t>
  </si>
  <si>
    <t>DRUM - 74 X 35 X 39 X 3</t>
  </si>
  <si>
    <t>FA1100094</t>
  </si>
  <si>
    <t>4 CORE X 95 SQ. MM. ALU/ARD - WIRE (XLPE)</t>
  </si>
  <si>
    <t>MD0100061</t>
  </si>
  <si>
    <t>DRUM - 56 X 24 X 32 X 3</t>
  </si>
  <si>
    <t>FA1100176</t>
  </si>
  <si>
    <t>4 CORE X 300 SQ. MM. AL/ARD - WIRE (XLPE)</t>
  </si>
  <si>
    <t>STEEL</t>
  </si>
  <si>
    <t>SP0400139</t>
  </si>
  <si>
    <t>CORRUGATED DISPATCH STEEL DRUM 2130 X 890 X 965</t>
  </si>
  <si>
    <t>FA1100177</t>
  </si>
  <si>
    <t>4 CORE X 150 SQ. MM. AL/ARD - WIRE (XLPE)</t>
  </si>
  <si>
    <t>MD0100024</t>
  </si>
  <si>
    <t>DRUM - 70 X 30 X 36 X 3</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</si>
  <si>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</si>
  <si>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</si>
  <si>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</si>
  <si>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</si>
  <si>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</si>
  <si>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</si>
  <si>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</si>
  <si>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</si>
  <si>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</si>
  <si>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</si>
  <si>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PV FORMULA HT POWRE CABLE</t>
  </si>
  <si>
    <t>Item</t>
  </si>
  <si>
    <t>Calculation part</t>
  </si>
  <si>
    <t>Date of Inspection</t>
  </si>
  <si>
    <t>Applicable Date</t>
  </si>
  <si>
    <t>BASE DATE</t>
  </si>
  <si>
    <t>FACTORS</t>
  </si>
  <si>
    <t>Ex-Work
Po</t>
  </si>
  <si>
    <t>PVC of al</t>
  </si>
  <si>
    <t>PVC of Cu Tape</t>
  </si>
  <si>
    <t>PVC of XLPE</t>
  </si>
  <si>
    <t>PVC OF PVC</t>
  </si>
  <si>
    <t>PVC OF FE</t>
  </si>
  <si>
    <t>PV/PKM</t>
  </si>
  <si>
    <t>Billing Price/PKM</t>
  </si>
  <si>
    <t>RMC</t>
  </si>
  <si>
    <t>Drum</t>
  </si>
  <si>
    <t>RMC+Drum</t>
  </si>
  <si>
    <t>VA</t>
  </si>
  <si>
    <t>Groos VA%</t>
  </si>
  <si>
    <t>Mfg %</t>
  </si>
  <si>
    <t>Int %</t>
  </si>
  <si>
    <t>Ins%</t>
  </si>
  <si>
    <t>Net VA</t>
  </si>
  <si>
    <t>Date</t>
  </si>
  <si>
    <t>Al</t>
  </si>
  <si>
    <t>Cu</t>
  </si>
  <si>
    <t>Cc</t>
  </si>
  <si>
    <t>PVCc</t>
  </si>
  <si>
    <t>Fe</t>
  </si>
  <si>
    <t>Alo</t>
  </si>
  <si>
    <t>Cuo</t>
  </si>
  <si>
    <t>Cco</t>
  </si>
  <si>
    <t>PVCco</t>
  </si>
  <si>
    <t>Feo</t>
  </si>
  <si>
    <t>AlF</t>
  </si>
  <si>
    <t>XLFAL</t>
  </si>
  <si>
    <t>CCFAI</t>
  </si>
  <si>
    <t>FeF</t>
  </si>
  <si>
    <t>Kg/Km</t>
  </si>
  <si>
    <t>PROVISIONAL</t>
  </si>
  <si>
    <t>CuF</t>
  </si>
  <si>
    <t xml:space="preserve">Base circular shall be January 2025 circular issued in february 2025. Base month for Bid Price shall remain same throughout the negotiation process till Outline Agreement / Rate Contract is finalized.Base month circular has to be attached in the price bid.  </t>
  </si>
  <si>
    <t>PV</t>
  </si>
  <si>
    <t xml:space="preserve">IEEMA formulae and factors governing the price variation shall be as follows: The prices shall be subject to IEEMA Price Variation Clause with following conditions:
  P = Po + AIF (Al-Alo) + XLFAL (Cc-Cco) + CCFAl(PVCc-PVCco) + FeF (Fe-Feo) </t>
  </si>
  <si>
    <t>NCWBT</t>
  </si>
  <si>
    <t xml:space="preserve">1% extra cost </t>
  </si>
  <si>
    <t>UV resistance  RS-5/kg</t>
  </si>
  <si>
    <t>CABLE WEIGHT KG/KM</t>
  </si>
  <si>
    <t>DRUM WEIGHT</t>
  </si>
  <si>
    <t>CABLE+DRUM WEIGHT</t>
  </si>
  <si>
    <t>WEIGHT OF TRUCK</t>
  </si>
  <si>
    <t>EX-WORKS (PER MTR)</t>
  </si>
  <si>
    <t>FREIGHT PER MTR</t>
  </si>
  <si>
    <t>PRICE INCLUDING FREIGHT (PER MTR)</t>
  </si>
  <si>
    <t>PRICE INCLUDING GST &amp; FREIGHT (PER MTR)</t>
  </si>
  <si>
    <t>MTR</t>
  </si>
  <si>
    <t>FREIGHT CHARGES</t>
  </si>
  <si>
    <t>25 MT TRAILER</t>
  </si>
  <si>
    <t>BHUBANESWAR</t>
  </si>
  <si>
    <t>BALIA</t>
  </si>
  <si>
    <t>BERHAMPUR</t>
  </si>
  <si>
    <t>BURLA</t>
  </si>
  <si>
    <t xml:space="preserve">AVERAGE = </t>
  </si>
  <si>
    <t>SP0400123</t>
  </si>
  <si>
    <t>CORRUGATED DISPATCH STEEL DRUM 2000 X 1000 X 1200 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</si>
</sst>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 #,##0.00_ ;_ * \-#,##0.00_ ;_ * &quot;-&quot;??_ ;_ @_ "/>
    <numFmt numFmtId="165" formatCode="0.000%"/>
    <numFmt numFmtId="166" formatCode="&quot;Rs.&quot;#,##0"/>
    <numFmt numFmtId="167" formatCode="0.0"/>
    <numFmt numFmtId="168" formatCode="0.000"/>
    <numFmt numFmtId="169" formatCode="0.0000"/>
    <numFmt numFmtId="170" formatCode="0.00000"/>
  </numFmts>
  <fonts count="23"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
      <b/>
      <sz val="10"/>
      <name val="Verdana"/>
      <family val="2"/>
    </font>
    <font>
      <b/>
      <sz val="10"/>
      <name val="Calibri"/>
      <family val="2"/>
      <scheme val="minor"/>
    </font>
    <font>
      <sz val="10"/>
      <name val="Calibri"/>
      <family val="2"/>
      <scheme val="minor"/>
    </font>
    <font>
      <b/>
      <sz val="10"/>
      <name val="Arial"/>
      <family val="2"/>
    </font>
    <font>
      <sz val="10"/>
      <color rgb="FFFF0000"/>
      <name val="Calibri"/>
      <family val="2"/>
      <scheme val="minor"/>
    </font>
    <font>
      <sz val="10"/>
      <color theme="1"/>
      <name val="Verdana"/>
      <family val="2"/>
    </font>
    <font>
      <sz val="12"/>
      <color rgb="FF000000"/>
      <name val="Arial"/>
      <family val="2"/>
    </font>
    <font>
      <b/>
      <sz val="12"/>
      <color rgb="FF000000"/>
      <name val="Arial"/>
      <family val="2"/>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right style="thin">
        <color indexed="64"/>
      </right>
      <top style="medium">
        <color indexed="64"/>
      </top>
      <bottom style="thin">
        <color indexed="64"/>
      </bottom>
      <diagonal/>
    </border>
    <border>
      <left style="thin">
        <color auto="1"/>
      </left>
      <right/>
      <top style="medium">
        <color auto="1"/>
      </top>
      <bottom style="thin">
        <color auto="1"/>
      </bottom>
      <diagonal/>
    </border>
    <border>
      <left style="thin">
        <color indexed="64"/>
      </left>
      <right style="medium">
        <color indexed="64"/>
      </right>
      <top style="thin">
        <color indexed="64"/>
      </top>
      <bottom style="thin">
        <color indexed="64"/>
      </bottom>
      <diagonal/>
    </border>
    <border>
      <left style="medium">
        <color auto="1"/>
      </left>
      <right style="medium">
        <color auto="1"/>
      </right>
      <top style="thin">
        <color auto="1"/>
      </top>
      <bottom style="thin">
        <color auto="1"/>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cellStyleXfs>
  <cellXfs count="182">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4" fontId="0" fillId="0" borderId="0" xfId="0" applyNumberFormat="1"/>
    <xf numFmtId="10" fontId="0" fillId="0" borderId="0" xfId="0" applyNumberFormat="1"/>
    <xf numFmtId="3" fontId="0" fillId="0" borderId="0" xfId="0" applyNumberFormat="1"/>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6" borderId="1" xfId="7" applyFont="1" applyFill="1" applyBorder="1" applyAlignment="1">
      <alignment horizontal="center" vertical="center"/>
    </xf>
    <xf numFmtId="43" fontId="0" fillId="0" borderId="1" xfId="0" applyNumberFormat="1" applyBorder="1" applyAlignment="1">
      <alignment wrapText="1"/>
    </xf>
    <xf numFmtId="0" fontId="11" fillId="0" borderId="1" xfId="4" applyBorder="1" applyAlignment="1">
      <alignment horizontal="center" vertical="center"/>
    </xf>
    <xf numFmtId="0" fontId="16" fillId="0" borderId="0" xfId="4" applyFont="1" applyAlignment="1">
      <alignment horizontal="center" vertical="center"/>
    </xf>
    <xf numFmtId="0" fontId="17" fillId="0" borderId="0" xfId="6" applyFont="1" applyAlignment="1">
      <alignment horizontal="center" vertical="center"/>
    </xf>
    <xf numFmtId="0" fontId="11" fillId="0" borderId="0" xfId="4" applyAlignment="1">
      <alignment horizontal="center" vertical="center"/>
    </xf>
    <xf numFmtId="0" fontId="16" fillId="0" borderId="0" xfId="4" applyFont="1" applyAlignment="1">
      <alignment vertical="center"/>
    </xf>
    <xf numFmtId="0" fontId="17" fillId="0" borderId="0" xfId="6" applyFont="1"/>
    <xf numFmtId="0" fontId="11" fillId="0" borderId="0" xfId="4"/>
    <xf numFmtId="0" fontId="17" fillId="0" borderId="0" xfId="4" applyFont="1" applyAlignment="1">
      <alignment horizontal="center"/>
    </xf>
    <xf numFmtId="14" fontId="17" fillId="0" borderId="0" xfId="4" applyNumberFormat="1" applyFont="1" applyAlignment="1">
      <alignment horizontal="center"/>
    </xf>
    <xf numFmtId="0" fontId="11" fillId="0" borderId="0" xfId="4" applyAlignment="1">
      <alignment horizontal="center"/>
    </xf>
    <xf numFmtId="0" fontId="18" fillId="0" borderId="6" xfId="6" applyFont="1" applyBorder="1" applyAlignment="1">
      <alignment horizontal="center" vertical="center" wrapText="1"/>
    </xf>
    <xf numFmtId="0" fontId="18" fillId="0" borderId="1" xfId="6" applyFont="1" applyBorder="1" applyAlignment="1">
      <alignment horizontal="center" vertical="center" wrapText="1"/>
    </xf>
    <xf numFmtId="0" fontId="16" fillId="0" borderId="6" xfId="6" applyFont="1" applyBorder="1" applyAlignment="1">
      <alignment horizontal="center" vertical="center" wrapText="1"/>
    </xf>
    <xf numFmtId="0" fontId="16" fillId="0" borderId="1" xfId="6" applyFont="1" applyBorder="1" applyAlignment="1">
      <alignment horizontal="center" vertical="center" wrapText="1"/>
    </xf>
    <xf numFmtId="0" fontId="16" fillId="0" borderId="15" xfId="6" applyFont="1" applyBorder="1" applyAlignment="1">
      <alignment horizontal="center" vertical="center" wrapText="1"/>
    </xf>
    <xf numFmtId="0" fontId="16" fillId="0" borderId="4" xfId="6" applyFont="1" applyBorder="1" applyAlignment="1">
      <alignment horizontal="center" vertical="center" wrapText="1"/>
    </xf>
    <xf numFmtId="166" fontId="18" fillId="0" borderId="6" xfId="6" applyNumberFormat="1" applyFont="1" applyBorder="1" applyAlignment="1">
      <alignment horizontal="center" vertical="center" wrapText="1"/>
    </xf>
    <xf numFmtId="166" fontId="18" fillId="0" borderId="1" xfId="6" applyNumberFormat="1" applyFont="1" applyBorder="1" applyAlignment="1">
      <alignment horizontal="center" vertical="center" wrapText="1"/>
    </xf>
    <xf numFmtId="1" fontId="18" fillId="0" borderId="1" xfId="6" applyNumberFormat="1" applyFont="1" applyBorder="1" applyAlignment="1">
      <alignment horizontal="center"/>
    </xf>
    <xf numFmtId="0" fontId="11" fillId="0" borderId="16" xfId="4" applyBorder="1" applyAlignment="1">
      <alignment horizontal="center" vertical="center"/>
    </xf>
    <xf numFmtId="14" fontId="17" fillId="0" borderId="16" xfId="6" applyNumberFormat="1" applyFont="1" applyBorder="1" applyAlignment="1">
      <alignment horizontal="center" vertical="center" wrapText="1"/>
    </xf>
    <xf numFmtId="14" fontId="4" fillId="8" borderId="6" xfId="6" applyNumberFormat="1" applyFont="1" applyFill="1" applyBorder="1" applyAlignment="1">
      <alignment horizontal="center" vertical="center" wrapText="1"/>
    </xf>
    <xf numFmtId="167" fontId="19" fillId="0" borderId="1" xfId="6" applyNumberFormat="1" applyFont="1" applyBorder="1" applyAlignment="1">
      <alignment horizontal="center" vertical="center" wrapText="1"/>
    </xf>
    <xf numFmtId="167" fontId="17" fillId="0" borderId="1" xfId="6" applyNumberFormat="1" applyFont="1" applyBorder="1" applyAlignment="1">
      <alignment horizontal="center" vertical="center" wrapText="1"/>
    </xf>
    <xf numFmtId="167" fontId="17" fillId="0" borderId="15" xfId="6" applyNumberFormat="1" applyFont="1" applyBorder="1" applyAlignment="1">
      <alignment horizontal="center" vertical="center" wrapText="1"/>
    </xf>
    <xf numFmtId="14" fontId="17" fillId="8" borderId="6" xfId="6" applyNumberFormat="1" applyFont="1" applyFill="1" applyBorder="1" applyAlignment="1">
      <alignment horizontal="center" vertical="center" wrapText="1"/>
    </xf>
    <xf numFmtId="168" fontId="17" fillId="0" borderId="6" xfId="6" applyNumberFormat="1" applyFont="1" applyBorder="1" applyAlignment="1">
      <alignment horizontal="center" vertical="center" wrapText="1"/>
    </xf>
    <xf numFmtId="169" fontId="17" fillId="0" borderId="4" xfId="6" applyNumberFormat="1" applyFont="1" applyBorder="1" applyAlignment="1">
      <alignment horizontal="center" vertical="center" wrapText="1"/>
    </xf>
    <xf numFmtId="168" fontId="17" fillId="0" borderId="1" xfId="6" applyNumberFormat="1" applyFont="1" applyBorder="1" applyAlignment="1">
      <alignment horizontal="center" vertical="center" wrapText="1"/>
    </xf>
    <xf numFmtId="168" fontId="17" fillId="0" borderId="15" xfId="6" applyNumberFormat="1" applyFont="1" applyBorder="1" applyAlignment="1">
      <alignment horizontal="center" vertical="center" wrapText="1"/>
    </xf>
    <xf numFmtId="2" fontId="16" fillId="0" borderId="16" xfId="6" applyNumberFormat="1" applyFont="1" applyBorder="1" applyAlignment="1">
      <alignment horizontal="center" vertical="center" wrapText="1"/>
    </xf>
    <xf numFmtId="2" fontId="17" fillId="0" borderId="4" xfId="6" applyNumberFormat="1" applyFont="1" applyBorder="1" applyAlignment="1">
      <alignment horizontal="center" vertical="center" wrapText="1"/>
    </xf>
    <xf numFmtId="2" fontId="17" fillId="0" borderId="1" xfId="6" applyNumberFormat="1" applyFont="1" applyBorder="1" applyAlignment="1">
      <alignment horizontal="center" vertical="center" wrapText="1"/>
    </xf>
    <xf numFmtId="2" fontId="17" fillId="0" borderId="2" xfId="6" applyNumberFormat="1" applyFont="1" applyBorder="1" applyAlignment="1">
      <alignment horizontal="center" vertical="center" wrapText="1"/>
    </xf>
    <xf numFmtId="2" fontId="17" fillId="9" borderId="16" xfId="6" applyNumberFormat="1" applyFont="1" applyFill="1" applyBorder="1" applyAlignment="1">
      <alignment horizontal="center" vertical="center" wrapText="1"/>
    </xf>
    <xf numFmtId="168" fontId="12" fillId="0" borderId="6" xfId="6" applyNumberFormat="1" applyBorder="1" applyAlignment="1">
      <alignment horizontal="center" vertical="center"/>
    </xf>
    <xf numFmtId="168" fontId="12" fillId="0" borderId="1" xfId="6" applyNumberFormat="1" applyBorder="1" applyAlignment="1">
      <alignment horizontal="center" vertical="center"/>
    </xf>
    <xf numFmtId="2" fontId="18" fillId="0" borderId="1" xfId="6" applyNumberFormat="1" applyFont="1" applyBorder="1" applyAlignment="1">
      <alignment horizontal="center" vertical="center"/>
    </xf>
    <xf numFmtId="2" fontId="12" fillId="0" borderId="1" xfId="6" applyNumberFormat="1" applyBorder="1" applyAlignment="1">
      <alignment horizontal="center" vertical="center"/>
    </xf>
    <xf numFmtId="2" fontId="18" fillId="0" borderId="15" xfId="6" applyNumberFormat="1" applyFont="1" applyBorder="1" applyAlignment="1">
      <alignment horizontal="center" vertical="center"/>
    </xf>
    <xf numFmtId="0" fontId="11" fillId="0" borderId="17" xfId="4" applyBorder="1" applyAlignment="1">
      <alignment wrapText="1"/>
    </xf>
    <xf numFmtId="0" fontId="11" fillId="0" borderId="17" xfId="4" applyBorder="1"/>
    <xf numFmtId="14" fontId="17" fillId="0" borderId="17" xfId="6" applyNumberFormat="1" applyFont="1" applyBorder="1" applyAlignment="1">
      <alignment horizontal="center" vertical="center" wrapText="1"/>
    </xf>
    <xf numFmtId="14" fontId="17" fillId="0" borderId="18" xfId="6" applyNumberFormat="1" applyFont="1" applyBorder="1" applyAlignment="1">
      <alignment horizontal="center" vertical="center" wrapText="1"/>
    </xf>
    <xf numFmtId="2" fontId="17" fillId="0" borderId="19" xfId="6" applyNumberFormat="1" applyFont="1" applyBorder="1" applyAlignment="1">
      <alignment horizontal="center" vertical="center" wrapText="1"/>
    </xf>
    <xf numFmtId="2" fontId="17" fillId="0" borderId="20" xfId="6" applyNumberFormat="1" applyFont="1" applyBorder="1" applyAlignment="1">
      <alignment horizontal="center" vertical="center" wrapText="1"/>
    </xf>
    <xf numFmtId="2" fontId="17" fillId="0" borderId="18" xfId="6" applyNumberFormat="1" applyFont="1" applyBorder="1" applyAlignment="1">
      <alignment horizontal="center" vertical="center" wrapText="1"/>
    </xf>
    <xf numFmtId="167" fontId="17" fillId="0" borderId="19" xfId="6" applyNumberFormat="1" applyFont="1" applyBorder="1" applyAlignment="1">
      <alignment horizontal="center" vertical="center" wrapText="1"/>
    </xf>
    <xf numFmtId="167" fontId="17" fillId="0" borderId="20" xfId="6" applyNumberFormat="1" applyFont="1" applyBorder="1" applyAlignment="1">
      <alignment horizontal="center" vertical="center" wrapText="1"/>
    </xf>
    <xf numFmtId="2" fontId="17" fillId="0" borderId="21" xfId="6" applyNumberFormat="1" applyFont="1" applyBorder="1" applyAlignment="1">
      <alignment horizontal="center" vertical="center" wrapText="1"/>
    </xf>
    <xf numFmtId="2" fontId="17" fillId="0" borderId="17" xfId="6" applyNumberFormat="1" applyFont="1" applyBorder="1" applyAlignment="1">
      <alignment horizontal="center" vertical="center" wrapText="1"/>
    </xf>
    <xf numFmtId="170" fontId="17" fillId="0" borderId="21" xfId="6" applyNumberFormat="1" applyFont="1" applyBorder="1" applyAlignment="1">
      <alignment vertical="center" wrapText="1"/>
    </xf>
    <xf numFmtId="170" fontId="17" fillId="0" borderId="19" xfId="6" applyNumberFormat="1" applyFont="1" applyBorder="1" applyAlignment="1">
      <alignment vertical="center" wrapText="1"/>
    </xf>
    <xf numFmtId="169" fontId="17" fillId="0" borderId="22" xfId="6" applyNumberFormat="1" applyFont="1" applyBorder="1" applyAlignment="1">
      <alignment horizontal="center" vertical="center" wrapText="1"/>
    </xf>
    <xf numFmtId="0" fontId="11" fillId="0" borderId="18" xfId="4" applyBorder="1" applyAlignment="1">
      <alignment wrapText="1"/>
    </xf>
    <xf numFmtId="0" fontId="11" fillId="0" borderId="19" xfId="4" applyBorder="1" applyAlignment="1">
      <alignment wrapText="1"/>
    </xf>
    <xf numFmtId="0" fontId="11" fillId="0" borderId="20" xfId="4" applyBorder="1" applyAlignment="1">
      <alignment wrapText="1"/>
    </xf>
    <xf numFmtId="0" fontId="11" fillId="0" borderId="0" xfId="4" applyAlignment="1">
      <alignment wrapText="1"/>
    </xf>
    <xf numFmtId="0" fontId="15" fillId="0" borderId="0" xfId="4" applyFont="1"/>
    <xf numFmtId="169" fontId="17" fillId="0" borderId="6" xfId="6" applyNumberFormat="1" applyFont="1" applyBorder="1" applyAlignment="1">
      <alignment horizontal="center" vertical="center" wrapText="1"/>
    </xf>
    <xf numFmtId="168" fontId="17" fillId="10" borderId="1" xfId="6" applyNumberFormat="1" applyFont="1" applyFill="1" applyBorder="1" applyAlignment="1">
      <alignment horizontal="center" vertical="center" wrapText="1"/>
    </xf>
    <xf numFmtId="0" fontId="20" fillId="0" borderId="16" xfId="4" applyFont="1" applyBorder="1" applyAlignment="1">
      <alignment horizontal="center" vertical="center"/>
    </xf>
    <xf numFmtId="0" fontId="2" fillId="10"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7" fillId="3" borderId="1" xfId="0" applyFont="1" applyFill="1" applyBorder="1" applyAlignment="1">
      <alignment vertical="center" wrapText="1"/>
    </xf>
    <xf numFmtId="0" fontId="3" fillId="11" borderId="1" xfId="0" applyFont="1" applyFill="1" applyBorder="1" applyAlignment="1">
      <alignment horizontal="center" vertical="center" wrapText="1"/>
    </xf>
    <xf numFmtId="0" fontId="2" fillId="10" borderId="1" xfId="0" applyFont="1" applyFill="1" applyBorder="1" applyAlignment="1">
      <alignment horizontal="center" vertical="center"/>
    </xf>
    <xf numFmtId="0" fontId="10" fillId="0" borderId="1" xfId="0" applyFont="1" applyBorder="1" applyAlignment="1">
      <alignment horizontal="left" vertical="top" wrapText="1"/>
    </xf>
    <xf numFmtId="0" fontId="10" fillId="0" borderId="1" xfId="0" applyFont="1" applyBorder="1" applyAlignment="1">
      <alignment horizontal="left" vertical="top"/>
    </xf>
    <xf numFmtId="0" fontId="10" fillId="11" borderId="1" xfId="0" applyFont="1" applyFill="1" applyBorder="1" applyAlignment="1">
      <alignment horizontal="left" vertical="top"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9" fillId="0" borderId="7" xfId="0" applyFont="1" applyBorder="1" applyAlignment="1">
      <alignment horizontal="center" wrapText="1"/>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8" fillId="0" borderId="15" xfId="6" applyFont="1" applyBorder="1" applyAlignment="1">
      <alignment horizontal="center" vertical="center" wrapText="1"/>
    </xf>
    <xf numFmtId="0" fontId="16" fillId="0" borderId="15" xfId="6" applyFont="1" applyBorder="1" applyAlignment="1">
      <alignment horizontal="center" vertical="center" wrapText="1"/>
    </xf>
    <xf numFmtId="0" fontId="16" fillId="0" borderId="1" xfId="4" applyFont="1" applyBorder="1" applyAlignment="1">
      <alignment horizontal="center" vertical="center" wrapText="1"/>
    </xf>
    <xf numFmtId="0" fontId="16" fillId="0" borderId="1" xfId="4" applyFont="1" applyBorder="1" applyAlignment="1">
      <alignment horizontal="center" vertical="center"/>
    </xf>
    <xf numFmtId="0" fontId="16" fillId="0" borderId="6" xfId="6" applyFont="1" applyBorder="1" applyAlignment="1">
      <alignment horizontal="center" vertical="center" wrapText="1"/>
    </xf>
    <xf numFmtId="0" fontId="16" fillId="0" borderId="1" xfId="6" applyFont="1" applyBorder="1" applyAlignment="1">
      <alignment horizontal="center" vertical="center" wrapText="1"/>
    </xf>
    <xf numFmtId="0" fontId="18" fillId="0" borderId="1" xfId="6" applyFont="1" applyBorder="1" applyAlignment="1">
      <alignment horizontal="center" vertical="center" wrapText="1"/>
    </xf>
    <xf numFmtId="0" fontId="16" fillId="0" borderId="10" xfId="6" applyFont="1" applyBorder="1" applyAlignment="1">
      <alignment horizontal="center" vertical="center" wrapText="1"/>
    </xf>
    <xf numFmtId="0" fontId="16" fillId="0" borderId="14" xfId="6" applyFont="1" applyBorder="1" applyAlignment="1">
      <alignment horizontal="center" vertical="center" wrapText="1"/>
    </xf>
    <xf numFmtId="0" fontId="16" fillId="0" borderId="2" xfId="6" applyFont="1" applyBorder="1" applyAlignment="1">
      <alignment horizontal="center" vertical="center" wrapText="1"/>
    </xf>
    <xf numFmtId="0" fontId="16" fillId="0" borderId="12" xfId="6" applyFont="1" applyBorder="1" applyAlignment="1">
      <alignment horizontal="center" vertical="center" wrapText="1"/>
    </xf>
    <xf numFmtId="0" fontId="16" fillId="0" borderId="16" xfId="6" applyFont="1" applyBorder="1" applyAlignment="1">
      <alignment horizontal="center" vertical="center" wrapText="1"/>
    </xf>
    <xf numFmtId="14" fontId="15" fillId="5" borderId="1" xfId="4" applyNumberFormat="1" applyFont="1" applyFill="1" applyBorder="1" applyAlignment="1">
      <alignment horizontal="center" vertical="center"/>
    </xf>
    <xf numFmtId="0" fontId="15" fillId="5" borderId="1" xfId="4" applyFont="1" applyFill="1" applyBorder="1" applyAlignment="1">
      <alignment horizontal="center" vertical="center"/>
    </xf>
    <xf numFmtId="0" fontId="18" fillId="0" borderId="5" xfId="6" applyFont="1" applyBorder="1" applyAlignment="1">
      <alignment horizontal="center" vertical="center"/>
    </xf>
    <xf numFmtId="0" fontId="18" fillId="0" borderId="10" xfId="6" applyFont="1" applyBorder="1" applyAlignment="1">
      <alignment horizontal="center" vertical="center"/>
    </xf>
    <xf numFmtId="0" fontId="18" fillId="0" borderId="11" xfId="6" applyFont="1" applyBorder="1" applyAlignment="1">
      <alignment horizontal="center" vertical="center"/>
    </xf>
    <xf numFmtId="0" fontId="15" fillId="0" borderId="12" xfId="4" applyFont="1" applyBorder="1" applyAlignment="1">
      <alignment horizontal="center" vertical="center"/>
    </xf>
    <xf numFmtId="0" fontId="15" fillId="0" borderId="16" xfId="4" applyFont="1" applyBorder="1" applyAlignment="1">
      <alignment horizontal="center" vertical="center"/>
    </xf>
    <xf numFmtId="0" fontId="15" fillId="0" borderId="12" xfId="4" applyFont="1" applyBorder="1" applyAlignment="1">
      <alignment horizontal="center" vertical="center" wrapText="1"/>
    </xf>
    <xf numFmtId="0" fontId="15" fillId="0" borderId="16" xfId="4" applyFont="1" applyBorder="1" applyAlignment="1">
      <alignment horizontal="center" vertical="center" wrapText="1"/>
    </xf>
    <xf numFmtId="0" fontId="16" fillId="0" borderId="5" xfId="6" applyFont="1" applyBorder="1" applyAlignment="1">
      <alignment horizontal="center" vertical="center" wrapText="1"/>
    </xf>
    <xf numFmtId="0" fontId="16" fillId="0" borderId="11" xfId="6" applyFont="1" applyBorder="1" applyAlignment="1">
      <alignment horizontal="center" vertical="center" wrapText="1"/>
    </xf>
    <xf numFmtId="0" fontId="16" fillId="0" borderId="13" xfId="6" applyFont="1" applyBorder="1" applyAlignment="1">
      <alignment horizontal="center" vertical="center" wrapText="1"/>
    </xf>
    <xf numFmtId="0" fontId="16" fillId="0" borderId="4" xfId="6" applyFont="1" applyBorder="1" applyAlignment="1">
      <alignment horizontal="center" vertical="center"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10" fillId="0" borderId="1" xfId="0" applyFont="1" applyBorder="1" applyAlignment="1">
      <alignment wrapText="1"/>
    </xf>
    <xf numFmtId="168" fontId="0" fillId="0" borderId="0" xfId="0" applyNumberFormat="1" applyAlignment="1">
      <alignment wrapText="1"/>
    </xf>
    <xf numFmtId="0" fontId="0" fillId="0" borderId="1" xfId="0" applyNumberFormat="1" applyBorder="1" applyAlignment="1">
      <alignment wrapText="1"/>
    </xf>
    <xf numFmtId="164" fontId="0" fillId="0" borderId="0" xfId="0" applyNumberFormat="1"/>
    <xf numFmtId="0" fontId="0" fillId="0" borderId="0" xfId="0" applyAlignment="1">
      <alignment horizontal="right"/>
    </xf>
    <xf numFmtId="0" fontId="22" fillId="0" borderId="0" xfId="0" applyFont="1" applyAlignment="1">
      <alignment horizontal="right"/>
    </xf>
    <xf numFmtId="164" fontId="2" fillId="0" borderId="0" xfId="0" applyNumberFormat="1" applyFont="1"/>
    <xf numFmtId="0" fontId="21" fillId="0" borderId="0" xfId="0" applyFont="1" applyAlignment="1">
      <alignment horizontal="right"/>
    </xf>
    <xf numFmtId="0" fontId="16" fillId="11" borderId="1" xfId="0" applyFont="1" applyFill="1" applyBorder="1" applyAlignment="1">
      <alignment horizontal="center" vertical="center" wrapText="1"/>
    </xf>
    <xf numFmtId="0" fontId="0" fillId="10" borderId="0" xfId="0" applyFill="1" applyAlignment="1">
      <alignment wrapText="1"/>
    </xf>
    <xf numFmtId="43" fontId="0" fillId="0" borderId="0" xfId="0" applyNumberFormat="1"/>
    <xf numFmtId="167" fontId="0" fillId="0" borderId="0" xfId="0" applyNumberFormat="1"/>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28"/>
  <sheetViews>
    <sheetView topLeftCell="BX1" workbookViewId="0">
      <selection sqref="A1:CX28"/>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21" width="8.85546875" customWidth="1"/>
    <col min="22" max="22" width="15.28515625" bestFit="1" customWidth="1"/>
    <col min="23"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4" customFormat="1" x14ac:dyDescent="0.25">
      <c r="A1" t="s">
        <v>0</v>
      </c>
      <c r="B1" t="s">
        <v>99</v>
      </c>
      <c r="C1" t="s">
        <v>1</v>
      </c>
      <c r="D1" t="s">
        <v>2</v>
      </c>
      <c r="E1" t="s">
        <v>112</v>
      </c>
      <c r="F1" t="s">
        <v>113</v>
      </c>
      <c r="G1" t="s">
        <v>114</v>
      </c>
      <c r="H1" t="s">
        <v>4</v>
      </c>
      <c r="I1" t="s">
        <v>115</v>
      </c>
      <c r="J1" t="s">
        <v>5</v>
      </c>
      <c r="K1" t="s">
        <v>116</v>
      </c>
      <c r="L1" t="s">
        <v>117</v>
      </c>
      <c r="M1" t="s">
        <v>118</v>
      </c>
      <c r="N1" t="s">
        <v>6</v>
      </c>
      <c r="O1" t="s">
        <v>119</v>
      </c>
      <c r="P1" t="s">
        <v>120</v>
      </c>
      <c r="Q1" t="s">
        <v>121</v>
      </c>
      <c r="R1" t="s">
        <v>122</v>
      </c>
      <c r="S1" t="s">
        <v>123</v>
      </c>
      <c r="T1" t="s">
        <v>124</v>
      </c>
      <c r="U1" t="s">
        <v>125</v>
      </c>
      <c r="V1" t="s">
        <v>8</v>
      </c>
      <c r="W1" t="s">
        <v>126</v>
      </c>
      <c r="X1" t="s">
        <v>127</v>
      </c>
      <c r="Y1" t="s">
        <v>128</v>
      </c>
      <c r="Z1" t="s">
        <v>129</v>
      </c>
      <c r="AA1" t="s">
        <v>130</v>
      </c>
      <c r="AB1" t="s">
        <v>131</v>
      </c>
      <c r="AC1" t="s">
        <v>132</v>
      </c>
      <c r="AD1" t="s">
        <v>10</v>
      </c>
      <c r="AE1" t="s">
        <v>133</v>
      </c>
      <c r="AF1" t="s">
        <v>134</v>
      </c>
      <c r="AG1" t="s">
        <v>135</v>
      </c>
      <c r="AH1" t="s">
        <v>11</v>
      </c>
      <c r="AI1" t="s">
        <v>136</v>
      </c>
      <c r="AJ1" t="s">
        <v>137</v>
      </c>
      <c r="AK1" t="s">
        <v>138</v>
      </c>
      <c r="AL1" t="s">
        <v>12</v>
      </c>
      <c r="AM1" t="s">
        <v>139</v>
      </c>
      <c r="AN1" t="s">
        <v>140</v>
      </c>
      <c r="AO1" t="s">
        <v>141</v>
      </c>
      <c r="AP1" t="s">
        <v>142</v>
      </c>
      <c r="AQ1" t="s">
        <v>143</v>
      </c>
      <c r="AR1" t="s">
        <v>144</v>
      </c>
      <c r="AS1" t="s">
        <v>145</v>
      </c>
      <c r="AT1" t="s">
        <v>53</v>
      </c>
      <c r="AU1" t="s">
        <v>146</v>
      </c>
      <c r="AV1" t="s">
        <v>147</v>
      </c>
      <c r="AW1" t="s">
        <v>148</v>
      </c>
      <c r="AX1" t="s">
        <v>149</v>
      </c>
      <c r="AY1" t="s">
        <v>150</v>
      </c>
      <c r="AZ1" t="s">
        <v>151</v>
      </c>
      <c r="BA1" t="s">
        <v>152</v>
      </c>
      <c r="BB1" t="s">
        <v>153</v>
      </c>
      <c r="BC1" t="s">
        <v>154</v>
      </c>
      <c r="BD1" t="s">
        <v>155</v>
      </c>
      <c r="BE1" t="s">
        <v>156</v>
      </c>
      <c r="BF1" t="s">
        <v>157</v>
      </c>
      <c r="BG1" t="s">
        <v>158</v>
      </c>
      <c r="BH1" t="s">
        <v>159</v>
      </c>
      <c r="BI1" t="s">
        <v>160</v>
      </c>
      <c r="BJ1" t="s">
        <v>161</v>
      </c>
      <c r="BK1" t="s">
        <v>162</v>
      </c>
      <c r="BL1" t="s">
        <v>163</v>
      </c>
      <c r="BM1" t="s">
        <v>164</v>
      </c>
      <c r="BN1" t="s">
        <v>165</v>
      </c>
      <c r="BO1" t="s">
        <v>166</v>
      </c>
      <c r="BP1" t="s">
        <v>167</v>
      </c>
      <c r="BQ1" t="s">
        <v>168</v>
      </c>
      <c r="BR1" t="s">
        <v>169</v>
      </c>
      <c r="BS1" t="s">
        <v>170</v>
      </c>
      <c r="BT1" t="s">
        <v>171</v>
      </c>
      <c r="BU1" t="s">
        <v>172</v>
      </c>
      <c r="BV1" t="s">
        <v>21</v>
      </c>
      <c r="BW1" t="s">
        <v>173</v>
      </c>
      <c r="BX1" t="s">
        <v>174</v>
      </c>
      <c r="BY1" t="s">
        <v>175</v>
      </c>
      <c r="BZ1" t="s">
        <v>176</v>
      </c>
      <c r="CA1" t="s">
        <v>177</v>
      </c>
      <c r="CB1" t="s">
        <v>24</v>
      </c>
      <c r="CC1" t="s">
        <v>178</v>
      </c>
      <c r="CD1" t="s">
        <v>25</v>
      </c>
      <c r="CE1" t="s">
        <v>179</v>
      </c>
      <c r="CF1" t="s">
        <v>27</v>
      </c>
      <c r="CG1" t="s">
        <v>180</v>
      </c>
      <c r="CH1" t="s">
        <v>181</v>
      </c>
      <c r="CI1" t="s">
        <v>30</v>
      </c>
      <c r="CJ1" t="s">
        <v>182</v>
      </c>
      <c r="CK1" t="s">
        <v>32</v>
      </c>
      <c r="CL1" t="s">
        <v>183</v>
      </c>
      <c r="CM1" t="s">
        <v>184</v>
      </c>
      <c r="CN1" t="s">
        <v>185</v>
      </c>
      <c r="CO1" t="s">
        <v>186</v>
      </c>
      <c r="CP1" t="s">
        <v>37</v>
      </c>
      <c r="CQ1" t="s">
        <v>187</v>
      </c>
      <c r="CR1" t="s">
        <v>188</v>
      </c>
      <c r="CS1" t="s">
        <v>40</v>
      </c>
      <c r="CT1" t="s">
        <v>41</v>
      </c>
      <c r="CU1" t="s">
        <v>189</v>
      </c>
      <c r="CV1" t="s">
        <v>100</v>
      </c>
      <c r="CW1" t="s">
        <v>101</v>
      </c>
      <c r="CX1" t="s">
        <v>190</v>
      </c>
    </row>
    <row r="2" spans="1:102" x14ac:dyDescent="0.25">
      <c r="A2" t="s">
        <v>191</v>
      </c>
      <c r="B2" s="50">
        <v>45698</v>
      </c>
      <c r="C2" t="s">
        <v>192</v>
      </c>
      <c r="D2" t="s">
        <v>193</v>
      </c>
      <c r="E2" t="s">
        <v>194</v>
      </c>
      <c r="H2">
        <v>0</v>
      </c>
      <c r="J2" t="s">
        <v>46</v>
      </c>
      <c r="K2">
        <v>866</v>
      </c>
      <c r="L2">
        <v>222</v>
      </c>
      <c r="M2">
        <v>192252</v>
      </c>
      <c r="P2">
        <v>0</v>
      </c>
      <c r="T2">
        <v>0</v>
      </c>
      <c r="V2" t="s">
        <v>71</v>
      </c>
      <c r="W2">
        <v>103.71</v>
      </c>
      <c r="X2">
        <v>130</v>
      </c>
      <c r="Y2" s="51">
        <v>13482.3</v>
      </c>
      <c r="Z2" t="s">
        <v>9</v>
      </c>
      <c r="AA2">
        <v>120</v>
      </c>
      <c r="AB2">
        <v>5</v>
      </c>
      <c r="AC2">
        <v>600</v>
      </c>
      <c r="AD2" t="s">
        <v>51</v>
      </c>
      <c r="AE2">
        <v>67.67</v>
      </c>
      <c r="AF2">
        <v>38</v>
      </c>
      <c r="AG2">
        <v>2571.46</v>
      </c>
      <c r="AH2" t="s">
        <v>84</v>
      </c>
      <c r="AI2">
        <v>82.9</v>
      </c>
      <c r="AJ2">
        <v>492</v>
      </c>
      <c r="AK2">
        <v>40786.800000000003</v>
      </c>
      <c r="AL2" t="s">
        <v>64</v>
      </c>
      <c r="AM2">
        <v>87.1</v>
      </c>
      <c r="AN2">
        <v>166</v>
      </c>
      <c r="AO2">
        <v>14458.6</v>
      </c>
      <c r="AR2">
        <v>0</v>
      </c>
      <c r="AV2">
        <v>0</v>
      </c>
      <c r="AZ2">
        <v>0</v>
      </c>
      <c r="BD2">
        <v>0</v>
      </c>
      <c r="BH2">
        <v>0</v>
      </c>
      <c r="BL2">
        <v>28</v>
      </c>
      <c r="BP2">
        <v>0</v>
      </c>
      <c r="BT2">
        <v>0</v>
      </c>
      <c r="BX2">
        <v>0</v>
      </c>
      <c r="BZ2">
        <v>5100</v>
      </c>
      <c r="CA2">
        <v>269251.15999999997</v>
      </c>
      <c r="CH2">
        <v>269251.15999999997</v>
      </c>
      <c r="CM2">
        <v>269251.15999999997</v>
      </c>
      <c r="CO2">
        <v>269251.15999999997</v>
      </c>
      <c r="CP2" s="52">
        <v>0.18</v>
      </c>
      <c r="CQ2">
        <v>48465.21</v>
      </c>
      <c r="CR2">
        <v>317716.37</v>
      </c>
      <c r="CS2">
        <v>63.965000000000003</v>
      </c>
      <c r="CT2" t="s">
        <v>195</v>
      </c>
      <c r="CU2" s="53">
        <v>20322728</v>
      </c>
      <c r="CV2" t="s">
        <v>196</v>
      </c>
      <c r="CW2" t="s">
        <v>197</v>
      </c>
      <c r="CX2">
        <v>500</v>
      </c>
    </row>
    <row r="3" spans="1:102" x14ac:dyDescent="0.25">
      <c r="A3" t="s">
        <v>191</v>
      </c>
      <c r="B3" s="50">
        <v>45698</v>
      </c>
      <c r="C3" t="s">
        <v>198</v>
      </c>
      <c r="D3" t="s">
        <v>199</v>
      </c>
      <c r="E3" t="s">
        <v>194</v>
      </c>
      <c r="H3">
        <v>0</v>
      </c>
      <c r="J3" t="s">
        <v>46</v>
      </c>
      <c r="K3">
        <v>866</v>
      </c>
      <c r="L3">
        <v>266</v>
      </c>
      <c r="M3">
        <v>230356</v>
      </c>
      <c r="P3">
        <v>0</v>
      </c>
      <c r="T3">
        <v>0</v>
      </c>
      <c r="V3" t="s">
        <v>71</v>
      </c>
      <c r="W3">
        <v>103.71</v>
      </c>
      <c r="X3">
        <v>156</v>
      </c>
      <c r="Y3" s="51">
        <v>16178.76</v>
      </c>
      <c r="Z3" t="s">
        <v>9</v>
      </c>
      <c r="AA3">
        <v>120</v>
      </c>
      <c r="AB3">
        <v>6</v>
      </c>
      <c r="AC3">
        <v>720</v>
      </c>
      <c r="AD3" t="s">
        <v>51</v>
      </c>
      <c r="AE3">
        <v>67.67</v>
      </c>
      <c r="AF3">
        <v>40</v>
      </c>
      <c r="AG3">
        <v>2706.8</v>
      </c>
      <c r="AH3" t="s">
        <v>84</v>
      </c>
      <c r="AI3">
        <v>82.9</v>
      </c>
      <c r="AJ3">
        <v>508</v>
      </c>
      <c r="AK3">
        <v>42113.2</v>
      </c>
      <c r="AL3" t="s">
        <v>64</v>
      </c>
      <c r="AM3">
        <v>87.1</v>
      </c>
      <c r="AN3">
        <v>170</v>
      </c>
      <c r="AO3">
        <v>14807</v>
      </c>
      <c r="AR3">
        <v>0</v>
      </c>
      <c r="AV3">
        <v>0</v>
      </c>
      <c r="AZ3">
        <v>0</v>
      </c>
      <c r="BD3">
        <v>0</v>
      </c>
      <c r="BH3">
        <v>0</v>
      </c>
      <c r="BL3">
        <v>28</v>
      </c>
      <c r="BP3">
        <v>0</v>
      </c>
      <c r="BT3">
        <v>0</v>
      </c>
      <c r="BX3">
        <v>0</v>
      </c>
      <c r="BZ3">
        <v>5100</v>
      </c>
      <c r="CA3">
        <v>311981.76</v>
      </c>
      <c r="CH3">
        <v>311981.76</v>
      </c>
      <c r="CM3">
        <v>311981.76</v>
      </c>
      <c r="CO3">
        <v>311981.76</v>
      </c>
      <c r="CP3" s="52">
        <v>0.18</v>
      </c>
      <c r="CQ3">
        <v>56156.72</v>
      </c>
      <c r="CR3">
        <v>368138.48</v>
      </c>
      <c r="CS3">
        <v>26</v>
      </c>
      <c r="CT3" t="s">
        <v>195</v>
      </c>
      <c r="CU3" s="53">
        <v>9571600</v>
      </c>
      <c r="CV3" t="s">
        <v>196</v>
      </c>
      <c r="CW3" t="s">
        <v>197</v>
      </c>
      <c r="CX3">
        <v>500</v>
      </c>
    </row>
    <row r="4" spans="1:102" x14ac:dyDescent="0.25">
      <c r="A4" t="s">
        <v>191</v>
      </c>
      <c r="B4" s="50">
        <v>45698</v>
      </c>
      <c r="C4" t="s">
        <v>200</v>
      </c>
      <c r="D4" t="s">
        <v>201</v>
      </c>
      <c r="E4" t="s">
        <v>194</v>
      </c>
      <c r="H4">
        <v>0</v>
      </c>
      <c r="J4" t="s">
        <v>46</v>
      </c>
      <c r="K4">
        <v>866</v>
      </c>
      <c r="L4">
        <v>355</v>
      </c>
      <c r="M4">
        <v>307430</v>
      </c>
      <c r="P4">
        <v>0</v>
      </c>
      <c r="T4">
        <v>0</v>
      </c>
      <c r="V4" t="s">
        <v>71</v>
      </c>
      <c r="W4">
        <v>103.71</v>
      </c>
      <c r="X4">
        <v>208</v>
      </c>
      <c r="Y4" s="51">
        <v>21571.68</v>
      </c>
      <c r="Z4" t="s">
        <v>9</v>
      </c>
      <c r="AA4">
        <v>120</v>
      </c>
      <c r="AB4">
        <v>6</v>
      </c>
      <c r="AC4">
        <v>720</v>
      </c>
      <c r="AD4" t="s">
        <v>51</v>
      </c>
      <c r="AE4">
        <v>67.67</v>
      </c>
      <c r="AF4">
        <v>46</v>
      </c>
      <c r="AG4">
        <v>3112.82</v>
      </c>
      <c r="AH4" t="s">
        <v>84</v>
      </c>
      <c r="AI4">
        <v>82.9</v>
      </c>
      <c r="AJ4">
        <v>574</v>
      </c>
      <c r="AK4">
        <v>47584.6</v>
      </c>
      <c r="AL4" t="s">
        <v>64</v>
      </c>
      <c r="AM4">
        <v>87.1</v>
      </c>
      <c r="AN4">
        <v>187</v>
      </c>
      <c r="AO4">
        <v>16287.7</v>
      </c>
      <c r="AR4">
        <v>0</v>
      </c>
      <c r="AV4">
        <v>0</v>
      </c>
      <c r="AZ4">
        <v>0</v>
      </c>
      <c r="BD4">
        <v>0</v>
      </c>
      <c r="BH4">
        <v>0</v>
      </c>
      <c r="BL4">
        <v>0</v>
      </c>
      <c r="BP4">
        <v>0</v>
      </c>
      <c r="BT4">
        <v>0</v>
      </c>
      <c r="BX4">
        <v>0</v>
      </c>
      <c r="BZ4">
        <v>7984</v>
      </c>
      <c r="CA4">
        <v>404690.8</v>
      </c>
      <c r="CH4">
        <v>404690.8</v>
      </c>
      <c r="CM4">
        <v>404690.8</v>
      </c>
      <c r="CO4">
        <v>404690.8</v>
      </c>
      <c r="CP4" s="52">
        <v>0.18</v>
      </c>
      <c r="CQ4">
        <v>72844.34</v>
      </c>
      <c r="CR4">
        <v>477535.14</v>
      </c>
      <c r="CS4">
        <v>13</v>
      </c>
      <c r="CT4" t="s">
        <v>195</v>
      </c>
      <c r="CU4" s="53">
        <v>6207957</v>
      </c>
      <c r="CV4" t="s">
        <v>202</v>
      </c>
      <c r="CW4" t="s">
        <v>203</v>
      </c>
      <c r="CX4">
        <v>500</v>
      </c>
    </row>
    <row r="5" spans="1:102" x14ac:dyDescent="0.25">
      <c r="A5" t="s">
        <v>191</v>
      </c>
      <c r="B5" s="50">
        <v>45698</v>
      </c>
      <c r="C5" t="s">
        <v>204</v>
      </c>
      <c r="D5" t="s">
        <v>205</v>
      </c>
      <c r="E5" t="s">
        <v>194</v>
      </c>
      <c r="H5">
        <v>0</v>
      </c>
      <c r="J5" t="s">
        <v>46</v>
      </c>
      <c r="K5">
        <v>866</v>
      </c>
      <c r="L5">
        <v>89</v>
      </c>
      <c r="M5">
        <v>77074</v>
      </c>
      <c r="P5">
        <v>0</v>
      </c>
      <c r="T5">
        <v>0</v>
      </c>
      <c r="V5" t="s">
        <v>71</v>
      </c>
      <c r="W5">
        <v>103.71</v>
      </c>
      <c r="X5">
        <v>52</v>
      </c>
      <c r="Y5" s="51">
        <v>5392.92</v>
      </c>
      <c r="Z5" t="s">
        <v>9</v>
      </c>
      <c r="AA5">
        <v>120</v>
      </c>
      <c r="AB5">
        <v>3</v>
      </c>
      <c r="AC5">
        <v>360</v>
      </c>
      <c r="AD5" t="s">
        <v>51</v>
      </c>
      <c r="AE5">
        <v>67.67</v>
      </c>
      <c r="AF5">
        <v>27</v>
      </c>
      <c r="AG5">
        <v>1827.09</v>
      </c>
      <c r="AH5" t="s">
        <v>84</v>
      </c>
      <c r="AI5">
        <v>82.9</v>
      </c>
      <c r="AJ5">
        <v>289</v>
      </c>
      <c r="AK5">
        <v>23958.1</v>
      </c>
      <c r="AL5" t="s">
        <v>64</v>
      </c>
      <c r="AM5">
        <v>87.1</v>
      </c>
      <c r="AN5">
        <v>104</v>
      </c>
      <c r="AO5">
        <v>9058.4</v>
      </c>
      <c r="AR5">
        <v>0</v>
      </c>
      <c r="AV5">
        <v>0</v>
      </c>
      <c r="AZ5">
        <v>0</v>
      </c>
      <c r="BD5">
        <v>0</v>
      </c>
      <c r="BH5">
        <v>0</v>
      </c>
      <c r="BL5">
        <v>19</v>
      </c>
      <c r="BP5">
        <v>0</v>
      </c>
      <c r="BT5">
        <v>0</v>
      </c>
      <c r="BX5">
        <v>0</v>
      </c>
      <c r="BZ5">
        <v>4858</v>
      </c>
      <c r="CA5">
        <v>122528.51</v>
      </c>
      <c r="CH5">
        <v>122528.51</v>
      </c>
      <c r="CM5">
        <v>122528.51</v>
      </c>
      <c r="CO5">
        <v>122528.51</v>
      </c>
      <c r="CP5" s="52">
        <v>0.18</v>
      </c>
      <c r="CQ5">
        <v>22055.13</v>
      </c>
      <c r="CR5">
        <v>144583.64000000001</v>
      </c>
      <c r="CS5">
        <v>56.67</v>
      </c>
      <c r="CT5" t="s">
        <v>195</v>
      </c>
      <c r="CU5" s="53">
        <v>8193555</v>
      </c>
      <c r="CV5" t="s">
        <v>206</v>
      </c>
      <c r="CW5" t="s">
        <v>207</v>
      </c>
      <c r="CX5">
        <v>500</v>
      </c>
    </row>
    <row r="6" spans="1:102" x14ac:dyDescent="0.25">
      <c r="A6" t="s">
        <v>191</v>
      </c>
      <c r="B6" s="50">
        <v>45698</v>
      </c>
      <c r="C6" t="s">
        <v>208</v>
      </c>
      <c r="D6" t="s">
        <v>209</v>
      </c>
      <c r="E6" t="s">
        <v>194</v>
      </c>
      <c r="H6">
        <v>0</v>
      </c>
      <c r="J6" t="s">
        <v>46</v>
      </c>
      <c r="K6">
        <v>866</v>
      </c>
      <c r="L6">
        <v>155</v>
      </c>
      <c r="M6">
        <v>134230</v>
      </c>
      <c r="P6">
        <v>0</v>
      </c>
      <c r="T6">
        <v>0</v>
      </c>
      <c r="V6" t="s">
        <v>71</v>
      </c>
      <c r="W6">
        <v>103.71</v>
      </c>
      <c r="X6">
        <v>91</v>
      </c>
      <c r="Y6" s="51">
        <v>9437.61</v>
      </c>
      <c r="Z6" t="s">
        <v>9</v>
      </c>
      <c r="AA6">
        <v>120</v>
      </c>
      <c r="AB6">
        <v>4</v>
      </c>
      <c r="AC6">
        <v>480</v>
      </c>
      <c r="AD6" t="s">
        <v>51</v>
      </c>
      <c r="AE6">
        <v>67.67</v>
      </c>
      <c r="AF6">
        <v>30</v>
      </c>
      <c r="AG6">
        <v>2030.1</v>
      </c>
      <c r="AH6" t="s">
        <v>84</v>
      </c>
      <c r="AI6">
        <v>82.9</v>
      </c>
      <c r="AJ6">
        <v>339</v>
      </c>
      <c r="AK6">
        <v>28103.1</v>
      </c>
      <c r="AL6" t="s">
        <v>64</v>
      </c>
      <c r="AM6">
        <v>87.1</v>
      </c>
      <c r="AN6">
        <v>120</v>
      </c>
      <c r="AO6">
        <v>10452</v>
      </c>
      <c r="AR6">
        <v>0</v>
      </c>
      <c r="AV6">
        <v>0</v>
      </c>
      <c r="AZ6">
        <v>0</v>
      </c>
      <c r="BD6">
        <v>0</v>
      </c>
      <c r="BH6">
        <v>0</v>
      </c>
      <c r="BL6">
        <v>22</v>
      </c>
      <c r="BP6">
        <v>0</v>
      </c>
      <c r="BT6">
        <v>0</v>
      </c>
      <c r="BX6">
        <v>0</v>
      </c>
      <c r="BZ6">
        <v>4858</v>
      </c>
      <c r="CA6">
        <v>189590.81</v>
      </c>
      <c r="CH6">
        <v>189590.81</v>
      </c>
      <c r="CM6">
        <v>189590.81</v>
      </c>
      <c r="CO6">
        <v>189590.81</v>
      </c>
      <c r="CP6" s="52">
        <v>0.18</v>
      </c>
      <c r="CQ6">
        <v>34126.35</v>
      </c>
      <c r="CR6">
        <v>223717.16</v>
      </c>
      <c r="CS6">
        <v>98.844999999999999</v>
      </c>
      <c r="CT6" t="s">
        <v>195</v>
      </c>
      <c r="CU6" s="53">
        <v>22113322</v>
      </c>
      <c r="CV6" t="s">
        <v>206</v>
      </c>
      <c r="CW6" t="s">
        <v>207</v>
      </c>
      <c r="CX6">
        <v>500</v>
      </c>
    </row>
    <row r="7" spans="1:102" x14ac:dyDescent="0.25">
      <c r="A7" t="s">
        <v>191</v>
      </c>
      <c r="B7" s="50">
        <v>45698</v>
      </c>
      <c r="C7" t="s">
        <v>210</v>
      </c>
      <c r="D7" t="s">
        <v>211</v>
      </c>
      <c r="E7" t="s">
        <v>194</v>
      </c>
      <c r="H7">
        <v>0</v>
      </c>
      <c r="J7" t="s">
        <v>44</v>
      </c>
      <c r="K7">
        <v>272.36</v>
      </c>
      <c r="L7">
        <v>135</v>
      </c>
      <c r="M7">
        <v>36768.6</v>
      </c>
      <c r="P7">
        <v>0</v>
      </c>
      <c r="T7">
        <v>0</v>
      </c>
      <c r="V7" t="s">
        <v>50</v>
      </c>
      <c r="W7">
        <v>114</v>
      </c>
      <c r="X7">
        <v>37</v>
      </c>
      <c r="Y7" s="51">
        <v>4218</v>
      </c>
      <c r="AB7">
        <v>0</v>
      </c>
      <c r="AF7">
        <v>0</v>
      </c>
      <c r="AJ7">
        <v>0</v>
      </c>
      <c r="AL7" t="s">
        <v>64</v>
      </c>
      <c r="AM7">
        <v>87.1</v>
      </c>
      <c r="AN7">
        <v>110</v>
      </c>
      <c r="AO7">
        <v>9581</v>
      </c>
      <c r="AR7">
        <v>0</v>
      </c>
      <c r="AV7">
        <v>0</v>
      </c>
      <c r="AZ7">
        <v>0</v>
      </c>
      <c r="BD7">
        <v>0</v>
      </c>
      <c r="BH7">
        <v>0</v>
      </c>
      <c r="BL7">
        <v>0</v>
      </c>
      <c r="BP7">
        <v>0</v>
      </c>
      <c r="BT7">
        <v>0</v>
      </c>
      <c r="BX7">
        <v>0</v>
      </c>
      <c r="BZ7">
        <v>2429</v>
      </c>
      <c r="CA7">
        <v>52996.6</v>
      </c>
      <c r="CH7">
        <v>52996.6</v>
      </c>
      <c r="CM7">
        <v>52996.6</v>
      </c>
      <c r="CO7">
        <v>52996.6</v>
      </c>
      <c r="CP7" s="52">
        <v>0.18</v>
      </c>
      <c r="CQ7">
        <v>9539.39</v>
      </c>
      <c r="CR7">
        <v>62535.99</v>
      </c>
      <c r="CS7">
        <v>24.06</v>
      </c>
      <c r="CT7" t="s">
        <v>195</v>
      </c>
      <c r="CU7" s="53">
        <v>1504616</v>
      </c>
      <c r="CV7" t="s">
        <v>206</v>
      </c>
      <c r="CW7" t="s">
        <v>207</v>
      </c>
      <c r="CX7">
        <v>1000</v>
      </c>
    </row>
    <row r="8" spans="1:102" x14ac:dyDescent="0.25">
      <c r="A8" t="s">
        <v>191</v>
      </c>
      <c r="B8" s="50">
        <v>45698</v>
      </c>
      <c r="C8" t="s">
        <v>212</v>
      </c>
      <c r="D8" t="s">
        <v>213</v>
      </c>
      <c r="E8" t="s">
        <v>194</v>
      </c>
      <c r="H8">
        <v>0</v>
      </c>
      <c r="J8" t="s">
        <v>44</v>
      </c>
      <c r="K8">
        <v>272.36</v>
      </c>
      <c r="L8">
        <v>256</v>
      </c>
      <c r="M8">
        <v>69724.160000000003</v>
      </c>
      <c r="P8">
        <v>0</v>
      </c>
      <c r="T8">
        <v>0</v>
      </c>
      <c r="V8" t="s">
        <v>50</v>
      </c>
      <c r="W8">
        <v>114</v>
      </c>
      <c r="X8">
        <v>53</v>
      </c>
      <c r="Y8" s="51">
        <v>6042</v>
      </c>
      <c r="AB8">
        <v>0</v>
      </c>
      <c r="AF8">
        <v>0</v>
      </c>
      <c r="AJ8">
        <v>0</v>
      </c>
      <c r="AL8" t="s">
        <v>64</v>
      </c>
      <c r="AM8">
        <v>87.1</v>
      </c>
      <c r="AN8">
        <v>139</v>
      </c>
      <c r="AO8">
        <v>12106.9</v>
      </c>
      <c r="AR8">
        <v>0</v>
      </c>
      <c r="AV8">
        <v>0</v>
      </c>
      <c r="AZ8">
        <v>0</v>
      </c>
      <c r="BD8">
        <v>0</v>
      </c>
      <c r="BH8">
        <v>0</v>
      </c>
      <c r="BL8">
        <v>0</v>
      </c>
      <c r="BP8">
        <v>0</v>
      </c>
      <c r="BT8">
        <v>0</v>
      </c>
      <c r="BX8">
        <v>0</v>
      </c>
      <c r="BZ8">
        <v>2550</v>
      </c>
      <c r="CA8">
        <v>90423.06</v>
      </c>
      <c r="CH8">
        <v>90423.06</v>
      </c>
      <c r="CM8">
        <v>90423.06</v>
      </c>
      <c r="CO8">
        <v>90423.06</v>
      </c>
      <c r="CP8" s="52">
        <v>0.18</v>
      </c>
      <c r="CQ8">
        <v>16276.15</v>
      </c>
      <c r="CR8">
        <v>106699.21</v>
      </c>
      <c r="CS8">
        <v>77.531999999999996</v>
      </c>
      <c r="CT8" t="s">
        <v>195</v>
      </c>
      <c r="CU8" s="53">
        <v>8272603</v>
      </c>
      <c r="CV8" t="s">
        <v>196</v>
      </c>
      <c r="CW8" t="s">
        <v>197</v>
      </c>
      <c r="CX8">
        <v>1000</v>
      </c>
    </row>
    <row r="9" spans="1:102" x14ac:dyDescent="0.25">
      <c r="A9" t="s">
        <v>191</v>
      </c>
      <c r="B9" s="50">
        <v>45698</v>
      </c>
      <c r="C9" t="s">
        <v>214</v>
      </c>
      <c r="D9" t="s">
        <v>215</v>
      </c>
      <c r="E9" t="s">
        <v>194</v>
      </c>
      <c r="H9">
        <v>0</v>
      </c>
      <c r="J9" t="s">
        <v>44</v>
      </c>
      <c r="K9">
        <v>272.36</v>
      </c>
      <c r="L9">
        <v>405</v>
      </c>
      <c r="M9">
        <v>110305.8</v>
      </c>
      <c r="P9">
        <v>0</v>
      </c>
      <c r="T9">
        <v>0</v>
      </c>
      <c r="V9" t="s">
        <v>50</v>
      </c>
      <c r="W9">
        <v>114</v>
      </c>
      <c r="X9">
        <v>72</v>
      </c>
      <c r="Y9" s="51">
        <v>8208</v>
      </c>
      <c r="AB9">
        <v>0</v>
      </c>
      <c r="AF9">
        <v>0</v>
      </c>
      <c r="AJ9">
        <v>0</v>
      </c>
      <c r="AL9" t="s">
        <v>64</v>
      </c>
      <c r="AM9">
        <v>87.1</v>
      </c>
      <c r="AN9">
        <v>187</v>
      </c>
      <c r="AO9">
        <v>16287.7</v>
      </c>
      <c r="AR9">
        <v>0</v>
      </c>
      <c r="AV9">
        <v>0</v>
      </c>
      <c r="AX9" t="s">
        <v>15</v>
      </c>
      <c r="AY9">
        <v>420</v>
      </c>
      <c r="AZ9">
        <v>0</v>
      </c>
      <c r="BA9">
        <v>0</v>
      </c>
      <c r="BD9">
        <v>0</v>
      </c>
      <c r="BH9">
        <v>0</v>
      </c>
      <c r="BL9">
        <v>0</v>
      </c>
      <c r="BP9">
        <v>0</v>
      </c>
      <c r="BT9">
        <v>0</v>
      </c>
      <c r="BX9">
        <v>0</v>
      </c>
      <c r="BZ9">
        <v>3606</v>
      </c>
      <c r="CA9">
        <v>138407.5</v>
      </c>
      <c r="CH9">
        <v>138407.5</v>
      </c>
      <c r="CM9">
        <v>138407.5</v>
      </c>
      <c r="CO9">
        <v>138407.5</v>
      </c>
      <c r="CP9" s="52">
        <v>0.18</v>
      </c>
      <c r="CQ9">
        <v>24913.35</v>
      </c>
      <c r="CR9">
        <v>163320.85</v>
      </c>
      <c r="CS9">
        <v>57.308</v>
      </c>
      <c r="CT9" t="s">
        <v>195</v>
      </c>
      <c r="CU9" s="53">
        <v>9359591</v>
      </c>
      <c r="CV9" t="s">
        <v>216</v>
      </c>
      <c r="CW9" t="s">
        <v>217</v>
      </c>
      <c r="CX9">
        <v>1000</v>
      </c>
    </row>
    <row r="10" spans="1:102" x14ac:dyDescent="0.25">
      <c r="A10" t="s">
        <v>191</v>
      </c>
      <c r="B10" s="50">
        <v>45698</v>
      </c>
      <c r="C10" t="s">
        <v>218</v>
      </c>
      <c r="D10" t="s">
        <v>219</v>
      </c>
      <c r="E10" t="s">
        <v>194</v>
      </c>
      <c r="H10">
        <v>0</v>
      </c>
      <c r="J10" t="s">
        <v>44</v>
      </c>
      <c r="K10">
        <v>272.36</v>
      </c>
      <c r="L10">
        <v>810</v>
      </c>
      <c r="M10">
        <v>220611.6</v>
      </c>
      <c r="P10">
        <v>0</v>
      </c>
      <c r="T10">
        <v>0</v>
      </c>
      <c r="V10" t="s">
        <v>50</v>
      </c>
      <c r="W10">
        <v>114</v>
      </c>
      <c r="X10">
        <v>132</v>
      </c>
      <c r="Y10" s="51">
        <v>15048</v>
      </c>
      <c r="AB10">
        <v>0</v>
      </c>
      <c r="AF10">
        <v>0</v>
      </c>
      <c r="AJ10">
        <v>0</v>
      </c>
      <c r="AL10" t="s">
        <v>64</v>
      </c>
      <c r="AM10">
        <v>87.1</v>
      </c>
      <c r="AN10">
        <v>251</v>
      </c>
      <c r="AO10">
        <v>21862.1</v>
      </c>
      <c r="AR10">
        <v>0</v>
      </c>
      <c r="AV10">
        <v>0</v>
      </c>
      <c r="AX10" t="s">
        <v>15</v>
      </c>
      <c r="AY10">
        <v>420</v>
      </c>
      <c r="AZ10">
        <v>0</v>
      </c>
      <c r="BA10">
        <v>0</v>
      </c>
      <c r="BD10">
        <v>0</v>
      </c>
      <c r="BH10">
        <v>0</v>
      </c>
      <c r="BL10">
        <v>0</v>
      </c>
      <c r="BP10">
        <v>0</v>
      </c>
      <c r="BT10">
        <v>0</v>
      </c>
      <c r="BX10">
        <v>0</v>
      </c>
      <c r="BZ10">
        <v>6276</v>
      </c>
      <c r="CA10">
        <v>263797.7</v>
      </c>
      <c r="CH10">
        <v>263797.7</v>
      </c>
      <c r="CM10">
        <v>263797.7</v>
      </c>
      <c r="CO10">
        <v>263797.7</v>
      </c>
      <c r="CP10" s="52">
        <v>0.18</v>
      </c>
      <c r="CQ10">
        <v>47483.59</v>
      </c>
      <c r="CR10">
        <v>311281.28999999998</v>
      </c>
      <c r="CS10">
        <v>73.052000000000007</v>
      </c>
      <c r="CT10" t="s">
        <v>195</v>
      </c>
      <c r="CU10" s="53">
        <v>22739721</v>
      </c>
      <c r="CV10" t="s">
        <v>220</v>
      </c>
      <c r="CW10" t="s">
        <v>221</v>
      </c>
      <c r="CX10">
        <v>1000</v>
      </c>
    </row>
    <row r="11" spans="1:102" x14ac:dyDescent="0.25">
      <c r="A11" t="s">
        <v>191</v>
      </c>
      <c r="B11" s="50">
        <v>45698</v>
      </c>
      <c r="C11" t="s">
        <v>222</v>
      </c>
      <c r="D11" t="s">
        <v>223</v>
      </c>
      <c r="E11" t="s">
        <v>194</v>
      </c>
      <c r="H11">
        <v>0</v>
      </c>
      <c r="J11" t="s">
        <v>44</v>
      </c>
      <c r="K11">
        <v>272.36</v>
      </c>
      <c r="L11">
        <v>500</v>
      </c>
      <c r="M11">
        <v>136180</v>
      </c>
      <c r="P11">
        <v>0</v>
      </c>
      <c r="T11">
        <v>0</v>
      </c>
      <c r="V11" t="s">
        <v>50</v>
      </c>
      <c r="W11">
        <v>114</v>
      </c>
      <c r="X11">
        <v>90</v>
      </c>
      <c r="Y11" s="51">
        <v>10260</v>
      </c>
      <c r="AB11">
        <v>0</v>
      </c>
      <c r="AF11">
        <v>0</v>
      </c>
      <c r="AJ11">
        <v>0</v>
      </c>
      <c r="AL11" t="s">
        <v>64</v>
      </c>
      <c r="AM11">
        <v>87.1</v>
      </c>
      <c r="AN11">
        <v>207</v>
      </c>
      <c r="AO11">
        <v>18029.7</v>
      </c>
      <c r="AR11">
        <v>0</v>
      </c>
      <c r="AV11">
        <v>0</v>
      </c>
      <c r="AX11" t="s">
        <v>15</v>
      </c>
      <c r="AY11">
        <v>420</v>
      </c>
      <c r="AZ11">
        <v>0</v>
      </c>
      <c r="BA11">
        <v>0</v>
      </c>
      <c r="BD11">
        <v>0</v>
      </c>
      <c r="BH11">
        <v>0</v>
      </c>
      <c r="BL11">
        <v>0</v>
      </c>
      <c r="BP11">
        <v>0</v>
      </c>
      <c r="BT11">
        <v>0</v>
      </c>
      <c r="BX11">
        <v>0</v>
      </c>
      <c r="BZ11">
        <v>3881</v>
      </c>
      <c r="CA11">
        <v>168350.7</v>
      </c>
      <c r="CH11">
        <v>168350.7</v>
      </c>
      <c r="CM11">
        <v>168350.7</v>
      </c>
      <c r="CO11">
        <v>168350.7</v>
      </c>
      <c r="CP11" s="52">
        <v>0.18</v>
      </c>
      <c r="CQ11">
        <v>30303.13</v>
      </c>
      <c r="CR11">
        <v>198653.83</v>
      </c>
      <c r="CS11">
        <v>35.75</v>
      </c>
      <c r="CT11" t="s">
        <v>195</v>
      </c>
      <c r="CU11" s="53">
        <v>7101874</v>
      </c>
      <c r="CV11" t="s">
        <v>224</v>
      </c>
      <c r="CW11" t="s">
        <v>225</v>
      </c>
      <c r="CX11">
        <v>1000</v>
      </c>
    </row>
    <row r="12" spans="1:102" x14ac:dyDescent="0.25">
      <c r="A12" t="s">
        <v>191</v>
      </c>
      <c r="B12" s="50">
        <v>45698</v>
      </c>
      <c r="C12" t="s">
        <v>226</v>
      </c>
      <c r="D12" t="s">
        <v>227</v>
      </c>
      <c r="E12" t="s">
        <v>194</v>
      </c>
      <c r="H12">
        <v>0</v>
      </c>
      <c r="J12" t="s">
        <v>44</v>
      </c>
      <c r="K12">
        <v>272.36</v>
      </c>
      <c r="L12">
        <v>1701</v>
      </c>
      <c r="M12">
        <v>463284.36</v>
      </c>
      <c r="P12">
        <v>0</v>
      </c>
      <c r="T12">
        <v>0</v>
      </c>
      <c r="V12" t="s">
        <v>50</v>
      </c>
      <c r="W12">
        <v>114</v>
      </c>
      <c r="X12">
        <v>253</v>
      </c>
      <c r="Y12" s="51">
        <v>28842</v>
      </c>
      <c r="AB12">
        <v>0</v>
      </c>
      <c r="AF12">
        <v>0</v>
      </c>
      <c r="AJ12">
        <v>0</v>
      </c>
      <c r="AL12" t="s">
        <v>64</v>
      </c>
      <c r="AM12">
        <v>87.1</v>
      </c>
      <c r="AN12">
        <v>429</v>
      </c>
      <c r="AO12">
        <v>37365.9</v>
      </c>
      <c r="AR12">
        <v>0</v>
      </c>
      <c r="AV12">
        <v>0</v>
      </c>
      <c r="AX12" t="s">
        <v>15</v>
      </c>
      <c r="AY12">
        <v>420</v>
      </c>
      <c r="AZ12">
        <v>0</v>
      </c>
      <c r="BA12">
        <v>0</v>
      </c>
      <c r="BD12">
        <v>0</v>
      </c>
      <c r="BH12">
        <v>0</v>
      </c>
      <c r="BL12">
        <v>0</v>
      </c>
      <c r="BP12">
        <v>0</v>
      </c>
      <c r="BT12">
        <v>0</v>
      </c>
      <c r="BX12">
        <v>0</v>
      </c>
      <c r="BZ12">
        <v>13815</v>
      </c>
      <c r="CA12">
        <v>543307.26</v>
      </c>
      <c r="CH12">
        <v>543307.26</v>
      </c>
      <c r="CM12">
        <v>543307.26</v>
      </c>
      <c r="CO12">
        <v>543307.26</v>
      </c>
      <c r="CP12" s="52">
        <v>0.18</v>
      </c>
      <c r="CQ12">
        <v>97795.31</v>
      </c>
      <c r="CR12">
        <v>641102.56999999995</v>
      </c>
      <c r="CS12">
        <v>33.704000000000001</v>
      </c>
      <c r="CT12" t="s">
        <v>195</v>
      </c>
      <c r="CU12" s="53">
        <v>21607721</v>
      </c>
      <c r="CV12" t="s">
        <v>228</v>
      </c>
      <c r="CW12" t="s">
        <v>229</v>
      </c>
      <c r="CX12">
        <v>1000</v>
      </c>
    </row>
    <row r="13" spans="1:102" x14ac:dyDescent="0.25">
      <c r="A13" t="s">
        <v>191</v>
      </c>
      <c r="B13" s="50">
        <v>45698</v>
      </c>
      <c r="C13" t="s">
        <v>230</v>
      </c>
      <c r="D13" t="s">
        <v>231</v>
      </c>
      <c r="H13">
        <v>0</v>
      </c>
      <c r="L13">
        <v>43</v>
      </c>
      <c r="P13">
        <v>0</v>
      </c>
      <c r="T13">
        <v>0</v>
      </c>
      <c r="X13">
        <v>22</v>
      </c>
      <c r="AB13">
        <v>0</v>
      </c>
      <c r="AF13">
        <v>0</v>
      </c>
      <c r="AJ13">
        <v>61</v>
      </c>
      <c r="AN13">
        <v>85</v>
      </c>
      <c r="AR13">
        <v>0</v>
      </c>
      <c r="AV13">
        <v>0</v>
      </c>
      <c r="AZ13">
        <v>0</v>
      </c>
      <c r="BD13">
        <v>0</v>
      </c>
      <c r="BH13">
        <v>0</v>
      </c>
      <c r="BL13">
        <v>0</v>
      </c>
      <c r="BP13">
        <v>0</v>
      </c>
      <c r="BT13">
        <v>0</v>
      </c>
      <c r="BX13">
        <v>0</v>
      </c>
      <c r="CM13"/>
      <c r="CP13" s="52">
        <v>0.18</v>
      </c>
      <c r="CS13">
        <v>0.5</v>
      </c>
      <c r="CT13" t="s">
        <v>195</v>
      </c>
      <c r="CX13">
        <v>1000</v>
      </c>
    </row>
    <row r="14" spans="1:102" x14ac:dyDescent="0.25">
      <c r="A14" t="s">
        <v>191</v>
      </c>
      <c r="B14" s="50">
        <v>45698</v>
      </c>
      <c r="C14" t="s">
        <v>232</v>
      </c>
      <c r="D14" t="s">
        <v>233</v>
      </c>
      <c r="E14" t="s">
        <v>194</v>
      </c>
      <c r="H14">
        <v>0</v>
      </c>
      <c r="J14" t="s">
        <v>44</v>
      </c>
      <c r="K14">
        <v>272.36</v>
      </c>
      <c r="L14">
        <v>32</v>
      </c>
      <c r="M14">
        <v>8715.52</v>
      </c>
      <c r="P14">
        <v>0</v>
      </c>
      <c r="T14">
        <v>0</v>
      </c>
      <c r="V14" t="s">
        <v>50</v>
      </c>
      <c r="W14">
        <v>114</v>
      </c>
      <c r="X14">
        <v>22</v>
      </c>
      <c r="Y14" s="51">
        <v>2508</v>
      </c>
      <c r="AB14">
        <v>0</v>
      </c>
      <c r="AD14" t="s">
        <v>80</v>
      </c>
      <c r="AE14">
        <v>88.1</v>
      </c>
      <c r="AF14">
        <v>59</v>
      </c>
      <c r="AG14">
        <v>5197.8999999999996</v>
      </c>
      <c r="AH14" t="s">
        <v>84</v>
      </c>
      <c r="AI14">
        <v>82.9</v>
      </c>
      <c r="AJ14">
        <v>289</v>
      </c>
      <c r="AK14">
        <v>23958.1</v>
      </c>
      <c r="AL14" t="s">
        <v>64</v>
      </c>
      <c r="AM14">
        <v>87.1</v>
      </c>
      <c r="AN14">
        <v>112</v>
      </c>
      <c r="AO14">
        <v>9755.2000000000007</v>
      </c>
      <c r="AR14">
        <v>0</v>
      </c>
      <c r="AV14">
        <v>0</v>
      </c>
      <c r="AZ14">
        <v>0</v>
      </c>
      <c r="BD14">
        <v>0</v>
      </c>
      <c r="BH14">
        <v>0</v>
      </c>
      <c r="BL14">
        <v>0</v>
      </c>
      <c r="BP14">
        <v>0</v>
      </c>
      <c r="BR14" t="s">
        <v>20</v>
      </c>
      <c r="BS14">
        <v>370</v>
      </c>
      <c r="BT14">
        <v>0</v>
      </c>
      <c r="BU14">
        <v>0</v>
      </c>
      <c r="BX14">
        <v>0</v>
      </c>
      <c r="BZ14">
        <v>2550</v>
      </c>
      <c r="CA14">
        <v>52684.72</v>
      </c>
      <c r="CH14">
        <v>52684.72</v>
      </c>
      <c r="CM14">
        <v>52684.72</v>
      </c>
      <c r="CO14">
        <v>52684.72</v>
      </c>
      <c r="CP14" s="52">
        <v>0.18</v>
      </c>
      <c r="CQ14">
        <v>9483.25</v>
      </c>
      <c r="CR14">
        <v>62167.97</v>
      </c>
      <c r="CS14">
        <v>3000</v>
      </c>
      <c r="CT14" t="s">
        <v>195</v>
      </c>
      <c r="CU14" s="53">
        <v>186503909</v>
      </c>
      <c r="CV14" t="s">
        <v>196</v>
      </c>
      <c r="CW14" t="s">
        <v>197</v>
      </c>
      <c r="CX14">
        <v>1000</v>
      </c>
    </row>
    <row r="15" spans="1:102" x14ac:dyDescent="0.25">
      <c r="A15" t="s">
        <v>191</v>
      </c>
      <c r="B15" s="50">
        <v>45698</v>
      </c>
      <c r="C15" t="s">
        <v>234</v>
      </c>
      <c r="D15" t="s">
        <v>235</v>
      </c>
      <c r="E15" t="s">
        <v>194</v>
      </c>
      <c r="H15">
        <v>0</v>
      </c>
      <c r="J15" t="s">
        <v>46</v>
      </c>
      <c r="K15">
        <v>866</v>
      </c>
      <c r="L15">
        <v>144</v>
      </c>
      <c r="M15">
        <v>124704</v>
      </c>
      <c r="P15">
        <v>0</v>
      </c>
      <c r="T15">
        <v>0</v>
      </c>
      <c r="V15" t="s">
        <v>71</v>
      </c>
      <c r="W15">
        <v>103.71</v>
      </c>
      <c r="X15">
        <v>76</v>
      </c>
      <c r="Y15" s="51">
        <v>7881.96</v>
      </c>
      <c r="Z15" t="s">
        <v>9</v>
      </c>
      <c r="AA15">
        <v>120</v>
      </c>
      <c r="AB15">
        <v>4</v>
      </c>
      <c r="AC15">
        <v>480</v>
      </c>
      <c r="AD15" t="s">
        <v>51</v>
      </c>
      <c r="AE15">
        <v>67.67</v>
      </c>
      <c r="AF15">
        <v>34</v>
      </c>
      <c r="AG15">
        <v>2300.7800000000002</v>
      </c>
      <c r="AH15" t="s">
        <v>84</v>
      </c>
      <c r="AI15">
        <v>82.9</v>
      </c>
      <c r="AJ15">
        <v>352</v>
      </c>
      <c r="AK15">
        <v>29180.799999999999</v>
      </c>
      <c r="AL15" t="s">
        <v>64</v>
      </c>
      <c r="AM15">
        <v>87.1</v>
      </c>
      <c r="AN15">
        <v>119</v>
      </c>
      <c r="AO15">
        <v>10364.9</v>
      </c>
      <c r="AR15">
        <v>0</v>
      </c>
      <c r="AV15">
        <v>0</v>
      </c>
      <c r="AZ15">
        <v>0</v>
      </c>
      <c r="BD15">
        <v>0</v>
      </c>
      <c r="BH15">
        <v>0</v>
      </c>
      <c r="BL15">
        <v>0</v>
      </c>
      <c r="BP15">
        <v>0</v>
      </c>
      <c r="BT15">
        <v>0</v>
      </c>
      <c r="BX15">
        <v>0</v>
      </c>
      <c r="BZ15">
        <v>2550</v>
      </c>
      <c r="CA15">
        <v>177462.44</v>
      </c>
      <c r="CH15">
        <v>177462.44</v>
      </c>
      <c r="CM15">
        <v>177462.44</v>
      </c>
      <c r="CO15">
        <v>177462.44</v>
      </c>
      <c r="CP15" s="52">
        <v>0.18</v>
      </c>
      <c r="CQ15">
        <v>31943.24</v>
      </c>
      <c r="CR15">
        <v>209405.68</v>
      </c>
      <c r="CS15">
        <v>1</v>
      </c>
      <c r="CT15" t="s">
        <v>195</v>
      </c>
      <c r="CU15" s="53">
        <v>209406</v>
      </c>
      <c r="CV15" t="s">
        <v>196</v>
      </c>
      <c r="CW15" t="s">
        <v>197</v>
      </c>
      <c r="CX15">
        <v>1000</v>
      </c>
    </row>
    <row r="16" spans="1:102" x14ac:dyDescent="0.25">
      <c r="A16" t="s">
        <v>191</v>
      </c>
      <c r="B16" s="50">
        <v>45698</v>
      </c>
      <c r="C16" t="s">
        <v>236</v>
      </c>
      <c r="D16" t="s">
        <v>237</v>
      </c>
      <c r="E16" t="s">
        <v>194</v>
      </c>
      <c r="H16">
        <v>0</v>
      </c>
      <c r="J16" t="s">
        <v>44</v>
      </c>
      <c r="K16">
        <v>272.36</v>
      </c>
      <c r="L16">
        <v>22</v>
      </c>
      <c r="M16">
        <v>5991.92</v>
      </c>
      <c r="P16">
        <v>0</v>
      </c>
      <c r="T16">
        <v>0</v>
      </c>
      <c r="V16" t="s">
        <v>50</v>
      </c>
      <c r="W16">
        <v>114</v>
      </c>
      <c r="X16">
        <v>19</v>
      </c>
      <c r="Y16" s="51">
        <v>2166</v>
      </c>
      <c r="AB16">
        <v>4</v>
      </c>
      <c r="AD16" t="s">
        <v>51</v>
      </c>
      <c r="AE16">
        <v>67.67</v>
      </c>
      <c r="AF16">
        <v>47</v>
      </c>
      <c r="AG16">
        <v>3180.49</v>
      </c>
      <c r="AH16" t="s">
        <v>84</v>
      </c>
      <c r="AI16">
        <v>82.9</v>
      </c>
      <c r="AJ16">
        <v>264</v>
      </c>
      <c r="AK16">
        <v>21885.599999999999</v>
      </c>
      <c r="AL16" t="s">
        <v>64</v>
      </c>
      <c r="AM16">
        <v>87.1</v>
      </c>
      <c r="AN16">
        <v>100</v>
      </c>
      <c r="AO16">
        <v>8710</v>
      </c>
      <c r="AR16">
        <v>0</v>
      </c>
      <c r="AV16">
        <v>0</v>
      </c>
      <c r="AZ16">
        <v>0</v>
      </c>
      <c r="BD16">
        <v>0</v>
      </c>
      <c r="BH16">
        <v>0</v>
      </c>
      <c r="BL16">
        <v>0</v>
      </c>
      <c r="BP16">
        <v>0</v>
      </c>
      <c r="BT16">
        <v>0</v>
      </c>
      <c r="BX16">
        <v>0</v>
      </c>
      <c r="BZ16">
        <v>2550</v>
      </c>
      <c r="CA16">
        <v>44484.01</v>
      </c>
      <c r="CH16">
        <v>44484.01</v>
      </c>
      <c r="CM16">
        <v>44484.01</v>
      </c>
      <c r="CO16">
        <v>44484.01</v>
      </c>
      <c r="CP16" s="52">
        <v>0.18</v>
      </c>
      <c r="CQ16">
        <v>8007.12</v>
      </c>
      <c r="CR16">
        <v>52491.13</v>
      </c>
      <c r="CS16">
        <v>2077.047</v>
      </c>
      <c r="CT16" t="s">
        <v>195</v>
      </c>
      <c r="CU16" s="53">
        <v>109026548</v>
      </c>
      <c r="CV16" t="s">
        <v>196</v>
      </c>
      <c r="CW16" t="s">
        <v>197</v>
      </c>
      <c r="CX16">
        <v>1000</v>
      </c>
    </row>
    <row r="17" spans="1:102" x14ac:dyDescent="0.25">
      <c r="A17" t="s">
        <v>191</v>
      </c>
      <c r="B17" s="50">
        <v>45698</v>
      </c>
      <c r="C17" t="s">
        <v>238</v>
      </c>
      <c r="D17" t="s">
        <v>239</v>
      </c>
      <c r="E17" t="s">
        <v>194</v>
      </c>
      <c r="H17">
        <v>0</v>
      </c>
      <c r="J17" t="s">
        <v>44</v>
      </c>
      <c r="K17">
        <v>272.36</v>
      </c>
      <c r="L17">
        <v>54</v>
      </c>
      <c r="M17">
        <v>14707.44</v>
      </c>
      <c r="P17">
        <v>0</v>
      </c>
      <c r="T17">
        <v>0</v>
      </c>
      <c r="V17" t="s">
        <v>50</v>
      </c>
      <c r="W17">
        <v>114</v>
      </c>
      <c r="X17">
        <v>26</v>
      </c>
      <c r="Y17" s="51">
        <v>2964</v>
      </c>
      <c r="AB17">
        <v>0</v>
      </c>
      <c r="AD17" t="s">
        <v>80</v>
      </c>
      <c r="AE17">
        <v>88.1</v>
      </c>
      <c r="AF17">
        <v>74</v>
      </c>
      <c r="AG17">
        <v>6519.4</v>
      </c>
      <c r="AH17" t="s">
        <v>84</v>
      </c>
      <c r="AI17">
        <v>82.9</v>
      </c>
      <c r="AJ17">
        <v>340</v>
      </c>
      <c r="AK17">
        <v>28186</v>
      </c>
      <c r="AL17" t="s">
        <v>64</v>
      </c>
      <c r="AM17">
        <v>87.1</v>
      </c>
      <c r="AN17">
        <v>127</v>
      </c>
      <c r="AO17">
        <v>11061.7</v>
      </c>
      <c r="AR17">
        <v>0</v>
      </c>
      <c r="AV17">
        <v>0</v>
      </c>
      <c r="AZ17">
        <v>0</v>
      </c>
      <c r="BD17">
        <v>0</v>
      </c>
      <c r="BH17">
        <v>0</v>
      </c>
      <c r="BL17">
        <v>0</v>
      </c>
      <c r="BP17">
        <v>0</v>
      </c>
      <c r="BR17" t="s">
        <v>20</v>
      </c>
      <c r="BS17">
        <v>370</v>
      </c>
      <c r="BT17">
        <v>0</v>
      </c>
      <c r="BU17">
        <v>0</v>
      </c>
      <c r="BX17">
        <v>0</v>
      </c>
      <c r="BZ17">
        <v>3992</v>
      </c>
      <c r="CA17">
        <v>67430.539999999994</v>
      </c>
      <c r="CH17">
        <v>67430.539999999994</v>
      </c>
      <c r="CM17">
        <v>67430.539999999994</v>
      </c>
      <c r="CO17">
        <v>67430.539999999994</v>
      </c>
      <c r="CP17" s="52">
        <v>0.18</v>
      </c>
      <c r="CQ17">
        <v>12137.5</v>
      </c>
      <c r="CR17">
        <v>79568.039999999994</v>
      </c>
      <c r="CS17">
        <v>123.04</v>
      </c>
      <c r="CT17" t="s">
        <v>195</v>
      </c>
      <c r="CU17" s="53">
        <v>9790051</v>
      </c>
      <c r="CV17" t="s">
        <v>202</v>
      </c>
      <c r="CW17" t="s">
        <v>240</v>
      </c>
      <c r="CX17">
        <v>1000</v>
      </c>
    </row>
    <row r="18" spans="1:102" x14ac:dyDescent="0.25">
      <c r="A18" t="s">
        <v>191</v>
      </c>
      <c r="B18" s="50">
        <v>45698</v>
      </c>
      <c r="C18" t="s">
        <v>241</v>
      </c>
      <c r="D18" t="s">
        <v>242</v>
      </c>
      <c r="E18" t="s">
        <v>194</v>
      </c>
      <c r="H18">
        <v>0</v>
      </c>
      <c r="J18" t="s">
        <v>44</v>
      </c>
      <c r="K18">
        <v>272.36</v>
      </c>
      <c r="L18">
        <v>270</v>
      </c>
      <c r="M18">
        <v>73537.2</v>
      </c>
      <c r="P18">
        <v>0</v>
      </c>
      <c r="T18">
        <v>0</v>
      </c>
      <c r="V18" t="s">
        <v>50</v>
      </c>
      <c r="W18">
        <v>114</v>
      </c>
      <c r="X18">
        <v>95</v>
      </c>
      <c r="Y18" s="51">
        <v>10830</v>
      </c>
      <c r="AB18">
        <v>0</v>
      </c>
      <c r="AD18" t="s">
        <v>51</v>
      </c>
      <c r="AE18">
        <v>67.67</v>
      </c>
      <c r="AF18">
        <v>46</v>
      </c>
      <c r="AG18">
        <v>3112.82</v>
      </c>
      <c r="AH18" t="s">
        <v>84</v>
      </c>
      <c r="AI18">
        <v>82.9</v>
      </c>
      <c r="AJ18">
        <v>572</v>
      </c>
      <c r="AK18">
        <v>47418.8</v>
      </c>
      <c r="AL18" t="s">
        <v>64</v>
      </c>
      <c r="AM18">
        <v>87.1</v>
      </c>
      <c r="AN18">
        <v>185</v>
      </c>
      <c r="AO18">
        <v>16113.5</v>
      </c>
      <c r="AR18">
        <v>0</v>
      </c>
      <c r="AV18">
        <v>0</v>
      </c>
      <c r="AZ18">
        <v>0</v>
      </c>
      <c r="BD18">
        <v>0</v>
      </c>
      <c r="BH18">
        <v>0</v>
      </c>
      <c r="BL18">
        <v>0</v>
      </c>
      <c r="BP18">
        <v>0</v>
      </c>
      <c r="BT18">
        <v>0</v>
      </c>
      <c r="BX18">
        <v>0</v>
      </c>
      <c r="BZ18">
        <v>3881</v>
      </c>
      <c r="CA18">
        <v>154893.32</v>
      </c>
      <c r="CH18">
        <v>154893.32</v>
      </c>
      <c r="CM18">
        <v>154893.32</v>
      </c>
      <c r="CO18">
        <v>154893.32</v>
      </c>
      <c r="CP18" s="52">
        <v>0.18</v>
      </c>
      <c r="CQ18">
        <v>27880.799999999999</v>
      </c>
      <c r="CR18">
        <v>182774.12</v>
      </c>
      <c r="CS18">
        <v>121.208</v>
      </c>
      <c r="CT18" t="s">
        <v>195</v>
      </c>
      <c r="CU18" s="53">
        <v>22153685</v>
      </c>
      <c r="CV18" t="s">
        <v>224</v>
      </c>
      <c r="CW18" t="s">
        <v>225</v>
      </c>
      <c r="CX18">
        <v>1000</v>
      </c>
    </row>
    <row r="19" spans="1:102" x14ac:dyDescent="0.25">
      <c r="A19" t="s">
        <v>191</v>
      </c>
      <c r="B19" s="50">
        <v>45698</v>
      </c>
      <c r="C19" t="s">
        <v>243</v>
      </c>
      <c r="D19" t="s">
        <v>244</v>
      </c>
      <c r="E19" t="s">
        <v>194</v>
      </c>
      <c r="H19">
        <v>0</v>
      </c>
      <c r="J19" t="s">
        <v>44</v>
      </c>
      <c r="K19">
        <v>272.36</v>
      </c>
      <c r="L19">
        <v>108</v>
      </c>
      <c r="M19">
        <v>29414.880000000001</v>
      </c>
      <c r="P19">
        <v>0</v>
      </c>
      <c r="T19">
        <v>0</v>
      </c>
      <c r="V19" t="s">
        <v>50</v>
      </c>
      <c r="W19">
        <v>114</v>
      </c>
      <c r="X19">
        <v>64</v>
      </c>
      <c r="Y19" s="51">
        <v>7296</v>
      </c>
      <c r="AB19">
        <v>0</v>
      </c>
      <c r="AD19" t="s">
        <v>51</v>
      </c>
      <c r="AE19">
        <v>67.67</v>
      </c>
      <c r="AF19">
        <v>35</v>
      </c>
      <c r="AG19">
        <v>2368.4499999999998</v>
      </c>
      <c r="AH19" t="s">
        <v>84</v>
      </c>
      <c r="AI19">
        <v>82.9</v>
      </c>
      <c r="AJ19">
        <v>441</v>
      </c>
      <c r="AK19">
        <v>36558.9</v>
      </c>
      <c r="AL19" t="s">
        <v>64</v>
      </c>
      <c r="AM19">
        <v>87.1</v>
      </c>
      <c r="AN19">
        <v>151</v>
      </c>
      <c r="AO19">
        <v>13152.1</v>
      </c>
      <c r="AR19">
        <v>0</v>
      </c>
      <c r="AV19">
        <v>0</v>
      </c>
      <c r="AZ19">
        <v>0</v>
      </c>
      <c r="BD19">
        <v>0</v>
      </c>
      <c r="BH19">
        <v>0</v>
      </c>
      <c r="BL19">
        <v>0</v>
      </c>
      <c r="BP19">
        <v>0</v>
      </c>
      <c r="BT19">
        <v>0</v>
      </c>
      <c r="BX19">
        <v>0</v>
      </c>
      <c r="BZ19">
        <v>4593</v>
      </c>
      <c r="CA19">
        <v>93383.33</v>
      </c>
      <c r="CH19">
        <v>93383.33</v>
      </c>
      <c r="CM19">
        <v>93383.33</v>
      </c>
      <c r="CO19">
        <v>93383.33</v>
      </c>
      <c r="CP19" s="52">
        <v>0.18</v>
      </c>
      <c r="CQ19">
        <v>16809</v>
      </c>
      <c r="CR19">
        <v>110192.33</v>
      </c>
      <c r="CS19">
        <v>136.83199999999999</v>
      </c>
      <c r="CT19" t="s">
        <v>195</v>
      </c>
      <c r="CU19" s="53">
        <v>15077837</v>
      </c>
      <c r="CV19" t="s">
        <v>245</v>
      </c>
      <c r="CW19" t="s">
        <v>246</v>
      </c>
      <c r="CX19">
        <v>1000</v>
      </c>
    </row>
    <row r="20" spans="1:102" x14ac:dyDescent="0.25">
      <c r="A20" t="s">
        <v>191</v>
      </c>
      <c r="B20" s="50">
        <v>45698</v>
      </c>
      <c r="C20" t="s">
        <v>247</v>
      </c>
      <c r="D20" t="s">
        <v>248</v>
      </c>
      <c r="E20" t="s">
        <v>194</v>
      </c>
      <c r="H20">
        <v>0</v>
      </c>
      <c r="J20" t="s">
        <v>44</v>
      </c>
      <c r="K20">
        <v>272.36</v>
      </c>
      <c r="L20">
        <v>541</v>
      </c>
      <c r="M20">
        <v>147346.76</v>
      </c>
      <c r="P20">
        <v>0</v>
      </c>
      <c r="T20">
        <v>0</v>
      </c>
      <c r="V20" t="s">
        <v>50</v>
      </c>
      <c r="W20">
        <v>114</v>
      </c>
      <c r="X20">
        <v>124</v>
      </c>
      <c r="Y20" s="51">
        <v>14136</v>
      </c>
      <c r="AB20">
        <v>0</v>
      </c>
      <c r="AD20" t="s">
        <v>51</v>
      </c>
      <c r="AE20">
        <v>67.67</v>
      </c>
      <c r="AF20">
        <v>69</v>
      </c>
      <c r="AG20">
        <v>4669.2299999999996</v>
      </c>
      <c r="AH20" t="s">
        <v>84</v>
      </c>
      <c r="AI20">
        <v>82.9</v>
      </c>
      <c r="AJ20">
        <v>898</v>
      </c>
      <c r="AK20">
        <v>74444.2</v>
      </c>
      <c r="AL20" t="s">
        <v>64</v>
      </c>
      <c r="AM20">
        <v>87.1</v>
      </c>
      <c r="AN20">
        <v>260</v>
      </c>
      <c r="AO20">
        <v>22646</v>
      </c>
      <c r="AR20">
        <v>0</v>
      </c>
      <c r="AV20">
        <v>0</v>
      </c>
      <c r="AZ20">
        <v>0</v>
      </c>
      <c r="BD20">
        <v>0</v>
      </c>
      <c r="BH20">
        <v>0</v>
      </c>
      <c r="BL20">
        <v>0</v>
      </c>
      <c r="BP20">
        <v>0</v>
      </c>
      <c r="BR20" t="s">
        <v>20</v>
      </c>
      <c r="BS20">
        <v>370</v>
      </c>
      <c r="BT20">
        <v>0</v>
      </c>
      <c r="BU20">
        <v>0</v>
      </c>
      <c r="BX20">
        <v>0</v>
      </c>
      <c r="BZ20">
        <v>6254</v>
      </c>
      <c r="CA20">
        <v>269496.19</v>
      </c>
      <c r="CH20">
        <v>269496.19</v>
      </c>
      <c r="CM20">
        <v>269496.19</v>
      </c>
      <c r="CO20">
        <v>269496.19</v>
      </c>
      <c r="CP20" s="52">
        <v>0.18</v>
      </c>
      <c r="CQ20">
        <v>48509.31</v>
      </c>
      <c r="CR20">
        <v>318005.5</v>
      </c>
      <c r="CS20">
        <v>26.605</v>
      </c>
      <c r="CT20" t="s">
        <v>195</v>
      </c>
      <c r="CU20" s="53">
        <v>8460536</v>
      </c>
      <c r="CV20" t="s">
        <v>249</v>
      </c>
      <c r="CW20" t="s">
        <v>250</v>
      </c>
      <c r="CX20">
        <v>1000</v>
      </c>
    </row>
    <row r="21" spans="1:102" x14ac:dyDescent="0.25">
      <c r="A21" t="s">
        <v>191</v>
      </c>
      <c r="B21" s="50">
        <v>45698</v>
      </c>
      <c r="C21" t="s">
        <v>251</v>
      </c>
      <c r="D21" t="s">
        <v>252</v>
      </c>
      <c r="E21" t="s">
        <v>194</v>
      </c>
      <c r="H21">
        <v>0</v>
      </c>
      <c r="J21" t="s">
        <v>44</v>
      </c>
      <c r="K21">
        <v>272.36</v>
      </c>
      <c r="L21">
        <v>378</v>
      </c>
      <c r="M21">
        <v>102952.08</v>
      </c>
      <c r="P21">
        <v>0</v>
      </c>
      <c r="T21">
        <v>0</v>
      </c>
      <c r="V21" t="s">
        <v>50</v>
      </c>
      <c r="W21">
        <v>114</v>
      </c>
      <c r="X21">
        <v>109</v>
      </c>
      <c r="Y21" s="51">
        <v>12426</v>
      </c>
      <c r="AB21">
        <v>0</v>
      </c>
      <c r="AD21" t="s">
        <v>51</v>
      </c>
      <c r="AE21">
        <v>67.67</v>
      </c>
      <c r="AF21">
        <v>51</v>
      </c>
      <c r="AG21">
        <v>3451.17</v>
      </c>
      <c r="AH21" t="s">
        <v>84</v>
      </c>
      <c r="AI21">
        <v>82.9</v>
      </c>
      <c r="AJ21">
        <v>639</v>
      </c>
      <c r="AK21">
        <v>52973.1</v>
      </c>
      <c r="AL21" t="s">
        <v>64</v>
      </c>
      <c r="AM21">
        <v>87.1</v>
      </c>
      <c r="AN21">
        <v>230</v>
      </c>
      <c r="AO21">
        <v>20033</v>
      </c>
      <c r="AR21">
        <v>0</v>
      </c>
      <c r="AV21">
        <v>0</v>
      </c>
      <c r="AZ21">
        <v>0</v>
      </c>
      <c r="BD21">
        <v>0</v>
      </c>
      <c r="BH21">
        <v>0</v>
      </c>
      <c r="BL21">
        <v>0</v>
      </c>
      <c r="BP21">
        <v>0</v>
      </c>
      <c r="BR21" t="s">
        <v>20</v>
      </c>
      <c r="BS21">
        <v>370</v>
      </c>
      <c r="BT21">
        <v>0</v>
      </c>
      <c r="BU21">
        <v>0</v>
      </c>
      <c r="BX21">
        <v>0</v>
      </c>
      <c r="BZ21">
        <v>4139</v>
      </c>
      <c r="CA21">
        <v>195974.35</v>
      </c>
      <c r="CH21">
        <v>195974.35</v>
      </c>
      <c r="CM21">
        <v>195974.35</v>
      </c>
      <c r="CO21">
        <v>195974.35</v>
      </c>
      <c r="CP21" s="52">
        <v>0.18</v>
      </c>
      <c r="CQ21">
        <v>35275.379999999997</v>
      </c>
      <c r="CR21">
        <v>231249.73</v>
      </c>
      <c r="CS21">
        <v>88.207999999999998</v>
      </c>
      <c r="CT21" t="s">
        <v>195</v>
      </c>
      <c r="CU21" s="53">
        <v>20398076</v>
      </c>
      <c r="CV21" t="s">
        <v>253</v>
      </c>
      <c r="CW21" t="s">
        <v>254</v>
      </c>
      <c r="CX21">
        <v>1000</v>
      </c>
    </row>
    <row r="22" spans="1:102" x14ac:dyDescent="0.25">
      <c r="A22" t="s">
        <v>191</v>
      </c>
      <c r="B22" s="50">
        <v>45698</v>
      </c>
      <c r="C22" t="s">
        <v>255</v>
      </c>
      <c r="D22" t="s">
        <v>256</v>
      </c>
      <c r="E22" t="s">
        <v>194</v>
      </c>
      <c r="H22">
        <v>0</v>
      </c>
      <c r="J22" t="s">
        <v>44</v>
      </c>
      <c r="K22">
        <v>272.36</v>
      </c>
      <c r="L22">
        <v>173</v>
      </c>
      <c r="M22">
        <v>47118.28</v>
      </c>
      <c r="P22">
        <v>0</v>
      </c>
      <c r="T22">
        <v>0</v>
      </c>
      <c r="V22" t="s">
        <v>50</v>
      </c>
      <c r="W22">
        <v>114</v>
      </c>
      <c r="X22">
        <v>75</v>
      </c>
      <c r="Y22" s="51">
        <v>8550</v>
      </c>
      <c r="AB22">
        <v>0</v>
      </c>
      <c r="AD22" t="s">
        <v>51</v>
      </c>
      <c r="AE22">
        <v>67.67</v>
      </c>
      <c r="AF22">
        <v>40</v>
      </c>
      <c r="AG22">
        <v>2706.8</v>
      </c>
      <c r="AH22" t="s">
        <v>84</v>
      </c>
      <c r="AI22">
        <v>82.9</v>
      </c>
      <c r="AJ22">
        <v>498</v>
      </c>
      <c r="AK22">
        <v>41284.199999999997</v>
      </c>
      <c r="AL22" t="s">
        <v>64</v>
      </c>
      <c r="AM22">
        <v>87.1</v>
      </c>
      <c r="AN22">
        <v>166</v>
      </c>
      <c r="AO22">
        <v>14458.6</v>
      </c>
      <c r="AR22">
        <v>0</v>
      </c>
      <c r="AV22">
        <v>0</v>
      </c>
      <c r="AZ22">
        <v>0</v>
      </c>
      <c r="BD22">
        <v>0</v>
      </c>
      <c r="BH22">
        <v>0</v>
      </c>
      <c r="BL22">
        <v>0</v>
      </c>
      <c r="BP22">
        <v>0</v>
      </c>
      <c r="BR22" t="s">
        <v>20</v>
      </c>
      <c r="BS22">
        <v>370</v>
      </c>
      <c r="BT22">
        <v>0</v>
      </c>
      <c r="BU22">
        <v>0</v>
      </c>
      <c r="BX22">
        <v>0</v>
      </c>
      <c r="BZ22">
        <v>3881</v>
      </c>
      <c r="CA22">
        <v>117998.88</v>
      </c>
      <c r="CH22">
        <v>117998.88</v>
      </c>
      <c r="CM22">
        <v>117998.88</v>
      </c>
      <c r="CO22">
        <v>117998.88</v>
      </c>
      <c r="CP22" s="52">
        <v>0.18</v>
      </c>
      <c r="CQ22">
        <v>21239.8</v>
      </c>
      <c r="CR22">
        <v>139238.68</v>
      </c>
      <c r="CS22">
        <v>1.5</v>
      </c>
      <c r="CT22" t="s">
        <v>195</v>
      </c>
      <c r="CU22" s="53">
        <v>208858</v>
      </c>
      <c r="CV22" t="s">
        <v>224</v>
      </c>
      <c r="CW22" t="s">
        <v>225</v>
      </c>
      <c r="CX22">
        <v>1000</v>
      </c>
    </row>
    <row r="23" spans="1:102" x14ac:dyDescent="0.25">
      <c r="A23" t="s">
        <v>191</v>
      </c>
      <c r="B23" s="50">
        <v>45698</v>
      </c>
      <c r="C23" t="s">
        <v>257</v>
      </c>
      <c r="D23" t="s">
        <v>258</v>
      </c>
      <c r="E23" t="s">
        <v>194</v>
      </c>
      <c r="H23">
        <v>0</v>
      </c>
      <c r="J23" t="s">
        <v>44</v>
      </c>
      <c r="K23">
        <v>272.36</v>
      </c>
      <c r="L23">
        <v>86</v>
      </c>
      <c r="M23">
        <v>23422.959999999999</v>
      </c>
      <c r="P23">
        <v>0</v>
      </c>
      <c r="T23">
        <v>0</v>
      </c>
      <c r="V23" t="s">
        <v>50</v>
      </c>
      <c r="W23">
        <v>114</v>
      </c>
      <c r="X23">
        <v>30</v>
      </c>
      <c r="Y23" s="51">
        <v>3420</v>
      </c>
      <c r="AB23">
        <v>0</v>
      </c>
      <c r="AD23" t="s">
        <v>80</v>
      </c>
      <c r="AE23">
        <v>88.1</v>
      </c>
      <c r="AF23">
        <v>33</v>
      </c>
      <c r="AG23">
        <v>2907.3</v>
      </c>
      <c r="AH23" t="s">
        <v>84</v>
      </c>
      <c r="AI23">
        <v>82.9</v>
      </c>
      <c r="AJ23">
        <v>416</v>
      </c>
      <c r="AK23">
        <v>34486.400000000001</v>
      </c>
      <c r="AL23" t="s">
        <v>64</v>
      </c>
      <c r="AM23">
        <v>87.1</v>
      </c>
      <c r="AN23">
        <v>144</v>
      </c>
      <c r="AO23">
        <v>12542.4</v>
      </c>
      <c r="AR23">
        <v>0</v>
      </c>
      <c r="AV23">
        <v>0</v>
      </c>
      <c r="AZ23">
        <v>0</v>
      </c>
      <c r="BD23">
        <v>0</v>
      </c>
      <c r="BH23">
        <v>0</v>
      </c>
      <c r="BL23">
        <v>0</v>
      </c>
      <c r="BP23">
        <v>0</v>
      </c>
      <c r="BR23" t="s">
        <v>20</v>
      </c>
      <c r="BS23">
        <v>370</v>
      </c>
      <c r="BT23">
        <v>0</v>
      </c>
      <c r="BU23">
        <v>0</v>
      </c>
      <c r="BX23">
        <v>0</v>
      </c>
      <c r="BZ23">
        <v>4593</v>
      </c>
      <c r="CA23">
        <v>81372.06</v>
      </c>
      <c r="CH23">
        <v>81372.06</v>
      </c>
      <c r="CM23">
        <v>81372.06</v>
      </c>
      <c r="CO23">
        <v>81372.06</v>
      </c>
      <c r="CP23" s="52">
        <v>0.18</v>
      </c>
      <c r="CQ23">
        <v>14646.97</v>
      </c>
      <c r="CR23">
        <v>96019.03</v>
      </c>
      <c r="CS23">
        <v>0.5</v>
      </c>
      <c r="CT23" t="s">
        <v>195</v>
      </c>
      <c r="CU23" s="53">
        <v>48010</v>
      </c>
      <c r="CV23" t="s">
        <v>245</v>
      </c>
      <c r="CW23" t="s">
        <v>259</v>
      </c>
      <c r="CX23">
        <v>1000</v>
      </c>
    </row>
    <row r="24" spans="1:102" x14ac:dyDescent="0.25">
      <c r="A24" t="s">
        <v>191</v>
      </c>
      <c r="B24" s="50">
        <v>45698</v>
      </c>
      <c r="C24" t="s">
        <v>260</v>
      </c>
      <c r="D24" t="s">
        <v>261</v>
      </c>
      <c r="E24" t="s">
        <v>194</v>
      </c>
      <c r="H24">
        <v>0</v>
      </c>
      <c r="J24" t="s">
        <v>44</v>
      </c>
      <c r="K24">
        <v>272.36</v>
      </c>
      <c r="L24">
        <v>270</v>
      </c>
      <c r="M24">
        <v>73537.2</v>
      </c>
      <c r="P24">
        <v>0</v>
      </c>
      <c r="T24">
        <v>0</v>
      </c>
      <c r="V24" t="s">
        <v>50</v>
      </c>
      <c r="W24">
        <v>114</v>
      </c>
      <c r="X24">
        <v>63</v>
      </c>
      <c r="Y24" s="51">
        <v>7182</v>
      </c>
      <c r="AB24">
        <v>0</v>
      </c>
      <c r="AD24" t="s">
        <v>80</v>
      </c>
      <c r="AE24">
        <v>88.1</v>
      </c>
      <c r="AF24">
        <v>38</v>
      </c>
      <c r="AG24">
        <v>3347.8</v>
      </c>
      <c r="AH24" t="s">
        <v>84</v>
      </c>
      <c r="AI24">
        <v>82.9</v>
      </c>
      <c r="AJ24">
        <v>483</v>
      </c>
      <c r="AK24">
        <v>40040.699999999997</v>
      </c>
      <c r="AL24" t="s">
        <v>64</v>
      </c>
      <c r="AM24">
        <v>87.1</v>
      </c>
      <c r="AN24">
        <v>184</v>
      </c>
      <c r="AO24">
        <v>16026.4</v>
      </c>
      <c r="AR24">
        <v>0</v>
      </c>
      <c r="AV24">
        <v>0</v>
      </c>
      <c r="AZ24">
        <v>0</v>
      </c>
      <c r="BD24">
        <v>0</v>
      </c>
      <c r="BH24">
        <v>0</v>
      </c>
      <c r="BL24">
        <v>0</v>
      </c>
      <c r="BP24">
        <v>0</v>
      </c>
      <c r="BR24" t="s">
        <v>20</v>
      </c>
      <c r="BS24">
        <v>370</v>
      </c>
      <c r="BT24">
        <v>0</v>
      </c>
      <c r="BU24">
        <v>0</v>
      </c>
      <c r="BX24">
        <v>0</v>
      </c>
      <c r="BZ24">
        <v>4139</v>
      </c>
      <c r="CA24">
        <v>144273.1</v>
      </c>
      <c r="CH24">
        <v>144273.1</v>
      </c>
      <c r="CM24">
        <v>144273.1</v>
      </c>
      <c r="CO24">
        <v>144273.1</v>
      </c>
      <c r="CP24" s="52">
        <v>0.18</v>
      </c>
      <c r="CQ24">
        <v>25969.16</v>
      </c>
      <c r="CR24">
        <v>170242.26</v>
      </c>
      <c r="CS24">
        <v>0.5</v>
      </c>
      <c r="CT24" t="s">
        <v>195</v>
      </c>
      <c r="CU24" s="53">
        <v>85121</v>
      </c>
      <c r="CV24" t="s">
        <v>253</v>
      </c>
      <c r="CW24" t="s">
        <v>254</v>
      </c>
      <c r="CX24">
        <v>1000</v>
      </c>
    </row>
    <row r="25" spans="1:102" x14ac:dyDescent="0.25">
      <c r="A25" t="s">
        <v>191</v>
      </c>
      <c r="B25" s="50">
        <v>45698</v>
      </c>
      <c r="C25" t="s">
        <v>262</v>
      </c>
      <c r="D25" t="s">
        <v>263</v>
      </c>
      <c r="E25" t="s">
        <v>194</v>
      </c>
      <c r="H25">
        <v>0</v>
      </c>
      <c r="J25" t="s">
        <v>44</v>
      </c>
      <c r="K25">
        <v>272.36</v>
      </c>
      <c r="L25">
        <v>2595</v>
      </c>
      <c r="M25">
        <v>706774.2</v>
      </c>
      <c r="P25">
        <v>0</v>
      </c>
      <c r="T25">
        <v>0</v>
      </c>
      <c r="V25" t="s">
        <v>50</v>
      </c>
      <c r="W25">
        <v>114</v>
      </c>
      <c r="X25">
        <v>438</v>
      </c>
      <c r="Y25" s="51">
        <v>49932</v>
      </c>
      <c r="AB25">
        <v>0</v>
      </c>
      <c r="AD25" t="s">
        <v>51</v>
      </c>
      <c r="AE25">
        <v>67.67</v>
      </c>
      <c r="AF25">
        <v>244</v>
      </c>
      <c r="AG25">
        <v>16511.48</v>
      </c>
      <c r="AH25" t="s">
        <v>84</v>
      </c>
      <c r="AI25">
        <v>82.9</v>
      </c>
      <c r="AJ25">
        <v>2364</v>
      </c>
      <c r="AK25">
        <v>195975.6</v>
      </c>
      <c r="AL25" t="s">
        <v>64</v>
      </c>
      <c r="AM25">
        <v>87.1</v>
      </c>
      <c r="AN25">
        <v>735</v>
      </c>
      <c r="AO25">
        <v>64018.5</v>
      </c>
      <c r="AR25">
        <v>0</v>
      </c>
      <c r="AV25">
        <v>0</v>
      </c>
      <c r="AX25" t="s">
        <v>15</v>
      </c>
      <c r="AY25">
        <v>420</v>
      </c>
      <c r="AZ25">
        <v>0</v>
      </c>
      <c r="BA25">
        <v>0</v>
      </c>
      <c r="BD25">
        <v>0</v>
      </c>
      <c r="BH25">
        <v>0</v>
      </c>
      <c r="BL25">
        <v>0</v>
      </c>
      <c r="BP25">
        <v>0</v>
      </c>
      <c r="BR25" t="s">
        <v>20</v>
      </c>
      <c r="BS25">
        <v>370</v>
      </c>
      <c r="BT25">
        <v>0</v>
      </c>
      <c r="BU25">
        <v>0</v>
      </c>
      <c r="BX25">
        <v>0</v>
      </c>
      <c r="BZ25">
        <v>40364</v>
      </c>
      <c r="CA25">
        <v>1073575.78</v>
      </c>
      <c r="CH25">
        <v>1073575.78</v>
      </c>
      <c r="CM25">
        <v>1073575.78</v>
      </c>
      <c r="CO25">
        <v>1073575.78</v>
      </c>
      <c r="CP25" s="52">
        <v>0.18</v>
      </c>
      <c r="CQ25">
        <v>193243.64</v>
      </c>
      <c r="CR25">
        <v>1266819.42</v>
      </c>
      <c r="CS25">
        <v>3</v>
      </c>
      <c r="CT25" t="s">
        <v>195</v>
      </c>
      <c r="CU25" s="53">
        <v>3800458</v>
      </c>
      <c r="CV25" t="s">
        <v>264</v>
      </c>
      <c r="CW25" t="s">
        <v>265</v>
      </c>
      <c r="CX25">
        <v>500</v>
      </c>
    </row>
    <row r="26" spans="1:102" x14ac:dyDescent="0.25">
      <c r="A26" t="s">
        <v>191</v>
      </c>
      <c r="B26" s="50">
        <v>45698</v>
      </c>
      <c r="C26" t="s">
        <v>266</v>
      </c>
      <c r="D26" t="s">
        <v>267</v>
      </c>
      <c r="E26" t="s">
        <v>194</v>
      </c>
      <c r="H26">
        <v>0</v>
      </c>
      <c r="J26" t="s">
        <v>44</v>
      </c>
      <c r="K26">
        <v>272.36</v>
      </c>
      <c r="L26">
        <v>1027</v>
      </c>
      <c r="M26">
        <v>279713.71999999997</v>
      </c>
      <c r="P26">
        <v>0</v>
      </c>
      <c r="T26">
        <v>0</v>
      </c>
      <c r="V26" t="s">
        <v>50</v>
      </c>
      <c r="W26">
        <v>114</v>
      </c>
      <c r="X26">
        <v>187</v>
      </c>
      <c r="Y26" s="51">
        <v>21318</v>
      </c>
      <c r="AB26">
        <v>0</v>
      </c>
      <c r="AD26" t="s">
        <v>51</v>
      </c>
      <c r="AE26">
        <v>67.67</v>
      </c>
      <c r="AF26">
        <v>93</v>
      </c>
      <c r="AG26">
        <v>6293.31</v>
      </c>
      <c r="AH26" t="s">
        <v>84</v>
      </c>
      <c r="AI26">
        <v>82.9</v>
      </c>
      <c r="AJ26">
        <v>1200</v>
      </c>
      <c r="AK26">
        <v>99480</v>
      </c>
      <c r="AL26" t="s">
        <v>64</v>
      </c>
      <c r="AM26">
        <v>87.1</v>
      </c>
      <c r="AN26">
        <v>370</v>
      </c>
      <c r="AO26">
        <v>32227</v>
      </c>
      <c r="AR26">
        <v>0</v>
      </c>
      <c r="AV26">
        <v>0</v>
      </c>
      <c r="AZ26">
        <v>0</v>
      </c>
      <c r="BD26">
        <v>0</v>
      </c>
      <c r="BH26">
        <v>0</v>
      </c>
      <c r="BL26">
        <v>0</v>
      </c>
      <c r="BP26">
        <v>0</v>
      </c>
      <c r="BR26" t="s">
        <v>20</v>
      </c>
      <c r="BS26">
        <v>370</v>
      </c>
      <c r="BT26">
        <v>0</v>
      </c>
      <c r="BU26">
        <v>0</v>
      </c>
      <c r="BX26">
        <v>0</v>
      </c>
      <c r="BZ26">
        <v>14928</v>
      </c>
      <c r="CA26">
        <v>453960.03</v>
      </c>
      <c r="CH26">
        <v>453960.03</v>
      </c>
      <c r="CM26">
        <v>453960.03</v>
      </c>
      <c r="CO26">
        <v>453960.03</v>
      </c>
      <c r="CP26" s="52">
        <v>0.18</v>
      </c>
      <c r="CQ26">
        <v>81712.81</v>
      </c>
      <c r="CR26">
        <v>535672.84</v>
      </c>
      <c r="CS26">
        <v>17.585999999999999</v>
      </c>
      <c r="CT26" t="s">
        <v>195</v>
      </c>
      <c r="CU26" s="53">
        <v>9420342</v>
      </c>
      <c r="CV26" t="s">
        <v>268</v>
      </c>
      <c r="CW26" t="s">
        <v>269</v>
      </c>
      <c r="CX26">
        <v>500</v>
      </c>
    </row>
    <row r="27" spans="1:102" x14ac:dyDescent="0.25">
      <c r="A27" t="s">
        <v>191</v>
      </c>
      <c r="B27" s="50">
        <v>45698</v>
      </c>
      <c r="C27" t="s">
        <v>270</v>
      </c>
      <c r="D27" t="s">
        <v>271</v>
      </c>
      <c r="E27" t="s">
        <v>272</v>
      </c>
      <c r="H27">
        <v>0</v>
      </c>
      <c r="J27" t="s">
        <v>44</v>
      </c>
      <c r="K27">
        <v>272.36</v>
      </c>
      <c r="L27">
        <v>3240</v>
      </c>
      <c r="M27">
        <v>882446.4</v>
      </c>
      <c r="P27">
        <v>0</v>
      </c>
      <c r="T27">
        <v>0</v>
      </c>
      <c r="V27" t="s">
        <v>50</v>
      </c>
      <c r="W27">
        <v>114</v>
      </c>
      <c r="X27">
        <v>488</v>
      </c>
      <c r="Y27" s="51">
        <v>55632</v>
      </c>
      <c r="AB27">
        <v>0</v>
      </c>
      <c r="AD27" t="s">
        <v>51</v>
      </c>
      <c r="AE27">
        <v>67.67</v>
      </c>
      <c r="AF27">
        <v>255</v>
      </c>
      <c r="AG27">
        <v>17255.849999999999</v>
      </c>
      <c r="AH27" t="s">
        <v>84</v>
      </c>
      <c r="AI27">
        <v>82.9</v>
      </c>
      <c r="AJ27">
        <v>3436</v>
      </c>
      <c r="AK27">
        <v>284844.40000000002</v>
      </c>
      <c r="AL27" t="s">
        <v>64</v>
      </c>
      <c r="AM27">
        <v>87.1</v>
      </c>
      <c r="AN27">
        <v>888</v>
      </c>
      <c r="AO27">
        <v>77344.800000000003</v>
      </c>
      <c r="AR27">
        <v>0</v>
      </c>
      <c r="AV27">
        <v>0</v>
      </c>
      <c r="AX27" t="s">
        <v>15</v>
      </c>
      <c r="AY27">
        <v>420</v>
      </c>
      <c r="AZ27">
        <v>0</v>
      </c>
      <c r="BA27">
        <v>0</v>
      </c>
      <c r="BD27">
        <v>90</v>
      </c>
      <c r="BH27">
        <v>0</v>
      </c>
      <c r="BL27">
        <v>0</v>
      </c>
      <c r="BP27">
        <v>0</v>
      </c>
      <c r="BR27" t="s">
        <v>20</v>
      </c>
      <c r="BS27">
        <v>370</v>
      </c>
      <c r="BT27">
        <v>36</v>
      </c>
      <c r="BU27" s="51">
        <v>13320</v>
      </c>
      <c r="BX27">
        <v>0</v>
      </c>
      <c r="BZ27">
        <v>78780</v>
      </c>
      <c r="CA27">
        <v>1409623.45</v>
      </c>
      <c r="CH27">
        <v>1409623.45</v>
      </c>
      <c r="CM27">
        <v>1409623.45</v>
      </c>
      <c r="CO27">
        <v>1409623.45</v>
      </c>
      <c r="CP27" s="52">
        <v>0.18</v>
      </c>
      <c r="CQ27">
        <v>253732.22</v>
      </c>
      <c r="CR27">
        <v>1663355.67</v>
      </c>
      <c r="CS27">
        <v>29</v>
      </c>
      <c r="CT27" t="s">
        <v>195</v>
      </c>
      <c r="CU27" s="53">
        <v>48237314</v>
      </c>
      <c r="CV27" t="s">
        <v>273</v>
      </c>
      <c r="CW27" t="s">
        <v>274</v>
      </c>
      <c r="CX27">
        <v>500</v>
      </c>
    </row>
    <row r="28" spans="1:102" x14ac:dyDescent="0.25">
      <c r="A28" t="s">
        <v>191</v>
      </c>
      <c r="B28" s="50">
        <v>45698</v>
      </c>
      <c r="C28" t="s">
        <v>275</v>
      </c>
      <c r="D28" t="s">
        <v>276</v>
      </c>
      <c r="E28" t="s">
        <v>194</v>
      </c>
      <c r="H28">
        <v>0</v>
      </c>
      <c r="J28" t="s">
        <v>44</v>
      </c>
      <c r="K28">
        <v>272.36</v>
      </c>
      <c r="L28">
        <v>1620</v>
      </c>
      <c r="M28">
        <v>441223.2</v>
      </c>
      <c r="P28">
        <v>0</v>
      </c>
      <c r="T28">
        <v>0</v>
      </c>
      <c r="V28" t="s">
        <v>50</v>
      </c>
      <c r="W28">
        <v>114</v>
      </c>
      <c r="X28">
        <v>276</v>
      </c>
      <c r="Y28" s="51">
        <v>31464</v>
      </c>
      <c r="AB28">
        <v>0</v>
      </c>
      <c r="AD28" t="s">
        <v>51</v>
      </c>
      <c r="AE28">
        <v>67.67</v>
      </c>
      <c r="AF28">
        <v>148</v>
      </c>
      <c r="AG28">
        <v>10015.16</v>
      </c>
      <c r="AH28" t="s">
        <v>84</v>
      </c>
      <c r="AI28">
        <v>82.9</v>
      </c>
      <c r="AJ28">
        <v>1965</v>
      </c>
      <c r="AK28">
        <v>162898.5</v>
      </c>
      <c r="AL28" t="s">
        <v>64</v>
      </c>
      <c r="AM28">
        <v>87.1</v>
      </c>
      <c r="AN28">
        <v>543</v>
      </c>
      <c r="AO28">
        <v>47295.3</v>
      </c>
      <c r="AR28">
        <v>0</v>
      </c>
      <c r="AV28">
        <v>0</v>
      </c>
      <c r="AX28" t="s">
        <v>15</v>
      </c>
      <c r="AY28">
        <v>420</v>
      </c>
      <c r="AZ28">
        <v>0</v>
      </c>
      <c r="BA28">
        <v>0</v>
      </c>
      <c r="BD28">
        <v>48</v>
      </c>
      <c r="BH28">
        <v>0</v>
      </c>
      <c r="BL28">
        <v>0</v>
      </c>
      <c r="BP28">
        <v>0</v>
      </c>
      <c r="BR28" t="s">
        <v>20</v>
      </c>
      <c r="BS28">
        <v>370</v>
      </c>
      <c r="BT28">
        <v>26</v>
      </c>
      <c r="BU28" s="51">
        <v>9620</v>
      </c>
      <c r="BX28">
        <v>0</v>
      </c>
      <c r="BZ28">
        <v>21178</v>
      </c>
      <c r="CA28">
        <v>723694.16</v>
      </c>
      <c r="CH28">
        <v>723694.16</v>
      </c>
      <c r="CM28">
        <v>723694.16</v>
      </c>
      <c r="CO28">
        <v>723694.16</v>
      </c>
      <c r="CP28" s="52">
        <v>0.18</v>
      </c>
      <c r="CQ28">
        <v>130264.95</v>
      </c>
      <c r="CR28">
        <v>853959.11</v>
      </c>
      <c r="CS28">
        <v>6.8659999999999997</v>
      </c>
      <c r="CT28" t="s">
        <v>195</v>
      </c>
      <c r="CU28" s="53">
        <v>5863283</v>
      </c>
      <c r="CV28" t="s">
        <v>277</v>
      </c>
      <c r="CW28" t="s">
        <v>278</v>
      </c>
      <c r="CX28">
        <v>500</v>
      </c>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N112"/>
  <sheetViews>
    <sheetView showZeros="0" tabSelected="1" topLeftCell="A28" workbookViewId="0">
      <selection activeCell="H113" sqref="H113"/>
    </sheetView>
  </sheetViews>
  <sheetFormatPr defaultRowHeight="15" x14ac:dyDescent="0.25"/>
  <cols>
    <col min="3" max="3" width="15.140625" bestFit="1" customWidth="1"/>
    <col min="4" max="4" width="14.140625" customWidth="1"/>
    <col min="5" max="5" width="10.28515625" bestFit="1" customWidth="1"/>
    <col min="6" max="6" width="29.5703125" customWidth="1"/>
    <col min="7" max="7" width="13.85546875" style="4" customWidth="1"/>
    <col min="8" max="8" width="11.5703125" customWidth="1"/>
    <col min="9" max="9" width="13.85546875" customWidth="1"/>
    <col min="10" max="10" width="10.5703125" style="8" customWidth="1"/>
    <col min="11" max="11" width="12.28515625" customWidth="1"/>
    <col min="12" max="12" width="13.85546875" customWidth="1"/>
    <col min="13" max="14" width="9.140625" customWidth="1"/>
    <col min="15" max="15" width="15.28515625" customWidth="1"/>
    <col min="16" max="16" width="11" style="26" customWidth="1"/>
    <col min="17" max="17" width="7.85546875" style="26" hidden="1" customWidth="1"/>
    <col min="18" max="18" width="9.5703125" style="26" customWidth="1"/>
    <col min="19" max="33" width="7.85546875" style="26" hidden="1" customWidth="1"/>
    <col min="34" max="34" width="7.85546875" style="26" customWidth="1"/>
    <col min="35" max="36" width="7.85546875" style="26" hidden="1" customWidth="1"/>
    <col min="37" max="37" width="7.85546875" style="26" customWidth="1"/>
    <col min="38" max="38" width="7.85546875" style="26" hidden="1" customWidth="1"/>
    <col min="39" max="39" width="7.85546875" style="26" customWidth="1"/>
    <col min="40" max="44" width="7.85546875" style="26" hidden="1" customWidth="1"/>
    <col min="45" max="46" width="7.85546875" style="26" customWidth="1"/>
    <col min="47" max="54" width="7.85546875" style="26" hidden="1" customWidth="1"/>
    <col min="55" max="55" width="7.85546875" style="26" customWidth="1"/>
    <col min="56" max="59" width="7.85546875" style="26" hidden="1" customWidth="1"/>
    <col min="60" max="60" width="11" style="26" customWidth="1"/>
    <col min="61" max="68" width="7.85546875" style="26" hidden="1" customWidth="1"/>
    <col min="69" max="69" width="7.85546875" style="26" customWidth="1"/>
    <col min="70" max="73" width="7.85546875" style="26" hidden="1" customWidth="1"/>
    <col min="74" max="74" width="7.85546875" style="26" customWidth="1"/>
    <col min="75" max="75" width="7.85546875" style="26" hidden="1" customWidth="1"/>
    <col min="76" max="76" width="7.85546875" style="26" customWidth="1"/>
    <col min="77" max="77" width="10.7109375" style="26" bestFit="1" customWidth="1"/>
    <col min="78" max="78" width="22.140625" style="26" customWidth="1"/>
    <col min="79" max="79" width="12.140625" style="26" customWidth="1"/>
    <col min="80" max="80" width="9.85546875" style="4" bestFit="1" customWidth="1"/>
    <col min="81" max="81" width="13.85546875" style="4" bestFit="1" customWidth="1"/>
    <col min="82" max="82" width="9.140625" style="24" customWidth="1"/>
    <col min="83" max="83" width="13.42578125" style="4" customWidth="1"/>
    <col min="84" max="84" width="9.140625" style="12" customWidth="1"/>
    <col min="85" max="85" width="12" style="4" bestFit="1" customWidth="1"/>
    <col min="86" max="86" width="9.140625" style="8" customWidth="1"/>
    <col min="87" max="87" width="12.28515625" style="4" bestFit="1" customWidth="1"/>
    <col min="88" max="88" width="13.85546875" style="4" bestFit="1" customWidth="1"/>
    <col min="89" max="89" width="9.140625" style="8" customWidth="1"/>
    <col min="90" max="90" width="11.5703125" customWidth="1"/>
    <col min="91" max="91" width="9.140625" style="8" customWidth="1"/>
    <col min="92" max="92" width="10" bestFit="1" customWidth="1"/>
  </cols>
  <sheetData>
    <row r="1" spans="3:91" s="40" customFormat="1" ht="15.75" thickBot="1" x14ac:dyDescent="0.3"/>
    <row r="2" spans="3:91" s="40" customFormat="1" ht="43.5" customHeight="1" thickBot="1" x14ac:dyDescent="0.5">
      <c r="C2" s="133" t="s">
        <v>111</v>
      </c>
      <c r="D2" s="134"/>
      <c r="E2" s="134"/>
      <c r="F2" s="134"/>
      <c r="G2" s="134"/>
      <c r="H2" s="134"/>
      <c r="I2" s="134"/>
      <c r="J2" s="134"/>
      <c r="K2" s="134"/>
      <c r="L2" s="134"/>
      <c r="M2" s="134"/>
      <c r="N2" s="134"/>
      <c r="O2" s="134"/>
      <c r="P2" s="134"/>
      <c r="Q2" s="134"/>
      <c r="R2" s="134"/>
      <c r="S2" s="134"/>
      <c r="T2" s="135"/>
      <c r="U2" s="43"/>
      <c r="V2" s="43"/>
    </row>
    <row r="3" spans="3:91" s="40" customFormat="1" ht="15.75" thickBot="1" x14ac:dyDescent="0.3">
      <c r="C3"/>
      <c r="D3"/>
      <c r="E3"/>
      <c r="F3"/>
      <c r="G3"/>
      <c r="H3"/>
      <c r="I3"/>
      <c r="J3"/>
      <c r="K3"/>
      <c r="L3"/>
      <c r="M3"/>
      <c r="N3"/>
      <c r="O3"/>
      <c r="P3"/>
      <c r="Q3"/>
      <c r="R3"/>
      <c r="S3"/>
      <c r="T3"/>
      <c r="U3"/>
    </row>
    <row r="4" spans="3:91" s="40" customFormat="1" ht="51.75" customHeight="1" thickBot="1" x14ac:dyDescent="0.3">
      <c r="C4" s="41" t="s">
        <v>89</v>
      </c>
      <c r="D4" s="128" t="s">
        <v>103</v>
      </c>
      <c r="E4" s="128"/>
      <c r="F4" s="128"/>
      <c r="G4" s="128"/>
      <c r="H4" s="128"/>
      <c r="I4" s="128"/>
      <c r="J4" s="128"/>
      <c r="K4" s="128"/>
      <c r="L4" s="128"/>
      <c r="M4" s="128"/>
      <c r="N4" s="128"/>
      <c r="O4" s="128"/>
      <c r="P4" s="128"/>
      <c r="Q4" s="128"/>
      <c r="R4" s="128"/>
      <c r="S4" s="128"/>
      <c r="T4" s="128"/>
      <c r="U4"/>
    </row>
    <row r="5" spans="3:91" s="40" customFormat="1" ht="34.5" customHeight="1" x14ac:dyDescent="0.25">
      <c r="C5" s="41" t="s">
        <v>90</v>
      </c>
      <c r="D5" s="128" t="s">
        <v>102</v>
      </c>
      <c r="E5" s="128"/>
      <c r="F5" s="128"/>
      <c r="G5" s="128"/>
      <c r="H5" s="128"/>
      <c r="I5" s="128"/>
      <c r="J5" s="128"/>
      <c r="K5" s="128"/>
      <c r="L5" s="128"/>
      <c r="M5" s="128"/>
      <c r="N5" s="128"/>
      <c r="O5" s="128"/>
      <c r="P5" s="128"/>
      <c r="Q5" s="128"/>
      <c r="R5" s="128"/>
      <c r="S5" s="128"/>
      <c r="T5" s="128"/>
      <c r="U5"/>
    </row>
    <row r="6" spans="3:91" s="40" customFormat="1" ht="48" customHeight="1" x14ac:dyDescent="0.25">
      <c r="C6" s="42" t="s">
        <v>91</v>
      </c>
      <c r="D6" s="127" t="s">
        <v>104</v>
      </c>
      <c r="E6" s="128"/>
      <c r="F6" s="128"/>
      <c r="G6" s="128"/>
      <c r="H6" s="128"/>
      <c r="I6" s="128"/>
      <c r="J6" s="128"/>
      <c r="K6" s="128"/>
      <c r="L6" s="128"/>
      <c r="M6" s="128"/>
      <c r="N6" s="128"/>
      <c r="O6" s="128"/>
      <c r="P6" s="128"/>
      <c r="Q6" s="128"/>
      <c r="R6" s="128"/>
      <c r="S6" s="128"/>
      <c r="T6" s="128"/>
      <c r="U6"/>
    </row>
    <row r="7" spans="3:91" s="40" customFormat="1" ht="51" customHeight="1" x14ac:dyDescent="0.25">
      <c r="C7" s="42" t="s">
        <v>88</v>
      </c>
      <c r="D7" s="127" t="s">
        <v>105</v>
      </c>
      <c r="E7" s="128"/>
      <c r="F7" s="128"/>
      <c r="G7" s="128"/>
      <c r="H7" s="128"/>
      <c r="I7" s="128"/>
      <c r="J7" s="128"/>
      <c r="K7" s="128"/>
      <c r="L7" s="128"/>
      <c r="M7" s="128"/>
      <c r="N7" s="128"/>
      <c r="O7" s="128"/>
      <c r="P7" s="128"/>
      <c r="Q7" s="128"/>
      <c r="R7" s="128"/>
      <c r="S7" s="128"/>
      <c r="T7" s="128"/>
      <c r="U7"/>
    </row>
    <row r="8" spans="3:91" s="40" customFormat="1" ht="46.5" customHeight="1" x14ac:dyDescent="0.25">
      <c r="C8" s="42" t="s">
        <v>92</v>
      </c>
      <c r="D8" s="129" t="s">
        <v>331</v>
      </c>
      <c r="E8" s="129"/>
      <c r="F8" s="129"/>
      <c r="G8" s="129"/>
      <c r="H8" s="129"/>
      <c r="I8" s="129"/>
      <c r="J8" s="129"/>
      <c r="K8" s="129"/>
      <c r="L8" s="129"/>
      <c r="M8" s="129"/>
      <c r="N8" s="129"/>
      <c r="O8" s="129"/>
      <c r="P8" s="129"/>
      <c r="Q8" s="129"/>
      <c r="R8" s="129"/>
      <c r="S8" s="129"/>
      <c r="T8" s="129"/>
      <c r="U8"/>
    </row>
    <row r="9" spans="3:91" s="40" customFormat="1" ht="39.75" customHeight="1" x14ac:dyDescent="0.25">
      <c r="C9" s="42" t="s">
        <v>93</v>
      </c>
      <c r="D9" s="130" t="s">
        <v>106</v>
      </c>
      <c r="E9" s="131"/>
      <c r="F9" s="131"/>
      <c r="G9" s="131"/>
      <c r="H9" s="131"/>
      <c r="I9" s="131"/>
      <c r="J9" s="131"/>
      <c r="K9" s="131"/>
      <c r="L9" s="131"/>
      <c r="M9" s="131"/>
      <c r="N9" s="131"/>
      <c r="O9" s="131"/>
      <c r="P9" s="131"/>
      <c r="Q9" s="131"/>
      <c r="R9" s="131"/>
      <c r="S9" s="131"/>
      <c r="T9" s="132"/>
    </row>
    <row r="10" spans="3:91" s="40" customFormat="1" ht="65.25" customHeight="1" x14ac:dyDescent="0.25">
      <c r="C10" s="42" t="s">
        <v>94</v>
      </c>
      <c r="D10" s="127" t="s">
        <v>107</v>
      </c>
      <c r="E10" s="127"/>
      <c r="F10" s="127"/>
      <c r="G10" s="127"/>
      <c r="H10" s="127"/>
      <c r="I10" s="127"/>
      <c r="J10" s="127"/>
      <c r="K10" s="127"/>
      <c r="L10" s="127"/>
      <c r="M10" s="127"/>
      <c r="N10" s="127"/>
      <c r="O10" s="127"/>
      <c r="P10" s="127"/>
      <c r="Q10" s="127"/>
      <c r="R10" s="127"/>
      <c r="S10" s="127"/>
      <c r="T10" s="127"/>
      <c r="U10"/>
    </row>
    <row r="11" spans="3:91" s="40" customFormat="1" ht="63.75" customHeight="1" x14ac:dyDescent="0.25">
      <c r="C11" s="42" t="s">
        <v>95</v>
      </c>
      <c r="D11" s="139" t="s">
        <v>108</v>
      </c>
      <c r="E11" s="140"/>
      <c r="F11" s="140"/>
      <c r="G11" s="140"/>
      <c r="H11" s="140"/>
      <c r="I11" s="140"/>
      <c r="J11" s="140"/>
      <c r="K11" s="140"/>
      <c r="L11" s="140"/>
      <c r="M11" s="140"/>
      <c r="N11" s="140"/>
      <c r="O11" s="140"/>
      <c r="P11" s="140"/>
      <c r="Q11" s="140"/>
      <c r="R11" s="140"/>
      <c r="S11" s="140"/>
      <c r="T11" s="141"/>
      <c r="U11"/>
    </row>
    <row r="12" spans="3:91" s="40" customFormat="1" ht="58.5" customHeight="1" x14ac:dyDescent="0.25">
      <c r="C12" s="45" t="s">
        <v>96</v>
      </c>
      <c r="D12" s="142" t="s">
        <v>110</v>
      </c>
      <c r="E12" s="142"/>
      <c r="F12" s="142"/>
      <c r="G12" s="142"/>
      <c r="H12" s="142"/>
      <c r="I12" s="142"/>
      <c r="J12" s="142"/>
      <c r="K12" s="142"/>
      <c r="L12" s="142"/>
      <c r="M12" s="142"/>
      <c r="N12" s="142"/>
      <c r="O12" s="142"/>
      <c r="P12" s="142"/>
      <c r="Q12" s="142"/>
      <c r="R12" s="142"/>
      <c r="S12" s="142"/>
      <c r="T12" s="142"/>
    </row>
    <row r="13" spans="3:91" s="40" customFormat="1" ht="24.75" customHeight="1" x14ac:dyDescent="0.25">
      <c r="C13" s="45" t="s">
        <v>97</v>
      </c>
      <c r="D13" s="142" t="s">
        <v>109</v>
      </c>
      <c r="E13" s="142"/>
      <c r="F13" s="142"/>
      <c r="G13" s="142"/>
      <c r="H13" s="142"/>
      <c r="I13" s="142"/>
      <c r="J13" s="142"/>
      <c r="K13" s="142"/>
      <c r="L13" s="142"/>
      <c r="M13" s="142"/>
      <c r="N13" s="142"/>
      <c r="O13" s="142"/>
      <c r="P13" s="142"/>
      <c r="Q13" s="142"/>
      <c r="R13" s="142"/>
      <c r="S13" s="142"/>
      <c r="T13" s="142"/>
    </row>
    <row r="14" spans="3:91" s="40" customFormat="1" ht="30" x14ac:dyDescent="0.25">
      <c r="C14" s="46" t="s">
        <v>98</v>
      </c>
      <c r="D14" s="142"/>
      <c r="E14" s="142"/>
      <c r="F14" s="142"/>
      <c r="G14" s="142"/>
      <c r="H14" s="142"/>
      <c r="I14" s="142"/>
      <c r="J14" s="142"/>
      <c r="K14" s="142"/>
      <c r="L14" s="142"/>
      <c r="M14" s="142"/>
      <c r="N14" s="142"/>
      <c r="O14" s="142"/>
      <c r="P14" s="142"/>
      <c r="Q14" s="142"/>
      <c r="R14" s="142"/>
      <c r="S14" s="142"/>
      <c r="T14" s="142"/>
    </row>
    <row r="16" spans="3:91" s="33" customFormat="1" ht="54" customHeight="1" x14ac:dyDescent="0.25">
      <c r="G16" s="38"/>
      <c r="J16" s="39"/>
      <c r="P16" s="138" t="str">
        <f>Sheet1!J1</f>
        <v>Conductor</v>
      </c>
      <c r="Q16" s="138"/>
      <c r="R16" s="138"/>
      <c r="S16" s="138"/>
      <c r="T16" s="138"/>
      <c r="U16" s="138" t="s">
        <v>6</v>
      </c>
      <c r="V16" s="138"/>
      <c r="W16" s="138" t="s">
        <v>3</v>
      </c>
      <c r="X16" s="138"/>
      <c r="Y16" s="138"/>
      <c r="Z16" s="138"/>
      <c r="AA16" s="138"/>
      <c r="AB16" s="138"/>
      <c r="AC16" s="138"/>
      <c r="AD16" s="138"/>
      <c r="AE16" s="138" t="s">
        <v>7</v>
      </c>
      <c r="AF16" s="138"/>
      <c r="AG16" s="138" t="s">
        <v>8</v>
      </c>
      <c r="AH16" s="138"/>
      <c r="AI16" s="138"/>
      <c r="AJ16" s="138"/>
      <c r="AK16" s="138"/>
      <c r="AL16" s="138"/>
      <c r="AM16" s="10" t="s">
        <v>9</v>
      </c>
      <c r="AN16" s="136" t="s">
        <v>10</v>
      </c>
      <c r="AO16" s="137"/>
      <c r="AP16" s="137"/>
      <c r="AQ16" s="137"/>
      <c r="AR16" s="137"/>
      <c r="AS16" s="137"/>
      <c r="AT16" s="137"/>
      <c r="AU16" s="138" t="s">
        <v>11</v>
      </c>
      <c r="AV16" s="138"/>
      <c r="AW16" s="138"/>
      <c r="AX16" s="138"/>
      <c r="AY16" s="138"/>
      <c r="AZ16" s="138"/>
      <c r="BA16" s="138"/>
      <c r="BB16" s="138"/>
      <c r="BC16" s="138"/>
      <c r="BD16" s="138"/>
      <c r="BE16" s="138" t="s">
        <v>336</v>
      </c>
      <c r="BF16" s="138"/>
      <c r="BG16" s="138"/>
      <c r="BH16" s="138"/>
      <c r="BI16" s="138"/>
      <c r="BJ16" s="138"/>
      <c r="BK16" s="138"/>
      <c r="BL16" s="138"/>
      <c r="BM16" s="138"/>
      <c r="BN16" s="138"/>
      <c r="BO16" s="34" t="s">
        <v>13</v>
      </c>
      <c r="BP16" s="10" t="s">
        <v>14</v>
      </c>
      <c r="BQ16" s="10" t="s">
        <v>15</v>
      </c>
      <c r="BR16" s="10" t="s">
        <v>16</v>
      </c>
      <c r="BS16" s="10" t="s">
        <v>17</v>
      </c>
      <c r="BT16" s="10" t="s">
        <v>18</v>
      </c>
      <c r="BU16" s="10" t="s">
        <v>19</v>
      </c>
      <c r="BV16" s="10" t="s">
        <v>20</v>
      </c>
      <c r="BW16" s="10" t="s">
        <v>21</v>
      </c>
      <c r="BX16" s="10"/>
      <c r="BY16" s="10"/>
      <c r="BZ16" s="10"/>
      <c r="CA16" s="10"/>
      <c r="CB16" s="35" t="s">
        <v>22</v>
      </c>
      <c r="CC16" s="35" t="s">
        <v>23</v>
      </c>
      <c r="CD16" s="36" t="s">
        <v>43</v>
      </c>
      <c r="CE16" s="35" t="s">
        <v>87</v>
      </c>
      <c r="CF16" s="37"/>
      <c r="CG16" s="38"/>
      <c r="CH16" s="39"/>
      <c r="CI16" s="38"/>
      <c r="CJ16" s="38"/>
      <c r="CK16" s="39"/>
      <c r="CM16" s="39"/>
    </row>
    <row r="17" spans="2:92" s="15" customFormat="1" ht="89.25" x14ac:dyDescent="0.25">
      <c r="C17" s="18" t="s">
        <v>0</v>
      </c>
      <c r="D17" s="18" t="str">
        <f>Sheet1!B1</f>
        <v>Base Date</v>
      </c>
      <c r="E17" s="18" t="s">
        <v>1</v>
      </c>
      <c r="F17" s="18" t="s">
        <v>2</v>
      </c>
      <c r="G17" s="5" t="s">
        <v>34</v>
      </c>
      <c r="H17" s="13" t="s">
        <v>35</v>
      </c>
      <c r="I17" s="13" t="s">
        <v>36</v>
      </c>
      <c r="J17" s="6" t="s">
        <v>37</v>
      </c>
      <c r="K17" s="13" t="s">
        <v>38</v>
      </c>
      <c r="L17" s="13" t="s">
        <v>39</v>
      </c>
      <c r="M17" s="13" t="s">
        <v>40</v>
      </c>
      <c r="N17" s="13" t="s">
        <v>41</v>
      </c>
      <c r="O17" s="13" t="s">
        <v>42</v>
      </c>
      <c r="P17" s="19" t="s">
        <v>44</v>
      </c>
      <c r="Q17" s="19" t="s">
        <v>49</v>
      </c>
      <c r="R17" s="19" t="s">
        <v>46</v>
      </c>
      <c r="S17" s="19" t="s">
        <v>47</v>
      </c>
      <c r="T17" s="19" t="s">
        <v>48</v>
      </c>
      <c r="U17" s="19" t="s">
        <v>44</v>
      </c>
      <c r="V17" s="19" t="s">
        <v>49</v>
      </c>
      <c r="W17" s="20" t="s">
        <v>56</v>
      </c>
      <c r="X17" s="20" t="s">
        <v>60</v>
      </c>
      <c r="Y17" s="20" t="s">
        <v>63</v>
      </c>
      <c r="Z17" s="20" t="s">
        <v>68</v>
      </c>
      <c r="AA17" s="20" t="s">
        <v>72</v>
      </c>
      <c r="AB17" s="20" t="s">
        <v>76</v>
      </c>
      <c r="AC17" s="20" t="s">
        <v>79</v>
      </c>
      <c r="AD17" s="20" t="s">
        <v>81</v>
      </c>
      <c r="AE17" s="20" t="s">
        <v>55</v>
      </c>
      <c r="AF17" s="20" t="s">
        <v>59</v>
      </c>
      <c r="AG17" s="20" t="s">
        <v>54</v>
      </c>
      <c r="AH17" s="20" t="s">
        <v>50</v>
      </c>
      <c r="AI17" s="20" t="s">
        <v>62</v>
      </c>
      <c r="AJ17" s="20" t="s">
        <v>67</v>
      </c>
      <c r="AK17" s="20" t="s">
        <v>71</v>
      </c>
      <c r="AL17" s="20" t="s">
        <v>75</v>
      </c>
      <c r="AM17" s="16" t="s">
        <v>9</v>
      </c>
      <c r="AN17" s="20" t="s">
        <v>57</v>
      </c>
      <c r="AO17" s="20" t="s">
        <v>61</v>
      </c>
      <c r="AP17" s="20" t="s">
        <v>64</v>
      </c>
      <c r="AQ17" s="20" t="s">
        <v>69</v>
      </c>
      <c r="AR17" s="20" t="s">
        <v>73</v>
      </c>
      <c r="AS17" s="20" t="s">
        <v>51</v>
      </c>
      <c r="AT17" s="20" t="s">
        <v>80</v>
      </c>
      <c r="AU17" s="20" t="s">
        <v>58</v>
      </c>
      <c r="AV17" s="20" t="s">
        <v>45</v>
      </c>
      <c r="AW17" s="20" t="s">
        <v>65</v>
      </c>
      <c r="AX17" s="20" t="s">
        <v>70</v>
      </c>
      <c r="AY17" s="20" t="s">
        <v>77</v>
      </c>
      <c r="AZ17" s="20" t="s">
        <v>52</v>
      </c>
      <c r="BA17" s="20" t="s">
        <v>82</v>
      </c>
      <c r="BB17" s="20" t="s">
        <v>83</v>
      </c>
      <c r="BC17" s="20" t="s">
        <v>84</v>
      </c>
      <c r="BD17" s="20" t="s">
        <v>86</v>
      </c>
      <c r="BE17" s="20" t="s">
        <v>57</v>
      </c>
      <c r="BF17" s="20" t="s">
        <v>61</v>
      </c>
      <c r="BG17" s="20" t="s">
        <v>66</v>
      </c>
      <c r="BH17" s="20" t="s">
        <v>64</v>
      </c>
      <c r="BI17" s="20" t="s">
        <v>74</v>
      </c>
      <c r="BJ17" s="20" t="s">
        <v>78</v>
      </c>
      <c r="BK17" s="20" t="s">
        <v>69</v>
      </c>
      <c r="BL17" s="20" t="s">
        <v>51</v>
      </c>
      <c r="BM17" s="20" t="s">
        <v>80</v>
      </c>
      <c r="BN17" s="20" t="s">
        <v>85</v>
      </c>
      <c r="BO17" s="16" t="s">
        <v>13</v>
      </c>
      <c r="BP17" s="16" t="s">
        <v>53</v>
      </c>
      <c r="BQ17" s="124" t="s">
        <v>334</v>
      </c>
      <c r="BR17" s="21" t="s">
        <v>16</v>
      </c>
      <c r="BS17" s="17" t="s">
        <v>17</v>
      </c>
      <c r="BT17" s="17" t="s">
        <v>18</v>
      </c>
      <c r="BU17" s="17" t="s">
        <v>19</v>
      </c>
      <c r="BV17" s="21" t="s">
        <v>20</v>
      </c>
      <c r="BW17" s="17" t="s">
        <v>21</v>
      </c>
      <c r="BX17" s="17" t="str">
        <f>Sheet1!E1</f>
        <v>Propose Drum Type</v>
      </c>
      <c r="BY17" s="49" t="str">
        <f>Sheet1!CV1</f>
        <v>DRUM CODE</v>
      </c>
      <c r="BZ17" s="49" t="str">
        <f>Sheet1!CW1</f>
        <v>DRUM SIZE (FxbXtx Ft)</v>
      </c>
      <c r="CA17" s="49" t="str">
        <f>Sheet1!CX1</f>
        <v>Party Standard Length(MTR)</v>
      </c>
      <c r="CB17" s="25"/>
      <c r="CC17" s="25"/>
      <c r="CD17" s="22" t="s">
        <v>335</v>
      </c>
      <c r="CE17" s="25"/>
      <c r="CF17" s="11" t="s">
        <v>25</v>
      </c>
      <c r="CG17" s="5" t="s">
        <v>26</v>
      </c>
      <c r="CH17" s="6" t="s">
        <v>27</v>
      </c>
      <c r="CI17" s="5" t="s">
        <v>28</v>
      </c>
      <c r="CJ17" s="5" t="s">
        <v>29</v>
      </c>
      <c r="CK17" s="6" t="s">
        <v>30</v>
      </c>
      <c r="CL17" s="13" t="s">
        <v>31</v>
      </c>
      <c r="CM17" s="6" t="s">
        <v>32</v>
      </c>
      <c r="CN17" s="13" t="s">
        <v>33</v>
      </c>
    </row>
    <row r="18" spans="2:92" s="25" customFormat="1" x14ac:dyDescent="0.25">
      <c r="C18" s="27"/>
      <c r="D18" s="27"/>
      <c r="E18" s="27"/>
      <c r="F18" s="27"/>
      <c r="G18" s="5"/>
      <c r="H18" s="5"/>
      <c r="I18" s="5"/>
      <c r="J18" s="5"/>
      <c r="K18" s="5"/>
      <c r="L18" s="5"/>
      <c r="M18" s="5"/>
      <c r="N18" s="5"/>
      <c r="O18" s="5"/>
      <c r="P18" s="28">
        <v>262</v>
      </c>
      <c r="Q18" s="28"/>
      <c r="R18" s="28">
        <v>826</v>
      </c>
      <c r="S18" s="28"/>
      <c r="T18" s="28"/>
      <c r="U18" s="28"/>
      <c r="V18" s="28"/>
      <c r="W18" s="29"/>
      <c r="X18" s="29"/>
      <c r="Y18" s="29"/>
      <c r="Z18" s="29"/>
      <c r="AA18" s="29"/>
      <c r="AB18" s="29"/>
      <c r="AC18" s="29"/>
      <c r="AD18" s="29"/>
      <c r="AE18" s="29"/>
      <c r="AF18" s="29"/>
      <c r="AG18" s="29"/>
      <c r="AH18" s="29">
        <v>114</v>
      </c>
      <c r="AI18" s="29"/>
      <c r="AJ18" s="29"/>
      <c r="AK18" s="29">
        <v>103</v>
      </c>
      <c r="AL18" s="29"/>
      <c r="AM18" s="30">
        <v>119</v>
      </c>
      <c r="AN18" s="29"/>
      <c r="AO18" s="29"/>
      <c r="AP18" s="29"/>
      <c r="AQ18" s="29"/>
      <c r="AR18" s="29"/>
      <c r="AS18" s="29">
        <v>69</v>
      </c>
      <c r="AT18" s="29">
        <v>88</v>
      </c>
      <c r="AU18" s="29"/>
      <c r="AV18" s="29"/>
      <c r="AW18" s="29"/>
      <c r="AX18" s="29"/>
      <c r="AY18" s="29"/>
      <c r="AZ18" s="29"/>
      <c r="BA18" s="29"/>
      <c r="BB18" s="29"/>
      <c r="BC18" s="29">
        <v>87</v>
      </c>
      <c r="BD18" s="29"/>
      <c r="BE18" s="29"/>
      <c r="BF18" s="29"/>
      <c r="BG18" s="29"/>
      <c r="BH18" s="29">
        <f>88+5</f>
        <v>93</v>
      </c>
      <c r="BI18" s="29"/>
      <c r="BJ18" s="29"/>
      <c r="BK18" s="29"/>
      <c r="BL18" s="29"/>
      <c r="BM18" s="29"/>
      <c r="BN18" s="29"/>
      <c r="BO18" s="30"/>
      <c r="BP18" s="30"/>
      <c r="BQ18" s="31">
        <v>340</v>
      </c>
      <c r="BR18" s="32"/>
      <c r="BS18" s="31"/>
      <c r="BT18" s="31"/>
      <c r="BU18" s="31"/>
      <c r="BV18" s="32">
        <v>375</v>
      </c>
      <c r="BW18" s="31">
        <f>+IFERROR(VLOOKUP($BW$17,Sheet1!BV2:BY840,2,0),0)</f>
        <v>0</v>
      </c>
      <c r="BX18" s="48"/>
      <c r="BY18" s="48"/>
      <c r="BZ18" s="48"/>
      <c r="CA18" s="48"/>
      <c r="CF18" s="5"/>
      <c r="CG18" s="5"/>
      <c r="CH18" s="5"/>
      <c r="CI18" s="5"/>
      <c r="CJ18" s="5"/>
      <c r="CK18" s="5"/>
      <c r="CL18" s="5"/>
      <c r="CM18" s="5"/>
      <c r="CN18" s="5"/>
    </row>
    <row r="19" spans="2:92" ht="30" x14ac:dyDescent="0.25">
      <c r="B19">
        <v>1</v>
      </c>
      <c r="C19" s="1" t="str">
        <f>Sheet1!A8</f>
        <v>ENQ-15115-22-23</v>
      </c>
      <c r="D19" s="47">
        <v>45658</v>
      </c>
      <c r="E19" s="1" t="str">
        <f>Sheet1!C8</f>
        <v>FA0600013</v>
      </c>
      <c r="F19" s="1" t="str">
        <f>Sheet1!D8</f>
        <v>1 CORE X 95 SQ. MM. AL/UNARD(XLPE )</v>
      </c>
      <c r="G19" s="3">
        <f>CJ19+CL19+CN19</f>
        <v>104733.7784</v>
      </c>
      <c r="H19" s="59">
        <f>ROUNDUP(O49,0)</f>
        <v>1321</v>
      </c>
      <c r="I19" s="9">
        <f>G19+H19</f>
        <v>106054.7784</v>
      </c>
      <c r="J19" s="7">
        <f>Sheet1!CP8</f>
        <v>0.18</v>
      </c>
      <c r="K19" s="9">
        <f t="shared" ref="K19:K45" si="0">I19*J19</f>
        <v>19089.860111999998</v>
      </c>
      <c r="L19" s="9">
        <f t="shared" ref="L19:L45" si="1">I19+K19</f>
        <v>125144.63851199999</v>
      </c>
      <c r="M19" s="1">
        <v>79.531999999999996</v>
      </c>
      <c r="N19" s="1" t="str">
        <f>Sheet1!CT8</f>
        <v>KMS</v>
      </c>
      <c r="O19" s="3">
        <f t="shared" ref="O19:O45" si="2">L19*M19</f>
        <v>9953003.3901363835</v>
      </c>
      <c r="P19" s="2">
        <f>+IFERROR(VLOOKUP($P$17,Sheet1!J8:L8,3,0),0)</f>
        <v>256</v>
      </c>
      <c r="Q19" s="2">
        <f>+IFERROR(VLOOKUP($Q$17,Sheet1!J8:L8,3,0),0)</f>
        <v>0</v>
      </c>
      <c r="R19" s="2">
        <f>+IFERROR(VLOOKUP($R$17,Sheet1!J8:M8,3,0),0)</f>
        <v>0</v>
      </c>
      <c r="S19" s="2">
        <f>+IFERROR(VLOOKUP($S$17,Sheet1!J8:M8,3,0),0)</f>
        <v>0</v>
      </c>
      <c r="T19" s="2">
        <f>+IFERROR(VLOOKUP($T$17,Sheet1!J8:M8,3,0),0)</f>
        <v>0</v>
      </c>
      <c r="U19" s="2">
        <f>+IFERROR(VLOOKUP($U$17,Sheet1!N8:Q8,3,0),0)</f>
        <v>0</v>
      </c>
      <c r="V19" s="2">
        <f>+IFERROR(VLOOKUP($V$17,Sheet1!N8:Q8,3,0),0)</f>
        <v>0</v>
      </c>
      <c r="W19" s="2">
        <f>+IFERROR(VLOOKUP($W$17,Sheet1!F8:I8,3,0),0)</f>
        <v>0</v>
      </c>
      <c r="X19" s="2">
        <f>+IFERROR(VLOOKUP($X$17,Sheet1!F8:I8,3,0),0)</f>
        <v>0</v>
      </c>
      <c r="Y19" s="2">
        <f>+IFERROR(VLOOKUP($Y$17,Sheet1!F8:I8,3,0),0)</f>
        <v>0</v>
      </c>
      <c r="Z19" s="2">
        <f>+IFERROR(VLOOKUP($Z$17,Sheet1!F8:I8,3,0),0)</f>
        <v>0</v>
      </c>
      <c r="AA19" s="2">
        <f>+IFERROR(VLOOKUP($AA$17,Sheet1!F8:I8,3,0),0)</f>
        <v>0</v>
      </c>
      <c r="AB19" s="2">
        <f>+IFERROR(VLOOKUP($AB$17,Sheet1!F8:I8,3,0),0)</f>
        <v>0</v>
      </c>
      <c r="AC19" s="2">
        <f>+IFERROR(VLOOKUP($AC$17,Sheet1!F8:I8,3,0),0)</f>
        <v>0</v>
      </c>
      <c r="AD19" s="2">
        <f>+IFERROR(VLOOKUP($AD$17,Sheet1!F8:I8,3,0),0)</f>
        <v>0</v>
      </c>
      <c r="AE19" s="2">
        <f>+IFERROR(VLOOKUP($AE$17,Sheet1!R8:U8,3,0),0)</f>
        <v>0</v>
      </c>
      <c r="AF19" s="13">
        <f>+IFERROR(VLOOKUP($AF$17,Sheet1!R8:U8,2,0),0)</f>
        <v>0</v>
      </c>
      <c r="AG19" s="2">
        <f>+IFERROR(VLOOKUP($AG$17,Sheet1!V8:Y8,3,0),0)</f>
        <v>0</v>
      </c>
      <c r="AH19" s="123">
        <v>44</v>
      </c>
      <c r="AI19" s="13">
        <f>+IFERROR(VLOOKUP($AI$17,Sheet1!V8:Y8,3,0),0)</f>
        <v>0</v>
      </c>
      <c r="AJ19" s="13">
        <f>+IFERROR(VLOOKUP($AJ$17,Sheet1!V8:Y8,3,0),0)</f>
        <v>0</v>
      </c>
      <c r="AK19" s="13">
        <f>+IFERROR(VLOOKUP($AK$17,Sheet1!V8:Y8,3,0),0)</f>
        <v>0</v>
      </c>
      <c r="AL19" s="13">
        <f>+IFERROR(VLOOKUP($AL$17,Sheet1!V8:Y8,3,0),0)</f>
        <v>0</v>
      </c>
      <c r="AM19" s="13">
        <f>+IFERROR(VLOOKUP($AM$17,Sheet1!Z8:AB8,3,0),0)</f>
        <v>0</v>
      </c>
      <c r="AN19" s="13">
        <f>+IFERROR(VLOOKUP($AN$17,Sheet1!AD8:AG8,3,0),0)</f>
        <v>0</v>
      </c>
      <c r="AO19" s="13">
        <f>+IFERROR(VLOOKUP($AO$17,Sheet1!AD8:AG8,3,0),0)</f>
        <v>0</v>
      </c>
      <c r="AP19" s="13">
        <f>+IFERROR(VLOOKUP($AP$17,Sheet1!AD8:AG8,3,0),0)</f>
        <v>0</v>
      </c>
      <c r="AQ19" s="13">
        <f>+IFERROR(VLOOKUP($AQ$17,Sheet1!AD8:AG8,3,0),0)</f>
        <v>0</v>
      </c>
      <c r="AR19" s="13">
        <f>+IFERROR(VLOOKUP($AR$17,Sheet1!AD8:AG8,3,0),0)</f>
        <v>0</v>
      </c>
      <c r="AS19" s="13">
        <f>+IFERROR(VLOOKUP($AS$17,Sheet1!AD8:AG8,3,0),0)</f>
        <v>0</v>
      </c>
      <c r="AT19" s="13">
        <f>+IFERROR(VLOOKUP($AT$17,Sheet1!AD8:AG8,3,0),0)</f>
        <v>0</v>
      </c>
      <c r="AU19" s="13">
        <f>+IFERROR(VLOOKUP($AU$17,Sheet1!AH8:AK8,3,0),0)</f>
        <v>0</v>
      </c>
      <c r="AV19" s="13">
        <f>+IFERROR(VLOOKUP($AV$17,Sheet1!AH8:AK8,3,0),0)</f>
        <v>0</v>
      </c>
      <c r="AW19" s="13">
        <f>+IFERROR(VLOOKUP($AW$17,Sheet1!AH8:AK8,3,0),0)</f>
        <v>0</v>
      </c>
      <c r="AX19" s="13">
        <f>+IFERROR(VLOOKUP($AX$17,Sheet1!AH8:AK8,3,0),0)</f>
        <v>0</v>
      </c>
      <c r="AY19" s="13">
        <f>+IFERROR(VLOOKUP($AY$17,Sheet1!AH8:AK8,3,0),0)</f>
        <v>0</v>
      </c>
      <c r="AZ19" s="13">
        <f>+IFERROR(VLOOKUP($AZ$17,Sheet1!AH8:AK8,3,0),0)</f>
        <v>0</v>
      </c>
      <c r="BA19" s="13">
        <f>+IFERROR(VLOOKUP($BA$17,Sheet1!AH8:AK8,3,0),0)</f>
        <v>0</v>
      </c>
      <c r="BB19" s="13">
        <f>+IFERROR(VLOOKUP($BB$17,Sheet1!AH8:AK8,3,0),0)</f>
        <v>0</v>
      </c>
      <c r="BC19" s="13">
        <f>+IFERROR(VLOOKUP($BC$17,Sheet1!AH8:AK8,3,0),0)</f>
        <v>0</v>
      </c>
      <c r="BD19" s="13">
        <f>+IFERROR(VLOOKUP($BD$17,Sheet1!AH8:AK8,3,0),0)</f>
        <v>0</v>
      </c>
      <c r="BE19" s="13">
        <f>+IFERROR(VLOOKUP($BE$17,Sheet1!AL8:AO8,3,0),0)</f>
        <v>0</v>
      </c>
      <c r="BF19" s="13">
        <f>+IFERROR(VLOOKUP($BF$17,Sheet1!AL8:AO8,3,0),0)</f>
        <v>0</v>
      </c>
      <c r="BG19" s="13">
        <f>+IFERROR(VLOOKUP($BG$17,Sheet1!AL8:AO8,3,0),0)</f>
        <v>0</v>
      </c>
      <c r="BH19" s="123">
        <v>140</v>
      </c>
      <c r="BI19" s="13">
        <f>+IFERROR(VLOOKUP($BI$17,Sheet1!AL8:AO8,3,0),0)</f>
        <v>0</v>
      </c>
      <c r="BJ19" s="13">
        <f>+IFERROR(VLOOKUP($BJ$17,Sheet1!AL8:AO8,3,0),0)</f>
        <v>0</v>
      </c>
      <c r="BK19" s="13">
        <f>+IFERROR(VLOOKUP($BK$17,Sheet1!AL8:AO8,3,0),0)</f>
        <v>0</v>
      </c>
      <c r="BL19" s="13">
        <f>+IFERROR(VLOOKUP($BL$17,Sheet1!AL8:AO8,3,0),0)</f>
        <v>0</v>
      </c>
      <c r="BM19" s="13">
        <f>+IFERROR(VLOOKUP($BM$17,Sheet1!AL8:AO8,3,0),0)</f>
        <v>0</v>
      </c>
      <c r="BN19" s="13">
        <f>+IFERROR(VLOOKUP($BN$17,Sheet1!AL8:AO8,3,0),0)</f>
        <v>0</v>
      </c>
      <c r="BO19" s="13">
        <f>+IFERROR(VLOOKUP($BO$17,Sheet1!AP8:AS8,3,0),0)</f>
        <v>0</v>
      </c>
      <c r="BP19" s="13">
        <f>+IFERROR(VLOOKUP($BP$17,Sheet1!AT8:AW8,3,0),0)</f>
        <v>0</v>
      </c>
      <c r="BQ19" s="13">
        <f>+IFERROR(VLOOKUP($BQ$17,Sheet1!AX8:BA8,3,0),0)</f>
        <v>0</v>
      </c>
      <c r="BR19" s="13">
        <f>+IFERROR(VLOOKUP($BR$17,Sheet1!BB8:BE8,3,0),0)</f>
        <v>0</v>
      </c>
      <c r="BS19" s="13">
        <f>+IFERROR(VLOOKUP($BS$17,Sheet1!BF8:BI8,3,0),0)</f>
        <v>0</v>
      </c>
      <c r="BT19" s="13">
        <f>+IFERROR(VLOOKUP($BT$17,Sheet1!BJ8:BM8,3,0),0)</f>
        <v>0</v>
      </c>
      <c r="BU19" s="13">
        <f>+IFERROR(VLOOKUP($BU$17,Sheet1!BN8:BQ8,3,0),0)</f>
        <v>0</v>
      </c>
      <c r="BV19" s="13">
        <f>+IFERROR(VLOOKUP($BV$17,Sheet1!BR8:BU8,3,0),0)</f>
        <v>0</v>
      </c>
      <c r="BW19" s="13">
        <f>+IFERROR(VLOOKUP($BW$17,Sheet1!BV8:BY8,3,0),0)</f>
        <v>0</v>
      </c>
      <c r="BX19" s="13" t="str">
        <f>Sheet1!E8</f>
        <v>WOOD</v>
      </c>
      <c r="BY19" s="13" t="str">
        <f>Sheet1!CV8</f>
        <v>MD0100066</v>
      </c>
      <c r="BZ19" s="13" t="str">
        <f>Sheet1!CW8</f>
        <v>DRUM - 40 X 15 X 23 X 2</v>
      </c>
      <c r="CA19" s="13">
        <f>Sheet1!CX8</f>
        <v>1000</v>
      </c>
      <c r="CB19" s="3">
        <f>Sheet1!BZ8</f>
        <v>2550</v>
      </c>
      <c r="CC19" s="3">
        <f>SUMPRODUCT($P$18:$BW$18,P19:BW19)+CB19</f>
        <v>87658</v>
      </c>
      <c r="CD19" s="23">
        <v>0.01</v>
      </c>
      <c r="CE19" s="3">
        <f>CC19*CD19</f>
        <v>876.58</v>
      </c>
      <c r="CF19" s="44">
        <v>0.15</v>
      </c>
      <c r="CG19" s="3">
        <f>CC19*CF19</f>
        <v>13148.699999999999</v>
      </c>
      <c r="CH19" s="44">
        <v>0</v>
      </c>
      <c r="CI19" s="3">
        <f t="shared" ref="CI19:CI45" si="3">CC19*CH19</f>
        <v>0</v>
      </c>
      <c r="CJ19" s="3">
        <f>CC19+CE19+CG19+CI19</f>
        <v>101683.28</v>
      </c>
      <c r="CK19" s="44">
        <v>0.02</v>
      </c>
      <c r="CL19" s="59">
        <f>CJ19*CK19</f>
        <v>2033.6656</v>
      </c>
      <c r="CM19" s="44">
        <v>0.01</v>
      </c>
      <c r="CN19" s="59">
        <f>CJ19*CM19</f>
        <v>1016.8328</v>
      </c>
    </row>
    <row r="20" spans="2:92" ht="30" x14ac:dyDescent="0.25">
      <c r="B20">
        <v>2</v>
      </c>
      <c r="C20" s="1" t="str">
        <f>Sheet1!A9</f>
        <v>ENQ-15115-22-23</v>
      </c>
      <c r="D20" s="47">
        <v>45658</v>
      </c>
      <c r="E20" s="1" t="str">
        <f>Sheet1!C9</f>
        <v>FA0600019</v>
      </c>
      <c r="F20" s="1" t="str">
        <f>Sheet1!D9</f>
        <v>1 CORE X 150 SQ. MM. AL/UNARD. (XLPE)</v>
      </c>
      <c r="G20" s="3">
        <f>CJ20+CL20+CN20</f>
        <v>168250.54120000001</v>
      </c>
      <c r="H20" s="59">
        <f>ROUNDUP(O50,0)</f>
        <v>1833</v>
      </c>
      <c r="I20" s="9">
        <f>G20+H20</f>
        <v>170083.54120000001</v>
      </c>
      <c r="J20" s="7">
        <f>Sheet1!CP9</f>
        <v>0.18</v>
      </c>
      <c r="K20" s="9">
        <f t="shared" si="0"/>
        <v>30615.037415999999</v>
      </c>
      <c r="L20" s="9">
        <f t="shared" si="1"/>
        <v>200698.57861600001</v>
      </c>
      <c r="M20" s="1">
        <f>Sheet1!CS9</f>
        <v>57.308</v>
      </c>
      <c r="N20" s="1" t="str">
        <f>Sheet1!CT9</f>
        <v>KMS</v>
      </c>
      <c r="O20" s="3">
        <f t="shared" si="2"/>
        <v>11501634.143325729</v>
      </c>
      <c r="P20" s="122">
        <f>+IFERROR(VLOOKUP($P$17,Sheet1!J9:L9,3,0),0)</f>
        <v>405</v>
      </c>
      <c r="Q20" s="2">
        <f>+IFERROR(VLOOKUP($Q$17,Sheet1!J9:L9,3,0),0)</f>
        <v>0</v>
      </c>
      <c r="R20" s="2">
        <f>+IFERROR(VLOOKUP($R$17,Sheet1!J9:M9,3,0),0)</f>
        <v>0</v>
      </c>
      <c r="S20" s="2">
        <f>+IFERROR(VLOOKUP($S$17,Sheet1!J9:M9,3,0),0)</f>
        <v>0</v>
      </c>
      <c r="T20" s="2">
        <f>+IFERROR(VLOOKUP($T$17,Sheet1!J9:M9,3,0),0)</f>
        <v>0</v>
      </c>
      <c r="U20" s="2">
        <f>+IFERROR(VLOOKUP($U$17,Sheet1!N9:Q9,3,0),0)</f>
        <v>0</v>
      </c>
      <c r="V20" s="2">
        <f>+IFERROR(VLOOKUP($V$17,Sheet1!N9:Q9,3,0),0)</f>
        <v>0</v>
      </c>
      <c r="W20" s="2">
        <f>+IFERROR(VLOOKUP($W$17,Sheet1!F9:I9,3,0),0)</f>
        <v>0</v>
      </c>
      <c r="X20" s="2">
        <f>+IFERROR(VLOOKUP($X$17,Sheet1!F9:I9,3,0),0)</f>
        <v>0</v>
      </c>
      <c r="Y20" s="2">
        <f>+IFERROR(VLOOKUP($Y$17,Sheet1!F9:I9,3,0),0)</f>
        <v>0</v>
      </c>
      <c r="Z20" s="2">
        <f>+IFERROR(VLOOKUP($Z$17,Sheet1!F9:I9,3,0),0)</f>
        <v>0</v>
      </c>
      <c r="AA20" s="2">
        <f>+IFERROR(VLOOKUP($AA$17,Sheet1!F9:I9,3,0),0)</f>
        <v>0</v>
      </c>
      <c r="AB20" s="2">
        <f>+IFERROR(VLOOKUP($AB$17,Sheet1!F9:I9,3,0),0)</f>
        <v>0</v>
      </c>
      <c r="AC20" s="2">
        <f>+IFERROR(VLOOKUP($AC$17,Sheet1!F9:I9,3,0),0)</f>
        <v>0</v>
      </c>
      <c r="AD20" s="2">
        <f>+IFERROR(VLOOKUP($AD$17,Sheet1!F9:I9,3,0),0)</f>
        <v>0</v>
      </c>
      <c r="AE20" s="2">
        <f>+IFERROR(VLOOKUP($AE$17,Sheet1!R9:U9,3,0),0)</f>
        <v>0</v>
      </c>
      <c r="AF20" s="13">
        <f>+IFERROR(VLOOKUP($AF$17,Sheet1!R9:U9,2,0),0)</f>
        <v>0</v>
      </c>
      <c r="AG20" s="2">
        <f>+IFERROR(VLOOKUP($AG$17,Sheet1!V9:Y9,3,0),0)</f>
        <v>0</v>
      </c>
      <c r="AH20" s="123">
        <f>+IFERROR(VLOOKUP($AH$17,Sheet1!V9:Y9,3,0),0)</f>
        <v>72</v>
      </c>
      <c r="AI20" s="13">
        <f>+IFERROR(VLOOKUP($AI$17,Sheet1!V9:Y9,3,0),0)</f>
        <v>0</v>
      </c>
      <c r="AJ20" s="13">
        <f>+IFERROR(VLOOKUP($AJ$17,Sheet1!V9:Y9,3,0),0)</f>
        <v>0</v>
      </c>
      <c r="AK20" s="13">
        <f>+IFERROR(VLOOKUP($AK$17,Sheet1!V9:Y9,3,0),0)</f>
        <v>0</v>
      </c>
      <c r="AL20" s="13">
        <f>+IFERROR(VLOOKUP($AL$17,Sheet1!V9:Y9,3,0),0)</f>
        <v>0</v>
      </c>
      <c r="AM20" s="13">
        <f>+IFERROR(VLOOKUP($AM$17,Sheet1!Z9:AB9,3,0),0)</f>
        <v>0</v>
      </c>
      <c r="AN20" s="13">
        <f>+IFERROR(VLOOKUP($AN$17,Sheet1!AD9:AG9,3,0),0)</f>
        <v>0</v>
      </c>
      <c r="AO20" s="13">
        <f>+IFERROR(VLOOKUP($AO$17,Sheet1!AD9:AG9,3,0),0)</f>
        <v>0</v>
      </c>
      <c r="AP20" s="13">
        <f>+IFERROR(VLOOKUP($AP$17,Sheet1!AD9:AG9,3,0),0)</f>
        <v>0</v>
      </c>
      <c r="AQ20" s="13">
        <f>+IFERROR(VLOOKUP($AQ$17,Sheet1!AD9:AG9,3,0),0)</f>
        <v>0</v>
      </c>
      <c r="AR20" s="13">
        <f>+IFERROR(VLOOKUP($AR$17,Sheet1!AD9:AG9,3,0),0)</f>
        <v>0</v>
      </c>
      <c r="AS20" s="13">
        <f>+IFERROR(VLOOKUP($AS$17,Sheet1!AD9:AG9,3,0),0)</f>
        <v>0</v>
      </c>
      <c r="AT20" s="13">
        <f>+IFERROR(VLOOKUP($AT$17,Sheet1!AD9:AG9,3,0),0)</f>
        <v>0</v>
      </c>
      <c r="AU20" s="13">
        <f>+IFERROR(VLOOKUP($AU$17,Sheet1!AH9:AK9,3,0),0)</f>
        <v>0</v>
      </c>
      <c r="AV20" s="13">
        <f>+IFERROR(VLOOKUP($AV$17,Sheet1!AH9:AK9,3,0),0)</f>
        <v>0</v>
      </c>
      <c r="AW20" s="13">
        <f>+IFERROR(VLOOKUP($AW$17,Sheet1!AH9:AK9,3,0),0)</f>
        <v>0</v>
      </c>
      <c r="AX20" s="13">
        <f>+IFERROR(VLOOKUP($AX$17,Sheet1!AH9:AK9,3,0),0)</f>
        <v>0</v>
      </c>
      <c r="AY20" s="13">
        <f>+IFERROR(VLOOKUP($AY$17,Sheet1!AH9:AK9,3,0),0)</f>
        <v>0</v>
      </c>
      <c r="AZ20" s="13">
        <f>+IFERROR(VLOOKUP($AZ$17,Sheet1!AH9:AK9,3,0),0)</f>
        <v>0</v>
      </c>
      <c r="BA20" s="13">
        <f>+IFERROR(VLOOKUP($BA$17,Sheet1!AH9:AK9,3,0),0)</f>
        <v>0</v>
      </c>
      <c r="BB20" s="13">
        <f>+IFERROR(VLOOKUP($BB$17,Sheet1!AH9:AK9,3,0),0)</f>
        <v>0</v>
      </c>
      <c r="BC20" s="13">
        <f>+IFERROR(VLOOKUP($BC$17,Sheet1!AH9:AK9,3,0),0)</f>
        <v>0</v>
      </c>
      <c r="BD20" s="13">
        <f>+IFERROR(VLOOKUP($BD$17,Sheet1!AH9:AK9,3,0),0)</f>
        <v>0</v>
      </c>
      <c r="BE20" s="13">
        <f>+IFERROR(VLOOKUP($BE$17,Sheet1!AL9:AO9,3,0),0)</f>
        <v>0</v>
      </c>
      <c r="BF20" s="13">
        <f>+IFERROR(VLOOKUP($BF$17,Sheet1!AL9:AO9,3,0),0)</f>
        <v>0</v>
      </c>
      <c r="BG20" s="13">
        <f>+IFERROR(VLOOKUP($BG$17,Sheet1!AL9:AO9,3,0),0)</f>
        <v>0</v>
      </c>
      <c r="BH20" s="123">
        <v>195</v>
      </c>
      <c r="BI20" s="13">
        <f>+IFERROR(VLOOKUP($BI$17,Sheet1!AL9:AO9,3,0),0)</f>
        <v>0</v>
      </c>
      <c r="BJ20" s="13">
        <f>+IFERROR(VLOOKUP($BJ$17,Sheet1!AL9:AO9,3,0),0)</f>
        <v>0</v>
      </c>
      <c r="BK20" s="13">
        <f>+IFERROR(VLOOKUP($BK$17,Sheet1!AL9:AO9,3,0),0)</f>
        <v>0</v>
      </c>
      <c r="BL20" s="13">
        <f>+IFERROR(VLOOKUP($BL$17,Sheet1!AL9:AO9,3,0),0)</f>
        <v>0</v>
      </c>
      <c r="BM20" s="13">
        <f>+IFERROR(VLOOKUP($BM$17,Sheet1!AL9:AO9,3,0),0)</f>
        <v>0</v>
      </c>
      <c r="BN20" s="13">
        <f>+IFERROR(VLOOKUP($BN$17,Sheet1!AL9:AO9,3,0),0)</f>
        <v>0</v>
      </c>
      <c r="BO20" s="13">
        <f>+IFERROR(VLOOKUP($BO$17,Sheet1!AP9:AS9,3,0),0)</f>
        <v>0</v>
      </c>
      <c r="BP20" s="13">
        <f>+IFERROR(VLOOKUP($BP$17,Sheet1!AT9:AW9,3,0),0)</f>
        <v>0</v>
      </c>
      <c r="BQ20" s="123">
        <v>14</v>
      </c>
      <c r="BR20" s="13">
        <f>+IFERROR(VLOOKUP($BR$17,Sheet1!BB9:BE9,3,0),0)</f>
        <v>0</v>
      </c>
      <c r="BS20" s="13">
        <f>+IFERROR(VLOOKUP($BS$17,Sheet1!BF9:BI9,3,0),0)</f>
        <v>0</v>
      </c>
      <c r="BT20" s="13">
        <f>+IFERROR(VLOOKUP($BT$17,Sheet1!BJ9:BM9,3,0),0)</f>
        <v>0</v>
      </c>
      <c r="BU20" s="13">
        <f>+IFERROR(VLOOKUP($BU$17,Sheet1!BN9:BQ9,3,0),0)</f>
        <v>0</v>
      </c>
      <c r="BV20" s="13">
        <f>+IFERROR(VLOOKUP($BV$17,Sheet1!BR9:BU9,3,0),0)</f>
        <v>0</v>
      </c>
      <c r="BW20" s="13">
        <f>+IFERROR(VLOOKUP($BW$17,Sheet1!BV9:BY9,3,0),0)</f>
        <v>0</v>
      </c>
      <c r="BX20" s="13" t="str">
        <f>Sheet1!E9</f>
        <v>WOOD</v>
      </c>
      <c r="BY20" s="13" t="str">
        <f>Sheet1!CV9</f>
        <v>MD0100085</v>
      </c>
      <c r="BZ20" s="13" t="str">
        <f>Sheet1!CW9</f>
        <v>DRUM - 43 X 15 X 28 X 2.25</v>
      </c>
      <c r="CA20" s="13">
        <f>Sheet1!CX9</f>
        <v>1000</v>
      </c>
      <c r="CB20" s="3">
        <f>Sheet1!BZ9</f>
        <v>3606</v>
      </c>
      <c r="CC20" s="3">
        <f>SUMPRODUCT($P$18:$BW$18,P20:BW20)+CB20</f>
        <v>140819</v>
      </c>
      <c r="CD20" s="23">
        <v>0.01</v>
      </c>
      <c r="CE20" s="3">
        <f>CC20*CD20</f>
        <v>1408.19</v>
      </c>
      <c r="CF20" s="44">
        <v>0.15</v>
      </c>
      <c r="CG20" s="3">
        <f>CC20*CF20</f>
        <v>21122.85</v>
      </c>
      <c r="CH20" s="44">
        <v>0</v>
      </c>
      <c r="CI20" s="3">
        <f t="shared" si="3"/>
        <v>0</v>
      </c>
      <c r="CJ20" s="3">
        <f>CC20+CE20+CG20+CI20</f>
        <v>163350.04</v>
      </c>
      <c r="CK20" s="44">
        <v>0.02</v>
      </c>
      <c r="CL20" s="59">
        <f>CJ20*CK20</f>
        <v>3267.0008000000003</v>
      </c>
      <c r="CM20" s="44">
        <v>0.01</v>
      </c>
      <c r="CN20" s="59">
        <f>CJ20*CM20</f>
        <v>1633.5004000000001</v>
      </c>
    </row>
    <row r="21" spans="2:92" ht="30" x14ac:dyDescent="0.25">
      <c r="B21">
        <v>3</v>
      </c>
      <c r="C21" s="1" t="str">
        <f>Sheet1!A11</f>
        <v>ENQ-15115-22-23</v>
      </c>
      <c r="D21" s="47">
        <v>45658</v>
      </c>
      <c r="E21" s="1" t="str">
        <f>Sheet1!C11</f>
        <v>FA0600021</v>
      </c>
      <c r="F21" s="1" t="str">
        <f>Sheet1!D11</f>
        <v>1 CORE X 185 SQ. MM. AL/UNARD. (XLPE)</v>
      </c>
      <c r="G21" s="3">
        <f>CJ21+CL21+CN21</f>
        <v>206352.7132</v>
      </c>
      <c r="H21" s="59">
        <f>ROUNDUP(O51,0)</f>
        <v>2938</v>
      </c>
      <c r="I21" s="9">
        <f>G21+H21</f>
        <v>209290.7132</v>
      </c>
      <c r="J21" s="7">
        <f>Sheet1!CP11</f>
        <v>0.18</v>
      </c>
      <c r="K21" s="9">
        <f t="shared" si="0"/>
        <v>37672.328375999998</v>
      </c>
      <c r="L21" s="9">
        <f t="shared" si="1"/>
        <v>246963.04157599999</v>
      </c>
      <c r="M21" s="1">
        <f>Sheet1!CS11</f>
        <v>35.75</v>
      </c>
      <c r="N21" s="1" t="str">
        <f>Sheet1!CT11</f>
        <v>KMS</v>
      </c>
      <c r="O21" s="3">
        <f t="shared" si="2"/>
        <v>8828928.7363419998</v>
      </c>
      <c r="P21" s="122">
        <f>+IFERROR(VLOOKUP($P$17,Sheet1!J11:L11,3,0),0)</f>
        <v>500</v>
      </c>
      <c r="Q21" s="2">
        <f>+IFERROR(VLOOKUP($Q$17,Sheet1!J11:L11,3,0),0)</f>
        <v>0</v>
      </c>
      <c r="R21" s="2">
        <f>+IFERROR(VLOOKUP($R$17,Sheet1!J11:M11,3,0),0)</f>
        <v>0</v>
      </c>
      <c r="S21" s="2">
        <f>+IFERROR(VLOOKUP($S$17,Sheet1!J11:M11,3,0),0)</f>
        <v>0</v>
      </c>
      <c r="T21" s="2">
        <f>+IFERROR(VLOOKUP($T$17,Sheet1!J11:M11,3,0),0)</f>
        <v>0</v>
      </c>
      <c r="U21" s="2">
        <f>+IFERROR(VLOOKUP($U$17,Sheet1!N11:Q11,3,0),0)</f>
        <v>0</v>
      </c>
      <c r="V21" s="2">
        <f>+IFERROR(VLOOKUP($V$17,Sheet1!N11:Q11,3,0),0)</f>
        <v>0</v>
      </c>
      <c r="W21" s="2">
        <f>+IFERROR(VLOOKUP($W$17,Sheet1!F11:I11,3,0),0)</f>
        <v>0</v>
      </c>
      <c r="X21" s="2">
        <f>+IFERROR(VLOOKUP($X$17,Sheet1!F11:I11,3,0),0)</f>
        <v>0</v>
      </c>
      <c r="Y21" s="2">
        <f>+IFERROR(VLOOKUP($Y$17,Sheet1!F11:I11,3,0),0)</f>
        <v>0</v>
      </c>
      <c r="Z21" s="2">
        <f>+IFERROR(VLOOKUP($Z$17,Sheet1!F11:I11,3,0),0)</f>
        <v>0</v>
      </c>
      <c r="AA21" s="2">
        <f>+IFERROR(VLOOKUP($AA$17,Sheet1!F11:I11,3,0),0)</f>
        <v>0</v>
      </c>
      <c r="AB21" s="2">
        <f>+IFERROR(VLOOKUP($AB$17,Sheet1!F11:I11,3,0),0)</f>
        <v>0</v>
      </c>
      <c r="AC21" s="2">
        <f>+IFERROR(VLOOKUP($AC$17,Sheet1!F11:I11,3,0),0)</f>
        <v>0</v>
      </c>
      <c r="AD21" s="2">
        <f>+IFERROR(VLOOKUP($AD$17,Sheet1!F11:I11,3,0),0)</f>
        <v>0</v>
      </c>
      <c r="AE21" s="2">
        <f>+IFERROR(VLOOKUP($AE$17,Sheet1!R11:U11,3,0),0)</f>
        <v>0</v>
      </c>
      <c r="AF21" s="13">
        <f>+IFERROR(VLOOKUP($AF$17,Sheet1!R11:U11,2,0),0)</f>
        <v>0</v>
      </c>
      <c r="AG21" s="2">
        <f>+IFERROR(VLOOKUP($AG$17,Sheet1!V11:Y11,3,0),0)</f>
        <v>0</v>
      </c>
      <c r="AH21" s="123">
        <f>+IFERROR(VLOOKUP($AH$17,Sheet1!V11:Y11,3,0),0)</f>
        <v>90</v>
      </c>
      <c r="AI21" s="13">
        <f>+IFERROR(VLOOKUP($AI$17,Sheet1!V11:Y11,3,0),0)</f>
        <v>0</v>
      </c>
      <c r="AJ21" s="13">
        <f>+IFERROR(VLOOKUP($AJ$17,Sheet1!V11:Y11,3,0),0)</f>
        <v>0</v>
      </c>
      <c r="AK21" s="13">
        <f>+IFERROR(VLOOKUP($AK$17,Sheet1!V11:Y11,3,0),0)</f>
        <v>0</v>
      </c>
      <c r="AL21" s="13">
        <f>+IFERROR(VLOOKUP($AL$17,Sheet1!V11:Y11,3,0),0)</f>
        <v>0</v>
      </c>
      <c r="AM21" s="13">
        <f>+IFERROR(VLOOKUP($AM$17,Sheet1!Z11:AB11,3,0),0)</f>
        <v>0</v>
      </c>
      <c r="AN21" s="13">
        <f>+IFERROR(VLOOKUP($AN$17,Sheet1!AD11:AG11,3,0),0)</f>
        <v>0</v>
      </c>
      <c r="AO21" s="13">
        <f>+IFERROR(VLOOKUP($AO$17,Sheet1!AD11:AG11,3,0),0)</f>
        <v>0</v>
      </c>
      <c r="AP21" s="13">
        <f>+IFERROR(VLOOKUP($AP$17,Sheet1!AD11:AG11,3,0),0)</f>
        <v>0</v>
      </c>
      <c r="AQ21" s="13">
        <f>+IFERROR(VLOOKUP($AQ$17,Sheet1!AD11:AG11,3,0),0)</f>
        <v>0</v>
      </c>
      <c r="AR21" s="13">
        <f>+IFERROR(VLOOKUP($AR$17,Sheet1!AD11:AG11,3,0),0)</f>
        <v>0</v>
      </c>
      <c r="AS21" s="13">
        <f>+IFERROR(VLOOKUP($AS$17,Sheet1!AD11:AG11,3,0),0)</f>
        <v>0</v>
      </c>
      <c r="AT21" s="13">
        <f>+IFERROR(VLOOKUP($AT$17,Sheet1!AD11:AG11,3,0),0)</f>
        <v>0</v>
      </c>
      <c r="AU21" s="13">
        <f>+IFERROR(VLOOKUP($AU$17,Sheet1!AH11:AK11,3,0),0)</f>
        <v>0</v>
      </c>
      <c r="AV21" s="13">
        <f>+IFERROR(VLOOKUP($AV$17,Sheet1!AH11:AK11,3,0),0)</f>
        <v>0</v>
      </c>
      <c r="AW21" s="13">
        <f>+IFERROR(VLOOKUP($AW$17,Sheet1!AH11:AK11,3,0),0)</f>
        <v>0</v>
      </c>
      <c r="AX21" s="13">
        <f>+IFERROR(VLOOKUP($AX$17,Sheet1!AH11:AK11,3,0),0)</f>
        <v>0</v>
      </c>
      <c r="AY21" s="13">
        <f>+IFERROR(VLOOKUP($AY$17,Sheet1!AH11:AK11,3,0),0)</f>
        <v>0</v>
      </c>
      <c r="AZ21" s="13">
        <f>+IFERROR(VLOOKUP($AZ$17,Sheet1!AH11:AK11,3,0),0)</f>
        <v>0</v>
      </c>
      <c r="BA21" s="13">
        <f>+IFERROR(VLOOKUP($BA$17,Sheet1!AH11:AK11,3,0),0)</f>
        <v>0</v>
      </c>
      <c r="BB21" s="13">
        <f>+IFERROR(VLOOKUP($BB$17,Sheet1!AH11:AK11,3,0),0)</f>
        <v>0</v>
      </c>
      <c r="BC21" s="13">
        <f>+IFERROR(VLOOKUP($BC$17,Sheet1!AH11:AK11,3,0),0)</f>
        <v>0</v>
      </c>
      <c r="BD21" s="13">
        <f>+IFERROR(VLOOKUP($BD$17,Sheet1!AH11:AK11,3,0),0)</f>
        <v>0</v>
      </c>
      <c r="BE21" s="13">
        <f>+IFERROR(VLOOKUP($BE$17,Sheet1!AL11:AO11,3,0),0)</f>
        <v>0</v>
      </c>
      <c r="BF21" s="13">
        <f>+IFERROR(VLOOKUP($BF$17,Sheet1!AL11:AO11,3,0),0)</f>
        <v>0</v>
      </c>
      <c r="BG21" s="13">
        <f>+IFERROR(VLOOKUP($BG$17,Sheet1!AL11:AO11,3,0),0)</f>
        <v>0</v>
      </c>
      <c r="BH21" s="123">
        <v>216</v>
      </c>
      <c r="BI21" s="13">
        <f>+IFERROR(VLOOKUP($BI$17,Sheet1!AL11:AO11,3,0),0)</f>
        <v>0</v>
      </c>
      <c r="BJ21" s="13">
        <f>+IFERROR(VLOOKUP($BJ$17,Sheet1!AL11:AO11,3,0),0)</f>
        <v>0</v>
      </c>
      <c r="BK21" s="13">
        <f>+IFERROR(VLOOKUP($BK$17,Sheet1!AL11:AO11,3,0),0)</f>
        <v>0</v>
      </c>
      <c r="BL21" s="13">
        <f>+IFERROR(VLOOKUP($BL$17,Sheet1!AL11:AO11,3,0),0)</f>
        <v>0</v>
      </c>
      <c r="BM21" s="13">
        <f>+IFERROR(VLOOKUP($BM$17,Sheet1!AL11:AO11,3,0),0)</f>
        <v>0</v>
      </c>
      <c r="BN21" s="13">
        <f>+IFERROR(VLOOKUP($BN$17,Sheet1!AL11:AO11,3,0),0)</f>
        <v>0</v>
      </c>
      <c r="BO21" s="13">
        <f>+IFERROR(VLOOKUP($BO$17,Sheet1!AP11:AS11,3,0),0)</f>
        <v>0</v>
      </c>
      <c r="BP21" s="13">
        <f>+IFERROR(VLOOKUP($BP$17,Sheet1!AT11:AW11,3,0),0)</f>
        <v>0</v>
      </c>
      <c r="BQ21" s="123">
        <v>22</v>
      </c>
      <c r="BR21" s="13">
        <f>+IFERROR(VLOOKUP($BR$17,Sheet1!BB11:BE11,3,0),0)</f>
        <v>0</v>
      </c>
      <c r="BS21" s="13">
        <f>+IFERROR(VLOOKUP($BS$17,Sheet1!BF11:BI11,3,0),0)</f>
        <v>0</v>
      </c>
      <c r="BT21" s="13">
        <f>+IFERROR(VLOOKUP($BT$17,Sheet1!BJ11:BM11,3,0),0)</f>
        <v>0</v>
      </c>
      <c r="BU21" s="13">
        <f>+IFERROR(VLOOKUP($BU$17,Sheet1!BN11:BQ11,3,0),0)</f>
        <v>0</v>
      </c>
      <c r="BV21" s="13">
        <f>+IFERROR(VLOOKUP($BV$17,Sheet1!BR11:BU11,3,0),0)</f>
        <v>0</v>
      </c>
      <c r="BW21" s="13">
        <f>+IFERROR(VLOOKUP($BW$17,Sheet1!BV11:BY11,3,0),0)</f>
        <v>0</v>
      </c>
      <c r="BX21" s="13" t="str">
        <f>Sheet1!E11</f>
        <v>WOOD</v>
      </c>
      <c r="BY21" s="13" t="str">
        <f>Sheet1!CV11</f>
        <v>MD0100090</v>
      </c>
      <c r="BZ21" s="13" t="str">
        <f>Sheet1!CW11</f>
        <v>DRUM - 43 X 15 X 36 X 2.5</v>
      </c>
      <c r="CA21" s="13">
        <f>Sheet1!CX11</f>
        <v>1000</v>
      </c>
      <c r="CB21" s="3">
        <f>Sheet1!BZ11</f>
        <v>3881</v>
      </c>
      <c r="CC21" s="3">
        <f>SUMPRODUCT($P$18:$BW$18,P21:BW21)+CB21</f>
        <v>172709</v>
      </c>
      <c r="CD21" s="23">
        <v>0.01</v>
      </c>
      <c r="CE21" s="3">
        <f>CC21*CD21</f>
        <v>1727.0900000000001</v>
      </c>
      <c r="CF21" s="44">
        <v>0.15</v>
      </c>
      <c r="CG21" s="3">
        <f>CC21*CF21</f>
        <v>25906.35</v>
      </c>
      <c r="CH21" s="44">
        <v>0</v>
      </c>
      <c r="CI21" s="3">
        <f t="shared" si="3"/>
        <v>0</v>
      </c>
      <c r="CJ21" s="3">
        <f>CC21+CE21+CG21+CI21</f>
        <v>200342.44</v>
      </c>
      <c r="CK21" s="44">
        <v>0.02</v>
      </c>
      <c r="CL21" s="59">
        <f>CJ21*CK21</f>
        <v>4006.8488000000002</v>
      </c>
      <c r="CM21" s="44">
        <v>0.01</v>
      </c>
      <c r="CN21" s="59">
        <f>CJ21*CM21</f>
        <v>2003.4244000000001</v>
      </c>
    </row>
    <row r="22" spans="2:92" ht="30" x14ac:dyDescent="0.25">
      <c r="B22">
        <v>4</v>
      </c>
      <c r="C22" s="1" t="str">
        <f>Sheet1!A10</f>
        <v>ENQ-15115-22-23</v>
      </c>
      <c r="D22" s="47">
        <v>45658</v>
      </c>
      <c r="E22" s="1" t="str">
        <f>Sheet1!C10</f>
        <v>FA0600020</v>
      </c>
      <c r="F22" s="1" t="str">
        <f>Sheet1!D10</f>
        <v>1 CORE X 300 SQ. MM. AL/UNARD. (XLPE)</v>
      </c>
      <c r="G22" s="3">
        <f>CJ22+CL22+CN22</f>
        <v>318747.54919999995</v>
      </c>
      <c r="H22" s="59">
        <f>ROUNDUP(O52,0)</f>
        <v>4721</v>
      </c>
      <c r="I22" s="9">
        <f>G22+H22</f>
        <v>323468.54919999995</v>
      </c>
      <c r="J22" s="7">
        <f>Sheet1!CP10</f>
        <v>0.18</v>
      </c>
      <c r="K22" s="9">
        <f t="shared" si="0"/>
        <v>58224.338855999988</v>
      </c>
      <c r="L22" s="9">
        <f t="shared" si="1"/>
        <v>381692.88805599994</v>
      </c>
      <c r="M22" s="1">
        <v>81.552000000000007</v>
      </c>
      <c r="N22" s="1" t="str">
        <f>Sheet1!CT10</f>
        <v>KMS</v>
      </c>
      <c r="O22" s="3">
        <f t="shared" si="2"/>
        <v>31127818.406742908</v>
      </c>
      <c r="P22" s="2">
        <f>+IFERROR(VLOOKUP($P$17,Sheet1!J10:L10,3,0),0)</f>
        <v>810</v>
      </c>
      <c r="Q22" s="2">
        <f>+IFERROR(VLOOKUP($Q$17,Sheet1!J10:L10,3,0),0)</f>
        <v>0</v>
      </c>
      <c r="R22" s="2">
        <f>+IFERROR(VLOOKUP($R$17,Sheet1!J10:M10,3,0),0)</f>
        <v>0</v>
      </c>
      <c r="S22" s="2">
        <f>+IFERROR(VLOOKUP($S$17,Sheet1!J10:M10,3,0),0)</f>
        <v>0</v>
      </c>
      <c r="T22" s="2">
        <f>+IFERROR(VLOOKUP($T$17,Sheet1!J10:M10,3,0),0)</f>
        <v>0</v>
      </c>
      <c r="U22" s="2">
        <f>+IFERROR(VLOOKUP($U$17,Sheet1!N10:Q10,3,0),0)</f>
        <v>0</v>
      </c>
      <c r="V22" s="2">
        <f>+IFERROR(VLOOKUP($V$17,Sheet1!N10:Q10,3,0),0)</f>
        <v>0</v>
      </c>
      <c r="W22" s="2">
        <f>+IFERROR(VLOOKUP($W$17,Sheet1!F10:I10,3,0),0)</f>
        <v>0</v>
      </c>
      <c r="X22" s="2">
        <f>+IFERROR(VLOOKUP($X$17,Sheet1!F10:I10,3,0),0)</f>
        <v>0</v>
      </c>
      <c r="Y22" s="2">
        <f>+IFERROR(VLOOKUP($Y$17,Sheet1!F10:I10,3,0),0)</f>
        <v>0</v>
      </c>
      <c r="Z22" s="2">
        <f>+IFERROR(VLOOKUP($Z$17,Sheet1!F10:I10,3,0),0)</f>
        <v>0</v>
      </c>
      <c r="AA22" s="2">
        <f>+IFERROR(VLOOKUP($AA$17,Sheet1!F10:I10,3,0),0)</f>
        <v>0</v>
      </c>
      <c r="AB22" s="2">
        <f>+IFERROR(VLOOKUP($AB$17,Sheet1!F10:I10,3,0),0)</f>
        <v>0</v>
      </c>
      <c r="AC22" s="2">
        <f>+IFERROR(VLOOKUP($AC$17,Sheet1!F10:I10,3,0),0)</f>
        <v>0</v>
      </c>
      <c r="AD22" s="2">
        <f>+IFERROR(VLOOKUP($AD$17,Sheet1!F10:I10,3,0),0)</f>
        <v>0</v>
      </c>
      <c r="AE22" s="2">
        <f>+IFERROR(VLOOKUP($AE$17,Sheet1!R10:U10,3,0),0)</f>
        <v>0</v>
      </c>
      <c r="AF22" s="13">
        <f>+IFERROR(VLOOKUP($AF$17,Sheet1!R10:U10,2,0),0)</f>
        <v>0</v>
      </c>
      <c r="AG22" s="2">
        <f>+IFERROR(VLOOKUP($AG$17,Sheet1!V10:Y10,3,0),0)</f>
        <v>0</v>
      </c>
      <c r="AH22" s="13">
        <f>+IFERROR(VLOOKUP($AH$17,Sheet1!V10:Y10,3,0),0)</f>
        <v>132</v>
      </c>
      <c r="AI22" s="13">
        <f>+IFERROR(VLOOKUP($AI$17,Sheet1!V10:Y10,3,0),0)</f>
        <v>0</v>
      </c>
      <c r="AJ22" s="13">
        <f>+IFERROR(VLOOKUP($AJ$17,Sheet1!V10:Y10,3,0),0)</f>
        <v>0</v>
      </c>
      <c r="AK22" s="13">
        <f>+IFERROR(VLOOKUP($AK$17,Sheet1!V10:Y10,3,0),0)</f>
        <v>0</v>
      </c>
      <c r="AL22" s="13">
        <f>+IFERROR(VLOOKUP($AL$17,Sheet1!V10:Y10,3,0),0)</f>
        <v>0</v>
      </c>
      <c r="AM22" s="13">
        <f>+IFERROR(VLOOKUP($AM$17,Sheet1!Z10:AB10,3,0),0)</f>
        <v>0</v>
      </c>
      <c r="AN22" s="13">
        <f>+IFERROR(VLOOKUP($AN$17,Sheet1!AD10:AG10,3,0),0)</f>
        <v>0</v>
      </c>
      <c r="AO22" s="13">
        <f>+IFERROR(VLOOKUP($AO$17,Sheet1!AD10:AG10,3,0),0)</f>
        <v>0</v>
      </c>
      <c r="AP22" s="13">
        <f>+IFERROR(VLOOKUP($AP$17,Sheet1!AD10:AG10,3,0),0)</f>
        <v>0</v>
      </c>
      <c r="AQ22" s="13">
        <f>+IFERROR(VLOOKUP($AQ$17,Sheet1!AD10:AG10,3,0),0)</f>
        <v>0</v>
      </c>
      <c r="AR22" s="13">
        <f>+IFERROR(VLOOKUP($AR$17,Sheet1!AD10:AG10,3,0),0)</f>
        <v>0</v>
      </c>
      <c r="AS22" s="13">
        <f>+IFERROR(VLOOKUP($AS$17,Sheet1!AD10:AG10,3,0),0)</f>
        <v>0</v>
      </c>
      <c r="AT22" s="13">
        <f>+IFERROR(VLOOKUP($AT$17,Sheet1!AD10:AG10,3,0),0)</f>
        <v>0</v>
      </c>
      <c r="AU22" s="13">
        <f>+IFERROR(VLOOKUP($AU$17,Sheet1!AH10:AK10,3,0),0)</f>
        <v>0</v>
      </c>
      <c r="AV22" s="13">
        <f>+IFERROR(VLOOKUP($AV$17,Sheet1!AH10:AK10,3,0),0)</f>
        <v>0</v>
      </c>
      <c r="AW22" s="13">
        <f>+IFERROR(VLOOKUP($AW$17,Sheet1!AH10:AK10,3,0),0)</f>
        <v>0</v>
      </c>
      <c r="AX22" s="13">
        <f>+IFERROR(VLOOKUP($AX$17,Sheet1!AH10:AK10,3,0),0)</f>
        <v>0</v>
      </c>
      <c r="AY22" s="13">
        <f>+IFERROR(VLOOKUP($AY$17,Sheet1!AH10:AK10,3,0),0)</f>
        <v>0</v>
      </c>
      <c r="AZ22" s="13">
        <f>+IFERROR(VLOOKUP($AZ$17,Sheet1!AH10:AK10,3,0),0)</f>
        <v>0</v>
      </c>
      <c r="BA22" s="13">
        <f>+IFERROR(VLOOKUP($BA$17,Sheet1!AH10:AK10,3,0),0)</f>
        <v>0</v>
      </c>
      <c r="BB22" s="13">
        <f>+IFERROR(VLOOKUP($BB$17,Sheet1!AH10:AK10,3,0),0)</f>
        <v>0</v>
      </c>
      <c r="BC22" s="13">
        <f>+IFERROR(VLOOKUP($BC$17,Sheet1!AH10:AK10,3,0),0)</f>
        <v>0</v>
      </c>
      <c r="BD22" s="13">
        <f>+IFERROR(VLOOKUP($BD$17,Sheet1!AH10:AK10,3,0),0)</f>
        <v>0</v>
      </c>
      <c r="BE22" s="13">
        <f>+IFERROR(VLOOKUP($BE$17,Sheet1!AL10:AO10,3,0),0)</f>
        <v>0</v>
      </c>
      <c r="BF22" s="13">
        <f>+IFERROR(VLOOKUP($BF$17,Sheet1!AL10:AO10,3,0),0)</f>
        <v>0</v>
      </c>
      <c r="BG22" s="13">
        <f>+IFERROR(VLOOKUP($BG$17,Sheet1!AL10:AO10,3,0),0)</f>
        <v>0</v>
      </c>
      <c r="BH22" s="123">
        <v>255</v>
      </c>
      <c r="BI22" s="13">
        <f>+IFERROR(VLOOKUP($BI$17,Sheet1!AL10:AO10,3,0),0)</f>
        <v>0</v>
      </c>
      <c r="BJ22" s="13">
        <f>+IFERROR(VLOOKUP($BJ$17,Sheet1!AL10:AO10,3,0),0)</f>
        <v>0</v>
      </c>
      <c r="BK22" s="13">
        <f>+IFERROR(VLOOKUP($BK$17,Sheet1!AL10:AO10,3,0),0)</f>
        <v>0</v>
      </c>
      <c r="BL22" s="13">
        <f>+IFERROR(VLOOKUP($BL$17,Sheet1!AL10:AO10,3,0),0)</f>
        <v>0</v>
      </c>
      <c r="BM22" s="13">
        <f>+IFERROR(VLOOKUP($BM$17,Sheet1!AL10:AO10,3,0),0)</f>
        <v>0</v>
      </c>
      <c r="BN22" s="13">
        <f>+IFERROR(VLOOKUP($BN$17,Sheet1!AL10:AO10,3,0),0)</f>
        <v>0</v>
      </c>
      <c r="BO22" s="13">
        <f>+IFERROR(VLOOKUP($BO$17,Sheet1!AP10:AS10,3,0),0)</f>
        <v>0</v>
      </c>
      <c r="BP22" s="13">
        <f>+IFERROR(VLOOKUP($BP$17,Sheet1!AT10:AW10,3,0),0)</f>
        <v>0</v>
      </c>
      <c r="BQ22" s="123">
        <v>28</v>
      </c>
      <c r="BR22" s="13">
        <f>+IFERROR(VLOOKUP($BR$17,Sheet1!BB10:BE10,3,0),0)</f>
        <v>0</v>
      </c>
      <c r="BS22" s="13">
        <f>+IFERROR(VLOOKUP($BS$17,Sheet1!BF10:BI10,3,0),0)</f>
        <v>0</v>
      </c>
      <c r="BT22" s="13">
        <f>+IFERROR(VLOOKUP($BT$17,Sheet1!BJ10:BM10,3,0),0)</f>
        <v>0</v>
      </c>
      <c r="BU22" s="13">
        <f>+IFERROR(VLOOKUP($BU$17,Sheet1!BN10:BQ10,3,0),0)</f>
        <v>0</v>
      </c>
      <c r="BV22" s="13">
        <f>+IFERROR(VLOOKUP($BV$17,Sheet1!BR10:BU10,3,0),0)</f>
        <v>0</v>
      </c>
      <c r="BW22" s="13">
        <f>+IFERROR(VLOOKUP($BW$17,Sheet1!BV10:BY10,3,0),0)</f>
        <v>0</v>
      </c>
      <c r="BX22" s="13" t="str">
        <f>Sheet1!E10</f>
        <v>WOOD</v>
      </c>
      <c r="BY22" s="13" t="str">
        <f>Sheet1!CV10</f>
        <v>MD0100017</v>
      </c>
      <c r="BZ22" s="13" t="str">
        <f>Sheet1!CW10</f>
        <v>DRUM - 52 X 18 X 36 X 2.5</v>
      </c>
      <c r="CA22" s="13">
        <f>Sheet1!CX10</f>
        <v>1000</v>
      </c>
      <c r="CB22" s="3">
        <f>Sheet1!BZ10</f>
        <v>6276</v>
      </c>
      <c r="CC22" s="3">
        <f>SUMPRODUCT($P$18:$BW$18,P22:BW22)+CB22</f>
        <v>266779</v>
      </c>
      <c r="CD22" s="23">
        <v>0.01</v>
      </c>
      <c r="CE22" s="3">
        <f>CC22*CD22</f>
        <v>2667.79</v>
      </c>
      <c r="CF22" s="44">
        <v>0.15</v>
      </c>
      <c r="CG22" s="3">
        <f>CC22*CF22</f>
        <v>40016.85</v>
      </c>
      <c r="CH22" s="44">
        <v>0</v>
      </c>
      <c r="CI22" s="3">
        <f t="shared" si="3"/>
        <v>0</v>
      </c>
      <c r="CJ22" s="3">
        <f>CC22+CE22+CG22+CI22</f>
        <v>309463.63999999996</v>
      </c>
      <c r="CK22" s="44">
        <v>0.02</v>
      </c>
      <c r="CL22" s="59">
        <f>CJ22*CK22</f>
        <v>6189.2727999999988</v>
      </c>
      <c r="CM22" s="44">
        <v>0.01</v>
      </c>
      <c r="CN22" s="59">
        <f>CJ22*CM22</f>
        <v>3094.6363999999994</v>
      </c>
    </row>
    <row r="23" spans="2:92" ht="30" x14ac:dyDescent="0.25">
      <c r="B23">
        <v>5</v>
      </c>
      <c r="C23" s="1" t="str">
        <f>Sheet1!A12</f>
        <v>ENQ-15115-22-23</v>
      </c>
      <c r="D23" s="47">
        <v>45658</v>
      </c>
      <c r="E23" s="1" t="str">
        <f>Sheet1!C12</f>
        <v>FA0600032</v>
      </c>
      <c r="F23" s="1" t="str">
        <f>Sheet1!D12</f>
        <v>1 CORE X 630 SQ. MM. ALU/UNARD (XLPE)</v>
      </c>
      <c r="G23" s="3">
        <f>CJ23+CL23+CN23</f>
        <v>643530.03319999995</v>
      </c>
      <c r="H23" s="59">
        <f>ROUNDUP(O53,0)</f>
        <v>7235</v>
      </c>
      <c r="I23" s="9">
        <f>G23+H23</f>
        <v>650765.03319999995</v>
      </c>
      <c r="J23" s="7">
        <f>Sheet1!CP12</f>
        <v>0.18</v>
      </c>
      <c r="K23" s="9">
        <f t="shared" si="0"/>
        <v>117137.70597599998</v>
      </c>
      <c r="L23" s="9">
        <f t="shared" si="1"/>
        <v>767902.73917599989</v>
      </c>
      <c r="M23" s="1">
        <v>38.704000000000001</v>
      </c>
      <c r="N23" s="1" t="str">
        <f>Sheet1!CT12</f>
        <v>KMS</v>
      </c>
      <c r="O23" s="3">
        <f t="shared" si="2"/>
        <v>29720907.6170679</v>
      </c>
      <c r="P23" s="2">
        <f>+IFERROR(VLOOKUP($P$17,Sheet1!J12:L12,3,0),0)</f>
        <v>1701</v>
      </c>
      <c r="Q23" s="2">
        <f>+IFERROR(VLOOKUP($Q$17,Sheet1!J12:L12,3,0),0)</f>
        <v>0</v>
      </c>
      <c r="R23" s="2">
        <f>+IFERROR(VLOOKUP($R$17,Sheet1!J12:M12,3,0),0)</f>
        <v>0</v>
      </c>
      <c r="S23" s="2">
        <f>+IFERROR(VLOOKUP($S$17,Sheet1!J12:M12,3,0),0)</f>
        <v>0</v>
      </c>
      <c r="T23" s="2">
        <f>+IFERROR(VLOOKUP($T$17,Sheet1!J12:M12,3,0),0)</f>
        <v>0</v>
      </c>
      <c r="U23" s="2">
        <f>+IFERROR(VLOOKUP($U$17,Sheet1!N12:Q12,3,0),0)</f>
        <v>0</v>
      </c>
      <c r="V23" s="2">
        <f>+IFERROR(VLOOKUP($V$17,Sheet1!N12:Q12,3,0),0)</f>
        <v>0</v>
      </c>
      <c r="W23" s="2">
        <f>+IFERROR(VLOOKUP($W$17,Sheet1!F12:I12,3,0),0)</f>
        <v>0</v>
      </c>
      <c r="X23" s="2">
        <f>+IFERROR(VLOOKUP($X$17,Sheet1!F12:I12,3,0),0)</f>
        <v>0</v>
      </c>
      <c r="Y23" s="2">
        <f>+IFERROR(VLOOKUP($Y$17,Sheet1!F12:I12,3,0),0)</f>
        <v>0</v>
      </c>
      <c r="Z23" s="2">
        <f>+IFERROR(VLOOKUP($Z$17,Sheet1!F12:I12,3,0),0)</f>
        <v>0</v>
      </c>
      <c r="AA23" s="2">
        <f>+IFERROR(VLOOKUP($AA$17,Sheet1!F12:I12,3,0),0)</f>
        <v>0</v>
      </c>
      <c r="AB23" s="2">
        <f>+IFERROR(VLOOKUP($AB$17,Sheet1!F12:I12,3,0),0)</f>
        <v>0</v>
      </c>
      <c r="AC23" s="2">
        <f>+IFERROR(VLOOKUP($AC$17,Sheet1!F12:I12,3,0),0)</f>
        <v>0</v>
      </c>
      <c r="AD23" s="2">
        <f>+IFERROR(VLOOKUP($AD$17,Sheet1!F12:I12,3,0),0)</f>
        <v>0</v>
      </c>
      <c r="AE23" s="2">
        <f>+IFERROR(VLOOKUP($AE$17,Sheet1!R12:U12,3,0),0)</f>
        <v>0</v>
      </c>
      <c r="AF23" s="13">
        <f>+IFERROR(VLOOKUP($AF$17,Sheet1!R12:U12,2,0),0)</f>
        <v>0</v>
      </c>
      <c r="AG23" s="2">
        <f>+IFERROR(VLOOKUP($AG$17,Sheet1!V12:Y12,3,0),0)</f>
        <v>0</v>
      </c>
      <c r="AH23" s="123">
        <v>242</v>
      </c>
      <c r="AI23" s="13">
        <f>+IFERROR(VLOOKUP($AI$17,Sheet1!V12:Y12,3,0),0)</f>
        <v>0</v>
      </c>
      <c r="AJ23" s="13">
        <f>+IFERROR(VLOOKUP($AJ$17,Sheet1!V12:Y12,3,0),0)</f>
        <v>0</v>
      </c>
      <c r="AK23" s="13">
        <f>+IFERROR(VLOOKUP($AK$17,Sheet1!V12:Y12,3,0),0)</f>
        <v>0</v>
      </c>
      <c r="AL23" s="13">
        <f>+IFERROR(VLOOKUP($AL$17,Sheet1!V12:Y12,3,0),0)</f>
        <v>0</v>
      </c>
      <c r="AM23" s="13">
        <f>+IFERROR(VLOOKUP($AM$17,Sheet1!Z12:AB12,3,0),0)</f>
        <v>0</v>
      </c>
      <c r="AN23" s="13">
        <f>+IFERROR(VLOOKUP($AN$17,Sheet1!AD12:AG12,3,0),0)</f>
        <v>0</v>
      </c>
      <c r="AO23" s="13">
        <f>+IFERROR(VLOOKUP($AO$17,Sheet1!AD12:AG12,3,0),0)</f>
        <v>0</v>
      </c>
      <c r="AP23" s="13">
        <f>+IFERROR(VLOOKUP($AP$17,Sheet1!AD12:AG12,3,0),0)</f>
        <v>0</v>
      </c>
      <c r="AQ23" s="13">
        <f>+IFERROR(VLOOKUP($AQ$17,Sheet1!AD12:AG12,3,0),0)</f>
        <v>0</v>
      </c>
      <c r="AR23" s="13">
        <f>+IFERROR(VLOOKUP($AR$17,Sheet1!AD12:AG12,3,0),0)</f>
        <v>0</v>
      </c>
      <c r="AS23" s="13">
        <f>+IFERROR(VLOOKUP($AS$17,Sheet1!AD12:AG12,3,0),0)</f>
        <v>0</v>
      </c>
      <c r="AT23" s="13">
        <f>+IFERROR(VLOOKUP($AT$17,Sheet1!AD12:AG12,3,0),0)</f>
        <v>0</v>
      </c>
      <c r="AU23" s="13">
        <f>+IFERROR(VLOOKUP($AU$17,Sheet1!AH12:AK12,3,0),0)</f>
        <v>0</v>
      </c>
      <c r="AV23" s="13">
        <f>+IFERROR(VLOOKUP($AV$17,Sheet1!AH12:AK12,3,0),0)</f>
        <v>0</v>
      </c>
      <c r="AW23" s="13">
        <f>+IFERROR(VLOOKUP($AW$17,Sheet1!AH12:AK12,3,0),0)</f>
        <v>0</v>
      </c>
      <c r="AX23" s="13">
        <f>+IFERROR(VLOOKUP($AX$17,Sheet1!AH12:AK12,3,0),0)</f>
        <v>0</v>
      </c>
      <c r="AY23" s="13">
        <f>+IFERROR(VLOOKUP($AY$17,Sheet1!AH12:AK12,3,0),0)</f>
        <v>0</v>
      </c>
      <c r="AZ23" s="13">
        <f>+IFERROR(VLOOKUP($AZ$17,Sheet1!AH12:AK12,3,0),0)</f>
        <v>0</v>
      </c>
      <c r="BA23" s="13">
        <f>+IFERROR(VLOOKUP($BA$17,Sheet1!AH12:AK12,3,0),0)</f>
        <v>0</v>
      </c>
      <c r="BB23" s="13">
        <f>+IFERROR(VLOOKUP($BB$17,Sheet1!AH12:AK12,3,0),0)</f>
        <v>0</v>
      </c>
      <c r="BC23" s="13">
        <f>+IFERROR(VLOOKUP($BC$17,Sheet1!AH12:AK12,3,0),0)</f>
        <v>0</v>
      </c>
      <c r="BD23" s="13">
        <f>+IFERROR(VLOOKUP($BD$17,Sheet1!AH12:AK12,3,0),0)</f>
        <v>0</v>
      </c>
      <c r="BE23" s="13">
        <f>+IFERROR(VLOOKUP($BE$17,Sheet1!AL12:AO12,3,0),0)</f>
        <v>0</v>
      </c>
      <c r="BF23" s="13">
        <f>+IFERROR(VLOOKUP($BF$17,Sheet1!AL12:AO12,3,0),0)</f>
        <v>0</v>
      </c>
      <c r="BG23" s="13">
        <f>+IFERROR(VLOOKUP($BG$17,Sheet1!AL12:AO12,3,0),0)</f>
        <v>0</v>
      </c>
      <c r="BH23" s="123">
        <v>408</v>
      </c>
      <c r="BI23" s="13">
        <f>+IFERROR(VLOOKUP($BI$17,Sheet1!AL12:AO12,3,0),0)</f>
        <v>0</v>
      </c>
      <c r="BJ23" s="13">
        <f>+IFERROR(VLOOKUP($BJ$17,Sheet1!AL12:AO12,3,0),0)</f>
        <v>0</v>
      </c>
      <c r="BK23" s="13">
        <f>+IFERROR(VLOOKUP($BK$17,Sheet1!AL12:AO12,3,0),0)</f>
        <v>0</v>
      </c>
      <c r="BL23" s="13">
        <f>+IFERROR(VLOOKUP($BL$17,Sheet1!AL12:AO12,3,0),0)</f>
        <v>0</v>
      </c>
      <c r="BM23" s="13">
        <f>+IFERROR(VLOOKUP($BM$17,Sheet1!AL12:AO12,3,0),0)</f>
        <v>0</v>
      </c>
      <c r="BN23" s="13">
        <f>+IFERROR(VLOOKUP($BN$17,Sheet1!AL12:AO12,3,0),0)</f>
        <v>0</v>
      </c>
      <c r="BO23" s="13">
        <f>+IFERROR(VLOOKUP($BO$17,Sheet1!AP12:AS12,3,0),0)</f>
        <v>0</v>
      </c>
      <c r="BP23" s="13">
        <f>+IFERROR(VLOOKUP($BP$17,Sheet1!AT12:AW12,3,0),0)</f>
        <v>0</v>
      </c>
      <c r="BQ23" s="123">
        <v>40</v>
      </c>
      <c r="BR23" s="13">
        <f>+IFERROR(VLOOKUP($BR$17,Sheet1!BB12:BE12,3,0),0)</f>
        <v>0</v>
      </c>
      <c r="BS23" s="13">
        <f>+IFERROR(VLOOKUP($BS$17,Sheet1!BF12:BI12,3,0),0)</f>
        <v>0</v>
      </c>
      <c r="BT23" s="13">
        <f>+IFERROR(VLOOKUP($BT$17,Sheet1!BJ12:BM12,3,0),0)</f>
        <v>0</v>
      </c>
      <c r="BU23" s="13">
        <f>+IFERROR(VLOOKUP($BU$17,Sheet1!BN12:BQ12,3,0),0)</f>
        <v>0</v>
      </c>
      <c r="BV23" s="13">
        <f>+IFERROR(VLOOKUP($BV$17,Sheet1!BR12:BU12,3,0),0)</f>
        <v>0</v>
      </c>
      <c r="BW23" s="13">
        <f>+IFERROR(VLOOKUP($BW$17,Sheet1!BV12:BY12,3,0),0)</f>
        <v>0</v>
      </c>
      <c r="BX23" s="13" t="str">
        <f>Sheet1!E12</f>
        <v>WOOD</v>
      </c>
      <c r="BY23" s="13" t="str">
        <f>Sheet1!CV12</f>
        <v>MD0100062</v>
      </c>
      <c r="BZ23" s="13" t="str">
        <f>Sheet1!CW12</f>
        <v>DRUM - 74 X 24 X 32 X 3</v>
      </c>
      <c r="CA23" s="13">
        <f>Sheet1!CX12</f>
        <v>1000</v>
      </c>
      <c r="CB23" s="3">
        <f>Sheet1!BZ12</f>
        <v>13815</v>
      </c>
      <c r="CC23" s="3">
        <f>SUMPRODUCT($P$18:$BW$18,P23:BW23)+CB23</f>
        <v>538609</v>
      </c>
      <c r="CD23" s="23">
        <v>0.01</v>
      </c>
      <c r="CE23" s="3">
        <f>CC23*CD23</f>
        <v>5386.09</v>
      </c>
      <c r="CF23" s="44">
        <v>0.15</v>
      </c>
      <c r="CG23" s="3">
        <f>CC23*CF23</f>
        <v>80791.349999999991</v>
      </c>
      <c r="CH23" s="44">
        <v>0</v>
      </c>
      <c r="CI23" s="3">
        <f t="shared" si="3"/>
        <v>0</v>
      </c>
      <c r="CJ23" s="3">
        <f>CC23+CE23+CG23+CI23</f>
        <v>624786.43999999994</v>
      </c>
      <c r="CK23" s="44">
        <v>0.02</v>
      </c>
      <c r="CL23" s="59">
        <f>CJ23*CK23</f>
        <v>12495.728799999999</v>
      </c>
      <c r="CM23" s="44">
        <v>0.01</v>
      </c>
      <c r="CN23" s="59">
        <f>CJ23*CM23</f>
        <v>6247.8643999999995</v>
      </c>
    </row>
    <row r="24" spans="2:92" ht="30" x14ac:dyDescent="0.25">
      <c r="B24">
        <v>6</v>
      </c>
      <c r="C24" s="1" t="str">
        <f>Sheet1!A20</f>
        <v>ENQ-15115-22-23</v>
      </c>
      <c r="D24" s="47">
        <v>45658</v>
      </c>
      <c r="E24" s="1" t="str">
        <f>Sheet1!C20</f>
        <v>FA0900116</v>
      </c>
      <c r="F24" s="1" t="str">
        <f>Sheet1!D20</f>
        <v>4 CORE X 50 SQ. MM. AL/ARD - WIRE (XLPE)</v>
      </c>
      <c r="G24" s="3">
        <f>CJ24+CL24+CN24</f>
        <v>343815.64799999999</v>
      </c>
      <c r="H24" s="59">
        <f>ROUNDUP(O54,0)</f>
        <v>5263</v>
      </c>
      <c r="I24" s="9">
        <f>G24+H24</f>
        <v>349078.64799999999</v>
      </c>
      <c r="J24" s="7">
        <f>Sheet1!CP20</f>
        <v>0.18</v>
      </c>
      <c r="K24" s="9">
        <f t="shared" si="0"/>
        <v>62834.156639999994</v>
      </c>
      <c r="L24" s="9">
        <f t="shared" si="1"/>
        <v>411912.80463999999</v>
      </c>
      <c r="M24" s="1">
        <f>Sheet1!CS20</f>
        <v>26.605</v>
      </c>
      <c r="N24" s="1" t="str">
        <f>Sheet1!CT20</f>
        <v>KMS</v>
      </c>
      <c r="O24" s="3">
        <f t="shared" si="2"/>
        <v>10958940.1674472</v>
      </c>
      <c r="P24" s="122">
        <f>+IFERROR(VLOOKUP($P$17,Sheet1!J20:L20,3,0),0)</f>
        <v>541</v>
      </c>
      <c r="Q24" s="2">
        <f>+IFERROR(VLOOKUP($Q$17,Sheet1!J20:L20,3,0),0)</f>
        <v>0</v>
      </c>
      <c r="R24" s="2">
        <f>+IFERROR(VLOOKUP($R$17,Sheet1!J20:M20,3,0),0)</f>
        <v>0</v>
      </c>
      <c r="S24" s="2">
        <f>+IFERROR(VLOOKUP($S$17,Sheet1!J20:M20,3,0),0)</f>
        <v>0</v>
      </c>
      <c r="T24" s="2">
        <f>+IFERROR(VLOOKUP($T$17,Sheet1!J20:M20,3,0),0)</f>
        <v>0</v>
      </c>
      <c r="U24" s="2">
        <f>+IFERROR(VLOOKUP($U$17,Sheet1!N20:Q20,3,0),0)</f>
        <v>0</v>
      </c>
      <c r="V24" s="2">
        <f>+IFERROR(VLOOKUP($V$17,Sheet1!N20:Q20,3,0),0)</f>
        <v>0</v>
      </c>
      <c r="W24" s="2">
        <f>+IFERROR(VLOOKUP($W$17,Sheet1!F20:I20,3,0),0)</f>
        <v>0</v>
      </c>
      <c r="X24" s="2">
        <f>+IFERROR(VLOOKUP($X$17,Sheet1!F20:I20,3,0),0)</f>
        <v>0</v>
      </c>
      <c r="Y24" s="2">
        <f>+IFERROR(VLOOKUP($Y$17,Sheet1!F20:I20,3,0),0)</f>
        <v>0</v>
      </c>
      <c r="Z24" s="2">
        <f>+IFERROR(VLOOKUP($Z$17,Sheet1!F20:I20,3,0),0)</f>
        <v>0</v>
      </c>
      <c r="AA24" s="2">
        <f>+IFERROR(VLOOKUP($AA$17,Sheet1!F20:I20,3,0),0)</f>
        <v>0</v>
      </c>
      <c r="AB24" s="2">
        <f>+IFERROR(VLOOKUP($AB$17,Sheet1!F20:I20,3,0),0)</f>
        <v>0</v>
      </c>
      <c r="AC24" s="2">
        <f>+IFERROR(VLOOKUP($AC$17,Sheet1!F20:I20,3,0),0)</f>
        <v>0</v>
      </c>
      <c r="AD24" s="2">
        <f>+IFERROR(VLOOKUP($AD$17,Sheet1!F20:I20,3,0),0)</f>
        <v>0</v>
      </c>
      <c r="AE24" s="2">
        <f>+IFERROR(VLOOKUP($AE$17,Sheet1!R20:U20,3,0),0)</f>
        <v>0</v>
      </c>
      <c r="AF24" s="13">
        <f>+IFERROR(VLOOKUP($AF$17,Sheet1!R20:U20,2,0),0)</f>
        <v>0</v>
      </c>
      <c r="AG24" s="2">
        <f>+IFERROR(VLOOKUP($AG$17,Sheet1!V20:Y20,3,0),0)</f>
        <v>0</v>
      </c>
      <c r="AH24" s="123">
        <v>119</v>
      </c>
      <c r="AI24" s="13">
        <f>+IFERROR(VLOOKUP($AI$17,Sheet1!V20:Y20,3,0),0)</f>
        <v>0</v>
      </c>
      <c r="AJ24" s="13">
        <f>+IFERROR(VLOOKUP($AJ$17,Sheet1!V20:Y20,3,0),0)</f>
        <v>0</v>
      </c>
      <c r="AK24" s="13">
        <f>+IFERROR(VLOOKUP($AK$17,Sheet1!V20:Y20,3,0),0)</f>
        <v>0</v>
      </c>
      <c r="AL24" s="13">
        <f>+IFERROR(VLOOKUP($AL$17,Sheet1!V20:Y20,3,0),0)</f>
        <v>0</v>
      </c>
      <c r="AM24" s="13">
        <f>+IFERROR(VLOOKUP($AM$17,Sheet1!Z20:AB20,3,0),0)</f>
        <v>0</v>
      </c>
      <c r="AN24" s="13">
        <f>+IFERROR(VLOOKUP($AN$17,Sheet1!AD20:AG20,3,0),0)</f>
        <v>0</v>
      </c>
      <c r="AO24" s="13">
        <f>+IFERROR(VLOOKUP($AO$17,Sheet1!AD20:AG20,3,0),0)</f>
        <v>0</v>
      </c>
      <c r="AP24" s="13">
        <f>+IFERROR(VLOOKUP($AP$17,Sheet1!AD20:AG20,3,0),0)</f>
        <v>0</v>
      </c>
      <c r="AQ24" s="13">
        <f>+IFERROR(VLOOKUP($AQ$17,Sheet1!AD20:AG20,3,0),0)</f>
        <v>0</v>
      </c>
      <c r="AR24" s="13">
        <f>+IFERROR(VLOOKUP($AR$17,Sheet1!AD20:AG20,3,0),0)</f>
        <v>0</v>
      </c>
      <c r="AS24" s="123">
        <v>56</v>
      </c>
      <c r="AT24" s="13">
        <f>+IFERROR(VLOOKUP($AT$17,Sheet1!AD20:AG20,3,0),0)</f>
        <v>0</v>
      </c>
      <c r="AU24" s="13">
        <f>+IFERROR(VLOOKUP($AU$17,Sheet1!AH20:AK20,3,0),0)</f>
        <v>0</v>
      </c>
      <c r="AV24" s="13">
        <f>+IFERROR(VLOOKUP($AV$17,Sheet1!AH20:AK20,3,0),0)</f>
        <v>0</v>
      </c>
      <c r="AW24" s="13">
        <f>+IFERROR(VLOOKUP($AW$17,Sheet1!AH20:AK20,3,0),0)</f>
        <v>0</v>
      </c>
      <c r="AX24" s="13">
        <f>+IFERROR(VLOOKUP($AX$17,Sheet1!AH20:AK20,3,0),0)</f>
        <v>0</v>
      </c>
      <c r="AY24" s="13">
        <f>+IFERROR(VLOOKUP($AY$17,Sheet1!AH20:AK20,3,0),0)</f>
        <v>0</v>
      </c>
      <c r="AZ24" s="13">
        <f>+IFERROR(VLOOKUP($AZ$17,Sheet1!AH20:AK20,3,0),0)</f>
        <v>0</v>
      </c>
      <c r="BA24" s="13">
        <f>+IFERROR(VLOOKUP($BA$17,Sheet1!AH20:AK20,3,0),0)</f>
        <v>0</v>
      </c>
      <c r="BB24" s="13">
        <f>+IFERROR(VLOOKUP($BB$17,Sheet1!AH20:AK20,3,0),0)</f>
        <v>0</v>
      </c>
      <c r="BC24" s="123">
        <v>1042</v>
      </c>
      <c r="BD24" s="13">
        <f>+IFERROR(VLOOKUP($BD$17,Sheet1!AH20:AK20,3,0),0)</f>
        <v>0</v>
      </c>
      <c r="BE24" s="13">
        <f>+IFERROR(VLOOKUP($BE$17,Sheet1!AL20:AO20,3,0),0)</f>
        <v>0</v>
      </c>
      <c r="BF24" s="13">
        <f>+IFERROR(VLOOKUP($BF$17,Sheet1!AL20:AO20,3,0),0)</f>
        <v>0</v>
      </c>
      <c r="BG24" s="13">
        <f>+IFERROR(VLOOKUP($BG$17,Sheet1!AL20:AO20,3,0),0)</f>
        <v>0</v>
      </c>
      <c r="BH24" s="123">
        <f>+IFERROR(VLOOKUP($BH$17,Sheet1!AL20:AO20,3,0),0)</f>
        <v>260</v>
      </c>
      <c r="BI24" s="13">
        <f>+IFERROR(VLOOKUP($BI$17,Sheet1!AL20:AO20,3,0),0)</f>
        <v>0</v>
      </c>
      <c r="BJ24" s="13">
        <f>+IFERROR(VLOOKUP($BJ$17,Sheet1!AL20:AO20,3,0),0)</f>
        <v>0</v>
      </c>
      <c r="BK24" s="13">
        <f>+IFERROR(VLOOKUP($BK$17,Sheet1!AL20:AO20,3,0),0)</f>
        <v>0</v>
      </c>
      <c r="BL24" s="13">
        <f>+IFERROR(VLOOKUP($BL$17,Sheet1!AL20:AO20,3,0),0)</f>
        <v>0</v>
      </c>
      <c r="BM24" s="13">
        <f>+IFERROR(VLOOKUP($BM$17,Sheet1!AL20:AO20,3,0),0)</f>
        <v>0</v>
      </c>
      <c r="BN24" s="13">
        <f>+IFERROR(VLOOKUP($BN$17,Sheet1!AL20:AO20,3,0),0)</f>
        <v>0</v>
      </c>
      <c r="BO24" s="13">
        <f>+IFERROR(VLOOKUP($BO$17,Sheet1!AP20:AS20,3,0),0)</f>
        <v>0</v>
      </c>
      <c r="BP24" s="13">
        <f>+IFERROR(VLOOKUP($BP$17,Sheet1!AT20:AW20,3,0),0)</f>
        <v>0</v>
      </c>
      <c r="BQ24" s="13">
        <f>+IFERROR(VLOOKUP($BQ$17,Sheet1!AX20:BA20,3,0),0)</f>
        <v>0</v>
      </c>
      <c r="BR24" s="13">
        <f>+IFERROR(VLOOKUP($BR$17,Sheet1!BB20:BE20,3,0),0)</f>
        <v>0</v>
      </c>
      <c r="BS24" s="13">
        <f>+IFERROR(VLOOKUP($BS$17,Sheet1!BF20:BI20,3,0),0)</f>
        <v>0</v>
      </c>
      <c r="BT24" s="13">
        <f>+IFERROR(VLOOKUP($BT$17,Sheet1!BJ20:BM20,3,0),0)</f>
        <v>0</v>
      </c>
      <c r="BU24" s="13">
        <f>+IFERROR(VLOOKUP($BU$17,Sheet1!BN20:BQ20,3,0),0)</f>
        <v>0</v>
      </c>
      <c r="BV24" s="123">
        <v>20</v>
      </c>
      <c r="BW24" s="13">
        <f>+IFERROR(VLOOKUP($BW$17,Sheet1!BV20:BY20,3,0),0)</f>
        <v>0</v>
      </c>
      <c r="BX24" s="13" t="str">
        <f>Sheet1!E20</f>
        <v>WOOD</v>
      </c>
      <c r="BY24" s="13" t="str">
        <f>Sheet1!CV20</f>
        <v>MD0100068</v>
      </c>
      <c r="BZ24" s="13" t="str">
        <f>Sheet1!CW20</f>
        <v>DRUM - 54 X 20 X 36 X 2.5</v>
      </c>
      <c r="CA24" s="13">
        <f>Sheet1!CX20</f>
        <v>1000</v>
      </c>
      <c r="CB24" s="3">
        <f>Sheet1!BZ20</f>
        <v>6254</v>
      </c>
      <c r="CC24" s="3">
        <f>SUMPRODUCT($P$18:$BW$18,P24:BW24)+CB24</f>
        <v>287760</v>
      </c>
      <c r="CD24" s="23">
        <v>0.01</v>
      </c>
      <c r="CE24" s="3">
        <f>CC24*CD24</f>
        <v>2877.6</v>
      </c>
      <c r="CF24" s="44">
        <v>0.15</v>
      </c>
      <c r="CG24" s="3">
        <f>CC24*CF24</f>
        <v>43164</v>
      </c>
      <c r="CH24" s="44">
        <v>0</v>
      </c>
      <c r="CI24" s="3">
        <f t="shared" si="3"/>
        <v>0</v>
      </c>
      <c r="CJ24" s="3">
        <f>CC24+CE24+CG24+CI24</f>
        <v>333801.59999999998</v>
      </c>
      <c r="CK24" s="44">
        <v>0.02</v>
      </c>
      <c r="CL24" s="59">
        <f>CJ24*CK24</f>
        <v>6676.0319999999992</v>
      </c>
      <c r="CM24" s="44">
        <v>0.01</v>
      </c>
      <c r="CN24" s="59">
        <f>CJ24*CM24</f>
        <v>3338.0159999999996</v>
      </c>
    </row>
    <row r="25" spans="2:92" ht="30" x14ac:dyDescent="0.25">
      <c r="B25">
        <v>7</v>
      </c>
      <c r="C25" s="1" t="str">
        <f>Sheet1!A26</f>
        <v>ENQ-15115-22-23</v>
      </c>
      <c r="D25" s="47">
        <v>45658</v>
      </c>
      <c r="E25" s="1" t="str">
        <f>Sheet1!C26</f>
        <v>FA1100094</v>
      </c>
      <c r="F25" s="1" t="str">
        <f>Sheet1!D26</f>
        <v>4 CORE X 95 SQ. MM. ALU/ARD - WIRE (XLPE)</v>
      </c>
      <c r="G25" s="3">
        <f>CJ25+CL25+CN25</f>
        <v>562648.04719999991</v>
      </c>
      <c r="H25" s="59">
        <f>ROUNDUP(O55,0)</f>
        <v>7961</v>
      </c>
      <c r="I25" s="9">
        <f>G25+H25</f>
        <v>570609.04719999991</v>
      </c>
      <c r="J25" s="7">
        <f>Sheet1!CP26</f>
        <v>0.18</v>
      </c>
      <c r="K25" s="9">
        <f t="shared" si="0"/>
        <v>102709.62849599998</v>
      </c>
      <c r="L25" s="9">
        <f t="shared" si="1"/>
        <v>673318.67569599987</v>
      </c>
      <c r="M25" s="1">
        <f>Sheet1!CS26</f>
        <v>17.585999999999999</v>
      </c>
      <c r="N25" s="1" t="str">
        <f>Sheet1!CT26</f>
        <v>KMS</v>
      </c>
      <c r="O25" s="3">
        <f t="shared" si="2"/>
        <v>11840982.230789853</v>
      </c>
      <c r="P25" s="122">
        <f>+IFERROR(VLOOKUP($P$17,Sheet1!J26:L26,3,0),0)</f>
        <v>1027</v>
      </c>
      <c r="Q25" s="2">
        <f>+IFERROR(VLOOKUP($Q$17,Sheet1!J26:L26,3,0),0)</f>
        <v>0</v>
      </c>
      <c r="R25" s="2">
        <f>+IFERROR(VLOOKUP($R$17,Sheet1!J26:M26,3,0),0)</f>
        <v>0</v>
      </c>
      <c r="S25" s="2">
        <f>+IFERROR(VLOOKUP($S$17,Sheet1!J26:M26,3,0),0)</f>
        <v>0</v>
      </c>
      <c r="T25" s="2">
        <f>+IFERROR(VLOOKUP($T$17,Sheet1!J26:M26,3,0),0)</f>
        <v>0</v>
      </c>
      <c r="U25" s="2">
        <f>+IFERROR(VLOOKUP($U$17,Sheet1!N26:Q26,3,0),0)</f>
        <v>0</v>
      </c>
      <c r="V25" s="2">
        <f>+IFERROR(VLOOKUP($V$17,Sheet1!N26:Q26,3,0),0)</f>
        <v>0</v>
      </c>
      <c r="W25" s="2">
        <f>+IFERROR(VLOOKUP($W$17,Sheet1!F26:I26,3,0),0)</f>
        <v>0</v>
      </c>
      <c r="X25" s="2">
        <f>+IFERROR(VLOOKUP($X$17,Sheet1!F26:I26,3,0),0)</f>
        <v>0</v>
      </c>
      <c r="Y25" s="2">
        <f>+IFERROR(VLOOKUP($Y$17,Sheet1!F26:I26,3,0),0)</f>
        <v>0</v>
      </c>
      <c r="Z25" s="2">
        <f>+IFERROR(VLOOKUP($Z$17,Sheet1!F26:I26,3,0),0)</f>
        <v>0</v>
      </c>
      <c r="AA25" s="2">
        <f>+IFERROR(VLOOKUP($AA$17,Sheet1!F26:I26,3,0),0)</f>
        <v>0</v>
      </c>
      <c r="AB25" s="2">
        <f>+IFERROR(VLOOKUP($AB$17,Sheet1!F26:I26,3,0),0)</f>
        <v>0</v>
      </c>
      <c r="AC25" s="2">
        <f>+IFERROR(VLOOKUP($AC$17,Sheet1!F26:I26,3,0),0)</f>
        <v>0</v>
      </c>
      <c r="AD25" s="2">
        <f>+IFERROR(VLOOKUP($AD$17,Sheet1!F26:I26,3,0),0)</f>
        <v>0</v>
      </c>
      <c r="AE25" s="2">
        <f>+IFERROR(VLOOKUP($AE$17,Sheet1!R26:U26,3,0),0)</f>
        <v>0</v>
      </c>
      <c r="AF25" s="13">
        <f>+IFERROR(VLOOKUP($AF$17,Sheet1!R26:U26,2,0),0)</f>
        <v>0</v>
      </c>
      <c r="AG25" s="2">
        <f>+IFERROR(VLOOKUP($AG$17,Sheet1!V26:Y26,3,0),0)</f>
        <v>0</v>
      </c>
      <c r="AH25" s="123">
        <v>172</v>
      </c>
      <c r="AI25" s="13">
        <f>+IFERROR(VLOOKUP($AI$17,Sheet1!V26:Y26,3,0),0)</f>
        <v>0</v>
      </c>
      <c r="AJ25" s="13">
        <f>+IFERROR(VLOOKUP($AJ$17,Sheet1!V26:Y26,3,0),0)</f>
        <v>0</v>
      </c>
      <c r="AK25" s="13">
        <f>+IFERROR(VLOOKUP($AK$17,Sheet1!V26:Y26,3,0),0)</f>
        <v>0</v>
      </c>
      <c r="AL25" s="13">
        <f>+IFERROR(VLOOKUP($AL$17,Sheet1!V26:Y26,3,0),0)</f>
        <v>0</v>
      </c>
      <c r="AM25" s="13">
        <f>+IFERROR(VLOOKUP($AM$17,Sheet1!Z26:AB26,3,0),0)</f>
        <v>0</v>
      </c>
      <c r="AN25" s="13">
        <f>+IFERROR(VLOOKUP($AN$17,Sheet1!AD26:AG26,3,0),0)</f>
        <v>0</v>
      </c>
      <c r="AO25" s="13">
        <f>+IFERROR(VLOOKUP($AO$17,Sheet1!AD26:AG26,3,0),0)</f>
        <v>0</v>
      </c>
      <c r="AP25" s="13">
        <f>+IFERROR(VLOOKUP($AP$17,Sheet1!AD26:AG26,3,0),0)</f>
        <v>0</v>
      </c>
      <c r="AQ25" s="13">
        <f>+IFERROR(VLOOKUP($AQ$17,Sheet1!AD26:AG26,3,0),0)</f>
        <v>0</v>
      </c>
      <c r="AR25" s="13">
        <f>+IFERROR(VLOOKUP($AR$17,Sheet1!AD26:AG26,3,0),0)</f>
        <v>0</v>
      </c>
      <c r="AS25" s="123">
        <v>89</v>
      </c>
      <c r="AT25" s="13">
        <f>+IFERROR(VLOOKUP($AT$17,Sheet1!AD26:AG26,3,0),0)</f>
        <v>0</v>
      </c>
      <c r="AU25" s="13">
        <f>+IFERROR(VLOOKUP($AU$17,Sheet1!AH26:AK26,3,0),0)</f>
        <v>0</v>
      </c>
      <c r="AV25" s="13">
        <f>+IFERROR(VLOOKUP($AV$17,Sheet1!AH26:AK26,3,0),0)</f>
        <v>0</v>
      </c>
      <c r="AW25" s="13">
        <f>+IFERROR(VLOOKUP($AW$17,Sheet1!AH26:AK26,3,0),0)</f>
        <v>0</v>
      </c>
      <c r="AX25" s="13">
        <f>+IFERROR(VLOOKUP($AX$17,Sheet1!AH26:AK26,3,0),0)</f>
        <v>0</v>
      </c>
      <c r="AY25" s="13">
        <f>+IFERROR(VLOOKUP($AY$17,Sheet1!AH26:AK26,3,0),0)</f>
        <v>0</v>
      </c>
      <c r="AZ25" s="13">
        <f>+IFERROR(VLOOKUP($AZ$17,Sheet1!AH26:AK26,3,0),0)</f>
        <v>0</v>
      </c>
      <c r="BA25" s="13">
        <f>+IFERROR(VLOOKUP($BA$17,Sheet1!AH26:AK26,3,0),0)</f>
        <v>0</v>
      </c>
      <c r="BB25" s="13">
        <f>+IFERROR(VLOOKUP($BB$17,Sheet1!AH26:AK26,3,0),0)</f>
        <v>0</v>
      </c>
      <c r="BC25" s="123">
        <v>1362</v>
      </c>
      <c r="BD25" s="13">
        <f>+IFERROR(VLOOKUP($BD$17,Sheet1!AH26:AK26,3,0),0)</f>
        <v>0</v>
      </c>
      <c r="BE25" s="13">
        <f>+IFERROR(VLOOKUP($BE$17,Sheet1!AL26:AO26,3,0),0)</f>
        <v>0</v>
      </c>
      <c r="BF25" s="13">
        <f>+IFERROR(VLOOKUP($BF$17,Sheet1!AL26:AO26,3,0),0)</f>
        <v>0</v>
      </c>
      <c r="BG25" s="13">
        <f>+IFERROR(VLOOKUP($BG$17,Sheet1!AL26:AO26,3,0),0)</f>
        <v>0</v>
      </c>
      <c r="BH25" s="123">
        <v>358</v>
      </c>
      <c r="BI25" s="13">
        <f>+IFERROR(VLOOKUP($BI$17,Sheet1!AL26:AO26,3,0),0)</f>
        <v>0</v>
      </c>
      <c r="BJ25" s="13">
        <f>+IFERROR(VLOOKUP($BJ$17,Sheet1!AL26:AO26,3,0),0)</f>
        <v>0</v>
      </c>
      <c r="BK25" s="13">
        <f>+IFERROR(VLOOKUP($BK$17,Sheet1!AL26:AO26,3,0),0)</f>
        <v>0</v>
      </c>
      <c r="BL25" s="13">
        <f>+IFERROR(VLOOKUP($BL$17,Sheet1!AL26:AO26,3,0),0)</f>
        <v>0</v>
      </c>
      <c r="BM25" s="13">
        <f>+IFERROR(VLOOKUP($BM$17,Sheet1!AL26:AO26,3,0),0)</f>
        <v>0</v>
      </c>
      <c r="BN25" s="13">
        <f>+IFERROR(VLOOKUP($BN$17,Sheet1!AL26:AO26,3,0),0)</f>
        <v>0</v>
      </c>
      <c r="BO25" s="13">
        <f>+IFERROR(VLOOKUP($BO$17,Sheet1!AP26:AS26,3,0),0)</f>
        <v>0</v>
      </c>
      <c r="BP25" s="13">
        <f>+IFERROR(VLOOKUP($BP$17,Sheet1!AT26:AW26,3,0),0)</f>
        <v>0</v>
      </c>
      <c r="BQ25" s="13">
        <f>+IFERROR(VLOOKUP($BQ$17,Sheet1!AX26:BA26,3,0),0)</f>
        <v>0</v>
      </c>
      <c r="BR25" s="13">
        <f>+IFERROR(VLOOKUP($BR$17,Sheet1!BB26:BE26,3,0),0)</f>
        <v>0</v>
      </c>
      <c r="BS25" s="13">
        <f>+IFERROR(VLOOKUP($BS$17,Sheet1!BF26:BI26,3,0),0)</f>
        <v>0</v>
      </c>
      <c r="BT25" s="13">
        <f>+IFERROR(VLOOKUP($BT$17,Sheet1!BJ26:BM26,3,0),0)</f>
        <v>0</v>
      </c>
      <c r="BU25" s="13">
        <f>+IFERROR(VLOOKUP($BU$17,Sheet1!BN26:BQ26,3,0),0)</f>
        <v>0</v>
      </c>
      <c r="BV25" s="123">
        <v>25</v>
      </c>
      <c r="BW25" s="13">
        <f>+IFERROR(VLOOKUP($BW$17,Sheet1!BV26:BY26,3,0),0)</f>
        <v>0</v>
      </c>
      <c r="BX25" s="13" t="str">
        <f>Sheet1!E26</f>
        <v>WOOD</v>
      </c>
      <c r="BY25" s="13" t="str">
        <f>Sheet1!CV26</f>
        <v>MD0100061</v>
      </c>
      <c r="BZ25" s="13" t="str">
        <f>Sheet1!CW26</f>
        <v>DRUM - 56 X 24 X 32 X 3</v>
      </c>
      <c r="CA25" s="13">
        <f>Sheet1!CX26</f>
        <v>500</v>
      </c>
      <c r="CB25" s="3">
        <f>Sheet1!BZ26</f>
        <v>14928</v>
      </c>
      <c r="CC25" s="3">
        <f>SUMPRODUCT($P$18:$BW$18,P25:BW25)+CB25</f>
        <v>470914</v>
      </c>
      <c r="CD25" s="23">
        <v>0.01</v>
      </c>
      <c r="CE25" s="3">
        <f>CC25*CD25</f>
        <v>4709.1400000000003</v>
      </c>
      <c r="CF25" s="44">
        <v>0.15</v>
      </c>
      <c r="CG25" s="3">
        <f>CC25*CF25</f>
        <v>70637.099999999991</v>
      </c>
      <c r="CH25" s="44">
        <v>0</v>
      </c>
      <c r="CI25" s="3">
        <f t="shared" si="3"/>
        <v>0</v>
      </c>
      <c r="CJ25" s="3">
        <f>CC25+CE25+CG25+CI25</f>
        <v>546260.24</v>
      </c>
      <c r="CK25" s="44">
        <v>0.02</v>
      </c>
      <c r="CL25" s="59">
        <f>CJ25*CK25</f>
        <v>10925.2048</v>
      </c>
      <c r="CM25" s="44">
        <v>0.01</v>
      </c>
      <c r="CN25" s="59">
        <f>CJ25*CM25</f>
        <v>5462.6023999999998</v>
      </c>
    </row>
    <row r="26" spans="2:92" ht="30" x14ac:dyDescent="0.25">
      <c r="B26">
        <v>8</v>
      </c>
      <c r="C26" s="1" t="str">
        <f>Sheet1!A28</f>
        <v>ENQ-15115-22-23</v>
      </c>
      <c r="D26" s="47">
        <v>45658</v>
      </c>
      <c r="E26" s="1" t="str">
        <f>Sheet1!C28</f>
        <v>FA1100177</v>
      </c>
      <c r="F26" s="1" t="str">
        <f>Sheet1!D28</f>
        <v>4 CORE X 150 SQ. MM. AL/ARD - WIRE (XLPE)</v>
      </c>
      <c r="G26" s="3">
        <f>CJ26+CL26+CN26</f>
        <v>915207.24160000007</v>
      </c>
      <c r="H26" s="59">
        <f>ROUNDUP(O56,0)</f>
        <v>14406</v>
      </c>
      <c r="I26" s="9">
        <f>G26+H26</f>
        <v>929613.24160000007</v>
      </c>
      <c r="J26" s="7">
        <f>Sheet1!CP28</f>
        <v>0.18</v>
      </c>
      <c r="K26" s="9">
        <f t="shared" si="0"/>
        <v>167330.38348799999</v>
      </c>
      <c r="L26" s="9">
        <f t="shared" si="1"/>
        <v>1096943.625088</v>
      </c>
      <c r="M26" s="1">
        <v>21.866</v>
      </c>
      <c r="N26" s="1" t="str">
        <f>Sheet1!CT28</f>
        <v>KMS</v>
      </c>
      <c r="O26" s="3">
        <f t="shared" si="2"/>
        <v>23985769.306174207</v>
      </c>
      <c r="P26" s="122">
        <f>+IFERROR(VLOOKUP($P$17,Sheet1!J28:L28,3,0),0)</f>
        <v>1620</v>
      </c>
      <c r="Q26" s="2">
        <f>+IFERROR(VLOOKUP($Q$17,Sheet1!J28:L28,3,0),0)</f>
        <v>0</v>
      </c>
      <c r="R26" s="2">
        <f>+IFERROR(VLOOKUP($R$17,Sheet1!J28:M28,3,0),0)</f>
        <v>0</v>
      </c>
      <c r="S26" s="2">
        <f>+IFERROR(VLOOKUP($S$17,Sheet1!J28:M28,3,0),0)</f>
        <v>0</v>
      </c>
      <c r="T26" s="2">
        <f>+IFERROR(VLOOKUP($T$17,Sheet1!J28:M28,3,0),0)</f>
        <v>0</v>
      </c>
      <c r="U26" s="2">
        <f>+IFERROR(VLOOKUP($U$17,Sheet1!N28:Q28,3,0),0)</f>
        <v>0</v>
      </c>
      <c r="V26" s="2">
        <f>+IFERROR(VLOOKUP($V$17,Sheet1!N28:Q28,3,0),0)</f>
        <v>0</v>
      </c>
      <c r="W26" s="2">
        <f>+IFERROR(VLOOKUP($W$17,Sheet1!F28:I28,3,0),0)</f>
        <v>0</v>
      </c>
      <c r="X26" s="2">
        <f>+IFERROR(VLOOKUP($X$17,Sheet1!F28:I28,3,0),0)</f>
        <v>0</v>
      </c>
      <c r="Y26" s="2">
        <f>+IFERROR(VLOOKUP($Y$17,Sheet1!F28:I28,3,0),0)</f>
        <v>0</v>
      </c>
      <c r="Z26" s="2">
        <f>+IFERROR(VLOOKUP($Z$17,Sheet1!F28:I28,3,0),0)</f>
        <v>0</v>
      </c>
      <c r="AA26" s="2">
        <f>+IFERROR(VLOOKUP($AA$17,Sheet1!F28:I28,3,0),0)</f>
        <v>0</v>
      </c>
      <c r="AB26" s="2">
        <f>+IFERROR(VLOOKUP($AB$17,Sheet1!F28:I28,3,0),0)</f>
        <v>0</v>
      </c>
      <c r="AC26" s="2">
        <f>+IFERROR(VLOOKUP($AC$17,Sheet1!F28:I28,3,0),0)</f>
        <v>0</v>
      </c>
      <c r="AD26" s="2">
        <f>+IFERROR(VLOOKUP($AD$17,Sheet1!F28:I28,3,0),0)</f>
        <v>0</v>
      </c>
      <c r="AE26" s="2">
        <f>+IFERROR(VLOOKUP($AE$17,Sheet1!R28:U28,3,0),0)</f>
        <v>0</v>
      </c>
      <c r="AF26" s="13">
        <f>+IFERROR(VLOOKUP($AF$17,Sheet1!R28:U28,2,0),0)</f>
        <v>0</v>
      </c>
      <c r="AG26" s="2">
        <f>+IFERROR(VLOOKUP($AG$17,Sheet1!V28:Y28,3,0),0)</f>
        <v>0</v>
      </c>
      <c r="AH26" s="123">
        <f>+IFERROR(VLOOKUP($AH$17,Sheet1!V28:Y28,3,0),0)</f>
        <v>276</v>
      </c>
      <c r="AI26" s="13">
        <f>+IFERROR(VLOOKUP($AI$17,Sheet1!V28:Y28,3,0),0)</f>
        <v>0</v>
      </c>
      <c r="AJ26" s="13">
        <f>+IFERROR(VLOOKUP($AJ$17,Sheet1!V28:Y28,3,0),0)</f>
        <v>0</v>
      </c>
      <c r="AK26" s="13">
        <f>+IFERROR(VLOOKUP($AK$17,Sheet1!V28:Y28,3,0),0)</f>
        <v>0</v>
      </c>
      <c r="AL26" s="13">
        <f>+IFERROR(VLOOKUP($AL$17,Sheet1!V28:Y28,3,0),0)</f>
        <v>0</v>
      </c>
      <c r="AM26" s="13">
        <f>+IFERROR(VLOOKUP($AM$17,Sheet1!Z28:AB28,3,0),0)</f>
        <v>0</v>
      </c>
      <c r="AN26" s="13">
        <f>+IFERROR(VLOOKUP($AN$17,Sheet1!AD28:AG28,3,0),0)</f>
        <v>0</v>
      </c>
      <c r="AO26" s="13">
        <f>+IFERROR(VLOOKUP($AO$17,Sheet1!AD28:AG28,3,0),0)</f>
        <v>0</v>
      </c>
      <c r="AP26" s="13">
        <f>+IFERROR(VLOOKUP($AP$17,Sheet1!AD28:AG28,3,0),0)</f>
        <v>0</v>
      </c>
      <c r="AQ26" s="13">
        <f>+IFERROR(VLOOKUP($AQ$17,Sheet1!AD28:AG28,3,0),0)</f>
        <v>0</v>
      </c>
      <c r="AR26" s="13">
        <f>+IFERROR(VLOOKUP($AR$17,Sheet1!AD28:AG28,3,0),0)</f>
        <v>0</v>
      </c>
      <c r="AS26" s="123">
        <v>135</v>
      </c>
      <c r="AT26" s="13">
        <f>+IFERROR(VLOOKUP($AT$17,Sheet1!AD28:AG28,3,0),0)</f>
        <v>0</v>
      </c>
      <c r="AU26" s="13">
        <f>+IFERROR(VLOOKUP($AU$17,Sheet1!AH28:AK28,3,0),0)</f>
        <v>0</v>
      </c>
      <c r="AV26" s="13">
        <f>+IFERROR(VLOOKUP($AV$17,Sheet1!AH28:AK28,3,0),0)</f>
        <v>0</v>
      </c>
      <c r="AW26" s="13">
        <f>+IFERROR(VLOOKUP($AW$17,Sheet1!AH28:AK28,3,0),0)</f>
        <v>0</v>
      </c>
      <c r="AX26" s="13">
        <f>+IFERROR(VLOOKUP($AX$17,Sheet1!AH28:AK28,3,0),0)</f>
        <v>0</v>
      </c>
      <c r="AY26" s="13">
        <f>+IFERROR(VLOOKUP($AY$17,Sheet1!AH28:AK28,3,0),0)</f>
        <v>0</v>
      </c>
      <c r="AZ26" s="13">
        <f>+IFERROR(VLOOKUP($AZ$17,Sheet1!AH28:AK28,3,0),0)</f>
        <v>0</v>
      </c>
      <c r="BA26" s="13">
        <f>+IFERROR(VLOOKUP($BA$17,Sheet1!AH28:AK28,3,0),0)</f>
        <v>0</v>
      </c>
      <c r="BB26" s="13">
        <f>+IFERROR(VLOOKUP($BB$17,Sheet1!AH28:AK28,3,0),0)</f>
        <v>0</v>
      </c>
      <c r="BC26" s="123">
        <v>2290</v>
      </c>
      <c r="BD26" s="13">
        <f>+IFERROR(VLOOKUP($BD$17,Sheet1!AH28:AK28,3,0),0)</f>
        <v>0</v>
      </c>
      <c r="BE26" s="13">
        <f>+IFERROR(VLOOKUP($BE$17,Sheet1!AL28:AO28,3,0),0)</f>
        <v>0</v>
      </c>
      <c r="BF26" s="13">
        <f>+IFERROR(VLOOKUP($BF$17,Sheet1!AL28:AO28,3,0),0)</f>
        <v>0</v>
      </c>
      <c r="BG26" s="13">
        <f>+IFERROR(VLOOKUP($BG$17,Sheet1!AL28:AO28,3,0),0)</f>
        <v>0</v>
      </c>
      <c r="BH26" s="123">
        <v>530</v>
      </c>
      <c r="BI26" s="13">
        <f>+IFERROR(VLOOKUP($BI$17,Sheet1!AL28:AO28,3,0),0)</f>
        <v>0</v>
      </c>
      <c r="BJ26" s="13">
        <f>+IFERROR(VLOOKUP($BJ$17,Sheet1!AL28:AO28,3,0),0)</f>
        <v>0</v>
      </c>
      <c r="BK26" s="13">
        <f>+IFERROR(VLOOKUP($BK$17,Sheet1!AL28:AO28,3,0),0)</f>
        <v>0</v>
      </c>
      <c r="BL26" s="13">
        <f>+IFERROR(VLOOKUP($BL$17,Sheet1!AL28:AO28,3,0),0)</f>
        <v>0</v>
      </c>
      <c r="BM26" s="13">
        <f>+IFERROR(VLOOKUP($BM$17,Sheet1!AL28:AO28,3,0),0)</f>
        <v>0</v>
      </c>
      <c r="BN26" s="13">
        <f>+IFERROR(VLOOKUP($BN$17,Sheet1!AL28:AO28,3,0),0)</f>
        <v>0</v>
      </c>
      <c r="BO26" s="13">
        <f>+IFERROR(VLOOKUP($BO$17,Sheet1!AP28:AS28,3,0),0)</f>
        <v>0</v>
      </c>
      <c r="BP26" s="13">
        <f>+IFERROR(VLOOKUP($BP$17,Sheet1!AT28:AW28,3,0),0)</f>
        <v>0</v>
      </c>
      <c r="BQ26" s="123">
        <v>55</v>
      </c>
      <c r="BR26" s="13">
        <f>+IFERROR(VLOOKUP($BR$17,Sheet1!BB28:BE28,3,0),0)</f>
        <v>0</v>
      </c>
      <c r="BS26" s="13">
        <f>+IFERROR(VLOOKUP($BS$17,Sheet1!BF28:BI28,3,0),0)</f>
        <v>0</v>
      </c>
      <c r="BT26" s="13">
        <f>+IFERROR(VLOOKUP($BT$17,Sheet1!BJ28:BM28,3,0),0)</f>
        <v>0</v>
      </c>
      <c r="BU26" s="13">
        <f>+IFERROR(VLOOKUP($BU$17,Sheet1!BN28:BQ28,3,0),0)</f>
        <v>0</v>
      </c>
      <c r="BV26" s="123">
        <v>33</v>
      </c>
      <c r="BW26" s="13">
        <f>+IFERROR(VLOOKUP($BW$17,Sheet1!BV28:BY28,3,0),0)</f>
        <v>0</v>
      </c>
      <c r="BX26" s="13" t="str">
        <f>Sheet1!E28</f>
        <v>WOOD</v>
      </c>
      <c r="BY26" s="13" t="str">
        <f>Sheet1!CV28</f>
        <v>MD0100024</v>
      </c>
      <c r="BZ26" s="13" t="str">
        <f>Sheet1!CW28</f>
        <v>DRUM - 70 X 30 X 36 X 3</v>
      </c>
      <c r="CA26" s="13">
        <f>Sheet1!CX28</f>
        <v>500</v>
      </c>
      <c r="CB26" s="3">
        <f>Sheet1!BZ28</f>
        <v>21178</v>
      </c>
      <c r="CC26" s="3">
        <f>SUMPRODUCT($P$18:$BW$18,P26:BW26)+CB26</f>
        <v>765992</v>
      </c>
      <c r="CD26" s="23">
        <v>0.01</v>
      </c>
      <c r="CE26" s="3">
        <f>CC26*CD26</f>
        <v>7659.92</v>
      </c>
      <c r="CF26" s="44">
        <v>0.15</v>
      </c>
      <c r="CG26" s="3">
        <f>CC26*CF26</f>
        <v>114898.8</v>
      </c>
      <c r="CH26" s="44">
        <v>0</v>
      </c>
      <c r="CI26" s="3">
        <f t="shared" si="3"/>
        <v>0</v>
      </c>
      <c r="CJ26" s="3">
        <f>CC26+CE26+CG26+CI26</f>
        <v>888550.72000000009</v>
      </c>
      <c r="CK26" s="44">
        <v>0.02</v>
      </c>
      <c r="CL26" s="59">
        <f>CJ26*CK26</f>
        <v>17771.014400000004</v>
      </c>
      <c r="CM26" s="44">
        <v>0.01</v>
      </c>
      <c r="CN26" s="59">
        <f>CJ26*CM26</f>
        <v>8885.5072000000018</v>
      </c>
    </row>
    <row r="27" spans="2:92" ht="38.25" x14ac:dyDescent="0.25">
      <c r="B27">
        <v>9</v>
      </c>
      <c r="C27" s="1" t="str">
        <f>Sheet1!A25</f>
        <v>ENQ-15115-22-23</v>
      </c>
      <c r="D27" s="47">
        <v>45658</v>
      </c>
      <c r="E27" s="1" t="str">
        <f>Sheet1!C25</f>
        <v>FA1100091</v>
      </c>
      <c r="F27" s="1" t="str">
        <f>Sheet1!D25</f>
        <v>4 CORE X 240 SQ. MM. AL/ARD - WIRE (XLPE)</v>
      </c>
      <c r="G27" s="3">
        <f>CJ27+CL27+CN27</f>
        <v>1367560.9112000002</v>
      </c>
      <c r="H27" s="59">
        <f>ROUNDUP(O57,0)</f>
        <v>25000</v>
      </c>
      <c r="I27" s="172">
        <f>G27+H27</f>
        <v>1392560.9112000002</v>
      </c>
      <c r="J27" s="7">
        <f>Sheet1!CP25</f>
        <v>0.18</v>
      </c>
      <c r="K27" s="9">
        <f t="shared" si="0"/>
        <v>250660.96401600004</v>
      </c>
      <c r="L27" s="9">
        <f t="shared" si="1"/>
        <v>1643221.8752160002</v>
      </c>
      <c r="M27" s="1">
        <v>7</v>
      </c>
      <c r="N27" s="1" t="str">
        <f>Sheet1!CT25</f>
        <v>KMS</v>
      </c>
      <c r="O27" s="3">
        <f t="shared" si="2"/>
        <v>11502553.126512002</v>
      </c>
      <c r="P27" s="122">
        <f>+IFERROR(VLOOKUP($P$17,Sheet1!J25:L25,3,0),0)</f>
        <v>2595</v>
      </c>
      <c r="Q27" s="2">
        <f>+IFERROR(VLOOKUP($Q$17,Sheet1!J25:L25,3,0),0)</f>
        <v>0</v>
      </c>
      <c r="R27" s="2">
        <f>+IFERROR(VLOOKUP($R$17,Sheet1!J25:M25,3,0),0)</f>
        <v>0</v>
      </c>
      <c r="S27" s="2">
        <f>+IFERROR(VLOOKUP($S$17,Sheet1!J25:M25,3,0),0)</f>
        <v>0</v>
      </c>
      <c r="T27" s="2">
        <f>+IFERROR(VLOOKUP($T$17,Sheet1!J25:M25,3,0),0)</f>
        <v>0</v>
      </c>
      <c r="U27" s="2">
        <f>+IFERROR(VLOOKUP($U$17,Sheet1!N25:Q25,3,0),0)</f>
        <v>0</v>
      </c>
      <c r="V27" s="2">
        <f>+IFERROR(VLOOKUP($V$17,Sheet1!N25:Q25,3,0),0)</f>
        <v>0</v>
      </c>
      <c r="W27" s="2">
        <f>+IFERROR(VLOOKUP($W$17,Sheet1!F25:I25,3,0),0)</f>
        <v>0</v>
      </c>
      <c r="X27" s="2">
        <f>+IFERROR(VLOOKUP($X$17,Sheet1!F25:I25,3,0),0)</f>
        <v>0</v>
      </c>
      <c r="Y27" s="2">
        <f>+IFERROR(VLOOKUP($Y$17,Sheet1!F25:I25,3,0),0)</f>
        <v>0</v>
      </c>
      <c r="Z27" s="2">
        <f>+IFERROR(VLOOKUP($Z$17,Sheet1!F25:I25,3,0),0)</f>
        <v>0</v>
      </c>
      <c r="AA27" s="2">
        <f>+IFERROR(VLOOKUP($AA$17,Sheet1!F25:I25,3,0),0)</f>
        <v>0</v>
      </c>
      <c r="AB27" s="2">
        <f>+IFERROR(VLOOKUP($AB$17,Sheet1!F25:I25,3,0),0)</f>
        <v>0</v>
      </c>
      <c r="AC27" s="2">
        <f>+IFERROR(VLOOKUP($AC$17,Sheet1!F25:I25,3,0),0)</f>
        <v>0</v>
      </c>
      <c r="AD27" s="2">
        <f>+IFERROR(VLOOKUP($AD$17,Sheet1!F25:I25,3,0),0)</f>
        <v>0</v>
      </c>
      <c r="AE27" s="2">
        <f>+IFERROR(VLOOKUP($AE$17,Sheet1!R25:U25,3,0),0)</f>
        <v>0</v>
      </c>
      <c r="AF27" s="13">
        <f>+IFERROR(VLOOKUP($AF$17,Sheet1!R25:U25,2,0),0)</f>
        <v>0</v>
      </c>
      <c r="AG27" s="2">
        <f>+IFERROR(VLOOKUP($AG$17,Sheet1!V25:Y25,3,0),0)</f>
        <v>0</v>
      </c>
      <c r="AH27" s="123">
        <v>415</v>
      </c>
      <c r="AI27" s="13">
        <f>+IFERROR(VLOOKUP($AI$17,Sheet1!V25:Y25,3,0),0)</f>
        <v>0</v>
      </c>
      <c r="AJ27" s="13">
        <f>+IFERROR(VLOOKUP($AJ$17,Sheet1!V25:Y25,3,0),0)</f>
        <v>0</v>
      </c>
      <c r="AK27" s="13">
        <f>+IFERROR(VLOOKUP($AK$17,Sheet1!V25:Y25,3,0),0)</f>
        <v>0</v>
      </c>
      <c r="AL27" s="13">
        <f>+IFERROR(VLOOKUP($AL$17,Sheet1!V25:Y25,3,0),0)</f>
        <v>0</v>
      </c>
      <c r="AM27" s="13">
        <f>+IFERROR(VLOOKUP($AM$17,Sheet1!Z25:AB25,3,0),0)</f>
        <v>0</v>
      </c>
      <c r="AN27" s="13">
        <f>+IFERROR(VLOOKUP($AN$17,Sheet1!AD25:AG25,3,0),0)</f>
        <v>0</v>
      </c>
      <c r="AO27" s="13">
        <f>+IFERROR(VLOOKUP($AO$17,Sheet1!AD25:AG25,3,0),0)</f>
        <v>0</v>
      </c>
      <c r="AP27" s="13">
        <f>+IFERROR(VLOOKUP($AP$17,Sheet1!AD25:AG25,3,0),0)</f>
        <v>0</v>
      </c>
      <c r="AQ27" s="13">
        <f>+IFERROR(VLOOKUP($AQ$17,Sheet1!AD25:AG25,3,0),0)</f>
        <v>0</v>
      </c>
      <c r="AR27" s="13">
        <f>+IFERROR(VLOOKUP($AR$17,Sheet1!AD25:AG25,3,0),0)</f>
        <v>0</v>
      </c>
      <c r="AS27" s="123">
        <v>185</v>
      </c>
      <c r="AT27" s="13">
        <f>+IFERROR(VLOOKUP($AT$17,Sheet1!AD25:AG25,3,0),0)</f>
        <v>0</v>
      </c>
      <c r="AU27" s="13">
        <f>+IFERROR(VLOOKUP($AU$17,Sheet1!AH25:AK25,3,0),0)</f>
        <v>0</v>
      </c>
      <c r="AV27" s="13">
        <f>+IFERROR(VLOOKUP($AV$17,Sheet1!AH25:AK25,3,0),0)</f>
        <v>0</v>
      </c>
      <c r="AW27" s="13">
        <f>+IFERROR(VLOOKUP($AW$17,Sheet1!AH25:AK25,3,0),0)</f>
        <v>0</v>
      </c>
      <c r="AX27" s="13">
        <f>+IFERROR(VLOOKUP($AX$17,Sheet1!AH25:AK25,3,0),0)</f>
        <v>0</v>
      </c>
      <c r="AY27" s="13">
        <f>+IFERROR(VLOOKUP($AY$17,Sheet1!AH25:AK25,3,0),0)</f>
        <v>0</v>
      </c>
      <c r="AZ27" s="13">
        <f>+IFERROR(VLOOKUP($AZ$17,Sheet1!AH25:AK25,3,0),0)</f>
        <v>0</v>
      </c>
      <c r="BA27" s="13">
        <f>+IFERROR(VLOOKUP($BA$17,Sheet1!AH25:AK25,3,0),0)</f>
        <v>0</v>
      </c>
      <c r="BB27" s="13">
        <f>+IFERROR(VLOOKUP($BB$17,Sheet1!AH25:AK25,3,0),0)</f>
        <v>0</v>
      </c>
      <c r="BC27" s="123">
        <v>2800</v>
      </c>
      <c r="BD27" s="13">
        <f>+IFERROR(VLOOKUP($BD$17,Sheet1!AH25:AK25,3,0),0)</f>
        <v>0</v>
      </c>
      <c r="BE27" s="13">
        <f>+IFERROR(VLOOKUP($BE$17,Sheet1!AL25:AO25,3,0),0)</f>
        <v>0</v>
      </c>
      <c r="BF27" s="13">
        <f>+IFERROR(VLOOKUP($BF$17,Sheet1!AL25:AO25,3,0),0)</f>
        <v>0</v>
      </c>
      <c r="BG27" s="13">
        <f>+IFERROR(VLOOKUP($BG$17,Sheet1!AL25:AO25,3,0),0)</f>
        <v>0</v>
      </c>
      <c r="BH27" s="123">
        <v>728</v>
      </c>
      <c r="BI27" s="13">
        <f>+IFERROR(VLOOKUP($BI$17,Sheet1!AL25:AO25,3,0),0)</f>
        <v>0</v>
      </c>
      <c r="BJ27" s="13">
        <f>+IFERROR(VLOOKUP($BJ$17,Sheet1!AL25:AO25,3,0),0)</f>
        <v>0</v>
      </c>
      <c r="BK27" s="13">
        <f>+IFERROR(VLOOKUP($BK$17,Sheet1!AL25:AO25,3,0),0)</f>
        <v>0</v>
      </c>
      <c r="BL27" s="13">
        <f>+IFERROR(VLOOKUP($BL$17,Sheet1!AL25:AO25,3,0),0)</f>
        <v>0</v>
      </c>
      <c r="BM27" s="13">
        <f>+IFERROR(VLOOKUP($BM$17,Sheet1!AL25:AO25,3,0),0)</f>
        <v>0</v>
      </c>
      <c r="BN27" s="13">
        <f>+IFERROR(VLOOKUP($BN$17,Sheet1!AL25:AO25,3,0),0)</f>
        <v>0</v>
      </c>
      <c r="BO27" s="13">
        <f>+IFERROR(VLOOKUP($BO$17,Sheet1!AP25:AS25,3,0),0)</f>
        <v>0</v>
      </c>
      <c r="BP27" s="13">
        <f>+IFERROR(VLOOKUP($BP$17,Sheet1!AT25:AW25,3,0),0)</f>
        <v>0</v>
      </c>
      <c r="BQ27" s="123">
        <v>75</v>
      </c>
      <c r="BR27" s="13">
        <f>+IFERROR(VLOOKUP($BR$17,Sheet1!BB25:BE25,3,0),0)</f>
        <v>0</v>
      </c>
      <c r="BS27" s="13">
        <f>+IFERROR(VLOOKUP($BS$17,Sheet1!BF25:BI25,3,0),0)</f>
        <v>0</v>
      </c>
      <c r="BT27" s="13">
        <f>+IFERROR(VLOOKUP($BT$17,Sheet1!BJ25:BM25,3,0),0)</f>
        <v>0</v>
      </c>
      <c r="BU27" s="13">
        <f>+IFERROR(VLOOKUP($BU$17,Sheet1!BN25:BQ25,3,0),0)</f>
        <v>0</v>
      </c>
      <c r="BV27" s="123">
        <v>39</v>
      </c>
      <c r="BW27" s="13">
        <f>+IFERROR(VLOOKUP($BW$17,Sheet1!BV25:BY25,3,0),0)</f>
        <v>0</v>
      </c>
      <c r="BX27" s="178" t="s">
        <v>272</v>
      </c>
      <c r="BY27" s="178" t="s">
        <v>353</v>
      </c>
      <c r="BZ27" s="178" t="s">
        <v>354</v>
      </c>
      <c r="CA27" s="13">
        <f>Sheet1!CX25</f>
        <v>500</v>
      </c>
      <c r="CB27" s="3">
        <f>26600/0.5</f>
        <v>53200</v>
      </c>
      <c r="CC27" s="3">
        <f>SUMPRODUCT($P$18:$BW$18,P27:BW27)+CB27</f>
        <v>1144594</v>
      </c>
      <c r="CD27" s="23">
        <v>0.01</v>
      </c>
      <c r="CE27" s="3">
        <f>CC27*CD27</f>
        <v>11445.94</v>
      </c>
      <c r="CF27" s="44">
        <v>0.15</v>
      </c>
      <c r="CG27" s="3">
        <f>CC27*CF27</f>
        <v>171689.1</v>
      </c>
      <c r="CH27" s="44">
        <v>0</v>
      </c>
      <c r="CI27" s="3">
        <f t="shared" si="3"/>
        <v>0</v>
      </c>
      <c r="CJ27" s="3">
        <f>CC27+CE27+CG27+CI27</f>
        <v>1327729.04</v>
      </c>
      <c r="CK27" s="44">
        <v>0.02</v>
      </c>
      <c r="CL27" s="59">
        <f>CJ27*CK27</f>
        <v>26554.5808</v>
      </c>
      <c r="CM27" s="44">
        <v>0.01</v>
      </c>
      <c r="CN27" s="59">
        <f>CJ27*CM27</f>
        <v>13277.2904</v>
      </c>
    </row>
    <row r="28" spans="2:92" ht="38.25" x14ac:dyDescent="0.25">
      <c r="B28">
        <v>10</v>
      </c>
      <c r="C28" s="1" t="str">
        <f>Sheet1!A27</f>
        <v>ENQ-15115-22-23</v>
      </c>
      <c r="D28" s="47">
        <v>45658</v>
      </c>
      <c r="E28" s="1" t="str">
        <f>Sheet1!C27</f>
        <v>FA1100176</v>
      </c>
      <c r="F28" s="1" t="str">
        <f>Sheet1!D27</f>
        <v>4 CORE X 300 SQ. MM. AL/ARD - WIRE (XLPE)</v>
      </c>
      <c r="G28" s="3">
        <f>CJ28+CL28+CN28</f>
        <v>1683360.8888000001</v>
      </c>
      <c r="H28" s="59">
        <f>ROUNDUP(O58,0)</f>
        <v>23334</v>
      </c>
      <c r="I28" s="9">
        <f>G28+H28</f>
        <v>1706694.8888000001</v>
      </c>
      <c r="J28" s="7">
        <f>Sheet1!CP27</f>
        <v>0.18</v>
      </c>
      <c r="K28" s="9">
        <f t="shared" si="0"/>
        <v>307205.07998400001</v>
      </c>
      <c r="L28" s="9">
        <f t="shared" si="1"/>
        <v>2013899.968784</v>
      </c>
      <c r="M28" s="1">
        <v>34.5</v>
      </c>
      <c r="N28" s="1" t="str">
        <f>Sheet1!CT27</f>
        <v>KMS</v>
      </c>
      <c r="O28" s="3">
        <f t="shared" si="2"/>
        <v>69479548.923048005</v>
      </c>
      <c r="P28" s="168">
        <f>+IFERROR(VLOOKUP($P$17,Sheet1!J27:L27,3,0),0)</f>
        <v>3240</v>
      </c>
      <c r="Q28" s="2">
        <f>+IFERROR(VLOOKUP($Q$17,Sheet1!J27:L27,3,0),0)</f>
        <v>0</v>
      </c>
      <c r="R28" s="2">
        <f>+IFERROR(VLOOKUP($R$17,Sheet1!J27:M27,3,0),0)</f>
        <v>0</v>
      </c>
      <c r="S28" s="2">
        <f>+IFERROR(VLOOKUP($S$17,Sheet1!J27:M27,3,0),0)</f>
        <v>0</v>
      </c>
      <c r="T28" s="2">
        <f>+IFERROR(VLOOKUP($T$17,Sheet1!J27:M27,3,0),0)</f>
        <v>0</v>
      </c>
      <c r="U28" s="2">
        <f>+IFERROR(VLOOKUP($U$17,Sheet1!N27:Q27,3,0),0)</f>
        <v>0</v>
      </c>
      <c r="V28" s="2">
        <f>+IFERROR(VLOOKUP($V$17,Sheet1!N27:Q27,3,0),0)</f>
        <v>0</v>
      </c>
      <c r="W28" s="2">
        <f>+IFERROR(VLOOKUP($W$17,Sheet1!F27:I27,3,0),0)</f>
        <v>0</v>
      </c>
      <c r="X28" s="2">
        <f>+IFERROR(VLOOKUP($X$17,Sheet1!F27:I27,3,0),0)</f>
        <v>0</v>
      </c>
      <c r="Y28" s="2">
        <f>+IFERROR(VLOOKUP($Y$17,Sheet1!F27:I27,3,0),0)</f>
        <v>0</v>
      </c>
      <c r="Z28" s="2">
        <f>+IFERROR(VLOOKUP($Z$17,Sheet1!F27:I27,3,0),0)</f>
        <v>0</v>
      </c>
      <c r="AA28" s="2">
        <f>+IFERROR(VLOOKUP($AA$17,Sheet1!F27:I27,3,0),0)</f>
        <v>0</v>
      </c>
      <c r="AB28" s="2">
        <f>+IFERROR(VLOOKUP($AB$17,Sheet1!F27:I27,3,0),0)</f>
        <v>0</v>
      </c>
      <c r="AC28" s="2">
        <f>+IFERROR(VLOOKUP($AC$17,Sheet1!F27:I27,3,0),0)</f>
        <v>0</v>
      </c>
      <c r="AD28" s="2">
        <f>+IFERROR(VLOOKUP($AD$17,Sheet1!F27:I27,3,0),0)</f>
        <v>0</v>
      </c>
      <c r="AE28" s="2">
        <f>+IFERROR(VLOOKUP($AE$17,Sheet1!R27:U27,3,0),0)</f>
        <v>0</v>
      </c>
      <c r="AF28" s="13">
        <f>+IFERROR(VLOOKUP($AF$17,Sheet1!R27:U27,2,0),0)</f>
        <v>0</v>
      </c>
      <c r="AG28" s="2">
        <f>+IFERROR(VLOOKUP($AG$17,Sheet1!V27:Y27,3,0),0)</f>
        <v>0</v>
      </c>
      <c r="AH28" s="123">
        <v>500</v>
      </c>
      <c r="AI28" s="13">
        <f>+IFERROR(VLOOKUP($AI$17,Sheet1!V27:Y27,3,0),0)</f>
        <v>0</v>
      </c>
      <c r="AJ28" s="13">
        <f>+IFERROR(VLOOKUP($AJ$17,Sheet1!V27:Y27,3,0),0)</f>
        <v>0</v>
      </c>
      <c r="AK28" s="13">
        <f>+IFERROR(VLOOKUP($AK$17,Sheet1!V27:Y27,3,0),0)</f>
        <v>0</v>
      </c>
      <c r="AL28" s="13">
        <f>+IFERROR(VLOOKUP($AL$17,Sheet1!V27:Y27,3,0),0)</f>
        <v>0</v>
      </c>
      <c r="AM28" s="13">
        <f>+IFERROR(VLOOKUP($AM$17,Sheet1!Z27:AB27,3,0),0)</f>
        <v>0</v>
      </c>
      <c r="AN28" s="13">
        <f>+IFERROR(VLOOKUP($AN$17,Sheet1!AD27:AG27,3,0),0)</f>
        <v>0</v>
      </c>
      <c r="AO28" s="13">
        <f>+IFERROR(VLOOKUP($AO$17,Sheet1!AD27:AG27,3,0),0)</f>
        <v>0</v>
      </c>
      <c r="AP28" s="13">
        <f>+IFERROR(VLOOKUP($AP$17,Sheet1!AD27:AG27,3,0),0)</f>
        <v>0</v>
      </c>
      <c r="AQ28" s="13">
        <f>+IFERROR(VLOOKUP($AQ$17,Sheet1!AD27:AG27,3,0),0)</f>
        <v>0</v>
      </c>
      <c r="AR28" s="13">
        <f>+IFERROR(VLOOKUP($AR$17,Sheet1!AD27:AG27,3,0),0)</f>
        <v>0</v>
      </c>
      <c r="AS28" s="123">
        <v>240</v>
      </c>
      <c r="AT28" s="13">
        <f>+IFERROR(VLOOKUP($AT$17,Sheet1!AD27:AG27,3,0),0)</f>
        <v>0</v>
      </c>
      <c r="AU28" s="13">
        <f>+IFERROR(VLOOKUP($AU$17,Sheet1!AH27:AK27,3,0),0)</f>
        <v>0</v>
      </c>
      <c r="AV28" s="13">
        <f>+IFERROR(VLOOKUP($AV$17,Sheet1!AH27:AK27,3,0),0)</f>
        <v>0</v>
      </c>
      <c r="AW28" s="13">
        <f>+IFERROR(VLOOKUP($AW$17,Sheet1!AH27:AK27,3,0),0)</f>
        <v>0</v>
      </c>
      <c r="AX28" s="13">
        <f>+IFERROR(VLOOKUP($AX$17,Sheet1!AH27:AK27,3,0),0)</f>
        <v>0</v>
      </c>
      <c r="AY28" s="13">
        <f>+IFERROR(VLOOKUP($AY$17,Sheet1!AH27:AK27,3,0),0)</f>
        <v>0</v>
      </c>
      <c r="AZ28" s="13">
        <f>+IFERROR(VLOOKUP($AZ$17,Sheet1!AH27:AK27,3,0),0)</f>
        <v>0</v>
      </c>
      <c r="BA28" s="13">
        <f>+IFERROR(VLOOKUP($BA$17,Sheet1!AH27:AK27,3,0),0)</f>
        <v>0</v>
      </c>
      <c r="BB28" s="13">
        <f>+IFERROR(VLOOKUP($BB$17,Sheet1!AH27:AK27,3,0),0)</f>
        <v>0</v>
      </c>
      <c r="BC28" s="123">
        <v>3118</v>
      </c>
      <c r="BD28" s="13">
        <f>+IFERROR(VLOOKUP($BD$17,Sheet1!AH27:AK27,3,0),0)</f>
        <v>0</v>
      </c>
      <c r="BE28" s="13">
        <f>+IFERROR(VLOOKUP($BE$17,Sheet1!AL27:AO27,3,0),0)</f>
        <v>0</v>
      </c>
      <c r="BF28" s="13">
        <f>+IFERROR(VLOOKUP($BF$17,Sheet1!AL27:AO27,3,0),0)</f>
        <v>0</v>
      </c>
      <c r="BG28" s="13">
        <f>+IFERROR(VLOOKUP($BG$17,Sheet1!AL27:AO27,3,0),0)</f>
        <v>0</v>
      </c>
      <c r="BH28" s="123">
        <v>880</v>
      </c>
      <c r="BI28" s="13">
        <f>+IFERROR(VLOOKUP($BI$17,Sheet1!AL27:AO27,3,0),0)</f>
        <v>0</v>
      </c>
      <c r="BJ28" s="13">
        <f>+IFERROR(VLOOKUP($BJ$17,Sheet1!AL27:AO27,3,0),0)</f>
        <v>0</v>
      </c>
      <c r="BK28" s="13">
        <f>+IFERROR(VLOOKUP($BK$17,Sheet1!AL27:AO27,3,0),0)</f>
        <v>0</v>
      </c>
      <c r="BL28" s="13">
        <f>+IFERROR(VLOOKUP($BL$17,Sheet1!AL27:AO27,3,0),0)</f>
        <v>0</v>
      </c>
      <c r="BM28" s="13">
        <f>+IFERROR(VLOOKUP($BM$17,Sheet1!AL27:AO27,3,0),0)</f>
        <v>0</v>
      </c>
      <c r="BN28" s="13">
        <f>+IFERROR(VLOOKUP($BN$17,Sheet1!AL27:AO27,3,0),0)</f>
        <v>0</v>
      </c>
      <c r="BO28" s="13">
        <f>+IFERROR(VLOOKUP($BO$17,Sheet1!AP27:AS27,3,0),0)</f>
        <v>0</v>
      </c>
      <c r="BP28" s="13">
        <f>+IFERROR(VLOOKUP($BP$17,Sheet1!AT27:AW27,3,0),0)</f>
        <v>0</v>
      </c>
      <c r="BQ28" s="123">
        <v>112</v>
      </c>
      <c r="BR28" s="13">
        <f>+IFERROR(VLOOKUP($BR$17,Sheet1!BB27:BE27,3,0),0)</f>
        <v>0</v>
      </c>
      <c r="BS28" s="13">
        <f>+IFERROR(VLOOKUP($BS$17,Sheet1!BF27:BI27,3,0),0)</f>
        <v>0</v>
      </c>
      <c r="BT28" s="13">
        <f>+IFERROR(VLOOKUP($BT$17,Sheet1!BJ27:BM27,3,0),0)</f>
        <v>0</v>
      </c>
      <c r="BU28" s="13">
        <f>+IFERROR(VLOOKUP($BU$17,Sheet1!BN27:BQ27,3,0),0)</f>
        <v>0</v>
      </c>
      <c r="BV28" s="123">
        <v>44</v>
      </c>
      <c r="BW28" s="13">
        <f>+IFERROR(VLOOKUP($BW$17,Sheet1!BV27:BY27,3,0),0)</f>
        <v>0</v>
      </c>
      <c r="BX28" s="13" t="str">
        <f>Sheet1!E27</f>
        <v>STEEL</v>
      </c>
      <c r="BY28" s="13" t="str">
        <f>Sheet1!CV27</f>
        <v>SP0400139</v>
      </c>
      <c r="BZ28" s="13" t="str">
        <f>Sheet1!CW27</f>
        <v>CORRUGATED DISPATCH STEEL DRUM 2130 X 890 X 965</v>
      </c>
      <c r="CA28" s="13">
        <f>Sheet1!CX27</f>
        <v>500</v>
      </c>
      <c r="CB28" s="3">
        <f>Sheet1!BZ27</f>
        <v>78780</v>
      </c>
      <c r="CC28" s="3">
        <f>SUMPRODUCT($P$18:$BW$18,P28:BW28)+CB28</f>
        <v>1408906</v>
      </c>
      <c r="CD28" s="23">
        <v>0.01</v>
      </c>
      <c r="CE28" s="3">
        <f>CC28*CD28</f>
        <v>14089.06</v>
      </c>
      <c r="CF28" s="44">
        <v>0.15</v>
      </c>
      <c r="CG28" s="3">
        <f>CC28*CF28</f>
        <v>211335.9</v>
      </c>
      <c r="CH28" s="44">
        <v>0</v>
      </c>
      <c r="CI28" s="3">
        <f t="shared" si="3"/>
        <v>0</v>
      </c>
      <c r="CJ28" s="3">
        <f>CC28+CE28+CG28+CI28</f>
        <v>1634330.96</v>
      </c>
      <c r="CK28" s="44">
        <v>0.02</v>
      </c>
      <c r="CL28" s="59">
        <f>CJ28*CK28</f>
        <v>32686.619200000001</v>
      </c>
      <c r="CM28" s="44">
        <v>0.01</v>
      </c>
      <c r="CN28" s="59">
        <f>CJ28*CM28</f>
        <v>16343.309600000001</v>
      </c>
    </row>
    <row r="29" spans="2:92" ht="30" x14ac:dyDescent="0.25">
      <c r="B29">
        <v>11</v>
      </c>
      <c r="C29" s="1" t="str">
        <f>Sheet1!A7</f>
        <v>ENQ-15115-22-23</v>
      </c>
      <c r="D29" s="47">
        <v>45658</v>
      </c>
      <c r="E29" s="1" t="str">
        <f>Sheet1!C7</f>
        <v>FA0500017</v>
      </c>
      <c r="F29" s="1" t="str">
        <f>Sheet1!D7</f>
        <v>1 CORE X 50 SQ. MM. AL/UNARD. (XLPE)</v>
      </c>
      <c r="G29" s="3">
        <f>CJ29+CL29+CN29</f>
        <v>62424.715600000003</v>
      </c>
      <c r="H29" s="59">
        <f>ROUNDUP(O59,0)</f>
        <v>1455</v>
      </c>
      <c r="I29" s="9">
        <f>G29+H29</f>
        <v>63879.715600000003</v>
      </c>
      <c r="J29" s="7">
        <f>Sheet1!CP7</f>
        <v>0.18</v>
      </c>
      <c r="K29" s="9">
        <f t="shared" si="0"/>
        <v>11498.348808000001</v>
      </c>
      <c r="L29" s="9">
        <f t="shared" si="1"/>
        <v>75378.064408000006</v>
      </c>
      <c r="M29" s="1">
        <f>Sheet1!CS7</f>
        <v>24.06</v>
      </c>
      <c r="N29" s="1" t="str">
        <f>Sheet1!CT7</f>
        <v>KMS</v>
      </c>
      <c r="O29" s="3">
        <f t="shared" si="2"/>
        <v>1813596.22965648</v>
      </c>
      <c r="P29" s="2">
        <f>+IFERROR(VLOOKUP($P$17,Sheet1!J7:L7,3,0),0)</f>
        <v>135</v>
      </c>
      <c r="Q29" s="2">
        <f>+IFERROR(VLOOKUP($Q$17,Sheet1!J7:L7,3,0),0)</f>
        <v>0</v>
      </c>
      <c r="R29" s="2">
        <f>+IFERROR(VLOOKUP($R$17,Sheet1!J7:M7,3,0),0)</f>
        <v>0</v>
      </c>
      <c r="S29" s="2">
        <f>+IFERROR(VLOOKUP($S$17,Sheet1!J7:M7,3,0),0)</f>
        <v>0</v>
      </c>
      <c r="T29" s="2">
        <f>+IFERROR(VLOOKUP($T$17,Sheet1!J7:M7,3,0),0)</f>
        <v>0</v>
      </c>
      <c r="U29" s="2">
        <f>+IFERROR(VLOOKUP($U$17,Sheet1!N7:Q7,3,0),0)</f>
        <v>0</v>
      </c>
      <c r="V29" s="2">
        <f>+IFERROR(VLOOKUP($V$17,Sheet1!N7:Q7,3,0),0)</f>
        <v>0</v>
      </c>
      <c r="W29" s="2">
        <f>+IFERROR(VLOOKUP($W$17,Sheet1!F7:I7,3,0),0)</f>
        <v>0</v>
      </c>
      <c r="X29" s="2">
        <f>+IFERROR(VLOOKUP($X$17,Sheet1!F7:I7,3,0),0)</f>
        <v>0</v>
      </c>
      <c r="Y29" s="2">
        <f>+IFERROR(VLOOKUP($Y$17,Sheet1!F7:I7,3,0),0)</f>
        <v>0</v>
      </c>
      <c r="Z29" s="2">
        <f>+IFERROR(VLOOKUP($Z$17,Sheet1!F7:I7,3,0),0)</f>
        <v>0</v>
      </c>
      <c r="AA29" s="2">
        <f>+IFERROR(VLOOKUP($AA$17,Sheet1!F7:I7,3,0),0)</f>
        <v>0</v>
      </c>
      <c r="AB29" s="2">
        <f>+IFERROR(VLOOKUP($AB$17,Sheet1!F7:I7,3,0),0)</f>
        <v>0</v>
      </c>
      <c r="AC29" s="2">
        <f>+IFERROR(VLOOKUP($AC$17,Sheet1!F7:I7,3,0),0)</f>
        <v>0</v>
      </c>
      <c r="AD29" s="2">
        <f>+IFERROR(VLOOKUP($AD$17,Sheet1!F7:I7,3,0),0)</f>
        <v>0</v>
      </c>
      <c r="AE29" s="2">
        <f>+IFERROR(VLOOKUP($AE$17,Sheet1!R7:U7,3,0),0)</f>
        <v>0</v>
      </c>
      <c r="AF29" s="13">
        <f>+IFERROR(VLOOKUP($AF$17,Sheet1!R7:U7,2,0),0)</f>
        <v>0</v>
      </c>
      <c r="AG29" s="2">
        <f>+IFERROR(VLOOKUP($AG$17,Sheet1!V7:Y7,3,0),0)</f>
        <v>0</v>
      </c>
      <c r="AH29" s="13">
        <f>+IFERROR(VLOOKUP($AH$17,Sheet1!V7:Y7,3,0),0)</f>
        <v>37</v>
      </c>
      <c r="AI29" s="13">
        <f>+IFERROR(VLOOKUP($AI$17,Sheet1!V7:Y7,3,0),0)</f>
        <v>0</v>
      </c>
      <c r="AJ29" s="13">
        <f>+IFERROR(VLOOKUP($AJ$17,Sheet1!V7:Y7,3,0),0)</f>
        <v>0</v>
      </c>
      <c r="AK29" s="13">
        <f>+IFERROR(VLOOKUP($AK$17,Sheet1!V7:Y7,3,0),0)</f>
        <v>0</v>
      </c>
      <c r="AL29" s="13">
        <f>+IFERROR(VLOOKUP($AL$17,Sheet1!V7:Y7,3,0),0)</f>
        <v>0</v>
      </c>
      <c r="AM29" s="13">
        <f>+IFERROR(VLOOKUP($AM$17,Sheet1!Z7:AB7,3,0),0)</f>
        <v>0</v>
      </c>
      <c r="AN29" s="13">
        <f>+IFERROR(VLOOKUP($AN$17,Sheet1!AD7:AG7,3,0),0)</f>
        <v>0</v>
      </c>
      <c r="AO29" s="13">
        <f>+IFERROR(VLOOKUP($AO$17,Sheet1!AD7:AG7,3,0),0)</f>
        <v>0</v>
      </c>
      <c r="AP29" s="13">
        <f>+IFERROR(VLOOKUP($AP$17,Sheet1!AD7:AG7,3,0),0)</f>
        <v>0</v>
      </c>
      <c r="AQ29" s="13">
        <f>+IFERROR(VLOOKUP($AQ$17,Sheet1!AD7:AG7,3,0),0)</f>
        <v>0</v>
      </c>
      <c r="AR29" s="13">
        <f>+IFERROR(VLOOKUP($AR$17,Sheet1!AD7:AG7,3,0),0)</f>
        <v>0</v>
      </c>
      <c r="AS29" s="13">
        <f>+IFERROR(VLOOKUP($AS$17,Sheet1!AD7:AG7,3,0),0)</f>
        <v>0</v>
      </c>
      <c r="AT29" s="13">
        <f>+IFERROR(VLOOKUP($AT$17,Sheet1!AD7:AG7,3,0),0)</f>
        <v>0</v>
      </c>
      <c r="AU29" s="13">
        <f>+IFERROR(VLOOKUP($AU$17,Sheet1!AH7:AK7,3,0),0)</f>
        <v>0</v>
      </c>
      <c r="AV29" s="13">
        <f>+IFERROR(VLOOKUP($AV$17,Sheet1!AH7:AK7,3,0),0)</f>
        <v>0</v>
      </c>
      <c r="AW29" s="13">
        <f>+IFERROR(VLOOKUP($AW$17,Sheet1!AH7:AK7,3,0),0)</f>
        <v>0</v>
      </c>
      <c r="AX29" s="13">
        <f>+IFERROR(VLOOKUP($AX$17,Sheet1!AH7:AK7,3,0),0)</f>
        <v>0</v>
      </c>
      <c r="AY29" s="13">
        <f>+IFERROR(VLOOKUP($AY$17,Sheet1!AH7:AK7,3,0),0)</f>
        <v>0</v>
      </c>
      <c r="AZ29" s="13">
        <f>+IFERROR(VLOOKUP($AZ$17,Sheet1!AH7:AK7,3,0),0)</f>
        <v>0</v>
      </c>
      <c r="BA29" s="13">
        <f>+IFERROR(VLOOKUP($BA$17,Sheet1!AH7:AK7,3,0),0)</f>
        <v>0</v>
      </c>
      <c r="BB29" s="13">
        <f>+IFERROR(VLOOKUP($BB$17,Sheet1!AH7:AK7,3,0),0)</f>
        <v>0</v>
      </c>
      <c r="BC29" s="13">
        <f>+IFERROR(VLOOKUP($BC$17,Sheet1!AH7:AK7,3,0),0)</f>
        <v>0</v>
      </c>
      <c r="BD29" s="13">
        <f>+IFERROR(VLOOKUP($BD$17,Sheet1!AH7:AK7,3,0),0)</f>
        <v>0</v>
      </c>
      <c r="BE29" s="13">
        <f>+IFERROR(VLOOKUP($BE$17,Sheet1!AL7:AO7,3,0),0)</f>
        <v>0</v>
      </c>
      <c r="BF29" s="13">
        <f>+IFERROR(VLOOKUP($BF$17,Sheet1!AL7:AO7,3,0),0)</f>
        <v>0</v>
      </c>
      <c r="BG29" s="13">
        <f>+IFERROR(VLOOKUP($BG$17,Sheet1!AL7:AO7,3,0),0)</f>
        <v>0</v>
      </c>
      <c r="BH29" s="13">
        <f>+IFERROR(VLOOKUP($BH$17,Sheet1!AL7:AO7,3,0),0)</f>
        <v>110</v>
      </c>
      <c r="BI29" s="13">
        <f>+IFERROR(VLOOKUP($BI$17,Sheet1!AL7:AO7,3,0),0)</f>
        <v>0</v>
      </c>
      <c r="BJ29" s="13">
        <f>+IFERROR(VLOOKUP($BJ$17,Sheet1!AL7:AO7,3,0),0)</f>
        <v>0</v>
      </c>
      <c r="BK29" s="13">
        <f>+IFERROR(VLOOKUP($BK$17,Sheet1!AL7:AO7,3,0),0)</f>
        <v>0</v>
      </c>
      <c r="BL29" s="13">
        <f>+IFERROR(VLOOKUP($BL$17,Sheet1!AL7:AO7,3,0),0)</f>
        <v>0</v>
      </c>
      <c r="BM29" s="13">
        <f>+IFERROR(VLOOKUP($BM$17,Sheet1!AL7:AO7,3,0),0)</f>
        <v>0</v>
      </c>
      <c r="BN29" s="13">
        <f>+IFERROR(VLOOKUP($BN$17,Sheet1!AL7:AO7,3,0),0)</f>
        <v>0</v>
      </c>
      <c r="BO29" s="13">
        <f>+IFERROR(VLOOKUP($BO$17,Sheet1!AP7:AS7,3,0),0)</f>
        <v>0</v>
      </c>
      <c r="BP29" s="13">
        <f>+IFERROR(VLOOKUP($BP$17,Sheet1!AT7:AW7,3,0),0)</f>
        <v>0</v>
      </c>
      <c r="BQ29" s="13">
        <f>+IFERROR(VLOOKUP($BQ$17,Sheet1!AX7:BA7,3,0),0)</f>
        <v>0</v>
      </c>
      <c r="BR29" s="13">
        <f>+IFERROR(VLOOKUP($BR$17,Sheet1!BB7:BE7,3,0),0)</f>
        <v>0</v>
      </c>
      <c r="BS29" s="13">
        <f>+IFERROR(VLOOKUP($BS$17,Sheet1!BF7:BI7,3,0),0)</f>
        <v>0</v>
      </c>
      <c r="BT29" s="13">
        <f>+IFERROR(VLOOKUP($BT$17,Sheet1!BJ7:BM7,3,0),0)</f>
        <v>0</v>
      </c>
      <c r="BU29" s="13">
        <f>+IFERROR(VLOOKUP($BU$17,Sheet1!BN7:BQ7,3,0),0)</f>
        <v>0</v>
      </c>
      <c r="BV29" s="13">
        <f>+IFERROR(VLOOKUP($BV$17,Sheet1!BR7:BU7,3,0),0)</f>
        <v>0</v>
      </c>
      <c r="BW29" s="13">
        <f>+IFERROR(VLOOKUP($BW$17,Sheet1!BV7:BY7,3,0),0)</f>
        <v>0</v>
      </c>
      <c r="BX29" s="13" t="str">
        <f>Sheet1!E7</f>
        <v>WOOD</v>
      </c>
      <c r="BY29" s="13" t="str">
        <f>Sheet1!CV7</f>
        <v>MD0100005</v>
      </c>
      <c r="BZ29" s="13" t="str">
        <f>Sheet1!CW7</f>
        <v>DRUM - 36 X 14 X 23 X 2</v>
      </c>
      <c r="CA29" s="13">
        <f>Sheet1!CX7</f>
        <v>1000</v>
      </c>
      <c r="CB29" s="3">
        <f>Sheet1!BZ7</f>
        <v>2429</v>
      </c>
      <c r="CC29" s="3">
        <f>SUMPRODUCT($P$18:$BW$18,P29:BW29)+CB29</f>
        <v>52247</v>
      </c>
      <c r="CD29" s="23">
        <v>0.01</v>
      </c>
      <c r="CE29" s="3">
        <f>CC29*CD29</f>
        <v>522.47</v>
      </c>
      <c r="CF29" s="44">
        <v>0.15</v>
      </c>
      <c r="CG29" s="3">
        <f>CC29*CF29</f>
        <v>7837.0499999999993</v>
      </c>
      <c r="CH29" s="44">
        <v>0</v>
      </c>
      <c r="CI29" s="3">
        <f t="shared" si="3"/>
        <v>0</v>
      </c>
      <c r="CJ29" s="3">
        <f>CC29+CE29+CG29+CI29</f>
        <v>60606.520000000004</v>
      </c>
      <c r="CK29" s="44">
        <v>0.02</v>
      </c>
      <c r="CL29" s="59">
        <f>CJ29*CK29</f>
        <v>1212.1304</v>
      </c>
      <c r="CM29" s="44">
        <v>0.01</v>
      </c>
      <c r="CN29" s="59">
        <f>CJ29*CM29</f>
        <v>606.0652</v>
      </c>
    </row>
    <row r="30" spans="2:92" ht="30" x14ac:dyDescent="0.25">
      <c r="B30">
        <v>12</v>
      </c>
      <c r="C30" s="1" t="str">
        <f>Sheet1!A18</f>
        <v>ENQ-15115-22-23</v>
      </c>
      <c r="D30" s="47">
        <v>45658</v>
      </c>
      <c r="E30" s="1" t="str">
        <f>Sheet1!C18</f>
        <v>FA0900111</v>
      </c>
      <c r="F30" s="1" t="str">
        <f>Sheet1!D18</f>
        <v>4 CORE X 25 SQ. MM. ALU/ARD - WIRE (XLPE)</v>
      </c>
      <c r="G30" s="3">
        <f>CJ30+CL30+CN30</f>
        <v>199954.55920000002</v>
      </c>
      <c r="H30" s="59">
        <f>ROUNDUP(O60,0)</f>
        <v>3352</v>
      </c>
      <c r="I30" s="9">
        <f>G30+H30</f>
        <v>203306.55920000002</v>
      </c>
      <c r="J30" s="7">
        <f>Sheet1!CP18</f>
        <v>0.18</v>
      </c>
      <c r="K30" s="9">
        <f t="shared" si="0"/>
        <v>36595.180656000004</v>
      </c>
      <c r="L30" s="9">
        <f t="shared" si="1"/>
        <v>239901.73985600003</v>
      </c>
      <c r="M30" s="1">
        <v>146.208</v>
      </c>
      <c r="N30" s="1" t="str">
        <f>Sheet1!CT18</f>
        <v>KMS</v>
      </c>
      <c r="O30" s="3">
        <f t="shared" si="2"/>
        <v>35075553.580866054</v>
      </c>
      <c r="P30" s="2">
        <f>+IFERROR(VLOOKUP($P$17,Sheet1!J18:L18,3,0),0)</f>
        <v>270</v>
      </c>
      <c r="Q30" s="2">
        <f>+IFERROR(VLOOKUP($Q$17,Sheet1!J18:L18,3,0),0)</f>
        <v>0</v>
      </c>
      <c r="R30" s="2">
        <f>+IFERROR(VLOOKUP($R$17,Sheet1!J18:M18,3,0),0)</f>
        <v>0</v>
      </c>
      <c r="S30" s="2">
        <f>+IFERROR(VLOOKUP($S$17,Sheet1!J18:M18,3,0),0)</f>
        <v>0</v>
      </c>
      <c r="T30" s="2">
        <f>+IFERROR(VLOOKUP($T$17,Sheet1!J18:M18,3,0),0)</f>
        <v>0</v>
      </c>
      <c r="U30" s="2">
        <f>+IFERROR(VLOOKUP($U$17,Sheet1!N18:Q18,3,0),0)</f>
        <v>0</v>
      </c>
      <c r="V30" s="2">
        <f>+IFERROR(VLOOKUP($V$17,Sheet1!N18:Q18,3,0),0)</f>
        <v>0</v>
      </c>
      <c r="W30" s="2">
        <f>+IFERROR(VLOOKUP($W$17,Sheet1!F18:I18,3,0),0)</f>
        <v>0</v>
      </c>
      <c r="X30" s="2">
        <f>+IFERROR(VLOOKUP($X$17,Sheet1!F18:I18,3,0),0)</f>
        <v>0</v>
      </c>
      <c r="Y30" s="2">
        <f>+IFERROR(VLOOKUP($Y$17,Sheet1!F18:I18,3,0),0)</f>
        <v>0</v>
      </c>
      <c r="Z30" s="2">
        <f>+IFERROR(VLOOKUP($Z$17,Sheet1!F18:I18,3,0),0)</f>
        <v>0</v>
      </c>
      <c r="AA30" s="2">
        <f>+IFERROR(VLOOKUP($AA$17,Sheet1!F18:I18,3,0),0)</f>
        <v>0</v>
      </c>
      <c r="AB30" s="2">
        <f>+IFERROR(VLOOKUP($AB$17,Sheet1!F18:I18,3,0),0)</f>
        <v>0</v>
      </c>
      <c r="AC30" s="2">
        <f>+IFERROR(VLOOKUP($AC$17,Sheet1!F18:I18,3,0),0)</f>
        <v>0</v>
      </c>
      <c r="AD30" s="2">
        <f>+IFERROR(VLOOKUP($AD$17,Sheet1!F18:I18,3,0),0)</f>
        <v>0</v>
      </c>
      <c r="AE30" s="2">
        <f>+IFERROR(VLOOKUP($AE$17,Sheet1!R18:U18,3,0),0)</f>
        <v>0</v>
      </c>
      <c r="AF30" s="13">
        <f>+IFERROR(VLOOKUP($AF$17,Sheet1!R18:U18,2,0),0)</f>
        <v>0</v>
      </c>
      <c r="AG30" s="2">
        <f>+IFERROR(VLOOKUP($AG$17,Sheet1!V18:Y18,3,0),0)</f>
        <v>0</v>
      </c>
      <c r="AH30" s="123">
        <v>90</v>
      </c>
      <c r="AI30" s="13">
        <f>+IFERROR(VLOOKUP($AI$17,Sheet1!V18:Y18,3,0),0)</f>
        <v>0</v>
      </c>
      <c r="AJ30" s="13">
        <f>+IFERROR(VLOOKUP($AJ$17,Sheet1!V18:Y18,3,0),0)</f>
        <v>0</v>
      </c>
      <c r="AK30" s="13">
        <f>+IFERROR(VLOOKUP($AK$17,Sheet1!V18:Y18,3,0),0)</f>
        <v>0</v>
      </c>
      <c r="AL30" s="13">
        <f>+IFERROR(VLOOKUP($AL$17,Sheet1!V18:Y18,3,0),0)</f>
        <v>0</v>
      </c>
      <c r="AM30" s="13">
        <f>+IFERROR(VLOOKUP($AM$17,Sheet1!Z18:AB18,3,0),0)</f>
        <v>0</v>
      </c>
      <c r="AN30" s="13">
        <f>+IFERROR(VLOOKUP($AN$17,Sheet1!AD18:AG18,3,0),0)</f>
        <v>0</v>
      </c>
      <c r="AO30" s="13">
        <f>+IFERROR(VLOOKUP($AO$17,Sheet1!AD18:AG18,3,0),0)</f>
        <v>0</v>
      </c>
      <c r="AP30" s="13">
        <f>+IFERROR(VLOOKUP($AP$17,Sheet1!AD18:AG18,3,0),0)</f>
        <v>0</v>
      </c>
      <c r="AQ30" s="13">
        <f>+IFERROR(VLOOKUP($AQ$17,Sheet1!AD18:AG18,3,0),0)</f>
        <v>0</v>
      </c>
      <c r="AR30" s="13">
        <f>+IFERROR(VLOOKUP($AR$17,Sheet1!AD18:AG18,3,0),0)</f>
        <v>0</v>
      </c>
      <c r="AS30" s="123">
        <v>44</v>
      </c>
      <c r="AT30" s="13">
        <f>+IFERROR(VLOOKUP($AT$17,Sheet1!AD18:AG18,3,0),0)</f>
        <v>0</v>
      </c>
      <c r="AU30" s="13">
        <f>+IFERROR(VLOOKUP($AU$17,Sheet1!AH18:AK18,3,0),0)</f>
        <v>0</v>
      </c>
      <c r="AV30" s="13">
        <f>+IFERROR(VLOOKUP($AV$17,Sheet1!AH18:AK18,3,0),0)</f>
        <v>0</v>
      </c>
      <c r="AW30" s="13">
        <f>+IFERROR(VLOOKUP($AW$17,Sheet1!AH18:AK18,3,0),0)</f>
        <v>0</v>
      </c>
      <c r="AX30" s="13">
        <f>+IFERROR(VLOOKUP($AX$17,Sheet1!AH18:AK18,3,0),0)</f>
        <v>0</v>
      </c>
      <c r="AY30" s="13">
        <f>+IFERROR(VLOOKUP($AY$17,Sheet1!AH18:AK18,3,0),0)</f>
        <v>0</v>
      </c>
      <c r="AZ30" s="13">
        <f>+IFERROR(VLOOKUP($AZ$17,Sheet1!AH18:AK18,3,0),0)</f>
        <v>0</v>
      </c>
      <c r="BA30" s="13">
        <f>+IFERROR(VLOOKUP($BA$17,Sheet1!AH18:AK18,3,0),0)</f>
        <v>0</v>
      </c>
      <c r="BB30" s="13">
        <f>+IFERROR(VLOOKUP($BB$17,Sheet1!AH18:AK18,3,0),0)</f>
        <v>0</v>
      </c>
      <c r="BC30" s="123">
        <v>641</v>
      </c>
      <c r="BD30" s="13">
        <f>+IFERROR(VLOOKUP($BD$17,Sheet1!AH18:AK18,3,0),0)</f>
        <v>0</v>
      </c>
      <c r="BE30" s="13">
        <f>+IFERROR(VLOOKUP($BE$17,Sheet1!AL18:AO18,3,0),0)</f>
        <v>0</v>
      </c>
      <c r="BF30" s="13">
        <f>+IFERROR(VLOOKUP($BF$17,Sheet1!AL18:AO18,3,0),0)</f>
        <v>0</v>
      </c>
      <c r="BG30" s="13">
        <f>+IFERROR(VLOOKUP($BG$17,Sheet1!AL18:AO18,3,0),0)</f>
        <v>0</v>
      </c>
      <c r="BH30" s="123">
        <v>190</v>
      </c>
      <c r="BI30" s="13">
        <f>+IFERROR(VLOOKUP($BI$17,Sheet1!AL18:AO18,3,0),0)</f>
        <v>0</v>
      </c>
      <c r="BJ30" s="13">
        <f>+IFERROR(VLOOKUP($BJ$17,Sheet1!AL18:AO18,3,0),0)</f>
        <v>0</v>
      </c>
      <c r="BK30" s="13">
        <f>+IFERROR(VLOOKUP($BK$17,Sheet1!AL18:AO18,3,0),0)</f>
        <v>0</v>
      </c>
      <c r="BL30" s="13">
        <f>+IFERROR(VLOOKUP($BL$17,Sheet1!AL18:AO18,3,0),0)</f>
        <v>0</v>
      </c>
      <c r="BM30" s="13">
        <f>+IFERROR(VLOOKUP($BM$17,Sheet1!AL18:AO18,3,0),0)</f>
        <v>0</v>
      </c>
      <c r="BN30" s="13">
        <f>+IFERROR(VLOOKUP($BN$17,Sheet1!AL18:AO18,3,0),0)</f>
        <v>0</v>
      </c>
      <c r="BO30" s="13">
        <f>+IFERROR(VLOOKUP($BO$17,Sheet1!AP18:AS18,3,0),0)</f>
        <v>0</v>
      </c>
      <c r="BP30" s="13">
        <f>+IFERROR(VLOOKUP($BP$17,Sheet1!AT18:AW18,3,0),0)</f>
        <v>0</v>
      </c>
      <c r="BQ30" s="13">
        <f>+IFERROR(VLOOKUP($BQ$17,Sheet1!AX18:BA18,3,0),0)</f>
        <v>0</v>
      </c>
      <c r="BR30" s="13">
        <f>+IFERROR(VLOOKUP($BR$17,Sheet1!BB18:BE18,3,0),0)</f>
        <v>0</v>
      </c>
      <c r="BS30" s="13">
        <f>+IFERROR(VLOOKUP($BS$17,Sheet1!BF18:BI18,3,0),0)</f>
        <v>0</v>
      </c>
      <c r="BT30" s="13">
        <f>+IFERROR(VLOOKUP($BT$17,Sheet1!BJ18:BM18,3,0),0)</f>
        <v>0</v>
      </c>
      <c r="BU30" s="13">
        <f>+IFERROR(VLOOKUP($BU$17,Sheet1!BN18:BQ18,3,0),0)</f>
        <v>0</v>
      </c>
      <c r="BV30" s="123">
        <v>16</v>
      </c>
      <c r="BW30" s="13">
        <f>+IFERROR(VLOOKUP($BW$17,Sheet1!BV18:BY18,3,0),0)</f>
        <v>0</v>
      </c>
      <c r="BX30" s="13" t="str">
        <f>Sheet1!E18</f>
        <v>WOOD</v>
      </c>
      <c r="BY30" s="13" t="str">
        <f>Sheet1!CV18</f>
        <v>MD0100090</v>
      </c>
      <c r="BZ30" s="13" t="str">
        <f>Sheet1!CW18</f>
        <v>DRUM - 43 X 15 X 36 X 2.5</v>
      </c>
      <c r="CA30" s="13">
        <f>Sheet1!CX18</f>
        <v>1000</v>
      </c>
      <c r="CB30" s="3">
        <f>Sheet1!BZ18</f>
        <v>3881</v>
      </c>
      <c r="CC30" s="3">
        <f>SUMPRODUCT($P$18:$BW$18,P30:BW30)+CB30</f>
        <v>167354</v>
      </c>
      <c r="CD30" s="23">
        <v>0.01</v>
      </c>
      <c r="CE30" s="3">
        <f>CC30*CD30</f>
        <v>1673.54</v>
      </c>
      <c r="CF30" s="44">
        <v>0.15</v>
      </c>
      <c r="CG30" s="3">
        <f>CC30*CF30</f>
        <v>25103.1</v>
      </c>
      <c r="CH30" s="44">
        <v>0</v>
      </c>
      <c r="CI30" s="3">
        <f t="shared" si="3"/>
        <v>0</v>
      </c>
      <c r="CJ30" s="3">
        <f>CC30+CE30+CG30+CI30</f>
        <v>194130.64</v>
      </c>
      <c r="CK30" s="44">
        <v>0.02</v>
      </c>
      <c r="CL30" s="59">
        <f>CJ30*CK30</f>
        <v>3882.6128000000003</v>
      </c>
      <c r="CM30" s="44">
        <v>0.01</v>
      </c>
      <c r="CN30" s="59">
        <f>CJ30*CM30</f>
        <v>1941.3064000000002</v>
      </c>
    </row>
    <row r="31" spans="2:92" ht="30" x14ac:dyDescent="0.25">
      <c r="B31">
        <v>13</v>
      </c>
      <c r="C31" s="1" t="str">
        <f>Sheet1!A21</f>
        <v>ENQ-15115-22-23</v>
      </c>
      <c r="D31" s="47">
        <v>45658</v>
      </c>
      <c r="E31" s="1" t="str">
        <f>Sheet1!C21</f>
        <v>FA0900117</v>
      </c>
      <c r="F31" s="1" t="str">
        <f>Sheet1!D21</f>
        <v>4 CORE X 35 SQ. MM. AL/ARD - WIRE (XLPE)</v>
      </c>
      <c r="G31" s="3">
        <f>CJ31+CL31+CN31</f>
        <v>252365.65600000002</v>
      </c>
      <c r="H31" s="59">
        <f>ROUNDUP(O61,0)</f>
        <v>3968</v>
      </c>
      <c r="I31" s="9">
        <f>G31+H31</f>
        <v>256333.65600000002</v>
      </c>
      <c r="J31" s="7">
        <f>Sheet1!CP21</f>
        <v>0.18</v>
      </c>
      <c r="K31" s="9">
        <f t="shared" si="0"/>
        <v>46140.058080000003</v>
      </c>
      <c r="L31" s="9">
        <f t="shared" si="1"/>
        <v>302473.71408000001</v>
      </c>
      <c r="M31" s="1">
        <f>Sheet1!CS21</f>
        <v>88.207999999999998</v>
      </c>
      <c r="N31" s="1" t="str">
        <f>Sheet1!CT21</f>
        <v>KMS</v>
      </c>
      <c r="O31" s="3">
        <f t="shared" si="2"/>
        <v>26680601.371568639</v>
      </c>
      <c r="P31" s="122">
        <f>+IFERROR(VLOOKUP($P$17,Sheet1!J21:L21,3,0),0)</f>
        <v>378</v>
      </c>
      <c r="Q31" s="2">
        <f>+IFERROR(VLOOKUP($Q$17,Sheet1!J21:L21,3,0),0)</f>
        <v>0</v>
      </c>
      <c r="R31" s="2">
        <f>+IFERROR(VLOOKUP($R$17,Sheet1!J21:M21,3,0),0)</f>
        <v>0</v>
      </c>
      <c r="S31" s="2">
        <f>+IFERROR(VLOOKUP($S$17,Sheet1!J21:M21,3,0),0)</f>
        <v>0</v>
      </c>
      <c r="T31" s="2">
        <f>+IFERROR(VLOOKUP($T$17,Sheet1!J21:M21,3,0),0)</f>
        <v>0</v>
      </c>
      <c r="U31" s="2">
        <f>+IFERROR(VLOOKUP($U$17,Sheet1!N21:Q21,3,0),0)</f>
        <v>0</v>
      </c>
      <c r="V31" s="2">
        <f>+IFERROR(VLOOKUP($V$17,Sheet1!N21:Q21,3,0),0)</f>
        <v>0</v>
      </c>
      <c r="W31" s="2">
        <f>+IFERROR(VLOOKUP($W$17,Sheet1!F21:I21,3,0),0)</f>
        <v>0</v>
      </c>
      <c r="X31" s="2">
        <f>+IFERROR(VLOOKUP($X$17,Sheet1!F21:I21,3,0),0)</f>
        <v>0</v>
      </c>
      <c r="Y31" s="2">
        <f>+IFERROR(VLOOKUP($Y$17,Sheet1!F21:I21,3,0),0)</f>
        <v>0</v>
      </c>
      <c r="Z31" s="2">
        <f>+IFERROR(VLOOKUP($Z$17,Sheet1!F21:I21,3,0),0)</f>
        <v>0</v>
      </c>
      <c r="AA31" s="2">
        <f>+IFERROR(VLOOKUP($AA$17,Sheet1!F21:I21,3,0),0)</f>
        <v>0</v>
      </c>
      <c r="AB31" s="2">
        <f>+IFERROR(VLOOKUP($AB$17,Sheet1!F21:I21,3,0),0)</f>
        <v>0</v>
      </c>
      <c r="AC31" s="2">
        <f>+IFERROR(VLOOKUP($AC$17,Sheet1!F21:I21,3,0),0)</f>
        <v>0</v>
      </c>
      <c r="AD31" s="2">
        <f>+IFERROR(VLOOKUP($AD$17,Sheet1!F21:I21,3,0),0)</f>
        <v>0</v>
      </c>
      <c r="AE31" s="2">
        <f>+IFERROR(VLOOKUP($AE$17,Sheet1!R21:U21,3,0),0)</f>
        <v>0</v>
      </c>
      <c r="AF31" s="13">
        <f>+IFERROR(VLOOKUP($AF$17,Sheet1!R21:U21,2,0),0)</f>
        <v>0</v>
      </c>
      <c r="AG31" s="2">
        <f>+IFERROR(VLOOKUP($AG$17,Sheet1!V21:Y21,3,0),0)</f>
        <v>0</v>
      </c>
      <c r="AH31" s="123">
        <v>102</v>
      </c>
      <c r="AI31" s="13">
        <f>+IFERROR(VLOOKUP($AI$17,Sheet1!V21:Y21,3,0),0)</f>
        <v>0</v>
      </c>
      <c r="AJ31" s="13">
        <f>+IFERROR(VLOOKUP($AJ$17,Sheet1!V21:Y21,3,0),0)</f>
        <v>0</v>
      </c>
      <c r="AK31" s="13">
        <f>+IFERROR(VLOOKUP($AK$17,Sheet1!V21:Y21,3,0),0)</f>
        <v>0</v>
      </c>
      <c r="AL31" s="13">
        <f>+IFERROR(VLOOKUP($AL$17,Sheet1!V21:Y21,3,0),0)</f>
        <v>0</v>
      </c>
      <c r="AM31" s="13">
        <f>+IFERROR(VLOOKUP($AM$17,Sheet1!Z21:AB21,3,0),0)</f>
        <v>0</v>
      </c>
      <c r="AN31" s="13">
        <f>+IFERROR(VLOOKUP($AN$17,Sheet1!AD21:AG21,3,0),0)</f>
        <v>0</v>
      </c>
      <c r="AO31" s="13">
        <f>+IFERROR(VLOOKUP($AO$17,Sheet1!AD21:AG21,3,0),0)</f>
        <v>0</v>
      </c>
      <c r="AP31" s="13">
        <f>+IFERROR(VLOOKUP($AP$17,Sheet1!AD21:AG21,3,0),0)</f>
        <v>0</v>
      </c>
      <c r="AQ31" s="13">
        <f>+IFERROR(VLOOKUP($AQ$17,Sheet1!AD21:AG21,3,0),0)</f>
        <v>0</v>
      </c>
      <c r="AR31" s="13">
        <f>+IFERROR(VLOOKUP($AR$17,Sheet1!AD21:AG21,3,0),0)</f>
        <v>0</v>
      </c>
      <c r="AS31" s="123">
        <f>+IFERROR(VLOOKUP($AS$17,Sheet1!AD21:AG21,3,0),0)</f>
        <v>51</v>
      </c>
      <c r="AT31" s="13">
        <f>+IFERROR(VLOOKUP($AT$17,Sheet1!AD21:AG21,3,0),0)</f>
        <v>0</v>
      </c>
      <c r="AU31" s="13">
        <f>+IFERROR(VLOOKUP($AU$17,Sheet1!AH21:AK21,3,0),0)</f>
        <v>0</v>
      </c>
      <c r="AV31" s="13">
        <f>+IFERROR(VLOOKUP($AV$17,Sheet1!AH21:AK21,3,0),0)</f>
        <v>0</v>
      </c>
      <c r="AW31" s="13">
        <f>+IFERROR(VLOOKUP($AW$17,Sheet1!AH21:AK21,3,0),0)</f>
        <v>0</v>
      </c>
      <c r="AX31" s="13">
        <f>+IFERROR(VLOOKUP($AX$17,Sheet1!AH21:AK21,3,0),0)</f>
        <v>0</v>
      </c>
      <c r="AY31" s="13">
        <f>+IFERROR(VLOOKUP($AY$17,Sheet1!AH21:AK21,3,0),0)</f>
        <v>0</v>
      </c>
      <c r="AZ31" s="13">
        <f>+IFERROR(VLOOKUP($AZ$17,Sheet1!AH21:AK21,3,0),0)</f>
        <v>0</v>
      </c>
      <c r="BA31" s="13">
        <f>+IFERROR(VLOOKUP($BA$17,Sheet1!AH21:AK21,3,0),0)</f>
        <v>0</v>
      </c>
      <c r="BB31" s="13">
        <f>+IFERROR(VLOOKUP($BB$17,Sheet1!AH21:AK21,3,0),0)</f>
        <v>0</v>
      </c>
      <c r="BC31" s="123">
        <v>770</v>
      </c>
      <c r="BD31" s="13">
        <f>+IFERROR(VLOOKUP($BD$17,Sheet1!AH21:AK21,3,0),0)</f>
        <v>0</v>
      </c>
      <c r="BE31" s="13">
        <f>+IFERROR(VLOOKUP($BE$17,Sheet1!AL21:AO21,3,0),0)</f>
        <v>0</v>
      </c>
      <c r="BF31" s="13">
        <f>+IFERROR(VLOOKUP($BF$17,Sheet1!AL21:AO21,3,0),0)</f>
        <v>0</v>
      </c>
      <c r="BG31" s="13">
        <f>+IFERROR(VLOOKUP($BG$17,Sheet1!AL21:AO21,3,0),0)</f>
        <v>0</v>
      </c>
      <c r="BH31" s="123">
        <v>206</v>
      </c>
      <c r="BI31" s="13">
        <f>+IFERROR(VLOOKUP($BI$17,Sheet1!AL21:AO21,3,0),0)</f>
        <v>0</v>
      </c>
      <c r="BJ31" s="13">
        <f>+IFERROR(VLOOKUP($BJ$17,Sheet1!AL21:AO21,3,0),0)</f>
        <v>0</v>
      </c>
      <c r="BK31" s="13">
        <f>+IFERROR(VLOOKUP($BK$17,Sheet1!AL21:AO21,3,0),0)</f>
        <v>0</v>
      </c>
      <c r="BL31" s="13">
        <f>+IFERROR(VLOOKUP($BL$17,Sheet1!AL21:AO21,3,0),0)</f>
        <v>0</v>
      </c>
      <c r="BM31" s="13">
        <f>+IFERROR(VLOOKUP($BM$17,Sheet1!AL21:AO21,3,0),0)</f>
        <v>0</v>
      </c>
      <c r="BN31" s="13">
        <f>+IFERROR(VLOOKUP($BN$17,Sheet1!AL21:AO21,3,0),0)</f>
        <v>0</v>
      </c>
      <c r="BO31" s="13">
        <f>+IFERROR(VLOOKUP($BO$17,Sheet1!AP21:AS21,3,0),0)</f>
        <v>0</v>
      </c>
      <c r="BP31" s="13">
        <f>+IFERROR(VLOOKUP($BP$17,Sheet1!AT21:AW21,3,0),0)</f>
        <v>0</v>
      </c>
      <c r="BQ31" s="13">
        <f>+IFERROR(VLOOKUP($BQ$17,Sheet1!AX21:BA21,3,0),0)</f>
        <v>0</v>
      </c>
      <c r="BR31" s="13">
        <f>+IFERROR(VLOOKUP($BR$17,Sheet1!BB21:BE21,3,0),0)</f>
        <v>0</v>
      </c>
      <c r="BS31" s="13">
        <f>+IFERROR(VLOOKUP($BS$17,Sheet1!BF21:BI21,3,0),0)</f>
        <v>0</v>
      </c>
      <c r="BT31" s="13">
        <f>+IFERROR(VLOOKUP($BT$17,Sheet1!BJ21:BM21,3,0),0)</f>
        <v>0</v>
      </c>
      <c r="BU31" s="13">
        <f>+IFERROR(VLOOKUP($BU$17,Sheet1!BN21:BQ21,3,0),0)</f>
        <v>0</v>
      </c>
      <c r="BV31" s="123">
        <v>18</v>
      </c>
      <c r="BW31" s="13">
        <f>+IFERROR(VLOOKUP($BW$17,Sheet1!BV21:BY21,3,0),0)</f>
        <v>0</v>
      </c>
      <c r="BX31" s="13" t="str">
        <f>Sheet1!E21</f>
        <v>WOOD</v>
      </c>
      <c r="BY31" s="13" t="str">
        <f>Sheet1!CV21</f>
        <v>MD0100013</v>
      </c>
      <c r="BZ31" s="13" t="str">
        <f>Sheet1!CW21</f>
        <v>DRUM - 48 X 14 X 36 X 2.25</v>
      </c>
      <c r="CA31" s="13">
        <f>Sheet1!CX21</f>
        <v>1000</v>
      </c>
      <c r="CB31" s="3">
        <f>Sheet1!BZ21</f>
        <v>4139</v>
      </c>
      <c r="CC31" s="3">
        <f>SUMPRODUCT($P$18:$BW$18,P31:BW31)+CB31</f>
        <v>211220</v>
      </c>
      <c r="CD31" s="23">
        <v>0.01</v>
      </c>
      <c r="CE31" s="3">
        <f>CC31*CD31</f>
        <v>2112.1999999999998</v>
      </c>
      <c r="CF31" s="44">
        <v>0.15</v>
      </c>
      <c r="CG31" s="3">
        <f>CC31*CF31</f>
        <v>31683</v>
      </c>
      <c r="CH31" s="44">
        <v>0</v>
      </c>
      <c r="CI31" s="3">
        <f t="shared" si="3"/>
        <v>0</v>
      </c>
      <c r="CJ31" s="3">
        <f>CC31+CE31+CG31+CI31</f>
        <v>245015.2</v>
      </c>
      <c r="CK31" s="44">
        <v>0.02</v>
      </c>
      <c r="CL31" s="59">
        <f>CJ31*CK31</f>
        <v>4900.3040000000001</v>
      </c>
      <c r="CM31" s="44">
        <v>0.01</v>
      </c>
      <c r="CN31" s="59">
        <f>CJ31*CM31</f>
        <v>2450.152</v>
      </c>
    </row>
    <row r="32" spans="2:92" ht="30" x14ac:dyDescent="0.25">
      <c r="B32">
        <v>14</v>
      </c>
      <c r="C32" s="1" t="str">
        <f>Sheet1!A16</f>
        <v>ENQ-15115-22-23</v>
      </c>
      <c r="D32" s="47">
        <v>45658</v>
      </c>
      <c r="E32" s="1" t="str">
        <f>Sheet1!C16</f>
        <v>FA0900041</v>
      </c>
      <c r="F32" s="1" t="str">
        <f>Sheet1!D16</f>
        <v>2 CORE X 4 SQ. MM. AL/ARD - WIRE (XLPE)</v>
      </c>
      <c r="G32" s="3">
        <f>CJ32+CL32+CN32</f>
        <v>60548.879599999993</v>
      </c>
      <c r="H32" s="59">
        <f>ROUNDUP(O62,0)</f>
        <v>1264</v>
      </c>
      <c r="I32" s="9">
        <f>G32+H32</f>
        <v>61812.879599999993</v>
      </c>
      <c r="J32" s="7">
        <f>Sheet1!CP16</f>
        <v>0.18</v>
      </c>
      <c r="K32" s="9">
        <f t="shared" si="0"/>
        <v>11126.318327999998</v>
      </c>
      <c r="L32" s="9">
        <f t="shared" si="1"/>
        <v>72939.197927999994</v>
      </c>
      <c r="M32" s="1">
        <f>Sheet1!CS16</f>
        <v>2077.047</v>
      </c>
      <c r="N32" s="1" t="str">
        <f>Sheet1!CT16</f>
        <v>KMS</v>
      </c>
      <c r="O32" s="3">
        <f t="shared" si="2"/>
        <v>151498142.23875859</v>
      </c>
      <c r="P32" s="122">
        <f>+IFERROR(VLOOKUP($P$17,Sheet1!J16:L16,3,0),0)</f>
        <v>22</v>
      </c>
      <c r="Q32" s="2">
        <f>+IFERROR(VLOOKUP($Q$17,Sheet1!J16:L16,3,0),0)</f>
        <v>0</v>
      </c>
      <c r="R32" s="2">
        <f>+IFERROR(VLOOKUP($R$17,Sheet1!J16:M16,3,0),0)</f>
        <v>0</v>
      </c>
      <c r="S32" s="2">
        <f>+IFERROR(VLOOKUP($S$17,Sheet1!J16:M16,3,0),0)</f>
        <v>0</v>
      </c>
      <c r="T32" s="2">
        <f>+IFERROR(VLOOKUP($T$17,Sheet1!J16:M16,3,0),0)</f>
        <v>0</v>
      </c>
      <c r="U32" s="2">
        <f>+IFERROR(VLOOKUP($U$17,Sheet1!N16:Q16,3,0),0)</f>
        <v>0</v>
      </c>
      <c r="V32" s="2">
        <f>+IFERROR(VLOOKUP($V$17,Sheet1!N16:Q16,3,0),0)</f>
        <v>0</v>
      </c>
      <c r="W32" s="2">
        <f>+IFERROR(VLOOKUP($W$17,Sheet1!F16:I16,3,0),0)</f>
        <v>0</v>
      </c>
      <c r="X32" s="2">
        <f>+IFERROR(VLOOKUP($X$17,Sheet1!F16:I16,3,0),0)</f>
        <v>0</v>
      </c>
      <c r="Y32" s="2">
        <f>+IFERROR(VLOOKUP($Y$17,Sheet1!F16:I16,3,0),0)</f>
        <v>0</v>
      </c>
      <c r="Z32" s="2">
        <f>+IFERROR(VLOOKUP($Z$17,Sheet1!F16:I16,3,0),0)</f>
        <v>0</v>
      </c>
      <c r="AA32" s="2">
        <f>+IFERROR(VLOOKUP($AA$17,Sheet1!F16:I16,3,0),0)</f>
        <v>0</v>
      </c>
      <c r="AB32" s="2">
        <f>+IFERROR(VLOOKUP($AB$17,Sheet1!F16:I16,3,0),0)</f>
        <v>0</v>
      </c>
      <c r="AC32" s="2">
        <f>+IFERROR(VLOOKUP($AC$17,Sheet1!F16:I16,3,0),0)</f>
        <v>0</v>
      </c>
      <c r="AD32" s="2">
        <f>+IFERROR(VLOOKUP($AD$17,Sheet1!F16:I16,3,0),0)</f>
        <v>0</v>
      </c>
      <c r="AE32" s="2">
        <f>+IFERROR(VLOOKUP($AE$17,Sheet1!R16:U16,3,0),0)</f>
        <v>0</v>
      </c>
      <c r="AF32" s="13">
        <f>+IFERROR(VLOOKUP($AF$17,Sheet1!R16:U16,2,0),0)</f>
        <v>0</v>
      </c>
      <c r="AG32" s="2">
        <f>+IFERROR(VLOOKUP($AG$17,Sheet1!V16:Y16,3,0),0)</f>
        <v>0</v>
      </c>
      <c r="AH32" s="123">
        <v>20</v>
      </c>
      <c r="AI32" s="13">
        <f>+IFERROR(VLOOKUP($AI$17,Sheet1!V16:Y16,3,0),0)</f>
        <v>0</v>
      </c>
      <c r="AJ32" s="13">
        <f>+IFERROR(VLOOKUP($AJ$17,Sheet1!V16:Y16,3,0),0)</f>
        <v>0</v>
      </c>
      <c r="AK32" s="13">
        <f>+IFERROR(VLOOKUP($AK$17,Sheet1!V16:Y16,3,0),0)</f>
        <v>0</v>
      </c>
      <c r="AL32" s="13">
        <f>+IFERROR(VLOOKUP($AL$17,Sheet1!V16:Y16,3,0),0)</f>
        <v>0</v>
      </c>
      <c r="AM32" s="13">
        <f>+IFERROR(VLOOKUP($AM$17,Sheet1!Z16:AB16,3,0),0)</f>
        <v>0</v>
      </c>
      <c r="AN32" s="13">
        <f>+IFERROR(VLOOKUP($AN$17,Sheet1!AD16:AG16,3,0),0)</f>
        <v>0</v>
      </c>
      <c r="AO32" s="13">
        <f>+IFERROR(VLOOKUP($AO$17,Sheet1!AD16:AG16,3,0),0)</f>
        <v>0</v>
      </c>
      <c r="AP32" s="13">
        <f>+IFERROR(VLOOKUP($AP$17,Sheet1!AD16:AG16,3,0),0)</f>
        <v>0</v>
      </c>
      <c r="AQ32" s="13">
        <f>+IFERROR(VLOOKUP($AQ$17,Sheet1!AD16:AG16,3,0),0)</f>
        <v>0</v>
      </c>
      <c r="AR32" s="13">
        <f>+IFERROR(VLOOKUP($AR$17,Sheet1!AD16:AG16,3,0),0)</f>
        <v>0</v>
      </c>
      <c r="AS32" s="123">
        <v>70</v>
      </c>
      <c r="AT32" s="13">
        <f>+IFERROR(VLOOKUP($AT$17,Sheet1!AD16:AG16,3,0),0)</f>
        <v>0</v>
      </c>
      <c r="AU32" s="13">
        <f>+IFERROR(VLOOKUP($AU$17,Sheet1!AH16:AK16,3,0),0)</f>
        <v>0</v>
      </c>
      <c r="AV32" s="13">
        <f>+IFERROR(VLOOKUP($AV$17,Sheet1!AH16:AK16,3,0),0)</f>
        <v>0</v>
      </c>
      <c r="AW32" s="13">
        <f>+IFERROR(VLOOKUP($AW$17,Sheet1!AH16:AK16,3,0),0)</f>
        <v>0</v>
      </c>
      <c r="AX32" s="13">
        <f>+IFERROR(VLOOKUP($AX$17,Sheet1!AH16:AK16,3,0),0)</f>
        <v>0</v>
      </c>
      <c r="AY32" s="13">
        <f>+IFERROR(VLOOKUP($AY$17,Sheet1!AH16:AK16,3,0),0)</f>
        <v>0</v>
      </c>
      <c r="AZ32" s="13">
        <f>+IFERROR(VLOOKUP($AZ$17,Sheet1!AH16:AK16,3,0),0)</f>
        <v>0</v>
      </c>
      <c r="BA32" s="13">
        <f>+IFERROR(VLOOKUP($BA$17,Sheet1!AH16:AK16,3,0),0)</f>
        <v>0</v>
      </c>
      <c r="BB32" s="13">
        <f>+IFERROR(VLOOKUP($BB$17,Sheet1!AH16:AK16,3,0),0)</f>
        <v>0</v>
      </c>
      <c r="BC32" s="123">
        <v>252</v>
      </c>
      <c r="BD32" s="13">
        <f>+IFERROR(VLOOKUP($BD$17,Sheet1!AH16:AK16,3,0),0)</f>
        <v>0</v>
      </c>
      <c r="BE32" s="13">
        <f>+IFERROR(VLOOKUP($BE$17,Sheet1!AL16:AO16,3,0),0)</f>
        <v>0</v>
      </c>
      <c r="BF32" s="13">
        <f>+IFERROR(VLOOKUP($BF$17,Sheet1!AL16:AO16,3,0),0)</f>
        <v>0</v>
      </c>
      <c r="BG32" s="13">
        <f>+IFERROR(VLOOKUP($BG$17,Sheet1!AL16:AO16,3,0),0)</f>
        <v>0</v>
      </c>
      <c r="BH32" s="123">
        <v>103</v>
      </c>
      <c r="BI32" s="13">
        <f>+IFERROR(VLOOKUP($BI$17,Sheet1!AL16:AO16,3,0),0)</f>
        <v>0</v>
      </c>
      <c r="BJ32" s="13">
        <f>+IFERROR(VLOOKUP($BJ$17,Sheet1!AL16:AO16,3,0),0)</f>
        <v>0</v>
      </c>
      <c r="BK32" s="13">
        <f>+IFERROR(VLOOKUP($BK$17,Sheet1!AL16:AO16,3,0),0)</f>
        <v>0</v>
      </c>
      <c r="BL32" s="13">
        <f>+IFERROR(VLOOKUP($BL$17,Sheet1!AL16:AO16,3,0),0)</f>
        <v>0</v>
      </c>
      <c r="BM32" s="13">
        <f>+IFERROR(VLOOKUP($BM$17,Sheet1!AL16:AO16,3,0),0)</f>
        <v>0</v>
      </c>
      <c r="BN32" s="13">
        <f>+IFERROR(VLOOKUP($BN$17,Sheet1!AL16:AO16,3,0),0)</f>
        <v>0</v>
      </c>
      <c r="BO32" s="13">
        <f>+IFERROR(VLOOKUP($BO$17,Sheet1!AP16:AS16,3,0),0)</f>
        <v>0</v>
      </c>
      <c r="BP32" s="13">
        <f>+IFERROR(VLOOKUP($BP$17,Sheet1!AT16:AW16,3,0),0)</f>
        <v>0</v>
      </c>
      <c r="BQ32" s="13">
        <f>+IFERROR(VLOOKUP($BQ$17,Sheet1!AX16:BA16,3,0),0)</f>
        <v>0</v>
      </c>
      <c r="BR32" s="13">
        <f>+IFERROR(VLOOKUP($BR$17,Sheet1!BB16:BE16,3,0),0)</f>
        <v>0</v>
      </c>
      <c r="BS32" s="13">
        <f>+IFERROR(VLOOKUP($BS$17,Sheet1!BF16:BI16,3,0),0)</f>
        <v>0</v>
      </c>
      <c r="BT32" s="13">
        <f>+IFERROR(VLOOKUP($BT$17,Sheet1!BJ16:BM16,3,0),0)</f>
        <v>0</v>
      </c>
      <c r="BU32" s="13">
        <f>+IFERROR(VLOOKUP($BU$17,Sheet1!BN16:BQ16,3,0),0)</f>
        <v>0</v>
      </c>
      <c r="BV32" s="123">
        <v>10</v>
      </c>
      <c r="BW32" s="13">
        <f>+IFERROR(VLOOKUP($BW$17,Sheet1!BV16:BY16,3,0),0)</f>
        <v>0</v>
      </c>
      <c r="BX32" s="13" t="str">
        <f>Sheet1!E16</f>
        <v>WOOD</v>
      </c>
      <c r="BY32" s="13" t="str">
        <f>Sheet1!CV16</f>
        <v>MD0100066</v>
      </c>
      <c r="BZ32" s="13" t="str">
        <f>Sheet1!CW16</f>
        <v>DRUM - 40 X 15 X 23 X 2</v>
      </c>
      <c r="CA32" s="13">
        <f>Sheet1!CX16</f>
        <v>1000</v>
      </c>
      <c r="CB32" s="3">
        <f>Sheet1!BZ16</f>
        <v>2550</v>
      </c>
      <c r="CC32" s="3">
        <f>SUMPRODUCT($P$18:$BW$18,P32:BW32)+CB32</f>
        <v>50677</v>
      </c>
      <c r="CD32" s="23">
        <v>0.01</v>
      </c>
      <c r="CE32" s="3">
        <f>CC32*CD32</f>
        <v>506.77000000000004</v>
      </c>
      <c r="CF32" s="44">
        <v>0.15</v>
      </c>
      <c r="CG32" s="3">
        <f>CC32*CF32</f>
        <v>7601.5499999999993</v>
      </c>
      <c r="CH32" s="44">
        <v>0</v>
      </c>
      <c r="CI32" s="3">
        <f t="shared" si="3"/>
        <v>0</v>
      </c>
      <c r="CJ32" s="3">
        <f>CC32+CE32+CG32+CI32</f>
        <v>58785.319999999992</v>
      </c>
      <c r="CK32" s="44">
        <v>0.02</v>
      </c>
      <c r="CL32" s="59">
        <f>CJ32*CK32</f>
        <v>1175.7063999999998</v>
      </c>
      <c r="CM32" s="44">
        <v>0.01</v>
      </c>
      <c r="CN32" s="59">
        <f>CJ32*CM32</f>
        <v>587.8531999999999</v>
      </c>
    </row>
    <row r="33" spans="1:92" ht="30" x14ac:dyDescent="0.25">
      <c r="B33">
        <v>15</v>
      </c>
      <c r="C33" s="1" t="str">
        <f>Sheet1!A14</f>
        <v>ENQ-15115-22-23</v>
      </c>
      <c r="D33" s="47">
        <v>45658</v>
      </c>
      <c r="E33" s="1" t="str">
        <f>Sheet1!C14</f>
        <v>FA0900020</v>
      </c>
      <c r="F33" s="1" t="str">
        <f>Sheet1!D14</f>
        <v>2 CORE X 6 SQ. MM. AL/ARD - WIRE (XLPE)</v>
      </c>
      <c r="G33" s="3">
        <f>CJ33+CL33+CN33</f>
        <v>69881.462400000004</v>
      </c>
      <c r="H33" s="59">
        <f>ROUNDUP(O63,0)</f>
        <v>1351</v>
      </c>
      <c r="I33" s="9">
        <f>G33+H33</f>
        <v>71232.462400000004</v>
      </c>
      <c r="J33" s="7">
        <f>Sheet1!CP14</f>
        <v>0.18</v>
      </c>
      <c r="K33" s="9">
        <f t="shared" si="0"/>
        <v>12821.843232000001</v>
      </c>
      <c r="L33" s="9">
        <f t="shared" si="1"/>
        <v>84054.305632000003</v>
      </c>
      <c r="M33" s="1">
        <v>5000</v>
      </c>
      <c r="N33" s="1" t="str">
        <f>Sheet1!CT14</f>
        <v>KMS</v>
      </c>
      <c r="O33" s="3">
        <f t="shared" si="2"/>
        <v>420271528.16000003</v>
      </c>
      <c r="P33" s="122">
        <v>33</v>
      </c>
      <c r="Q33" s="2">
        <f>+IFERROR(VLOOKUP($Q$17,Sheet1!J14:L14,3,0),0)</f>
        <v>0</v>
      </c>
      <c r="R33" s="2">
        <f>+IFERROR(VLOOKUP($R$17,Sheet1!J14:M14,3,0),0)</f>
        <v>0</v>
      </c>
      <c r="S33" s="2">
        <f>+IFERROR(VLOOKUP($S$17,Sheet1!J14:M14,3,0),0)</f>
        <v>0</v>
      </c>
      <c r="T33" s="2">
        <f>+IFERROR(VLOOKUP($T$17,Sheet1!J14:M14,3,0),0)</f>
        <v>0</v>
      </c>
      <c r="U33" s="2">
        <f>+IFERROR(VLOOKUP($U$17,Sheet1!N14:Q14,3,0),0)</f>
        <v>0</v>
      </c>
      <c r="V33" s="2">
        <f>+IFERROR(VLOOKUP($V$17,Sheet1!N14:Q14,3,0),0)</f>
        <v>0</v>
      </c>
      <c r="W33" s="2">
        <f>+IFERROR(VLOOKUP($W$17,Sheet1!F14:I14,3,0),0)</f>
        <v>0</v>
      </c>
      <c r="X33" s="2">
        <f>+IFERROR(VLOOKUP($X$17,Sheet1!F14:I14,3,0),0)</f>
        <v>0</v>
      </c>
      <c r="Y33" s="2">
        <f>+IFERROR(VLOOKUP($Y$17,Sheet1!F14:I14,3,0),0)</f>
        <v>0</v>
      </c>
      <c r="Z33" s="2">
        <f>+IFERROR(VLOOKUP($Z$17,Sheet1!F14:I14,3,0),0)</f>
        <v>0</v>
      </c>
      <c r="AA33" s="2">
        <f>+IFERROR(VLOOKUP($AA$17,Sheet1!F14:I14,3,0),0)</f>
        <v>0</v>
      </c>
      <c r="AB33" s="2">
        <f>+IFERROR(VLOOKUP($AB$17,Sheet1!F14:I14,3,0),0)</f>
        <v>0</v>
      </c>
      <c r="AC33" s="2">
        <f>+IFERROR(VLOOKUP($AC$17,Sheet1!F14:I14,3,0),0)</f>
        <v>0</v>
      </c>
      <c r="AD33" s="2">
        <f>+IFERROR(VLOOKUP($AD$17,Sheet1!F14:I14,3,0),0)</f>
        <v>0</v>
      </c>
      <c r="AE33" s="2">
        <f>+IFERROR(VLOOKUP($AE$17,Sheet1!R14:U14,3,0),0)</f>
        <v>0</v>
      </c>
      <c r="AF33" s="13">
        <f>+IFERROR(VLOOKUP($AF$17,Sheet1!R14:U14,2,0),0)</f>
        <v>0</v>
      </c>
      <c r="AG33" s="2">
        <f>+IFERROR(VLOOKUP($AG$17,Sheet1!V14:Y14,3,0),0)</f>
        <v>0</v>
      </c>
      <c r="AH33" s="123">
        <v>23</v>
      </c>
      <c r="AI33" s="13">
        <f>+IFERROR(VLOOKUP($AI$17,Sheet1!V14:Y14,3,0),0)</f>
        <v>0</v>
      </c>
      <c r="AJ33" s="13">
        <f>+IFERROR(VLOOKUP($AJ$17,Sheet1!V14:Y14,3,0),0)</f>
        <v>0</v>
      </c>
      <c r="AK33" s="13">
        <f>+IFERROR(VLOOKUP($AK$17,Sheet1!V14:Y14,3,0),0)</f>
        <v>0</v>
      </c>
      <c r="AL33" s="13">
        <f>+IFERROR(VLOOKUP($AL$17,Sheet1!V14:Y14,3,0),0)</f>
        <v>0</v>
      </c>
      <c r="AM33" s="13">
        <f>+IFERROR(VLOOKUP($AM$17,Sheet1!Z14:AB14,3,0),0)</f>
        <v>0</v>
      </c>
      <c r="AN33" s="13">
        <f>+IFERROR(VLOOKUP($AN$17,Sheet1!AD14:AG14,3,0),0)</f>
        <v>0</v>
      </c>
      <c r="AO33" s="13">
        <f>+IFERROR(VLOOKUP($AO$17,Sheet1!AD14:AG14,3,0),0)</f>
        <v>0</v>
      </c>
      <c r="AP33" s="13">
        <f>+IFERROR(VLOOKUP($AP$17,Sheet1!AD14:AG14,3,0),0)</f>
        <v>0</v>
      </c>
      <c r="AQ33" s="13">
        <f>+IFERROR(VLOOKUP($AQ$17,Sheet1!AD14:AG14,3,0),0)</f>
        <v>0</v>
      </c>
      <c r="AR33" s="13">
        <f>+IFERROR(VLOOKUP($AR$17,Sheet1!AD14:AG14,3,0),0)</f>
        <v>0</v>
      </c>
      <c r="AS33" s="13">
        <v>0</v>
      </c>
      <c r="AT33" s="123">
        <v>78</v>
      </c>
      <c r="AU33" s="13">
        <f>+IFERROR(VLOOKUP($AU$17,Sheet1!AH14:AK14,3,0),0)</f>
        <v>0</v>
      </c>
      <c r="AV33" s="13">
        <f>+IFERROR(VLOOKUP($AV$17,Sheet1!AH14:AK14,3,0),0)</f>
        <v>0</v>
      </c>
      <c r="AW33" s="13">
        <f>+IFERROR(VLOOKUP($AW$17,Sheet1!AH14:AK14,3,0),0)</f>
        <v>0</v>
      </c>
      <c r="AX33" s="13">
        <f>+IFERROR(VLOOKUP($AX$17,Sheet1!AH14:AK14,3,0),0)</f>
        <v>0</v>
      </c>
      <c r="AY33" s="13">
        <f>+IFERROR(VLOOKUP($AY$17,Sheet1!AH14:AK14,3,0),0)</f>
        <v>0</v>
      </c>
      <c r="AZ33" s="13">
        <f>+IFERROR(VLOOKUP($AZ$17,Sheet1!AH14:AK14,3,0),0)</f>
        <v>0</v>
      </c>
      <c r="BA33" s="13">
        <f>+IFERROR(VLOOKUP($BA$17,Sheet1!AH14:AK14,3,0),0)</f>
        <v>0</v>
      </c>
      <c r="BB33" s="13">
        <f>+IFERROR(VLOOKUP($BB$17,Sheet1!AH14:AK14,3,0),0)</f>
        <v>0</v>
      </c>
      <c r="BC33" s="123">
        <v>276</v>
      </c>
      <c r="BD33" s="13">
        <f>+IFERROR(VLOOKUP($BD$17,Sheet1!AH14:AK14,3,0),0)</f>
        <v>0</v>
      </c>
      <c r="BE33" s="13">
        <f>+IFERROR(VLOOKUP($BE$17,Sheet1!AL14:AO14,3,0),0)</f>
        <v>0</v>
      </c>
      <c r="BF33" s="13">
        <f>+IFERROR(VLOOKUP($BF$17,Sheet1!AL14:AO14,3,0),0)</f>
        <v>0</v>
      </c>
      <c r="BG33" s="13">
        <f>+IFERROR(VLOOKUP($BG$17,Sheet1!AL14:AO14,3,0),0)</f>
        <v>0</v>
      </c>
      <c r="BH33" s="123">
        <v>108</v>
      </c>
      <c r="BI33" s="13">
        <f>+IFERROR(VLOOKUP($BI$17,Sheet1!AL14:AO14,3,0),0)</f>
        <v>0</v>
      </c>
      <c r="BJ33" s="13">
        <f>+IFERROR(VLOOKUP($BJ$17,Sheet1!AL14:AO14,3,0),0)</f>
        <v>0</v>
      </c>
      <c r="BK33" s="13">
        <f>+IFERROR(VLOOKUP($BK$17,Sheet1!AL14:AO14,3,0),0)</f>
        <v>0</v>
      </c>
      <c r="BL33" s="13">
        <f>+IFERROR(VLOOKUP($BL$17,Sheet1!AL14:AO14,3,0),0)</f>
        <v>0</v>
      </c>
      <c r="BM33" s="13">
        <f>+IFERROR(VLOOKUP($BM$17,Sheet1!AL14:AO14,3,0),0)</f>
        <v>0</v>
      </c>
      <c r="BN33" s="13">
        <f>+IFERROR(VLOOKUP($BN$17,Sheet1!AL14:AO14,3,0),0)</f>
        <v>0</v>
      </c>
      <c r="BO33" s="13">
        <f>+IFERROR(VLOOKUP($BO$17,Sheet1!AP14:AS14,3,0),0)</f>
        <v>0</v>
      </c>
      <c r="BP33" s="13">
        <f>+IFERROR(VLOOKUP($BP$17,Sheet1!AT14:AW14,3,0),0)</f>
        <v>0</v>
      </c>
      <c r="BQ33" s="13">
        <f>+IFERROR(VLOOKUP($BQ$17,Sheet1!AX14:BA14,3,0),0)</f>
        <v>0</v>
      </c>
      <c r="BR33" s="13">
        <f>+IFERROR(VLOOKUP($BR$17,Sheet1!BB14:BE14,3,0),0)</f>
        <v>0</v>
      </c>
      <c r="BS33" s="13">
        <f>+IFERROR(VLOOKUP($BS$17,Sheet1!BF14:BI14,3,0),0)</f>
        <v>0</v>
      </c>
      <c r="BT33" s="13">
        <f>+IFERROR(VLOOKUP($BT$17,Sheet1!BJ14:BM14,3,0),0)</f>
        <v>0</v>
      </c>
      <c r="BU33" s="13">
        <f>+IFERROR(VLOOKUP($BU$17,Sheet1!BN14:BQ14,3,0),0)</f>
        <v>0</v>
      </c>
      <c r="BV33" s="123">
        <v>10</v>
      </c>
      <c r="BW33" s="13">
        <f>+IFERROR(VLOOKUP($BW$17,Sheet1!BV14:BY14,3,0),0)</f>
        <v>0</v>
      </c>
      <c r="BX33" s="13" t="str">
        <f>Sheet1!E14</f>
        <v>WOOD</v>
      </c>
      <c r="BY33" s="13" t="str">
        <f>Sheet1!CV14</f>
        <v>MD0100066</v>
      </c>
      <c r="BZ33" s="13" t="str">
        <f>Sheet1!CW14</f>
        <v>DRUM - 40 X 15 X 23 X 2</v>
      </c>
      <c r="CA33" s="13">
        <f>Sheet1!CX14</f>
        <v>1000</v>
      </c>
      <c r="CB33" s="3">
        <f>Sheet1!BZ14</f>
        <v>2550</v>
      </c>
      <c r="CC33" s="3">
        <f>SUMPRODUCT($P$18:$BW$18,P33:BW33)+CB33</f>
        <v>58488</v>
      </c>
      <c r="CD33" s="23">
        <v>0.01</v>
      </c>
      <c r="CE33" s="3">
        <f>CC33*CD33</f>
        <v>584.88</v>
      </c>
      <c r="CF33" s="44">
        <v>0.15</v>
      </c>
      <c r="CG33" s="3">
        <f>CC33*CF33</f>
        <v>8773.1999999999989</v>
      </c>
      <c r="CH33" s="44">
        <v>0</v>
      </c>
      <c r="CI33" s="3">
        <f t="shared" si="3"/>
        <v>0</v>
      </c>
      <c r="CJ33" s="3">
        <f>CC33+CE33+CG33+CI33</f>
        <v>67846.080000000002</v>
      </c>
      <c r="CK33" s="44">
        <v>0.02</v>
      </c>
      <c r="CL33" s="59">
        <f>CJ33*CK33</f>
        <v>1356.9216000000001</v>
      </c>
      <c r="CM33" s="44">
        <v>0.01</v>
      </c>
      <c r="CN33" s="59">
        <f>CJ33*CM33</f>
        <v>678.46080000000006</v>
      </c>
    </row>
    <row r="34" spans="1:92" ht="30" x14ac:dyDescent="0.25">
      <c r="B34">
        <v>16</v>
      </c>
      <c r="C34" s="1" t="str">
        <f>Sheet1!A17</f>
        <v>ENQ-15115-22-23</v>
      </c>
      <c r="D34" s="47">
        <v>45658</v>
      </c>
      <c r="E34" s="1" t="str">
        <f>Sheet1!C17</f>
        <v>FA0900042</v>
      </c>
      <c r="F34" s="1" t="str">
        <f>Sheet1!D17</f>
        <v>2 CORE X 10 SQ. MM. ALU/ARD - WIRE (XLPE)</v>
      </c>
      <c r="G34" s="3">
        <f>CJ34+CL34+CN34</f>
        <v>92040.223200000008</v>
      </c>
      <c r="H34" s="59">
        <f>ROUNDUP(O64,0)</f>
        <v>1885</v>
      </c>
      <c r="I34" s="9">
        <f>G34+H34</f>
        <v>93925.223200000008</v>
      </c>
      <c r="J34" s="7">
        <f>Sheet1!CP17</f>
        <v>0.18</v>
      </c>
      <c r="K34" s="9">
        <f t="shared" si="0"/>
        <v>16906.540176000002</v>
      </c>
      <c r="L34" s="9">
        <f t="shared" si="1"/>
        <v>110831.76337600002</v>
      </c>
      <c r="M34" s="1">
        <v>130.04</v>
      </c>
      <c r="N34" s="1" t="str">
        <f>Sheet1!CT17</f>
        <v>KMS</v>
      </c>
      <c r="O34" s="3">
        <f t="shared" si="2"/>
        <v>14412562.509415042</v>
      </c>
      <c r="P34" s="122">
        <f>+IFERROR(VLOOKUP($P$17,Sheet1!J17:L17,3,0),0)</f>
        <v>54</v>
      </c>
      <c r="Q34" s="2">
        <f>+IFERROR(VLOOKUP($Q$17,Sheet1!J17:L17,3,0),0)</f>
        <v>0</v>
      </c>
      <c r="R34" s="2">
        <f>+IFERROR(VLOOKUP($R$17,Sheet1!J17:M17,3,0),0)</f>
        <v>0</v>
      </c>
      <c r="S34" s="2">
        <f>+IFERROR(VLOOKUP($S$17,Sheet1!J17:M17,3,0),0)</f>
        <v>0</v>
      </c>
      <c r="T34" s="2">
        <f>+IFERROR(VLOOKUP($T$17,Sheet1!J17:M17,3,0),0)</f>
        <v>0</v>
      </c>
      <c r="U34" s="2">
        <f>+IFERROR(VLOOKUP($U$17,Sheet1!N17:Q17,3,0),0)</f>
        <v>0</v>
      </c>
      <c r="V34" s="2">
        <f>+IFERROR(VLOOKUP($V$17,Sheet1!N17:Q17,3,0),0)</f>
        <v>0</v>
      </c>
      <c r="W34" s="2">
        <f>+IFERROR(VLOOKUP($W$17,Sheet1!F17:I17,3,0),0)</f>
        <v>0</v>
      </c>
      <c r="X34" s="2">
        <f>+IFERROR(VLOOKUP($X$17,Sheet1!F17:I17,3,0),0)</f>
        <v>0</v>
      </c>
      <c r="Y34" s="2">
        <f>+IFERROR(VLOOKUP($Y$17,Sheet1!F17:I17,3,0),0)</f>
        <v>0</v>
      </c>
      <c r="Z34" s="2">
        <f>+IFERROR(VLOOKUP($Z$17,Sheet1!F17:I17,3,0),0)</f>
        <v>0</v>
      </c>
      <c r="AA34" s="2">
        <f>+IFERROR(VLOOKUP($AA$17,Sheet1!F17:I17,3,0),0)</f>
        <v>0</v>
      </c>
      <c r="AB34" s="2">
        <f>+IFERROR(VLOOKUP($AB$17,Sheet1!F17:I17,3,0),0)</f>
        <v>0</v>
      </c>
      <c r="AC34" s="2">
        <f>+IFERROR(VLOOKUP($AC$17,Sheet1!F17:I17,3,0),0)</f>
        <v>0</v>
      </c>
      <c r="AD34" s="2">
        <f>+IFERROR(VLOOKUP($AD$17,Sheet1!F17:I17,3,0),0)</f>
        <v>0</v>
      </c>
      <c r="AE34" s="2">
        <f>+IFERROR(VLOOKUP($AE$17,Sheet1!R17:U17,3,0),0)</f>
        <v>0</v>
      </c>
      <c r="AF34" s="13">
        <f>+IFERROR(VLOOKUP($AF$17,Sheet1!R17:U17,2,0),0)</f>
        <v>0</v>
      </c>
      <c r="AG34" s="2">
        <f>+IFERROR(VLOOKUP($AG$17,Sheet1!V17:Y17,3,0),0)</f>
        <v>0</v>
      </c>
      <c r="AH34" s="123">
        <v>25</v>
      </c>
      <c r="AI34" s="13">
        <f>+IFERROR(VLOOKUP($AI$17,Sheet1!V17:Y17,3,0),0)</f>
        <v>0</v>
      </c>
      <c r="AJ34" s="13">
        <f>+IFERROR(VLOOKUP($AJ$17,Sheet1!V17:Y17,3,0),0)</f>
        <v>0</v>
      </c>
      <c r="AK34" s="13">
        <f>+IFERROR(VLOOKUP($AK$17,Sheet1!V17:Y17,3,0),0)</f>
        <v>0</v>
      </c>
      <c r="AL34" s="13">
        <f>+IFERROR(VLOOKUP($AL$17,Sheet1!V17:Y17,3,0),0)</f>
        <v>0</v>
      </c>
      <c r="AM34" s="13">
        <f>+IFERROR(VLOOKUP($AM$17,Sheet1!Z17:AB17,3,0),0)</f>
        <v>0</v>
      </c>
      <c r="AN34" s="13">
        <f>+IFERROR(VLOOKUP($AN$17,Sheet1!AD17:AG17,3,0),0)</f>
        <v>0</v>
      </c>
      <c r="AO34" s="13">
        <f>+IFERROR(VLOOKUP($AO$17,Sheet1!AD17:AG17,3,0),0)</f>
        <v>0</v>
      </c>
      <c r="AP34" s="13">
        <f>+IFERROR(VLOOKUP($AP$17,Sheet1!AD17:AG17,3,0),0)</f>
        <v>0</v>
      </c>
      <c r="AQ34" s="13">
        <f>+IFERROR(VLOOKUP($AQ$17,Sheet1!AD17:AG17,3,0),0)</f>
        <v>0</v>
      </c>
      <c r="AR34" s="13">
        <f>+IFERROR(VLOOKUP($AR$17,Sheet1!AD17:AG17,3,0),0)</f>
        <v>0</v>
      </c>
      <c r="AS34" s="13">
        <f>+IFERROR(VLOOKUP($AS$17,Sheet1!AD17:AG17,3,0),0)</f>
        <v>0</v>
      </c>
      <c r="AT34" s="123">
        <v>103</v>
      </c>
      <c r="AU34" s="13">
        <f>+IFERROR(VLOOKUP($AU$17,Sheet1!AH17:AK17,3,0),0)</f>
        <v>0</v>
      </c>
      <c r="AV34" s="13">
        <f>+IFERROR(VLOOKUP($AV$17,Sheet1!AH17:AK17,3,0),0)</f>
        <v>0</v>
      </c>
      <c r="AW34" s="13">
        <f>+IFERROR(VLOOKUP($AW$17,Sheet1!AH17:AK17,3,0),0)</f>
        <v>0</v>
      </c>
      <c r="AX34" s="13">
        <f>+IFERROR(VLOOKUP($AX$17,Sheet1!AH17:AK17,3,0),0)</f>
        <v>0</v>
      </c>
      <c r="AY34" s="13">
        <f>+IFERROR(VLOOKUP($AY$17,Sheet1!AH17:AK17,3,0),0)</f>
        <v>0</v>
      </c>
      <c r="AZ34" s="13">
        <f>+IFERROR(VLOOKUP($AZ$17,Sheet1!AH17:AK17,3,0),0)</f>
        <v>0</v>
      </c>
      <c r="BA34" s="13">
        <f>+IFERROR(VLOOKUP($BA$17,Sheet1!AH17:AK17,3,0),0)</f>
        <v>0</v>
      </c>
      <c r="BB34" s="13">
        <f>+IFERROR(VLOOKUP($BB$17,Sheet1!AH17:AK17,3,0),0)</f>
        <v>0</v>
      </c>
      <c r="BC34" s="123">
        <v>360</v>
      </c>
      <c r="BD34" s="13">
        <f>+IFERROR(VLOOKUP($BD$17,Sheet1!AH17:AK17,3,0),0)</f>
        <v>0</v>
      </c>
      <c r="BE34" s="13">
        <f>+IFERROR(VLOOKUP($BE$17,Sheet1!AL17:AO17,3,0),0)</f>
        <v>0</v>
      </c>
      <c r="BF34" s="13">
        <f>+IFERROR(VLOOKUP($BF$17,Sheet1!AL17:AO17,3,0),0)</f>
        <v>0</v>
      </c>
      <c r="BG34" s="13">
        <f>+IFERROR(VLOOKUP($BG$17,Sheet1!AL17:AO17,3,0),0)</f>
        <v>0</v>
      </c>
      <c r="BH34" s="123">
        <v>120</v>
      </c>
      <c r="BI34" s="13">
        <f>+IFERROR(VLOOKUP($BI$17,Sheet1!AL17:AO17,3,0),0)</f>
        <v>0</v>
      </c>
      <c r="BJ34" s="13">
        <f>+IFERROR(VLOOKUP($BJ$17,Sheet1!AL17:AO17,3,0),0)</f>
        <v>0</v>
      </c>
      <c r="BK34" s="13">
        <f>+IFERROR(VLOOKUP($BK$17,Sheet1!AL17:AO17,3,0),0)</f>
        <v>0</v>
      </c>
      <c r="BL34" s="13">
        <f>+IFERROR(VLOOKUP($BL$17,Sheet1!AL17:AO17,3,0),0)</f>
        <v>0</v>
      </c>
      <c r="BM34" s="13">
        <f>+IFERROR(VLOOKUP($BM$17,Sheet1!AL17:AO17,3,0),0)</f>
        <v>0</v>
      </c>
      <c r="BN34" s="13">
        <f>+IFERROR(VLOOKUP($BN$17,Sheet1!AL17:AO17,3,0),0)</f>
        <v>0</v>
      </c>
      <c r="BO34" s="13">
        <f>+IFERROR(VLOOKUP($BO$17,Sheet1!AP17:AS17,3,0),0)</f>
        <v>0</v>
      </c>
      <c r="BP34" s="13">
        <f>+IFERROR(VLOOKUP($BP$17,Sheet1!AT17:AW17,3,0),0)</f>
        <v>0</v>
      </c>
      <c r="BQ34" s="13">
        <f>+IFERROR(VLOOKUP($BQ$17,Sheet1!AX17:BA17,3,0),0)</f>
        <v>0</v>
      </c>
      <c r="BR34" s="13">
        <f>+IFERROR(VLOOKUP($BR$17,Sheet1!BB17:BE17,3,0),0)</f>
        <v>0</v>
      </c>
      <c r="BS34" s="13">
        <f>+IFERROR(VLOOKUP($BS$17,Sheet1!BF17:BI17,3,0),0)</f>
        <v>0</v>
      </c>
      <c r="BT34" s="13">
        <f>+IFERROR(VLOOKUP($BT$17,Sheet1!BJ17:BM17,3,0),0)</f>
        <v>0</v>
      </c>
      <c r="BU34" s="13">
        <f>+IFERROR(VLOOKUP($BU$17,Sheet1!BN17:BQ17,3,0),0)</f>
        <v>0</v>
      </c>
      <c r="BV34" s="123">
        <v>12</v>
      </c>
      <c r="BW34" s="13">
        <f>+IFERROR(VLOOKUP($BW$17,Sheet1!BV17:BY17,3,0),0)</f>
        <v>0</v>
      </c>
      <c r="BX34" s="13" t="str">
        <f>Sheet1!E17</f>
        <v>WOOD</v>
      </c>
      <c r="BY34" s="13" t="str">
        <f>Sheet1!CV17</f>
        <v>MD0100075</v>
      </c>
      <c r="BZ34" s="13" t="str">
        <f>Sheet1!CW17</f>
        <v>DRUM - 42 X 15 X 23 X 2</v>
      </c>
      <c r="CA34" s="13">
        <f>Sheet1!CX17</f>
        <v>1000</v>
      </c>
      <c r="CB34" s="3">
        <f>Sheet1!BZ17</f>
        <v>3992</v>
      </c>
      <c r="CC34" s="3">
        <f>SUMPRODUCT($P$18:$BW$18,P34:BW34)+CB34</f>
        <v>77034</v>
      </c>
      <c r="CD34" s="23">
        <v>0.01</v>
      </c>
      <c r="CE34" s="3">
        <f>CC34*CD34</f>
        <v>770.34</v>
      </c>
      <c r="CF34" s="44">
        <v>0.15</v>
      </c>
      <c r="CG34" s="3">
        <f>CC34*CF34</f>
        <v>11555.1</v>
      </c>
      <c r="CH34" s="44">
        <v>0</v>
      </c>
      <c r="CI34" s="3">
        <f t="shared" si="3"/>
        <v>0</v>
      </c>
      <c r="CJ34" s="3">
        <f>CC34+CE34+CG34+CI34</f>
        <v>89359.44</v>
      </c>
      <c r="CK34" s="44">
        <v>0.02</v>
      </c>
      <c r="CL34" s="59">
        <f>CJ34*CK34</f>
        <v>1787.1888000000001</v>
      </c>
      <c r="CM34" s="44">
        <v>0.01</v>
      </c>
      <c r="CN34" s="59">
        <f>CJ34*CM34</f>
        <v>893.59440000000006</v>
      </c>
    </row>
    <row r="35" spans="1:92" ht="30" x14ac:dyDescent="0.25">
      <c r="B35">
        <v>17</v>
      </c>
      <c r="C35" s="1" t="str">
        <f>Sheet1!A19</f>
        <v>ENQ-15115-22-23</v>
      </c>
      <c r="D35" s="47">
        <v>45658</v>
      </c>
      <c r="E35" s="1" t="str">
        <f>Sheet1!C19</f>
        <v>FA0900112</v>
      </c>
      <c r="F35" s="1" t="str">
        <f>Sheet1!D19</f>
        <v>4 CORE X 10 SQ. MM. AL/ARD - WIRE (XLPE)</v>
      </c>
      <c r="G35" s="3">
        <f>CJ35+CL35+CN35</f>
        <v>111007.07579999999</v>
      </c>
      <c r="H35" s="59">
        <f>ROUNDUP(O65,0)</f>
        <v>2075</v>
      </c>
      <c r="I35" s="9">
        <f>G35+H35</f>
        <v>113082.07579999999</v>
      </c>
      <c r="J35" s="7">
        <f>Sheet1!CP19</f>
        <v>0.18</v>
      </c>
      <c r="K35" s="9">
        <f t="shared" si="0"/>
        <v>20354.773643999997</v>
      </c>
      <c r="L35" s="9">
        <f t="shared" si="1"/>
        <v>133436.84944399999</v>
      </c>
      <c r="M35" s="1">
        <v>151.83199999999999</v>
      </c>
      <c r="N35" s="1" t="str">
        <f>Sheet1!CT19</f>
        <v>KMS</v>
      </c>
      <c r="O35" s="3">
        <f t="shared" si="2"/>
        <v>20259983.724781405</v>
      </c>
      <c r="P35" s="122">
        <f>+IFERROR(VLOOKUP($P$17,Sheet1!J19:L19,3,0),0)</f>
        <v>108</v>
      </c>
      <c r="Q35" s="2">
        <f>+IFERROR(VLOOKUP($Q$17,Sheet1!J19:L19,3,0),0)</f>
        <v>0</v>
      </c>
      <c r="R35" s="2">
        <f>+IFERROR(VLOOKUP($R$17,Sheet1!J19:M19,3,0),0)</f>
        <v>0</v>
      </c>
      <c r="S35" s="2">
        <f>+IFERROR(VLOOKUP($S$17,Sheet1!J19:M19,3,0),0)</f>
        <v>0</v>
      </c>
      <c r="T35" s="2">
        <f>+IFERROR(VLOOKUP($T$17,Sheet1!J19:M19,3,0),0)</f>
        <v>0</v>
      </c>
      <c r="U35" s="2">
        <f>+IFERROR(VLOOKUP($U$17,Sheet1!N19:Q19,3,0),0)</f>
        <v>0</v>
      </c>
      <c r="V35" s="2">
        <f>+IFERROR(VLOOKUP($V$17,Sheet1!N19:Q19,3,0),0)</f>
        <v>0</v>
      </c>
      <c r="W35" s="2">
        <f>+IFERROR(VLOOKUP($W$17,Sheet1!F19:I19,3,0),0)</f>
        <v>0</v>
      </c>
      <c r="X35" s="2">
        <f>+IFERROR(VLOOKUP($X$17,Sheet1!F19:I19,3,0),0)</f>
        <v>0</v>
      </c>
      <c r="Y35" s="2">
        <f>+IFERROR(VLOOKUP($Y$17,Sheet1!F19:I19,3,0),0)</f>
        <v>0</v>
      </c>
      <c r="Z35" s="2">
        <f>+IFERROR(VLOOKUP($Z$17,Sheet1!F19:I19,3,0),0)</f>
        <v>0</v>
      </c>
      <c r="AA35" s="2">
        <f>+IFERROR(VLOOKUP($AA$17,Sheet1!F19:I19,3,0),0)</f>
        <v>0</v>
      </c>
      <c r="AB35" s="2">
        <f>+IFERROR(VLOOKUP($AB$17,Sheet1!F19:I19,3,0),0)</f>
        <v>0</v>
      </c>
      <c r="AC35" s="2">
        <f>+IFERROR(VLOOKUP($AC$17,Sheet1!F19:I19,3,0),0)</f>
        <v>0</v>
      </c>
      <c r="AD35" s="2">
        <f>+IFERROR(VLOOKUP($AD$17,Sheet1!F19:I19,3,0),0)</f>
        <v>0</v>
      </c>
      <c r="AE35" s="2">
        <f>+IFERROR(VLOOKUP($AE$17,Sheet1!R19:U19,3,0),0)</f>
        <v>0</v>
      </c>
      <c r="AF35" s="13">
        <f>+IFERROR(VLOOKUP($AF$17,Sheet1!R19:U19,2,0),0)</f>
        <v>0</v>
      </c>
      <c r="AG35" s="2">
        <f>+IFERROR(VLOOKUP($AG$17,Sheet1!V19:Y19,3,0),0)</f>
        <v>0</v>
      </c>
      <c r="AH35" s="123">
        <v>50</v>
      </c>
      <c r="AI35" s="13">
        <f>+IFERROR(VLOOKUP($AI$17,Sheet1!V19:Y19,3,0),0)</f>
        <v>0</v>
      </c>
      <c r="AJ35" s="13">
        <f>+IFERROR(VLOOKUP($AJ$17,Sheet1!V19:Y19,3,0),0)</f>
        <v>0</v>
      </c>
      <c r="AK35" s="13">
        <f>+IFERROR(VLOOKUP($AK$17,Sheet1!V19:Y19,3,0),0)</f>
        <v>0</v>
      </c>
      <c r="AL35" s="13">
        <f>+IFERROR(VLOOKUP($AL$17,Sheet1!V19:Y19,3,0),0)</f>
        <v>0</v>
      </c>
      <c r="AM35" s="13">
        <f>+IFERROR(VLOOKUP($AM$17,Sheet1!Z19:AB19,3,0),0)</f>
        <v>0</v>
      </c>
      <c r="AN35" s="13">
        <f>+IFERROR(VLOOKUP($AN$17,Sheet1!AD19:AG19,3,0),0)</f>
        <v>0</v>
      </c>
      <c r="AO35" s="13">
        <f>+IFERROR(VLOOKUP($AO$17,Sheet1!AD19:AG19,3,0),0)</f>
        <v>0</v>
      </c>
      <c r="AP35" s="13">
        <f>+IFERROR(VLOOKUP($AP$17,Sheet1!AD19:AG19,3,0),0)</f>
        <v>0</v>
      </c>
      <c r="AQ35" s="13">
        <f>+IFERROR(VLOOKUP($AQ$17,Sheet1!AD19:AG19,3,0),0)</f>
        <v>0</v>
      </c>
      <c r="AR35" s="13">
        <f>+IFERROR(VLOOKUP($AR$17,Sheet1!AD19:AG19,3,0),0)</f>
        <v>0</v>
      </c>
      <c r="AS35" s="123">
        <f>+IFERROR(VLOOKUP($AS$17,Sheet1!AD19:AG19,3,0),0)</f>
        <v>35</v>
      </c>
      <c r="AT35" s="13">
        <f>+IFERROR(VLOOKUP($AT$17,Sheet1!AD19:AG19,3,0),0)</f>
        <v>0</v>
      </c>
      <c r="AU35" s="13">
        <f>+IFERROR(VLOOKUP($AU$17,Sheet1!AH19:AK19,3,0),0)</f>
        <v>0</v>
      </c>
      <c r="AV35" s="13">
        <f>+IFERROR(VLOOKUP($AV$17,Sheet1!AH19:AK19,3,0),0)</f>
        <v>0</v>
      </c>
      <c r="AW35" s="13">
        <f>+IFERROR(VLOOKUP($AW$17,Sheet1!AH19:AK19,3,0),0)</f>
        <v>0</v>
      </c>
      <c r="AX35" s="13">
        <f>+IFERROR(VLOOKUP($AX$17,Sheet1!AH19:AK19,3,0),0)</f>
        <v>0</v>
      </c>
      <c r="AY35" s="13">
        <f>+IFERROR(VLOOKUP($AY$17,Sheet1!AH19:AK19,3,0),0)</f>
        <v>0</v>
      </c>
      <c r="AZ35" s="13">
        <f>+IFERROR(VLOOKUP($AZ$17,Sheet1!AH19:AK19,3,0),0)</f>
        <v>0</v>
      </c>
      <c r="BA35" s="13">
        <f>+IFERROR(VLOOKUP($BA$17,Sheet1!AH19:AK19,3,0),0)</f>
        <v>0</v>
      </c>
      <c r="BB35" s="13">
        <f>+IFERROR(VLOOKUP($BB$17,Sheet1!AH19:AK19,3,0),0)</f>
        <v>0</v>
      </c>
      <c r="BC35" s="123">
        <v>377</v>
      </c>
      <c r="BD35" s="13">
        <f>+IFERROR(VLOOKUP($BD$17,Sheet1!AH19:AK19,3,0),0)</f>
        <v>0</v>
      </c>
      <c r="BE35" s="13">
        <f>+IFERROR(VLOOKUP($BE$17,Sheet1!AL19:AO19,3,0),0)</f>
        <v>0</v>
      </c>
      <c r="BF35" s="13">
        <f>+IFERROR(VLOOKUP($BF$17,Sheet1!AL19:AO19,3,0),0)</f>
        <v>0</v>
      </c>
      <c r="BG35" s="13">
        <f>+IFERROR(VLOOKUP($BG$17,Sheet1!AL19:AO19,3,0),0)</f>
        <v>0</v>
      </c>
      <c r="BH35" s="123">
        <f>+IFERROR(VLOOKUP($BH$17,Sheet1!AL19:AO19,3,0),0)</f>
        <v>151</v>
      </c>
      <c r="BI35" s="13">
        <f>+IFERROR(VLOOKUP($BI$17,Sheet1!AL19:AO19,3,0),0)</f>
        <v>0</v>
      </c>
      <c r="BJ35" s="13">
        <f>+IFERROR(VLOOKUP($BJ$17,Sheet1!AL19:AO19,3,0),0)</f>
        <v>0</v>
      </c>
      <c r="BK35" s="13">
        <f>+IFERROR(VLOOKUP($BK$17,Sheet1!AL19:AO19,3,0),0)</f>
        <v>0</v>
      </c>
      <c r="BL35" s="13">
        <f>+IFERROR(VLOOKUP($BL$17,Sheet1!AL19:AO19,3,0),0)</f>
        <v>0</v>
      </c>
      <c r="BM35" s="13">
        <f>+IFERROR(VLOOKUP($BM$17,Sheet1!AL19:AO19,3,0),0)</f>
        <v>0</v>
      </c>
      <c r="BN35" s="13">
        <f>+IFERROR(VLOOKUP($BN$17,Sheet1!AL19:AO19,3,0),0)</f>
        <v>0</v>
      </c>
      <c r="BO35" s="13">
        <f>+IFERROR(VLOOKUP($BO$17,Sheet1!AP19:AS19,3,0),0)</f>
        <v>0</v>
      </c>
      <c r="BP35" s="13">
        <f>+IFERROR(VLOOKUP($BP$17,Sheet1!AT19:AW19,3,0),0)</f>
        <v>0</v>
      </c>
      <c r="BQ35" s="13">
        <f>+IFERROR(VLOOKUP($BQ$17,Sheet1!AX19:BA19,3,0),0)</f>
        <v>0</v>
      </c>
      <c r="BR35" s="13">
        <f>+IFERROR(VLOOKUP($BR$17,Sheet1!BB19:BE19,3,0),0)</f>
        <v>0</v>
      </c>
      <c r="BS35" s="13">
        <f>+IFERROR(VLOOKUP($BS$17,Sheet1!BF19:BI19,3,0),0)</f>
        <v>0</v>
      </c>
      <c r="BT35" s="13">
        <f>+IFERROR(VLOOKUP($BT$17,Sheet1!BJ19:BM19,3,0),0)</f>
        <v>0</v>
      </c>
      <c r="BU35" s="13">
        <f>+IFERROR(VLOOKUP($BU$17,Sheet1!BN19:BQ19,3,0),0)</f>
        <v>0</v>
      </c>
      <c r="BV35" s="123">
        <v>13.5</v>
      </c>
      <c r="BW35" s="13">
        <f>+IFERROR(VLOOKUP($BW$17,Sheet1!BV19:BY19,3,0),0)</f>
        <v>0</v>
      </c>
      <c r="BX35" s="13" t="str">
        <f>Sheet1!E19</f>
        <v>WOOD</v>
      </c>
      <c r="BY35" s="13" t="str">
        <f>Sheet1!CV19</f>
        <v>MD0100064</v>
      </c>
      <c r="BZ35" s="13" t="str">
        <f>Sheet1!CW19</f>
        <v>DRUM - 42 X 15 X 32 X 2</v>
      </c>
      <c r="CA35" s="13">
        <f>Sheet1!CX19</f>
        <v>1000</v>
      </c>
      <c r="CB35" s="3">
        <f>Sheet1!BZ19</f>
        <v>4593</v>
      </c>
      <c r="CC35" s="3">
        <f>SUMPRODUCT($P$18:$BW$18,P35:BW35)+CB35</f>
        <v>92908.5</v>
      </c>
      <c r="CD35" s="23">
        <v>0.01</v>
      </c>
      <c r="CE35" s="3">
        <f>CC35*CD35</f>
        <v>929.08500000000004</v>
      </c>
      <c r="CF35" s="44">
        <v>0.15</v>
      </c>
      <c r="CG35" s="3">
        <f>CC35*CF35</f>
        <v>13936.275</v>
      </c>
      <c r="CH35" s="44">
        <v>0</v>
      </c>
      <c r="CI35" s="3">
        <f t="shared" si="3"/>
        <v>0</v>
      </c>
      <c r="CJ35" s="3">
        <f>CC35+CE35+CG35+CI35</f>
        <v>107773.86</v>
      </c>
      <c r="CK35" s="44">
        <v>0.02</v>
      </c>
      <c r="CL35" s="59">
        <f>CJ35*CK35</f>
        <v>2155.4772000000003</v>
      </c>
      <c r="CM35" s="44">
        <v>0.01</v>
      </c>
      <c r="CN35" s="59">
        <f>CJ35*CM35</f>
        <v>1077.7386000000001</v>
      </c>
    </row>
    <row r="36" spans="1:92" ht="30" x14ac:dyDescent="0.25">
      <c r="B36">
        <v>18</v>
      </c>
      <c r="C36" s="1" t="str">
        <f>Sheet1!A5</f>
        <v>ENQ-15115-22-23</v>
      </c>
      <c r="D36" s="47">
        <v>45658</v>
      </c>
      <c r="E36" s="1" t="str">
        <f>Sheet1!C5</f>
        <v>FA0200011</v>
      </c>
      <c r="F36" s="1" t="str">
        <f>Sheet1!D5</f>
        <v>4 CORE X 2.5 SQ. MM. CU/ARD - WIRE (PVC)</v>
      </c>
      <c r="G36" s="3">
        <f>CJ36+CL36+CN36</f>
        <v>144287.6324</v>
      </c>
      <c r="H36" s="59">
        <f>ROUNDUP(O66,0)</f>
        <v>2271</v>
      </c>
      <c r="I36" s="9">
        <f>G36+H36</f>
        <v>146558.6324</v>
      </c>
      <c r="J36" s="7">
        <f>Sheet1!CP5</f>
        <v>0.18</v>
      </c>
      <c r="K36" s="9">
        <f t="shared" si="0"/>
        <v>26380.553831999998</v>
      </c>
      <c r="L36" s="9">
        <f t="shared" si="1"/>
        <v>172939.18623200001</v>
      </c>
      <c r="M36" s="1">
        <v>61.67</v>
      </c>
      <c r="N36" s="1" t="str">
        <f>Sheet1!CT5</f>
        <v>KMS</v>
      </c>
      <c r="O36" s="3">
        <f t="shared" si="2"/>
        <v>10665159.614927441</v>
      </c>
      <c r="P36" s="2">
        <f>+IFERROR(VLOOKUP($P$17,Sheet1!J5:L5,3,0),0)</f>
        <v>0</v>
      </c>
      <c r="Q36" s="2">
        <f>+IFERROR(VLOOKUP($Q$17,Sheet1!J5:L5,3,0),0)</f>
        <v>0</v>
      </c>
      <c r="R36" s="2">
        <f>+IFERROR(VLOOKUP($R$17,Sheet1!J5:M5,3,0),0)</f>
        <v>89</v>
      </c>
      <c r="S36" s="2">
        <f>+IFERROR(VLOOKUP($S$17,Sheet1!J5:M5,3,0),0)</f>
        <v>0</v>
      </c>
      <c r="T36" s="2">
        <f>+IFERROR(VLOOKUP($T$17,Sheet1!J5:M5,3,0),0)</f>
        <v>0</v>
      </c>
      <c r="U36" s="2">
        <f>+IFERROR(VLOOKUP($U$17,Sheet1!N5:Q5,3,0),0)</f>
        <v>0</v>
      </c>
      <c r="V36" s="2">
        <f>+IFERROR(VLOOKUP($V$17,Sheet1!N5:Q5,3,0),0)</f>
        <v>0</v>
      </c>
      <c r="W36" s="2">
        <f>+IFERROR(VLOOKUP($W$17,Sheet1!F5:I5,3,0),0)</f>
        <v>0</v>
      </c>
      <c r="X36" s="2">
        <f>+IFERROR(VLOOKUP($X$17,Sheet1!F5:I5,3,0),0)</f>
        <v>0</v>
      </c>
      <c r="Y36" s="2">
        <f>+IFERROR(VLOOKUP($Y$17,Sheet1!F5:I5,3,0),0)</f>
        <v>0</v>
      </c>
      <c r="Z36" s="2">
        <f>+IFERROR(VLOOKUP($Z$17,Sheet1!F5:I5,3,0),0)</f>
        <v>0</v>
      </c>
      <c r="AA36" s="2">
        <f>+IFERROR(VLOOKUP($AA$17,Sheet1!F5:I5,3,0),0)</f>
        <v>0</v>
      </c>
      <c r="AB36" s="2">
        <f>+IFERROR(VLOOKUP($AB$17,Sheet1!F5:I5,3,0),0)</f>
        <v>0</v>
      </c>
      <c r="AC36" s="2">
        <f>+IFERROR(VLOOKUP($AC$17,Sheet1!F5:I5,3,0),0)</f>
        <v>0</v>
      </c>
      <c r="AD36" s="2">
        <f>+IFERROR(VLOOKUP($AD$17,Sheet1!F5:I5,3,0),0)</f>
        <v>0</v>
      </c>
      <c r="AE36" s="2">
        <f>+IFERROR(VLOOKUP($AE$17,Sheet1!R5:U5,3,0),0)</f>
        <v>0</v>
      </c>
      <c r="AF36" s="13">
        <f>+IFERROR(VLOOKUP($AF$17,Sheet1!R5:U5,2,0),0)</f>
        <v>0</v>
      </c>
      <c r="AG36" s="2">
        <f>+IFERROR(VLOOKUP($AG$17,Sheet1!V5:Y5,3,0),0)</f>
        <v>0</v>
      </c>
      <c r="AH36" s="13">
        <f>+IFERROR(VLOOKUP($AH$17,Sheet1!V5:Y5,3,0),0)</f>
        <v>0</v>
      </c>
      <c r="AI36" s="13">
        <f>+IFERROR(VLOOKUP($AI$17,Sheet1!V5:Y5,3,0),0)</f>
        <v>0</v>
      </c>
      <c r="AJ36" s="13">
        <f>+IFERROR(VLOOKUP($AJ$17,Sheet1!V5:Y5,3,0),0)</f>
        <v>0</v>
      </c>
      <c r="AK36" s="13">
        <f>+IFERROR(VLOOKUP($AK$17,Sheet1!V5:Y5,3,0),0)</f>
        <v>52</v>
      </c>
      <c r="AL36" s="13">
        <f>+IFERROR(VLOOKUP($AL$17,Sheet1!V5:Y5,3,0),0)</f>
        <v>0</v>
      </c>
      <c r="AM36" s="13">
        <f>+IFERROR(VLOOKUP($AM$17,Sheet1!Z5:AB5,3,0),0)</f>
        <v>3</v>
      </c>
      <c r="AN36" s="13">
        <f>+IFERROR(VLOOKUP($AN$17,Sheet1!AD5:AG5,3,0),0)</f>
        <v>0</v>
      </c>
      <c r="AO36" s="13">
        <f>+IFERROR(VLOOKUP($AO$17,Sheet1!AD5:AG5,3,0),0)</f>
        <v>0</v>
      </c>
      <c r="AP36" s="13">
        <f>+IFERROR(VLOOKUP($AP$17,Sheet1!AD5:AG5,3,0),0)</f>
        <v>0</v>
      </c>
      <c r="AQ36" s="13">
        <f>+IFERROR(VLOOKUP($AQ$17,Sheet1!AD5:AG5,3,0),0)</f>
        <v>0</v>
      </c>
      <c r="AR36" s="13">
        <f>+IFERROR(VLOOKUP($AR$17,Sheet1!AD5:AG5,3,0),0)</f>
        <v>0</v>
      </c>
      <c r="AS36" s="123">
        <v>27</v>
      </c>
      <c r="AT36" s="125">
        <f>+IFERROR(VLOOKUP($AT$17,Sheet1!AD5:AG5,3,0),0)</f>
        <v>0</v>
      </c>
      <c r="AU36" s="123">
        <f>+IFERROR(VLOOKUP($AU$17,Sheet1!AH5:AK5,3,0),0)</f>
        <v>0</v>
      </c>
      <c r="AV36" s="123">
        <f>+IFERROR(VLOOKUP($AV$17,Sheet1!AH5:AK5,3,0),0)</f>
        <v>0</v>
      </c>
      <c r="AW36" s="123">
        <f>+IFERROR(VLOOKUP($AW$17,Sheet1!AH5:AK5,3,0),0)</f>
        <v>0</v>
      </c>
      <c r="AX36" s="123">
        <f>+IFERROR(VLOOKUP($AX$17,Sheet1!AH5:AK5,3,0),0)</f>
        <v>0</v>
      </c>
      <c r="AY36" s="123">
        <f>+IFERROR(VLOOKUP($AY$17,Sheet1!AH5:AK5,3,0),0)</f>
        <v>0</v>
      </c>
      <c r="AZ36" s="123">
        <f>+IFERROR(VLOOKUP($AZ$17,Sheet1!AH5:AK5,3,0),0)</f>
        <v>0</v>
      </c>
      <c r="BA36" s="123">
        <f>+IFERROR(VLOOKUP($BA$17,Sheet1!AH5:AK5,3,0),0)</f>
        <v>0</v>
      </c>
      <c r="BB36" s="123">
        <f>+IFERROR(VLOOKUP($BB$17,Sheet1!AH5:AK5,3,0),0)</f>
        <v>0</v>
      </c>
      <c r="BC36" s="123">
        <v>289</v>
      </c>
      <c r="BD36" s="123">
        <f>+IFERROR(VLOOKUP($BD$17,Sheet1!AH5:AK5,3,0),0)</f>
        <v>0</v>
      </c>
      <c r="BE36" s="123">
        <f>+IFERROR(VLOOKUP($BE$17,Sheet1!AL5:AO5,3,0),0)</f>
        <v>0</v>
      </c>
      <c r="BF36" s="123">
        <f>+IFERROR(VLOOKUP($BF$17,Sheet1!AL5:AO5,3,0),0)</f>
        <v>0</v>
      </c>
      <c r="BG36" s="123">
        <f>+IFERROR(VLOOKUP($BG$17,Sheet1!AL5:AO5,3,0),0)</f>
        <v>0</v>
      </c>
      <c r="BH36" s="123">
        <v>104</v>
      </c>
      <c r="BI36" s="13">
        <f>+IFERROR(VLOOKUP($BI$17,Sheet1!AL5:AO5,3,0),0)</f>
        <v>0</v>
      </c>
      <c r="BJ36" s="13">
        <f>+IFERROR(VLOOKUP($BJ$17,Sheet1!AL5:AO5,3,0),0)</f>
        <v>0</v>
      </c>
      <c r="BK36" s="13">
        <f>+IFERROR(VLOOKUP($BK$17,Sheet1!AL5:AO5,3,0),0)</f>
        <v>0</v>
      </c>
      <c r="BL36" s="13">
        <f>+IFERROR(VLOOKUP($BL$17,Sheet1!AL5:AO5,3,0),0)</f>
        <v>0</v>
      </c>
      <c r="BM36" s="13">
        <f>+IFERROR(VLOOKUP($BM$17,Sheet1!AL5:AO5,3,0),0)</f>
        <v>0</v>
      </c>
      <c r="BN36" s="13">
        <f>+IFERROR(VLOOKUP($BN$17,Sheet1!AL5:AO5,3,0),0)</f>
        <v>0</v>
      </c>
      <c r="BO36" s="13">
        <f>+IFERROR(VLOOKUP($BO$17,Sheet1!AP5:AS5,3,0),0)</f>
        <v>0</v>
      </c>
      <c r="BP36" s="13">
        <f>+IFERROR(VLOOKUP($BP$17,Sheet1!AT5:AW5,3,0),0)</f>
        <v>0</v>
      </c>
      <c r="BQ36" s="13">
        <f>+IFERROR(VLOOKUP($BQ$17,Sheet1!AX5:BA5,3,0),0)</f>
        <v>0</v>
      </c>
      <c r="BR36" s="13">
        <f>+IFERROR(VLOOKUP($BR$17,Sheet1!BB5:BE5,3,0),0)</f>
        <v>0</v>
      </c>
      <c r="BS36" s="13">
        <f>+IFERROR(VLOOKUP($BS$17,Sheet1!BF5:BI5,3,0),0)</f>
        <v>0</v>
      </c>
      <c r="BT36" s="13">
        <f>+IFERROR(VLOOKUP($BT$17,Sheet1!BJ5:BM5,3,0),0)</f>
        <v>0</v>
      </c>
      <c r="BU36" s="13">
        <f>+IFERROR(VLOOKUP($BU$17,Sheet1!BN5:BQ5,3,0),0)</f>
        <v>0</v>
      </c>
      <c r="BV36" s="13">
        <f>+IFERROR(VLOOKUP($BV$17,Sheet1!BR5:BU5,3,0),0)</f>
        <v>0</v>
      </c>
      <c r="BW36" s="13">
        <f>+IFERROR(VLOOKUP($BW$17,Sheet1!BV5:BY5,3,0),0)</f>
        <v>0</v>
      </c>
      <c r="BX36" s="13" t="str">
        <f>Sheet1!E5</f>
        <v>WOOD</v>
      </c>
      <c r="BY36" s="13" t="str">
        <f>Sheet1!CV5</f>
        <v>MD0100005</v>
      </c>
      <c r="BZ36" s="13" t="str">
        <f>Sheet1!CW5</f>
        <v>DRUM - 36 X 14 X 23 X 2</v>
      </c>
      <c r="CA36" s="13">
        <f>Sheet1!CX5</f>
        <v>500</v>
      </c>
      <c r="CB36" s="3">
        <f>Sheet1!BZ5</f>
        <v>4858</v>
      </c>
      <c r="CC36" s="3">
        <f>SUMPRODUCT($P$18:$BW$18,P36:BW36)+CB36</f>
        <v>120763</v>
      </c>
      <c r="CD36" s="23">
        <v>0.01</v>
      </c>
      <c r="CE36" s="3">
        <f>CC36*CD36</f>
        <v>1207.6300000000001</v>
      </c>
      <c r="CF36" s="44">
        <v>0.15</v>
      </c>
      <c r="CG36" s="3">
        <f>CC36*CF36</f>
        <v>18114.45</v>
      </c>
      <c r="CH36" s="44">
        <v>0</v>
      </c>
      <c r="CI36" s="3">
        <f t="shared" si="3"/>
        <v>0</v>
      </c>
      <c r="CJ36" s="3">
        <f>CC36+CE36+CG36+CI36</f>
        <v>140085.08000000002</v>
      </c>
      <c r="CK36" s="44">
        <v>0.02</v>
      </c>
      <c r="CL36" s="59">
        <f>CJ36*CK36</f>
        <v>2801.7016000000003</v>
      </c>
      <c r="CM36" s="44">
        <v>0.01</v>
      </c>
      <c r="CN36" s="59">
        <f>CJ36*CM36</f>
        <v>1400.8508000000002</v>
      </c>
    </row>
    <row r="37" spans="1:92" ht="30" x14ac:dyDescent="0.25">
      <c r="B37">
        <v>19</v>
      </c>
      <c r="C37" s="1" t="str">
        <f>Sheet1!A6</f>
        <v>ENQ-15115-22-23</v>
      </c>
      <c r="D37" s="47">
        <v>45658</v>
      </c>
      <c r="E37" s="1" t="str">
        <f>Sheet1!C6</f>
        <v>FA0200018</v>
      </c>
      <c r="F37" s="1" t="str">
        <f>Sheet1!D6</f>
        <v>7 CORE X 2.5 SQ. MM. CU/ARD - WIRE (PVC)</v>
      </c>
      <c r="G37" s="3">
        <f>CJ37+CL37+CN37</f>
        <v>223186.25040000002</v>
      </c>
      <c r="H37" s="59">
        <f>ROUNDUP(O67,0)</f>
        <v>2125</v>
      </c>
      <c r="I37" s="9">
        <f>G37+H37</f>
        <v>225311.25040000002</v>
      </c>
      <c r="J37" s="7">
        <f>Sheet1!CP6</f>
        <v>0.18</v>
      </c>
      <c r="K37" s="9">
        <f t="shared" si="0"/>
        <v>40556.025072000004</v>
      </c>
      <c r="L37" s="9">
        <f t="shared" si="1"/>
        <v>265867.27547200001</v>
      </c>
      <c r="M37" s="1">
        <f>Sheet1!CS6</f>
        <v>98.844999999999999</v>
      </c>
      <c r="N37" s="1" t="str">
        <f>Sheet1!CT6</f>
        <v>KMS</v>
      </c>
      <c r="O37" s="3">
        <f t="shared" si="2"/>
        <v>26279650.84402984</v>
      </c>
      <c r="P37" s="2">
        <f>+IFERROR(VLOOKUP($P$17,Sheet1!J6:L6,3,0),0)</f>
        <v>0</v>
      </c>
      <c r="Q37" s="2">
        <f>+IFERROR(VLOOKUP($Q$17,Sheet1!J6:L6,3,0),0)</f>
        <v>0</v>
      </c>
      <c r="R37" s="2">
        <f>+IFERROR(VLOOKUP($R$17,Sheet1!J6:M6,3,0),0)</f>
        <v>155</v>
      </c>
      <c r="S37" s="2">
        <f>+IFERROR(VLOOKUP($S$17,Sheet1!J6:M6,3,0),0)</f>
        <v>0</v>
      </c>
      <c r="T37" s="2">
        <f>+IFERROR(VLOOKUP($T$17,Sheet1!J6:M6,3,0),0)</f>
        <v>0</v>
      </c>
      <c r="U37" s="2">
        <f>+IFERROR(VLOOKUP($U$17,Sheet1!N6:Q6,3,0),0)</f>
        <v>0</v>
      </c>
      <c r="V37" s="2">
        <f>+IFERROR(VLOOKUP($V$17,Sheet1!N6:Q6,3,0),0)</f>
        <v>0</v>
      </c>
      <c r="W37" s="2">
        <f>+IFERROR(VLOOKUP($W$17,Sheet1!F6:I6,3,0),0)</f>
        <v>0</v>
      </c>
      <c r="X37" s="2">
        <f>+IFERROR(VLOOKUP($X$17,Sheet1!F6:I6,3,0),0)</f>
        <v>0</v>
      </c>
      <c r="Y37" s="2">
        <f>+IFERROR(VLOOKUP($Y$17,Sheet1!F6:I6,3,0),0)</f>
        <v>0</v>
      </c>
      <c r="Z37" s="2">
        <f>+IFERROR(VLOOKUP($Z$17,Sheet1!F6:I6,3,0),0)</f>
        <v>0</v>
      </c>
      <c r="AA37" s="2">
        <f>+IFERROR(VLOOKUP($AA$17,Sheet1!F6:I6,3,0),0)</f>
        <v>0</v>
      </c>
      <c r="AB37" s="2">
        <f>+IFERROR(VLOOKUP($AB$17,Sheet1!F6:I6,3,0),0)</f>
        <v>0</v>
      </c>
      <c r="AC37" s="2">
        <f>+IFERROR(VLOOKUP($AC$17,Sheet1!F6:I6,3,0),0)</f>
        <v>0</v>
      </c>
      <c r="AD37" s="2">
        <f>+IFERROR(VLOOKUP($AD$17,Sheet1!F6:I6,3,0),0)</f>
        <v>0</v>
      </c>
      <c r="AE37" s="2">
        <f>+IFERROR(VLOOKUP($AE$17,Sheet1!R6:U6,3,0),0)</f>
        <v>0</v>
      </c>
      <c r="AF37" s="13">
        <f>+IFERROR(VLOOKUP($AF$17,Sheet1!R6:U6,2,0),0)</f>
        <v>0</v>
      </c>
      <c r="AG37" s="2">
        <f>+IFERROR(VLOOKUP($AG$17,Sheet1!V6:Y6,3,0),0)</f>
        <v>0</v>
      </c>
      <c r="AH37" s="13">
        <f>+IFERROR(VLOOKUP($AH$17,Sheet1!V6:Y6,3,0),0)</f>
        <v>0</v>
      </c>
      <c r="AI37" s="13">
        <f>+IFERROR(VLOOKUP($AI$17,Sheet1!V6:Y6,3,0),0)</f>
        <v>0</v>
      </c>
      <c r="AJ37" s="13">
        <f>+IFERROR(VLOOKUP($AJ$17,Sheet1!V6:Y6,3,0),0)</f>
        <v>0</v>
      </c>
      <c r="AK37" s="13">
        <f>+IFERROR(VLOOKUP($AK$17,Sheet1!V6:Y6,3,0),0)</f>
        <v>91</v>
      </c>
      <c r="AL37" s="13">
        <f>+IFERROR(VLOOKUP($AL$17,Sheet1!V6:Y6,3,0),0)</f>
        <v>0</v>
      </c>
      <c r="AM37" s="13">
        <f>+IFERROR(VLOOKUP($AM$17,Sheet1!Z6:AB6,3,0),0)</f>
        <v>4</v>
      </c>
      <c r="AN37" s="13">
        <f>+IFERROR(VLOOKUP($AN$17,Sheet1!AD6:AG6,3,0),0)</f>
        <v>0</v>
      </c>
      <c r="AO37" s="13">
        <f>+IFERROR(VLOOKUP($AO$17,Sheet1!AD6:AG6,3,0),0)</f>
        <v>0</v>
      </c>
      <c r="AP37" s="13">
        <f>+IFERROR(VLOOKUP($AP$17,Sheet1!AD6:AG6,3,0),0)</f>
        <v>0</v>
      </c>
      <c r="AQ37" s="13">
        <f>+IFERROR(VLOOKUP($AQ$17,Sheet1!AD6:AG6,3,0),0)</f>
        <v>0</v>
      </c>
      <c r="AR37" s="13">
        <f>+IFERROR(VLOOKUP($AR$17,Sheet1!AD6:AG6,3,0),0)</f>
        <v>0</v>
      </c>
      <c r="AS37" s="123">
        <v>33</v>
      </c>
      <c r="AT37" s="125">
        <f>+IFERROR(VLOOKUP($AT$17,Sheet1!AD6:AG6,3,0),0)</f>
        <v>0</v>
      </c>
      <c r="AU37" s="123">
        <f>+IFERROR(VLOOKUP($AU$17,Sheet1!AH6:AK6,3,0),0)</f>
        <v>0</v>
      </c>
      <c r="AV37" s="123">
        <f>+IFERROR(VLOOKUP($AV$17,Sheet1!AH6:AK6,3,0),0)</f>
        <v>0</v>
      </c>
      <c r="AW37" s="123">
        <f>+IFERROR(VLOOKUP($AW$17,Sheet1!AH6:AK6,3,0),0)</f>
        <v>0</v>
      </c>
      <c r="AX37" s="123">
        <f>+IFERROR(VLOOKUP($AX$17,Sheet1!AH6:AK6,3,0),0)</f>
        <v>0</v>
      </c>
      <c r="AY37" s="123">
        <f>+IFERROR(VLOOKUP($AY$17,Sheet1!AH6:AK6,3,0),0)</f>
        <v>0</v>
      </c>
      <c r="AZ37" s="123">
        <f>+IFERROR(VLOOKUP($AZ$17,Sheet1!AH6:AK6,3,0),0)</f>
        <v>0</v>
      </c>
      <c r="BA37" s="123">
        <f>+IFERROR(VLOOKUP($BA$17,Sheet1!AH6:AK6,3,0),0)</f>
        <v>0</v>
      </c>
      <c r="BB37" s="123">
        <f>+IFERROR(VLOOKUP($BB$17,Sheet1!AH6:AK6,3,0),0)</f>
        <v>0</v>
      </c>
      <c r="BC37" s="123">
        <v>352</v>
      </c>
      <c r="BD37" s="123">
        <f>+IFERROR(VLOOKUP($BD$17,Sheet1!AH6:AK6,3,0),0)</f>
        <v>0</v>
      </c>
      <c r="BE37" s="123">
        <f>+IFERROR(VLOOKUP($BE$17,Sheet1!AL6:AO6,3,0),0)</f>
        <v>0</v>
      </c>
      <c r="BF37" s="123">
        <f>+IFERROR(VLOOKUP($BF$17,Sheet1!AL6:AO6,3,0),0)</f>
        <v>0</v>
      </c>
      <c r="BG37" s="123">
        <f>+IFERROR(VLOOKUP($BG$17,Sheet1!AL6:AO6,3,0),0)</f>
        <v>0</v>
      </c>
      <c r="BH37" s="123">
        <v>120</v>
      </c>
      <c r="BI37" s="13">
        <f>+IFERROR(VLOOKUP($BI$17,Sheet1!AL6:AO6,3,0),0)</f>
        <v>0</v>
      </c>
      <c r="BJ37" s="13">
        <f>+IFERROR(VLOOKUP($BJ$17,Sheet1!AL6:AO6,3,0),0)</f>
        <v>0</v>
      </c>
      <c r="BK37" s="13">
        <f>+IFERROR(VLOOKUP($BK$17,Sheet1!AL6:AO6,3,0),0)</f>
        <v>0</v>
      </c>
      <c r="BL37" s="13">
        <f>+IFERROR(VLOOKUP($BL$17,Sheet1!AL6:AO6,3,0),0)</f>
        <v>0</v>
      </c>
      <c r="BM37" s="13">
        <f>+IFERROR(VLOOKUP($BM$17,Sheet1!AL6:AO6,3,0),0)</f>
        <v>0</v>
      </c>
      <c r="BN37" s="13">
        <f>+IFERROR(VLOOKUP($BN$17,Sheet1!AL6:AO6,3,0),0)</f>
        <v>0</v>
      </c>
      <c r="BO37" s="13">
        <f>+IFERROR(VLOOKUP($BO$17,Sheet1!AP6:AS6,3,0),0)</f>
        <v>0</v>
      </c>
      <c r="BP37" s="13">
        <f>+IFERROR(VLOOKUP($BP$17,Sheet1!AT6:AW6,3,0),0)</f>
        <v>0</v>
      </c>
      <c r="BQ37" s="13">
        <f>+IFERROR(VLOOKUP($BQ$17,Sheet1!AX6:BA6,3,0),0)</f>
        <v>0</v>
      </c>
      <c r="BR37" s="13">
        <f>+IFERROR(VLOOKUP($BR$17,Sheet1!BB6:BE6,3,0),0)</f>
        <v>0</v>
      </c>
      <c r="BS37" s="13">
        <f>+IFERROR(VLOOKUP($BS$17,Sheet1!BF6:BI6,3,0),0)</f>
        <v>0</v>
      </c>
      <c r="BT37" s="13">
        <f>+IFERROR(VLOOKUP($BT$17,Sheet1!BJ6:BM6,3,0),0)</f>
        <v>0</v>
      </c>
      <c r="BU37" s="13">
        <f>+IFERROR(VLOOKUP($BU$17,Sheet1!BN6:BQ6,3,0),0)</f>
        <v>0</v>
      </c>
      <c r="BV37" s="13">
        <f>+IFERROR(VLOOKUP($BV$17,Sheet1!BR6:BU6,3,0),0)</f>
        <v>0</v>
      </c>
      <c r="BW37" s="13">
        <f>+IFERROR(VLOOKUP($BW$17,Sheet1!BV6:BY6,3,0),0)</f>
        <v>0</v>
      </c>
      <c r="BX37" s="13" t="str">
        <f>Sheet1!E6</f>
        <v>WOOD</v>
      </c>
      <c r="BY37" s="13" t="str">
        <f>Sheet1!CV6</f>
        <v>MD0100005</v>
      </c>
      <c r="BZ37" s="13" t="str">
        <f>Sheet1!CW6</f>
        <v>DRUM - 36 X 14 X 23 X 2</v>
      </c>
      <c r="CA37" s="13">
        <f>Sheet1!CX6</f>
        <v>500</v>
      </c>
      <c r="CB37" s="3">
        <f>Sheet1!BZ6</f>
        <v>4858</v>
      </c>
      <c r="CC37" s="3">
        <f>SUMPRODUCT($P$18:$BW$18,P37:BW37)+CB37</f>
        <v>186798</v>
      </c>
      <c r="CD37" s="23">
        <v>0.01</v>
      </c>
      <c r="CE37" s="3">
        <f>CC37*CD37</f>
        <v>1867.98</v>
      </c>
      <c r="CF37" s="44">
        <v>0.15</v>
      </c>
      <c r="CG37" s="3">
        <f>CC37*CF37</f>
        <v>28019.7</v>
      </c>
      <c r="CH37" s="44">
        <v>0</v>
      </c>
      <c r="CI37" s="3">
        <f t="shared" si="3"/>
        <v>0</v>
      </c>
      <c r="CJ37" s="3">
        <f>CC37+CE37+CG37+CI37</f>
        <v>216685.68000000002</v>
      </c>
      <c r="CK37" s="44">
        <v>0.02</v>
      </c>
      <c r="CL37" s="59">
        <f>CJ37*CK37</f>
        <v>4333.713600000001</v>
      </c>
      <c r="CM37" s="44">
        <v>0.01</v>
      </c>
      <c r="CN37" s="59">
        <f>CJ37*CM37</f>
        <v>2166.8568000000005</v>
      </c>
    </row>
    <row r="38" spans="1:92" ht="30" x14ac:dyDescent="0.25">
      <c r="B38">
        <v>20</v>
      </c>
      <c r="C38" s="1" t="str">
        <f>Sheet1!A2</f>
        <v>ENQ-15115-22-23</v>
      </c>
      <c r="D38" s="47">
        <v>45658</v>
      </c>
      <c r="E38" s="1" t="str">
        <f>Sheet1!C2</f>
        <v>FA0200002</v>
      </c>
      <c r="F38" s="1" t="str">
        <f>Sheet1!D2</f>
        <v>10 CORE X 2.5 SQ. MM. CU/ARD - WIRE (PVC)</v>
      </c>
      <c r="G38" s="3">
        <f>CJ38+CL38+CN38</f>
        <v>317379.50320000004</v>
      </c>
      <c r="H38" s="59">
        <f>ROUNDUP(O68,0)</f>
        <v>3103</v>
      </c>
      <c r="I38" s="9">
        <f>G38+H38</f>
        <v>320482.50320000004</v>
      </c>
      <c r="J38" s="7">
        <f>Sheet1!CP2</f>
        <v>0.18</v>
      </c>
      <c r="K38" s="9">
        <f t="shared" si="0"/>
        <v>57686.850576000004</v>
      </c>
      <c r="L38" s="9">
        <f t="shared" si="1"/>
        <v>378169.35377600003</v>
      </c>
      <c r="M38" s="1">
        <v>78.965000000000003</v>
      </c>
      <c r="N38" s="1" t="str">
        <f>Sheet1!CT2</f>
        <v>KMS</v>
      </c>
      <c r="O38" s="3">
        <f t="shared" si="2"/>
        <v>29862143.020921845</v>
      </c>
      <c r="P38" s="2">
        <f>+IFERROR(VLOOKUP($P$17,Sheet1!J2:L2,3,0),0)</f>
        <v>0</v>
      </c>
      <c r="Q38" s="2">
        <f>+IFERROR(VLOOKUP($Q$17,Sheet1!J2:L2,3,0),0)</f>
        <v>0</v>
      </c>
      <c r="R38" s="2">
        <f>+IFERROR(VLOOKUP($R$17,Sheet1!J2:M2,3,0),0)</f>
        <v>222</v>
      </c>
      <c r="S38" s="2">
        <f>+IFERROR(VLOOKUP($S$17,Sheet1!J2:M2,3,0),0)</f>
        <v>0</v>
      </c>
      <c r="T38" s="2">
        <f>+IFERROR(VLOOKUP($T$17,Sheet1!J2:M2,3,0),0)</f>
        <v>0</v>
      </c>
      <c r="U38" s="2">
        <f>+IFERROR(VLOOKUP($U$17,Sheet1!N2:Q2,3,0),0)</f>
        <v>0</v>
      </c>
      <c r="V38" s="2">
        <f>+IFERROR(VLOOKUP($V$17,Sheet1!N2:Q2,3,0),0)</f>
        <v>0</v>
      </c>
      <c r="W38" s="2">
        <f>+IFERROR(VLOOKUP($W$17,Sheet1!F2:I2,3,0),0)</f>
        <v>0</v>
      </c>
      <c r="X38" s="2">
        <f>+IFERROR(VLOOKUP($X$17,Sheet1!F2:I2,3,0),0)</f>
        <v>0</v>
      </c>
      <c r="Y38" s="2">
        <f>+IFERROR(VLOOKUP($Y$17,Sheet1!F2:I2,3,0),0)</f>
        <v>0</v>
      </c>
      <c r="Z38" s="2">
        <f>+IFERROR(VLOOKUP($Z$17,Sheet1!F2:I2,3,0),0)</f>
        <v>0</v>
      </c>
      <c r="AA38" s="2">
        <f>+IFERROR(VLOOKUP($AA$17,Sheet1!F2:I2,3,0),0)</f>
        <v>0</v>
      </c>
      <c r="AB38" s="2">
        <f>+IFERROR(VLOOKUP($AB$17,Sheet1!F2:I2,3,0),0)</f>
        <v>0</v>
      </c>
      <c r="AC38" s="2">
        <f>+IFERROR(VLOOKUP($AC$17,Sheet1!F2:I2,3,0),0)</f>
        <v>0</v>
      </c>
      <c r="AD38" s="2">
        <f>+IFERROR(VLOOKUP($AD$17,Sheet1!F2:I2,3,0),0)</f>
        <v>0</v>
      </c>
      <c r="AE38" s="2">
        <f>+IFERROR(VLOOKUP($AE$17,Sheet1!R2:U2,3,0),0)</f>
        <v>0</v>
      </c>
      <c r="AF38" s="13">
        <f>+IFERROR(VLOOKUP($AF$17,Sheet1!R2:U2,2,0),0)</f>
        <v>0</v>
      </c>
      <c r="AG38" s="2">
        <f>+IFERROR(VLOOKUP($AG$17,Sheet1!V2:Y2,3,0),0)</f>
        <v>0</v>
      </c>
      <c r="AH38" s="13">
        <f>+IFERROR(VLOOKUP($AH$17,Sheet1!V2:Y2,3,0),0)</f>
        <v>0</v>
      </c>
      <c r="AI38" s="13">
        <f>+IFERROR(VLOOKUP($AI$17,Sheet1!V2:Y2,3,0),0)</f>
        <v>0</v>
      </c>
      <c r="AJ38" s="13">
        <f>+IFERROR(VLOOKUP($AJ$17,Sheet1!V2:Y2,3,0),0)</f>
        <v>0</v>
      </c>
      <c r="AK38" s="13">
        <f>+IFERROR(VLOOKUP($AK$17,Sheet1!V2:Y2,3,0),0)</f>
        <v>130</v>
      </c>
      <c r="AL38" s="13">
        <f>+IFERROR(VLOOKUP($AL$17,Sheet1!V2:Y2,3,0),0)</f>
        <v>0</v>
      </c>
      <c r="AM38" s="13">
        <f>+IFERROR(VLOOKUP($AM$17,Sheet1!Z2:AB2,3,0),0)</f>
        <v>5</v>
      </c>
      <c r="AN38" s="13">
        <f>+IFERROR(VLOOKUP($AN$17,Sheet1!AD2:AG2,3,0),0)</f>
        <v>0</v>
      </c>
      <c r="AO38" s="13">
        <f>+IFERROR(VLOOKUP($AO$17,Sheet1!AD2:AG2,3,0),0)</f>
        <v>0</v>
      </c>
      <c r="AP38" s="13">
        <f>+IFERROR(VLOOKUP($AP$17,Sheet1!AD2:AG2,3,0),0)</f>
        <v>0</v>
      </c>
      <c r="AQ38" s="13">
        <f>+IFERROR(VLOOKUP($AQ$17,Sheet1!AD2:AG2,3,0),0)</f>
        <v>0</v>
      </c>
      <c r="AR38" s="13">
        <f>+IFERROR(VLOOKUP($AR$17,Sheet1!AD2:AG2,3,0),0)</f>
        <v>0</v>
      </c>
      <c r="AS38" s="123">
        <v>42</v>
      </c>
      <c r="AT38" s="125">
        <f>+IFERROR(VLOOKUP($AT$17,Sheet1!AD2:AG2,3,0),0)</f>
        <v>0</v>
      </c>
      <c r="AU38" s="123">
        <f>+IFERROR(VLOOKUP($AU$17,Sheet1!AH2:AK2,3,0),0)</f>
        <v>0</v>
      </c>
      <c r="AV38" s="123">
        <f>+IFERROR(VLOOKUP($AV$17,Sheet1!AH2:AK2,3,0),0)</f>
        <v>0</v>
      </c>
      <c r="AW38" s="123">
        <f>+IFERROR(VLOOKUP($AW$17,Sheet1!AH2:AK2,3,0),0)</f>
        <v>0</v>
      </c>
      <c r="AX38" s="123">
        <f>+IFERROR(VLOOKUP($AX$17,Sheet1!AH2:AK2,3,0),0)</f>
        <v>0</v>
      </c>
      <c r="AY38" s="123">
        <f>+IFERROR(VLOOKUP($AY$17,Sheet1!AH2:AK2,3,0),0)</f>
        <v>0</v>
      </c>
      <c r="AZ38" s="123">
        <f>+IFERROR(VLOOKUP($AZ$17,Sheet1!AH2:AK2,3,0),0)</f>
        <v>0</v>
      </c>
      <c r="BA38" s="123">
        <f>+IFERROR(VLOOKUP($BA$17,Sheet1!AH2:AK2,3,0),0)</f>
        <v>0</v>
      </c>
      <c r="BB38" s="123">
        <f>+IFERROR(VLOOKUP($BB$17,Sheet1!AH2:AK2,3,0),0)</f>
        <v>0</v>
      </c>
      <c r="BC38" s="123">
        <v>509</v>
      </c>
      <c r="BD38" s="123">
        <f>+IFERROR(VLOOKUP($BD$17,Sheet1!AH2:AK2,3,0),0)</f>
        <v>0</v>
      </c>
      <c r="BE38" s="123">
        <f>+IFERROR(VLOOKUP($BE$17,Sheet1!AL2:AO2,3,0),0)</f>
        <v>0</v>
      </c>
      <c r="BF38" s="123">
        <f>+IFERROR(VLOOKUP($BF$17,Sheet1!AL2:AO2,3,0),0)</f>
        <v>0</v>
      </c>
      <c r="BG38" s="123">
        <f>+IFERROR(VLOOKUP($BG$17,Sheet1!AL2:AO2,3,0),0)</f>
        <v>0</v>
      </c>
      <c r="BH38" s="123">
        <v>172</v>
      </c>
      <c r="BI38" s="13">
        <f>+IFERROR(VLOOKUP($BI$17,Sheet1!AL2:AO2,3,0),0)</f>
        <v>0</v>
      </c>
      <c r="BJ38" s="13">
        <f>+IFERROR(VLOOKUP($BJ$17,Sheet1!AL2:AO2,3,0),0)</f>
        <v>0</v>
      </c>
      <c r="BK38" s="13">
        <f>+IFERROR(VLOOKUP($BK$17,Sheet1!AL2:AO2,3,0),0)</f>
        <v>0</v>
      </c>
      <c r="BL38" s="13">
        <f>+IFERROR(VLOOKUP($BL$17,Sheet1!AL2:AO2,3,0),0)</f>
        <v>0</v>
      </c>
      <c r="BM38" s="13">
        <f>+IFERROR(VLOOKUP($BM$17,Sheet1!AL2:AO2,3,0),0)</f>
        <v>0</v>
      </c>
      <c r="BN38" s="13">
        <f>+IFERROR(VLOOKUP($BN$17,Sheet1!AL2:AO2,3,0),0)</f>
        <v>0</v>
      </c>
      <c r="BO38" s="13">
        <f>+IFERROR(VLOOKUP($BO$17,Sheet1!AP2:AS2,3,0),0)</f>
        <v>0</v>
      </c>
      <c r="BP38" s="13">
        <f>+IFERROR(VLOOKUP($BP$17,Sheet1!AT2:AW2,3,0),0)</f>
        <v>0</v>
      </c>
      <c r="BQ38" s="13">
        <f>+IFERROR(VLOOKUP($BQ$17,Sheet1!AX2:BA2,3,0),0)</f>
        <v>0</v>
      </c>
      <c r="BR38" s="13">
        <f>+IFERROR(VLOOKUP($BR$17,Sheet1!BB2:BE2,3,0),0)</f>
        <v>0</v>
      </c>
      <c r="BS38" s="13">
        <f>+IFERROR(VLOOKUP($BS$17,Sheet1!BF2:BI2,3,0),0)</f>
        <v>0</v>
      </c>
      <c r="BT38" s="13">
        <f>+IFERROR(VLOOKUP($BT$17,Sheet1!BJ2:BM2,3,0),0)</f>
        <v>0</v>
      </c>
      <c r="BU38" s="13">
        <f>+IFERROR(VLOOKUP($BU$17,Sheet1!BN2:BQ2,3,0),0)</f>
        <v>0</v>
      </c>
      <c r="BV38" s="13">
        <f>+IFERROR(VLOOKUP($BV$17,Sheet1!BR2:BU2,3,0),0)</f>
        <v>0</v>
      </c>
      <c r="BW38" s="13">
        <f>+IFERROR(VLOOKUP($BW$17,Sheet1!BV2:BY2,3,0),0)</f>
        <v>0</v>
      </c>
      <c r="BX38" s="13" t="str">
        <f>Sheet1!E2</f>
        <v>WOOD</v>
      </c>
      <c r="BY38" s="13" t="str">
        <f>Sheet1!CV2</f>
        <v>MD0100066</v>
      </c>
      <c r="BZ38" s="13" t="str">
        <f>Sheet1!CW2</f>
        <v>DRUM - 40 X 15 X 23 X 2</v>
      </c>
      <c r="CA38" s="13">
        <f>Sheet1!CX2</f>
        <v>500</v>
      </c>
      <c r="CB38" s="3">
        <f>Sheet1!BZ2</f>
        <v>5100</v>
      </c>
      <c r="CC38" s="3">
        <f>SUMPRODUCT($P$18:$BW$18,P38:BW38)+CB38</f>
        <v>265634</v>
      </c>
      <c r="CD38" s="23">
        <v>0.01</v>
      </c>
      <c r="CE38" s="3">
        <f>CC38*CD38</f>
        <v>2656.34</v>
      </c>
      <c r="CF38" s="44">
        <v>0.15</v>
      </c>
      <c r="CG38" s="3">
        <f>CC38*CF38</f>
        <v>39845.1</v>
      </c>
      <c r="CH38" s="44">
        <v>0</v>
      </c>
      <c r="CI38" s="3">
        <f t="shared" si="3"/>
        <v>0</v>
      </c>
      <c r="CJ38" s="3">
        <f>CC38+CE38+CG38+CI38</f>
        <v>308135.44</v>
      </c>
      <c r="CK38" s="44">
        <v>0.02</v>
      </c>
      <c r="CL38" s="59">
        <f>CJ38*CK38</f>
        <v>6162.7088000000003</v>
      </c>
      <c r="CM38" s="44">
        <v>0.01</v>
      </c>
      <c r="CN38" s="59">
        <f>CJ38*CM38</f>
        <v>3081.3544000000002</v>
      </c>
    </row>
    <row r="39" spans="1:92" ht="30" x14ac:dyDescent="0.25">
      <c r="B39">
        <v>21</v>
      </c>
      <c r="C39" s="1" t="str">
        <f>Sheet1!A3</f>
        <v>ENQ-15115-22-23</v>
      </c>
      <c r="D39" s="47">
        <v>45658</v>
      </c>
      <c r="E39" s="1" t="str">
        <f>Sheet1!C3</f>
        <v>FA0200003</v>
      </c>
      <c r="F39" s="1" t="str">
        <f>Sheet1!D3</f>
        <v>12 CORE X 2.5 SQ. MM. CU/ARD - WIRE (PVC)</v>
      </c>
      <c r="G39" s="3">
        <f>CJ39+CL39+CN39</f>
        <v>366743.86</v>
      </c>
      <c r="H39" s="59">
        <f>ROUNDUP(O69,0)</f>
        <v>3590</v>
      </c>
      <c r="I39" s="9">
        <f>G39+H39</f>
        <v>370333.86</v>
      </c>
      <c r="J39" s="7">
        <f>Sheet1!CP3</f>
        <v>0.18</v>
      </c>
      <c r="K39" s="9">
        <f t="shared" si="0"/>
        <v>66660.094799999992</v>
      </c>
      <c r="L39" s="9">
        <f t="shared" si="1"/>
        <v>436993.95479999995</v>
      </c>
      <c r="M39" s="1">
        <v>39</v>
      </c>
      <c r="N39" s="1" t="str">
        <f>Sheet1!CT3</f>
        <v>KMS</v>
      </c>
      <c r="O39" s="3">
        <f t="shared" si="2"/>
        <v>17042764.237199999</v>
      </c>
      <c r="P39" s="2">
        <f>+IFERROR(VLOOKUP($P$17,Sheet1!J3:L3,3,0),0)</f>
        <v>0</v>
      </c>
      <c r="Q39" s="2">
        <f>+IFERROR(VLOOKUP($Q$17,Sheet1!J3:L3,3,0),0)</f>
        <v>0</v>
      </c>
      <c r="R39" s="2">
        <f>+IFERROR(VLOOKUP($R$17,Sheet1!J3:M3,3,0),0)</f>
        <v>266</v>
      </c>
      <c r="S39" s="2">
        <f>+IFERROR(VLOOKUP($S$17,Sheet1!J3:M3,3,0),0)</f>
        <v>0</v>
      </c>
      <c r="T39" s="2">
        <f>+IFERROR(VLOOKUP($T$17,Sheet1!J3:M3,3,0),0)</f>
        <v>0</v>
      </c>
      <c r="U39" s="2">
        <f>+IFERROR(VLOOKUP($U$17,Sheet1!N3:Q3,3,0),0)</f>
        <v>0</v>
      </c>
      <c r="V39" s="2">
        <f>+IFERROR(VLOOKUP($V$17,Sheet1!N3:Q3,3,0),0)</f>
        <v>0</v>
      </c>
      <c r="W39" s="2">
        <f>+IFERROR(VLOOKUP($W$17,Sheet1!F3:I3,3,0),0)</f>
        <v>0</v>
      </c>
      <c r="X39" s="2">
        <f>+IFERROR(VLOOKUP($X$17,Sheet1!F3:I3,3,0),0)</f>
        <v>0</v>
      </c>
      <c r="Y39" s="2">
        <f>+IFERROR(VLOOKUP($Y$17,Sheet1!F3:I3,3,0),0)</f>
        <v>0</v>
      </c>
      <c r="Z39" s="2">
        <f>+IFERROR(VLOOKUP($Z$17,Sheet1!F3:I3,3,0),0)</f>
        <v>0</v>
      </c>
      <c r="AA39" s="2">
        <f>+IFERROR(VLOOKUP($AA$17,Sheet1!F3:I3,3,0),0)</f>
        <v>0</v>
      </c>
      <c r="AB39" s="2">
        <f>+IFERROR(VLOOKUP($AB$17,Sheet1!F3:I3,3,0),0)</f>
        <v>0</v>
      </c>
      <c r="AC39" s="2">
        <f>+IFERROR(VLOOKUP($AC$17,Sheet1!F3:I3,3,0),0)</f>
        <v>0</v>
      </c>
      <c r="AD39" s="2">
        <f>+IFERROR(VLOOKUP($AD$17,Sheet1!F3:I3,3,0),0)</f>
        <v>0</v>
      </c>
      <c r="AE39" s="2">
        <f>+IFERROR(VLOOKUP($AE$17,Sheet1!R3:U3,3,0),0)</f>
        <v>0</v>
      </c>
      <c r="AF39" s="13">
        <f>+IFERROR(VLOOKUP($AF$17,Sheet1!R3:U3,2,0),0)</f>
        <v>0</v>
      </c>
      <c r="AG39" s="2">
        <f>+IFERROR(VLOOKUP($AG$17,Sheet1!V3:Y3,3,0),0)</f>
        <v>0</v>
      </c>
      <c r="AH39" s="13">
        <f>+IFERROR(VLOOKUP($AH$17,Sheet1!V3:Y3,3,0),0)</f>
        <v>0</v>
      </c>
      <c r="AI39" s="13">
        <f>+IFERROR(VLOOKUP($AI$17,Sheet1!V3:Y3,3,0),0)</f>
        <v>0</v>
      </c>
      <c r="AJ39" s="13">
        <f>+IFERROR(VLOOKUP($AJ$17,Sheet1!V3:Y3,3,0),0)</f>
        <v>0</v>
      </c>
      <c r="AK39" s="13">
        <f>+IFERROR(VLOOKUP($AK$17,Sheet1!V3:Y3,3,0),0)</f>
        <v>156</v>
      </c>
      <c r="AL39" s="13">
        <f>+IFERROR(VLOOKUP($AL$17,Sheet1!V3:Y3,3,0),0)</f>
        <v>0</v>
      </c>
      <c r="AM39" s="13">
        <f>+IFERROR(VLOOKUP($AM$17,Sheet1!Z3:AB3,3,0),0)</f>
        <v>6</v>
      </c>
      <c r="AN39" s="13">
        <f>+IFERROR(VLOOKUP($AN$17,Sheet1!AD3:AG3,3,0),0)</f>
        <v>0</v>
      </c>
      <c r="AO39" s="13">
        <f>+IFERROR(VLOOKUP($AO$17,Sheet1!AD3:AG3,3,0),0)</f>
        <v>0</v>
      </c>
      <c r="AP39" s="13">
        <f>+IFERROR(VLOOKUP($AP$17,Sheet1!AD3:AG3,3,0),0)</f>
        <v>0</v>
      </c>
      <c r="AQ39" s="13">
        <f>+IFERROR(VLOOKUP($AQ$17,Sheet1!AD3:AG3,3,0),0)</f>
        <v>0</v>
      </c>
      <c r="AR39" s="13">
        <f>+IFERROR(VLOOKUP($AR$17,Sheet1!AD3:AG3,3,0),0)</f>
        <v>0</v>
      </c>
      <c r="AS39" s="123">
        <v>44</v>
      </c>
      <c r="AT39" s="125">
        <f>+IFERROR(VLOOKUP($AT$17,Sheet1!AD3:AG3,3,0),0)</f>
        <v>0</v>
      </c>
      <c r="AU39" s="123">
        <f>+IFERROR(VLOOKUP($AU$17,Sheet1!AH3:AK3,3,0),0)</f>
        <v>0</v>
      </c>
      <c r="AV39" s="123">
        <f>+IFERROR(VLOOKUP($AV$17,Sheet1!AH3:AK3,3,0),0)</f>
        <v>0</v>
      </c>
      <c r="AW39" s="123">
        <f>+IFERROR(VLOOKUP($AW$17,Sheet1!AH3:AK3,3,0),0)</f>
        <v>0</v>
      </c>
      <c r="AX39" s="123">
        <f>+IFERROR(VLOOKUP($AX$17,Sheet1!AH3:AK3,3,0),0)</f>
        <v>0</v>
      </c>
      <c r="AY39" s="123">
        <f>+IFERROR(VLOOKUP($AY$17,Sheet1!AH3:AK3,3,0),0)</f>
        <v>0</v>
      </c>
      <c r="AZ39" s="123">
        <f>+IFERROR(VLOOKUP($AZ$17,Sheet1!AH3:AK3,3,0),0)</f>
        <v>0</v>
      </c>
      <c r="BA39" s="123">
        <f>+IFERROR(VLOOKUP($BA$17,Sheet1!AH3:AK3,3,0),0)</f>
        <v>0</v>
      </c>
      <c r="BB39" s="123">
        <f>+IFERROR(VLOOKUP($BB$17,Sheet1!AH3:AK3,3,0),0)</f>
        <v>0</v>
      </c>
      <c r="BC39" s="123">
        <v>526</v>
      </c>
      <c r="BD39" s="123">
        <f>+IFERROR(VLOOKUP($BD$17,Sheet1!AH3:AK3,3,0),0)</f>
        <v>0</v>
      </c>
      <c r="BE39" s="123">
        <f>+IFERROR(VLOOKUP($BE$17,Sheet1!AL3:AO3,3,0),0)</f>
        <v>0</v>
      </c>
      <c r="BF39" s="123">
        <f>+IFERROR(VLOOKUP($BF$17,Sheet1!AL3:AO3,3,0),0)</f>
        <v>0</v>
      </c>
      <c r="BG39" s="123">
        <f>+IFERROR(VLOOKUP($BG$17,Sheet1!AL3:AO3,3,0),0)</f>
        <v>0</v>
      </c>
      <c r="BH39" s="123">
        <v>178</v>
      </c>
      <c r="BI39" s="13">
        <f>+IFERROR(VLOOKUP($BI$17,Sheet1!AL3:AO3,3,0),0)</f>
        <v>0</v>
      </c>
      <c r="BJ39" s="13">
        <f>+IFERROR(VLOOKUP($BJ$17,Sheet1!AL3:AO3,3,0),0)</f>
        <v>0</v>
      </c>
      <c r="BK39" s="13">
        <f>+IFERROR(VLOOKUP($BK$17,Sheet1!AL3:AO3,3,0),0)</f>
        <v>0</v>
      </c>
      <c r="BL39" s="13">
        <f>+IFERROR(VLOOKUP($BL$17,Sheet1!AL3:AO3,3,0),0)</f>
        <v>0</v>
      </c>
      <c r="BM39" s="13">
        <f>+IFERROR(VLOOKUP($BM$17,Sheet1!AL3:AO3,3,0),0)</f>
        <v>0</v>
      </c>
      <c r="BN39" s="13">
        <f>+IFERROR(VLOOKUP($BN$17,Sheet1!AL3:AO3,3,0),0)</f>
        <v>0</v>
      </c>
      <c r="BO39" s="13">
        <f>+IFERROR(VLOOKUP($BO$17,Sheet1!AP3:AS3,3,0),0)</f>
        <v>0</v>
      </c>
      <c r="BP39" s="13">
        <f>+IFERROR(VLOOKUP($BP$17,Sheet1!AT3:AW3,3,0),0)</f>
        <v>0</v>
      </c>
      <c r="BQ39" s="13">
        <f>+IFERROR(VLOOKUP($BQ$17,Sheet1!AX3:BA3,3,0),0)</f>
        <v>0</v>
      </c>
      <c r="BR39" s="13">
        <f>+IFERROR(VLOOKUP($BR$17,Sheet1!BB3:BE3,3,0),0)</f>
        <v>0</v>
      </c>
      <c r="BS39" s="13">
        <f>+IFERROR(VLOOKUP($BS$17,Sheet1!BF3:BI3,3,0),0)</f>
        <v>0</v>
      </c>
      <c r="BT39" s="13">
        <f>+IFERROR(VLOOKUP($BT$17,Sheet1!BJ3:BM3,3,0),0)</f>
        <v>0</v>
      </c>
      <c r="BU39" s="13">
        <f>+IFERROR(VLOOKUP($BU$17,Sheet1!BN3:BQ3,3,0),0)</f>
        <v>0</v>
      </c>
      <c r="BV39" s="13">
        <f>+IFERROR(VLOOKUP($BV$17,Sheet1!BR3:BU3,3,0),0)</f>
        <v>0</v>
      </c>
      <c r="BW39" s="13">
        <f>+IFERROR(VLOOKUP($BW$17,Sheet1!BV3:BY3,3,0),0)</f>
        <v>0</v>
      </c>
      <c r="BX39" s="13" t="str">
        <f>Sheet1!E3</f>
        <v>WOOD</v>
      </c>
      <c r="BY39" s="13" t="str">
        <f>Sheet1!CV3</f>
        <v>MD0100066</v>
      </c>
      <c r="BZ39" s="13" t="str">
        <f>Sheet1!CW3</f>
        <v>DRUM - 40 X 15 X 23 X 2</v>
      </c>
      <c r="CA39" s="13">
        <f>Sheet1!CX3</f>
        <v>500</v>
      </c>
      <c r="CB39" s="3">
        <f>Sheet1!BZ3</f>
        <v>5100</v>
      </c>
      <c r="CC39" s="3">
        <f>SUMPRODUCT($P$18:$BW$18,P39:BW39)+CB39</f>
        <v>306950</v>
      </c>
      <c r="CD39" s="23">
        <v>0.01</v>
      </c>
      <c r="CE39" s="3">
        <f>CC39*CD39</f>
        <v>3069.5</v>
      </c>
      <c r="CF39" s="44">
        <v>0.15</v>
      </c>
      <c r="CG39" s="3">
        <f>CC39*CF39</f>
        <v>46042.5</v>
      </c>
      <c r="CH39" s="44">
        <v>0</v>
      </c>
      <c r="CI39" s="3">
        <f t="shared" si="3"/>
        <v>0</v>
      </c>
      <c r="CJ39" s="3">
        <f>CC39+CE39+CG39+CI39</f>
        <v>356062</v>
      </c>
      <c r="CK39" s="44">
        <v>0.02</v>
      </c>
      <c r="CL39" s="59">
        <f>CJ39*CK39</f>
        <v>7121.24</v>
      </c>
      <c r="CM39" s="44">
        <v>0.01</v>
      </c>
      <c r="CN39" s="59">
        <f>CJ39*CM39</f>
        <v>3560.62</v>
      </c>
    </row>
    <row r="40" spans="1:92" ht="30" x14ac:dyDescent="0.25">
      <c r="B40">
        <v>22</v>
      </c>
      <c r="C40" s="1" t="str">
        <f>Sheet1!A4</f>
        <v>ENQ-15115-22-23</v>
      </c>
      <c r="D40" s="47">
        <v>45658</v>
      </c>
      <c r="E40" s="1" t="str">
        <f>Sheet1!C4</f>
        <v>FA0200005</v>
      </c>
      <c r="F40" s="170" t="str">
        <f>Sheet1!D4</f>
        <v>16 CORE X 2.5 SQ. MM. CU/ARD - WIRE (PVC)</v>
      </c>
      <c r="G40" s="3">
        <f>CJ40+CL40+CN40</f>
        <v>472972.33319999999</v>
      </c>
      <c r="H40" s="59">
        <f>ROUNDUP(O70,0)</f>
        <v>3750</v>
      </c>
      <c r="I40" s="9">
        <f>G40+H40</f>
        <v>476722.33319999999</v>
      </c>
      <c r="J40" s="7">
        <f>Sheet1!CP4</f>
        <v>0.18</v>
      </c>
      <c r="K40" s="9">
        <f t="shared" si="0"/>
        <v>85810.019975999996</v>
      </c>
      <c r="L40" s="9">
        <f t="shared" si="1"/>
        <v>562532.35317599995</v>
      </c>
      <c r="M40" s="1">
        <v>28</v>
      </c>
      <c r="N40" s="1" t="str">
        <f>Sheet1!CT4</f>
        <v>KMS</v>
      </c>
      <c r="O40" s="3">
        <f t="shared" si="2"/>
        <v>15750905.888927998</v>
      </c>
      <c r="P40" s="2">
        <f>+IFERROR(VLOOKUP($P$17,Sheet1!J4:L4,3,0),0)</f>
        <v>0</v>
      </c>
      <c r="Q40" s="2">
        <f>+IFERROR(VLOOKUP($Q$17,Sheet1!J4:L4,3,0),0)</f>
        <v>0</v>
      </c>
      <c r="R40" s="122">
        <f>+IFERROR(VLOOKUP($R$17,Sheet1!J4:M4,3,0),0)</f>
        <v>355</v>
      </c>
      <c r="S40" s="2">
        <f>+IFERROR(VLOOKUP($S$17,Sheet1!J4:M4,3,0),0)</f>
        <v>0</v>
      </c>
      <c r="T40" s="2">
        <f>+IFERROR(VLOOKUP($T$17,Sheet1!J4:M4,3,0),0)</f>
        <v>0</v>
      </c>
      <c r="U40" s="2">
        <f>+IFERROR(VLOOKUP($U$17,Sheet1!N4:Q4,3,0),0)</f>
        <v>0</v>
      </c>
      <c r="V40" s="2">
        <f>+IFERROR(VLOOKUP($V$17,Sheet1!N4:Q4,3,0),0)</f>
        <v>0</v>
      </c>
      <c r="W40" s="2">
        <f>+IFERROR(VLOOKUP($W$17,Sheet1!F4:I4,3,0),0)</f>
        <v>0</v>
      </c>
      <c r="X40" s="2">
        <f>+IFERROR(VLOOKUP($X$17,Sheet1!F4:I4,3,0),0)</f>
        <v>0</v>
      </c>
      <c r="Y40" s="2">
        <f>+IFERROR(VLOOKUP($Y$17,Sheet1!F4:I4,3,0),0)</f>
        <v>0</v>
      </c>
      <c r="Z40" s="2">
        <f>+IFERROR(VLOOKUP($Z$17,Sheet1!F4:I4,3,0),0)</f>
        <v>0</v>
      </c>
      <c r="AA40" s="2">
        <f>+IFERROR(VLOOKUP($AA$17,Sheet1!F4:I4,3,0),0)</f>
        <v>0</v>
      </c>
      <c r="AB40" s="2">
        <f>+IFERROR(VLOOKUP($AB$17,Sheet1!F4:I4,3,0),0)</f>
        <v>0</v>
      </c>
      <c r="AC40" s="2">
        <f>+IFERROR(VLOOKUP($AC$17,Sheet1!F4:I4,3,0),0)</f>
        <v>0</v>
      </c>
      <c r="AD40" s="2">
        <f>+IFERROR(VLOOKUP($AD$17,Sheet1!F4:I4,3,0),0)</f>
        <v>0</v>
      </c>
      <c r="AE40" s="2">
        <f>+IFERROR(VLOOKUP($AE$17,Sheet1!R4:U4,3,0),0)</f>
        <v>0</v>
      </c>
      <c r="AF40" s="13">
        <f>+IFERROR(VLOOKUP($AF$17,Sheet1!R4:U4,2,0),0)</f>
        <v>0</v>
      </c>
      <c r="AG40" s="2">
        <f>+IFERROR(VLOOKUP($AG$17,Sheet1!V4:Y4,3,0),0)</f>
        <v>0</v>
      </c>
      <c r="AH40" s="13">
        <f>+IFERROR(VLOOKUP($AH$17,Sheet1!V4:Y4,3,0),0)</f>
        <v>0</v>
      </c>
      <c r="AI40" s="13">
        <f>+IFERROR(VLOOKUP($AI$17,Sheet1!V4:Y4,3,0),0)</f>
        <v>0</v>
      </c>
      <c r="AJ40" s="13">
        <f>+IFERROR(VLOOKUP($AJ$17,Sheet1!V4:Y4,3,0),0)</f>
        <v>0</v>
      </c>
      <c r="AK40" s="123">
        <v>214</v>
      </c>
      <c r="AL40" s="13">
        <f>+IFERROR(VLOOKUP($AL$17,Sheet1!V4:Y4,3,0),0)</f>
        <v>0</v>
      </c>
      <c r="AM40" s="123">
        <f>+IFERROR(VLOOKUP($AM$17,Sheet1!Z4:AB4,3,0),0)</f>
        <v>6</v>
      </c>
      <c r="AN40" s="13">
        <f>+IFERROR(VLOOKUP($AN$17,Sheet1!AD4:AG4,3,0),0)</f>
        <v>0</v>
      </c>
      <c r="AO40" s="13">
        <f>+IFERROR(VLOOKUP($AO$17,Sheet1!AD4:AG4,3,0),0)</f>
        <v>0</v>
      </c>
      <c r="AP40" s="13">
        <f>+IFERROR(VLOOKUP($AP$17,Sheet1!AD4:AG4,3,0),0)</f>
        <v>0</v>
      </c>
      <c r="AQ40" s="13">
        <f>+IFERROR(VLOOKUP($AQ$17,Sheet1!AD4:AG4,3,0),0)</f>
        <v>0</v>
      </c>
      <c r="AR40" s="13">
        <f>+IFERROR(VLOOKUP($AR$17,Sheet1!AD4:AG4,3,0),0)</f>
        <v>0</v>
      </c>
      <c r="AS40" s="123">
        <v>58</v>
      </c>
      <c r="AT40" s="13">
        <f>+IFERROR(VLOOKUP($AT$17,Sheet1!AD4:AG4,3,0),0)</f>
        <v>0</v>
      </c>
      <c r="AU40" s="13">
        <f>+IFERROR(VLOOKUP($AU$17,Sheet1!AH4:AK4,3,0),0)</f>
        <v>0</v>
      </c>
      <c r="AV40" s="13">
        <f>+IFERROR(VLOOKUP($AV$17,Sheet1!AH4:AK4,3,0),0)</f>
        <v>0</v>
      </c>
      <c r="AW40" s="13">
        <f>+IFERROR(VLOOKUP($AW$17,Sheet1!AH4:AK4,3,0),0)</f>
        <v>0</v>
      </c>
      <c r="AX40" s="13">
        <f>+IFERROR(VLOOKUP($AX$17,Sheet1!AH4:AK4,3,0),0)</f>
        <v>0</v>
      </c>
      <c r="AY40" s="13">
        <f>+IFERROR(VLOOKUP($AY$17,Sheet1!AH4:AK4,3,0),0)</f>
        <v>0</v>
      </c>
      <c r="AZ40" s="13">
        <f>+IFERROR(VLOOKUP($AZ$17,Sheet1!AH4:AK4,3,0),0)</f>
        <v>0</v>
      </c>
      <c r="BA40" s="13">
        <f>+IFERROR(VLOOKUP($BA$17,Sheet1!AH4:AK4,3,0),0)</f>
        <v>0</v>
      </c>
      <c r="BB40" s="13">
        <f>+IFERROR(VLOOKUP($BB$17,Sheet1!AH4:AK4,3,0),0)</f>
        <v>0</v>
      </c>
      <c r="BC40" s="123">
        <f>+IFERROR(VLOOKUP($BC$17,Sheet1!AH4:AK4,3,0),0)</f>
        <v>574</v>
      </c>
      <c r="BD40" s="13">
        <f>+IFERROR(VLOOKUP($BD$17,Sheet1!AH4:AK4,3,0),0)</f>
        <v>0</v>
      </c>
      <c r="BE40" s="13">
        <f>+IFERROR(VLOOKUP($BE$17,Sheet1!AL4:AO4,3,0),0)</f>
        <v>0</v>
      </c>
      <c r="BF40" s="13">
        <f>+IFERROR(VLOOKUP($BF$17,Sheet1!AL4:AO4,3,0),0)</f>
        <v>0</v>
      </c>
      <c r="BG40" s="13">
        <f>+IFERROR(VLOOKUP($BG$17,Sheet1!AL4:AO4,3,0),0)</f>
        <v>0</v>
      </c>
      <c r="BH40" s="123">
        <v>193</v>
      </c>
      <c r="BI40" s="13">
        <f>+IFERROR(VLOOKUP($BI$17,Sheet1!AL4:AO4,3,0),0)</f>
        <v>0</v>
      </c>
      <c r="BJ40" s="13">
        <f>+IFERROR(VLOOKUP($BJ$17,Sheet1!AL4:AO4,3,0),0)</f>
        <v>0</v>
      </c>
      <c r="BK40" s="13">
        <f>+IFERROR(VLOOKUP($BK$17,Sheet1!AL4:AO4,3,0),0)</f>
        <v>0</v>
      </c>
      <c r="BL40" s="13">
        <f>+IFERROR(VLOOKUP($BL$17,Sheet1!AL4:AO4,3,0),0)</f>
        <v>0</v>
      </c>
      <c r="BM40" s="13">
        <f>+IFERROR(VLOOKUP($BM$17,Sheet1!AL4:AO4,3,0),0)</f>
        <v>0</v>
      </c>
      <c r="BN40" s="13">
        <f>+IFERROR(VLOOKUP($BN$17,Sheet1!AL4:AO4,3,0),0)</f>
        <v>0</v>
      </c>
      <c r="BO40" s="13">
        <f>+IFERROR(VLOOKUP($BO$17,Sheet1!AP4:AS4,3,0),0)</f>
        <v>0</v>
      </c>
      <c r="BP40" s="13">
        <f>+IFERROR(VLOOKUP($BP$17,Sheet1!AT4:AW4,3,0),0)</f>
        <v>0</v>
      </c>
      <c r="BQ40" s="13">
        <f>+IFERROR(VLOOKUP($BQ$17,Sheet1!AX4:BA4,3,0),0)</f>
        <v>0</v>
      </c>
      <c r="BR40" s="13">
        <f>+IFERROR(VLOOKUP($BR$17,Sheet1!BB4:BE4,3,0),0)</f>
        <v>0</v>
      </c>
      <c r="BS40" s="13">
        <f>+IFERROR(VLOOKUP($BS$17,Sheet1!BF4:BI4,3,0),0)</f>
        <v>0</v>
      </c>
      <c r="BT40" s="13">
        <f>+IFERROR(VLOOKUP($BT$17,Sheet1!BJ4:BM4,3,0),0)</f>
        <v>0</v>
      </c>
      <c r="BU40" s="13">
        <f>+IFERROR(VLOOKUP($BU$17,Sheet1!BN4:BQ4,3,0),0)</f>
        <v>0</v>
      </c>
      <c r="BV40" s="13">
        <f>+IFERROR(VLOOKUP($BV$17,Sheet1!BR4:BU4,3,0),0)</f>
        <v>0</v>
      </c>
      <c r="BW40" s="13">
        <f>+IFERROR(VLOOKUP($BW$17,Sheet1!BV4:BY4,3,0),0)</f>
        <v>0</v>
      </c>
      <c r="BX40" s="13" t="str">
        <f>Sheet1!E4</f>
        <v>WOOD</v>
      </c>
      <c r="BY40" s="13" t="str">
        <f>Sheet1!CV4</f>
        <v>MD0100075</v>
      </c>
      <c r="BZ40" s="13" t="str">
        <f>Sheet1!CW4</f>
        <v>DRUM - 42 X 15 X 23 X 2</v>
      </c>
      <c r="CA40" s="13">
        <f>Sheet1!CX4</f>
        <v>500</v>
      </c>
      <c r="CB40" s="3">
        <f>Sheet1!BZ4</f>
        <v>7984</v>
      </c>
      <c r="CC40" s="3">
        <f>SUMPRODUCT($P$18:$BW$18,P40:BW40)+CB40</f>
        <v>395859</v>
      </c>
      <c r="CD40" s="23">
        <v>0.01</v>
      </c>
      <c r="CE40" s="3">
        <f>CC40*CD40</f>
        <v>3958.59</v>
      </c>
      <c r="CF40" s="44">
        <v>0.15</v>
      </c>
      <c r="CG40" s="3">
        <f>CC40*CF40</f>
        <v>59378.85</v>
      </c>
      <c r="CH40" s="44">
        <v>0</v>
      </c>
      <c r="CI40" s="3">
        <f t="shared" si="3"/>
        <v>0</v>
      </c>
      <c r="CJ40" s="3">
        <f>CC40+CE40+CG40+CI40</f>
        <v>459196.44</v>
      </c>
      <c r="CK40" s="44">
        <v>0.02</v>
      </c>
      <c r="CL40" s="59">
        <f>CJ40*CK40</f>
        <v>9183.9287999999997</v>
      </c>
      <c r="CM40" s="44">
        <v>0.01</v>
      </c>
      <c r="CN40" s="59">
        <f>CJ40*CM40</f>
        <v>4591.9643999999998</v>
      </c>
    </row>
    <row r="41" spans="1:92" ht="30" x14ac:dyDescent="0.25">
      <c r="B41">
        <v>23</v>
      </c>
      <c r="C41" s="1" t="str">
        <f>Sheet1!A15</f>
        <v>ENQ-15115-22-23</v>
      </c>
      <c r="D41" s="47">
        <v>45658</v>
      </c>
      <c r="E41" s="1" t="str">
        <f>Sheet1!C15</f>
        <v>FA0900024</v>
      </c>
      <c r="F41" s="170" t="str">
        <f>Sheet1!D15</f>
        <v>4 CORE X 4 SQ. MM. CU/ARD - WIRE (PVC)</v>
      </c>
      <c r="G41" s="3">
        <f>CJ41+CL41+CN41</f>
        <v>210455.65640000001</v>
      </c>
      <c r="H41" s="59">
        <f>ROUNDUP(O71,0)</f>
        <v>35000</v>
      </c>
      <c r="I41" s="9">
        <f>G41+H41</f>
        <v>245455.65640000001</v>
      </c>
      <c r="J41" s="7">
        <f>Sheet1!CP15</f>
        <v>0.18</v>
      </c>
      <c r="K41" s="9">
        <f t="shared" si="0"/>
        <v>44182.018151999997</v>
      </c>
      <c r="L41" s="9">
        <f t="shared" si="1"/>
        <v>289637.67455200001</v>
      </c>
      <c r="M41" s="1">
        <f>Sheet1!CS15</f>
        <v>1</v>
      </c>
      <c r="N41" s="1" t="str">
        <f>Sheet1!CT15</f>
        <v>KMS</v>
      </c>
      <c r="O41" s="3">
        <f t="shared" si="2"/>
        <v>289637.67455200001</v>
      </c>
      <c r="P41" s="2">
        <f>+IFERROR(VLOOKUP($P$17,Sheet1!J15:L15,3,0),0)</f>
        <v>0</v>
      </c>
      <c r="Q41" s="2">
        <f>+IFERROR(VLOOKUP($Q$17,Sheet1!J15:L15,3,0),0)</f>
        <v>0</v>
      </c>
      <c r="R41" s="2">
        <f>+IFERROR(VLOOKUP($R$17,Sheet1!J15:M15,3,0),0)</f>
        <v>144</v>
      </c>
      <c r="S41" s="2">
        <f>+IFERROR(VLOOKUP($S$17,Sheet1!J15:M15,3,0),0)</f>
        <v>0</v>
      </c>
      <c r="T41" s="2">
        <f>+IFERROR(VLOOKUP($T$17,Sheet1!J15:M15,3,0),0)</f>
        <v>0</v>
      </c>
      <c r="U41" s="2">
        <f>+IFERROR(VLOOKUP($U$17,Sheet1!N15:Q15,3,0),0)</f>
        <v>0</v>
      </c>
      <c r="V41" s="2">
        <f>+IFERROR(VLOOKUP($V$17,Sheet1!N15:Q15,3,0),0)</f>
        <v>0</v>
      </c>
      <c r="W41" s="2">
        <f>+IFERROR(VLOOKUP($W$17,Sheet1!F15:I15,3,0),0)</f>
        <v>0</v>
      </c>
      <c r="X41" s="2">
        <f>+IFERROR(VLOOKUP($X$17,Sheet1!F15:I15,3,0),0)</f>
        <v>0</v>
      </c>
      <c r="Y41" s="2">
        <f>+IFERROR(VLOOKUP($Y$17,Sheet1!F15:I15,3,0),0)</f>
        <v>0</v>
      </c>
      <c r="Z41" s="2">
        <f>+IFERROR(VLOOKUP($Z$17,Sheet1!F15:I15,3,0),0)</f>
        <v>0</v>
      </c>
      <c r="AA41" s="2">
        <f>+IFERROR(VLOOKUP($AA$17,Sheet1!F15:I15,3,0),0)</f>
        <v>0</v>
      </c>
      <c r="AB41" s="2">
        <f>+IFERROR(VLOOKUP($AB$17,Sheet1!F15:I15,3,0),0)</f>
        <v>0</v>
      </c>
      <c r="AC41" s="2">
        <f>+IFERROR(VLOOKUP($AC$17,Sheet1!F15:I15,3,0),0)</f>
        <v>0</v>
      </c>
      <c r="AD41" s="2">
        <f>+IFERROR(VLOOKUP($AD$17,Sheet1!F15:I15,3,0),0)</f>
        <v>0</v>
      </c>
      <c r="AE41" s="2">
        <f>+IFERROR(VLOOKUP($AE$17,Sheet1!R15:U15,3,0),0)</f>
        <v>0</v>
      </c>
      <c r="AF41" s="13">
        <f>+IFERROR(VLOOKUP($AF$17,Sheet1!R15:U15,2,0),0)</f>
        <v>0</v>
      </c>
      <c r="AG41" s="2">
        <f>+IFERROR(VLOOKUP($AG$17,Sheet1!V15:Y15,3,0),0)</f>
        <v>0</v>
      </c>
      <c r="AH41" s="13">
        <f>+IFERROR(VLOOKUP($AH$17,Sheet1!V15:Y15,3,0),0)</f>
        <v>0</v>
      </c>
      <c r="AI41" s="13">
        <f>+IFERROR(VLOOKUP($AI$17,Sheet1!V15:Y15,3,0),0)</f>
        <v>0</v>
      </c>
      <c r="AJ41" s="13">
        <f>+IFERROR(VLOOKUP($AJ$17,Sheet1!V15:Y15,3,0),0)</f>
        <v>0</v>
      </c>
      <c r="AK41" s="13">
        <f>+IFERROR(VLOOKUP($AK$17,Sheet1!V15:Y15,3,0),0)</f>
        <v>76</v>
      </c>
      <c r="AL41" s="13">
        <f>+IFERROR(VLOOKUP($AL$17,Sheet1!V15:Y15,3,0),0)</f>
        <v>0</v>
      </c>
      <c r="AM41" s="13">
        <f>+IFERROR(VLOOKUP($AM$17,Sheet1!Z15:AB15,3,0),0)</f>
        <v>4</v>
      </c>
      <c r="AN41" s="13">
        <f>+IFERROR(VLOOKUP($AN$17,Sheet1!AD15:AG15,3,0),0)</f>
        <v>0</v>
      </c>
      <c r="AO41" s="13">
        <f>+IFERROR(VLOOKUP($AO$17,Sheet1!AD15:AG15,3,0),0)</f>
        <v>0</v>
      </c>
      <c r="AP41" s="13">
        <f>+IFERROR(VLOOKUP($AP$17,Sheet1!AD15:AG15,3,0),0)</f>
        <v>0</v>
      </c>
      <c r="AQ41" s="13">
        <f>+IFERROR(VLOOKUP($AQ$17,Sheet1!AD15:AG15,3,0),0)</f>
        <v>0</v>
      </c>
      <c r="AR41" s="13">
        <f>+IFERROR(VLOOKUP($AR$17,Sheet1!AD15:AG15,3,0),0)</f>
        <v>0</v>
      </c>
      <c r="AS41" s="13">
        <f>+IFERROR(VLOOKUP($AS$17,Sheet1!AD15:AG15,3,0),0)</f>
        <v>34</v>
      </c>
      <c r="AT41" s="13">
        <f>+IFERROR(VLOOKUP($AT$17,Sheet1!AD15:AG15,3,0),0)</f>
        <v>0</v>
      </c>
      <c r="AU41" s="13">
        <f>+IFERROR(VLOOKUP($AU$17,Sheet1!AH15:AK15,3,0),0)</f>
        <v>0</v>
      </c>
      <c r="AV41" s="13">
        <f>+IFERROR(VLOOKUP($AV$17,Sheet1!AH15:AK15,3,0),0)</f>
        <v>0</v>
      </c>
      <c r="AW41" s="13">
        <f>+IFERROR(VLOOKUP($AW$17,Sheet1!AH15:AK15,3,0),0)</f>
        <v>0</v>
      </c>
      <c r="AX41" s="13">
        <f>+IFERROR(VLOOKUP($AX$17,Sheet1!AH15:AK15,3,0),0)</f>
        <v>0</v>
      </c>
      <c r="AY41" s="13">
        <f>+IFERROR(VLOOKUP($AY$17,Sheet1!AH15:AK15,3,0),0)</f>
        <v>0</v>
      </c>
      <c r="AZ41" s="13">
        <f>+IFERROR(VLOOKUP($AZ$17,Sheet1!AH15:AK15,3,0),0)</f>
        <v>0</v>
      </c>
      <c r="BA41" s="13">
        <f>+IFERROR(VLOOKUP($BA$17,Sheet1!AH15:AK15,3,0),0)</f>
        <v>0</v>
      </c>
      <c r="BB41" s="13">
        <f>+IFERROR(VLOOKUP($BB$17,Sheet1!AH15:AK15,3,0),0)</f>
        <v>0</v>
      </c>
      <c r="BC41" s="13">
        <f>+IFERROR(VLOOKUP($BC$17,Sheet1!AH15:AK15,3,0),0)</f>
        <v>352</v>
      </c>
      <c r="BD41" s="13">
        <f>+IFERROR(VLOOKUP($BD$17,Sheet1!AH15:AK15,3,0),0)</f>
        <v>0</v>
      </c>
      <c r="BE41" s="13">
        <f>+IFERROR(VLOOKUP($BE$17,Sheet1!AL15:AO15,3,0),0)</f>
        <v>0</v>
      </c>
      <c r="BF41" s="13">
        <f>+IFERROR(VLOOKUP($BF$17,Sheet1!AL15:AO15,3,0),0)</f>
        <v>0</v>
      </c>
      <c r="BG41" s="13">
        <f>+IFERROR(VLOOKUP($BG$17,Sheet1!AL15:AO15,3,0),0)</f>
        <v>0</v>
      </c>
      <c r="BH41" s="13">
        <f>+IFERROR(VLOOKUP($BH$17,Sheet1!AL15:AO15,3,0),0)</f>
        <v>119</v>
      </c>
      <c r="BI41" s="13">
        <f>+IFERROR(VLOOKUP($BI$17,Sheet1!AL15:AO15,3,0),0)</f>
        <v>0</v>
      </c>
      <c r="BJ41" s="13">
        <f>+IFERROR(VLOOKUP($BJ$17,Sheet1!AL15:AO15,3,0),0)</f>
        <v>0</v>
      </c>
      <c r="BK41" s="13">
        <f>+IFERROR(VLOOKUP($BK$17,Sheet1!AL15:AO15,3,0),0)</f>
        <v>0</v>
      </c>
      <c r="BL41" s="13">
        <f>+IFERROR(VLOOKUP($BL$17,Sheet1!AL15:AO15,3,0),0)</f>
        <v>0</v>
      </c>
      <c r="BM41" s="13">
        <f>+IFERROR(VLOOKUP($BM$17,Sheet1!AL15:AO15,3,0),0)</f>
        <v>0</v>
      </c>
      <c r="BN41" s="13">
        <f>+IFERROR(VLOOKUP($BN$17,Sheet1!AL15:AO15,3,0),0)</f>
        <v>0</v>
      </c>
      <c r="BO41" s="13">
        <f>+IFERROR(VLOOKUP($BO$17,Sheet1!AP15:AS15,3,0),0)</f>
        <v>0</v>
      </c>
      <c r="BP41" s="13">
        <f>+IFERROR(VLOOKUP($BP$17,Sheet1!AT15:AW15,3,0),0)</f>
        <v>0</v>
      </c>
      <c r="BQ41" s="13">
        <f>+IFERROR(VLOOKUP($BQ$17,Sheet1!AX15:BA15,3,0),0)</f>
        <v>0</v>
      </c>
      <c r="BR41" s="13">
        <f>+IFERROR(VLOOKUP($BR$17,Sheet1!BB15:BE15,3,0),0)</f>
        <v>0</v>
      </c>
      <c r="BS41" s="13">
        <f>+IFERROR(VLOOKUP($BS$17,Sheet1!BF15:BI15,3,0),0)</f>
        <v>0</v>
      </c>
      <c r="BT41" s="13">
        <f>+IFERROR(VLOOKUP($BT$17,Sheet1!BJ15:BM15,3,0),0)</f>
        <v>0</v>
      </c>
      <c r="BU41" s="13">
        <f>+IFERROR(VLOOKUP($BU$17,Sheet1!BN15:BQ15,3,0),0)</f>
        <v>0</v>
      </c>
      <c r="BV41" s="13">
        <f>+IFERROR(VLOOKUP($BV$17,Sheet1!BR15:BU15,3,0),0)</f>
        <v>0</v>
      </c>
      <c r="BW41" s="13">
        <f>+IFERROR(VLOOKUP($BW$17,Sheet1!BV15:BY15,3,0),0)</f>
        <v>0</v>
      </c>
      <c r="BX41" s="13" t="str">
        <f>Sheet1!E15</f>
        <v>WOOD</v>
      </c>
      <c r="BY41" s="13" t="s">
        <v>206</v>
      </c>
      <c r="BZ41" s="13" t="s">
        <v>207</v>
      </c>
      <c r="CA41" s="13">
        <v>500</v>
      </c>
      <c r="CB41" s="3">
        <v>4858</v>
      </c>
      <c r="CC41" s="3">
        <f>SUMPRODUCT($P$18:$BW$18,P41:BW41)+CB41</f>
        <v>176143</v>
      </c>
      <c r="CD41" s="23">
        <v>0.01</v>
      </c>
      <c r="CE41" s="3">
        <f>CC41*CD41</f>
        <v>1761.43</v>
      </c>
      <c r="CF41" s="44">
        <v>0.15</v>
      </c>
      <c r="CG41" s="3">
        <f>CC41*CF41</f>
        <v>26421.45</v>
      </c>
      <c r="CH41" s="44">
        <v>0</v>
      </c>
      <c r="CI41" s="3">
        <f t="shared" si="3"/>
        <v>0</v>
      </c>
      <c r="CJ41" s="3">
        <f>CC41+CE41+CG41+CI41</f>
        <v>204325.88</v>
      </c>
      <c r="CK41" s="44">
        <v>0.02</v>
      </c>
      <c r="CL41" s="59">
        <f>CJ41*CK41</f>
        <v>4086.5176000000001</v>
      </c>
      <c r="CM41" s="44">
        <v>0.01</v>
      </c>
      <c r="CN41" s="59">
        <f>CJ41*CM41</f>
        <v>2043.2588000000001</v>
      </c>
    </row>
    <row r="42" spans="1:92" ht="30" x14ac:dyDescent="0.25">
      <c r="A42">
        <v>9150</v>
      </c>
      <c r="B42">
        <v>24</v>
      </c>
      <c r="C42" s="1" t="str">
        <f>Sheet1!A22</f>
        <v>ENQ-15115-22-23</v>
      </c>
      <c r="D42" s="47">
        <v>45658</v>
      </c>
      <c r="E42" s="1" t="str">
        <f>Sheet1!C22</f>
        <v>FA0900132</v>
      </c>
      <c r="F42" s="1" t="str">
        <f>Sheet1!D22</f>
        <v>4 CORE X 16 SQ. MM. AL/ARD - WIRE (XLPE)</v>
      </c>
      <c r="G42" s="3">
        <f>CJ42+CL42+CN42</f>
        <v>142452.41960000002</v>
      </c>
      <c r="H42" s="59">
        <f>ROUNDUP(O72,0)</f>
        <v>23334</v>
      </c>
      <c r="I42" s="9">
        <f>G42+H42</f>
        <v>165786.41960000002</v>
      </c>
      <c r="J42" s="7">
        <f>Sheet1!CP22</f>
        <v>0.18</v>
      </c>
      <c r="K42" s="9">
        <f t="shared" si="0"/>
        <v>29841.555528000004</v>
      </c>
      <c r="L42" s="9">
        <f t="shared" si="1"/>
        <v>195627.97512800002</v>
      </c>
      <c r="M42" s="1">
        <f>Sheet1!CS22</f>
        <v>1.5</v>
      </c>
      <c r="N42" s="1" t="str">
        <f>Sheet1!CT22</f>
        <v>KMS</v>
      </c>
      <c r="O42" s="3">
        <f t="shared" si="2"/>
        <v>293441.96269200003</v>
      </c>
      <c r="P42" s="2">
        <f>+IFERROR(VLOOKUP($P$17,Sheet1!J22:L22,3,0),0)</f>
        <v>173</v>
      </c>
      <c r="Q42" s="2">
        <f>+IFERROR(VLOOKUP($Q$17,Sheet1!J22:L22,3,0),0)</f>
        <v>0</v>
      </c>
      <c r="R42" s="2">
        <f>+IFERROR(VLOOKUP($R$17,Sheet1!J22:M22,3,0),0)</f>
        <v>0</v>
      </c>
      <c r="S42" s="2">
        <f>+IFERROR(VLOOKUP($S$17,Sheet1!J22:M22,3,0),0)</f>
        <v>0</v>
      </c>
      <c r="T42" s="2">
        <f>+IFERROR(VLOOKUP($T$17,Sheet1!J22:M22,3,0),0)</f>
        <v>0</v>
      </c>
      <c r="U42" s="2">
        <f>+IFERROR(VLOOKUP($U$17,Sheet1!N22:Q22,3,0),0)</f>
        <v>0</v>
      </c>
      <c r="V42" s="2">
        <f>+IFERROR(VLOOKUP($V$17,Sheet1!N22:Q22,3,0),0)</f>
        <v>0</v>
      </c>
      <c r="W42" s="2">
        <f>+IFERROR(VLOOKUP($W$17,Sheet1!F22:I22,3,0),0)</f>
        <v>0</v>
      </c>
      <c r="X42" s="2">
        <f>+IFERROR(VLOOKUP($X$17,Sheet1!F22:I22,3,0),0)</f>
        <v>0</v>
      </c>
      <c r="Y42" s="2">
        <f>+IFERROR(VLOOKUP($Y$17,Sheet1!F22:I22,3,0),0)</f>
        <v>0</v>
      </c>
      <c r="Z42" s="2">
        <f>+IFERROR(VLOOKUP($Z$17,Sheet1!F22:I22,3,0),0)</f>
        <v>0</v>
      </c>
      <c r="AA42" s="2">
        <f>+IFERROR(VLOOKUP($AA$17,Sheet1!F22:I22,3,0),0)</f>
        <v>0</v>
      </c>
      <c r="AB42" s="2">
        <f>+IFERROR(VLOOKUP($AB$17,Sheet1!F22:I22,3,0),0)</f>
        <v>0</v>
      </c>
      <c r="AC42" s="2">
        <f>+IFERROR(VLOOKUP($AC$17,Sheet1!F22:I22,3,0),0)</f>
        <v>0</v>
      </c>
      <c r="AD42" s="2">
        <f>+IFERROR(VLOOKUP($AD$17,Sheet1!F22:I22,3,0),0)</f>
        <v>0</v>
      </c>
      <c r="AE42" s="2">
        <f>+IFERROR(VLOOKUP($AE$17,Sheet1!R22:U22,3,0),0)</f>
        <v>0</v>
      </c>
      <c r="AF42" s="13">
        <f>+IFERROR(VLOOKUP($AF$17,Sheet1!R22:U22,2,0),0)</f>
        <v>0</v>
      </c>
      <c r="AG42" s="2">
        <f>+IFERROR(VLOOKUP($AG$17,Sheet1!V22:Y22,3,0),0)</f>
        <v>0</v>
      </c>
      <c r="AH42" s="123">
        <v>64</v>
      </c>
      <c r="AI42" s="13">
        <f>+IFERROR(VLOOKUP($AI$17,Sheet1!V22:Y22,3,0),0)</f>
        <v>0</v>
      </c>
      <c r="AJ42" s="13">
        <f>+IFERROR(VLOOKUP($AJ$17,Sheet1!V22:Y22,3,0),0)</f>
        <v>0</v>
      </c>
      <c r="AK42" s="13">
        <f>+IFERROR(VLOOKUP($AK$17,Sheet1!V22:Y22,3,0),0)</f>
        <v>0</v>
      </c>
      <c r="AL42" s="13">
        <f>+IFERROR(VLOOKUP($AL$17,Sheet1!V22:Y22,3,0),0)</f>
        <v>0</v>
      </c>
      <c r="AM42" s="13">
        <f>+IFERROR(VLOOKUP($AM$17,Sheet1!Z22:AB22,3,0),0)</f>
        <v>0</v>
      </c>
      <c r="AN42" s="13">
        <f>+IFERROR(VLOOKUP($AN$17,Sheet1!AD22:AG22,3,0),0)</f>
        <v>0</v>
      </c>
      <c r="AO42" s="13">
        <f>+IFERROR(VLOOKUP($AO$17,Sheet1!AD22:AG22,3,0),0)</f>
        <v>0</v>
      </c>
      <c r="AP42" s="13">
        <f>+IFERROR(VLOOKUP($AP$17,Sheet1!AD22:AG22,3,0),0)</f>
        <v>0</v>
      </c>
      <c r="AQ42" s="13">
        <f>+IFERROR(VLOOKUP($AQ$17,Sheet1!AD22:AG22,3,0),0)</f>
        <v>0</v>
      </c>
      <c r="AR42" s="13">
        <f>+IFERROR(VLOOKUP($AR$17,Sheet1!AD22:AG22,3,0),0)</f>
        <v>0</v>
      </c>
      <c r="AS42" s="169">
        <f>+IFERROR(VLOOKUP($AS$17,Sheet1!AD22:AG22,3,0),0)</f>
        <v>40</v>
      </c>
      <c r="AT42" s="13">
        <f>+IFERROR(VLOOKUP($AT$17,Sheet1!AD22:AG22,3,0),0)</f>
        <v>0</v>
      </c>
      <c r="AU42" s="13">
        <f>+IFERROR(VLOOKUP($AU$17,Sheet1!AH22:AK22,3,0),0)</f>
        <v>0</v>
      </c>
      <c r="AV42" s="13">
        <f>+IFERROR(VLOOKUP($AV$17,Sheet1!AH22:AK22,3,0),0)</f>
        <v>0</v>
      </c>
      <c r="AW42" s="13">
        <f>+IFERROR(VLOOKUP($AW$17,Sheet1!AH22:AK22,3,0),0)</f>
        <v>0</v>
      </c>
      <c r="AX42" s="13">
        <f>+IFERROR(VLOOKUP($AX$17,Sheet1!AH22:AK22,3,0),0)</f>
        <v>0</v>
      </c>
      <c r="AY42" s="13">
        <f>+IFERROR(VLOOKUP($AY$17,Sheet1!AH22:AK22,3,0),0)</f>
        <v>0</v>
      </c>
      <c r="AZ42" s="13">
        <f>+IFERROR(VLOOKUP($AZ$17,Sheet1!AH22:AK22,3,0),0)</f>
        <v>0</v>
      </c>
      <c r="BA42" s="13">
        <f>+IFERROR(VLOOKUP($BA$17,Sheet1!AH22:AK22,3,0),0)</f>
        <v>0</v>
      </c>
      <c r="BB42" s="13">
        <f>+IFERROR(VLOOKUP($BB$17,Sheet1!AH22:AK22,3,0),0)</f>
        <v>0</v>
      </c>
      <c r="BC42" s="123">
        <v>460</v>
      </c>
      <c r="BD42" s="13">
        <f>+IFERROR(VLOOKUP($BD$17,Sheet1!AH22:AK22,3,0),0)</f>
        <v>0</v>
      </c>
      <c r="BE42" s="13">
        <f>+IFERROR(VLOOKUP($BE$17,Sheet1!AL22:AO22,3,0),0)</f>
        <v>0</v>
      </c>
      <c r="BF42" s="13">
        <f>+IFERROR(VLOOKUP($BF$17,Sheet1!AL22:AO22,3,0),0)</f>
        <v>0</v>
      </c>
      <c r="BG42" s="13">
        <f>+IFERROR(VLOOKUP($BG$17,Sheet1!AL22:AO22,3,0),0)</f>
        <v>0</v>
      </c>
      <c r="BH42" s="123">
        <v>158</v>
      </c>
      <c r="BI42" s="13">
        <f>+IFERROR(VLOOKUP($BI$17,Sheet1!AL22:AO22,3,0),0)</f>
        <v>0</v>
      </c>
      <c r="BJ42" s="13">
        <f>+IFERROR(VLOOKUP($BJ$17,Sheet1!AL22:AO22,3,0),0)</f>
        <v>0</v>
      </c>
      <c r="BK42" s="13">
        <f>+IFERROR(VLOOKUP($BK$17,Sheet1!AL22:AO22,3,0),0)</f>
        <v>0</v>
      </c>
      <c r="BL42" s="13">
        <f>+IFERROR(VLOOKUP($BL$17,Sheet1!AL22:AO22,3,0),0)</f>
        <v>0</v>
      </c>
      <c r="BM42" s="13">
        <f>+IFERROR(VLOOKUP($BM$17,Sheet1!AL22:AO22,3,0),0)</f>
        <v>0</v>
      </c>
      <c r="BN42" s="13">
        <f>+IFERROR(VLOOKUP($BN$17,Sheet1!AL22:AO22,3,0),0)</f>
        <v>0</v>
      </c>
      <c r="BO42" s="13">
        <f>+IFERROR(VLOOKUP($BO$17,Sheet1!AP22:AS22,3,0),0)</f>
        <v>0</v>
      </c>
      <c r="BP42" s="13">
        <f>+IFERROR(VLOOKUP($BP$17,Sheet1!AT22:AW22,3,0),0)</f>
        <v>0</v>
      </c>
      <c r="BQ42" s="13">
        <f>+IFERROR(VLOOKUP($BQ$17,Sheet1!AX22:BA22,3,0),0)</f>
        <v>0</v>
      </c>
      <c r="BR42" s="13">
        <f>+IFERROR(VLOOKUP($BR$17,Sheet1!BB22:BE22,3,0),0)</f>
        <v>0</v>
      </c>
      <c r="BS42" s="13">
        <f>+IFERROR(VLOOKUP($BS$17,Sheet1!BF22:BI22,3,0),0)</f>
        <v>0</v>
      </c>
      <c r="BT42" s="13">
        <f>+IFERROR(VLOOKUP($BT$17,Sheet1!BJ22:BM22,3,0),0)</f>
        <v>0</v>
      </c>
      <c r="BU42" s="13">
        <f>+IFERROR(VLOOKUP($BU$17,Sheet1!BN22:BQ22,3,0),0)</f>
        <v>0</v>
      </c>
      <c r="BV42" s="123">
        <v>14</v>
      </c>
      <c r="BW42" s="13">
        <f>+IFERROR(VLOOKUP($BW$17,Sheet1!BV22:BY22,3,0),0)</f>
        <v>0</v>
      </c>
      <c r="BX42" s="13" t="str">
        <f>Sheet1!E22</f>
        <v>WOOD</v>
      </c>
      <c r="BY42" s="13" t="str">
        <f>Sheet1!CV22</f>
        <v>MD0100090</v>
      </c>
      <c r="BZ42" s="13" t="str">
        <f>Sheet1!CW22</f>
        <v>DRUM - 43 X 15 X 36 X 2.5</v>
      </c>
      <c r="CA42" s="13">
        <f>Sheet1!CX22</f>
        <v>1000</v>
      </c>
      <c r="CB42" s="3">
        <f>Sheet1!BZ22</f>
        <v>3881</v>
      </c>
      <c r="CC42" s="3">
        <f>SUMPRODUCT($P$18:$BW$18,P42:BW42)+CB42</f>
        <v>119227</v>
      </c>
      <c r="CD42" s="23">
        <v>0.01</v>
      </c>
      <c r="CE42" s="3">
        <f>CC42*CD42</f>
        <v>1192.27</v>
      </c>
      <c r="CF42" s="44">
        <v>0.15</v>
      </c>
      <c r="CG42" s="3">
        <f>CC42*CF42</f>
        <v>17884.05</v>
      </c>
      <c r="CH42" s="44">
        <v>0</v>
      </c>
      <c r="CI42" s="3">
        <f t="shared" si="3"/>
        <v>0</v>
      </c>
      <c r="CJ42" s="3">
        <f>CC42+CE42+CG42+CI42</f>
        <v>138303.32</v>
      </c>
      <c r="CK42" s="44">
        <v>0.02</v>
      </c>
      <c r="CL42" s="59">
        <f>CJ42*CK42</f>
        <v>2766.0664000000002</v>
      </c>
      <c r="CM42" s="44">
        <v>0.01</v>
      </c>
      <c r="CN42" s="59">
        <f>CJ42*CM42</f>
        <v>1383.0332000000001</v>
      </c>
    </row>
    <row r="43" spans="1:92" ht="30" x14ac:dyDescent="0.25">
      <c r="B43">
        <v>25</v>
      </c>
      <c r="C43" s="1" t="str">
        <f>Sheet1!A13</f>
        <v>ENQ-15115-22-23</v>
      </c>
      <c r="D43" s="47">
        <v>45658</v>
      </c>
      <c r="E43" s="1" t="str">
        <f>Sheet1!C13</f>
        <v>FA0800001</v>
      </c>
      <c r="F43" s="1" t="str">
        <f>Sheet1!D13</f>
        <v>1 CORE X 16 SQ. MM. AL/ARD. (XLPE)</v>
      </c>
      <c r="G43" s="3">
        <f>CJ43+CL43+CN43</f>
        <v>39479.776399999995</v>
      </c>
      <c r="H43" s="59">
        <f>ROUNDUP(O73,0)</f>
        <v>70000</v>
      </c>
      <c r="I43" s="9">
        <f>G43+H43</f>
        <v>109479.7764</v>
      </c>
      <c r="J43" s="7">
        <f>Sheet1!CP13</f>
        <v>0.18</v>
      </c>
      <c r="K43" s="9">
        <f t="shared" si="0"/>
        <v>19706.359752</v>
      </c>
      <c r="L43" s="9">
        <f t="shared" si="1"/>
        <v>129186.13615200001</v>
      </c>
      <c r="M43" s="1">
        <f>Sheet1!CS13</f>
        <v>0.5</v>
      </c>
      <c r="N43" s="1" t="str">
        <f>Sheet1!CT13</f>
        <v>KMS</v>
      </c>
      <c r="O43" s="3">
        <f t="shared" si="2"/>
        <v>64593.068076000003</v>
      </c>
      <c r="P43" s="122">
        <v>44</v>
      </c>
      <c r="Q43" s="2">
        <f>+IFERROR(VLOOKUP($Q$17,Sheet1!J13:L13,3,0),0)</f>
        <v>0</v>
      </c>
      <c r="R43" s="2">
        <f>+IFERROR(VLOOKUP($R$17,Sheet1!J13:M13,3,0),0)</f>
        <v>0</v>
      </c>
      <c r="S43" s="2">
        <f>+IFERROR(VLOOKUP($S$17,Sheet1!J13:M13,3,0),0)</f>
        <v>0</v>
      </c>
      <c r="T43" s="2">
        <f>+IFERROR(VLOOKUP($T$17,Sheet1!J13:M13,3,0),0)</f>
        <v>0</v>
      </c>
      <c r="U43" s="2">
        <f>+IFERROR(VLOOKUP($U$17,Sheet1!N13:Q13,3,0),0)</f>
        <v>0</v>
      </c>
      <c r="V43" s="2">
        <f>+IFERROR(VLOOKUP($V$17,Sheet1!N13:Q13,3,0),0)</f>
        <v>0</v>
      </c>
      <c r="W43" s="2">
        <f>+IFERROR(VLOOKUP($W$17,Sheet1!F13:I13,3,0),0)</f>
        <v>0</v>
      </c>
      <c r="X43" s="2">
        <f>+IFERROR(VLOOKUP($X$17,Sheet1!F13:I13,3,0),0)</f>
        <v>0</v>
      </c>
      <c r="Y43" s="2">
        <f>+IFERROR(VLOOKUP($Y$17,Sheet1!F13:I13,3,0),0)</f>
        <v>0</v>
      </c>
      <c r="Z43" s="2">
        <f>+IFERROR(VLOOKUP($Z$17,Sheet1!F13:I13,3,0),0)</f>
        <v>0</v>
      </c>
      <c r="AA43" s="2">
        <f>+IFERROR(VLOOKUP($AA$17,Sheet1!F13:I13,3,0),0)</f>
        <v>0</v>
      </c>
      <c r="AB43" s="2">
        <f>+IFERROR(VLOOKUP($AB$17,Sheet1!F13:I13,3,0),0)</f>
        <v>0</v>
      </c>
      <c r="AC43" s="2">
        <f>+IFERROR(VLOOKUP($AC$17,Sheet1!F13:I13,3,0),0)</f>
        <v>0</v>
      </c>
      <c r="AD43" s="2">
        <f>+IFERROR(VLOOKUP($AD$17,Sheet1!F13:I13,3,0),0)</f>
        <v>0</v>
      </c>
      <c r="AE43" s="2">
        <f>+IFERROR(VLOOKUP($AE$17,Sheet1!R13:U13,3,0),0)</f>
        <v>0</v>
      </c>
      <c r="AF43" s="13">
        <f>+IFERROR(VLOOKUP($AF$17,Sheet1!R13:U13,2,0),0)</f>
        <v>0</v>
      </c>
      <c r="AG43" s="2">
        <f>+IFERROR(VLOOKUP($AG$17,Sheet1!V13:Y13,3,0),0)</f>
        <v>0</v>
      </c>
      <c r="AH43" s="123">
        <v>22</v>
      </c>
      <c r="AI43" s="13">
        <f>+IFERROR(VLOOKUP($AI$17,Sheet1!V13:Y13,3,0),0)</f>
        <v>0</v>
      </c>
      <c r="AJ43" s="13">
        <f>+IFERROR(VLOOKUP($AJ$17,Sheet1!V13:Y13,3,0),0)</f>
        <v>0</v>
      </c>
      <c r="AK43" s="13">
        <f>+IFERROR(VLOOKUP($AK$17,Sheet1!V13:Y13,3,0),0)</f>
        <v>0</v>
      </c>
      <c r="AL43" s="13">
        <f>+IFERROR(VLOOKUP($AL$17,Sheet1!V13:Y13,3,0),0)</f>
        <v>0</v>
      </c>
      <c r="AM43" s="13">
        <f>+IFERROR(VLOOKUP($AM$17,Sheet1!Z13:AB13,3,0),0)</f>
        <v>0</v>
      </c>
      <c r="AN43" s="13">
        <f>+IFERROR(VLOOKUP($AN$17,Sheet1!AD13:AG13,3,0),0)</f>
        <v>0</v>
      </c>
      <c r="AO43" s="13">
        <f>+IFERROR(VLOOKUP($AO$17,Sheet1!AD13:AG13,3,0),0)</f>
        <v>0</v>
      </c>
      <c r="AP43" s="13">
        <f>+IFERROR(VLOOKUP($AP$17,Sheet1!AD13:AG13,3,0),0)</f>
        <v>0</v>
      </c>
      <c r="AQ43" s="13">
        <f>+IFERROR(VLOOKUP($AQ$17,Sheet1!AD13:AG13,3,0),0)</f>
        <v>0</v>
      </c>
      <c r="AR43" s="13">
        <f>+IFERROR(VLOOKUP($AR$17,Sheet1!AD13:AG13,3,0),0)</f>
        <v>0</v>
      </c>
      <c r="AS43" s="13">
        <f>+IFERROR(VLOOKUP($AS$17,Sheet1!AD13:AG13,3,0),0)</f>
        <v>0</v>
      </c>
      <c r="AT43" s="13">
        <f>+IFERROR(VLOOKUP($AT$17,Sheet1!AD13:AG13,3,0),0)</f>
        <v>0</v>
      </c>
      <c r="AU43" s="13">
        <f>+IFERROR(VLOOKUP($AU$17,Sheet1!AH13:AK13,3,0),0)</f>
        <v>0</v>
      </c>
      <c r="AV43" s="13">
        <f>+IFERROR(VLOOKUP($AV$17,Sheet1!AH13:AK13,3,0),0)</f>
        <v>0</v>
      </c>
      <c r="AW43" s="13">
        <f>+IFERROR(VLOOKUP($AW$17,Sheet1!AH13:AK13,3,0),0)</f>
        <v>0</v>
      </c>
      <c r="AX43" s="13">
        <f>+IFERROR(VLOOKUP($AX$17,Sheet1!AH13:AK13,3,0),0)</f>
        <v>0</v>
      </c>
      <c r="AY43" s="13">
        <f>+IFERROR(VLOOKUP($AY$17,Sheet1!AH13:AK13,3,0),0)</f>
        <v>0</v>
      </c>
      <c r="AZ43" s="13">
        <f>+IFERROR(VLOOKUP($AZ$17,Sheet1!AH13:AK13,3,0),0)</f>
        <v>0</v>
      </c>
      <c r="BA43" s="13">
        <f>+IFERROR(VLOOKUP($BA$17,Sheet1!AH13:AK13,3,0),0)</f>
        <v>0</v>
      </c>
      <c r="BB43" s="13">
        <f>+IFERROR(VLOOKUP($BB$17,Sheet1!AH13:AK13,3,0),0)</f>
        <v>0</v>
      </c>
      <c r="BC43" s="123">
        <v>62</v>
      </c>
      <c r="BD43" s="13">
        <f>+IFERROR(VLOOKUP($BD$17,Sheet1!AH13:AK13,3,0),0)</f>
        <v>0</v>
      </c>
      <c r="BE43" s="13">
        <f>+IFERROR(VLOOKUP($BE$17,Sheet1!AL13:AO13,3,0),0)</f>
        <v>0</v>
      </c>
      <c r="BF43" s="13">
        <f>+IFERROR(VLOOKUP($BF$17,Sheet1!AL13:AO13,3,0),0)</f>
        <v>0</v>
      </c>
      <c r="BG43" s="13">
        <f>+IFERROR(VLOOKUP($BG$17,Sheet1!AL13:AO13,3,0),0)</f>
        <v>0</v>
      </c>
      <c r="BH43" s="123">
        <v>88</v>
      </c>
      <c r="BI43" s="13">
        <f>+IFERROR(VLOOKUP($BI$17,Sheet1!AL13:AO13,3,0),0)</f>
        <v>0</v>
      </c>
      <c r="BJ43" s="13">
        <f>+IFERROR(VLOOKUP($BJ$17,Sheet1!AL13:AO13,3,0),0)</f>
        <v>0</v>
      </c>
      <c r="BK43" s="13">
        <f>+IFERROR(VLOOKUP($BK$17,Sheet1!AL13:AO13,3,0),0)</f>
        <v>0</v>
      </c>
      <c r="BL43" s="13">
        <f>+IFERROR(VLOOKUP($BL$17,Sheet1!AL13:AO13,3,0),0)</f>
        <v>0</v>
      </c>
      <c r="BM43" s="13">
        <f>+IFERROR(VLOOKUP($BM$17,Sheet1!AL13:AO13,3,0),0)</f>
        <v>0</v>
      </c>
      <c r="BN43" s="13">
        <f>+IFERROR(VLOOKUP($BN$17,Sheet1!AL13:AO13,3,0),0)</f>
        <v>0</v>
      </c>
      <c r="BO43" s="13">
        <f>+IFERROR(VLOOKUP($BO$17,Sheet1!AP13:AS13,3,0),0)</f>
        <v>0</v>
      </c>
      <c r="BP43" s="13">
        <f>+IFERROR(VLOOKUP($BP$17,Sheet1!AT13:AW13,3,0),0)</f>
        <v>0</v>
      </c>
      <c r="BQ43" s="13">
        <f>+IFERROR(VLOOKUP($BQ$17,Sheet1!AX13:BA13,3,0),0)</f>
        <v>0</v>
      </c>
      <c r="BR43" s="13">
        <f>+IFERROR(VLOOKUP($BR$17,Sheet1!BB13:BE13,3,0),0)</f>
        <v>0</v>
      </c>
      <c r="BS43" s="13">
        <f>+IFERROR(VLOOKUP($BS$17,Sheet1!BF13:BI13,3,0),0)</f>
        <v>0</v>
      </c>
      <c r="BT43" s="13">
        <f>+IFERROR(VLOOKUP($BT$17,Sheet1!BJ13:BM13,3,0),0)</f>
        <v>0</v>
      </c>
      <c r="BU43" s="13">
        <f>+IFERROR(VLOOKUP($BU$17,Sheet1!BN13:BQ13,3,0),0)</f>
        <v>0</v>
      </c>
      <c r="BV43" s="123">
        <v>8</v>
      </c>
      <c r="BW43" s="13">
        <f>+IFERROR(VLOOKUP($BW$17,Sheet1!BV13:BY13,3,0),0)</f>
        <v>0</v>
      </c>
      <c r="BX43" s="13" t="s">
        <v>194</v>
      </c>
      <c r="BY43" s="13" t="s">
        <v>206</v>
      </c>
      <c r="BZ43" s="13" t="s">
        <v>207</v>
      </c>
      <c r="CA43" s="13">
        <f>Sheet1!CX13</f>
        <v>1000</v>
      </c>
      <c r="CB43" s="3">
        <v>2429</v>
      </c>
      <c r="CC43" s="3">
        <f>SUMPRODUCT($P$18:$BW$18,P43:BW43)+CB43</f>
        <v>33043</v>
      </c>
      <c r="CD43" s="23">
        <v>0.01</v>
      </c>
      <c r="CE43" s="3">
        <f>CC43*CD43</f>
        <v>330.43</v>
      </c>
      <c r="CF43" s="44">
        <v>0.15</v>
      </c>
      <c r="CG43" s="3">
        <f>CC43*CF43</f>
        <v>4956.45</v>
      </c>
      <c r="CH43" s="44">
        <v>0</v>
      </c>
      <c r="CI43" s="3">
        <f t="shared" si="3"/>
        <v>0</v>
      </c>
      <c r="CJ43" s="3">
        <f>CC43+CE43+CG43+CI43</f>
        <v>38329.879999999997</v>
      </c>
      <c r="CK43" s="44">
        <v>0.02</v>
      </c>
      <c r="CL43" s="59">
        <f>CJ43*CK43</f>
        <v>766.59759999999994</v>
      </c>
      <c r="CM43" s="44">
        <v>0.01</v>
      </c>
      <c r="CN43" s="59">
        <f>CJ43*CM43</f>
        <v>383.29879999999997</v>
      </c>
    </row>
    <row r="44" spans="1:92" ht="30" x14ac:dyDescent="0.25">
      <c r="A44">
        <v>9150</v>
      </c>
      <c r="B44">
        <v>26</v>
      </c>
      <c r="C44" s="1" t="str">
        <f>Sheet1!A23</f>
        <v>ENQ-15115-22-23</v>
      </c>
      <c r="D44" s="47">
        <v>45658</v>
      </c>
      <c r="E44" s="1" t="str">
        <f>Sheet1!C23</f>
        <v>FA0900133</v>
      </c>
      <c r="F44" s="1" t="str">
        <f>Sheet1!D23</f>
        <v>2 CORE X 16 SQ. MM. AL/ARD - WIRE (XLPE)</v>
      </c>
      <c r="G44" s="3">
        <f>CJ44+CL44+CN44</f>
        <v>118456.05639999999</v>
      </c>
      <c r="H44" s="59">
        <f>ROUNDUP(O74,0)</f>
        <v>70000</v>
      </c>
      <c r="I44" s="9">
        <f>G44+H44</f>
        <v>188456.0564</v>
      </c>
      <c r="J44" s="7">
        <f>Sheet1!CP23</f>
        <v>0.18</v>
      </c>
      <c r="K44" s="9">
        <f t="shared" si="0"/>
        <v>33922.090151999997</v>
      </c>
      <c r="L44" s="9">
        <f t="shared" si="1"/>
        <v>222378.14655199999</v>
      </c>
      <c r="M44" s="1">
        <f>Sheet1!CS23</f>
        <v>0.5</v>
      </c>
      <c r="N44" s="1" t="str">
        <f>Sheet1!CT23</f>
        <v>KMS</v>
      </c>
      <c r="O44" s="3">
        <f t="shared" si="2"/>
        <v>111189.073276</v>
      </c>
      <c r="P44" s="2">
        <f>+IFERROR(VLOOKUP($P$17,Sheet1!J23:L23,3,0),0)</f>
        <v>86</v>
      </c>
      <c r="Q44" s="2">
        <f>+IFERROR(VLOOKUP($Q$17,Sheet1!J23:L23,3,0),0)</f>
        <v>0</v>
      </c>
      <c r="R44" s="2">
        <f>+IFERROR(VLOOKUP($R$17,Sheet1!J23:M23,3,0),0)</f>
        <v>0</v>
      </c>
      <c r="S44" s="2">
        <f>+IFERROR(VLOOKUP($S$17,Sheet1!J23:M23,3,0),0)</f>
        <v>0</v>
      </c>
      <c r="T44" s="2">
        <f>+IFERROR(VLOOKUP($T$17,Sheet1!J23:M23,3,0),0)</f>
        <v>0</v>
      </c>
      <c r="U44" s="2">
        <f>+IFERROR(VLOOKUP($U$17,Sheet1!N23:Q23,3,0),0)</f>
        <v>0</v>
      </c>
      <c r="V44" s="2">
        <f>+IFERROR(VLOOKUP($V$17,Sheet1!N23:Q23,3,0),0)</f>
        <v>0</v>
      </c>
      <c r="W44" s="2">
        <f>+IFERROR(VLOOKUP($W$17,Sheet1!F23:I23,3,0),0)</f>
        <v>0</v>
      </c>
      <c r="X44" s="2">
        <f>+IFERROR(VLOOKUP($X$17,Sheet1!F23:I23,3,0),0)</f>
        <v>0</v>
      </c>
      <c r="Y44" s="2">
        <f>+IFERROR(VLOOKUP($Y$17,Sheet1!F23:I23,3,0),0)</f>
        <v>0</v>
      </c>
      <c r="Z44" s="2">
        <f>+IFERROR(VLOOKUP($Z$17,Sheet1!F23:I23,3,0),0)</f>
        <v>0</v>
      </c>
      <c r="AA44" s="2">
        <f>+IFERROR(VLOOKUP($AA$17,Sheet1!F23:I23,3,0),0)</f>
        <v>0</v>
      </c>
      <c r="AB44" s="2">
        <f>+IFERROR(VLOOKUP($AB$17,Sheet1!F23:I23,3,0),0)</f>
        <v>0</v>
      </c>
      <c r="AC44" s="2">
        <f>+IFERROR(VLOOKUP($AC$17,Sheet1!F23:I23,3,0),0)</f>
        <v>0</v>
      </c>
      <c r="AD44" s="2">
        <f>+IFERROR(VLOOKUP($AD$17,Sheet1!F23:I23,3,0),0)</f>
        <v>0</v>
      </c>
      <c r="AE44" s="2">
        <f>+IFERROR(VLOOKUP($AE$17,Sheet1!R23:U23,3,0),0)</f>
        <v>0</v>
      </c>
      <c r="AF44" s="13">
        <f>+IFERROR(VLOOKUP($AF$17,Sheet1!R23:U23,2,0),0)</f>
        <v>0</v>
      </c>
      <c r="AG44" s="2">
        <f>+IFERROR(VLOOKUP($AG$17,Sheet1!V23:Y23,3,0),0)</f>
        <v>0</v>
      </c>
      <c r="AH44" s="123">
        <v>32</v>
      </c>
      <c r="AI44" s="13">
        <f>+IFERROR(VLOOKUP($AI$17,Sheet1!V23:Y23,3,0),0)</f>
        <v>0</v>
      </c>
      <c r="AJ44" s="13">
        <f>+IFERROR(VLOOKUP($AJ$17,Sheet1!V23:Y23,3,0),0)</f>
        <v>0</v>
      </c>
      <c r="AK44" s="13">
        <f>+IFERROR(VLOOKUP($AK$17,Sheet1!V23:Y23,3,0),0)</f>
        <v>0</v>
      </c>
      <c r="AL44" s="13">
        <f>+IFERROR(VLOOKUP($AL$17,Sheet1!V23:Y23,3,0),0)</f>
        <v>0</v>
      </c>
      <c r="AM44" s="13">
        <f>+IFERROR(VLOOKUP($AM$17,Sheet1!Z23:AB23,3,0),0)</f>
        <v>0</v>
      </c>
      <c r="AN44" s="13">
        <f>+IFERROR(VLOOKUP($AN$17,Sheet1!AD23:AG23,3,0),0)</f>
        <v>0</v>
      </c>
      <c r="AO44" s="13">
        <f>+IFERROR(VLOOKUP($AO$17,Sheet1!AD23:AG23,3,0),0)</f>
        <v>0</v>
      </c>
      <c r="AP44" s="13">
        <f>+IFERROR(VLOOKUP($AP$17,Sheet1!AD23:AG23,3,0),0)</f>
        <v>0</v>
      </c>
      <c r="AQ44" s="13">
        <f>+IFERROR(VLOOKUP($AQ$17,Sheet1!AD23:AG23,3,0),0)</f>
        <v>0</v>
      </c>
      <c r="AR44" s="13">
        <f>+IFERROR(VLOOKUP($AR$17,Sheet1!AD23:AG23,3,0),0)</f>
        <v>0</v>
      </c>
      <c r="AS44" s="123">
        <v>104</v>
      </c>
      <c r="AT44" s="13">
        <v>0</v>
      </c>
      <c r="AU44" s="13">
        <f>+IFERROR(VLOOKUP($AU$17,Sheet1!AH23:AK23,3,0),0)</f>
        <v>0</v>
      </c>
      <c r="AV44" s="13">
        <f>+IFERROR(VLOOKUP($AV$17,Sheet1!AH23:AK23,3,0),0)</f>
        <v>0</v>
      </c>
      <c r="AW44" s="13">
        <f>+IFERROR(VLOOKUP($AW$17,Sheet1!AH23:AK23,3,0),0)</f>
        <v>0</v>
      </c>
      <c r="AX44" s="13">
        <f>+IFERROR(VLOOKUP($AX$17,Sheet1!AH23:AK23,3,0),0)</f>
        <v>0</v>
      </c>
      <c r="AY44" s="13">
        <f>+IFERROR(VLOOKUP($AY$17,Sheet1!AH23:AK23,3,0),0)</f>
        <v>0</v>
      </c>
      <c r="AZ44" s="13">
        <f>+IFERROR(VLOOKUP($AZ$17,Sheet1!AH23:AK23,3,0),0)</f>
        <v>0</v>
      </c>
      <c r="BA44" s="13">
        <f>+IFERROR(VLOOKUP($BA$17,Sheet1!AH23:AK23,3,0),0)</f>
        <v>0</v>
      </c>
      <c r="BB44" s="13">
        <f>+IFERROR(VLOOKUP($BB$17,Sheet1!AH23:AK23,3,0),0)</f>
        <v>0</v>
      </c>
      <c r="BC44" s="123">
        <v>487</v>
      </c>
      <c r="BD44" s="13">
        <f>+IFERROR(VLOOKUP($BD$17,Sheet1!AH23:AK23,3,0),0)</f>
        <v>0</v>
      </c>
      <c r="BE44" s="13">
        <f>+IFERROR(VLOOKUP($BE$17,Sheet1!AL23:AO23,3,0),0)</f>
        <v>0</v>
      </c>
      <c r="BF44" s="13">
        <f>+IFERROR(VLOOKUP($BF$17,Sheet1!AL23:AO23,3,0),0)</f>
        <v>0</v>
      </c>
      <c r="BG44" s="13">
        <f>+IFERROR(VLOOKUP($BG$17,Sheet1!AL23:AO23,3,0),0)</f>
        <v>0</v>
      </c>
      <c r="BH44" s="123">
        <v>150</v>
      </c>
      <c r="BI44" s="13">
        <f>+IFERROR(VLOOKUP($BI$17,Sheet1!AL23:AO23,3,0),0)</f>
        <v>0</v>
      </c>
      <c r="BJ44" s="13">
        <f>+IFERROR(VLOOKUP($BJ$17,Sheet1!AL23:AO23,3,0),0)</f>
        <v>0</v>
      </c>
      <c r="BK44" s="13">
        <f>+IFERROR(VLOOKUP($BK$17,Sheet1!AL23:AO23,3,0),0)</f>
        <v>0</v>
      </c>
      <c r="BL44" s="13">
        <f>+IFERROR(VLOOKUP($BL$17,Sheet1!AL23:AO23,3,0),0)</f>
        <v>0</v>
      </c>
      <c r="BM44" s="13">
        <f>+IFERROR(VLOOKUP($BM$17,Sheet1!AL23:AO23,3,0),0)</f>
        <v>0</v>
      </c>
      <c r="BN44" s="13">
        <f>+IFERROR(VLOOKUP($BN$17,Sheet1!AL23:AO23,3,0),0)</f>
        <v>0</v>
      </c>
      <c r="BO44" s="13">
        <f>+IFERROR(VLOOKUP($BO$17,Sheet1!AP23:AS23,3,0),0)</f>
        <v>0</v>
      </c>
      <c r="BP44" s="13">
        <f>+IFERROR(VLOOKUP($BP$17,Sheet1!AT23:AW23,3,0),0)</f>
        <v>0</v>
      </c>
      <c r="BQ44" s="13">
        <f>+IFERROR(VLOOKUP($BQ$17,Sheet1!AX23:BA23,3,0),0)</f>
        <v>0</v>
      </c>
      <c r="BR44" s="13">
        <f>+IFERROR(VLOOKUP($BR$17,Sheet1!BB23:BE23,3,0),0)</f>
        <v>0</v>
      </c>
      <c r="BS44" s="13">
        <f>+IFERROR(VLOOKUP($BS$17,Sheet1!BF23:BI23,3,0),0)</f>
        <v>0</v>
      </c>
      <c r="BT44" s="13">
        <f>+IFERROR(VLOOKUP($BT$17,Sheet1!BJ23:BM23,3,0),0)</f>
        <v>0</v>
      </c>
      <c r="BU44" s="13">
        <f>+IFERROR(VLOOKUP($BU$17,Sheet1!BN23:BQ23,3,0),0)</f>
        <v>0</v>
      </c>
      <c r="BV44" s="123">
        <v>13</v>
      </c>
      <c r="BW44" s="13">
        <f>+IFERROR(VLOOKUP($BW$17,Sheet1!BV23:BY23,3,0),0)</f>
        <v>0</v>
      </c>
      <c r="BX44" s="13" t="str">
        <f>Sheet1!E23</f>
        <v>WOOD</v>
      </c>
      <c r="BY44" s="13" t="str">
        <f>Sheet1!CV23</f>
        <v>MD0100064</v>
      </c>
      <c r="BZ44" s="13" t="str">
        <f>Sheet1!CW23</f>
        <v>DRUM - 42 X 15 X 32 X 2 (LOMBU)</v>
      </c>
      <c r="CA44" s="13">
        <f>Sheet1!CX23</f>
        <v>1000</v>
      </c>
      <c r="CB44" s="3">
        <f>Sheet1!BZ23</f>
        <v>4593</v>
      </c>
      <c r="CC44" s="3">
        <f>SUMPRODUCT($P$18:$BW$18,P44:BW44)+CB44</f>
        <v>99143</v>
      </c>
      <c r="CD44" s="23">
        <v>0.01</v>
      </c>
      <c r="CE44" s="3">
        <f>CC44*CD44</f>
        <v>991.43000000000006</v>
      </c>
      <c r="CF44" s="44">
        <v>0.15</v>
      </c>
      <c r="CG44" s="3">
        <f>CC44*CF44</f>
        <v>14871.449999999999</v>
      </c>
      <c r="CH44" s="44">
        <v>0</v>
      </c>
      <c r="CI44" s="3">
        <f t="shared" si="3"/>
        <v>0</v>
      </c>
      <c r="CJ44" s="3">
        <f>CC44+CE44+CG44+CI44</f>
        <v>115005.87999999999</v>
      </c>
      <c r="CK44" s="44">
        <v>0.02</v>
      </c>
      <c r="CL44" s="59">
        <f>CJ44*CK44</f>
        <v>2300.1176</v>
      </c>
      <c r="CM44" s="44">
        <v>0.01</v>
      </c>
      <c r="CN44" s="59">
        <f>CJ44*CM44</f>
        <v>1150.0588</v>
      </c>
    </row>
    <row r="45" spans="1:92" ht="30" x14ac:dyDescent="0.25">
      <c r="A45">
        <v>10761</v>
      </c>
      <c r="B45">
        <v>27</v>
      </c>
      <c r="C45" s="1" t="str">
        <f>Sheet1!A24</f>
        <v>ENQ-15115-22-23</v>
      </c>
      <c r="D45" s="47">
        <v>45658</v>
      </c>
      <c r="E45" s="1" t="str">
        <f>Sheet1!C24</f>
        <v>FA0900160</v>
      </c>
      <c r="F45" s="1" t="str">
        <f>Sheet1!D24</f>
        <v>2 CORE X 50 SQ. MM. AL/ARD - WIRE (XLPE)</v>
      </c>
      <c r="G45" s="3">
        <f>CJ45+CL45+CN45</f>
        <v>240884.82279999999</v>
      </c>
      <c r="H45" s="59">
        <f>ROUNDUP(O75,0)</f>
        <v>70000</v>
      </c>
      <c r="I45" s="9">
        <f>G45+H45</f>
        <v>310884.82279999997</v>
      </c>
      <c r="J45" s="7">
        <f>Sheet1!CP24</f>
        <v>0.18</v>
      </c>
      <c r="K45" s="9">
        <f t="shared" si="0"/>
        <v>55959.268103999995</v>
      </c>
      <c r="L45" s="9">
        <f t="shared" si="1"/>
        <v>366844.09090399998</v>
      </c>
      <c r="M45" s="1">
        <f>Sheet1!CS24</f>
        <v>0.5</v>
      </c>
      <c r="N45" s="1" t="str">
        <f>Sheet1!CT24</f>
        <v>KMS</v>
      </c>
      <c r="O45" s="3">
        <f t="shared" si="2"/>
        <v>183422.04545199999</v>
      </c>
      <c r="P45" s="122">
        <f>+IFERROR(VLOOKUP($P$17,Sheet1!J24:L24,3,0),0)</f>
        <v>270</v>
      </c>
      <c r="Q45" s="2">
        <f>+IFERROR(VLOOKUP($Q$17,Sheet1!J24:L24,3,0),0)</f>
        <v>0</v>
      </c>
      <c r="R45" s="2">
        <f>+IFERROR(VLOOKUP($R$17,Sheet1!J24:M24,3,0),0)</f>
        <v>0</v>
      </c>
      <c r="S45" s="2">
        <f>+IFERROR(VLOOKUP($S$17,Sheet1!J24:M24,3,0),0)</f>
        <v>0</v>
      </c>
      <c r="T45" s="2">
        <f>+IFERROR(VLOOKUP($T$17,Sheet1!J24:M24,3,0),0)</f>
        <v>0</v>
      </c>
      <c r="U45" s="2">
        <f>+IFERROR(VLOOKUP($U$17,Sheet1!N24:Q24,3,0),0)</f>
        <v>0</v>
      </c>
      <c r="V45" s="2">
        <f>+IFERROR(VLOOKUP($V$17,Sheet1!N24:Q24,3,0),0)</f>
        <v>0</v>
      </c>
      <c r="W45" s="2">
        <f>+IFERROR(VLOOKUP($W$17,Sheet1!F24:I24,3,0),0)</f>
        <v>0</v>
      </c>
      <c r="X45" s="2">
        <f>+IFERROR(VLOOKUP($X$17,Sheet1!F24:I24,3,0),0)</f>
        <v>0</v>
      </c>
      <c r="Y45" s="2">
        <f>+IFERROR(VLOOKUP($Y$17,Sheet1!F24:I24,3,0),0)</f>
        <v>0</v>
      </c>
      <c r="Z45" s="2">
        <f>+IFERROR(VLOOKUP($Z$17,Sheet1!F24:I24,3,0),0)</f>
        <v>0</v>
      </c>
      <c r="AA45" s="2">
        <f>+IFERROR(VLOOKUP($AA$17,Sheet1!F24:I24,3,0),0)</f>
        <v>0</v>
      </c>
      <c r="AB45" s="2">
        <f>+IFERROR(VLOOKUP($AB$17,Sheet1!F24:I24,3,0),0)</f>
        <v>0</v>
      </c>
      <c r="AC45" s="2">
        <f>+IFERROR(VLOOKUP($AC$17,Sheet1!F24:I24,3,0),0)</f>
        <v>0</v>
      </c>
      <c r="AD45" s="2">
        <f>+IFERROR(VLOOKUP($AD$17,Sheet1!F24:I24,3,0),0)</f>
        <v>0</v>
      </c>
      <c r="AE45" s="2">
        <f>+IFERROR(VLOOKUP($AE$17,Sheet1!R24:U24,3,0),0)</f>
        <v>0</v>
      </c>
      <c r="AF45" s="13">
        <f>+IFERROR(VLOOKUP($AF$17,Sheet1!R24:U24,2,0),0)</f>
        <v>0</v>
      </c>
      <c r="AG45" s="2">
        <f>+IFERROR(VLOOKUP($AG$17,Sheet1!V24:Y24,3,0),0)</f>
        <v>0</v>
      </c>
      <c r="AH45" s="123">
        <v>64</v>
      </c>
      <c r="AI45" s="13">
        <f>+IFERROR(VLOOKUP($AI$17,Sheet1!V24:Y24,3,0),0)</f>
        <v>0</v>
      </c>
      <c r="AJ45" s="13">
        <f>+IFERROR(VLOOKUP($AJ$17,Sheet1!V24:Y24,3,0),0)</f>
        <v>0</v>
      </c>
      <c r="AK45" s="13">
        <f>+IFERROR(VLOOKUP($AK$17,Sheet1!V24:Y24,3,0),0)</f>
        <v>0</v>
      </c>
      <c r="AL45" s="13">
        <f>+IFERROR(VLOOKUP($AL$17,Sheet1!V24:Y24,3,0),0)</f>
        <v>0</v>
      </c>
      <c r="AM45" s="13">
        <f>+IFERROR(VLOOKUP($AM$17,Sheet1!Z24:AB24,3,0),0)</f>
        <v>0</v>
      </c>
      <c r="AN45" s="13">
        <f>+IFERROR(VLOOKUP($AN$17,Sheet1!AD24:AG24,3,0),0)</f>
        <v>0</v>
      </c>
      <c r="AO45" s="13">
        <f>+IFERROR(VLOOKUP($AO$17,Sheet1!AD24:AG24,3,0),0)</f>
        <v>0</v>
      </c>
      <c r="AP45" s="13">
        <f>+IFERROR(VLOOKUP($AP$17,Sheet1!AD24:AG24,3,0),0)</f>
        <v>0</v>
      </c>
      <c r="AQ45" s="13">
        <f>+IFERROR(VLOOKUP($AQ$17,Sheet1!AD24:AG24,3,0),0)</f>
        <v>0</v>
      </c>
      <c r="AR45" s="13">
        <f>+IFERROR(VLOOKUP($AR$17,Sheet1!AD24:AG24,3,0),0)</f>
        <v>0</v>
      </c>
      <c r="AS45" s="123">
        <v>80</v>
      </c>
      <c r="AT45" s="13">
        <v>0</v>
      </c>
      <c r="AU45" s="13">
        <f>+IFERROR(VLOOKUP($AU$17,Sheet1!AH24:AK24,3,0),0)</f>
        <v>0</v>
      </c>
      <c r="AV45" s="13">
        <f>+IFERROR(VLOOKUP($AV$17,Sheet1!AH24:AK24,3,0),0)</f>
        <v>0</v>
      </c>
      <c r="AW45" s="13">
        <f>+IFERROR(VLOOKUP($AW$17,Sheet1!AH24:AK24,3,0),0)</f>
        <v>0</v>
      </c>
      <c r="AX45" s="13">
        <f>+IFERROR(VLOOKUP($AX$17,Sheet1!AH24:AK24,3,0),0)</f>
        <v>0</v>
      </c>
      <c r="AY45" s="13">
        <f>+IFERROR(VLOOKUP($AY$17,Sheet1!AH24:AK24,3,0),0)</f>
        <v>0</v>
      </c>
      <c r="AZ45" s="13">
        <f>+IFERROR(VLOOKUP($AZ$17,Sheet1!AH24:AK24,3,0),0)</f>
        <v>0</v>
      </c>
      <c r="BA45" s="13">
        <f>+IFERROR(VLOOKUP($BA$17,Sheet1!AH24:AK24,3,0),0)</f>
        <v>0</v>
      </c>
      <c r="BB45" s="13">
        <f>+IFERROR(VLOOKUP($BB$17,Sheet1!AH24:AK24,3,0),0)</f>
        <v>0</v>
      </c>
      <c r="BC45" s="123">
        <v>1018</v>
      </c>
      <c r="BD45" s="13">
        <f>+IFERROR(VLOOKUP($BD$17,Sheet1!AH24:AK24,3,0),0)</f>
        <v>0</v>
      </c>
      <c r="BE45" s="13">
        <f>+IFERROR(VLOOKUP($BE$17,Sheet1!AL24:AO24,3,0),0)</f>
        <v>0</v>
      </c>
      <c r="BF45" s="13">
        <f>+IFERROR(VLOOKUP($BF$17,Sheet1!AL24:AO24,3,0),0)</f>
        <v>0</v>
      </c>
      <c r="BG45" s="13">
        <f>+IFERROR(VLOOKUP($BG$17,Sheet1!AL24:AO24,3,0),0)</f>
        <v>0</v>
      </c>
      <c r="BH45" s="123">
        <v>200</v>
      </c>
      <c r="BI45" s="13">
        <f>+IFERROR(VLOOKUP($BI$17,Sheet1!AL24:AO24,3,0),0)</f>
        <v>0</v>
      </c>
      <c r="BJ45" s="13">
        <f>+IFERROR(VLOOKUP($BJ$17,Sheet1!AL24:AO24,3,0),0)</f>
        <v>0</v>
      </c>
      <c r="BK45" s="13">
        <f>+IFERROR(VLOOKUP($BK$17,Sheet1!AL24:AO24,3,0),0)</f>
        <v>0</v>
      </c>
      <c r="BL45" s="13">
        <f>+IFERROR(VLOOKUP($BL$17,Sheet1!AL24:AO24,3,0),0)</f>
        <v>0</v>
      </c>
      <c r="BM45" s="13">
        <f>+IFERROR(VLOOKUP($BM$17,Sheet1!AL24:AO24,3,0),0)</f>
        <v>0</v>
      </c>
      <c r="BN45" s="13">
        <f>+IFERROR(VLOOKUP($BN$17,Sheet1!AL24:AO24,3,0),0)</f>
        <v>0</v>
      </c>
      <c r="BO45" s="13">
        <f>+IFERROR(VLOOKUP($BO$17,Sheet1!AP24:AS24,3,0),0)</f>
        <v>0</v>
      </c>
      <c r="BP45" s="13">
        <f>+IFERROR(VLOOKUP($BP$17,Sheet1!AT24:AW24,3,0),0)</f>
        <v>0</v>
      </c>
      <c r="BQ45" s="13">
        <f>+IFERROR(VLOOKUP($BQ$17,Sheet1!AX24:BA24,3,0),0)</f>
        <v>0</v>
      </c>
      <c r="BR45" s="13">
        <f>+IFERROR(VLOOKUP($BR$17,Sheet1!BB24:BE24,3,0),0)</f>
        <v>0</v>
      </c>
      <c r="BS45" s="13">
        <f>+IFERROR(VLOOKUP($BS$17,Sheet1!BF24:BI24,3,0),0)</f>
        <v>0</v>
      </c>
      <c r="BT45" s="13">
        <f>+IFERROR(VLOOKUP($BT$17,Sheet1!BJ24:BM24,3,0),0)</f>
        <v>0</v>
      </c>
      <c r="BU45" s="13">
        <f>+IFERROR(VLOOKUP($BU$17,Sheet1!BN24:BQ24,3,0),0)</f>
        <v>0</v>
      </c>
      <c r="BV45" s="123">
        <v>18</v>
      </c>
      <c r="BW45" s="13">
        <f>+IFERROR(VLOOKUP($BW$17,Sheet1!BV24:BY24,3,0),0)</f>
        <v>0</v>
      </c>
      <c r="BX45" s="13" t="str">
        <f>Sheet1!E24</f>
        <v>WOOD</v>
      </c>
      <c r="BY45" s="13" t="str">
        <f>Sheet1!CV24</f>
        <v>MD0100013</v>
      </c>
      <c r="BZ45" s="13" t="str">
        <f>Sheet1!CW24</f>
        <v>DRUM - 48 X 14 X 36 X 2.25</v>
      </c>
      <c r="CA45" s="13">
        <f>Sheet1!CX24</f>
        <v>1000</v>
      </c>
      <c r="CB45" s="3">
        <f>Sheet1!BZ24</f>
        <v>4139</v>
      </c>
      <c r="CC45" s="3">
        <f>SUMPRODUCT($P$18:$BW$18,P45:BW45)+CB45</f>
        <v>201611</v>
      </c>
      <c r="CD45" s="23">
        <v>0.01</v>
      </c>
      <c r="CE45" s="3">
        <f>CC45*CD45</f>
        <v>2016.1100000000001</v>
      </c>
      <c r="CF45" s="44">
        <v>0.15</v>
      </c>
      <c r="CG45" s="3">
        <f>CC45*CF45</f>
        <v>30241.649999999998</v>
      </c>
      <c r="CH45" s="44">
        <v>0</v>
      </c>
      <c r="CI45" s="3">
        <f t="shared" si="3"/>
        <v>0</v>
      </c>
      <c r="CJ45" s="3">
        <f>CC45+CE45+CG45+CI45</f>
        <v>233868.75999999998</v>
      </c>
      <c r="CK45" s="44">
        <v>0.02</v>
      </c>
      <c r="CL45" s="59">
        <f>CJ45*CK45</f>
        <v>4677.3751999999995</v>
      </c>
      <c r="CM45" s="44">
        <v>0.01</v>
      </c>
      <c r="CN45" s="59">
        <f>CJ45*CM45</f>
        <v>2338.6875999999997</v>
      </c>
    </row>
    <row r="46" spans="1:92" x14ac:dyDescent="0.25">
      <c r="O46" s="173">
        <f>SUM(O19:O45)</f>
        <v>989454961.29268765</v>
      </c>
      <c r="CH46" s="8">
        <v>0</v>
      </c>
    </row>
    <row r="48" spans="1:92" ht="60" x14ac:dyDescent="0.25">
      <c r="G48" s="2" t="s">
        <v>279</v>
      </c>
      <c r="H48" s="2" t="s">
        <v>280</v>
      </c>
      <c r="I48" s="54" t="s">
        <v>281</v>
      </c>
      <c r="J48" s="2" t="s">
        <v>282</v>
      </c>
      <c r="K48" s="2" t="s">
        <v>283</v>
      </c>
      <c r="L48" s="2" t="s">
        <v>284</v>
      </c>
      <c r="M48" s="2" t="s">
        <v>285</v>
      </c>
      <c r="N48" s="54" t="s">
        <v>286</v>
      </c>
      <c r="O48" s="55" t="s">
        <v>287</v>
      </c>
      <c r="R48" s="26" t="s">
        <v>337</v>
      </c>
      <c r="AH48" s="26" t="s">
        <v>338</v>
      </c>
      <c r="AK48" s="26" t="s">
        <v>339</v>
      </c>
      <c r="AM48" s="26" t="s">
        <v>340</v>
      </c>
    </row>
    <row r="49" spans="2:39" ht="30" x14ac:dyDescent="0.25">
      <c r="D49" t="str">
        <f>BY19</f>
        <v>MD0100066</v>
      </c>
      <c r="E49" t="str">
        <f>E19</f>
        <v>FA0600013</v>
      </c>
      <c r="F49" s="26" t="str">
        <f>F19</f>
        <v>1 CORE X 95 SQ. MM. AL/UNARD(XLPE )</v>
      </c>
      <c r="G49" s="54">
        <f>M19</f>
        <v>79.531999999999996</v>
      </c>
      <c r="H49" s="56">
        <f>CA19/1000</f>
        <v>1</v>
      </c>
      <c r="I49" s="54" t="s">
        <v>288</v>
      </c>
      <c r="J49" s="57">
        <v>35000</v>
      </c>
      <c r="K49" s="56">
        <v>31</v>
      </c>
      <c r="L49" s="54">
        <f>H49*K49</f>
        <v>31</v>
      </c>
      <c r="M49" s="54">
        <f>ROUNDUP((G49/L49),0)</f>
        <v>3</v>
      </c>
      <c r="N49" s="54">
        <f>O49*G49</f>
        <v>105000</v>
      </c>
      <c r="O49" s="58">
        <f>(J49*M49)/G49</f>
        <v>1320.2233063421013</v>
      </c>
      <c r="P49" s="26" t="str">
        <f>BY19</f>
        <v>MD0100066</v>
      </c>
      <c r="R49" s="171">
        <f>SUM(P19:BV19)</f>
        <v>440</v>
      </c>
      <c r="AH49" s="26">
        <v>75</v>
      </c>
      <c r="AK49" s="26">
        <f>((R49*H49)+AH49)</f>
        <v>515</v>
      </c>
      <c r="AM49" s="26">
        <f>AK49*K49</f>
        <v>15965</v>
      </c>
    </row>
    <row r="50" spans="2:39" ht="30" x14ac:dyDescent="0.25">
      <c r="D50" t="str">
        <f>BY20</f>
        <v>MD0100085</v>
      </c>
      <c r="E50" t="str">
        <f>E20</f>
        <v>FA0600019</v>
      </c>
      <c r="F50" s="26" t="str">
        <f>F20</f>
        <v>1 CORE X 150 SQ. MM. AL/UNARD. (XLPE)</v>
      </c>
      <c r="G50" s="54">
        <f>M20</f>
        <v>57.308</v>
      </c>
      <c r="H50" s="56">
        <f>CA20/1000</f>
        <v>1</v>
      </c>
      <c r="I50" s="54" t="s">
        <v>288</v>
      </c>
      <c r="J50" s="57">
        <v>35000</v>
      </c>
      <c r="K50" s="56">
        <v>20</v>
      </c>
      <c r="L50" s="54">
        <f t="shared" ref="L50:L75" si="4">H50*K50</f>
        <v>20</v>
      </c>
      <c r="M50" s="54">
        <f t="shared" ref="M50:M75" si="5">ROUNDUP((G50/L50),0)</f>
        <v>3</v>
      </c>
      <c r="N50" s="54">
        <f t="shared" ref="N50:N75" si="6">O50*G50</f>
        <v>105000</v>
      </c>
      <c r="O50" s="58">
        <f t="shared" ref="O50:O75" si="7">(J50*M50)/G50</f>
        <v>1832.2049277587771</v>
      </c>
      <c r="P50" s="26" t="str">
        <f t="shared" ref="P50:P75" si="8">BY20</f>
        <v>MD0100085</v>
      </c>
      <c r="R50" s="171">
        <f>SUM(P20:BV20)</f>
        <v>686</v>
      </c>
      <c r="AH50" s="26">
        <v>100</v>
      </c>
      <c r="AK50" s="26">
        <f t="shared" ref="AK50:AK75" si="9">((R50*H50)+AH50)</f>
        <v>786</v>
      </c>
      <c r="AM50" s="26">
        <f t="shared" ref="AM50:AM75" si="10">AK50*K50</f>
        <v>15720</v>
      </c>
    </row>
    <row r="51" spans="2:39" ht="30" x14ac:dyDescent="0.25">
      <c r="D51" t="str">
        <f>BY21</f>
        <v>MD0100090</v>
      </c>
      <c r="E51" t="str">
        <f>E21</f>
        <v>FA0600021</v>
      </c>
      <c r="F51" s="26" t="str">
        <f>F21</f>
        <v>1 CORE X 185 SQ. MM. AL/UNARD. (XLPE)</v>
      </c>
      <c r="G51" s="54">
        <f>M21</f>
        <v>35.75</v>
      </c>
      <c r="H51" s="56">
        <f>CA21/1000</f>
        <v>1</v>
      </c>
      <c r="I51" s="54" t="s">
        <v>288</v>
      </c>
      <c r="J51" s="57">
        <v>35000</v>
      </c>
      <c r="K51" s="56">
        <v>17</v>
      </c>
      <c r="L51" s="54">
        <f t="shared" si="4"/>
        <v>17</v>
      </c>
      <c r="M51" s="54">
        <f t="shared" si="5"/>
        <v>3</v>
      </c>
      <c r="N51" s="54">
        <f t="shared" si="6"/>
        <v>105000</v>
      </c>
      <c r="O51" s="58">
        <f t="shared" si="7"/>
        <v>2937.0629370629372</v>
      </c>
      <c r="P51" s="26" t="str">
        <f t="shared" si="8"/>
        <v>MD0100090</v>
      </c>
      <c r="R51" s="171">
        <f>SUM(P21:BV21)</f>
        <v>828</v>
      </c>
      <c r="AH51" s="26">
        <v>100</v>
      </c>
      <c r="AK51" s="26">
        <f t="shared" si="9"/>
        <v>928</v>
      </c>
      <c r="AM51" s="26">
        <f t="shared" si="10"/>
        <v>15776</v>
      </c>
    </row>
    <row r="52" spans="2:39" ht="30" x14ac:dyDescent="0.25">
      <c r="D52" t="str">
        <f>BY22</f>
        <v>MD0100017</v>
      </c>
      <c r="E52" t="str">
        <f>E22</f>
        <v>FA0600020</v>
      </c>
      <c r="F52" s="26" t="str">
        <f>F22</f>
        <v>1 CORE X 300 SQ. MM. AL/UNARD. (XLPE)</v>
      </c>
      <c r="G52" s="54">
        <f>M22</f>
        <v>81.552000000000007</v>
      </c>
      <c r="H52" s="56">
        <f>CA22/1000</f>
        <v>1</v>
      </c>
      <c r="I52" s="54" t="s">
        <v>288</v>
      </c>
      <c r="J52" s="57">
        <v>35000</v>
      </c>
      <c r="K52" s="56">
        <v>8</v>
      </c>
      <c r="L52" s="54">
        <f t="shared" si="4"/>
        <v>8</v>
      </c>
      <c r="M52" s="54">
        <f t="shared" si="5"/>
        <v>11</v>
      </c>
      <c r="N52" s="54">
        <f t="shared" si="6"/>
        <v>385000</v>
      </c>
      <c r="O52" s="58">
        <f t="shared" si="7"/>
        <v>4720.9142632921321</v>
      </c>
      <c r="P52" s="26" t="str">
        <f t="shared" si="8"/>
        <v>MD0100017</v>
      </c>
      <c r="R52" s="171">
        <f>SUM(P22:BV22)</f>
        <v>1225</v>
      </c>
      <c r="AH52" s="26">
        <v>150</v>
      </c>
      <c r="AK52" s="26">
        <f t="shared" si="9"/>
        <v>1375</v>
      </c>
      <c r="AM52" s="26">
        <f t="shared" si="10"/>
        <v>11000</v>
      </c>
    </row>
    <row r="53" spans="2:39" ht="30" x14ac:dyDescent="0.25">
      <c r="C53" t="s">
        <v>346</v>
      </c>
      <c r="D53" t="str">
        <f>BY23</f>
        <v>MD0100062</v>
      </c>
      <c r="E53" t="str">
        <f>E23</f>
        <v>FA0600032</v>
      </c>
      <c r="F53" s="26" t="str">
        <f>F23</f>
        <v>1 CORE X 630 SQ. MM. ALU/UNARD (XLPE)</v>
      </c>
      <c r="G53" s="54">
        <f>M23</f>
        <v>38.704000000000001</v>
      </c>
      <c r="H53" s="56">
        <f>CA23/1000</f>
        <v>1</v>
      </c>
      <c r="I53" s="54" t="s">
        <v>288</v>
      </c>
      <c r="J53" s="57">
        <v>35000</v>
      </c>
      <c r="K53" s="56">
        <v>5</v>
      </c>
      <c r="L53" s="54">
        <f t="shared" si="4"/>
        <v>5</v>
      </c>
      <c r="M53" s="54">
        <f t="shared" si="5"/>
        <v>8</v>
      </c>
      <c r="N53" s="54">
        <f t="shared" si="6"/>
        <v>280000</v>
      </c>
      <c r="O53" s="58">
        <f t="shared" si="7"/>
        <v>7234.3943778420835</v>
      </c>
      <c r="P53" s="26" t="str">
        <f t="shared" si="8"/>
        <v>MD0100062</v>
      </c>
      <c r="R53" s="171">
        <f>SUM(P23:BV23)</f>
        <v>2391</v>
      </c>
      <c r="AH53" s="26">
        <v>365</v>
      </c>
      <c r="AK53" s="26">
        <f t="shared" si="9"/>
        <v>2756</v>
      </c>
      <c r="AM53" s="26">
        <f t="shared" si="10"/>
        <v>13780</v>
      </c>
    </row>
    <row r="54" spans="2:39" ht="30" x14ac:dyDescent="0.25">
      <c r="C54" s="174" t="s">
        <v>347</v>
      </c>
      <c r="D54" t="str">
        <f>BY24</f>
        <v>MD0100068</v>
      </c>
      <c r="E54" t="str">
        <f>E24</f>
        <v>FA0900116</v>
      </c>
      <c r="F54" s="26" t="str">
        <f>F24</f>
        <v>4 CORE X 50 SQ. MM. AL/ARD - WIRE (XLPE)</v>
      </c>
      <c r="G54" s="54">
        <f>M24</f>
        <v>26.605</v>
      </c>
      <c r="H54" s="56">
        <f>CA24/1000</f>
        <v>1</v>
      </c>
      <c r="I54" s="54" t="s">
        <v>288</v>
      </c>
      <c r="J54" s="57">
        <v>35000</v>
      </c>
      <c r="K54" s="56">
        <v>7</v>
      </c>
      <c r="L54" s="54">
        <f t="shared" si="4"/>
        <v>7</v>
      </c>
      <c r="M54" s="54">
        <f t="shared" si="5"/>
        <v>4</v>
      </c>
      <c r="N54" s="54">
        <f t="shared" si="6"/>
        <v>140000</v>
      </c>
      <c r="O54" s="58">
        <f t="shared" si="7"/>
        <v>5262.1687652696864</v>
      </c>
      <c r="P54" s="26" t="str">
        <f t="shared" si="8"/>
        <v>MD0100068</v>
      </c>
      <c r="R54" s="171">
        <f>SUM(P24:BV24)</f>
        <v>2038</v>
      </c>
      <c r="AH54" s="26">
        <v>180</v>
      </c>
      <c r="AK54" s="26">
        <f t="shared" si="9"/>
        <v>2218</v>
      </c>
      <c r="AM54" s="26">
        <f t="shared" si="10"/>
        <v>15526</v>
      </c>
    </row>
    <row r="55" spans="2:39" ht="30" x14ac:dyDescent="0.25">
      <c r="B55" s="177" t="s">
        <v>348</v>
      </c>
      <c r="C55" s="4">
        <v>24000</v>
      </c>
      <c r="D55" t="str">
        <f>BY25</f>
        <v>MD0100061</v>
      </c>
      <c r="E55" t="str">
        <f>E25</f>
        <v>FA1100094</v>
      </c>
      <c r="F55" s="26" t="str">
        <f>F25</f>
        <v>4 CORE X 95 SQ. MM. ALU/ARD - WIRE (XLPE)</v>
      </c>
      <c r="G55" s="54">
        <f>M25</f>
        <v>17.585999999999999</v>
      </c>
      <c r="H55" s="56">
        <f>CA25/1000</f>
        <v>0.5</v>
      </c>
      <c r="I55" s="54" t="s">
        <v>288</v>
      </c>
      <c r="J55" s="57">
        <v>35000</v>
      </c>
      <c r="K55" s="56">
        <v>9</v>
      </c>
      <c r="L55" s="54">
        <f t="shared" si="4"/>
        <v>4.5</v>
      </c>
      <c r="M55" s="54">
        <f t="shared" si="5"/>
        <v>4</v>
      </c>
      <c r="N55" s="54">
        <f t="shared" si="6"/>
        <v>140000</v>
      </c>
      <c r="O55" s="58">
        <f t="shared" si="7"/>
        <v>7960.8779711133866</v>
      </c>
      <c r="P55" s="26" t="str">
        <f t="shared" si="8"/>
        <v>MD0100061</v>
      </c>
      <c r="R55" s="171">
        <f>SUM(P25:BV25)</f>
        <v>3033</v>
      </c>
      <c r="AH55" s="26">
        <v>190</v>
      </c>
      <c r="AK55" s="26">
        <f t="shared" si="9"/>
        <v>1706.5</v>
      </c>
      <c r="AM55" s="26">
        <f t="shared" si="10"/>
        <v>15358.5</v>
      </c>
    </row>
    <row r="56" spans="2:39" ht="30" x14ac:dyDescent="0.25">
      <c r="B56" s="177" t="s">
        <v>349</v>
      </c>
      <c r="C56" s="4">
        <v>55000</v>
      </c>
      <c r="D56" t="str">
        <f>BY26</f>
        <v>MD0100024</v>
      </c>
      <c r="E56" t="str">
        <f>E26</f>
        <v>FA1100177</v>
      </c>
      <c r="F56" s="26" t="str">
        <f>F26</f>
        <v>4 CORE X 150 SQ. MM. AL/ARD - WIRE (XLPE)</v>
      </c>
      <c r="G56" s="54">
        <f>M26</f>
        <v>21.866</v>
      </c>
      <c r="H56" s="56">
        <f>CA26/1000</f>
        <v>0.5</v>
      </c>
      <c r="I56" s="54" t="s">
        <v>288</v>
      </c>
      <c r="J56" s="57">
        <v>35000</v>
      </c>
      <c r="K56" s="56">
        <v>5</v>
      </c>
      <c r="L56" s="54">
        <f t="shared" si="4"/>
        <v>2.5</v>
      </c>
      <c r="M56" s="54">
        <f t="shared" si="5"/>
        <v>9</v>
      </c>
      <c r="N56" s="54">
        <f t="shared" si="6"/>
        <v>315000</v>
      </c>
      <c r="O56" s="58">
        <f t="shared" si="7"/>
        <v>14405.927009969817</v>
      </c>
      <c r="P56" s="26" t="str">
        <f t="shared" si="8"/>
        <v>MD0100024</v>
      </c>
      <c r="R56" s="171">
        <f>SUM(P26:BV26)</f>
        <v>4939</v>
      </c>
      <c r="AH56" s="26">
        <v>315</v>
      </c>
      <c r="AK56" s="26">
        <f t="shared" si="9"/>
        <v>2784.5</v>
      </c>
      <c r="AM56" s="26">
        <f t="shared" si="10"/>
        <v>13922.5</v>
      </c>
    </row>
    <row r="57" spans="2:39" ht="30" x14ac:dyDescent="0.25">
      <c r="B57" s="177" t="s">
        <v>350</v>
      </c>
      <c r="C57" s="4">
        <v>28000</v>
      </c>
      <c r="D57" t="str">
        <f>BY27</f>
        <v>SP0400123</v>
      </c>
      <c r="E57" t="str">
        <f>E27</f>
        <v>FA1100091</v>
      </c>
      <c r="F57" s="26" t="str">
        <f>F27</f>
        <v>4 CORE X 240 SQ. MM. AL/ARD - WIRE (XLPE)</v>
      </c>
      <c r="G57" s="54">
        <f>M27</f>
        <v>7</v>
      </c>
      <c r="H57" s="56">
        <f>CA27/1000</f>
        <v>0.5</v>
      </c>
      <c r="I57" s="54" t="s">
        <v>288</v>
      </c>
      <c r="J57" s="57">
        <v>35000</v>
      </c>
      <c r="K57" s="126">
        <v>3</v>
      </c>
      <c r="L57" s="54">
        <f t="shared" si="4"/>
        <v>1.5</v>
      </c>
      <c r="M57" s="54">
        <f t="shared" si="5"/>
        <v>5</v>
      </c>
      <c r="N57" s="54">
        <f t="shared" si="6"/>
        <v>175000</v>
      </c>
      <c r="O57" s="58">
        <f t="shared" si="7"/>
        <v>25000</v>
      </c>
      <c r="P57" s="179" t="str">
        <f t="shared" si="8"/>
        <v>SP0400123</v>
      </c>
      <c r="R57" s="171">
        <f>SUM(P27:BV27)</f>
        <v>6837</v>
      </c>
      <c r="AH57" s="26">
        <v>280</v>
      </c>
      <c r="AK57" s="26">
        <f t="shared" si="9"/>
        <v>3698.5</v>
      </c>
      <c r="AM57" s="26">
        <f t="shared" si="10"/>
        <v>11095.5</v>
      </c>
    </row>
    <row r="58" spans="2:39" ht="30" x14ac:dyDescent="0.25">
      <c r="B58" s="177" t="s">
        <v>351</v>
      </c>
      <c r="C58" s="4">
        <v>30000</v>
      </c>
      <c r="D58" t="str">
        <f>BY28</f>
        <v>SP0400139</v>
      </c>
      <c r="E58" t="str">
        <f>E28</f>
        <v>FA1100176</v>
      </c>
      <c r="F58" s="26" t="str">
        <f>F28</f>
        <v>4 CORE X 300 SQ. MM. AL/ARD - WIRE (XLPE)</v>
      </c>
      <c r="G58" s="54">
        <f>M28</f>
        <v>34.5</v>
      </c>
      <c r="H58" s="56">
        <f>CA28/1000</f>
        <v>0.5</v>
      </c>
      <c r="I58" s="54" t="s">
        <v>288</v>
      </c>
      <c r="J58" s="57">
        <v>35000</v>
      </c>
      <c r="K58" s="126">
        <v>3</v>
      </c>
      <c r="L58" s="54">
        <f t="shared" si="4"/>
        <v>1.5</v>
      </c>
      <c r="M58" s="54">
        <f t="shared" si="5"/>
        <v>23</v>
      </c>
      <c r="N58" s="54">
        <f t="shared" si="6"/>
        <v>805000</v>
      </c>
      <c r="O58" s="58">
        <f t="shared" si="7"/>
        <v>23333.333333333332</v>
      </c>
      <c r="P58" s="179" t="str">
        <f t="shared" si="8"/>
        <v>SP0400139</v>
      </c>
      <c r="R58" s="171">
        <f>SUM(P28:BV28)</f>
        <v>8134</v>
      </c>
      <c r="AH58" s="26">
        <v>320</v>
      </c>
      <c r="AK58" s="26">
        <f t="shared" si="9"/>
        <v>4387</v>
      </c>
      <c r="AM58" s="26">
        <f t="shared" si="10"/>
        <v>13161</v>
      </c>
    </row>
    <row r="59" spans="2:39" ht="30" x14ac:dyDescent="0.25">
      <c r="B59" s="175" t="s">
        <v>352</v>
      </c>
      <c r="C59" s="176">
        <f>AVERAGE(C55:C58)</f>
        <v>34250</v>
      </c>
      <c r="D59" t="str">
        <f>BY29</f>
        <v>MD0100005</v>
      </c>
      <c r="E59" t="str">
        <f>E29</f>
        <v>FA0500017</v>
      </c>
      <c r="F59" s="26" t="str">
        <f>F29</f>
        <v>1 CORE X 50 SQ. MM. AL/UNARD. (XLPE)</v>
      </c>
      <c r="G59" s="54">
        <f>M29</f>
        <v>24.06</v>
      </c>
      <c r="H59" s="56">
        <f>CA29/1000</f>
        <v>1</v>
      </c>
      <c r="I59" s="54" t="s">
        <v>288</v>
      </c>
      <c r="J59" s="57">
        <v>35000</v>
      </c>
      <c r="K59" s="56">
        <v>40</v>
      </c>
      <c r="L59" s="54">
        <f t="shared" si="4"/>
        <v>40</v>
      </c>
      <c r="M59" s="54">
        <f t="shared" si="5"/>
        <v>1</v>
      </c>
      <c r="N59" s="54">
        <f t="shared" si="6"/>
        <v>35000</v>
      </c>
      <c r="O59" s="58">
        <f t="shared" si="7"/>
        <v>1454.6965918536991</v>
      </c>
      <c r="P59" s="26" t="str">
        <f t="shared" si="8"/>
        <v>MD0100005</v>
      </c>
      <c r="R59" s="171">
        <f>SUM(P29:BV29)</f>
        <v>282</v>
      </c>
      <c r="AH59" s="26">
        <v>65</v>
      </c>
      <c r="AK59" s="26">
        <f t="shared" si="9"/>
        <v>347</v>
      </c>
      <c r="AM59" s="26">
        <f t="shared" si="10"/>
        <v>13880</v>
      </c>
    </row>
    <row r="60" spans="2:39" ht="30" x14ac:dyDescent="0.25">
      <c r="D60" t="str">
        <f>BY30</f>
        <v>MD0100090</v>
      </c>
      <c r="E60" t="str">
        <f>E30</f>
        <v>FA0900111</v>
      </c>
      <c r="F60" s="26" t="str">
        <f>F30</f>
        <v>4 CORE X 25 SQ. MM. ALU/ARD - WIRE (XLPE)</v>
      </c>
      <c r="G60" s="54">
        <f>M30</f>
        <v>146.208</v>
      </c>
      <c r="H60" s="56">
        <f>CA30/1000</f>
        <v>1</v>
      </c>
      <c r="I60" s="54" t="s">
        <v>288</v>
      </c>
      <c r="J60" s="57">
        <v>35000</v>
      </c>
      <c r="K60" s="56">
        <v>11</v>
      </c>
      <c r="L60" s="54">
        <f t="shared" si="4"/>
        <v>11</v>
      </c>
      <c r="M60" s="54">
        <f t="shared" si="5"/>
        <v>14</v>
      </c>
      <c r="N60" s="54">
        <f t="shared" si="6"/>
        <v>490000</v>
      </c>
      <c r="O60" s="58">
        <f t="shared" si="7"/>
        <v>3351.3898008316919</v>
      </c>
      <c r="P60" s="26" t="str">
        <f t="shared" si="8"/>
        <v>MD0100090</v>
      </c>
      <c r="R60" s="171">
        <f>SUM(P30:BV30)</f>
        <v>1251</v>
      </c>
      <c r="AH60" s="26">
        <v>100</v>
      </c>
      <c r="AK60" s="26">
        <f t="shared" si="9"/>
        <v>1351</v>
      </c>
      <c r="AM60" s="26">
        <f t="shared" si="10"/>
        <v>14861</v>
      </c>
    </row>
    <row r="61" spans="2:39" ht="30" x14ac:dyDescent="0.25">
      <c r="D61" t="str">
        <f>BY31</f>
        <v>MD0100013</v>
      </c>
      <c r="E61" t="str">
        <f>E31</f>
        <v>FA0900117</v>
      </c>
      <c r="F61" s="26" t="str">
        <f>F31</f>
        <v>4 CORE X 35 SQ. MM. AL/ARD - WIRE (XLPE)</v>
      </c>
      <c r="G61" s="54">
        <f>M31</f>
        <v>88.207999999999998</v>
      </c>
      <c r="H61" s="56">
        <f>CA31/1000</f>
        <v>1</v>
      </c>
      <c r="I61" s="54" t="s">
        <v>288</v>
      </c>
      <c r="J61" s="57">
        <v>35000</v>
      </c>
      <c r="K61" s="56">
        <v>9</v>
      </c>
      <c r="L61" s="54">
        <f t="shared" si="4"/>
        <v>9</v>
      </c>
      <c r="M61" s="54">
        <f t="shared" si="5"/>
        <v>10</v>
      </c>
      <c r="N61" s="54">
        <f t="shared" si="6"/>
        <v>350000</v>
      </c>
      <c r="O61" s="58">
        <f t="shared" si="7"/>
        <v>3967.8940685652096</v>
      </c>
      <c r="P61" s="26" t="str">
        <f t="shared" si="8"/>
        <v>MD0100013</v>
      </c>
      <c r="R61" s="171">
        <f>SUM(P31:BV31)</f>
        <v>1525</v>
      </c>
      <c r="AH61" s="26">
        <v>125</v>
      </c>
      <c r="AK61" s="26">
        <f t="shared" si="9"/>
        <v>1650</v>
      </c>
      <c r="AM61" s="26">
        <f t="shared" si="10"/>
        <v>14850</v>
      </c>
    </row>
    <row r="62" spans="2:39" ht="30" x14ac:dyDescent="0.25">
      <c r="D62" t="str">
        <f>BY32</f>
        <v>MD0100066</v>
      </c>
      <c r="E62" t="str">
        <f>E32</f>
        <v>FA0900041</v>
      </c>
      <c r="F62" s="26" t="str">
        <f>F32</f>
        <v>2 CORE X 4 SQ. MM. AL/ARD - WIRE (XLPE)</v>
      </c>
      <c r="G62" s="54">
        <f>M32</f>
        <v>2077.047</v>
      </c>
      <c r="H62" s="56">
        <f>CA32/1000</f>
        <v>1</v>
      </c>
      <c r="I62" s="54" t="s">
        <v>288</v>
      </c>
      <c r="J62" s="57">
        <v>35000</v>
      </c>
      <c r="K62" s="56">
        <v>28</v>
      </c>
      <c r="L62" s="54">
        <f t="shared" si="4"/>
        <v>28</v>
      </c>
      <c r="M62" s="54">
        <f t="shared" si="5"/>
        <v>75</v>
      </c>
      <c r="N62" s="54">
        <f t="shared" si="6"/>
        <v>2625000</v>
      </c>
      <c r="O62" s="58">
        <f t="shared" si="7"/>
        <v>1263.8134813511683</v>
      </c>
      <c r="P62" s="26" t="str">
        <f t="shared" si="8"/>
        <v>MD0100066</v>
      </c>
      <c r="R62" s="171">
        <f>SUM(P32:BV32)</f>
        <v>477</v>
      </c>
      <c r="AH62" s="26">
        <v>75</v>
      </c>
      <c r="AK62" s="26">
        <f t="shared" si="9"/>
        <v>552</v>
      </c>
      <c r="AM62" s="26">
        <f t="shared" si="10"/>
        <v>15456</v>
      </c>
    </row>
    <row r="63" spans="2:39" ht="30" x14ac:dyDescent="0.25">
      <c r="D63" t="str">
        <f>BY33</f>
        <v>MD0100066</v>
      </c>
      <c r="E63" t="str">
        <f>E33</f>
        <v>FA0900020</v>
      </c>
      <c r="F63" s="26" t="str">
        <f>F33</f>
        <v>2 CORE X 6 SQ. MM. AL/ARD - WIRE (XLPE)</v>
      </c>
      <c r="G63" s="54">
        <f>M33</f>
        <v>5000</v>
      </c>
      <c r="H63" s="56">
        <f>CA33/1000</f>
        <v>1</v>
      </c>
      <c r="I63" s="54" t="s">
        <v>288</v>
      </c>
      <c r="J63" s="57">
        <v>35000</v>
      </c>
      <c r="K63" s="56">
        <v>26</v>
      </c>
      <c r="L63" s="54">
        <f t="shared" si="4"/>
        <v>26</v>
      </c>
      <c r="M63" s="54">
        <f t="shared" si="5"/>
        <v>193</v>
      </c>
      <c r="N63" s="54">
        <f t="shared" si="6"/>
        <v>6755000</v>
      </c>
      <c r="O63" s="58">
        <f t="shared" si="7"/>
        <v>1351</v>
      </c>
      <c r="P63" s="26" t="str">
        <f t="shared" si="8"/>
        <v>MD0100066</v>
      </c>
      <c r="R63" s="171">
        <f>SUM(P33:BV33)</f>
        <v>528</v>
      </c>
      <c r="AH63" s="26">
        <v>75</v>
      </c>
      <c r="AK63" s="26">
        <f t="shared" si="9"/>
        <v>603</v>
      </c>
      <c r="AM63" s="26">
        <f t="shared" si="10"/>
        <v>15678</v>
      </c>
    </row>
    <row r="64" spans="2:39" ht="30" x14ac:dyDescent="0.25">
      <c r="D64" t="str">
        <f>BY34</f>
        <v>MD0100075</v>
      </c>
      <c r="E64" t="str">
        <f>E34</f>
        <v>FA0900042</v>
      </c>
      <c r="F64" s="26" t="str">
        <f>F34</f>
        <v>2 CORE X 10 SQ. MM. ALU/ARD - WIRE (XLPE)</v>
      </c>
      <c r="G64" s="54">
        <f>M34</f>
        <v>130.04</v>
      </c>
      <c r="H64" s="56">
        <f>CA34/1000</f>
        <v>1</v>
      </c>
      <c r="I64" s="54" t="s">
        <v>288</v>
      </c>
      <c r="J64" s="57">
        <v>35000</v>
      </c>
      <c r="K64" s="56">
        <v>21</v>
      </c>
      <c r="L64" s="54">
        <f t="shared" si="4"/>
        <v>21</v>
      </c>
      <c r="M64" s="54">
        <f t="shared" si="5"/>
        <v>7</v>
      </c>
      <c r="N64" s="54">
        <f t="shared" si="6"/>
        <v>245000</v>
      </c>
      <c r="O64" s="58">
        <f t="shared" si="7"/>
        <v>1884.035681328822</v>
      </c>
      <c r="P64" s="26" t="str">
        <f t="shared" si="8"/>
        <v>MD0100075</v>
      </c>
      <c r="R64" s="171">
        <f>SUM(P34:BV34)</f>
        <v>674</v>
      </c>
      <c r="AH64" s="26">
        <v>75</v>
      </c>
      <c r="AK64" s="26">
        <f t="shared" si="9"/>
        <v>749</v>
      </c>
      <c r="AM64" s="26">
        <f t="shared" si="10"/>
        <v>15729</v>
      </c>
    </row>
    <row r="65" spans="3:39" ht="30" x14ac:dyDescent="0.25">
      <c r="D65" t="str">
        <f>BY35</f>
        <v>MD0100064</v>
      </c>
      <c r="E65" t="str">
        <f>E35</f>
        <v>FA0900112</v>
      </c>
      <c r="F65" s="26" t="str">
        <f>F35</f>
        <v>4 CORE X 10 SQ. MM. AL/ARD - WIRE (XLPE)</v>
      </c>
      <c r="G65" s="54">
        <f>M35</f>
        <v>151.83199999999999</v>
      </c>
      <c r="H65" s="56">
        <f>CA35/1000</f>
        <v>1</v>
      </c>
      <c r="I65" s="54" t="s">
        <v>288</v>
      </c>
      <c r="J65" s="57">
        <v>35000</v>
      </c>
      <c r="K65" s="56">
        <v>18</v>
      </c>
      <c r="L65" s="54">
        <f t="shared" si="4"/>
        <v>18</v>
      </c>
      <c r="M65" s="54">
        <f t="shared" si="5"/>
        <v>9</v>
      </c>
      <c r="N65" s="54">
        <f t="shared" si="6"/>
        <v>315000.00000000006</v>
      </c>
      <c r="O65" s="58">
        <f t="shared" si="7"/>
        <v>2074.6614679382478</v>
      </c>
      <c r="P65" s="26" t="str">
        <f t="shared" si="8"/>
        <v>MD0100064</v>
      </c>
      <c r="R65" s="171">
        <f>SUM(P35:BV35)</f>
        <v>734.5</v>
      </c>
      <c r="AH65" s="26">
        <v>75</v>
      </c>
      <c r="AK65" s="26">
        <f t="shared" si="9"/>
        <v>809.5</v>
      </c>
      <c r="AM65" s="26">
        <f t="shared" si="10"/>
        <v>14571</v>
      </c>
    </row>
    <row r="66" spans="3:39" ht="30" x14ac:dyDescent="0.25">
      <c r="D66" t="str">
        <f>BY36</f>
        <v>MD0100005</v>
      </c>
      <c r="E66" t="str">
        <f>E36</f>
        <v>FA0200011</v>
      </c>
      <c r="F66" s="26" t="str">
        <f>F36</f>
        <v>4 CORE X 2.5 SQ. MM. CU/ARD - WIRE (PVC)</v>
      </c>
      <c r="G66" s="54">
        <f>M36</f>
        <v>61.67</v>
      </c>
      <c r="H66" s="56">
        <f>CA36/1000</f>
        <v>0.5</v>
      </c>
      <c r="I66" s="54" t="s">
        <v>288</v>
      </c>
      <c r="J66" s="57">
        <v>35000</v>
      </c>
      <c r="K66" s="56">
        <v>36</v>
      </c>
      <c r="L66" s="54">
        <f t="shared" si="4"/>
        <v>18</v>
      </c>
      <c r="M66" s="54">
        <f t="shared" si="5"/>
        <v>4</v>
      </c>
      <c r="N66" s="54">
        <f t="shared" si="6"/>
        <v>140000</v>
      </c>
      <c r="O66" s="58">
        <f t="shared" si="7"/>
        <v>2270.1475595913735</v>
      </c>
      <c r="P66" s="26" t="str">
        <f t="shared" si="8"/>
        <v>MD0100005</v>
      </c>
      <c r="R66" s="171">
        <f>SUM(P36:BV36)</f>
        <v>564</v>
      </c>
      <c r="AH66" s="26">
        <v>65</v>
      </c>
      <c r="AK66" s="26">
        <f t="shared" si="9"/>
        <v>347</v>
      </c>
      <c r="AM66" s="26">
        <f t="shared" si="10"/>
        <v>12492</v>
      </c>
    </row>
    <row r="67" spans="3:39" ht="30" x14ac:dyDescent="0.25">
      <c r="D67" t="str">
        <f>BY37</f>
        <v>MD0100005</v>
      </c>
      <c r="E67" t="str">
        <f>E37</f>
        <v>FA0200018</v>
      </c>
      <c r="F67" s="26" t="str">
        <f>F37</f>
        <v>7 CORE X 2.5 SQ. MM. CU/ARD - WIRE (PVC)</v>
      </c>
      <c r="G67" s="54">
        <f>M37</f>
        <v>98.844999999999999</v>
      </c>
      <c r="H67" s="56">
        <f>CA37/1000</f>
        <v>0.5</v>
      </c>
      <c r="I67" s="54" t="s">
        <v>288</v>
      </c>
      <c r="J67" s="57">
        <v>35000</v>
      </c>
      <c r="K67" s="56">
        <v>36</v>
      </c>
      <c r="L67" s="54">
        <f t="shared" si="4"/>
        <v>18</v>
      </c>
      <c r="M67" s="54">
        <f t="shared" si="5"/>
        <v>6</v>
      </c>
      <c r="N67" s="54">
        <f t="shared" si="6"/>
        <v>210000.00000000003</v>
      </c>
      <c r="O67" s="58">
        <f t="shared" si="7"/>
        <v>2124.5384187364057</v>
      </c>
      <c r="P67" s="26" t="str">
        <f t="shared" si="8"/>
        <v>MD0100005</v>
      </c>
      <c r="R67" s="171">
        <f>SUM(P37:BV37)</f>
        <v>755</v>
      </c>
      <c r="AH67" s="26">
        <v>65</v>
      </c>
      <c r="AK67" s="26">
        <f t="shared" si="9"/>
        <v>442.5</v>
      </c>
      <c r="AM67" s="26">
        <f t="shared" si="10"/>
        <v>15930</v>
      </c>
    </row>
    <row r="68" spans="3:39" ht="30" x14ac:dyDescent="0.25">
      <c r="D68" t="str">
        <f>BY38</f>
        <v>MD0100066</v>
      </c>
      <c r="E68" t="str">
        <f>E38</f>
        <v>FA0200002</v>
      </c>
      <c r="F68" s="26" t="str">
        <f>F38</f>
        <v>10 CORE X 2.5 SQ. MM. CU/ARD - WIRE (PVC)</v>
      </c>
      <c r="G68" s="54">
        <f>M38</f>
        <v>78.965000000000003</v>
      </c>
      <c r="H68" s="56">
        <f>CA38/1000</f>
        <v>0.5</v>
      </c>
      <c r="I68" s="54" t="s">
        <v>288</v>
      </c>
      <c r="J68" s="57">
        <v>35000</v>
      </c>
      <c r="K68" s="56">
        <v>26</v>
      </c>
      <c r="L68" s="54">
        <f t="shared" si="4"/>
        <v>13</v>
      </c>
      <c r="M68" s="54">
        <f t="shared" si="5"/>
        <v>7</v>
      </c>
      <c r="N68" s="54">
        <f t="shared" si="6"/>
        <v>245000</v>
      </c>
      <c r="O68" s="58">
        <f t="shared" si="7"/>
        <v>3102.6404103083642</v>
      </c>
      <c r="P68" s="26" t="str">
        <f t="shared" si="8"/>
        <v>MD0100066</v>
      </c>
      <c r="R68" s="171">
        <f>SUM(P38:BV38)</f>
        <v>1080</v>
      </c>
      <c r="AH68" s="26">
        <v>75</v>
      </c>
      <c r="AK68" s="26">
        <f t="shared" si="9"/>
        <v>615</v>
      </c>
      <c r="AM68" s="26">
        <f t="shared" si="10"/>
        <v>15990</v>
      </c>
    </row>
    <row r="69" spans="3:39" ht="30" x14ac:dyDescent="0.25">
      <c r="D69" t="str">
        <f>BY39</f>
        <v>MD0100066</v>
      </c>
      <c r="E69" t="str">
        <f>E39</f>
        <v>FA0200003</v>
      </c>
      <c r="F69" s="26" t="str">
        <f>F39</f>
        <v>12 CORE X 2.5 SQ. MM. CU/ARD - WIRE (PVC)</v>
      </c>
      <c r="G69" s="54">
        <f>M39</f>
        <v>39</v>
      </c>
      <c r="H69" s="56">
        <f>CA39/1000</f>
        <v>0.5</v>
      </c>
      <c r="I69" s="54" t="s">
        <v>288</v>
      </c>
      <c r="J69" s="57">
        <v>35000</v>
      </c>
      <c r="K69" s="56">
        <v>24</v>
      </c>
      <c r="L69" s="54">
        <f t="shared" si="4"/>
        <v>12</v>
      </c>
      <c r="M69" s="54">
        <f t="shared" si="5"/>
        <v>4</v>
      </c>
      <c r="N69" s="54">
        <f t="shared" si="6"/>
        <v>140000</v>
      </c>
      <c r="O69" s="58">
        <f t="shared" si="7"/>
        <v>3589.7435897435898</v>
      </c>
      <c r="P69" s="26" t="str">
        <f t="shared" si="8"/>
        <v>MD0100066</v>
      </c>
      <c r="R69" s="171">
        <f>SUM(P39:BV39)</f>
        <v>1176</v>
      </c>
      <c r="AH69" s="26">
        <v>75</v>
      </c>
      <c r="AK69" s="26">
        <f t="shared" si="9"/>
        <v>663</v>
      </c>
      <c r="AM69" s="26">
        <f t="shared" si="10"/>
        <v>15912</v>
      </c>
    </row>
    <row r="70" spans="3:39" ht="30" x14ac:dyDescent="0.25">
      <c r="D70" t="str">
        <f>BY40</f>
        <v>MD0100075</v>
      </c>
      <c r="E70" t="str">
        <f>E40</f>
        <v>FA0200005</v>
      </c>
      <c r="F70" s="26" t="str">
        <f>F40</f>
        <v>16 CORE X 2.5 SQ. MM. CU/ARD - WIRE (PVC)</v>
      </c>
      <c r="G70" s="54">
        <f>M40</f>
        <v>28</v>
      </c>
      <c r="H70" s="56">
        <f>CA40/1000</f>
        <v>0.5</v>
      </c>
      <c r="I70" s="54" t="s">
        <v>288</v>
      </c>
      <c r="J70" s="57">
        <v>35000</v>
      </c>
      <c r="K70" s="56">
        <v>19</v>
      </c>
      <c r="L70" s="54">
        <f t="shared" si="4"/>
        <v>9.5</v>
      </c>
      <c r="M70" s="54">
        <f t="shared" si="5"/>
        <v>3</v>
      </c>
      <c r="N70" s="54">
        <f t="shared" si="6"/>
        <v>105000</v>
      </c>
      <c r="O70" s="58">
        <f t="shared" si="7"/>
        <v>3750</v>
      </c>
      <c r="P70" s="26" t="str">
        <f t="shared" si="8"/>
        <v>MD0100075</v>
      </c>
      <c r="R70" s="171">
        <f>SUM(P40:BV40)</f>
        <v>1400</v>
      </c>
      <c r="AH70" s="26">
        <v>100</v>
      </c>
      <c r="AK70" s="26">
        <f t="shared" si="9"/>
        <v>800</v>
      </c>
      <c r="AM70" s="26">
        <f t="shared" si="10"/>
        <v>15200</v>
      </c>
    </row>
    <row r="71" spans="3:39" ht="30" x14ac:dyDescent="0.25">
      <c r="D71" t="str">
        <f>BY41</f>
        <v>MD0100005</v>
      </c>
      <c r="E71" t="str">
        <f>E41</f>
        <v>FA0900024</v>
      </c>
      <c r="F71" s="26" t="str">
        <f>F41</f>
        <v>4 CORE X 4 SQ. MM. CU/ARD - WIRE (PVC)</v>
      </c>
      <c r="G71" s="54">
        <f>M41</f>
        <v>1</v>
      </c>
      <c r="H71" s="56">
        <f>CA41/1000</f>
        <v>0.5</v>
      </c>
      <c r="I71" s="54" t="s">
        <v>288</v>
      </c>
      <c r="J71" s="57">
        <v>35000</v>
      </c>
      <c r="K71" s="56">
        <v>36</v>
      </c>
      <c r="L71" s="54">
        <f t="shared" si="4"/>
        <v>18</v>
      </c>
      <c r="M71" s="54">
        <f t="shared" si="5"/>
        <v>1</v>
      </c>
      <c r="N71" s="54">
        <f t="shared" si="6"/>
        <v>35000</v>
      </c>
      <c r="O71" s="58">
        <f t="shared" si="7"/>
        <v>35000</v>
      </c>
      <c r="P71" s="26" t="str">
        <f t="shared" si="8"/>
        <v>MD0100005</v>
      </c>
      <c r="R71" s="171">
        <f>SUM(P41:BV41)</f>
        <v>729</v>
      </c>
      <c r="AH71" s="26">
        <v>65</v>
      </c>
      <c r="AK71" s="26">
        <f t="shared" si="9"/>
        <v>429.5</v>
      </c>
      <c r="AM71" s="26">
        <f t="shared" si="10"/>
        <v>15462</v>
      </c>
    </row>
    <row r="72" spans="3:39" ht="30" x14ac:dyDescent="0.25">
      <c r="D72" t="str">
        <f>BY42</f>
        <v>MD0100090</v>
      </c>
      <c r="E72" t="str">
        <f>E42</f>
        <v>FA0900132</v>
      </c>
      <c r="F72" s="26" t="str">
        <f>F42</f>
        <v>4 CORE X 16 SQ. MM. AL/ARD - WIRE (XLPE)</v>
      </c>
      <c r="G72" s="54">
        <f>M42</f>
        <v>1.5</v>
      </c>
      <c r="H72" s="56">
        <f>CA42/1000</f>
        <v>1</v>
      </c>
      <c r="I72" s="54" t="s">
        <v>288</v>
      </c>
      <c r="J72" s="57">
        <v>35000</v>
      </c>
      <c r="K72" s="56">
        <v>15</v>
      </c>
      <c r="L72" s="54">
        <f t="shared" si="4"/>
        <v>15</v>
      </c>
      <c r="M72" s="54">
        <f t="shared" si="5"/>
        <v>1</v>
      </c>
      <c r="N72" s="54">
        <f t="shared" si="6"/>
        <v>35000</v>
      </c>
      <c r="O72" s="58">
        <f t="shared" si="7"/>
        <v>23333.333333333332</v>
      </c>
      <c r="P72" s="26" t="str">
        <f t="shared" si="8"/>
        <v>MD0100090</v>
      </c>
      <c r="R72" s="171">
        <f>SUM(P42:BV42)</f>
        <v>909</v>
      </c>
      <c r="AH72" s="26">
        <v>125</v>
      </c>
      <c r="AK72" s="26">
        <f t="shared" si="9"/>
        <v>1034</v>
      </c>
      <c r="AM72" s="26">
        <f t="shared" si="10"/>
        <v>15510</v>
      </c>
    </row>
    <row r="73" spans="3:39" ht="30" x14ac:dyDescent="0.25">
      <c r="D73" t="str">
        <f>BY43</f>
        <v>MD0100005</v>
      </c>
      <c r="E73" t="str">
        <f>E43</f>
        <v>FA0800001</v>
      </c>
      <c r="F73" s="26" t="str">
        <f>F43</f>
        <v>1 CORE X 16 SQ. MM. AL/ARD. (XLPE)</v>
      </c>
      <c r="G73" s="54">
        <f>M43</f>
        <v>0.5</v>
      </c>
      <c r="H73" s="56">
        <f>CA43/1000</f>
        <v>1</v>
      </c>
      <c r="I73" s="54" t="s">
        <v>288</v>
      </c>
      <c r="J73" s="57">
        <v>35000</v>
      </c>
      <c r="K73" s="56">
        <v>36</v>
      </c>
      <c r="L73" s="54">
        <f t="shared" si="4"/>
        <v>36</v>
      </c>
      <c r="M73" s="54">
        <f t="shared" si="5"/>
        <v>1</v>
      </c>
      <c r="N73" s="54">
        <f t="shared" si="6"/>
        <v>35000</v>
      </c>
      <c r="O73" s="58">
        <f t="shared" si="7"/>
        <v>70000</v>
      </c>
      <c r="P73" s="26" t="str">
        <f t="shared" si="8"/>
        <v>MD0100005</v>
      </c>
      <c r="R73" s="171">
        <f>SUM(P43:BV43)</f>
        <v>224</v>
      </c>
      <c r="AH73" s="26">
        <v>85</v>
      </c>
      <c r="AK73" s="26">
        <f t="shared" si="9"/>
        <v>309</v>
      </c>
      <c r="AM73" s="26">
        <f t="shared" si="10"/>
        <v>11124</v>
      </c>
    </row>
    <row r="74" spans="3:39" ht="30" x14ac:dyDescent="0.25">
      <c r="D74" t="str">
        <f>BY44</f>
        <v>MD0100064</v>
      </c>
      <c r="E74" t="str">
        <f>E44</f>
        <v>FA0900133</v>
      </c>
      <c r="F74" s="26" t="str">
        <f>F44</f>
        <v>2 CORE X 16 SQ. MM. AL/ARD - WIRE (XLPE)</v>
      </c>
      <c r="G74" s="54">
        <f>M44</f>
        <v>0.5</v>
      </c>
      <c r="H74" s="56">
        <f>CA44/1000</f>
        <v>1</v>
      </c>
      <c r="I74" s="54" t="s">
        <v>288</v>
      </c>
      <c r="J74" s="57">
        <v>35000</v>
      </c>
      <c r="K74" s="56">
        <v>16</v>
      </c>
      <c r="L74" s="54">
        <f t="shared" si="4"/>
        <v>16</v>
      </c>
      <c r="M74" s="54">
        <f t="shared" si="5"/>
        <v>1</v>
      </c>
      <c r="N74" s="54">
        <f t="shared" si="6"/>
        <v>35000</v>
      </c>
      <c r="O74" s="58">
        <f t="shared" si="7"/>
        <v>70000</v>
      </c>
      <c r="P74" s="26" t="str">
        <f t="shared" si="8"/>
        <v>MD0100064</v>
      </c>
      <c r="R74" s="171">
        <f>SUM(P44:BV44)</f>
        <v>872</v>
      </c>
      <c r="AH74" s="26">
        <v>100</v>
      </c>
      <c r="AK74" s="26">
        <f t="shared" si="9"/>
        <v>972</v>
      </c>
      <c r="AM74" s="26">
        <f t="shared" si="10"/>
        <v>15552</v>
      </c>
    </row>
    <row r="75" spans="3:39" ht="30" x14ac:dyDescent="0.25">
      <c r="D75" t="str">
        <f>BY45</f>
        <v>MD0100013</v>
      </c>
      <c r="E75" t="str">
        <f>E45</f>
        <v>FA0900160</v>
      </c>
      <c r="F75" s="26" t="str">
        <f>F45</f>
        <v>2 CORE X 50 SQ. MM. AL/ARD - WIRE (XLPE)</v>
      </c>
      <c r="G75" s="54">
        <f>M45</f>
        <v>0.5</v>
      </c>
      <c r="H75" s="56">
        <f>CA45/1000</f>
        <v>1</v>
      </c>
      <c r="I75" s="54" t="s">
        <v>288</v>
      </c>
      <c r="J75" s="57">
        <v>35000</v>
      </c>
      <c r="K75" s="56">
        <v>8</v>
      </c>
      <c r="L75" s="54">
        <f t="shared" si="4"/>
        <v>8</v>
      </c>
      <c r="M75" s="54">
        <f t="shared" si="5"/>
        <v>1</v>
      </c>
      <c r="N75" s="54">
        <f t="shared" si="6"/>
        <v>35000</v>
      </c>
      <c r="O75" s="58">
        <f t="shared" si="7"/>
        <v>70000</v>
      </c>
      <c r="P75" s="26" t="str">
        <f t="shared" si="8"/>
        <v>MD0100013</v>
      </c>
      <c r="R75" s="171">
        <f>SUM(P45:BV45)</f>
        <v>1650</v>
      </c>
      <c r="AH75" s="26">
        <v>150</v>
      </c>
      <c r="AK75" s="26">
        <f t="shared" si="9"/>
        <v>1800</v>
      </c>
      <c r="AM75" s="26">
        <f t="shared" si="10"/>
        <v>14400</v>
      </c>
    </row>
    <row r="78" spans="3:39" ht="51" x14ac:dyDescent="0.25">
      <c r="C78" s="18" t="s">
        <v>0</v>
      </c>
      <c r="D78" s="18" t="s">
        <v>99</v>
      </c>
      <c r="E78" s="18" t="s">
        <v>1</v>
      </c>
      <c r="F78" s="18" t="s">
        <v>2</v>
      </c>
      <c r="G78" s="5" t="s">
        <v>341</v>
      </c>
      <c r="H78" s="13" t="s">
        <v>342</v>
      </c>
      <c r="I78" s="13" t="s">
        <v>343</v>
      </c>
      <c r="J78" s="6" t="s">
        <v>37</v>
      </c>
      <c r="K78" s="13" t="s">
        <v>38</v>
      </c>
      <c r="L78" s="13" t="s">
        <v>344</v>
      </c>
      <c r="M78" s="13" t="s">
        <v>40</v>
      </c>
      <c r="N78" s="13" t="s">
        <v>41</v>
      </c>
      <c r="O78" s="13" t="s">
        <v>42</v>
      </c>
    </row>
    <row r="79" spans="3:39" x14ac:dyDescent="0.25">
      <c r="C79" s="27"/>
      <c r="D79" s="27"/>
      <c r="E79" s="27"/>
      <c r="F79" s="27"/>
      <c r="G79" s="5"/>
      <c r="H79" s="5"/>
      <c r="I79" s="5"/>
      <c r="J79" s="5"/>
      <c r="K79" s="5"/>
      <c r="L79" s="5"/>
      <c r="M79" s="5"/>
      <c r="N79" s="5"/>
      <c r="O79" s="5"/>
    </row>
    <row r="80" spans="3:39" ht="30" x14ac:dyDescent="0.25">
      <c r="C80" s="1" t="str">
        <f>C19</f>
        <v>ENQ-15115-22-23</v>
      </c>
      <c r="D80" s="47">
        <f>D19</f>
        <v>45658</v>
      </c>
      <c r="E80" s="1" t="str">
        <f>E19</f>
        <v>FA0600013</v>
      </c>
      <c r="F80" s="1" t="str">
        <f>F19</f>
        <v>1 CORE X 95 SQ. MM. AL/UNARD(XLPE )</v>
      </c>
      <c r="G80" s="3">
        <f>ROUNDUP(G19/1000,2)</f>
        <v>104.74000000000001</v>
      </c>
      <c r="H80" s="59">
        <f>ROUNDUP(H19/1000,2)</f>
        <v>1.33</v>
      </c>
      <c r="I80" s="9">
        <f>G80+H80</f>
        <v>106.07000000000001</v>
      </c>
      <c r="J80" s="7">
        <f>J19</f>
        <v>0.18</v>
      </c>
      <c r="K80" s="9">
        <f>ROUND(I80*J80,2)</f>
        <v>19.09</v>
      </c>
      <c r="L80" s="9">
        <f>ROUND(I80+K80,2)</f>
        <v>125.16</v>
      </c>
      <c r="M80" s="1">
        <f>M19*1000</f>
        <v>79532</v>
      </c>
      <c r="N80" s="1" t="s">
        <v>345</v>
      </c>
      <c r="O80" s="3">
        <f t="shared" ref="O80:O106" si="11">L80*M80</f>
        <v>9954225.1199999992</v>
      </c>
    </row>
    <row r="81" spans="3:15" ht="30" x14ac:dyDescent="0.25">
      <c r="C81" s="1" t="str">
        <f t="shared" ref="C81:F106" si="12">C20</f>
        <v>ENQ-15115-22-23</v>
      </c>
      <c r="D81" s="47">
        <f t="shared" si="12"/>
        <v>45658</v>
      </c>
      <c r="E81" s="1" t="str">
        <f t="shared" si="12"/>
        <v>FA0600019</v>
      </c>
      <c r="F81" s="1" t="str">
        <f t="shared" si="12"/>
        <v>1 CORE X 150 SQ. MM. AL/UNARD. (XLPE)</v>
      </c>
      <c r="G81" s="3">
        <f t="shared" ref="G81:H106" si="13">ROUNDUP(G20/1000,2)</f>
        <v>168.26</v>
      </c>
      <c r="H81" s="59">
        <f>ROUNDUP(H20/1000,2)</f>
        <v>1.84</v>
      </c>
      <c r="I81" s="9">
        <f>G81+H81</f>
        <v>170.1</v>
      </c>
      <c r="J81" s="7">
        <f t="shared" ref="J81:J106" si="14">J20</f>
        <v>0.18</v>
      </c>
      <c r="K81" s="9">
        <f>ROUND(I81*J81,2)</f>
        <v>30.62</v>
      </c>
      <c r="L81" s="9">
        <f t="shared" ref="L81:L106" si="15">ROUND(I81+K81,2)</f>
        <v>200.72</v>
      </c>
      <c r="M81" s="1">
        <f t="shared" ref="M81:M106" si="16">M20*1000</f>
        <v>57308</v>
      </c>
      <c r="N81" s="1" t="s">
        <v>345</v>
      </c>
      <c r="O81" s="3">
        <f t="shared" si="11"/>
        <v>11502861.76</v>
      </c>
    </row>
    <row r="82" spans="3:15" ht="30" x14ac:dyDescent="0.25">
      <c r="C82" s="1" t="str">
        <f t="shared" si="12"/>
        <v>ENQ-15115-22-23</v>
      </c>
      <c r="D82" s="47">
        <f t="shared" si="12"/>
        <v>45658</v>
      </c>
      <c r="E82" s="1" t="str">
        <f t="shared" si="12"/>
        <v>FA0600021</v>
      </c>
      <c r="F82" s="1" t="str">
        <f t="shared" si="12"/>
        <v>1 CORE X 185 SQ. MM. AL/UNARD. (XLPE)</v>
      </c>
      <c r="G82" s="3">
        <f t="shared" si="13"/>
        <v>206.35999999999999</v>
      </c>
      <c r="H82" s="59">
        <f>ROUNDUP(H21/1000,2)</f>
        <v>2.94</v>
      </c>
      <c r="I82" s="9">
        <f>G82+H82</f>
        <v>209.29999999999998</v>
      </c>
      <c r="J82" s="7">
        <f t="shared" si="14"/>
        <v>0.18</v>
      </c>
      <c r="K82" s="9">
        <f>ROUND(I82*J82,2)</f>
        <v>37.67</v>
      </c>
      <c r="L82" s="9">
        <f t="shared" si="15"/>
        <v>246.97</v>
      </c>
      <c r="M82" s="1">
        <f t="shared" si="16"/>
        <v>35750</v>
      </c>
      <c r="N82" s="1" t="s">
        <v>345</v>
      </c>
      <c r="O82" s="3">
        <f t="shared" si="11"/>
        <v>8829177.5</v>
      </c>
    </row>
    <row r="83" spans="3:15" ht="30" x14ac:dyDescent="0.25">
      <c r="C83" s="1" t="str">
        <f t="shared" si="12"/>
        <v>ENQ-15115-22-23</v>
      </c>
      <c r="D83" s="47">
        <f t="shared" si="12"/>
        <v>45658</v>
      </c>
      <c r="E83" s="1" t="str">
        <f t="shared" si="12"/>
        <v>FA0600020</v>
      </c>
      <c r="F83" s="1" t="str">
        <f t="shared" si="12"/>
        <v>1 CORE X 300 SQ. MM. AL/UNARD. (XLPE)</v>
      </c>
      <c r="G83" s="3">
        <f t="shared" si="13"/>
        <v>318.75</v>
      </c>
      <c r="H83" s="59">
        <f>ROUNDUP(H22/1000,2)</f>
        <v>4.7299999999999995</v>
      </c>
      <c r="I83" s="9">
        <f>G83+H83</f>
        <v>323.48</v>
      </c>
      <c r="J83" s="7">
        <f t="shared" si="14"/>
        <v>0.18</v>
      </c>
      <c r="K83" s="9">
        <f>ROUND(I83*J83,2)</f>
        <v>58.23</v>
      </c>
      <c r="L83" s="9">
        <f t="shared" si="15"/>
        <v>381.71</v>
      </c>
      <c r="M83" s="1">
        <f t="shared" si="16"/>
        <v>81552</v>
      </c>
      <c r="N83" s="1" t="s">
        <v>345</v>
      </c>
      <c r="O83" s="3">
        <f t="shared" si="11"/>
        <v>31129213.919999998</v>
      </c>
    </row>
    <row r="84" spans="3:15" ht="30" x14ac:dyDescent="0.25">
      <c r="C84" s="1" t="str">
        <f t="shared" si="12"/>
        <v>ENQ-15115-22-23</v>
      </c>
      <c r="D84" s="47">
        <f t="shared" si="12"/>
        <v>45658</v>
      </c>
      <c r="E84" s="1" t="str">
        <f t="shared" si="12"/>
        <v>FA0600032</v>
      </c>
      <c r="F84" s="1" t="str">
        <f t="shared" si="12"/>
        <v>1 CORE X 630 SQ. MM. ALU/UNARD (XLPE)</v>
      </c>
      <c r="G84" s="3">
        <f t="shared" si="13"/>
        <v>643.54</v>
      </c>
      <c r="H84" s="59">
        <f>ROUNDUP(H23/1000,2)</f>
        <v>7.24</v>
      </c>
      <c r="I84" s="9">
        <f>G84+H84</f>
        <v>650.78</v>
      </c>
      <c r="J84" s="7">
        <f t="shared" si="14"/>
        <v>0.18</v>
      </c>
      <c r="K84" s="9">
        <f>ROUND(I84*J84,2)</f>
        <v>117.14</v>
      </c>
      <c r="L84" s="9">
        <f t="shared" si="15"/>
        <v>767.92</v>
      </c>
      <c r="M84" s="1">
        <f t="shared" si="16"/>
        <v>38704</v>
      </c>
      <c r="N84" s="1" t="s">
        <v>345</v>
      </c>
      <c r="O84" s="3">
        <f t="shared" si="11"/>
        <v>29721575.68</v>
      </c>
    </row>
    <row r="85" spans="3:15" ht="30" x14ac:dyDescent="0.25">
      <c r="C85" s="1" t="str">
        <f t="shared" si="12"/>
        <v>ENQ-15115-22-23</v>
      </c>
      <c r="D85" s="47">
        <f t="shared" si="12"/>
        <v>45658</v>
      </c>
      <c r="E85" s="1" t="str">
        <f t="shared" si="12"/>
        <v>FA0900116</v>
      </c>
      <c r="F85" s="1" t="str">
        <f t="shared" si="12"/>
        <v>4 CORE X 50 SQ. MM. AL/ARD - WIRE (XLPE)</v>
      </c>
      <c r="G85" s="3">
        <f t="shared" si="13"/>
        <v>343.82</v>
      </c>
      <c r="H85" s="59">
        <f>ROUNDUP(H24/1000,2)</f>
        <v>5.27</v>
      </c>
      <c r="I85" s="9">
        <f>G85+H85</f>
        <v>349.09</v>
      </c>
      <c r="J85" s="7">
        <f t="shared" si="14"/>
        <v>0.18</v>
      </c>
      <c r="K85" s="9">
        <f>ROUND(I85*J85,2)</f>
        <v>62.84</v>
      </c>
      <c r="L85" s="9">
        <f t="shared" si="15"/>
        <v>411.93</v>
      </c>
      <c r="M85" s="1">
        <f t="shared" si="16"/>
        <v>26605</v>
      </c>
      <c r="N85" s="1" t="s">
        <v>345</v>
      </c>
      <c r="O85" s="3">
        <f t="shared" si="11"/>
        <v>10959397.65</v>
      </c>
    </row>
    <row r="86" spans="3:15" ht="30" x14ac:dyDescent="0.25">
      <c r="C86" s="1" t="str">
        <f t="shared" si="12"/>
        <v>ENQ-15115-22-23</v>
      </c>
      <c r="D86" s="47">
        <f t="shared" si="12"/>
        <v>45658</v>
      </c>
      <c r="E86" s="1" t="str">
        <f t="shared" si="12"/>
        <v>FA1100094</v>
      </c>
      <c r="F86" s="1" t="str">
        <f t="shared" si="12"/>
        <v>4 CORE X 95 SQ. MM. ALU/ARD - WIRE (XLPE)</v>
      </c>
      <c r="G86" s="3">
        <f t="shared" si="13"/>
        <v>562.65</v>
      </c>
      <c r="H86" s="59">
        <f>ROUNDUP(H25/1000,2)</f>
        <v>7.97</v>
      </c>
      <c r="I86" s="9">
        <f>G86+H86</f>
        <v>570.62</v>
      </c>
      <c r="J86" s="7">
        <f t="shared" si="14"/>
        <v>0.18</v>
      </c>
      <c r="K86" s="9">
        <f>ROUND(I86*J86,2)</f>
        <v>102.71</v>
      </c>
      <c r="L86" s="9">
        <f t="shared" si="15"/>
        <v>673.33</v>
      </c>
      <c r="M86" s="1">
        <f t="shared" si="16"/>
        <v>17586</v>
      </c>
      <c r="N86" s="1" t="s">
        <v>345</v>
      </c>
      <c r="O86" s="3">
        <f t="shared" si="11"/>
        <v>11841181.380000001</v>
      </c>
    </row>
    <row r="87" spans="3:15" ht="30" x14ac:dyDescent="0.25">
      <c r="C87" s="1" t="str">
        <f t="shared" si="12"/>
        <v>ENQ-15115-22-23</v>
      </c>
      <c r="D87" s="47">
        <f t="shared" si="12"/>
        <v>45658</v>
      </c>
      <c r="E87" s="1" t="str">
        <f t="shared" si="12"/>
        <v>FA1100177</v>
      </c>
      <c r="F87" s="1" t="str">
        <f t="shared" si="12"/>
        <v>4 CORE X 150 SQ. MM. AL/ARD - WIRE (XLPE)</v>
      </c>
      <c r="G87" s="3">
        <f t="shared" si="13"/>
        <v>915.21</v>
      </c>
      <c r="H87" s="59">
        <f>ROUNDUP(H26/1000,2)</f>
        <v>14.41</v>
      </c>
      <c r="I87" s="9">
        <f>G87+H87</f>
        <v>929.62</v>
      </c>
      <c r="J87" s="7">
        <f t="shared" si="14"/>
        <v>0.18</v>
      </c>
      <c r="K87" s="9">
        <f>ROUND(I87*J87,2)</f>
        <v>167.33</v>
      </c>
      <c r="L87" s="9">
        <f t="shared" si="15"/>
        <v>1096.95</v>
      </c>
      <c r="M87" s="1">
        <f t="shared" si="16"/>
        <v>21866</v>
      </c>
      <c r="N87" s="1" t="s">
        <v>345</v>
      </c>
      <c r="O87" s="3">
        <f t="shared" si="11"/>
        <v>23985908.699999999</v>
      </c>
    </row>
    <row r="88" spans="3:15" ht="30" x14ac:dyDescent="0.25">
      <c r="C88" s="1" t="str">
        <f t="shared" si="12"/>
        <v>ENQ-15115-22-23</v>
      </c>
      <c r="D88" s="47">
        <f t="shared" si="12"/>
        <v>45658</v>
      </c>
      <c r="E88" s="1" t="str">
        <f t="shared" si="12"/>
        <v>FA1100091</v>
      </c>
      <c r="F88" s="1" t="str">
        <f t="shared" si="12"/>
        <v>4 CORE X 240 SQ. MM. AL/ARD - WIRE (XLPE)</v>
      </c>
      <c r="G88" s="3">
        <f t="shared" si="13"/>
        <v>1367.57</v>
      </c>
      <c r="H88" s="59">
        <f>ROUNDUP(H27/1000,2)</f>
        <v>25</v>
      </c>
      <c r="I88" s="172">
        <f>G88+H88</f>
        <v>1392.57</v>
      </c>
      <c r="J88" s="7">
        <f t="shared" si="14"/>
        <v>0.18</v>
      </c>
      <c r="K88" s="9">
        <f>ROUND(I88*J88,2)</f>
        <v>250.66</v>
      </c>
      <c r="L88" s="9">
        <f t="shared" si="15"/>
        <v>1643.23</v>
      </c>
      <c r="M88" s="1">
        <f t="shared" si="16"/>
        <v>7000</v>
      </c>
      <c r="N88" s="1" t="s">
        <v>345</v>
      </c>
      <c r="O88" s="3">
        <f t="shared" si="11"/>
        <v>11502610</v>
      </c>
    </row>
    <row r="89" spans="3:15" ht="30" x14ac:dyDescent="0.25">
      <c r="C89" s="1" t="str">
        <f t="shared" si="12"/>
        <v>ENQ-15115-22-23</v>
      </c>
      <c r="D89" s="47">
        <f t="shared" si="12"/>
        <v>45658</v>
      </c>
      <c r="E89" s="1" t="str">
        <f t="shared" si="12"/>
        <v>FA1100176</v>
      </c>
      <c r="F89" s="1" t="str">
        <f t="shared" si="12"/>
        <v>4 CORE X 300 SQ. MM. AL/ARD - WIRE (XLPE)</v>
      </c>
      <c r="G89" s="3">
        <f t="shared" si="13"/>
        <v>1683.37</v>
      </c>
      <c r="H89" s="59">
        <f>ROUNDUP(H28/1000,2)</f>
        <v>23.34</v>
      </c>
      <c r="I89" s="9">
        <f>G89+H89</f>
        <v>1706.7099999999998</v>
      </c>
      <c r="J89" s="7">
        <f t="shared" si="14"/>
        <v>0.18</v>
      </c>
      <c r="K89" s="9">
        <f>ROUND(I89*J89,2)</f>
        <v>307.20999999999998</v>
      </c>
      <c r="L89" s="9">
        <f t="shared" si="15"/>
        <v>2013.92</v>
      </c>
      <c r="M89" s="1">
        <f t="shared" si="16"/>
        <v>34500</v>
      </c>
      <c r="N89" s="1" t="s">
        <v>345</v>
      </c>
      <c r="O89" s="3">
        <f t="shared" si="11"/>
        <v>69480240</v>
      </c>
    </row>
    <row r="90" spans="3:15" ht="30" x14ac:dyDescent="0.25">
      <c r="C90" s="1" t="str">
        <f t="shared" si="12"/>
        <v>ENQ-15115-22-23</v>
      </c>
      <c r="D90" s="47">
        <f t="shared" si="12"/>
        <v>45658</v>
      </c>
      <c r="E90" s="1" t="str">
        <f t="shared" si="12"/>
        <v>FA0500017</v>
      </c>
      <c r="F90" s="1" t="str">
        <f t="shared" si="12"/>
        <v>1 CORE X 50 SQ. MM. AL/UNARD. (XLPE)</v>
      </c>
      <c r="G90" s="3">
        <f t="shared" si="13"/>
        <v>62.43</v>
      </c>
      <c r="H90" s="59">
        <f>ROUNDUP(H29/1000,2)</f>
        <v>1.46</v>
      </c>
      <c r="I90" s="9">
        <f>G90+H90</f>
        <v>63.89</v>
      </c>
      <c r="J90" s="7">
        <f t="shared" si="14"/>
        <v>0.18</v>
      </c>
      <c r="K90" s="9">
        <f>ROUND(I90*J90,2)</f>
        <v>11.5</v>
      </c>
      <c r="L90" s="9">
        <f t="shared" si="15"/>
        <v>75.39</v>
      </c>
      <c r="M90" s="1">
        <f t="shared" si="16"/>
        <v>24060</v>
      </c>
      <c r="N90" s="1" t="s">
        <v>345</v>
      </c>
      <c r="O90" s="3">
        <f t="shared" si="11"/>
        <v>1813883.4</v>
      </c>
    </row>
    <row r="91" spans="3:15" ht="30" x14ac:dyDescent="0.25">
      <c r="C91" s="1" t="str">
        <f t="shared" si="12"/>
        <v>ENQ-15115-22-23</v>
      </c>
      <c r="D91" s="47">
        <f t="shared" si="12"/>
        <v>45658</v>
      </c>
      <c r="E91" s="1" t="str">
        <f t="shared" si="12"/>
        <v>FA0900111</v>
      </c>
      <c r="F91" s="1" t="str">
        <f t="shared" si="12"/>
        <v>4 CORE X 25 SQ. MM. ALU/ARD - WIRE (XLPE)</v>
      </c>
      <c r="G91" s="3">
        <f t="shared" si="13"/>
        <v>199.95999999999998</v>
      </c>
      <c r="H91" s="59">
        <f>ROUNDUP(H30/1000,2)</f>
        <v>3.36</v>
      </c>
      <c r="I91" s="9">
        <f>G91+H91</f>
        <v>203.32</v>
      </c>
      <c r="J91" s="7">
        <f t="shared" si="14"/>
        <v>0.18</v>
      </c>
      <c r="K91" s="9">
        <f>ROUND(I91*J91,2)</f>
        <v>36.6</v>
      </c>
      <c r="L91" s="9">
        <f t="shared" si="15"/>
        <v>239.92</v>
      </c>
      <c r="M91" s="1">
        <f t="shared" si="16"/>
        <v>146208</v>
      </c>
      <c r="N91" s="1" t="s">
        <v>345</v>
      </c>
      <c r="O91" s="3">
        <f t="shared" si="11"/>
        <v>35078223.359999999</v>
      </c>
    </row>
    <row r="92" spans="3:15" ht="30" x14ac:dyDescent="0.25">
      <c r="C92" s="1" t="str">
        <f t="shared" si="12"/>
        <v>ENQ-15115-22-23</v>
      </c>
      <c r="D92" s="47">
        <f t="shared" si="12"/>
        <v>45658</v>
      </c>
      <c r="E92" s="1" t="str">
        <f t="shared" si="12"/>
        <v>FA0900117</v>
      </c>
      <c r="F92" s="1" t="str">
        <f t="shared" si="12"/>
        <v>4 CORE X 35 SQ. MM. AL/ARD - WIRE (XLPE)</v>
      </c>
      <c r="G92" s="3">
        <f t="shared" si="13"/>
        <v>252.37</v>
      </c>
      <c r="H92" s="59">
        <f>ROUNDUP(H31/1000,2)</f>
        <v>3.9699999999999998</v>
      </c>
      <c r="I92" s="9">
        <f>G92+H92</f>
        <v>256.34000000000003</v>
      </c>
      <c r="J92" s="7">
        <f t="shared" si="14"/>
        <v>0.18</v>
      </c>
      <c r="K92" s="9">
        <f>ROUND(I92*J92,2)</f>
        <v>46.14</v>
      </c>
      <c r="L92" s="9">
        <f t="shared" si="15"/>
        <v>302.48</v>
      </c>
      <c r="M92" s="1">
        <f t="shared" si="16"/>
        <v>88208</v>
      </c>
      <c r="N92" s="1" t="s">
        <v>345</v>
      </c>
      <c r="O92" s="3">
        <f t="shared" si="11"/>
        <v>26681155.84</v>
      </c>
    </row>
    <row r="93" spans="3:15" ht="30" x14ac:dyDescent="0.25">
      <c r="C93" s="1" t="str">
        <f t="shared" si="12"/>
        <v>ENQ-15115-22-23</v>
      </c>
      <c r="D93" s="47">
        <f t="shared" si="12"/>
        <v>45658</v>
      </c>
      <c r="E93" s="1" t="str">
        <f t="shared" si="12"/>
        <v>FA0900041</v>
      </c>
      <c r="F93" s="1" t="str">
        <f t="shared" si="12"/>
        <v>2 CORE X 4 SQ. MM. AL/ARD - WIRE (XLPE)</v>
      </c>
      <c r="G93" s="3">
        <f t="shared" si="13"/>
        <v>60.55</v>
      </c>
      <c r="H93" s="59">
        <f>ROUNDUP(H32/1000,2)</f>
        <v>1.27</v>
      </c>
      <c r="I93" s="9">
        <f>G93+H93</f>
        <v>61.82</v>
      </c>
      <c r="J93" s="7">
        <f t="shared" si="14"/>
        <v>0.18</v>
      </c>
      <c r="K93" s="9">
        <f>ROUND(I93*J93,2)</f>
        <v>11.13</v>
      </c>
      <c r="L93" s="9">
        <f t="shared" si="15"/>
        <v>72.95</v>
      </c>
      <c r="M93" s="1">
        <f t="shared" si="16"/>
        <v>2077047</v>
      </c>
      <c r="N93" s="1" t="s">
        <v>345</v>
      </c>
      <c r="O93" s="3">
        <f t="shared" si="11"/>
        <v>151520578.65000001</v>
      </c>
    </row>
    <row r="94" spans="3:15" ht="30" x14ac:dyDescent="0.25">
      <c r="C94" s="1" t="str">
        <f t="shared" si="12"/>
        <v>ENQ-15115-22-23</v>
      </c>
      <c r="D94" s="47">
        <f t="shared" si="12"/>
        <v>45658</v>
      </c>
      <c r="E94" s="1" t="str">
        <f t="shared" si="12"/>
        <v>FA0900020</v>
      </c>
      <c r="F94" s="1" t="str">
        <f t="shared" si="12"/>
        <v>2 CORE X 6 SQ. MM. AL/ARD - WIRE (XLPE)</v>
      </c>
      <c r="G94" s="3">
        <f t="shared" si="13"/>
        <v>69.89</v>
      </c>
      <c r="H94" s="59">
        <f>ROUNDUP(H33/1000,2)</f>
        <v>1.36</v>
      </c>
      <c r="I94" s="9">
        <f>G94+H94</f>
        <v>71.25</v>
      </c>
      <c r="J94" s="7">
        <f t="shared" si="14"/>
        <v>0.18</v>
      </c>
      <c r="K94" s="9">
        <f>ROUND(I94*J94,2)</f>
        <v>12.83</v>
      </c>
      <c r="L94" s="9">
        <f t="shared" si="15"/>
        <v>84.08</v>
      </c>
      <c r="M94" s="1">
        <f t="shared" si="16"/>
        <v>5000000</v>
      </c>
      <c r="N94" s="1" t="s">
        <v>345</v>
      </c>
      <c r="O94" s="3">
        <f t="shared" si="11"/>
        <v>420400000</v>
      </c>
    </row>
    <row r="95" spans="3:15" ht="30" x14ac:dyDescent="0.25">
      <c r="C95" s="1" t="str">
        <f t="shared" si="12"/>
        <v>ENQ-15115-22-23</v>
      </c>
      <c r="D95" s="47">
        <f t="shared" si="12"/>
        <v>45658</v>
      </c>
      <c r="E95" s="1" t="str">
        <f t="shared" si="12"/>
        <v>FA0900042</v>
      </c>
      <c r="F95" s="1" t="str">
        <f t="shared" si="12"/>
        <v>2 CORE X 10 SQ. MM. ALU/ARD - WIRE (XLPE)</v>
      </c>
      <c r="G95" s="3">
        <f t="shared" si="13"/>
        <v>92.050000000000011</v>
      </c>
      <c r="H95" s="59">
        <f>ROUNDUP(H34/1000,2)</f>
        <v>1.89</v>
      </c>
      <c r="I95" s="9">
        <f>G95+H95</f>
        <v>93.940000000000012</v>
      </c>
      <c r="J95" s="7">
        <f t="shared" si="14"/>
        <v>0.18</v>
      </c>
      <c r="K95" s="9">
        <f>ROUND(I95*J95,2)</f>
        <v>16.91</v>
      </c>
      <c r="L95" s="9">
        <f t="shared" si="15"/>
        <v>110.85</v>
      </c>
      <c r="M95" s="1">
        <f t="shared" si="16"/>
        <v>130039.99999999999</v>
      </c>
      <c r="N95" s="1" t="s">
        <v>345</v>
      </c>
      <c r="O95" s="3">
        <f t="shared" si="11"/>
        <v>14414933.999999998</v>
      </c>
    </row>
    <row r="96" spans="3:15" ht="30" x14ac:dyDescent="0.25">
      <c r="C96" s="1" t="str">
        <f t="shared" si="12"/>
        <v>ENQ-15115-22-23</v>
      </c>
      <c r="D96" s="47">
        <f t="shared" si="12"/>
        <v>45658</v>
      </c>
      <c r="E96" s="1" t="str">
        <f t="shared" si="12"/>
        <v>FA0900112</v>
      </c>
      <c r="F96" s="1" t="str">
        <f t="shared" si="12"/>
        <v>4 CORE X 10 SQ. MM. AL/ARD - WIRE (XLPE)</v>
      </c>
      <c r="G96" s="3">
        <f t="shared" si="13"/>
        <v>111.01</v>
      </c>
      <c r="H96" s="59">
        <f t="shared" si="13"/>
        <v>2.0799999999999996</v>
      </c>
      <c r="I96" s="9">
        <f>G96+H96</f>
        <v>113.09</v>
      </c>
      <c r="J96" s="7">
        <f t="shared" si="14"/>
        <v>0.18</v>
      </c>
      <c r="K96" s="9">
        <f>ROUND(I96*J96,2)</f>
        <v>20.36</v>
      </c>
      <c r="L96" s="9">
        <f t="shared" si="15"/>
        <v>133.44999999999999</v>
      </c>
      <c r="M96" s="1">
        <f t="shared" si="16"/>
        <v>151832</v>
      </c>
      <c r="N96" s="1" t="s">
        <v>345</v>
      </c>
      <c r="O96" s="3">
        <f t="shared" si="11"/>
        <v>20261980.399999999</v>
      </c>
    </row>
    <row r="97" spans="3:15" ht="30" x14ac:dyDescent="0.25">
      <c r="C97" s="1" t="str">
        <f t="shared" si="12"/>
        <v>ENQ-15115-22-23</v>
      </c>
      <c r="D97" s="47">
        <f t="shared" si="12"/>
        <v>45658</v>
      </c>
      <c r="E97" s="1" t="str">
        <f t="shared" si="12"/>
        <v>FA0200011</v>
      </c>
      <c r="F97" s="1" t="str">
        <f t="shared" si="12"/>
        <v>4 CORE X 2.5 SQ. MM. CU/ARD - WIRE (PVC)</v>
      </c>
      <c r="G97" s="3">
        <f t="shared" si="13"/>
        <v>144.29</v>
      </c>
      <c r="H97" s="59">
        <f>ROUNDUP(H36/1000,2)</f>
        <v>2.2799999999999998</v>
      </c>
      <c r="I97" s="9">
        <f>G97+H97</f>
        <v>146.57</v>
      </c>
      <c r="J97" s="7">
        <f t="shared" si="14"/>
        <v>0.18</v>
      </c>
      <c r="K97" s="9">
        <f>ROUND(I97*J97,2)</f>
        <v>26.38</v>
      </c>
      <c r="L97" s="9">
        <f t="shared" si="15"/>
        <v>172.95</v>
      </c>
      <c r="M97" s="1">
        <f t="shared" si="16"/>
        <v>61670</v>
      </c>
      <c r="N97" s="1" t="s">
        <v>345</v>
      </c>
      <c r="O97" s="3">
        <f t="shared" si="11"/>
        <v>10665826.5</v>
      </c>
    </row>
    <row r="98" spans="3:15" ht="30" x14ac:dyDescent="0.25">
      <c r="C98" s="1" t="str">
        <f t="shared" si="12"/>
        <v>ENQ-15115-22-23</v>
      </c>
      <c r="D98" s="47">
        <f t="shared" si="12"/>
        <v>45658</v>
      </c>
      <c r="E98" s="1" t="str">
        <f t="shared" si="12"/>
        <v>FA0200018</v>
      </c>
      <c r="F98" s="1" t="str">
        <f t="shared" si="12"/>
        <v>7 CORE X 2.5 SQ. MM. CU/ARD - WIRE (PVC)</v>
      </c>
      <c r="G98" s="3">
        <f t="shared" si="13"/>
        <v>223.19</v>
      </c>
      <c r="H98" s="59">
        <f>ROUNDUP(H37/1000,2)</f>
        <v>2.13</v>
      </c>
      <c r="I98" s="9">
        <f>G98+H98</f>
        <v>225.32</v>
      </c>
      <c r="J98" s="7">
        <f t="shared" si="14"/>
        <v>0.18</v>
      </c>
      <c r="K98" s="9">
        <f>ROUND(I98*J98,2)</f>
        <v>40.56</v>
      </c>
      <c r="L98" s="9">
        <f t="shared" si="15"/>
        <v>265.88</v>
      </c>
      <c r="M98" s="1">
        <f t="shared" si="16"/>
        <v>98845</v>
      </c>
      <c r="N98" s="1" t="s">
        <v>345</v>
      </c>
      <c r="O98" s="3">
        <f t="shared" si="11"/>
        <v>26280908.599999998</v>
      </c>
    </row>
    <row r="99" spans="3:15" ht="30" x14ac:dyDescent="0.25">
      <c r="C99" s="1" t="str">
        <f t="shared" si="12"/>
        <v>ENQ-15115-22-23</v>
      </c>
      <c r="D99" s="47">
        <f t="shared" si="12"/>
        <v>45658</v>
      </c>
      <c r="E99" s="1" t="str">
        <f t="shared" si="12"/>
        <v>FA0200002</v>
      </c>
      <c r="F99" s="1" t="str">
        <f t="shared" si="12"/>
        <v>10 CORE X 2.5 SQ. MM. CU/ARD - WIRE (PVC)</v>
      </c>
      <c r="G99" s="3">
        <f t="shared" si="13"/>
        <v>317.38</v>
      </c>
      <c r="H99" s="59">
        <f>ROUNDUP(H38/1000,2)</f>
        <v>3.11</v>
      </c>
      <c r="I99" s="9">
        <f>G99+H99</f>
        <v>320.49</v>
      </c>
      <c r="J99" s="7">
        <f t="shared" si="14"/>
        <v>0.18</v>
      </c>
      <c r="K99" s="9">
        <f>ROUND(I99*J99,2)</f>
        <v>57.69</v>
      </c>
      <c r="L99" s="9">
        <f t="shared" si="15"/>
        <v>378.18</v>
      </c>
      <c r="M99" s="1">
        <f t="shared" si="16"/>
        <v>78965</v>
      </c>
      <c r="N99" s="1" t="s">
        <v>345</v>
      </c>
      <c r="O99" s="3">
        <f t="shared" si="11"/>
        <v>29862983.699999999</v>
      </c>
    </row>
    <row r="100" spans="3:15" ht="30" x14ac:dyDescent="0.25">
      <c r="C100" s="1" t="str">
        <f t="shared" si="12"/>
        <v>ENQ-15115-22-23</v>
      </c>
      <c r="D100" s="47">
        <f t="shared" si="12"/>
        <v>45658</v>
      </c>
      <c r="E100" s="1" t="str">
        <f t="shared" si="12"/>
        <v>FA0200003</v>
      </c>
      <c r="F100" s="1" t="str">
        <f t="shared" si="12"/>
        <v>12 CORE X 2.5 SQ. MM. CU/ARD - WIRE (PVC)</v>
      </c>
      <c r="G100" s="3">
        <f t="shared" si="13"/>
        <v>366.75</v>
      </c>
      <c r="H100" s="59">
        <f>ROUNDUP(H39/1000,2)</f>
        <v>3.59</v>
      </c>
      <c r="I100" s="9">
        <f>G100+H100</f>
        <v>370.34</v>
      </c>
      <c r="J100" s="7">
        <f t="shared" si="14"/>
        <v>0.18</v>
      </c>
      <c r="K100" s="9">
        <f>ROUND(I100*J100,2)</f>
        <v>66.66</v>
      </c>
      <c r="L100" s="9">
        <f t="shared" si="15"/>
        <v>437</v>
      </c>
      <c r="M100" s="1">
        <f t="shared" si="16"/>
        <v>39000</v>
      </c>
      <c r="N100" s="1" t="s">
        <v>345</v>
      </c>
      <c r="O100" s="3">
        <f t="shared" si="11"/>
        <v>17043000</v>
      </c>
    </row>
    <row r="101" spans="3:15" ht="30" x14ac:dyDescent="0.25">
      <c r="C101" s="1" t="str">
        <f t="shared" si="12"/>
        <v>ENQ-15115-22-23</v>
      </c>
      <c r="D101" s="47">
        <f t="shared" si="12"/>
        <v>45658</v>
      </c>
      <c r="E101" s="1" t="str">
        <f t="shared" si="12"/>
        <v>FA0200005</v>
      </c>
      <c r="F101" s="1" t="str">
        <f t="shared" si="12"/>
        <v>16 CORE X 2.5 SQ. MM. CU/ARD - WIRE (PVC)</v>
      </c>
      <c r="G101" s="3">
        <f t="shared" si="13"/>
        <v>472.98</v>
      </c>
      <c r="H101" s="59">
        <f>ROUNDUP(H40/1000,2)</f>
        <v>3.75</v>
      </c>
      <c r="I101" s="9">
        <f>G101+H101</f>
        <v>476.73</v>
      </c>
      <c r="J101" s="7">
        <f t="shared" si="14"/>
        <v>0.18</v>
      </c>
      <c r="K101" s="9">
        <f>ROUND(I101*J101,2)</f>
        <v>85.81</v>
      </c>
      <c r="L101" s="9">
        <f t="shared" si="15"/>
        <v>562.54</v>
      </c>
      <c r="M101" s="1">
        <f t="shared" si="16"/>
        <v>28000</v>
      </c>
      <c r="N101" s="1" t="s">
        <v>345</v>
      </c>
      <c r="O101" s="3">
        <f t="shared" si="11"/>
        <v>15751119.999999998</v>
      </c>
    </row>
    <row r="102" spans="3:15" ht="30" x14ac:dyDescent="0.25">
      <c r="C102" s="1" t="str">
        <f t="shared" si="12"/>
        <v>ENQ-15115-22-23</v>
      </c>
      <c r="D102" s="47">
        <f t="shared" si="12"/>
        <v>45658</v>
      </c>
      <c r="E102" s="1" t="str">
        <f t="shared" si="12"/>
        <v>FA0900024</v>
      </c>
      <c r="F102" s="1" t="str">
        <f t="shared" si="12"/>
        <v>4 CORE X 4 SQ. MM. CU/ARD - WIRE (PVC)</v>
      </c>
      <c r="G102" s="3">
        <f t="shared" si="13"/>
        <v>210.45999999999998</v>
      </c>
      <c r="H102" s="59">
        <f>ROUNDUP(H41/1000,2)</f>
        <v>35</v>
      </c>
      <c r="I102" s="9">
        <f>G102+H102</f>
        <v>245.45999999999998</v>
      </c>
      <c r="J102" s="7">
        <f t="shared" si="14"/>
        <v>0.18</v>
      </c>
      <c r="K102" s="9">
        <f>ROUND(I102*J102,2)</f>
        <v>44.18</v>
      </c>
      <c r="L102" s="9">
        <f t="shared" si="15"/>
        <v>289.64</v>
      </c>
      <c r="M102" s="1">
        <f t="shared" si="16"/>
        <v>1000</v>
      </c>
      <c r="N102" s="1" t="s">
        <v>345</v>
      </c>
      <c r="O102" s="3">
        <f t="shared" si="11"/>
        <v>289640</v>
      </c>
    </row>
    <row r="103" spans="3:15" ht="30" x14ac:dyDescent="0.25">
      <c r="C103" s="1" t="str">
        <f t="shared" si="12"/>
        <v>ENQ-15115-22-23</v>
      </c>
      <c r="D103" s="47">
        <f t="shared" si="12"/>
        <v>45658</v>
      </c>
      <c r="E103" s="1" t="str">
        <f t="shared" si="12"/>
        <v>FA0900132</v>
      </c>
      <c r="F103" s="1" t="str">
        <f t="shared" si="12"/>
        <v>4 CORE X 16 SQ. MM. AL/ARD - WIRE (XLPE)</v>
      </c>
      <c r="G103" s="3">
        <f t="shared" si="13"/>
        <v>142.45999999999998</v>
      </c>
      <c r="H103" s="59">
        <f>ROUNDUP(H42/1000,2)</f>
        <v>23.34</v>
      </c>
      <c r="I103" s="9">
        <f>G103+H103</f>
        <v>165.79999999999998</v>
      </c>
      <c r="J103" s="7">
        <f t="shared" si="14"/>
        <v>0.18</v>
      </c>
      <c r="K103" s="9">
        <f>ROUND(I103*J103,2)</f>
        <v>29.84</v>
      </c>
      <c r="L103" s="9">
        <f t="shared" si="15"/>
        <v>195.64</v>
      </c>
      <c r="M103" s="1">
        <f t="shared" si="16"/>
        <v>1500</v>
      </c>
      <c r="N103" s="1" t="s">
        <v>345</v>
      </c>
      <c r="O103" s="3">
        <f t="shared" si="11"/>
        <v>293460</v>
      </c>
    </row>
    <row r="104" spans="3:15" ht="30" x14ac:dyDescent="0.25">
      <c r="C104" s="1" t="str">
        <f t="shared" si="12"/>
        <v>ENQ-15115-22-23</v>
      </c>
      <c r="D104" s="47">
        <f t="shared" si="12"/>
        <v>45658</v>
      </c>
      <c r="E104" s="1" t="str">
        <f t="shared" si="12"/>
        <v>FA0800001</v>
      </c>
      <c r="F104" s="1" t="str">
        <f t="shared" si="12"/>
        <v>1 CORE X 16 SQ. MM. AL/ARD. (XLPE)</v>
      </c>
      <c r="G104" s="3">
        <f t="shared" si="13"/>
        <v>39.479999999999997</v>
      </c>
      <c r="H104" s="59">
        <f>ROUNDUP(H43/1000,2)</f>
        <v>70</v>
      </c>
      <c r="I104" s="9">
        <f>G104+H104</f>
        <v>109.47999999999999</v>
      </c>
      <c r="J104" s="7">
        <f t="shared" si="14"/>
        <v>0.18</v>
      </c>
      <c r="K104" s="9">
        <f>ROUND(I104*J104,2)</f>
        <v>19.71</v>
      </c>
      <c r="L104" s="9">
        <f t="shared" si="15"/>
        <v>129.19</v>
      </c>
      <c r="M104" s="1">
        <f t="shared" si="16"/>
        <v>500</v>
      </c>
      <c r="N104" s="1" t="s">
        <v>345</v>
      </c>
      <c r="O104" s="3">
        <f t="shared" si="11"/>
        <v>64595</v>
      </c>
    </row>
    <row r="105" spans="3:15" ht="30" x14ac:dyDescent="0.25">
      <c r="C105" s="1" t="str">
        <f t="shared" si="12"/>
        <v>ENQ-15115-22-23</v>
      </c>
      <c r="D105" s="47">
        <f t="shared" si="12"/>
        <v>45658</v>
      </c>
      <c r="E105" s="1" t="str">
        <f t="shared" si="12"/>
        <v>FA0900133</v>
      </c>
      <c r="F105" s="1" t="str">
        <f t="shared" si="12"/>
        <v>2 CORE X 16 SQ. MM. AL/ARD - WIRE (XLPE)</v>
      </c>
      <c r="G105" s="3">
        <f t="shared" si="13"/>
        <v>118.46000000000001</v>
      </c>
      <c r="H105" s="59">
        <f>ROUNDUP(H44/1000,2)</f>
        <v>70</v>
      </c>
      <c r="I105" s="9">
        <f>G105+H105</f>
        <v>188.46</v>
      </c>
      <c r="J105" s="7">
        <f t="shared" si="14"/>
        <v>0.18</v>
      </c>
      <c r="K105" s="9">
        <f>ROUND(I105*J105,2)</f>
        <v>33.92</v>
      </c>
      <c r="L105" s="9">
        <f t="shared" si="15"/>
        <v>222.38</v>
      </c>
      <c r="M105" s="1">
        <f t="shared" si="16"/>
        <v>500</v>
      </c>
      <c r="N105" s="1" t="s">
        <v>345</v>
      </c>
      <c r="O105" s="3">
        <f t="shared" si="11"/>
        <v>111190</v>
      </c>
    </row>
    <row r="106" spans="3:15" ht="30" x14ac:dyDescent="0.25">
      <c r="C106" s="1" t="str">
        <f t="shared" si="12"/>
        <v>ENQ-15115-22-23</v>
      </c>
      <c r="D106" s="47">
        <f t="shared" si="12"/>
        <v>45658</v>
      </c>
      <c r="E106" s="1" t="str">
        <f t="shared" si="12"/>
        <v>FA0900160</v>
      </c>
      <c r="F106" s="1" t="str">
        <f t="shared" si="12"/>
        <v>2 CORE X 50 SQ. MM. AL/ARD - WIRE (XLPE)</v>
      </c>
      <c r="G106" s="3">
        <f t="shared" si="13"/>
        <v>240.89</v>
      </c>
      <c r="H106" s="59">
        <f>ROUNDUP(H45/1000,2)</f>
        <v>70</v>
      </c>
      <c r="I106" s="9">
        <f>G106+H106</f>
        <v>310.89</v>
      </c>
      <c r="J106" s="7">
        <f t="shared" si="14"/>
        <v>0.18</v>
      </c>
      <c r="K106" s="9">
        <f>ROUND(I106*J106,2)</f>
        <v>55.96</v>
      </c>
      <c r="L106" s="9">
        <f t="shared" si="15"/>
        <v>366.85</v>
      </c>
      <c r="M106" s="1">
        <f t="shared" si="16"/>
        <v>500</v>
      </c>
      <c r="N106" s="1" t="s">
        <v>345</v>
      </c>
      <c r="O106" s="3">
        <f t="shared" si="11"/>
        <v>183425</v>
      </c>
    </row>
    <row r="107" spans="3:15" x14ac:dyDescent="0.25">
      <c r="O107" s="173">
        <f>SUM(O80:O106)</f>
        <v>989623296.15999997</v>
      </c>
    </row>
    <row r="108" spans="3:15" x14ac:dyDescent="0.25">
      <c r="O108" s="180">
        <f>O107-O46</f>
        <v>168334.86731231213</v>
      </c>
    </row>
    <row r="112" spans="3:15" x14ac:dyDescent="0.25">
      <c r="O112" s="181"/>
    </row>
  </sheetData>
  <sortState xmlns:xlrd2="http://schemas.microsoft.com/office/spreadsheetml/2017/richdata2" ref="B19:CN45">
    <sortCondition ref="B19:B45"/>
  </sortState>
  <mergeCells count="20">
    <mergeCell ref="D11:T11"/>
    <mergeCell ref="D12:T12"/>
    <mergeCell ref="D13:T13"/>
    <mergeCell ref="D14:T14"/>
    <mergeCell ref="D4:T4"/>
    <mergeCell ref="D5:T5"/>
    <mergeCell ref="D6:T6"/>
    <mergeCell ref="AN16:AT16"/>
    <mergeCell ref="AU16:BD16"/>
    <mergeCell ref="BE16:BN16"/>
    <mergeCell ref="P16:T16"/>
    <mergeCell ref="U16:V16"/>
    <mergeCell ref="W16:AD16"/>
    <mergeCell ref="AE16:AF16"/>
    <mergeCell ref="AG16:AL16"/>
    <mergeCell ref="D7:T7"/>
    <mergeCell ref="D8:T8"/>
    <mergeCell ref="D9:T9"/>
    <mergeCell ref="D10:T10"/>
    <mergeCell ref="C2:T2"/>
  </mergeCells>
  <dataValidations disablePrompts="1" count="1">
    <dataValidation type="list" allowBlank="1" showInputMessage="1" showErrorMessage="1" sqref="I49:I75" xr:uid="{2B6CF130-77F0-40FA-B07B-020B3E1A3AD7}">
      <formula1>$R$4:$R$6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2C90D-0B4A-4668-B466-7A86158B126E}">
  <sheetPr>
    <tabColor rgb="FFFF0000"/>
  </sheetPr>
  <dimension ref="B1:AW39"/>
  <sheetViews>
    <sheetView showZeros="0" zoomScaleNormal="100" workbookViewId="0">
      <selection activeCell="AU12" sqref="AU12:AV37"/>
    </sheetView>
  </sheetViews>
  <sheetFormatPr defaultRowHeight="12.75" x14ac:dyDescent="0.2"/>
  <cols>
    <col min="1" max="1" width="9.140625" style="66"/>
    <col min="2" max="2" width="53.7109375" style="66" customWidth="1"/>
    <col min="3" max="3" width="15.140625" style="66" customWidth="1"/>
    <col min="4" max="4" width="14.28515625" style="66" customWidth="1"/>
    <col min="5" max="5" width="10.42578125" style="66" bestFit="1" customWidth="1"/>
    <col min="6" max="6" width="9.42578125" style="66" bestFit="1" customWidth="1"/>
    <col min="7" max="7" width="9.42578125" style="66" customWidth="1"/>
    <col min="8" max="9" width="10.42578125" style="66" bestFit="1" customWidth="1"/>
    <col min="10" max="10" width="9.42578125" style="66" customWidth="1"/>
    <col min="11" max="11" width="10.140625" style="66" bestFit="1" customWidth="1"/>
    <col min="12" max="12" width="9.42578125" style="66" customWidth="1"/>
    <col min="13" max="13" width="9.7109375" style="66" customWidth="1"/>
    <col min="14" max="14" width="9.85546875" style="66" customWidth="1"/>
    <col min="15" max="15" width="9.140625" style="66"/>
    <col min="16" max="16" width="8.42578125" style="66" bestFit="1" customWidth="1"/>
    <col min="17" max="17" width="9.140625" style="66" customWidth="1"/>
    <col min="18" max="18" width="8.28515625" style="66" customWidth="1"/>
    <col min="19" max="19" width="8.42578125" style="66" customWidth="1"/>
    <col min="20" max="20" width="7.7109375" style="66" customWidth="1"/>
    <col min="21" max="21" width="8.140625" style="66" customWidth="1"/>
    <col min="22" max="22" width="11.28515625" style="66" bestFit="1" customWidth="1"/>
    <col min="23" max="24" width="12.28515625" style="66" customWidth="1"/>
    <col min="25" max="25" width="11" style="66" bestFit="1" customWidth="1"/>
    <col min="26" max="26" width="11.42578125" style="66" bestFit="1" customWidth="1"/>
    <col min="27" max="27" width="11" style="66" customWidth="1"/>
    <col min="28" max="28" width="11" style="66" bestFit="1" customWidth="1"/>
    <col min="29" max="29" width="14.42578125" style="66" bestFit="1" customWidth="1"/>
    <col min="30" max="31" width="10.140625" style="66" customWidth="1"/>
    <col min="32" max="33" width="8.85546875" style="66" customWidth="1"/>
    <col min="34" max="34" width="9.85546875" style="66" customWidth="1"/>
    <col min="35" max="35" width="10.28515625" style="66" customWidth="1"/>
    <col min="36" max="36" width="12.140625" style="66" customWidth="1"/>
    <col min="37" max="40" width="9.5703125" style="66" customWidth="1"/>
    <col min="41" max="41" width="10.5703125" style="66" customWidth="1"/>
    <col min="42" max="42" width="9.5703125" style="66" customWidth="1"/>
    <col min="43" max="44" width="10.5703125" style="66" customWidth="1"/>
    <col min="45" max="49" width="9.140625" style="66" customWidth="1"/>
    <col min="50" max="262" width="9.140625" style="66"/>
    <col min="263" max="263" width="54.140625" style="66" bestFit="1" customWidth="1"/>
    <col min="264" max="264" width="14.7109375" style="66" customWidth="1"/>
    <col min="265" max="265" width="10.140625" style="66" customWidth="1"/>
    <col min="266" max="266" width="10.42578125" style="66" bestFit="1" customWidth="1"/>
    <col min="267" max="268" width="9.42578125" style="66" bestFit="1" customWidth="1"/>
    <col min="269" max="270" width="9.42578125" style="66" customWidth="1"/>
    <col min="271" max="271" width="10.140625" style="66" bestFit="1" customWidth="1"/>
    <col min="272" max="275" width="9.140625" style="66"/>
    <col min="276" max="276" width="7.28515625" style="66" customWidth="1"/>
    <col min="277" max="279" width="7.42578125" style="66" customWidth="1"/>
    <col min="280" max="280" width="10.42578125" style="66" bestFit="1" customWidth="1"/>
    <col min="281" max="281" width="12" style="66" bestFit="1" customWidth="1"/>
    <col min="282" max="282" width="11" style="66" bestFit="1" customWidth="1"/>
    <col min="283" max="284" width="11" style="66" customWidth="1"/>
    <col min="285" max="285" width="10" style="66" bestFit="1" customWidth="1"/>
    <col min="286" max="286" width="14.42578125" style="66" bestFit="1" customWidth="1"/>
    <col min="287" max="297" width="0" style="66" hidden="1" customWidth="1"/>
    <col min="298" max="518" width="9.140625" style="66"/>
    <col min="519" max="519" width="54.140625" style="66" bestFit="1" customWidth="1"/>
    <col min="520" max="520" width="14.7109375" style="66" customWidth="1"/>
    <col min="521" max="521" width="10.140625" style="66" customWidth="1"/>
    <col min="522" max="522" width="10.42578125" style="66" bestFit="1" customWidth="1"/>
    <col min="523" max="524" width="9.42578125" style="66" bestFit="1" customWidth="1"/>
    <col min="525" max="526" width="9.42578125" style="66" customWidth="1"/>
    <col min="527" max="527" width="10.140625" style="66" bestFit="1" customWidth="1"/>
    <col min="528" max="531" width="9.140625" style="66"/>
    <col min="532" max="532" width="7.28515625" style="66" customWidth="1"/>
    <col min="533" max="535" width="7.42578125" style="66" customWidth="1"/>
    <col min="536" max="536" width="10.42578125" style="66" bestFit="1" customWidth="1"/>
    <col min="537" max="537" width="12" style="66" bestFit="1" customWidth="1"/>
    <col min="538" max="538" width="11" style="66" bestFit="1" customWidth="1"/>
    <col min="539" max="540" width="11" style="66" customWidth="1"/>
    <col min="541" max="541" width="10" style="66" bestFit="1" customWidth="1"/>
    <col min="542" max="542" width="14.42578125" style="66" bestFit="1" customWidth="1"/>
    <col min="543" max="553" width="0" style="66" hidden="1" customWidth="1"/>
    <col min="554" max="774" width="9.140625" style="66"/>
    <col min="775" max="775" width="54.140625" style="66" bestFit="1" customWidth="1"/>
    <col min="776" max="776" width="14.7109375" style="66" customWidth="1"/>
    <col min="777" max="777" width="10.140625" style="66" customWidth="1"/>
    <col min="778" max="778" width="10.42578125" style="66" bestFit="1" customWidth="1"/>
    <col min="779" max="780" width="9.42578125" style="66" bestFit="1" customWidth="1"/>
    <col min="781" max="782" width="9.42578125" style="66" customWidth="1"/>
    <col min="783" max="783" width="10.140625" style="66" bestFit="1" customWidth="1"/>
    <col min="784" max="787" width="9.140625" style="66"/>
    <col min="788" max="788" width="7.28515625" style="66" customWidth="1"/>
    <col min="789" max="791" width="7.42578125" style="66" customWidth="1"/>
    <col min="792" max="792" width="10.42578125" style="66" bestFit="1" customWidth="1"/>
    <col min="793" max="793" width="12" style="66" bestFit="1" customWidth="1"/>
    <col min="794" max="794" width="11" style="66" bestFit="1" customWidth="1"/>
    <col min="795" max="796" width="11" style="66" customWidth="1"/>
    <col min="797" max="797" width="10" style="66" bestFit="1" customWidth="1"/>
    <col min="798" max="798" width="14.42578125" style="66" bestFit="1" customWidth="1"/>
    <col min="799" max="809" width="0" style="66" hidden="1" customWidth="1"/>
    <col min="810" max="1030" width="9.140625" style="66"/>
    <col min="1031" max="1031" width="54.140625" style="66" bestFit="1" customWidth="1"/>
    <col min="1032" max="1032" width="14.7109375" style="66" customWidth="1"/>
    <col min="1033" max="1033" width="10.140625" style="66" customWidth="1"/>
    <col min="1034" max="1034" width="10.42578125" style="66" bestFit="1" customWidth="1"/>
    <col min="1035" max="1036" width="9.42578125" style="66" bestFit="1" customWidth="1"/>
    <col min="1037" max="1038" width="9.42578125" style="66" customWidth="1"/>
    <col min="1039" max="1039" width="10.140625" style="66" bestFit="1" customWidth="1"/>
    <col min="1040" max="1043" width="9.140625" style="66"/>
    <col min="1044" max="1044" width="7.28515625" style="66" customWidth="1"/>
    <col min="1045" max="1047" width="7.42578125" style="66" customWidth="1"/>
    <col min="1048" max="1048" width="10.42578125" style="66" bestFit="1" customWidth="1"/>
    <col min="1049" max="1049" width="12" style="66" bestFit="1" customWidth="1"/>
    <col min="1050" max="1050" width="11" style="66" bestFit="1" customWidth="1"/>
    <col min="1051" max="1052" width="11" style="66" customWidth="1"/>
    <col min="1053" max="1053" width="10" style="66" bestFit="1" customWidth="1"/>
    <col min="1054" max="1054" width="14.42578125" style="66" bestFit="1" customWidth="1"/>
    <col min="1055" max="1065" width="0" style="66" hidden="1" customWidth="1"/>
    <col min="1066" max="1286" width="9.140625" style="66"/>
    <col min="1287" max="1287" width="54.140625" style="66" bestFit="1" customWidth="1"/>
    <col min="1288" max="1288" width="14.7109375" style="66" customWidth="1"/>
    <col min="1289" max="1289" width="10.140625" style="66" customWidth="1"/>
    <col min="1290" max="1290" width="10.42578125" style="66" bestFit="1" customWidth="1"/>
    <col min="1291" max="1292" width="9.42578125" style="66" bestFit="1" customWidth="1"/>
    <col min="1293" max="1294" width="9.42578125" style="66" customWidth="1"/>
    <col min="1295" max="1295" width="10.140625" style="66" bestFit="1" customWidth="1"/>
    <col min="1296" max="1299" width="9.140625" style="66"/>
    <col min="1300" max="1300" width="7.28515625" style="66" customWidth="1"/>
    <col min="1301" max="1303" width="7.42578125" style="66" customWidth="1"/>
    <col min="1304" max="1304" width="10.42578125" style="66" bestFit="1" customWidth="1"/>
    <col min="1305" max="1305" width="12" style="66" bestFit="1" customWidth="1"/>
    <col min="1306" max="1306" width="11" style="66" bestFit="1" customWidth="1"/>
    <col min="1307" max="1308" width="11" style="66" customWidth="1"/>
    <col min="1309" max="1309" width="10" style="66" bestFit="1" customWidth="1"/>
    <col min="1310" max="1310" width="14.42578125" style="66" bestFit="1" customWidth="1"/>
    <col min="1311" max="1321" width="0" style="66" hidden="1" customWidth="1"/>
    <col min="1322" max="1542" width="9.140625" style="66"/>
    <col min="1543" max="1543" width="54.140625" style="66" bestFit="1" customWidth="1"/>
    <col min="1544" max="1544" width="14.7109375" style="66" customWidth="1"/>
    <col min="1545" max="1545" width="10.140625" style="66" customWidth="1"/>
    <col min="1546" max="1546" width="10.42578125" style="66" bestFit="1" customWidth="1"/>
    <col min="1547" max="1548" width="9.42578125" style="66" bestFit="1" customWidth="1"/>
    <col min="1549" max="1550" width="9.42578125" style="66" customWidth="1"/>
    <col min="1551" max="1551" width="10.140625" style="66" bestFit="1" customWidth="1"/>
    <col min="1552" max="1555" width="9.140625" style="66"/>
    <col min="1556" max="1556" width="7.28515625" style="66" customWidth="1"/>
    <col min="1557" max="1559" width="7.42578125" style="66" customWidth="1"/>
    <col min="1560" max="1560" width="10.42578125" style="66" bestFit="1" customWidth="1"/>
    <col min="1561" max="1561" width="12" style="66" bestFit="1" customWidth="1"/>
    <col min="1562" max="1562" width="11" style="66" bestFit="1" customWidth="1"/>
    <col min="1563" max="1564" width="11" style="66" customWidth="1"/>
    <col min="1565" max="1565" width="10" style="66" bestFit="1" customWidth="1"/>
    <col min="1566" max="1566" width="14.42578125" style="66" bestFit="1" customWidth="1"/>
    <col min="1567" max="1577" width="0" style="66" hidden="1" customWidth="1"/>
    <col min="1578" max="1798" width="9.140625" style="66"/>
    <col min="1799" max="1799" width="54.140625" style="66" bestFit="1" customWidth="1"/>
    <col min="1800" max="1800" width="14.7109375" style="66" customWidth="1"/>
    <col min="1801" max="1801" width="10.140625" style="66" customWidth="1"/>
    <col min="1802" max="1802" width="10.42578125" style="66" bestFit="1" customWidth="1"/>
    <col min="1803" max="1804" width="9.42578125" style="66" bestFit="1" customWidth="1"/>
    <col min="1805" max="1806" width="9.42578125" style="66" customWidth="1"/>
    <col min="1807" max="1807" width="10.140625" style="66" bestFit="1" customWidth="1"/>
    <col min="1808" max="1811" width="9.140625" style="66"/>
    <col min="1812" max="1812" width="7.28515625" style="66" customWidth="1"/>
    <col min="1813" max="1815" width="7.42578125" style="66" customWidth="1"/>
    <col min="1816" max="1816" width="10.42578125" style="66" bestFit="1" customWidth="1"/>
    <col min="1817" max="1817" width="12" style="66" bestFit="1" customWidth="1"/>
    <col min="1818" max="1818" width="11" style="66" bestFit="1" customWidth="1"/>
    <col min="1819" max="1820" width="11" style="66" customWidth="1"/>
    <col min="1821" max="1821" width="10" style="66" bestFit="1" customWidth="1"/>
    <col min="1822" max="1822" width="14.42578125" style="66" bestFit="1" customWidth="1"/>
    <col min="1823" max="1833" width="0" style="66" hidden="1" customWidth="1"/>
    <col min="1834" max="2054" width="9.140625" style="66"/>
    <col min="2055" max="2055" width="54.140625" style="66" bestFit="1" customWidth="1"/>
    <col min="2056" max="2056" width="14.7109375" style="66" customWidth="1"/>
    <col min="2057" max="2057" width="10.140625" style="66" customWidth="1"/>
    <col min="2058" max="2058" width="10.42578125" style="66" bestFit="1" customWidth="1"/>
    <col min="2059" max="2060" width="9.42578125" style="66" bestFit="1" customWidth="1"/>
    <col min="2061" max="2062" width="9.42578125" style="66" customWidth="1"/>
    <col min="2063" max="2063" width="10.140625" style="66" bestFit="1" customWidth="1"/>
    <col min="2064" max="2067" width="9.140625" style="66"/>
    <col min="2068" max="2068" width="7.28515625" style="66" customWidth="1"/>
    <col min="2069" max="2071" width="7.42578125" style="66" customWidth="1"/>
    <col min="2072" max="2072" width="10.42578125" style="66" bestFit="1" customWidth="1"/>
    <col min="2073" max="2073" width="12" style="66" bestFit="1" customWidth="1"/>
    <col min="2074" max="2074" width="11" style="66" bestFit="1" customWidth="1"/>
    <col min="2075" max="2076" width="11" style="66" customWidth="1"/>
    <col min="2077" max="2077" width="10" style="66" bestFit="1" customWidth="1"/>
    <col min="2078" max="2078" width="14.42578125" style="66" bestFit="1" customWidth="1"/>
    <col min="2079" max="2089" width="0" style="66" hidden="1" customWidth="1"/>
    <col min="2090" max="2310" width="9.140625" style="66"/>
    <col min="2311" max="2311" width="54.140625" style="66" bestFit="1" customWidth="1"/>
    <col min="2312" max="2312" width="14.7109375" style="66" customWidth="1"/>
    <col min="2313" max="2313" width="10.140625" style="66" customWidth="1"/>
    <col min="2314" max="2314" width="10.42578125" style="66" bestFit="1" customWidth="1"/>
    <col min="2315" max="2316" width="9.42578125" style="66" bestFit="1" customWidth="1"/>
    <col min="2317" max="2318" width="9.42578125" style="66" customWidth="1"/>
    <col min="2319" max="2319" width="10.140625" style="66" bestFit="1" customWidth="1"/>
    <col min="2320" max="2323" width="9.140625" style="66"/>
    <col min="2324" max="2324" width="7.28515625" style="66" customWidth="1"/>
    <col min="2325" max="2327" width="7.42578125" style="66" customWidth="1"/>
    <col min="2328" max="2328" width="10.42578125" style="66" bestFit="1" customWidth="1"/>
    <col min="2329" max="2329" width="12" style="66" bestFit="1" customWidth="1"/>
    <col min="2330" max="2330" width="11" style="66" bestFit="1" customWidth="1"/>
    <col min="2331" max="2332" width="11" style="66" customWidth="1"/>
    <col min="2333" max="2333" width="10" style="66" bestFit="1" customWidth="1"/>
    <col min="2334" max="2334" width="14.42578125" style="66" bestFit="1" customWidth="1"/>
    <col min="2335" max="2345" width="0" style="66" hidden="1" customWidth="1"/>
    <col min="2346" max="2566" width="9.140625" style="66"/>
    <col min="2567" max="2567" width="54.140625" style="66" bestFit="1" customWidth="1"/>
    <col min="2568" max="2568" width="14.7109375" style="66" customWidth="1"/>
    <col min="2569" max="2569" width="10.140625" style="66" customWidth="1"/>
    <col min="2570" max="2570" width="10.42578125" style="66" bestFit="1" customWidth="1"/>
    <col min="2571" max="2572" width="9.42578125" style="66" bestFit="1" customWidth="1"/>
    <col min="2573" max="2574" width="9.42578125" style="66" customWidth="1"/>
    <col min="2575" max="2575" width="10.140625" style="66" bestFit="1" customWidth="1"/>
    <col min="2576" max="2579" width="9.140625" style="66"/>
    <col min="2580" max="2580" width="7.28515625" style="66" customWidth="1"/>
    <col min="2581" max="2583" width="7.42578125" style="66" customWidth="1"/>
    <col min="2584" max="2584" width="10.42578125" style="66" bestFit="1" customWidth="1"/>
    <col min="2585" max="2585" width="12" style="66" bestFit="1" customWidth="1"/>
    <col min="2586" max="2586" width="11" style="66" bestFit="1" customWidth="1"/>
    <col min="2587" max="2588" width="11" style="66" customWidth="1"/>
    <col min="2589" max="2589" width="10" style="66" bestFit="1" customWidth="1"/>
    <col min="2590" max="2590" width="14.42578125" style="66" bestFit="1" customWidth="1"/>
    <col min="2591" max="2601" width="0" style="66" hidden="1" customWidth="1"/>
    <col min="2602" max="2822" width="9.140625" style="66"/>
    <col min="2823" max="2823" width="54.140625" style="66" bestFit="1" customWidth="1"/>
    <col min="2824" max="2824" width="14.7109375" style="66" customWidth="1"/>
    <col min="2825" max="2825" width="10.140625" style="66" customWidth="1"/>
    <col min="2826" max="2826" width="10.42578125" style="66" bestFit="1" customWidth="1"/>
    <col min="2827" max="2828" width="9.42578125" style="66" bestFit="1" customWidth="1"/>
    <col min="2829" max="2830" width="9.42578125" style="66" customWidth="1"/>
    <col min="2831" max="2831" width="10.140625" style="66" bestFit="1" customWidth="1"/>
    <col min="2832" max="2835" width="9.140625" style="66"/>
    <col min="2836" max="2836" width="7.28515625" style="66" customWidth="1"/>
    <col min="2837" max="2839" width="7.42578125" style="66" customWidth="1"/>
    <col min="2840" max="2840" width="10.42578125" style="66" bestFit="1" customWidth="1"/>
    <col min="2841" max="2841" width="12" style="66" bestFit="1" customWidth="1"/>
    <col min="2842" max="2842" width="11" style="66" bestFit="1" customWidth="1"/>
    <col min="2843" max="2844" width="11" style="66" customWidth="1"/>
    <col min="2845" max="2845" width="10" style="66" bestFit="1" customWidth="1"/>
    <col min="2846" max="2846" width="14.42578125" style="66" bestFit="1" customWidth="1"/>
    <col min="2847" max="2857" width="0" style="66" hidden="1" customWidth="1"/>
    <col min="2858" max="3078" width="9.140625" style="66"/>
    <col min="3079" max="3079" width="54.140625" style="66" bestFit="1" customWidth="1"/>
    <col min="3080" max="3080" width="14.7109375" style="66" customWidth="1"/>
    <col min="3081" max="3081" width="10.140625" style="66" customWidth="1"/>
    <col min="3082" max="3082" width="10.42578125" style="66" bestFit="1" customWidth="1"/>
    <col min="3083" max="3084" width="9.42578125" style="66" bestFit="1" customWidth="1"/>
    <col min="3085" max="3086" width="9.42578125" style="66" customWidth="1"/>
    <col min="3087" max="3087" width="10.140625" style="66" bestFit="1" customWidth="1"/>
    <col min="3088" max="3091" width="9.140625" style="66"/>
    <col min="3092" max="3092" width="7.28515625" style="66" customWidth="1"/>
    <col min="3093" max="3095" width="7.42578125" style="66" customWidth="1"/>
    <col min="3096" max="3096" width="10.42578125" style="66" bestFit="1" customWidth="1"/>
    <col min="3097" max="3097" width="12" style="66" bestFit="1" customWidth="1"/>
    <col min="3098" max="3098" width="11" style="66" bestFit="1" customWidth="1"/>
    <col min="3099" max="3100" width="11" style="66" customWidth="1"/>
    <col min="3101" max="3101" width="10" style="66" bestFit="1" customWidth="1"/>
    <col min="3102" max="3102" width="14.42578125" style="66" bestFit="1" customWidth="1"/>
    <col min="3103" max="3113" width="0" style="66" hidden="1" customWidth="1"/>
    <col min="3114" max="3334" width="9.140625" style="66"/>
    <col min="3335" max="3335" width="54.140625" style="66" bestFit="1" customWidth="1"/>
    <col min="3336" max="3336" width="14.7109375" style="66" customWidth="1"/>
    <col min="3337" max="3337" width="10.140625" style="66" customWidth="1"/>
    <col min="3338" max="3338" width="10.42578125" style="66" bestFit="1" customWidth="1"/>
    <col min="3339" max="3340" width="9.42578125" style="66" bestFit="1" customWidth="1"/>
    <col min="3341" max="3342" width="9.42578125" style="66" customWidth="1"/>
    <col min="3343" max="3343" width="10.140625" style="66" bestFit="1" customWidth="1"/>
    <col min="3344" max="3347" width="9.140625" style="66"/>
    <col min="3348" max="3348" width="7.28515625" style="66" customWidth="1"/>
    <col min="3349" max="3351" width="7.42578125" style="66" customWidth="1"/>
    <col min="3352" max="3352" width="10.42578125" style="66" bestFit="1" customWidth="1"/>
    <col min="3353" max="3353" width="12" style="66" bestFit="1" customWidth="1"/>
    <col min="3354" max="3354" width="11" style="66" bestFit="1" customWidth="1"/>
    <col min="3355" max="3356" width="11" style="66" customWidth="1"/>
    <col min="3357" max="3357" width="10" style="66" bestFit="1" customWidth="1"/>
    <col min="3358" max="3358" width="14.42578125" style="66" bestFit="1" customWidth="1"/>
    <col min="3359" max="3369" width="0" style="66" hidden="1" customWidth="1"/>
    <col min="3370" max="3590" width="9.140625" style="66"/>
    <col min="3591" max="3591" width="54.140625" style="66" bestFit="1" customWidth="1"/>
    <col min="3592" max="3592" width="14.7109375" style="66" customWidth="1"/>
    <col min="3593" max="3593" width="10.140625" style="66" customWidth="1"/>
    <col min="3594" max="3594" width="10.42578125" style="66" bestFit="1" customWidth="1"/>
    <col min="3595" max="3596" width="9.42578125" style="66" bestFit="1" customWidth="1"/>
    <col min="3597" max="3598" width="9.42578125" style="66" customWidth="1"/>
    <col min="3599" max="3599" width="10.140625" style="66" bestFit="1" customWidth="1"/>
    <col min="3600" max="3603" width="9.140625" style="66"/>
    <col min="3604" max="3604" width="7.28515625" style="66" customWidth="1"/>
    <col min="3605" max="3607" width="7.42578125" style="66" customWidth="1"/>
    <col min="3608" max="3608" width="10.42578125" style="66" bestFit="1" customWidth="1"/>
    <col min="3609" max="3609" width="12" style="66" bestFit="1" customWidth="1"/>
    <col min="3610" max="3610" width="11" style="66" bestFit="1" customWidth="1"/>
    <col min="3611" max="3612" width="11" style="66" customWidth="1"/>
    <col min="3613" max="3613" width="10" style="66" bestFit="1" customWidth="1"/>
    <col min="3614" max="3614" width="14.42578125" style="66" bestFit="1" customWidth="1"/>
    <col min="3615" max="3625" width="0" style="66" hidden="1" customWidth="1"/>
    <col min="3626" max="3846" width="9.140625" style="66"/>
    <col min="3847" max="3847" width="54.140625" style="66" bestFit="1" customWidth="1"/>
    <col min="3848" max="3848" width="14.7109375" style="66" customWidth="1"/>
    <col min="3849" max="3849" width="10.140625" style="66" customWidth="1"/>
    <col min="3850" max="3850" width="10.42578125" style="66" bestFit="1" customWidth="1"/>
    <col min="3851" max="3852" width="9.42578125" style="66" bestFit="1" customWidth="1"/>
    <col min="3853" max="3854" width="9.42578125" style="66" customWidth="1"/>
    <col min="3855" max="3855" width="10.140625" style="66" bestFit="1" customWidth="1"/>
    <col min="3856" max="3859" width="9.140625" style="66"/>
    <col min="3860" max="3860" width="7.28515625" style="66" customWidth="1"/>
    <col min="3861" max="3863" width="7.42578125" style="66" customWidth="1"/>
    <col min="3864" max="3864" width="10.42578125" style="66" bestFit="1" customWidth="1"/>
    <col min="3865" max="3865" width="12" style="66" bestFit="1" customWidth="1"/>
    <col min="3866" max="3866" width="11" style="66" bestFit="1" customWidth="1"/>
    <col min="3867" max="3868" width="11" style="66" customWidth="1"/>
    <col min="3869" max="3869" width="10" style="66" bestFit="1" customWidth="1"/>
    <col min="3870" max="3870" width="14.42578125" style="66" bestFit="1" customWidth="1"/>
    <col min="3871" max="3881" width="0" style="66" hidden="1" customWidth="1"/>
    <col min="3882" max="4102" width="9.140625" style="66"/>
    <col min="4103" max="4103" width="54.140625" style="66" bestFit="1" customWidth="1"/>
    <col min="4104" max="4104" width="14.7109375" style="66" customWidth="1"/>
    <col min="4105" max="4105" width="10.140625" style="66" customWidth="1"/>
    <col min="4106" max="4106" width="10.42578125" style="66" bestFit="1" customWidth="1"/>
    <col min="4107" max="4108" width="9.42578125" style="66" bestFit="1" customWidth="1"/>
    <col min="4109" max="4110" width="9.42578125" style="66" customWidth="1"/>
    <col min="4111" max="4111" width="10.140625" style="66" bestFit="1" customWidth="1"/>
    <col min="4112" max="4115" width="9.140625" style="66"/>
    <col min="4116" max="4116" width="7.28515625" style="66" customWidth="1"/>
    <col min="4117" max="4119" width="7.42578125" style="66" customWidth="1"/>
    <col min="4120" max="4120" width="10.42578125" style="66" bestFit="1" customWidth="1"/>
    <col min="4121" max="4121" width="12" style="66" bestFit="1" customWidth="1"/>
    <col min="4122" max="4122" width="11" style="66" bestFit="1" customWidth="1"/>
    <col min="4123" max="4124" width="11" style="66" customWidth="1"/>
    <col min="4125" max="4125" width="10" style="66" bestFit="1" customWidth="1"/>
    <col min="4126" max="4126" width="14.42578125" style="66" bestFit="1" customWidth="1"/>
    <col min="4127" max="4137" width="0" style="66" hidden="1" customWidth="1"/>
    <col min="4138" max="4358" width="9.140625" style="66"/>
    <col min="4359" max="4359" width="54.140625" style="66" bestFit="1" customWidth="1"/>
    <col min="4360" max="4360" width="14.7109375" style="66" customWidth="1"/>
    <col min="4361" max="4361" width="10.140625" style="66" customWidth="1"/>
    <col min="4362" max="4362" width="10.42578125" style="66" bestFit="1" customWidth="1"/>
    <col min="4363" max="4364" width="9.42578125" style="66" bestFit="1" customWidth="1"/>
    <col min="4365" max="4366" width="9.42578125" style="66" customWidth="1"/>
    <col min="4367" max="4367" width="10.140625" style="66" bestFit="1" customWidth="1"/>
    <col min="4368" max="4371" width="9.140625" style="66"/>
    <col min="4372" max="4372" width="7.28515625" style="66" customWidth="1"/>
    <col min="4373" max="4375" width="7.42578125" style="66" customWidth="1"/>
    <col min="4376" max="4376" width="10.42578125" style="66" bestFit="1" customWidth="1"/>
    <col min="4377" max="4377" width="12" style="66" bestFit="1" customWidth="1"/>
    <col min="4378" max="4378" width="11" style="66" bestFit="1" customWidth="1"/>
    <col min="4379" max="4380" width="11" style="66" customWidth="1"/>
    <col min="4381" max="4381" width="10" style="66" bestFit="1" customWidth="1"/>
    <col min="4382" max="4382" width="14.42578125" style="66" bestFit="1" customWidth="1"/>
    <col min="4383" max="4393" width="0" style="66" hidden="1" customWidth="1"/>
    <col min="4394" max="4614" width="9.140625" style="66"/>
    <col min="4615" max="4615" width="54.140625" style="66" bestFit="1" customWidth="1"/>
    <col min="4616" max="4616" width="14.7109375" style="66" customWidth="1"/>
    <col min="4617" max="4617" width="10.140625" style="66" customWidth="1"/>
    <col min="4618" max="4618" width="10.42578125" style="66" bestFit="1" customWidth="1"/>
    <col min="4619" max="4620" width="9.42578125" style="66" bestFit="1" customWidth="1"/>
    <col min="4621" max="4622" width="9.42578125" style="66" customWidth="1"/>
    <col min="4623" max="4623" width="10.140625" style="66" bestFit="1" customWidth="1"/>
    <col min="4624" max="4627" width="9.140625" style="66"/>
    <col min="4628" max="4628" width="7.28515625" style="66" customWidth="1"/>
    <col min="4629" max="4631" width="7.42578125" style="66" customWidth="1"/>
    <col min="4632" max="4632" width="10.42578125" style="66" bestFit="1" customWidth="1"/>
    <col min="4633" max="4633" width="12" style="66" bestFit="1" customWidth="1"/>
    <col min="4634" max="4634" width="11" style="66" bestFit="1" customWidth="1"/>
    <col min="4635" max="4636" width="11" style="66" customWidth="1"/>
    <col min="4637" max="4637" width="10" style="66" bestFit="1" customWidth="1"/>
    <col min="4638" max="4638" width="14.42578125" style="66" bestFit="1" customWidth="1"/>
    <col min="4639" max="4649" width="0" style="66" hidden="1" customWidth="1"/>
    <col min="4650" max="4870" width="9.140625" style="66"/>
    <col min="4871" max="4871" width="54.140625" style="66" bestFit="1" customWidth="1"/>
    <col min="4872" max="4872" width="14.7109375" style="66" customWidth="1"/>
    <col min="4873" max="4873" width="10.140625" style="66" customWidth="1"/>
    <col min="4874" max="4874" width="10.42578125" style="66" bestFit="1" customWidth="1"/>
    <col min="4875" max="4876" width="9.42578125" style="66" bestFit="1" customWidth="1"/>
    <col min="4877" max="4878" width="9.42578125" style="66" customWidth="1"/>
    <col min="4879" max="4879" width="10.140625" style="66" bestFit="1" customWidth="1"/>
    <col min="4880" max="4883" width="9.140625" style="66"/>
    <col min="4884" max="4884" width="7.28515625" style="66" customWidth="1"/>
    <col min="4885" max="4887" width="7.42578125" style="66" customWidth="1"/>
    <col min="4888" max="4888" width="10.42578125" style="66" bestFit="1" customWidth="1"/>
    <col min="4889" max="4889" width="12" style="66" bestFit="1" customWidth="1"/>
    <col min="4890" max="4890" width="11" style="66" bestFit="1" customWidth="1"/>
    <col min="4891" max="4892" width="11" style="66" customWidth="1"/>
    <col min="4893" max="4893" width="10" style="66" bestFit="1" customWidth="1"/>
    <col min="4894" max="4894" width="14.42578125" style="66" bestFit="1" customWidth="1"/>
    <col min="4895" max="4905" width="0" style="66" hidden="1" customWidth="1"/>
    <col min="4906" max="5126" width="9.140625" style="66"/>
    <col min="5127" max="5127" width="54.140625" style="66" bestFit="1" customWidth="1"/>
    <col min="5128" max="5128" width="14.7109375" style="66" customWidth="1"/>
    <col min="5129" max="5129" width="10.140625" style="66" customWidth="1"/>
    <col min="5130" max="5130" width="10.42578125" style="66" bestFit="1" customWidth="1"/>
    <col min="5131" max="5132" width="9.42578125" style="66" bestFit="1" customWidth="1"/>
    <col min="5133" max="5134" width="9.42578125" style="66" customWidth="1"/>
    <col min="5135" max="5135" width="10.140625" style="66" bestFit="1" customWidth="1"/>
    <col min="5136" max="5139" width="9.140625" style="66"/>
    <col min="5140" max="5140" width="7.28515625" style="66" customWidth="1"/>
    <col min="5141" max="5143" width="7.42578125" style="66" customWidth="1"/>
    <col min="5144" max="5144" width="10.42578125" style="66" bestFit="1" customWidth="1"/>
    <col min="5145" max="5145" width="12" style="66" bestFit="1" customWidth="1"/>
    <col min="5146" max="5146" width="11" style="66" bestFit="1" customWidth="1"/>
    <col min="5147" max="5148" width="11" style="66" customWidth="1"/>
    <col min="5149" max="5149" width="10" style="66" bestFit="1" customWidth="1"/>
    <col min="5150" max="5150" width="14.42578125" style="66" bestFit="1" customWidth="1"/>
    <col min="5151" max="5161" width="0" style="66" hidden="1" customWidth="1"/>
    <col min="5162" max="5382" width="9.140625" style="66"/>
    <col min="5383" max="5383" width="54.140625" style="66" bestFit="1" customWidth="1"/>
    <col min="5384" max="5384" width="14.7109375" style="66" customWidth="1"/>
    <col min="5385" max="5385" width="10.140625" style="66" customWidth="1"/>
    <col min="5386" max="5386" width="10.42578125" style="66" bestFit="1" customWidth="1"/>
    <col min="5387" max="5388" width="9.42578125" style="66" bestFit="1" customWidth="1"/>
    <col min="5389" max="5390" width="9.42578125" style="66" customWidth="1"/>
    <col min="5391" max="5391" width="10.140625" style="66" bestFit="1" customWidth="1"/>
    <col min="5392" max="5395" width="9.140625" style="66"/>
    <col min="5396" max="5396" width="7.28515625" style="66" customWidth="1"/>
    <col min="5397" max="5399" width="7.42578125" style="66" customWidth="1"/>
    <col min="5400" max="5400" width="10.42578125" style="66" bestFit="1" customWidth="1"/>
    <col min="5401" max="5401" width="12" style="66" bestFit="1" customWidth="1"/>
    <col min="5402" max="5402" width="11" style="66" bestFit="1" customWidth="1"/>
    <col min="5403" max="5404" width="11" style="66" customWidth="1"/>
    <col min="5405" max="5405" width="10" style="66" bestFit="1" customWidth="1"/>
    <col min="5406" max="5406" width="14.42578125" style="66" bestFit="1" customWidth="1"/>
    <col min="5407" max="5417" width="0" style="66" hidden="1" customWidth="1"/>
    <col min="5418" max="5638" width="9.140625" style="66"/>
    <col min="5639" max="5639" width="54.140625" style="66" bestFit="1" customWidth="1"/>
    <col min="5640" max="5640" width="14.7109375" style="66" customWidth="1"/>
    <col min="5641" max="5641" width="10.140625" style="66" customWidth="1"/>
    <col min="5642" max="5642" width="10.42578125" style="66" bestFit="1" customWidth="1"/>
    <col min="5643" max="5644" width="9.42578125" style="66" bestFit="1" customWidth="1"/>
    <col min="5645" max="5646" width="9.42578125" style="66" customWidth="1"/>
    <col min="5647" max="5647" width="10.140625" style="66" bestFit="1" customWidth="1"/>
    <col min="5648" max="5651" width="9.140625" style="66"/>
    <col min="5652" max="5652" width="7.28515625" style="66" customWidth="1"/>
    <col min="5653" max="5655" width="7.42578125" style="66" customWidth="1"/>
    <col min="5656" max="5656" width="10.42578125" style="66" bestFit="1" customWidth="1"/>
    <col min="5657" max="5657" width="12" style="66" bestFit="1" customWidth="1"/>
    <col min="5658" max="5658" width="11" style="66" bestFit="1" customWidth="1"/>
    <col min="5659" max="5660" width="11" style="66" customWidth="1"/>
    <col min="5661" max="5661" width="10" style="66" bestFit="1" customWidth="1"/>
    <col min="5662" max="5662" width="14.42578125" style="66" bestFit="1" customWidth="1"/>
    <col min="5663" max="5673" width="0" style="66" hidden="1" customWidth="1"/>
    <col min="5674" max="5894" width="9.140625" style="66"/>
    <col min="5895" max="5895" width="54.140625" style="66" bestFit="1" customWidth="1"/>
    <col min="5896" max="5896" width="14.7109375" style="66" customWidth="1"/>
    <col min="5897" max="5897" width="10.140625" style="66" customWidth="1"/>
    <col min="5898" max="5898" width="10.42578125" style="66" bestFit="1" customWidth="1"/>
    <col min="5899" max="5900" width="9.42578125" style="66" bestFit="1" customWidth="1"/>
    <col min="5901" max="5902" width="9.42578125" style="66" customWidth="1"/>
    <col min="5903" max="5903" width="10.140625" style="66" bestFit="1" customWidth="1"/>
    <col min="5904" max="5907" width="9.140625" style="66"/>
    <col min="5908" max="5908" width="7.28515625" style="66" customWidth="1"/>
    <col min="5909" max="5911" width="7.42578125" style="66" customWidth="1"/>
    <col min="5912" max="5912" width="10.42578125" style="66" bestFit="1" customWidth="1"/>
    <col min="5913" max="5913" width="12" style="66" bestFit="1" customWidth="1"/>
    <col min="5914" max="5914" width="11" style="66" bestFit="1" customWidth="1"/>
    <col min="5915" max="5916" width="11" style="66" customWidth="1"/>
    <col min="5917" max="5917" width="10" style="66" bestFit="1" customWidth="1"/>
    <col min="5918" max="5918" width="14.42578125" style="66" bestFit="1" customWidth="1"/>
    <col min="5919" max="5929" width="0" style="66" hidden="1" customWidth="1"/>
    <col min="5930" max="6150" width="9.140625" style="66"/>
    <col min="6151" max="6151" width="54.140625" style="66" bestFit="1" customWidth="1"/>
    <col min="6152" max="6152" width="14.7109375" style="66" customWidth="1"/>
    <col min="6153" max="6153" width="10.140625" style="66" customWidth="1"/>
    <col min="6154" max="6154" width="10.42578125" style="66" bestFit="1" customWidth="1"/>
    <col min="6155" max="6156" width="9.42578125" style="66" bestFit="1" customWidth="1"/>
    <col min="6157" max="6158" width="9.42578125" style="66" customWidth="1"/>
    <col min="6159" max="6159" width="10.140625" style="66" bestFit="1" customWidth="1"/>
    <col min="6160" max="6163" width="9.140625" style="66"/>
    <col min="6164" max="6164" width="7.28515625" style="66" customWidth="1"/>
    <col min="6165" max="6167" width="7.42578125" style="66" customWidth="1"/>
    <col min="6168" max="6168" width="10.42578125" style="66" bestFit="1" customWidth="1"/>
    <col min="6169" max="6169" width="12" style="66" bestFit="1" customWidth="1"/>
    <col min="6170" max="6170" width="11" style="66" bestFit="1" customWidth="1"/>
    <col min="6171" max="6172" width="11" style="66" customWidth="1"/>
    <col min="6173" max="6173" width="10" style="66" bestFit="1" customWidth="1"/>
    <col min="6174" max="6174" width="14.42578125" style="66" bestFit="1" customWidth="1"/>
    <col min="6175" max="6185" width="0" style="66" hidden="1" customWidth="1"/>
    <col min="6186" max="6406" width="9.140625" style="66"/>
    <col min="6407" max="6407" width="54.140625" style="66" bestFit="1" customWidth="1"/>
    <col min="6408" max="6408" width="14.7109375" style="66" customWidth="1"/>
    <col min="6409" max="6409" width="10.140625" style="66" customWidth="1"/>
    <col min="6410" max="6410" width="10.42578125" style="66" bestFit="1" customWidth="1"/>
    <col min="6411" max="6412" width="9.42578125" style="66" bestFit="1" customWidth="1"/>
    <col min="6413" max="6414" width="9.42578125" style="66" customWidth="1"/>
    <col min="6415" max="6415" width="10.140625" style="66" bestFit="1" customWidth="1"/>
    <col min="6416" max="6419" width="9.140625" style="66"/>
    <col min="6420" max="6420" width="7.28515625" style="66" customWidth="1"/>
    <col min="6421" max="6423" width="7.42578125" style="66" customWidth="1"/>
    <col min="6424" max="6424" width="10.42578125" style="66" bestFit="1" customWidth="1"/>
    <col min="6425" max="6425" width="12" style="66" bestFit="1" customWidth="1"/>
    <col min="6426" max="6426" width="11" style="66" bestFit="1" customWidth="1"/>
    <col min="6427" max="6428" width="11" style="66" customWidth="1"/>
    <col min="6429" max="6429" width="10" style="66" bestFit="1" customWidth="1"/>
    <col min="6430" max="6430" width="14.42578125" style="66" bestFit="1" customWidth="1"/>
    <col min="6431" max="6441" width="0" style="66" hidden="1" customWidth="1"/>
    <col min="6442" max="6662" width="9.140625" style="66"/>
    <col min="6663" max="6663" width="54.140625" style="66" bestFit="1" customWidth="1"/>
    <col min="6664" max="6664" width="14.7109375" style="66" customWidth="1"/>
    <col min="6665" max="6665" width="10.140625" style="66" customWidth="1"/>
    <col min="6666" max="6666" width="10.42578125" style="66" bestFit="1" customWidth="1"/>
    <col min="6667" max="6668" width="9.42578125" style="66" bestFit="1" customWidth="1"/>
    <col min="6669" max="6670" width="9.42578125" style="66" customWidth="1"/>
    <col min="6671" max="6671" width="10.140625" style="66" bestFit="1" customWidth="1"/>
    <col min="6672" max="6675" width="9.140625" style="66"/>
    <col min="6676" max="6676" width="7.28515625" style="66" customWidth="1"/>
    <col min="6677" max="6679" width="7.42578125" style="66" customWidth="1"/>
    <col min="6680" max="6680" width="10.42578125" style="66" bestFit="1" customWidth="1"/>
    <col min="6681" max="6681" width="12" style="66" bestFit="1" customWidth="1"/>
    <col min="6682" max="6682" width="11" style="66" bestFit="1" customWidth="1"/>
    <col min="6683" max="6684" width="11" style="66" customWidth="1"/>
    <col min="6685" max="6685" width="10" style="66" bestFit="1" customWidth="1"/>
    <col min="6686" max="6686" width="14.42578125" style="66" bestFit="1" customWidth="1"/>
    <col min="6687" max="6697" width="0" style="66" hidden="1" customWidth="1"/>
    <col min="6698" max="6918" width="9.140625" style="66"/>
    <col min="6919" max="6919" width="54.140625" style="66" bestFit="1" customWidth="1"/>
    <col min="6920" max="6920" width="14.7109375" style="66" customWidth="1"/>
    <col min="6921" max="6921" width="10.140625" style="66" customWidth="1"/>
    <col min="6922" max="6922" width="10.42578125" style="66" bestFit="1" customWidth="1"/>
    <col min="6923" max="6924" width="9.42578125" style="66" bestFit="1" customWidth="1"/>
    <col min="6925" max="6926" width="9.42578125" style="66" customWidth="1"/>
    <col min="6927" max="6927" width="10.140625" style="66" bestFit="1" customWidth="1"/>
    <col min="6928" max="6931" width="9.140625" style="66"/>
    <col min="6932" max="6932" width="7.28515625" style="66" customWidth="1"/>
    <col min="6933" max="6935" width="7.42578125" style="66" customWidth="1"/>
    <col min="6936" max="6936" width="10.42578125" style="66" bestFit="1" customWidth="1"/>
    <col min="6937" max="6937" width="12" style="66" bestFit="1" customWidth="1"/>
    <col min="6938" max="6938" width="11" style="66" bestFit="1" customWidth="1"/>
    <col min="6939" max="6940" width="11" style="66" customWidth="1"/>
    <col min="6941" max="6941" width="10" style="66" bestFit="1" customWidth="1"/>
    <col min="6942" max="6942" width="14.42578125" style="66" bestFit="1" customWidth="1"/>
    <col min="6943" max="6953" width="0" style="66" hidden="1" customWidth="1"/>
    <col min="6954" max="7174" width="9.140625" style="66"/>
    <col min="7175" max="7175" width="54.140625" style="66" bestFit="1" customWidth="1"/>
    <col min="7176" max="7176" width="14.7109375" style="66" customWidth="1"/>
    <col min="7177" max="7177" width="10.140625" style="66" customWidth="1"/>
    <col min="7178" max="7178" width="10.42578125" style="66" bestFit="1" customWidth="1"/>
    <col min="7179" max="7180" width="9.42578125" style="66" bestFit="1" customWidth="1"/>
    <col min="7181" max="7182" width="9.42578125" style="66" customWidth="1"/>
    <col min="7183" max="7183" width="10.140625" style="66" bestFit="1" customWidth="1"/>
    <col min="7184" max="7187" width="9.140625" style="66"/>
    <col min="7188" max="7188" width="7.28515625" style="66" customWidth="1"/>
    <col min="7189" max="7191" width="7.42578125" style="66" customWidth="1"/>
    <col min="7192" max="7192" width="10.42578125" style="66" bestFit="1" customWidth="1"/>
    <col min="7193" max="7193" width="12" style="66" bestFit="1" customWidth="1"/>
    <col min="7194" max="7194" width="11" style="66" bestFit="1" customWidth="1"/>
    <col min="7195" max="7196" width="11" style="66" customWidth="1"/>
    <col min="7197" max="7197" width="10" style="66" bestFit="1" customWidth="1"/>
    <col min="7198" max="7198" width="14.42578125" style="66" bestFit="1" customWidth="1"/>
    <col min="7199" max="7209" width="0" style="66" hidden="1" customWidth="1"/>
    <col min="7210" max="7430" width="9.140625" style="66"/>
    <col min="7431" max="7431" width="54.140625" style="66" bestFit="1" customWidth="1"/>
    <col min="7432" max="7432" width="14.7109375" style="66" customWidth="1"/>
    <col min="7433" max="7433" width="10.140625" style="66" customWidth="1"/>
    <col min="7434" max="7434" width="10.42578125" style="66" bestFit="1" customWidth="1"/>
    <col min="7435" max="7436" width="9.42578125" style="66" bestFit="1" customWidth="1"/>
    <col min="7437" max="7438" width="9.42578125" style="66" customWidth="1"/>
    <col min="7439" max="7439" width="10.140625" style="66" bestFit="1" customWidth="1"/>
    <col min="7440" max="7443" width="9.140625" style="66"/>
    <col min="7444" max="7444" width="7.28515625" style="66" customWidth="1"/>
    <col min="7445" max="7447" width="7.42578125" style="66" customWidth="1"/>
    <col min="7448" max="7448" width="10.42578125" style="66" bestFit="1" customWidth="1"/>
    <col min="7449" max="7449" width="12" style="66" bestFit="1" customWidth="1"/>
    <col min="7450" max="7450" width="11" style="66" bestFit="1" customWidth="1"/>
    <col min="7451" max="7452" width="11" style="66" customWidth="1"/>
    <col min="7453" max="7453" width="10" style="66" bestFit="1" customWidth="1"/>
    <col min="7454" max="7454" width="14.42578125" style="66" bestFit="1" customWidth="1"/>
    <col min="7455" max="7465" width="0" style="66" hidden="1" customWidth="1"/>
    <col min="7466" max="7686" width="9.140625" style="66"/>
    <col min="7687" max="7687" width="54.140625" style="66" bestFit="1" customWidth="1"/>
    <col min="7688" max="7688" width="14.7109375" style="66" customWidth="1"/>
    <col min="7689" max="7689" width="10.140625" style="66" customWidth="1"/>
    <col min="7690" max="7690" width="10.42578125" style="66" bestFit="1" customWidth="1"/>
    <col min="7691" max="7692" width="9.42578125" style="66" bestFit="1" customWidth="1"/>
    <col min="7693" max="7694" width="9.42578125" style="66" customWidth="1"/>
    <col min="7695" max="7695" width="10.140625" style="66" bestFit="1" customWidth="1"/>
    <col min="7696" max="7699" width="9.140625" style="66"/>
    <col min="7700" max="7700" width="7.28515625" style="66" customWidth="1"/>
    <col min="7701" max="7703" width="7.42578125" style="66" customWidth="1"/>
    <col min="7704" max="7704" width="10.42578125" style="66" bestFit="1" customWidth="1"/>
    <col min="7705" max="7705" width="12" style="66" bestFit="1" customWidth="1"/>
    <col min="7706" max="7706" width="11" style="66" bestFit="1" customWidth="1"/>
    <col min="7707" max="7708" width="11" style="66" customWidth="1"/>
    <col min="7709" max="7709" width="10" style="66" bestFit="1" customWidth="1"/>
    <col min="7710" max="7710" width="14.42578125" style="66" bestFit="1" customWidth="1"/>
    <col min="7711" max="7721" width="0" style="66" hidden="1" customWidth="1"/>
    <col min="7722" max="7942" width="9.140625" style="66"/>
    <col min="7943" max="7943" width="54.140625" style="66" bestFit="1" customWidth="1"/>
    <col min="7944" max="7944" width="14.7109375" style="66" customWidth="1"/>
    <col min="7945" max="7945" width="10.140625" style="66" customWidth="1"/>
    <col min="7946" max="7946" width="10.42578125" style="66" bestFit="1" customWidth="1"/>
    <col min="7947" max="7948" width="9.42578125" style="66" bestFit="1" customWidth="1"/>
    <col min="7949" max="7950" width="9.42578125" style="66" customWidth="1"/>
    <col min="7951" max="7951" width="10.140625" style="66" bestFit="1" customWidth="1"/>
    <col min="7952" max="7955" width="9.140625" style="66"/>
    <col min="7956" max="7956" width="7.28515625" style="66" customWidth="1"/>
    <col min="7957" max="7959" width="7.42578125" style="66" customWidth="1"/>
    <col min="7960" max="7960" width="10.42578125" style="66" bestFit="1" customWidth="1"/>
    <col min="7961" max="7961" width="12" style="66" bestFit="1" customWidth="1"/>
    <col min="7962" max="7962" width="11" style="66" bestFit="1" customWidth="1"/>
    <col min="7963" max="7964" width="11" style="66" customWidth="1"/>
    <col min="7965" max="7965" width="10" style="66" bestFit="1" customWidth="1"/>
    <col min="7966" max="7966" width="14.42578125" style="66" bestFit="1" customWidth="1"/>
    <col min="7967" max="7977" width="0" style="66" hidden="1" customWidth="1"/>
    <col min="7978" max="8198" width="9.140625" style="66"/>
    <col min="8199" max="8199" width="54.140625" style="66" bestFit="1" customWidth="1"/>
    <col min="8200" max="8200" width="14.7109375" style="66" customWidth="1"/>
    <col min="8201" max="8201" width="10.140625" style="66" customWidth="1"/>
    <col min="8202" max="8202" width="10.42578125" style="66" bestFit="1" customWidth="1"/>
    <col min="8203" max="8204" width="9.42578125" style="66" bestFit="1" customWidth="1"/>
    <col min="8205" max="8206" width="9.42578125" style="66" customWidth="1"/>
    <col min="8207" max="8207" width="10.140625" style="66" bestFit="1" customWidth="1"/>
    <col min="8208" max="8211" width="9.140625" style="66"/>
    <col min="8212" max="8212" width="7.28515625" style="66" customWidth="1"/>
    <col min="8213" max="8215" width="7.42578125" style="66" customWidth="1"/>
    <col min="8216" max="8216" width="10.42578125" style="66" bestFit="1" customWidth="1"/>
    <col min="8217" max="8217" width="12" style="66" bestFit="1" customWidth="1"/>
    <col min="8218" max="8218" width="11" style="66" bestFit="1" customWidth="1"/>
    <col min="8219" max="8220" width="11" style="66" customWidth="1"/>
    <col min="8221" max="8221" width="10" style="66" bestFit="1" customWidth="1"/>
    <col min="8222" max="8222" width="14.42578125" style="66" bestFit="1" customWidth="1"/>
    <col min="8223" max="8233" width="0" style="66" hidden="1" customWidth="1"/>
    <col min="8234" max="8454" width="9.140625" style="66"/>
    <col min="8455" max="8455" width="54.140625" style="66" bestFit="1" customWidth="1"/>
    <col min="8456" max="8456" width="14.7109375" style="66" customWidth="1"/>
    <col min="8457" max="8457" width="10.140625" style="66" customWidth="1"/>
    <col min="8458" max="8458" width="10.42578125" style="66" bestFit="1" customWidth="1"/>
    <col min="8459" max="8460" width="9.42578125" style="66" bestFit="1" customWidth="1"/>
    <col min="8461" max="8462" width="9.42578125" style="66" customWidth="1"/>
    <col min="8463" max="8463" width="10.140625" style="66" bestFit="1" customWidth="1"/>
    <col min="8464" max="8467" width="9.140625" style="66"/>
    <col min="8468" max="8468" width="7.28515625" style="66" customWidth="1"/>
    <col min="8469" max="8471" width="7.42578125" style="66" customWidth="1"/>
    <col min="8472" max="8472" width="10.42578125" style="66" bestFit="1" customWidth="1"/>
    <col min="8473" max="8473" width="12" style="66" bestFit="1" customWidth="1"/>
    <col min="8474" max="8474" width="11" style="66" bestFit="1" customWidth="1"/>
    <col min="8475" max="8476" width="11" style="66" customWidth="1"/>
    <col min="8477" max="8477" width="10" style="66" bestFit="1" customWidth="1"/>
    <col min="8478" max="8478" width="14.42578125" style="66" bestFit="1" customWidth="1"/>
    <col min="8479" max="8489" width="0" style="66" hidden="1" customWidth="1"/>
    <col min="8490" max="8710" width="9.140625" style="66"/>
    <col min="8711" max="8711" width="54.140625" style="66" bestFit="1" customWidth="1"/>
    <col min="8712" max="8712" width="14.7109375" style="66" customWidth="1"/>
    <col min="8713" max="8713" width="10.140625" style="66" customWidth="1"/>
    <col min="8714" max="8714" width="10.42578125" style="66" bestFit="1" customWidth="1"/>
    <col min="8715" max="8716" width="9.42578125" style="66" bestFit="1" customWidth="1"/>
    <col min="8717" max="8718" width="9.42578125" style="66" customWidth="1"/>
    <col min="8719" max="8719" width="10.140625" style="66" bestFit="1" customWidth="1"/>
    <col min="8720" max="8723" width="9.140625" style="66"/>
    <col min="8724" max="8724" width="7.28515625" style="66" customWidth="1"/>
    <col min="8725" max="8727" width="7.42578125" style="66" customWidth="1"/>
    <col min="8728" max="8728" width="10.42578125" style="66" bestFit="1" customWidth="1"/>
    <col min="8729" max="8729" width="12" style="66" bestFit="1" customWidth="1"/>
    <col min="8730" max="8730" width="11" style="66" bestFit="1" customWidth="1"/>
    <col min="8731" max="8732" width="11" style="66" customWidth="1"/>
    <col min="8733" max="8733" width="10" style="66" bestFit="1" customWidth="1"/>
    <col min="8734" max="8734" width="14.42578125" style="66" bestFit="1" customWidth="1"/>
    <col min="8735" max="8745" width="0" style="66" hidden="1" customWidth="1"/>
    <col min="8746" max="8966" width="9.140625" style="66"/>
    <col min="8967" max="8967" width="54.140625" style="66" bestFit="1" customWidth="1"/>
    <col min="8968" max="8968" width="14.7109375" style="66" customWidth="1"/>
    <col min="8969" max="8969" width="10.140625" style="66" customWidth="1"/>
    <col min="8970" max="8970" width="10.42578125" style="66" bestFit="1" customWidth="1"/>
    <col min="8971" max="8972" width="9.42578125" style="66" bestFit="1" customWidth="1"/>
    <col min="8973" max="8974" width="9.42578125" style="66" customWidth="1"/>
    <col min="8975" max="8975" width="10.140625" style="66" bestFit="1" customWidth="1"/>
    <col min="8976" max="8979" width="9.140625" style="66"/>
    <col min="8980" max="8980" width="7.28515625" style="66" customWidth="1"/>
    <col min="8981" max="8983" width="7.42578125" style="66" customWidth="1"/>
    <col min="8984" max="8984" width="10.42578125" style="66" bestFit="1" customWidth="1"/>
    <col min="8985" max="8985" width="12" style="66" bestFit="1" customWidth="1"/>
    <col min="8986" max="8986" width="11" style="66" bestFit="1" customWidth="1"/>
    <col min="8987" max="8988" width="11" style="66" customWidth="1"/>
    <col min="8989" max="8989" width="10" style="66" bestFit="1" customWidth="1"/>
    <col min="8990" max="8990" width="14.42578125" style="66" bestFit="1" customWidth="1"/>
    <col min="8991" max="9001" width="0" style="66" hidden="1" customWidth="1"/>
    <col min="9002" max="9222" width="9.140625" style="66"/>
    <col min="9223" max="9223" width="54.140625" style="66" bestFit="1" customWidth="1"/>
    <col min="9224" max="9224" width="14.7109375" style="66" customWidth="1"/>
    <col min="9225" max="9225" width="10.140625" style="66" customWidth="1"/>
    <col min="9226" max="9226" width="10.42578125" style="66" bestFit="1" customWidth="1"/>
    <col min="9227" max="9228" width="9.42578125" style="66" bestFit="1" customWidth="1"/>
    <col min="9229" max="9230" width="9.42578125" style="66" customWidth="1"/>
    <col min="9231" max="9231" width="10.140625" style="66" bestFit="1" customWidth="1"/>
    <col min="9232" max="9235" width="9.140625" style="66"/>
    <col min="9236" max="9236" width="7.28515625" style="66" customWidth="1"/>
    <col min="9237" max="9239" width="7.42578125" style="66" customWidth="1"/>
    <col min="9240" max="9240" width="10.42578125" style="66" bestFit="1" customWidth="1"/>
    <col min="9241" max="9241" width="12" style="66" bestFit="1" customWidth="1"/>
    <col min="9242" max="9242" width="11" style="66" bestFit="1" customWidth="1"/>
    <col min="9243" max="9244" width="11" style="66" customWidth="1"/>
    <col min="9245" max="9245" width="10" style="66" bestFit="1" customWidth="1"/>
    <col min="9246" max="9246" width="14.42578125" style="66" bestFit="1" customWidth="1"/>
    <col min="9247" max="9257" width="0" style="66" hidden="1" customWidth="1"/>
    <col min="9258" max="9478" width="9.140625" style="66"/>
    <col min="9479" max="9479" width="54.140625" style="66" bestFit="1" customWidth="1"/>
    <col min="9480" max="9480" width="14.7109375" style="66" customWidth="1"/>
    <col min="9481" max="9481" width="10.140625" style="66" customWidth="1"/>
    <col min="9482" max="9482" width="10.42578125" style="66" bestFit="1" customWidth="1"/>
    <col min="9483" max="9484" width="9.42578125" style="66" bestFit="1" customWidth="1"/>
    <col min="9485" max="9486" width="9.42578125" style="66" customWidth="1"/>
    <col min="9487" max="9487" width="10.140625" style="66" bestFit="1" customWidth="1"/>
    <col min="9488" max="9491" width="9.140625" style="66"/>
    <col min="9492" max="9492" width="7.28515625" style="66" customWidth="1"/>
    <col min="9493" max="9495" width="7.42578125" style="66" customWidth="1"/>
    <col min="9496" max="9496" width="10.42578125" style="66" bestFit="1" customWidth="1"/>
    <col min="9497" max="9497" width="12" style="66" bestFit="1" customWidth="1"/>
    <col min="9498" max="9498" width="11" style="66" bestFit="1" customWidth="1"/>
    <col min="9499" max="9500" width="11" style="66" customWidth="1"/>
    <col min="9501" max="9501" width="10" style="66" bestFit="1" customWidth="1"/>
    <col min="9502" max="9502" width="14.42578125" style="66" bestFit="1" customWidth="1"/>
    <col min="9503" max="9513" width="0" style="66" hidden="1" customWidth="1"/>
    <col min="9514" max="9734" width="9.140625" style="66"/>
    <col min="9735" max="9735" width="54.140625" style="66" bestFit="1" customWidth="1"/>
    <col min="9736" max="9736" width="14.7109375" style="66" customWidth="1"/>
    <col min="9737" max="9737" width="10.140625" style="66" customWidth="1"/>
    <col min="9738" max="9738" width="10.42578125" style="66" bestFit="1" customWidth="1"/>
    <col min="9739" max="9740" width="9.42578125" style="66" bestFit="1" customWidth="1"/>
    <col min="9741" max="9742" width="9.42578125" style="66" customWidth="1"/>
    <col min="9743" max="9743" width="10.140625" style="66" bestFit="1" customWidth="1"/>
    <col min="9744" max="9747" width="9.140625" style="66"/>
    <col min="9748" max="9748" width="7.28515625" style="66" customWidth="1"/>
    <col min="9749" max="9751" width="7.42578125" style="66" customWidth="1"/>
    <col min="9752" max="9752" width="10.42578125" style="66" bestFit="1" customWidth="1"/>
    <col min="9753" max="9753" width="12" style="66" bestFit="1" customWidth="1"/>
    <col min="9754" max="9754" width="11" style="66" bestFit="1" customWidth="1"/>
    <col min="9755" max="9756" width="11" style="66" customWidth="1"/>
    <col min="9757" max="9757" width="10" style="66" bestFit="1" customWidth="1"/>
    <col min="9758" max="9758" width="14.42578125" style="66" bestFit="1" customWidth="1"/>
    <col min="9759" max="9769" width="0" style="66" hidden="1" customWidth="1"/>
    <col min="9770" max="9990" width="9.140625" style="66"/>
    <col min="9991" max="9991" width="54.140625" style="66" bestFit="1" customWidth="1"/>
    <col min="9992" max="9992" width="14.7109375" style="66" customWidth="1"/>
    <col min="9993" max="9993" width="10.140625" style="66" customWidth="1"/>
    <col min="9994" max="9994" width="10.42578125" style="66" bestFit="1" customWidth="1"/>
    <col min="9995" max="9996" width="9.42578125" style="66" bestFit="1" customWidth="1"/>
    <col min="9997" max="9998" width="9.42578125" style="66" customWidth="1"/>
    <col min="9999" max="9999" width="10.140625" style="66" bestFit="1" customWidth="1"/>
    <col min="10000" max="10003" width="9.140625" style="66"/>
    <col min="10004" max="10004" width="7.28515625" style="66" customWidth="1"/>
    <col min="10005" max="10007" width="7.42578125" style="66" customWidth="1"/>
    <col min="10008" max="10008" width="10.42578125" style="66" bestFit="1" customWidth="1"/>
    <col min="10009" max="10009" width="12" style="66" bestFit="1" customWidth="1"/>
    <col min="10010" max="10010" width="11" style="66" bestFit="1" customWidth="1"/>
    <col min="10011" max="10012" width="11" style="66" customWidth="1"/>
    <col min="10013" max="10013" width="10" style="66" bestFit="1" customWidth="1"/>
    <col min="10014" max="10014" width="14.42578125" style="66" bestFit="1" customWidth="1"/>
    <col min="10015" max="10025" width="0" style="66" hidden="1" customWidth="1"/>
    <col min="10026" max="10246" width="9.140625" style="66"/>
    <col min="10247" max="10247" width="54.140625" style="66" bestFit="1" customWidth="1"/>
    <col min="10248" max="10248" width="14.7109375" style="66" customWidth="1"/>
    <col min="10249" max="10249" width="10.140625" style="66" customWidth="1"/>
    <col min="10250" max="10250" width="10.42578125" style="66" bestFit="1" customWidth="1"/>
    <col min="10251" max="10252" width="9.42578125" style="66" bestFit="1" customWidth="1"/>
    <col min="10253" max="10254" width="9.42578125" style="66" customWidth="1"/>
    <col min="10255" max="10255" width="10.140625" style="66" bestFit="1" customWidth="1"/>
    <col min="10256" max="10259" width="9.140625" style="66"/>
    <col min="10260" max="10260" width="7.28515625" style="66" customWidth="1"/>
    <col min="10261" max="10263" width="7.42578125" style="66" customWidth="1"/>
    <col min="10264" max="10264" width="10.42578125" style="66" bestFit="1" customWidth="1"/>
    <col min="10265" max="10265" width="12" style="66" bestFit="1" customWidth="1"/>
    <col min="10266" max="10266" width="11" style="66" bestFit="1" customWidth="1"/>
    <col min="10267" max="10268" width="11" style="66" customWidth="1"/>
    <col min="10269" max="10269" width="10" style="66" bestFit="1" customWidth="1"/>
    <col min="10270" max="10270" width="14.42578125" style="66" bestFit="1" customWidth="1"/>
    <col min="10271" max="10281" width="0" style="66" hidden="1" customWidth="1"/>
    <col min="10282" max="10502" width="9.140625" style="66"/>
    <col min="10503" max="10503" width="54.140625" style="66" bestFit="1" customWidth="1"/>
    <col min="10504" max="10504" width="14.7109375" style="66" customWidth="1"/>
    <col min="10505" max="10505" width="10.140625" style="66" customWidth="1"/>
    <col min="10506" max="10506" width="10.42578125" style="66" bestFit="1" customWidth="1"/>
    <col min="10507" max="10508" width="9.42578125" style="66" bestFit="1" customWidth="1"/>
    <col min="10509" max="10510" width="9.42578125" style="66" customWidth="1"/>
    <col min="10511" max="10511" width="10.140625" style="66" bestFit="1" customWidth="1"/>
    <col min="10512" max="10515" width="9.140625" style="66"/>
    <col min="10516" max="10516" width="7.28515625" style="66" customWidth="1"/>
    <col min="10517" max="10519" width="7.42578125" style="66" customWidth="1"/>
    <col min="10520" max="10520" width="10.42578125" style="66" bestFit="1" customWidth="1"/>
    <col min="10521" max="10521" width="12" style="66" bestFit="1" customWidth="1"/>
    <col min="10522" max="10522" width="11" style="66" bestFit="1" customWidth="1"/>
    <col min="10523" max="10524" width="11" style="66" customWidth="1"/>
    <col min="10525" max="10525" width="10" style="66" bestFit="1" customWidth="1"/>
    <col min="10526" max="10526" width="14.42578125" style="66" bestFit="1" customWidth="1"/>
    <col min="10527" max="10537" width="0" style="66" hidden="1" customWidth="1"/>
    <col min="10538" max="10758" width="9.140625" style="66"/>
    <col min="10759" max="10759" width="54.140625" style="66" bestFit="1" customWidth="1"/>
    <col min="10760" max="10760" width="14.7109375" style="66" customWidth="1"/>
    <col min="10761" max="10761" width="10.140625" style="66" customWidth="1"/>
    <col min="10762" max="10762" width="10.42578125" style="66" bestFit="1" customWidth="1"/>
    <col min="10763" max="10764" width="9.42578125" style="66" bestFit="1" customWidth="1"/>
    <col min="10765" max="10766" width="9.42578125" style="66" customWidth="1"/>
    <col min="10767" max="10767" width="10.140625" style="66" bestFit="1" customWidth="1"/>
    <col min="10768" max="10771" width="9.140625" style="66"/>
    <col min="10772" max="10772" width="7.28515625" style="66" customWidth="1"/>
    <col min="10773" max="10775" width="7.42578125" style="66" customWidth="1"/>
    <col min="10776" max="10776" width="10.42578125" style="66" bestFit="1" customWidth="1"/>
    <col min="10777" max="10777" width="12" style="66" bestFit="1" customWidth="1"/>
    <col min="10778" max="10778" width="11" style="66" bestFit="1" customWidth="1"/>
    <col min="10779" max="10780" width="11" style="66" customWidth="1"/>
    <col min="10781" max="10781" width="10" style="66" bestFit="1" customWidth="1"/>
    <col min="10782" max="10782" width="14.42578125" style="66" bestFit="1" customWidth="1"/>
    <col min="10783" max="10793" width="0" style="66" hidden="1" customWidth="1"/>
    <col min="10794" max="11014" width="9.140625" style="66"/>
    <col min="11015" max="11015" width="54.140625" style="66" bestFit="1" customWidth="1"/>
    <col min="11016" max="11016" width="14.7109375" style="66" customWidth="1"/>
    <col min="11017" max="11017" width="10.140625" style="66" customWidth="1"/>
    <col min="11018" max="11018" width="10.42578125" style="66" bestFit="1" customWidth="1"/>
    <col min="11019" max="11020" width="9.42578125" style="66" bestFit="1" customWidth="1"/>
    <col min="11021" max="11022" width="9.42578125" style="66" customWidth="1"/>
    <col min="11023" max="11023" width="10.140625" style="66" bestFit="1" customWidth="1"/>
    <col min="11024" max="11027" width="9.140625" style="66"/>
    <col min="11028" max="11028" width="7.28515625" style="66" customWidth="1"/>
    <col min="11029" max="11031" width="7.42578125" style="66" customWidth="1"/>
    <col min="11032" max="11032" width="10.42578125" style="66" bestFit="1" customWidth="1"/>
    <col min="11033" max="11033" width="12" style="66" bestFit="1" customWidth="1"/>
    <col min="11034" max="11034" width="11" style="66" bestFit="1" customWidth="1"/>
    <col min="11035" max="11036" width="11" style="66" customWidth="1"/>
    <col min="11037" max="11037" width="10" style="66" bestFit="1" customWidth="1"/>
    <col min="11038" max="11038" width="14.42578125" style="66" bestFit="1" customWidth="1"/>
    <col min="11039" max="11049" width="0" style="66" hidden="1" customWidth="1"/>
    <col min="11050" max="11270" width="9.140625" style="66"/>
    <col min="11271" max="11271" width="54.140625" style="66" bestFit="1" customWidth="1"/>
    <col min="11272" max="11272" width="14.7109375" style="66" customWidth="1"/>
    <col min="11273" max="11273" width="10.140625" style="66" customWidth="1"/>
    <col min="11274" max="11274" width="10.42578125" style="66" bestFit="1" customWidth="1"/>
    <col min="11275" max="11276" width="9.42578125" style="66" bestFit="1" customWidth="1"/>
    <col min="11277" max="11278" width="9.42578125" style="66" customWidth="1"/>
    <col min="11279" max="11279" width="10.140625" style="66" bestFit="1" customWidth="1"/>
    <col min="11280" max="11283" width="9.140625" style="66"/>
    <col min="11284" max="11284" width="7.28515625" style="66" customWidth="1"/>
    <col min="11285" max="11287" width="7.42578125" style="66" customWidth="1"/>
    <col min="11288" max="11288" width="10.42578125" style="66" bestFit="1" customWidth="1"/>
    <col min="11289" max="11289" width="12" style="66" bestFit="1" customWidth="1"/>
    <col min="11290" max="11290" width="11" style="66" bestFit="1" customWidth="1"/>
    <col min="11291" max="11292" width="11" style="66" customWidth="1"/>
    <col min="11293" max="11293" width="10" style="66" bestFit="1" customWidth="1"/>
    <col min="11294" max="11294" width="14.42578125" style="66" bestFit="1" customWidth="1"/>
    <col min="11295" max="11305" width="0" style="66" hidden="1" customWidth="1"/>
    <col min="11306" max="11526" width="9.140625" style="66"/>
    <col min="11527" max="11527" width="54.140625" style="66" bestFit="1" customWidth="1"/>
    <col min="11528" max="11528" width="14.7109375" style="66" customWidth="1"/>
    <col min="11529" max="11529" width="10.140625" style="66" customWidth="1"/>
    <col min="11530" max="11530" width="10.42578125" style="66" bestFit="1" customWidth="1"/>
    <col min="11531" max="11532" width="9.42578125" style="66" bestFit="1" customWidth="1"/>
    <col min="11533" max="11534" width="9.42578125" style="66" customWidth="1"/>
    <col min="11535" max="11535" width="10.140625" style="66" bestFit="1" customWidth="1"/>
    <col min="11536" max="11539" width="9.140625" style="66"/>
    <col min="11540" max="11540" width="7.28515625" style="66" customWidth="1"/>
    <col min="11541" max="11543" width="7.42578125" style="66" customWidth="1"/>
    <col min="11544" max="11544" width="10.42578125" style="66" bestFit="1" customWidth="1"/>
    <col min="11545" max="11545" width="12" style="66" bestFit="1" customWidth="1"/>
    <col min="11546" max="11546" width="11" style="66" bestFit="1" customWidth="1"/>
    <col min="11547" max="11548" width="11" style="66" customWidth="1"/>
    <col min="11549" max="11549" width="10" style="66" bestFit="1" customWidth="1"/>
    <col min="11550" max="11550" width="14.42578125" style="66" bestFit="1" customWidth="1"/>
    <col min="11551" max="11561" width="0" style="66" hidden="1" customWidth="1"/>
    <col min="11562" max="11782" width="9.140625" style="66"/>
    <col min="11783" max="11783" width="54.140625" style="66" bestFit="1" customWidth="1"/>
    <col min="11784" max="11784" width="14.7109375" style="66" customWidth="1"/>
    <col min="11785" max="11785" width="10.140625" style="66" customWidth="1"/>
    <col min="11786" max="11786" width="10.42578125" style="66" bestFit="1" customWidth="1"/>
    <col min="11787" max="11788" width="9.42578125" style="66" bestFit="1" customWidth="1"/>
    <col min="11789" max="11790" width="9.42578125" style="66" customWidth="1"/>
    <col min="11791" max="11791" width="10.140625" style="66" bestFit="1" customWidth="1"/>
    <col min="11792" max="11795" width="9.140625" style="66"/>
    <col min="11796" max="11796" width="7.28515625" style="66" customWidth="1"/>
    <col min="11797" max="11799" width="7.42578125" style="66" customWidth="1"/>
    <col min="11800" max="11800" width="10.42578125" style="66" bestFit="1" customWidth="1"/>
    <col min="11801" max="11801" width="12" style="66" bestFit="1" customWidth="1"/>
    <col min="11802" max="11802" width="11" style="66" bestFit="1" customWidth="1"/>
    <col min="11803" max="11804" width="11" style="66" customWidth="1"/>
    <col min="11805" max="11805" width="10" style="66" bestFit="1" customWidth="1"/>
    <col min="11806" max="11806" width="14.42578125" style="66" bestFit="1" customWidth="1"/>
    <col min="11807" max="11817" width="0" style="66" hidden="1" customWidth="1"/>
    <col min="11818" max="12038" width="9.140625" style="66"/>
    <col min="12039" max="12039" width="54.140625" style="66" bestFit="1" customWidth="1"/>
    <col min="12040" max="12040" width="14.7109375" style="66" customWidth="1"/>
    <col min="12041" max="12041" width="10.140625" style="66" customWidth="1"/>
    <col min="12042" max="12042" width="10.42578125" style="66" bestFit="1" customWidth="1"/>
    <col min="12043" max="12044" width="9.42578125" style="66" bestFit="1" customWidth="1"/>
    <col min="12045" max="12046" width="9.42578125" style="66" customWidth="1"/>
    <col min="12047" max="12047" width="10.140625" style="66" bestFit="1" customWidth="1"/>
    <col min="12048" max="12051" width="9.140625" style="66"/>
    <col min="12052" max="12052" width="7.28515625" style="66" customWidth="1"/>
    <col min="12053" max="12055" width="7.42578125" style="66" customWidth="1"/>
    <col min="12056" max="12056" width="10.42578125" style="66" bestFit="1" customWidth="1"/>
    <col min="12057" max="12057" width="12" style="66" bestFit="1" customWidth="1"/>
    <col min="12058" max="12058" width="11" style="66" bestFit="1" customWidth="1"/>
    <col min="12059" max="12060" width="11" style="66" customWidth="1"/>
    <col min="12061" max="12061" width="10" style="66" bestFit="1" customWidth="1"/>
    <col min="12062" max="12062" width="14.42578125" style="66" bestFit="1" customWidth="1"/>
    <col min="12063" max="12073" width="0" style="66" hidden="1" customWidth="1"/>
    <col min="12074" max="12294" width="9.140625" style="66"/>
    <col min="12295" max="12295" width="54.140625" style="66" bestFit="1" customWidth="1"/>
    <col min="12296" max="12296" width="14.7109375" style="66" customWidth="1"/>
    <col min="12297" max="12297" width="10.140625" style="66" customWidth="1"/>
    <col min="12298" max="12298" width="10.42578125" style="66" bestFit="1" customWidth="1"/>
    <col min="12299" max="12300" width="9.42578125" style="66" bestFit="1" customWidth="1"/>
    <col min="12301" max="12302" width="9.42578125" style="66" customWidth="1"/>
    <col min="12303" max="12303" width="10.140625" style="66" bestFit="1" customWidth="1"/>
    <col min="12304" max="12307" width="9.140625" style="66"/>
    <col min="12308" max="12308" width="7.28515625" style="66" customWidth="1"/>
    <col min="12309" max="12311" width="7.42578125" style="66" customWidth="1"/>
    <col min="12312" max="12312" width="10.42578125" style="66" bestFit="1" customWidth="1"/>
    <col min="12313" max="12313" width="12" style="66" bestFit="1" customWidth="1"/>
    <col min="12314" max="12314" width="11" style="66" bestFit="1" customWidth="1"/>
    <col min="12315" max="12316" width="11" style="66" customWidth="1"/>
    <col min="12317" max="12317" width="10" style="66" bestFit="1" customWidth="1"/>
    <col min="12318" max="12318" width="14.42578125" style="66" bestFit="1" customWidth="1"/>
    <col min="12319" max="12329" width="0" style="66" hidden="1" customWidth="1"/>
    <col min="12330" max="12550" width="9.140625" style="66"/>
    <col min="12551" max="12551" width="54.140625" style="66" bestFit="1" customWidth="1"/>
    <col min="12552" max="12552" width="14.7109375" style="66" customWidth="1"/>
    <col min="12553" max="12553" width="10.140625" style="66" customWidth="1"/>
    <col min="12554" max="12554" width="10.42578125" style="66" bestFit="1" customWidth="1"/>
    <col min="12555" max="12556" width="9.42578125" style="66" bestFit="1" customWidth="1"/>
    <col min="12557" max="12558" width="9.42578125" style="66" customWidth="1"/>
    <col min="12559" max="12559" width="10.140625" style="66" bestFit="1" customWidth="1"/>
    <col min="12560" max="12563" width="9.140625" style="66"/>
    <col min="12564" max="12564" width="7.28515625" style="66" customWidth="1"/>
    <col min="12565" max="12567" width="7.42578125" style="66" customWidth="1"/>
    <col min="12568" max="12568" width="10.42578125" style="66" bestFit="1" customWidth="1"/>
    <col min="12569" max="12569" width="12" style="66" bestFit="1" customWidth="1"/>
    <col min="12570" max="12570" width="11" style="66" bestFit="1" customWidth="1"/>
    <col min="12571" max="12572" width="11" style="66" customWidth="1"/>
    <col min="12573" max="12573" width="10" style="66" bestFit="1" customWidth="1"/>
    <col min="12574" max="12574" width="14.42578125" style="66" bestFit="1" customWidth="1"/>
    <col min="12575" max="12585" width="0" style="66" hidden="1" customWidth="1"/>
    <col min="12586" max="12806" width="9.140625" style="66"/>
    <col min="12807" max="12807" width="54.140625" style="66" bestFit="1" customWidth="1"/>
    <col min="12808" max="12808" width="14.7109375" style="66" customWidth="1"/>
    <col min="12809" max="12809" width="10.140625" style="66" customWidth="1"/>
    <col min="12810" max="12810" width="10.42578125" style="66" bestFit="1" customWidth="1"/>
    <col min="12811" max="12812" width="9.42578125" style="66" bestFit="1" customWidth="1"/>
    <col min="12813" max="12814" width="9.42578125" style="66" customWidth="1"/>
    <col min="12815" max="12815" width="10.140625" style="66" bestFit="1" customWidth="1"/>
    <col min="12816" max="12819" width="9.140625" style="66"/>
    <col min="12820" max="12820" width="7.28515625" style="66" customWidth="1"/>
    <col min="12821" max="12823" width="7.42578125" style="66" customWidth="1"/>
    <col min="12824" max="12824" width="10.42578125" style="66" bestFit="1" customWidth="1"/>
    <col min="12825" max="12825" width="12" style="66" bestFit="1" customWidth="1"/>
    <col min="12826" max="12826" width="11" style="66" bestFit="1" customWidth="1"/>
    <col min="12827" max="12828" width="11" style="66" customWidth="1"/>
    <col min="12829" max="12829" width="10" style="66" bestFit="1" customWidth="1"/>
    <col min="12830" max="12830" width="14.42578125" style="66" bestFit="1" customWidth="1"/>
    <col min="12831" max="12841" width="0" style="66" hidden="1" customWidth="1"/>
    <col min="12842" max="13062" width="9.140625" style="66"/>
    <col min="13063" max="13063" width="54.140625" style="66" bestFit="1" customWidth="1"/>
    <col min="13064" max="13064" width="14.7109375" style="66" customWidth="1"/>
    <col min="13065" max="13065" width="10.140625" style="66" customWidth="1"/>
    <col min="13066" max="13066" width="10.42578125" style="66" bestFit="1" customWidth="1"/>
    <col min="13067" max="13068" width="9.42578125" style="66" bestFit="1" customWidth="1"/>
    <col min="13069" max="13070" width="9.42578125" style="66" customWidth="1"/>
    <col min="13071" max="13071" width="10.140625" style="66" bestFit="1" customWidth="1"/>
    <col min="13072" max="13075" width="9.140625" style="66"/>
    <col min="13076" max="13076" width="7.28515625" style="66" customWidth="1"/>
    <col min="13077" max="13079" width="7.42578125" style="66" customWidth="1"/>
    <col min="13080" max="13080" width="10.42578125" style="66" bestFit="1" customWidth="1"/>
    <col min="13081" max="13081" width="12" style="66" bestFit="1" customWidth="1"/>
    <col min="13082" max="13082" width="11" style="66" bestFit="1" customWidth="1"/>
    <col min="13083" max="13084" width="11" style="66" customWidth="1"/>
    <col min="13085" max="13085" width="10" style="66" bestFit="1" customWidth="1"/>
    <col min="13086" max="13086" width="14.42578125" style="66" bestFit="1" customWidth="1"/>
    <col min="13087" max="13097" width="0" style="66" hidden="1" customWidth="1"/>
    <col min="13098" max="13318" width="9.140625" style="66"/>
    <col min="13319" max="13319" width="54.140625" style="66" bestFit="1" customWidth="1"/>
    <col min="13320" max="13320" width="14.7109375" style="66" customWidth="1"/>
    <col min="13321" max="13321" width="10.140625" style="66" customWidth="1"/>
    <col min="13322" max="13322" width="10.42578125" style="66" bestFit="1" customWidth="1"/>
    <col min="13323" max="13324" width="9.42578125" style="66" bestFit="1" customWidth="1"/>
    <col min="13325" max="13326" width="9.42578125" style="66" customWidth="1"/>
    <col min="13327" max="13327" width="10.140625" style="66" bestFit="1" customWidth="1"/>
    <col min="13328" max="13331" width="9.140625" style="66"/>
    <col min="13332" max="13332" width="7.28515625" style="66" customWidth="1"/>
    <col min="13333" max="13335" width="7.42578125" style="66" customWidth="1"/>
    <col min="13336" max="13336" width="10.42578125" style="66" bestFit="1" customWidth="1"/>
    <col min="13337" max="13337" width="12" style="66" bestFit="1" customWidth="1"/>
    <col min="13338" max="13338" width="11" style="66" bestFit="1" customWidth="1"/>
    <col min="13339" max="13340" width="11" style="66" customWidth="1"/>
    <col min="13341" max="13341" width="10" style="66" bestFit="1" customWidth="1"/>
    <col min="13342" max="13342" width="14.42578125" style="66" bestFit="1" customWidth="1"/>
    <col min="13343" max="13353" width="0" style="66" hidden="1" customWidth="1"/>
    <col min="13354" max="13574" width="9.140625" style="66"/>
    <col min="13575" max="13575" width="54.140625" style="66" bestFit="1" customWidth="1"/>
    <col min="13576" max="13576" width="14.7109375" style="66" customWidth="1"/>
    <col min="13577" max="13577" width="10.140625" style="66" customWidth="1"/>
    <col min="13578" max="13578" width="10.42578125" style="66" bestFit="1" customWidth="1"/>
    <col min="13579" max="13580" width="9.42578125" style="66" bestFit="1" customWidth="1"/>
    <col min="13581" max="13582" width="9.42578125" style="66" customWidth="1"/>
    <col min="13583" max="13583" width="10.140625" style="66" bestFit="1" customWidth="1"/>
    <col min="13584" max="13587" width="9.140625" style="66"/>
    <col min="13588" max="13588" width="7.28515625" style="66" customWidth="1"/>
    <col min="13589" max="13591" width="7.42578125" style="66" customWidth="1"/>
    <col min="13592" max="13592" width="10.42578125" style="66" bestFit="1" customWidth="1"/>
    <col min="13593" max="13593" width="12" style="66" bestFit="1" customWidth="1"/>
    <col min="13594" max="13594" width="11" style="66" bestFit="1" customWidth="1"/>
    <col min="13595" max="13596" width="11" style="66" customWidth="1"/>
    <col min="13597" max="13597" width="10" style="66" bestFit="1" customWidth="1"/>
    <col min="13598" max="13598" width="14.42578125" style="66" bestFit="1" customWidth="1"/>
    <col min="13599" max="13609" width="0" style="66" hidden="1" customWidth="1"/>
    <col min="13610" max="13830" width="9.140625" style="66"/>
    <col min="13831" max="13831" width="54.140625" style="66" bestFit="1" customWidth="1"/>
    <col min="13832" max="13832" width="14.7109375" style="66" customWidth="1"/>
    <col min="13833" max="13833" width="10.140625" style="66" customWidth="1"/>
    <col min="13834" max="13834" width="10.42578125" style="66" bestFit="1" customWidth="1"/>
    <col min="13835" max="13836" width="9.42578125" style="66" bestFit="1" customWidth="1"/>
    <col min="13837" max="13838" width="9.42578125" style="66" customWidth="1"/>
    <col min="13839" max="13839" width="10.140625" style="66" bestFit="1" customWidth="1"/>
    <col min="13840" max="13843" width="9.140625" style="66"/>
    <col min="13844" max="13844" width="7.28515625" style="66" customWidth="1"/>
    <col min="13845" max="13847" width="7.42578125" style="66" customWidth="1"/>
    <col min="13848" max="13848" width="10.42578125" style="66" bestFit="1" customWidth="1"/>
    <col min="13849" max="13849" width="12" style="66" bestFit="1" customWidth="1"/>
    <col min="13850" max="13850" width="11" style="66" bestFit="1" customWidth="1"/>
    <col min="13851" max="13852" width="11" style="66" customWidth="1"/>
    <col min="13853" max="13853" width="10" style="66" bestFit="1" customWidth="1"/>
    <col min="13854" max="13854" width="14.42578125" style="66" bestFit="1" customWidth="1"/>
    <col min="13855" max="13865" width="0" style="66" hidden="1" customWidth="1"/>
    <col min="13866" max="14086" width="9.140625" style="66"/>
    <col min="14087" max="14087" width="54.140625" style="66" bestFit="1" customWidth="1"/>
    <col min="14088" max="14088" width="14.7109375" style="66" customWidth="1"/>
    <col min="14089" max="14089" width="10.140625" style="66" customWidth="1"/>
    <col min="14090" max="14090" width="10.42578125" style="66" bestFit="1" customWidth="1"/>
    <col min="14091" max="14092" width="9.42578125" style="66" bestFit="1" customWidth="1"/>
    <col min="14093" max="14094" width="9.42578125" style="66" customWidth="1"/>
    <col min="14095" max="14095" width="10.140625" style="66" bestFit="1" customWidth="1"/>
    <col min="14096" max="14099" width="9.140625" style="66"/>
    <col min="14100" max="14100" width="7.28515625" style="66" customWidth="1"/>
    <col min="14101" max="14103" width="7.42578125" style="66" customWidth="1"/>
    <col min="14104" max="14104" width="10.42578125" style="66" bestFit="1" customWidth="1"/>
    <col min="14105" max="14105" width="12" style="66" bestFit="1" customWidth="1"/>
    <col min="14106" max="14106" width="11" style="66" bestFit="1" customWidth="1"/>
    <col min="14107" max="14108" width="11" style="66" customWidth="1"/>
    <col min="14109" max="14109" width="10" style="66" bestFit="1" customWidth="1"/>
    <col min="14110" max="14110" width="14.42578125" style="66" bestFit="1" customWidth="1"/>
    <col min="14111" max="14121" width="0" style="66" hidden="1" customWidth="1"/>
    <col min="14122" max="14342" width="9.140625" style="66"/>
    <col min="14343" max="14343" width="54.140625" style="66" bestFit="1" customWidth="1"/>
    <col min="14344" max="14344" width="14.7109375" style="66" customWidth="1"/>
    <col min="14345" max="14345" width="10.140625" style="66" customWidth="1"/>
    <col min="14346" max="14346" width="10.42578125" style="66" bestFit="1" customWidth="1"/>
    <col min="14347" max="14348" width="9.42578125" style="66" bestFit="1" customWidth="1"/>
    <col min="14349" max="14350" width="9.42578125" style="66" customWidth="1"/>
    <col min="14351" max="14351" width="10.140625" style="66" bestFit="1" customWidth="1"/>
    <col min="14352" max="14355" width="9.140625" style="66"/>
    <col min="14356" max="14356" width="7.28515625" style="66" customWidth="1"/>
    <col min="14357" max="14359" width="7.42578125" style="66" customWidth="1"/>
    <col min="14360" max="14360" width="10.42578125" style="66" bestFit="1" customWidth="1"/>
    <col min="14361" max="14361" width="12" style="66" bestFit="1" customWidth="1"/>
    <col min="14362" max="14362" width="11" style="66" bestFit="1" customWidth="1"/>
    <col min="14363" max="14364" width="11" style="66" customWidth="1"/>
    <col min="14365" max="14365" width="10" style="66" bestFit="1" customWidth="1"/>
    <col min="14366" max="14366" width="14.42578125" style="66" bestFit="1" customWidth="1"/>
    <col min="14367" max="14377" width="0" style="66" hidden="1" customWidth="1"/>
    <col min="14378" max="14598" width="9.140625" style="66"/>
    <col min="14599" max="14599" width="54.140625" style="66" bestFit="1" customWidth="1"/>
    <col min="14600" max="14600" width="14.7109375" style="66" customWidth="1"/>
    <col min="14601" max="14601" width="10.140625" style="66" customWidth="1"/>
    <col min="14602" max="14602" width="10.42578125" style="66" bestFit="1" customWidth="1"/>
    <col min="14603" max="14604" width="9.42578125" style="66" bestFit="1" customWidth="1"/>
    <col min="14605" max="14606" width="9.42578125" style="66" customWidth="1"/>
    <col min="14607" max="14607" width="10.140625" style="66" bestFit="1" customWidth="1"/>
    <col min="14608" max="14611" width="9.140625" style="66"/>
    <col min="14612" max="14612" width="7.28515625" style="66" customWidth="1"/>
    <col min="14613" max="14615" width="7.42578125" style="66" customWidth="1"/>
    <col min="14616" max="14616" width="10.42578125" style="66" bestFit="1" customWidth="1"/>
    <col min="14617" max="14617" width="12" style="66" bestFit="1" customWidth="1"/>
    <col min="14618" max="14618" width="11" style="66" bestFit="1" customWidth="1"/>
    <col min="14619" max="14620" width="11" style="66" customWidth="1"/>
    <col min="14621" max="14621" width="10" style="66" bestFit="1" customWidth="1"/>
    <col min="14622" max="14622" width="14.42578125" style="66" bestFit="1" customWidth="1"/>
    <col min="14623" max="14633" width="0" style="66" hidden="1" customWidth="1"/>
    <col min="14634" max="14854" width="9.140625" style="66"/>
    <col min="14855" max="14855" width="54.140625" style="66" bestFit="1" customWidth="1"/>
    <col min="14856" max="14856" width="14.7109375" style="66" customWidth="1"/>
    <col min="14857" max="14857" width="10.140625" style="66" customWidth="1"/>
    <col min="14858" max="14858" width="10.42578125" style="66" bestFit="1" customWidth="1"/>
    <col min="14859" max="14860" width="9.42578125" style="66" bestFit="1" customWidth="1"/>
    <col min="14861" max="14862" width="9.42578125" style="66" customWidth="1"/>
    <col min="14863" max="14863" width="10.140625" style="66" bestFit="1" customWidth="1"/>
    <col min="14864" max="14867" width="9.140625" style="66"/>
    <col min="14868" max="14868" width="7.28515625" style="66" customWidth="1"/>
    <col min="14869" max="14871" width="7.42578125" style="66" customWidth="1"/>
    <col min="14872" max="14872" width="10.42578125" style="66" bestFit="1" customWidth="1"/>
    <col min="14873" max="14873" width="12" style="66" bestFit="1" customWidth="1"/>
    <col min="14874" max="14874" width="11" style="66" bestFit="1" customWidth="1"/>
    <col min="14875" max="14876" width="11" style="66" customWidth="1"/>
    <col min="14877" max="14877" width="10" style="66" bestFit="1" customWidth="1"/>
    <col min="14878" max="14878" width="14.42578125" style="66" bestFit="1" customWidth="1"/>
    <col min="14879" max="14889" width="0" style="66" hidden="1" customWidth="1"/>
    <col min="14890" max="15110" width="9.140625" style="66"/>
    <col min="15111" max="15111" width="54.140625" style="66" bestFit="1" customWidth="1"/>
    <col min="15112" max="15112" width="14.7109375" style="66" customWidth="1"/>
    <col min="15113" max="15113" width="10.140625" style="66" customWidth="1"/>
    <col min="15114" max="15114" width="10.42578125" style="66" bestFit="1" customWidth="1"/>
    <col min="15115" max="15116" width="9.42578125" style="66" bestFit="1" customWidth="1"/>
    <col min="15117" max="15118" width="9.42578125" style="66" customWidth="1"/>
    <col min="15119" max="15119" width="10.140625" style="66" bestFit="1" customWidth="1"/>
    <col min="15120" max="15123" width="9.140625" style="66"/>
    <col min="15124" max="15124" width="7.28515625" style="66" customWidth="1"/>
    <col min="15125" max="15127" width="7.42578125" style="66" customWidth="1"/>
    <col min="15128" max="15128" width="10.42578125" style="66" bestFit="1" customWidth="1"/>
    <col min="15129" max="15129" width="12" style="66" bestFit="1" customWidth="1"/>
    <col min="15130" max="15130" width="11" style="66" bestFit="1" customWidth="1"/>
    <col min="15131" max="15132" width="11" style="66" customWidth="1"/>
    <col min="15133" max="15133" width="10" style="66" bestFit="1" customWidth="1"/>
    <col min="15134" max="15134" width="14.42578125" style="66" bestFit="1" customWidth="1"/>
    <col min="15135" max="15145" width="0" style="66" hidden="1" customWidth="1"/>
    <col min="15146" max="15366" width="9.140625" style="66"/>
    <col min="15367" max="15367" width="54.140625" style="66" bestFit="1" customWidth="1"/>
    <col min="15368" max="15368" width="14.7109375" style="66" customWidth="1"/>
    <col min="15369" max="15369" width="10.140625" style="66" customWidth="1"/>
    <col min="15370" max="15370" width="10.42578125" style="66" bestFit="1" customWidth="1"/>
    <col min="15371" max="15372" width="9.42578125" style="66" bestFit="1" customWidth="1"/>
    <col min="15373" max="15374" width="9.42578125" style="66" customWidth="1"/>
    <col min="15375" max="15375" width="10.140625" style="66" bestFit="1" customWidth="1"/>
    <col min="15376" max="15379" width="9.140625" style="66"/>
    <col min="15380" max="15380" width="7.28515625" style="66" customWidth="1"/>
    <col min="15381" max="15383" width="7.42578125" style="66" customWidth="1"/>
    <col min="15384" max="15384" width="10.42578125" style="66" bestFit="1" customWidth="1"/>
    <col min="15385" max="15385" width="12" style="66" bestFit="1" customWidth="1"/>
    <col min="15386" max="15386" width="11" style="66" bestFit="1" customWidth="1"/>
    <col min="15387" max="15388" width="11" style="66" customWidth="1"/>
    <col min="15389" max="15389" width="10" style="66" bestFit="1" customWidth="1"/>
    <col min="15390" max="15390" width="14.42578125" style="66" bestFit="1" customWidth="1"/>
    <col min="15391" max="15401" width="0" style="66" hidden="1" customWidth="1"/>
    <col min="15402" max="15622" width="9.140625" style="66"/>
    <col min="15623" max="15623" width="54.140625" style="66" bestFit="1" customWidth="1"/>
    <col min="15624" max="15624" width="14.7109375" style="66" customWidth="1"/>
    <col min="15625" max="15625" width="10.140625" style="66" customWidth="1"/>
    <col min="15626" max="15626" width="10.42578125" style="66" bestFit="1" customWidth="1"/>
    <col min="15627" max="15628" width="9.42578125" style="66" bestFit="1" customWidth="1"/>
    <col min="15629" max="15630" width="9.42578125" style="66" customWidth="1"/>
    <col min="15631" max="15631" width="10.140625" style="66" bestFit="1" customWidth="1"/>
    <col min="15632" max="15635" width="9.140625" style="66"/>
    <col min="15636" max="15636" width="7.28515625" style="66" customWidth="1"/>
    <col min="15637" max="15639" width="7.42578125" style="66" customWidth="1"/>
    <col min="15640" max="15640" width="10.42578125" style="66" bestFit="1" customWidth="1"/>
    <col min="15641" max="15641" width="12" style="66" bestFit="1" customWidth="1"/>
    <col min="15642" max="15642" width="11" style="66" bestFit="1" customWidth="1"/>
    <col min="15643" max="15644" width="11" style="66" customWidth="1"/>
    <col min="15645" max="15645" width="10" style="66" bestFit="1" customWidth="1"/>
    <col min="15646" max="15646" width="14.42578125" style="66" bestFit="1" customWidth="1"/>
    <col min="15647" max="15657" width="0" style="66" hidden="1" customWidth="1"/>
    <col min="15658" max="15878" width="9.140625" style="66"/>
    <col min="15879" max="15879" width="54.140625" style="66" bestFit="1" customWidth="1"/>
    <col min="15880" max="15880" width="14.7109375" style="66" customWidth="1"/>
    <col min="15881" max="15881" width="10.140625" style="66" customWidth="1"/>
    <col min="15882" max="15882" width="10.42578125" style="66" bestFit="1" customWidth="1"/>
    <col min="15883" max="15884" width="9.42578125" style="66" bestFit="1" customWidth="1"/>
    <col min="15885" max="15886" width="9.42578125" style="66" customWidth="1"/>
    <col min="15887" max="15887" width="10.140625" style="66" bestFit="1" customWidth="1"/>
    <col min="15888" max="15891" width="9.140625" style="66"/>
    <col min="15892" max="15892" width="7.28515625" style="66" customWidth="1"/>
    <col min="15893" max="15895" width="7.42578125" style="66" customWidth="1"/>
    <col min="15896" max="15896" width="10.42578125" style="66" bestFit="1" customWidth="1"/>
    <col min="15897" max="15897" width="12" style="66" bestFit="1" customWidth="1"/>
    <col min="15898" max="15898" width="11" style="66" bestFit="1" customWidth="1"/>
    <col min="15899" max="15900" width="11" style="66" customWidth="1"/>
    <col min="15901" max="15901" width="10" style="66" bestFit="1" customWidth="1"/>
    <col min="15902" max="15902" width="14.42578125" style="66" bestFit="1" customWidth="1"/>
    <col min="15903" max="15913" width="0" style="66" hidden="1" customWidth="1"/>
    <col min="15914" max="16134" width="9.140625" style="66"/>
    <col min="16135" max="16135" width="54.140625" style="66" bestFit="1" customWidth="1"/>
    <col min="16136" max="16136" width="14.7109375" style="66" customWidth="1"/>
    <col min="16137" max="16137" width="10.140625" style="66" customWidth="1"/>
    <col min="16138" max="16138" width="10.42578125" style="66" bestFit="1" customWidth="1"/>
    <col min="16139" max="16140" width="9.42578125" style="66" bestFit="1" customWidth="1"/>
    <col min="16141" max="16142" width="9.42578125" style="66" customWidth="1"/>
    <col min="16143" max="16143" width="10.140625" style="66" bestFit="1" customWidth="1"/>
    <col min="16144" max="16147" width="9.140625" style="66"/>
    <col min="16148" max="16148" width="7.28515625" style="66" customWidth="1"/>
    <col min="16149" max="16151" width="7.42578125" style="66" customWidth="1"/>
    <col min="16152" max="16152" width="10.42578125" style="66" bestFit="1" customWidth="1"/>
    <col min="16153" max="16153" width="12" style="66" bestFit="1" customWidth="1"/>
    <col min="16154" max="16154" width="11" style="66" bestFit="1" customWidth="1"/>
    <col min="16155" max="16156" width="11" style="66" customWidth="1"/>
    <col min="16157" max="16157" width="10" style="66" bestFit="1" customWidth="1"/>
    <col min="16158" max="16158" width="14.42578125" style="66" bestFit="1" customWidth="1"/>
    <col min="16159" max="16169" width="0" style="66" hidden="1" customWidth="1"/>
    <col min="16170" max="16384" width="9.140625" style="66"/>
  </cols>
  <sheetData>
    <row r="1" spans="2:49" s="63" customFormat="1" ht="45.75" customHeight="1" x14ac:dyDescent="0.25">
      <c r="B1" s="60" t="s">
        <v>99</v>
      </c>
      <c r="C1" s="155">
        <v>45658</v>
      </c>
      <c r="D1" s="156"/>
      <c r="E1" s="156"/>
      <c r="F1" s="156"/>
      <c r="G1" s="156"/>
      <c r="H1" s="156"/>
      <c r="I1" s="156"/>
      <c r="J1" s="156"/>
      <c r="K1" s="156"/>
      <c r="L1" s="156"/>
      <c r="M1" s="156"/>
      <c r="N1" s="156"/>
      <c r="O1" s="61"/>
      <c r="P1" s="61"/>
      <c r="Q1" s="61"/>
      <c r="R1" s="61"/>
      <c r="S1" s="61"/>
      <c r="T1" s="61"/>
      <c r="U1" s="61"/>
      <c r="V1" s="61"/>
      <c r="W1" s="61"/>
      <c r="X1" s="61"/>
      <c r="Y1" s="61"/>
      <c r="Z1" s="61"/>
      <c r="AA1" s="61"/>
      <c r="AB1" s="62"/>
      <c r="AC1" s="62"/>
    </row>
    <row r="2" spans="2:49" ht="21.75" customHeight="1" x14ac:dyDescent="0.2">
      <c r="B2" s="146" t="s">
        <v>289</v>
      </c>
      <c r="C2" s="146"/>
      <c r="D2" s="146"/>
      <c r="E2" s="146"/>
      <c r="F2" s="146"/>
      <c r="G2" s="146"/>
      <c r="H2" s="146"/>
      <c r="I2" s="146"/>
      <c r="J2" s="146"/>
      <c r="K2" s="146"/>
      <c r="L2" s="146"/>
      <c r="M2" s="146"/>
      <c r="N2" s="146"/>
      <c r="O2" s="64"/>
      <c r="P2" s="64"/>
      <c r="Q2" s="64"/>
      <c r="R2" s="64"/>
      <c r="S2" s="64"/>
      <c r="T2" s="64"/>
      <c r="U2" s="64"/>
      <c r="V2" s="64"/>
      <c r="W2" s="64"/>
      <c r="X2" s="64"/>
      <c r="Y2" s="64"/>
      <c r="Z2" s="64"/>
      <c r="AA2" s="64"/>
      <c r="AB2" s="65"/>
      <c r="AC2" s="65"/>
    </row>
    <row r="3" spans="2:49" x14ac:dyDescent="0.2">
      <c r="B3" s="145" t="s">
        <v>333</v>
      </c>
      <c r="C3" s="145"/>
      <c r="D3" s="145"/>
      <c r="E3" s="145"/>
      <c r="F3" s="145"/>
      <c r="G3" s="145"/>
      <c r="H3" s="145"/>
      <c r="I3" s="145"/>
      <c r="J3" s="145"/>
      <c r="K3" s="145"/>
      <c r="L3" s="145"/>
      <c r="M3" s="145"/>
      <c r="N3" s="145"/>
      <c r="O3" s="64"/>
      <c r="P3" s="64"/>
      <c r="Q3" s="64"/>
      <c r="R3" s="64"/>
      <c r="S3" s="64"/>
      <c r="T3" s="64"/>
      <c r="U3" s="64"/>
      <c r="V3" s="64"/>
      <c r="W3" s="64"/>
      <c r="X3" s="64"/>
      <c r="Y3" s="64"/>
      <c r="Z3" s="64"/>
      <c r="AA3" s="64"/>
    </row>
    <row r="4" spans="2:49" x14ac:dyDescent="0.2">
      <c r="B4" s="145"/>
      <c r="C4" s="145"/>
      <c r="D4" s="145"/>
      <c r="E4" s="145"/>
      <c r="F4" s="145"/>
      <c r="G4" s="145"/>
      <c r="H4" s="145"/>
      <c r="I4" s="145"/>
      <c r="J4" s="145"/>
      <c r="K4" s="145"/>
      <c r="L4" s="145"/>
      <c r="M4" s="145"/>
      <c r="N4" s="145"/>
      <c r="O4" s="64"/>
      <c r="P4" s="64"/>
      <c r="Q4" s="64"/>
      <c r="R4" s="64"/>
      <c r="S4" s="64"/>
      <c r="T4" s="64"/>
      <c r="U4" s="64"/>
      <c r="V4" s="64"/>
      <c r="W4" s="64"/>
      <c r="X4" s="64"/>
      <c r="Y4" s="64"/>
      <c r="Z4" s="64"/>
      <c r="AA4" s="64"/>
      <c r="AB4" s="65"/>
      <c r="AC4" s="65"/>
    </row>
    <row r="5" spans="2:49" x14ac:dyDescent="0.2">
      <c r="B5" s="146" t="s">
        <v>332</v>
      </c>
      <c r="C5" s="145" t="s">
        <v>331</v>
      </c>
      <c r="D5" s="145"/>
      <c r="E5" s="145"/>
      <c r="F5" s="145"/>
      <c r="G5" s="145"/>
      <c r="H5" s="145"/>
      <c r="I5" s="145"/>
      <c r="J5" s="145"/>
      <c r="K5" s="145"/>
      <c r="L5" s="145"/>
      <c r="M5" s="145"/>
      <c r="N5" s="145"/>
      <c r="O5" s="64"/>
      <c r="P5" s="64"/>
      <c r="Q5" s="64"/>
      <c r="R5" s="64"/>
      <c r="S5" s="64"/>
      <c r="T5" s="64"/>
      <c r="U5" s="64"/>
      <c r="V5" s="64"/>
      <c r="W5" s="64"/>
      <c r="X5" s="64"/>
      <c r="Y5" s="64"/>
      <c r="Z5" s="64"/>
      <c r="AA5" s="64"/>
      <c r="AB5" s="65"/>
      <c r="AC5" s="65"/>
    </row>
    <row r="6" spans="2:49" ht="15" customHeight="1" thickBot="1" x14ac:dyDescent="0.25">
      <c r="B6" s="146"/>
      <c r="C6" s="145"/>
      <c r="D6" s="145"/>
      <c r="E6" s="145"/>
      <c r="F6" s="145"/>
      <c r="G6" s="145"/>
      <c r="H6" s="145"/>
      <c r="I6" s="145"/>
      <c r="J6" s="145"/>
      <c r="K6" s="145"/>
      <c r="L6" s="145"/>
      <c r="M6" s="145"/>
      <c r="N6" s="145"/>
      <c r="O6" s="64"/>
      <c r="P6" s="64"/>
      <c r="Q6" s="64"/>
      <c r="R6" s="64"/>
      <c r="S6" s="64"/>
      <c r="T6" s="64"/>
      <c r="U6" s="64"/>
      <c r="V6" s="64"/>
      <c r="W6" s="64"/>
      <c r="X6" s="64"/>
      <c r="Y6" s="64"/>
      <c r="Z6" s="64"/>
      <c r="AA6" s="64"/>
      <c r="AB6" s="65"/>
      <c r="AC6" s="65"/>
    </row>
    <row r="7" spans="2:49" ht="13.5" thickBot="1" x14ac:dyDescent="0.25">
      <c r="D7" s="67"/>
      <c r="E7" s="68"/>
      <c r="F7" s="64"/>
      <c r="G7" s="64"/>
      <c r="H7" s="64"/>
      <c r="I7" s="64"/>
      <c r="J7" s="64"/>
      <c r="K7" s="64"/>
      <c r="L7" s="64"/>
      <c r="M7" s="64"/>
      <c r="N7" s="64"/>
      <c r="O7" s="61"/>
      <c r="P7" s="61"/>
      <c r="Q7" s="64"/>
      <c r="R7" s="64"/>
      <c r="S7" s="64"/>
      <c r="T7" s="64"/>
      <c r="U7" s="64"/>
      <c r="V7" s="64"/>
      <c r="W7" s="64"/>
      <c r="X7" s="64"/>
      <c r="Y7" s="64"/>
      <c r="Z7" s="64"/>
      <c r="AA7" s="64"/>
      <c r="AB7" s="69"/>
      <c r="AC7" s="69"/>
      <c r="AD7" s="157"/>
      <c r="AE7" s="158"/>
      <c r="AF7" s="158"/>
      <c r="AG7" s="158"/>
      <c r="AH7" s="158"/>
      <c r="AI7" s="158"/>
      <c r="AJ7" s="158"/>
      <c r="AK7" s="158"/>
      <c r="AL7" s="158"/>
      <c r="AM7" s="158"/>
      <c r="AN7" s="158"/>
      <c r="AO7" s="158"/>
      <c r="AP7" s="158"/>
      <c r="AQ7" s="158"/>
      <c r="AR7" s="158"/>
      <c r="AS7" s="158"/>
      <c r="AT7" s="158"/>
      <c r="AU7" s="158"/>
      <c r="AV7" s="158"/>
      <c r="AW7" s="159"/>
    </row>
    <row r="8" spans="2:49" ht="43.5" customHeight="1" x14ac:dyDescent="0.2">
      <c r="B8" s="160" t="s">
        <v>290</v>
      </c>
      <c r="C8" s="162" t="s">
        <v>291</v>
      </c>
      <c r="D8" s="153" t="s">
        <v>292</v>
      </c>
      <c r="E8" s="164" t="s">
        <v>293</v>
      </c>
      <c r="F8" s="150"/>
      <c r="G8" s="150"/>
      <c r="H8" s="150"/>
      <c r="I8" s="150"/>
      <c r="J8" s="165"/>
      <c r="K8" s="164" t="s">
        <v>294</v>
      </c>
      <c r="L8" s="150"/>
      <c r="M8" s="150"/>
      <c r="N8" s="150"/>
      <c r="O8" s="150"/>
      <c r="P8" s="165"/>
      <c r="Q8" s="164" t="s">
        <v>295</v>
      </c>
      <c r="R8" s="166"/>
      <c r="S8" s="150"/>
      <c r="T8" s="150"/>
      <c r="U8" s="165"/>
      <c r="V8" s="153" t="s">
        <v>296</v>
      </c>
      <c r="W8" s="166" t="s">
        <v>297</v>
      </c>
      <c r="X8" s="150" t="s">
        <v>298</v>
      </c>
      <c r="Y8" s="150" t="s">
        <v>299</v>
      </c>
      <c r="Z8" s="150" t="s">
        <v>300</v>
      </c>
      <c r="AA8" s="150" t="s">
        <v>301</v>
      </c>
      <c r="AB8" s="151" t="s">
        <v>302</v>
      </c>
      <c r="AC8" s="153" t="s">
        <v>303</v>
      </c>
      <c r="AD8" s="70" t="str">
        <f>'AUTO CALCULATION SHEET (2)'!P17</f>
        <v>Alumimium</v>
      </c>
      <c r="AE8" s="71" t="str">
        <f>'AUTO CALCULATION SHEET (2)'!R17</f>
        <v>Copper</v>
      </c>
      <c r="AF8" s="71" t="str">
        <f>'AUTO CALCULATION SHEET (2)'!AH17</f>
        <v>LT-XLPE</v>
      </c>
      <c r="AG8" s="71" t="str">
        <f>'AUTO CALCULATION SHEET (2)'!AK17</f>
        <v>Type C PVC (HR)</v>
      </c>
      <c r="AH8" s="71" t="str">
        <f>'AUTO CALCULATION SHEET (2)'!AM17</f>
        <v>POLY TAPE</v>
      </c>
      <c r="AI8" s="71" t="str">
        <f>'AUTO CALCULATION SHEET (2)'!AS17</f>
        <v>PVC Type ST-2</v>
      </c>
      <c r="AJ8" s="71" t="str">
        <f>'AUTO CALCULATION SHEET (2)'!AT17</f>
        <v>PVC Type ST-2-PRESSURE EXTRUDED</v>
      </c>
      <c r="AK8" s="71" t="str">
        <f>'AUTO CALCULATION SHEET (2)'!BC17</f>
        <v>Galvanised Steel Round Wire</v>
      </c>
      <c r="AL8" s="71" t="str">
        <f>'AUTO CALCULATION SHEET (2)'!BH17</f>
        <v>FRLSH PVC Type ST-2</v>
      </c>
      <c r="AM8" s="71" t="str">
        <f>'AUTO CALCULATION SHEET (2)'!BQ17</f>
        <v>NCWBT</v>
      </c>
      <c r="AN8" s="71" t="str">
        <f>'AUTO CALCULATION SHEET (2)'!BV17</f>
        <v>RUBBERIZED COTTON TAPE</v>
      </c>
      <c r="AO8" s="149" t="s">
        <v>304</v>
      </c>
      <c r="AP8" s="149" t="s">
        <v>305</v>
      </c>
      <c r="AQ8" s="149" t="s">
        <v>306</v>
      </c>
      <c r="AR8" s="149" t="s">
        <v>307</v>
      </c>
      <c r="AS8" s="149" t="s">
        <v>308</v>
      </c>
      <c r="AT8" s="149" t="s">
        <v>309</v>
      </c>
      <c r="AU8" s="149" t="s">
        <v>310</v>
      </c>
      <c r="AV8" s="149" t="s">
        <v>311</v>
      </c>
      <c r="AW8" s="143" t="s">
        <v>312</v>
      </c>
    </row>
    <row r="9" spans="2:49" ht="24" customHeight="1" x14ac:dyDescent="0.2">
      <c r="B9" s="161"/>
      <c r="C9" s="163"/>
      <c r="D9" s="154"/>
      <c r="E9" s="147" t="s">
        <v>313</v>
      </c>
      <c r="F9" s="148" t="s">
        <v>314</v>
      </c>
      <c r="G9" s="148" t="s">
        <v>315</v>
      </c>
      <c r="H9" s="148" t="s">
        <v>316</v>
      </c>
      <c r="I9" s="148" t="s">
        <v>317</v>
      </c>
      <c r="J9" s="144" t="s">
        <v>318</v>
      </c>
      <c r="K9" s="147" t="s">
        <v>313</v>
      </c>
      <c r="L9" s="148" t="s">
        <v>319</v>
      </c>
      <c r="M9" s="148" t="s">
        <v>320</v>
      </c>
      <c r="N9" s="148" t="s">
        <v>321</v>
      </c>
      <c r="O9" s="148" t="s">
        <v>322</v>
      </c>
      <c r="P9" s="144" t="s">
        <v>323</v>
      </c>
      <c r="Q9" s="147"/>
      <c r="R9" s="167"/>
      <c r="S9" s="148"/>
      <c r="T9" s="148"/>
      <c r="U9" s="144"/>
      <c r="V9" s="154"/>
      <c r="W9" s="167"/>
      <c r="X9" s="148"/>
      <c r="Y9" s="148"/>
      <c r="Z9" s="148"/>
      <c r="AA9" s="148"/>
      <c r="AB9" s="152"/>
      <c r="AC9" s="154"/>
      <c r="AD9" s="76">
        <v>273</v>
      </c>
      <c r="AE9" s="77">
        <v>866</v>
      </c>
      <c r="AF9" s="77">
        <v>108</v>
      </c>
      <c r="AG9" s="77">
        <v>104</v>
      </c>
      <c r="AH9" s="77">
        <v>120</v>
      </c>
      <c r="AI9" s="77">
        <v>68</v>
      </c>
      <c r="AJ9" s="77">
        <v>87</v>
      </c>
      <c r="AK9" s="77">
        <v>82</v>
      </c>
      <c r="AL9" s="77">
        <f>86+5</f>
        <v>91</v>
      </c>
      <c r="AM9" s="77">
        <v>340</v>
      </c>
      <c r="AN9" s="77">
        <v>370</v>
      </c>
      <c r="AO9" s="149"/>
      <c r="AP9" s="149"/>
      <c r="AQ9" s="149"/>
      <c r="AR9" s="149"/>
      <c r="AS9" s="149"/>
      <c r="AT9" s="149"/>
      <c r="AU9" s="149"/>
      <c r="AV9" s="149"/>
      <c r="AW9" s="143"/>
    </row>
    <row r="10" spans="2:49" ht="22.5" customHeight="1" x14ac:dyDescent="0.2">
      <c r="B10" s="161"/>
      <c r="C10" s="163"/>
      <c r="D10" s="154"/>
      <c r="E10" s="147"/>
      <c r="F10" s="148"/>
      <c r="G10" s="148"/>
      <c r="H10" s="148"/>
      <c r="I10" s="148"/>
      <c r="J10" s="144"/>
      <c r="K10" s="147"/>
      <c r="L10" s="148"/>
      <c r="M10" s="148"/>
      <c r="N10" s="148"/>
      <c r="O10" s="148"/>
      <c r="P10" s="144"/>
      <c r="Q10" s="72" t="s">
        <v>324</v>
      </c>
      <c r="R10" s="75" t="s">
        <v>330</v>
      </c>
      <c r="S10" s="73" t="s">
        <v>325</v>
      </c>
      <c r="T10" s="73" t="s">
        <v>326</v>
      </c>
      <c r="U10" s="74" t="s">
        <v>327</v>
      </c>
      <c r="V10" s="154"/>
      <c r="W10" s="167"/>
      <c r="X10" s="148"/>
      <c r="Y10" s="148"/>
      <c r="Z10" s="148"/>
      <c r="AA10" s="148"/>
      <c r="AB10" s="152"/>
      <c r="AC10" s="154"/>
      <c r="AD10" s="76" t="s">
        <v>328</v>
      </c>
      <c r="AE10" s="77" t="s">
        <v>328</v>
      </c>
      <c r="AF10" s="77" t="s">
        <v>328</v>
      </c>
      <c r="AG10" s="77" t="s">
        <v>328</v>
      </c>
      <c r="AH10" s="77" t="s">
        <v>328</v>
      </c>
      <c r="AI10" s="77" t="s">
        <v>328</v>
      </c>
      <c r="AJ10" s="77" t="s">
        <v>328</v>
      </c>
      <c r="AK10" s="77" t="s">
        <v>328</v>
      </c>
      <c r="AL10" s="77" t="s">
        <v>328</v>
      </c>
      <c r="AM10" s="77" t="s">
        <v>328</v>
      </c>
      <c r="AN10" s="77" t="s">
        <v>328</v>
      </c>
      <c r="AO10" s="149"/>
      <c r="AP10" s="149"/>
      <c r="AQ10" s="149"/>
      <c r="AR10" s="149"/>
      <c r="AS10" s="149"/>
      <c r="AT10" s="149"/>
      <c r="AU10" s="78"/>
      <c r="AV10" s="149"/>
      <c r="AW10" s="143"/>
    </row>
    <row r="11" spans="2:49" s="63" customFormat="1" ht="24.75" customHeight="1" x14ac:dyDescent="0.25">
      <c r="B11" s="121" t="str">
        <f>'AUTO CALCULATION SHEET (2)'!F19</f>
        <v>1 CORE X 95 SQ. MM. AL/UNARD(XLPE )</v>
      </c>
      <c r="C11" s="79"/>
      <c r="D11" s="80" t="s">
        <v>329</v>
      </c>
      <c r="E11" s="81">
        <v>45706</v>
      </c>
      <c r="F11" s="82">
        <v>265753.40999999997</v>
      </c>
      <c r="G11" s="83"/>
      <c r="H11" s="83">
        <v>154134</v>
      </c>
      <c r="I11" s="83">
        <v>159825</v>
      </c>
      <c r="J11" s="84"/>
      <c r="K11" s="85">
        <f>$C$1</f>
        <v>45658</v>
      </c>
      <c r="L11" s="83">
        <v>264189</v>
      </c>
      <c r="M11" s="83"/>
      <c r="N11" s="83">
        <v>154134</v>
      </c>
      <c r="O11" s="83">
        <v>159825</v>
      </c>
      <c r="P11" s="84"/>
      <c r="Q11" s="86">
        <v>0.27400000000000002</v>
      </c>
      <c r="R11" s="87"/>
      <c r="S11" s="88">
        <v>4.8000000000000001E-2</v>
      </c>
      <c r="T11" s="88">
        <v>0.16300000000000001</v>
      </c>
      <c r="U11" s="89"/>
      <c r="V11" s="90">
        <f>'AUTO CALCULATION SHEET (2)'!G19</f>
        <v>104733.7784</v>
      </c>
      <c r="W11" s="91">
        <f t="shared" ref="W11:AA11" si="0">Q11*(F11-L11)</f>
        <v>428.64833999999303</v>
      </c>
      <c r="X11" s="92">
        <f t="shared" si="0"/>
        <v>0</v>
      </c>
      <c r="Y11" s="92">
        <f t="shared" si="0"/>
        <v>0</v>
      </c>
      <c r="Z11" s="92">
        <f t="shared" si="0"/>
        <v>0</v>
      </c>
      <c r="AA11" s="92">
        <f t="shared" si="0"/>
        <v>0</v>
      </c>
      <c r="AB11" s="93">
        <f>W11+X11+Y11+Z11+AA11</f>
        <v>428.64833999999303</v>
      </c>
      <c r="AC11" s="94">
        <f>V11+AB11</f>
        <v>105162.42674</v>
      </c>
      <c r="AD11" s="95">
        <f>'AUTO CALCULATION SHEET (2)'!P19</f>
        <v>256</v>
      </c>
      <c r="AE11" s="96">
        <f>'AUTO CALCULATION SHEET (2)'!R19</f>
        <v>0</v>
      </c>
      <c r="AF11" s="96">
        <f>'AUTO CALCULATION SHEET (2)'!AH19</f>
        <v>44</v>
      </c>
      <c r="AG11" s="96">
        <f>'AUTO CALCULATION SHEET (2)'!AK19</f>
        <v>0</v>
      </c>
      <c r="AH11" s="96">
        <f>'AUTO CALCULATION SHEET (2)'!AM19</f>
        <v>0</v>
      </c>
      <c r="AI11" s="96">
        <f>'AUTO CALCULATION SHEET (2)'!AS19</f>
        <v>0</v>
      </c>
      <c r="AJ11" s="96">
        <f>'AUTO CALCULATION SHEET (2)'!AT19</f>
        <v>0</v>
      </c>
      <c r="AK11" s="96">
        <f>'AUTO CALCULATION SHEET (2)'!BC19</f>
        <v>0</v>
      </c>
      <c r="AL11" s="96">
        <f>'AUTO CALCULATION SHEET (2)'!BH19</f>
        <v>140</v>
      </c>
      <c r="AM11" s="96">
        <f>'AUTO CALCULATION SHEET (2)'!BQ19</f>
        <v>0</v>
      </c>
      <c r="AN11" s="96">
        <f>'AUTO CALCULATION SHEET (2)'!BV19</f>
        <v>0</v>
      </c>
      <c r="AO11" s="97">
        <f t="shared" ref="AO11:AO37" si="1">SUMPRODUCT(AD11:AN11,$AD$9:$AN$9)</f>
        <v>87380</v>
      </c>
      <c r="AP11" s="98">
        <f>'AUTO CALCULATION SHEET (2)'!CB19</f>
        <v>2550</v>
      </c>
      <c r="AQ11" s="97">
        <f>AO11+AP11</f>
        <v>89930</v>
      </c>
      <c r="AR11" s="98">
        <f t="shared" ref="AR11:AR37" si="2">AC11-AQ11</f>
        <v>15232.426739999995</v>
      </c>
      <c r="AS11" s="97">
        <f>ROUND((AR11/AQ11)*100,2)</f>
        <v>16.940000000000001</v>
      </c>
      <c r="AT11" s="98">
        <v>0</v>
      </c>
      <c r="AU11" s="98">
        <v>2</v>
      </c>
      <c r="AV11" s="98">
        <v>1</v>
      </c>
      <c r="AW11" s="99">
        <f>AS11-AT11-AU11-AV11</f>
        <v>13.940000000000001</v>
      </c>
    </row>
    <row r="12" spans="2:49" s="63" customFormat="1" ht="24.75" customHeight="1" x14ac:dyDescent="0.25">
      <c r="B12" s="121" t="str">
        <f>'AUTO CALCULATION SHEET (2)'!F20</f>
        <v>1 CORE X 150 SQ. MM. AL/UNARD. (XLPE)</v>
      </c>
      <c r="C12" s="79"/>
      <c r="D12" s="80" t="s">
        <v>329</v>
      </c>
      <c r="E12" s="81">
        <v>45706</v>
      </c>
      <c r="F12" s="82">
        <v>265753.40999999997</v>
      </c>
      <c r="G12" s="83"/>
      <c r="H12" s="83">
        <v>154134</v>
      </c>
      <c r="I12" s="83">
        <v>159825</v>
      </c>
      <c r="J12" s="84"/>
      <c r="K12" s="85">
        <f t="shared" ref="K12:K37" si="3">$C$1</f>
        <v>45658</v>
      </c>
      <c r="L12" s="83">
        <v>264189</v>
      </c>
      <c r="M12" s="83"/>
      <c r="N12" s="83">
        <v>154134</v>
      </c>
      <c r="O12" s="83">
        <v>159825</v>
      </c>
      <c r="P12" s="84"/>
      <c r="Q12" s="86">
        <v>0.42499999999999999</v>
      </c>
      <c r="R12" s="87"/>
      <c r="S12" s="88">
        <v>7.8E-2</v>
      </c>
      <c r="T12" s="88">
        <v>0.217</v>
      </c>
      <c r="U12" s="89"/>
      <c r="V12" s="90">
        <f>'AUTO CALCULATION SHEET (2)'!G20</f>
        <v>168250.54120000001</v>
      </c>
      <c r="W12" s="91">
        <f t="shared" ref="W12:W35" si="4">Q12*(F12-L12)</f>
        <v>664.87424999998905</v>
      </c>
      <c r="X12" s="92">
        <f t="shared" ref="X12:X35" si="5">R12*(G12-M12)</f>
        <v>0</v>
      </c>
      <c r="Y12" s="92">
        <f t="shared" ref="Y12:Y35" si="6">S12*(H12-N12)</f>
        <v>0</v>
      </c>
      <c r="Z12" s="92">
        <f t="shared" ref="Z12:Z35" si="7">T12*(I12-O12)</f>
        <v>0</v>
      </c>
      <c r="AA12" s="92">
        <f t="shared" ref="AA12:AA35" si="8">U12*(J12-P12)</f>
        <v>0</v>
      </c>
      <c r="AB12" s="93">
        <f t="shared" ref="AB12:AB35" si="9">W12+X12+Y12+Z12+AA12</f>
        <v>664.87424999998905</v>
      </c>
      <c r="AC12" s="94">
        <f t="shared" ref="AC12:AC35" si="10">V12+AB12</f>
        <v>168915.41545</v>
      </c>
      <c r="AD12" s="95">
        <f>'AUTO CALCULATION SHEET (2)'!P20</f>
        <v>405</v>
      </c>
      <c r="AE12" s="96">
        <f>'AUTO CALCULATION SHEET (2)'!R20</f>
        <v>0</v>
      </c>
      <c r="AF12" s="96">
        <f>'AUTO CALCULATION SHEET (2)'!AH20</f>
        <v>72</v>
      </c>
      <c r="AG12" s="96">
        <f>'AUTO CALCULATION SHEET (2)'!AK20</f>
        <v>0</v>
      </c>
      <c r="AH12" s="96">
        <f>'AUTO CALCULATION SHEET (2)'!AM20</f>
        <v>0</v>
      </c>
      <c r="AI12" s="96">
        <f>'AUTO CALCULATION SHEET (2)'!AS20</f>
        <v>0</v>
      </c>
      <c r="AJ12" s="96">
        <f>'AUTO CALCULATION SHEET (2)'!AT20</f>
        <v>0</v>
      </c>
      <c r="AK12" s="96">
        <f>'AUTO CALCULATION SHEET (2)'!BC20</f>
        <v>0</v>
      </c>
      <c r="AL12" s="96">
        <f>'AUTO CALCULATION SHEET (2)'!BH20</f>
        <v>195</v>
      </c>
      <c r="AM12" s="96">
        <f>'AUTO CALCULATION SHEET (2)'!BQ20</f>
        <v>14</v>
      </c>
      <c r="AN12" s="96">
        <f>'AUTO CALCULATION SHEET (2)'!BV20</f>
        <v>0</v>
      </c>
      <c r="AO12" s="97">
        <f t="shared" si="1"/>
        <v>140846</v>
      </c>
      <c r="AP12" s="98">
        <f>'AUTO CALCULATION SHEET (2)'!CB20</f>
        <v>3606</v>
      </c>
      <c r="AQ12" s="97">
        <f t="shared" ref="AQ12:AQ35" si="11">AO12+AP12</f>
        <v>144452</v>
      </c>
      <c r="AR12" s="98">
        <f t="shared" si="2"/>
        <v>24463.41545</v>
      </c>
      <c r="AS12" s="97">
        <f t="shared" ref="AS12:AS35" si="12">ROUND((AR12/AQ12)*100,2)</f>
        <v>16.940000000000001</v>
      </c>
      <c r="AT12" s="98">
        <v>0</v>
      </c>
      <c r="AU12" s="98">
        <v>2</v>
      </c>
      <c r="AV12" s="98">
        <v>1</v>
      </c>
      <c r="AW12" s="99">
        <f t="shared" ref="AW12:AW35" si="13">AS12-AT12-AU12-AV12</f>
        <v>13.940000000000001</v>
      </c>
    </row>
    <row r="13" spans="2:49" s="63" customFormat="1" ht="24.75" customHeight="1" x14ac:dyDescent="0.25">
      <c r="B13" s="121" t="str">
        <f>'AUTO CALCULATION SHEET (2)'!F21</f>
        <v>1 CORE X 185 SQ. MM. AL/UNARD. (XLPE)</v>
      </c>
      <c r="C13" s="79"/>
      <c r="D13" s="80" t="s">
        <v>329</v>
      </c>
      <c r="E13" s="81">
        <v>45706</v>
      </c>
      <c r="F13" s="82">
        <v>265753.40999999997</v>
      </c>
      <c r="G13" s="83"/>
      <c r="H13" s="83">
        <v>154134</v>
      </c>
      <c r="I13" s="83">
        <v>159825</v>
      </c>
      <c r="J13" s="84"/>
      <c r="K13" s="85">
        <f t="shared" si="3"/>
        <v>45658</v>
      </c>
      <c r="L13" s="83">
        <v>264189</v>
      </c>
      <c r="M13" s="83"/>
      <c r="N13" s="83">
        <v>154134</v>
      </c>
      <c r="O13" s="83">
        <v>159825</v>
      </c>
      <c r="P13" s="84"/>
      <c r="Q13" s="86">
        <v>0.53300000000000003</v>
      </c>
      <c r="R13" s="87"/>
      <c r="S13" s="88">
        <v>9.7000000000000003E-2</v>
      </c>
      <c r="T13" s="88">
        <v>0.23599999999999999</v>
      </c>
      <c r="U13" s="89"/>
      <c r="V13" s="90">
        <f>'AUTO CALCULATION SHEET (2)'!G21</f>
        <v>206352.7132</v>
      </c>
      <c r="W13" s="91">
        <f t="shared" si="4"/>
        <v>833.83052999998642</v>
      </c>
      <c r="X13" s="92">
        <f t="shared" si="5"/>
        <v>0</v>
      </c>
      <c r="Y13" s="92">
        <f t="shared" si="6"/>
        <v>0</v>
      </c>
      <c r="Z13" s="92">
        <f t="shared" si="7"/>
        <v>0</v>
      </c>
      <c r="AA13" s="92">
        <f t="shared" si="8"/>
        <v>0</v>
      </c>
      <c r="AB13" s="93">
        <f t="shared" si="9"/>
        <v>833.83052999998642</v>
      </c>
      <c r="AC13" s="94">
        <f t="shared" si="10"/>
        <v>207186.54372999998</v>
      </c>
      <c r="AD13" s="95">
        <f>'AUTO CALCULATION SHEET (2)'!P21</f>
        <v>500</v>
      </c>
      <c r="AE13" s="96">
        <f>'AUTO CALCULATION SHEET (2)'!R21</f>
        <v>0</v>
      </c>
      <c r="AF13" s="96">
        <f>'AUTO CALCULATION SHEET (2)'!AH21</f>
        <v>90</v>
      </c>
      <c r="AG13" s="96">
        <f>'AUTO CALCULATION SHEET (2)'!AK21</f>
        <v>0</v>
      </c>
      <c r="AH13" s="96">
        <f>'AUTO CALCULATION SHEET (2)'!AM21</f>
        <v>0</v>
      </c>
      <c r="AI13" s="96">
        <f>'AUTO CALCULATION SHEET (2)'!AS21</f>
        <v>0</v>
      </c>
      <c r="AJ13" s="96">
        <f>'AUTO CALCULATION SHEET (2)'!AT21</f>
        <v>0</v>
      </c>
      <c r="AK13" s="96">
        <f>'AUTO CALCULATION SHEET (2)'!BC21</f>
        <v>0</v>
      </c>
      <c r="AL13" s="96">
        <f>'AUTO CALCULATION SHEET (2)'!BH21</f>
        <v>216</v>
      </c>
      <c r="AM13" s="96">
        <f>'AUTO CALCULATION SHEET (2)'!BQ21</f>
        <v>22</v>
      </c>
      <c r="AN13" s="96">
        <f>'AUTO CALCULATION SHEET (2)'!BV21</f>
        <v>0</v>
      </c>
      <c r="AO13" s="97">
        <f t="shared" si="1"/>
        <v>173356</v>
      </c>
      <c r="AP13" s="98">
        <f>'AUTO CALCULATION SHEET (2)'!CB21</f>
        <v>3881</v>
      </c>
      <c r="AQ13" s="97">
        <f t="shared" si="11"/>
        <v>177237</v>
      </c>
      <c r="AR13" s="98">
        <f t="shared" si="2"/>
        <v>29949.543729999976</v>
      </c>
      <c r="AS13" s="97">
        <f t="shared" si="12"/>
        <v>16.899999999999999</v>
      </c>
      <c r="AT13" s="98">
        <v>0</v>
      </c>
      <c r="AU13" s="98">
        <v>2</v>
      </c>
      <c r="AV13" s="98">
        <v>1</v>
      </c>
      <c r="AW13" s="99">
        <f t="shared" si="13"/>
        <v>13.899999999999999</v>
      </c>
    </row>
    <row r="14" spans="2:49" s="63" customFormat="1" ht="24.75" customHeight="1" x14ac:dyDescent="0.25">
      <c r="B14" s="121" t="str">
        <f>'AUTO CALCULATION SHEET (2)'!F22</f>
        <v>1 CORE X 300 SQ. MM. AL/UNARD. (XLPE)</v>
      </c>
      <c r="C14" s="79"/>
      <c r="D14" s="80" t="s">
        <v>329</v>
      </c>
      <c r="E14" s="81">
        <v>45706</v>
      </c>
      <c r="F14" s="82">
        <v>265753.40999999997</v>
      </c>
      <c r="G14" s="83"/>
      <c r="H14" s="83">
        <v>154134</v>
      </c>
      <c r="I14" s="83">
        <v>159825</v>
      </c>
      <c r="J14" s="84"/>
      <c r="K14" s="85">
        <f t="shared" si="3"/>
        <v>45658</v>
      </c>
      <c r="L14" s="83">
        <v>264189</v>
      </c>
      <c r="M14" s="83"/>
      <c r="N14" s="83">
        <v>154134</v>
      </c>
      <c r="O14" s="83">
        <v>159825</v>
      </c>
      <c r="P14" s="84"/>
      <c r="Q14" s="86">
        <v>0.879</v>
      </c>
      <c r="R14" s="87"/>
      <c r="S14" s="88">
        <v>0.13800000000000001</v>
      </c>
      <c r="T14" s="88">
        <v>0.30299999999999999</v>
      </c>
      <c r="U14" s="89"/>
      <c r="V14" s="90">
        <f>'AUTO CALCULATION SHEET (2)'!G22</f>
        <v>318747.54919999995</v>
      </c>
      <c r="W14" s="91">
        <f t="shared" si="4"/>
        <v>1375.1163899999774</v>
      </c>
      <c r="X14" s="92">
        <f t="shared" si="5"/>
        <v>0</v>
      </c>
      <c r="Y14" s="92">
        <f t="shared" si="6"/>
        <v>0</v>
      </c>
      <c r="Z14" s="92">
        <f t="shared" si="7"/>
        <v>0</v>
      </c>
      <c r="AA14" s="92">
        <f t="shared" si="8"/>
        <v>0</v>
      </c>
      <c r="AB14" s="93">
        <f t="shared" si="9"/>
        <v>1375.1163899999774</v>
      </c>
      <c r="AC14" s="94">
        <f t="shared" si="10"/>
        <v>320122.66558999993</v>
      </c>
      <c r="AD14" s="95">
        <f>'AUTO CALCULATION SHEET (2)'!P22</f>
        <v>810</v>
      </c>
      <c r="AE14" s="96">
        <f>'AUTO CALCULATION SHEET (2)'!R22</f>
        <v>0</v>
      </c>
      <c r="AF14" s="96">
        <f>'AUTO CALCULATION SHEET (2)'!AH22</f>
        <v>132</v>
      </c>
      <c r="AG14" s="96">
        <f>'AUTO CALCULATION SHEET (2)'!AK22</f>
        <v>0</v>
      </c>
      <c r="AH14" s="96">
        <f>'AUTO CALCULATION SHEET (2)'!AM22</f>
        <v>0</v>
      </c>
      <c r="AI14" s="96">
        <f>'AUTO CALCULATION SHEET (2)'!AS22</f>
        <v>0</v>
      </c>
      <c r="AJ14" s="96">
        <f>'AUTO CALCULATION SHEET (2)'!AT22</f>
        <v>0</v>
      </c>
      <c r="AK14" s="96">
        <f>'AUTO CALCULATION SHEET (2)'!BC22</f>
        <v>0</v>
      </c>
      <c r="AL14" s="96">
        <f>'AUTO CALCULATION SHEET (2)'!BH22</f>
        <v>255</v>
      </c>
      <c r="AM14" s="96">
        <f>'AUTO CALCULATION SHEET (2)'!BQ22</f>
        <v>28</v>
      </c>
      <c r="AN14" s="96">
        <f>'AUTO CALCULATION SHEET (2)'!BV22</f>
        <v>0</v>
      </c>
      <c r="AO14" s="97">
        <f t="shared" si="1"/>
        <v>268111</v>
      </c>
      <c r="AP14" s="98">
        <f>'AUTO CALCULATION SHEET (2)'!CB22</f>
        <v>6276</v>
      </c>
      <c r="AQ14" s="97">
        <f t="shared" si="11"/>
        <v>274387</v>
      </c>
      <c r="AR14" s="98">
        <f t="shared" si="2"/>
        <v>45735.665589999931</v>
      </c>
      <c r="AS14" s="97">
        <f t="shared" si="12"/>
        <v>16.670000000000002</v>
      </c>
      <c r="AT14" s="98">
        <v>0</v>
      </c>
      <c r="AU14" s="98">
        <v>2</v>
      </c>
      <c r="AV14" s="98">
        <v>1</v>
      </c>
      <c r="AW14" s="99">
        <f t="shared" si="13"/>
        <v>13.670000000000002</v>
      </c>
    </row>
    <row r="15" spans="2:49" s="63" customFormat="1" ht="24.75" customHeight="1" x14ac:dyDescent="0.25">
      <c r="B15" s="121" t="str">
        <f>'AUTO CALCULATION SHEET (2)'!F23</f>
        <v>1 CORE X 630 SQ. MM. ALU/UNARD (XLPE)</v>
      </c>
      <c r="C15" s="79"/>
      <c r="D15" s="80" t="s">
        <v>329</v>
      </c>
      <c r="E15" s="81">
        <v>45706</v>
      </c>
      <c r="F15" s="82">
        <v>265753.40999999997</v>
      </c>
      <c r="G15" s="83"/>
      <c r="H15" s="83">
        <v>154134</v>
      </c>
      <c r="I15" s="83">
        <v>159825</v>
      </c>
      <c r="J15" s="84"/>
      <c r="K15" s="85">
        <f t="shared" si="3"/>
        <v>45658</v>
      </c>
      <c r="L15" s="83">
        <v>264189</v>
      </c>
      <c r="M15" s="83"/>
      <c r="N15" s="83">
        <v>154134</v>
      </c>
      <c r="O15" s="83">
        <v>159825</v>
      </c>
      <c r="P15" s="84"/>
      <c r="Q15" s="86">
        <v>1.8280000000000001</v>
      </c>
      <c r="R15" s="87"/>
      <c r="S15" s="88">
        <v>0.26500000000000001</v>
      </c>
      <c r="T15" s="88">
        <v>0.46899999999999997</v>
      </c>
      <c r="U15" s="89"/>
      <c r="V15" s="90">
        <f>'AUTO CALCULATION SHEET (2)'!G23</f>
        <v>643530.03319999995</v>
      </c>
      <c r="W15" s="91">
        <f t="shared" si="4"/>
        <v>2859.7414799999533</v>
      </c>
      <c r="X15" s="92">
        <f t="shared" si="5"/>
        <v>0</v>
      </c>
      <c r="Y15" s="92">
        <f t="shared" si="6"/>
        <v>0</v>
      </c>
      <c r="Z15" s="92">
        <f t="shared" si="7"/>
        <v>0</v>
      </c>
      <c r="AA15" s="92">
        <f t="shared" si="8"/>
        <v>0</v>
      </c>
      <c r="AB15" s="93">
        <f t="shared" si="9"/>
        <v>2859.7414799999533</v>
      </c>
      <c r="AC15" s="94">
        <f t="shared" si="10"/>
        <v>646389.77467999991</v>
      </c>
      <c r="AD15" s="95">
        <f>'AUTO CALCULATION SHEET (2)'!P23</f>
        <v>1701</v>
      </c>
      <c r="AE15" s="96">
        <f>'AUTO CALCULATION SHEET (2)'!R23</f>
        <v>0</v>
      </c>
      <c r="AF15" s="96">
        <f>'AUTO CALCULATION SHEET (2)'!AH23</f>
        <v>242</v>
      </c>
      <c r="AG15" s="96">
        <f>'AUTO CALCULATION SHEET (2)'!AK23</f>
        <v>0</v>
      </c>
      <c r="AH15" s="96">
        <f>'AUTO CALCULATION SHEET (2)'!AM23</f>
        <v>0</v>
      </c>
      <c r="AI15" s="96">
        <f>'AUTO CALCULATION SHEET (2)'!AS23</f>
        <v>0</v>
      </c>
      <c r="AJ15" s="96">
        <f>'AUTO CALCULATION SHEET (2)'!AT23</f>
        <v>0</v>
      </c>
      <c r="AK15" s="96">
        <f>'AUTO CALCULATION SHEET (2)'!BC23</f>
        <v>0</v>
      </c>
      <c r="AL15" s="96">
        <f>'AUTO CALCULATION SHEET (2)'!BH23</f>
        <v>408</v>
      </c>
      <c r="AM15" s="96">
        <f>'AUTO CALCULATION SHEET (2)'!BQ23</f>
        <v>40</v>
      </c>
      <c r="AN15" s="96">
        <f>'AUTO CALCULATION SHEET (2)'!BV23</f>
        <v>0</v>
      </c>
      <c r="AO15" s="97">
        <f t="shared" si="1"/>
        <v>541237</v>
      </c>
      <c r="AP15" s="98">
        <f>'AUTO CALCULATION SHEET (2)'!CB23</f>
        <v>13815</v>
      </c>
      <c r="AQ15" s="97">
        <f t="shared" si="11"/>
        <v>555052</v>
      </c>
      <c r="AR15" s="98">
        <f t="shared" si="2"/>
        <v>91337.774679999915</v>
      </c>
      <c r="AS15" s="97">
        <f t="shared" si="12"/>
        <v>16.46</v>
      </c>
      <c r="AT15" s="98">
        <v>0</v>
      </c>
      <c r="AU15" s="98">
        <v>2</v>
      </c>
      <c r="AV15" s="98">
        <v>1</v>
      </c>
      <c r="AW15" s="99">
        <f t="shared" si="13"/>
        <v>13.46</v>
      </c>
    </row>
    <row r="16" spans="2:49" s="63" customFormat="1" ht="24.75" customHeight="1" x14ac:dyDescent="0.25">
      <c r="B16" s="79" t="str">
        <f>'AUTO CALCULATION SHEET (2)'!F24</f>
        <v>4 CORE X 50 SQ. MM. AL/ARD - WIRE (XLPE)</v>
      </c>
      <c r="C16" s="79"/>
      <c r="D16" s="80" t="s">
        <v>329</v>
      </c>
      <c r="E16" s="81">
        <v>45706</v>
      </c>
      <c r="F16" s="82">
        <v>265753.40999999997</v>
      </c>
      <c r="G16" s="83"/>
      <c r="H16" s="83">
        <v>154134</v>
      </c>
      <c r="I16" s="83">
        <v>159825</v>
      </c>
      <c r="J16" s="84">
        <v>74750</v>
      </c>
      <c r="K16" s="85">
        <f t="shared" si="3"/>
        <v>45658</v>
      </c>
      <c r="L16" s="83">
        <v>264189</v>
      </c>
      <c r="M16" s="83"/>
      <c r="N16" s="83">
        <v>154134</v>
      </c>
      <c r="O16" s="83">
        <v>159825</v>
      </c>
      <c r="P16" s="84">
        <v>74750</v>
      </c>
      <c r="Q16" s="86">
        <v>0.54700000000000004</v>
      </c>
      <c r="R16" s="87"/>
      <c r="S16" s="88">
        <v>0.14399999999999999</v>
      </c>
      <c r="T16" s="88">
        <v>0.39400000000000002</v>
      </c>
      <c r="U16" s="89">
        <v>1.1080000000000001</v>
      </c>
      <c r="V16" s="90">
        <f>'AUTO CALCULATION SHEET (2)'!G24</f>
        <v>343815.64799999999</v>
      </c>
      <c r="W16" s="91">
        <f t="shared" si="4"/>
        <v>855.7322699999861</v>
      </c>
      <c r="X16" s="92">
        <f t="shared" si="5"/>
        <v>0</v>
      </c>
      <c r="Y16" s="92">
        <f t="shared" si="6"/>
        <v>0</v>
      </c>
      <c r="Z16" s="92">
        <f t="shared" si="7"/>
        <v>0</v>
      </c>
      <c r="AA16" s="92">
        <f t="shared" si="8"/>
        <v>0</v>
      </c>
      <c r="AB16" s="93">
        <f t="shared" si="9"/>
        <v>855.7322699999861</v>
      </c>
      <c r="AC16" s="94">
        <f t="shared" si="10"/>
        <v>344671.38026999997</v>
      </c>
      <c r="AD16" s="95">
        <f>'AUTO CALCULATION SHEET (2)'!P24</f>
        <v>541</v>
      </c>
      <c r="AE16" s="96">
        <f>'AUTO CALCULATION SHEET (2)'!R24</f>
        <v>0</v>
      </c>
      <c r="AF16" s="96">
        <f>'AUTO CALCULATION SHEET (2)'!AH24</f>
        <v>119</v>
      </c>
      <c r="AG16" s="96">
        <f>'AUTO CALCULATION SHEET (2)'!AK24</f>
        <v>0</v>
      </c>
      <c r="AH16" s="96">
        <f>'AUTO CALCULATION SHEET (2)'!AM24</f>
        <v>0</v>
      </c>
      <c r="AI16" s="96">
        <f>'AUTO CALCULATION SHEET (2)'!AS24</f>
        <v>56</v>
      </c>
      <c r="AJ16" s="96">
        <f>'AUTO CALCULATION SHEET (2)'!AT24</f>
        <v>0</v>
      </c>
      <c r="AK16" s="96">
        <f>'AUTO CALCULATION SHEET (2)'!BC24</f>
        <v>1042</v>
      </c>
      <c r="AL16" s="96">
        <f>'AUTO CALCULATION SHEET (2)'!BH24</f>
        <v>260</v>
      </c>
      <c r="AM16" s="96">
        <f>'AUTO CALCULATION SHEET (2)'!BQ24</f>
        <v>0</v>
      </c>
      <c r="AN16" s="96">
        <f>'AUTO CALCULATION SHEET (2)'!BV24</f>
        <v>20</v>
      </c>
      <c r="AO16" s="97">
        <f t="shared" si="1"/>
        <v>280857</v>
      </c>
      <c r="AP16" s="98">
        <f>'AUTO CALCULATION SHEET (2)'!CB24</f>
        <v>6254</v>
      </c>
      <c r="AQ16" s="97">
        <f t="shared" si="11"/>
        <v>287111</v>
      </c>
      <c r="AR16" s="98">
        <f t="shared" si="2"/>
        <v>57560.380269999965</v>
      </c>
      <c r="AS16" s="97">
        <f t="shared" si="12"/>
        <v>20.05</v>
      </c>
      <c r="AT16" s="98">
        <v>0</v>
      </c>
      <c r="AU16" s="98">
        <v>2</v>
      </c>
      <c r="AV16" s="98">
        <v>1</v>
      </c>
      <c r="AW16" s="99">
        <f t="shared" si="13"/>
        <v>17.05</v>
      </c>
    </row>
    <row r="17" spans="2:49" s="63" customFormat="1" ht="24.75" customHeight="1" x14ac:dyDescent="0.25">
      <c r="B17" s="79" t="str">
        <f>'AUTO CALCULATION SHEET (2)'!F25</f>
        <v>4 CORE X 95 SQ. MM. ALU/ARD - WIRE (XLPE)</v>
      </c>
      <c r="C17" s="79"/>
      <c r="D17" s="80" t="s">
        <v>329</v>
      </c>
      <c r="E17" s="81">
        <v>45706</v>
      </c>
      <c r="F17" s="82">
        <v>265753.40999999997</v>
      </c>
      <c r="G17" s="83"/>
      <c r="H17" s="83">
        <v>154134</v>
      </c>
      <c r="I17" s="83">
        <v>159825</v>
      </c>
      <c r="J17" s="84">
        <v>74750</v>
      </c>
      <c r="K17" s="85">
        <f t="shared" si="3"/>
        <v>45658</v>
      </c>
      <c r="L17" s="83">
        <v>264189</v>
      </c>
      <c r="M17" s="83"/>
      <c r="N17" s="83">
        <v>154134</v>
      </c>
      <c r="O17" s="83">
        <v>159825</v>
      </c>
      <c r="P17" s="84">
        <v>74750</v>
      </c>
      <c r="Q17" s="86">
        <v>1.095</v>
      </c>
      <c r="R17" s="87"/>
      <c r="S17" s="88">
        <v>0.21099999999999999</v>
      </c>
      <c r="T17" s="88">
        <v>0.52300000000000002</v>
      </c>
      <c r="U17" s="89">
        <v>1.4430000000000001</v>
      </c>
      <c r="V17" s="90">
        <f>'AUTO CALCULATION SHEET (2)'!G25</f>
        <v>562648.04719999991</v>
      </c>
      <c r="W17" s="91">
        <f t="shared" si="4"/>
        <v>1713.0289499999719</v>
      </c>
      <c r="X17" s="92">
        <f t="shared" si="5"/>
        <v>0</v>
      </c>
      <c r="Y17" s="92">
        <f t="shared" si="6"/>
        <v>0</v>
      </c>
      <c r="Z17" s="92">
        <f t="shared" si="7"/>
        <v>0</v>
      </c>
      <c r="AA17" s="92">
        <f t="shared" si="8"/>
        <v>0</v>
      </c>
      <c r="AB17" s="93">
        <f t="shared" si="9"/>
        <v>1713.0289499999719</v>
      </c>
      <c r="AC17" s="94">
        <f t="shared" si="10"/>
        <v>564361.07614999986</v>
      </c>
      <c r="AD17" s="95">
        <f>'AUTO CALCULATION SHEET (2)'!P25</f>
        <v>1027</v>
      </c>
      <c r="AE17" s="96">
        <f>'AUTO CALCULATION SHEET (2)'!R25</f>
        <v>0</v>
      </c>
      <c r="AF17" s="96">
        <f>'AUTO CALCULATION SHEET (2)'!AH25</f>
        <v>172</v>
      </c>
      <c r="AG17" s="96">
        <f>'AUTO CALCULATION SHEET (2)'!AK25</f>
        <v>0</v>
      </c>
      <c r="AH17" s="96">
        <f>'AUTO CALCULATION SHEET (2)'!AM25</f>
        <v>0</v>
      </c>
      <c r="AI17" s="96">
        <f>'AUTO CALCULATION SHEET (2)'!AS25</f>
        <v>89</v>
      </c>
      <c r="AJ17" s="96">
        <f>'AUTO CALCULATION SHEET (2)'!AT25</f>
        <v>0</v>
      </c>
      <c r="AK17" s="96">
        <f>'AUTO CALCULATION SHEET (2)'!BC25</f>
        <v>1362</v>
      </c>
      <c r="AL17" s="96">
        <f>'AUTO CALCULATION SHEET (2)'!BH25</f>
        <v>358</v>
      </c>
      <c r="AM17" s="96">
        <f>'AUTO CALCULATION SHEET (2)'!BQ25</f>
        <v>0</v>
      </c>
      <c r="AN17" s="96">
        <f>'AUTO CALCULATION SHEET (2)'!BV25</f>
        <v>25</v>
      </c>
      <c r="AO17" s="97">
        <f t="shared" si="1"/>
        <v>458511</v>
      </c>
      <c r="AP17" s="98">
        <f>'AUTO CALCULATION SHEET (2)'!CB25</f>
        <v>14928</v>
      </c>
      <c r="AQ17" s="97">
        <f t="shared" si="11"/>
        <v>473439</v>
      </c>
      <c r="AR17" s="98">
        <f t="shared" si="2"/>
        <v>90922.076149999863</v>
      </c>
      <c r="AS17" s="97">
        <f t="shared" si="12"/>
        <v>19.2</v>
      </c>
      <c r="AT17" s="98">
        <v>0</v>
      </c>
      <c r="AU17" s="98">
        <v>2</v>
      </c>
      <c r="AV17" s="98">
        <v>1</v>
      </c>
      <c r="AW17" s="99">
        <f t="shared" si="13"/>
        <v>16.2</v>
      </c>
    </row>
    <row r="18" spans="2:49" s="63" customFormat="1" ht="24.75" customHeight="1" x14ac:dyDescent="0.25">
      <c r="B18" s="79" t="str">
        <f>'AUTO CALCULATION SHEET (2)'!F26</f>
        <v>4 CORE X 150 SQ. MM. AL/ARD - WIRE (XLPE)</v>
      </c>
      <c r="C18" s="79"/>
      <c r="D18" s="80" t="s">
        <v>329</v>
      </c>
      <c r="E18" s="81">
        <v>45706</v>
      </c>
      <c r="F18" s="82">
        <v>265753.40999999997</v>
      </c>
      <c r="G18" s="83"/>
      <c r="H18" s="83">
        <v>154134</v>
      </c>
      <c r="I18" s="83">
        <v>159825</v>
      </c>
      <c r="J18" s="84">
        <v>74750</v>
      </c>
      <c r="K18" s="85">
        <f t="shared" si="3"/>
        <v>45658</v>
      </c>
      <c r="L18" s="83">
        <v>264189</v>
      </c>
      <c r="M18" s="83"/>
      <c r="N18" s="83">
        <v>154134</v>
      </c>
      <c r="O18" s="83">
        <v>159825</v>
      </c>
      <c r="P18" s="84">
        <v>74750</v>
      </c>
      <c r="Q18" s="86">
        <v>1.706</v>
      </c>
      <c r="R18" s="87"/>
      <c r="S18" s="88">
        <v>0.34399999999999997</v>
      </c>
      <c r="T18" s="88">
        <v>0.76200000000000001</v>
      </c>
      <c r="U18" s="89">
        <v>0.79</v>
      </c>
      <c r="V18" s="90">
        <f>'AUTO CALCULATION SHEET (2)'!G26</f>
        <v>915207.24160000007</v>
      </c>
      <c r="W18" s="91">
        <f t="shared" si="4"/>
        <v>2668.8834599999564</v>
      </c>
      <c r="X18" s="92">
        <f t="shared" si="5"/>
        <v>0</v>
      </c>
      <c r="Y18" s="92">
        <f t="shared" si="6"/>
        <v>0</v>
      </c>
      <c r="Z18" s="92">
        <f t="shared" si="7"/>
        <v>0</v>
      </c>
      <c r="AA18" s="92">
        <f t="shared" si="8"/>
        <v>0</v>
      </c>
      <c r="AB18" s="93">
        <f t="shared" si="9"/>
        <v>2668.8834599999564</v>
      </c>
      <c r="AC18" s="94">
        <f t="shared" si="10"/>
        <v>917876.12505999999</v>
      </c>
      <c r="AD18" s="95">
        <f>'AUTO CALCULATION SHEET (2)'!P26</f>
        <v>1620</v>
      </c>
      <c r="AE18" s="96">
        <f>'AUTO CALCULATION SHEET (2)'!R26</f>
        <v>0</v>
      </c>
      <c r="AF18" s="96">
        <f>'AUTO CALCULATION SHEET (2)'!AH26</f>
        <v>276</v>
      </c>
      <c r="AG18" s="96">
        <f>'AUTO CALCULATION SHEET (2)'!AK26</f>
        <v>0</v>
      </c>
      <c r="AH18" s="96">
        <f>'AUTO CALCULATION SHEET (2)'!AM26</f>
        <v>0</v>
      </c>
      <c r="AI18" s="96">
        <f>'AUTO CALCULATION SHEET (2)'!AS26</f>
        <v>135</v>
      </c>
      <c r="AJ18" s="96">
        <f>'AUTO CALCULATION SHEET (2)'!AT26</f>
        <v>0</v>
      </c>
      <c r="AK18" s="96">
        <f>'AUTO CALCULATION SHEET (2)'!BC26</f>
        <v>2290</v>
      </c>
      <c r="AL18" s="96">
        <f>'AUTO CALCULATION SHEET (2)'!BH26</f>
        <v>530</v>
      </c>
      <c r="AM18" s="96">
        <f>'AUTO CALCULATION SHEET (2)'!BQ26</f>
        <v>55</v>
      </c>
      <c r="AN18" s="96">
        <f>'AUTO CALCULATION SHEET (2)'!BV26</f>
        <v>33</v>
      </c>
      <c r="AO18" s="97">
        <f t="shared" si="1"/>
        <v>748168</v>
      </c>
      <c r="AP18" s="98">
        <f>'AUTO CALCULATION SHEET (2)'!CB26</f>
        <v>21178</v>
      </c>
      <c r="AQ18" s="97">
        <f t="shared" si="11"/>
        <v>769346</v>
      </c>
      <c r="AR18" s="98">
        <f t="shared" si="2"/>
        <v>148530.12505999999</v>
      </c>
      <c r="AS18" s="97">
        <f t="shared" si="12"/>
        <v>19.309999999999999</v>
      </c>
      <c r="AT18" s="98">
        <v>0</v>
      </c>
      <c r="AU18" s="98">
        <v>2</v>
      </c>
      <c r="AV18" s="98">
        <v>1</v>
      </c>
      <c r="AW18" s="99">
        <f t="shared" si="13"/>
        <v>16.309999999999999</v>
      </c>
    </row>
    <row r="19" spans="2:49" s="63" customFormat="1" ht="24.75" customHeight="1" x14ac:dyDescent="0.25">
      <c r="B19" s="79" t="str">
        <f>'AUTO CALCULATION SHEET (2)'!F27</f>
        <v>4 CORE X 240 SQ. MM. AL/ARD - WIRE (XLPE)</v>
      </c>
      <c r="C19" s="79"/>
      <c r="D19" s="80" t="s">
        <v>329</v>
      </c>
      <c r="E19" s="81">
        <v>45706</v>
      </c>
      <c r="F19" s="82">
        <v>265753.40999999997</v>
      </c>
      <c r="G19" s="83"/>
      <c r="H19" s="83">
        <v>154134</v>
      </c>
      <c r="I19" s="83">
        <v>159825</v>
      </c>
      <c r="J19" s="84">
        <v>74750</v>
      </c>
      <c r="K19" s="85">
        <f t="shared" si="3"/>
        <v>45658</v>
      </c>
      <c r="L19" s="83">
        <v>264189</v>
      </c>
      <c r="M19" s="83"/>
      <c r="N19" s="83">
        <v>154134</v>
      </c>
      <c r="O19" s="83">
        <v>159825</v>
      </c>
      <c r="P19" s="84">
        <v>74750</v>
      </c>
      <c r="Q19" s="86">
        <v>2.7989999999999999</v>
      </c>
      <c r="R19" s="87"/>
      <c r="S19" s="88">
        <v>0.51800000000000002</v>
      </c>
      <c r="T19" s="88">
        <v>1.119</v>
      </c>
      <c r="U19" s="89">
        <v>2.722</v>
      </c>
      <c r="V19" s="90">
        <f>'AUTO CALCULATION SHEET (2)'!G27</f>
        <v>1367560.9112000002</v>
      </c>
      <c r="W19" s="91">
        <f t="shared" si="4"/>
        <v>4378.7835899999282</v>
      </c>
      <c r="X19" s="92">
        <f t="shared" si="5"/>
        <v>0</v>
      </c>
      <c r="Y19" s="92">
        <f t="shared" si="6"/>
        <v>0</v>
      </c>
      <c r="Z19" s="92">
        <f t="shared" si="7"/>
        <v>0</v>
      </c>
      <c r="AA19" s="92">
        <f t="shared" si="8"/>
        <v>0</v>
      </c>
      <c r="AB19" s="93">
        <f t="shared" si="9"/>
        <v>4378.7835899999282</v>
      </c>
      <c r="AC19" s="94">
        <f t="shared" si="10"/>
        <v>1371939.6947900001</v>
      </c>
      <c r="AD19" s="95">
        <f>'AUTO CALCULATION SHEET (2)'!P27</f>
        <v>2595</v>
      </c>
      <c r="AE19" s="96">
        <f>'AUTO CALCULATION SHEET (2)'!R27</f>
        <v>0</v>
      </c>
      <c r="AF19" s="96">
        <f>'AUTO CALCULATION SHEET (2)'!AH27</f>
        <v>415</v>
      </c>
      <c r="AG19" s="96">
        <f>'AUTO CALCULATION SHEET (2)'!AK27</f>
        <v>0</v>
      </c>
      <c r="AH19" s="96">
        <f>'AUTO CALCULATION SHEET (2)'!AM27</f>
        <v>0</v>
      </c>
      <c r="AI19" s="96">
        <f>'AUTO CALCULATION SHEET (2)'!AS27</f>
        <v>185</v>
      </c>
      <c r="AJ19" s="96">
        <f>'AUTO CALCULATION SHEET (2)'!AT27</f>
        <v>0</v>
      </c>
      <c r="AK19" s="96">
        <f>'AUTO CALCULATION SHEET (2)'!BC27</f>
        <v>2800</v>
      </c>
      <c r="AL19" s="96">
        <f>'AUTO CALCULATION SHEET (2)'!BH27</f>
        <v>728</v>
      </c>
      <c r="AM19" s="96">
        <f>'AUTO CALCULATION SHEET (2)'!BQ27</f>
        <v>75</v>
      </c>
      <c r="AN19" s="96">
        <f>'AUTO CALCULATION SHEET (2)'!BV27</f>
        <v>39</v>
      </c>
      <c r="AO19" s="97">
        <f t="shared" si="1"/>
        <v>1101613</v>
      </c>
      <c r="AP19" s="98">
        <f>'AUTO CALCULATION SHEET (2)'!CB27</f>
        <v>53200</v>
      </c>
      <c r="AQ19" s="97">
        <f t="shared" si="11"/>
        <v>1154813</v>
      </c>
      <c r="AR19" s="98">
        <f t="shared" si="2"/>
        <v>217126.6947900001</v>
      </c>
      <c r="AS19" s="97">
        <f t="shared" si="12"/>
        <v>18.8</v>
      </c>
      <c r="AT19" s="98">
        <v>0</v>
      </c>
      <c r="AU19" s="98">
        <v>2</v>
      </c>
      <c r="AV19" s="98">
        <v>1</v>
      </c>
      <c r="AW19" s="99">
        <f t="shared" si="13"/>
        <v>15.8</v>
      </c>
    </row>
    <row r="20" spans="2:49" s="63" customFormat="1" ht="24.75" customHeight="1" x14ac:dyDescent="0.25">
      <c r="B20" s="79" t="str">
        <f>'AUTO CALCULATION SHEET (2)'!F28</f>
        <v>4 CORE X 300 SQ. MM. AL/ARD - WIRE (XLPE)</v>
      </c>
      <c r="C20" s="79"/>
      <c r="D20" s="80" t="s">
        <v>329</v>
      </c>
      <c r="E20" s="81">
        <v>45706</v>
      </c>
      <c r="F20" s="82">
        <v>265753.40999999997</v>
      </c>
      <c r="G20" s="83"/>
      <c r="H20" s="83">
        <v>154134</v>
      </c>
      <c r="I20" s="83">
        <v>159825</v>
      </c>
      <c r="J20" s="84">
        <v>74750</v>
      </c>
      <c r="K20" s="85">
        <f t="shared" si="3"/>
        <v>45658</v>
      </c>
      <c r="L20" s="83">
        <v>264189</v>
      </c>
      <c r="M20" s="83"/>
      <c r="N20" s="83">
        <v>154134</v>
      </c>
      <c r="O20" s="83">
        <v>159825</v>
      </c>
      <c r="P20" s="84">
        <v>74750</v>
      </c>
      <c r="Q20" s="86">
        <v>3.5139999999999998</v>
      </c>
      <c r="R20" s="87"/>
      <c r="S20" s="88">
        <v>0.62</v>
      </c>
      <c r="T20" s="88">
        <v>1.4139999999999999</v>
      </c>
      <c r="U20" s="89">
        <v>3.8420000000000001</v>
      </c>
      <c r="V20" s="90">
        <f>'AUTO CALCULATION SHEET (2)'!G28</f>
        <v>1683360.8888000001</v>
      </c>
      <c r="W20" s="91">
        <f t="shared" si="4"/>
        <v>5497.3367399999097</v>
      </c>
      <c r="X20" s="92">
        <f t="shared" si="5"/>
        <v>0</v>
      </c>
      <c r="Y20" s="92">
        <f t="shared" si="6"/>
        <v>0</v>
      </c>
      <c r="Z20" s="92">
        <f t="shared" si="7"/>
        <v>0</v>
      </c>
      <c r="AA20" s="92">
        <f t="shared" si="8"/>
        <v>0</v>
      </c>
      <c r="AB20" s="93">
        <f t="shared" si="9"/>
        <v>5497.3367399999097</v>
      </c>
      <c r="AC20" s="94">
        <f t="shared" si="10"/>
        <v>1688858.22554</v>
      </c>
      <c r="AD20" s="95">
        <f>'AUTO CALCULATION SHEET (2)'!P28</f>
        <v>3240</v>
      </c>
      <c r="AE20" s="96">
        <f>'AUTO CALCULATION SHEET (2)'!R28</f>
        <v>0</v>
      </c>
      <c r="AF20" s="96">
        <f>'AUTO CALCULATION SHEET (2)'!AH28</f>
        <v>500</v>
      </c>
      <c r="AG20" s="96">
        <f>'AUTO CALCULATION SHEET (2)'!AK28</f>
        <v>0</v>
      </c>
      <c r="AH20" s="96">
        <f>'AUTO CALCULATION SHEET (2)'!AM28</f>
        <v>0</v>
      </c>
      <c r="AI20" s="96">
        <f>'AUTO CALCULATION SHEET (2)'!AS28</f>
        <v>240</v>
      </c>
      <c r="AJ20" s="96">
        <f>'AUTO CALCULATION SHEET (2)'!AT28</f>
        <v>0</v>
      </c>
      <c r="AK20" s="96">
        <f>'AUTO CALCULATION SHEET (2)'!BC28</f>
        <v>3118</v>
      </c>
      <c r="AL20" s="96">
        <f>'AUTO CALCULATION SHEET (2)'!BH28</f>
        <v>880</v>
      </c>
      <c r="AM20" s="96">
        <f>'AUTO CALCULATION SHEET (2)'!BQ28</f>
        <v>112</v>
      </c>
      <c r="AN20" s="96">
        <f>'AUTO CALCULATION SHEET (2)'!BV28</f>
        <v>44</v>
      </c>
      <c r="AO20" s="97">
        <f t="shared" si="1"/>
        <v>1344956</v>
      </c>
      <c r="AP20" s="98">
        <f>'AUTO CALCULATION SHEET (2)'!CB28</f>
        <v>78780</v>
      </c>
      <c r="AQ20" s="97">
        <f t="shared" si="11"/>
        <v>1423736</v>
      </c>
      <c r="AR20" s="98">
        <f t="shared" si="2"/>
        <v>265122.22554000001</v>
      </c>
      <c r="AS20" s="97">
        <f t="shared" si="12"/>
        <v>18.62</v>
      </c>
      <c r="AT20" s="98">
        <v>0</v>
      </c>
      <c r="AU20" s="98">
        <v>2</v>
      </c>
      <c r="AV20" s="98">
        <v>1</v>
      </c>
      <c r="AW20" s="99">
        <f t="shared" si="13"/>
        <v>15.620000000000001</v>
      </c>
    </row>
    <row r="21" spans="2:49" s="63" customFormat="1" ht="24.75" customHeight="1" x14ac:dyDescent="0.25">
      <c r="B21" s="121" t="str">
        <f>'AUTO CALCULATION SHEET (2)'!F29</f>
        <v>1 CORE X 50 SQ. MM. AL/UNARD. (XLPE)</v>
      </c>
      <c r="C21" s="79"/>
      <c r="D21" s="80" t="s">
        <v>329</v>
      </c>
      <c r="E21" s="81">
        <v>45706</v>
      </c>
      <c r="F21" s="82">
        <v>265753.40999999997</v>
      </c>
      <c r="G21" s="83"/>
      <c r="H21" s="83">
        <v>154134</v>
      </c>
      <c r="I21" s="83">
        <v>159825</v>
      </c>
      <c r="J21" s="84"/>
      <c r="K21" s="85">
        <f t="shared" si="3"/>
        <v>45658</v>
      </c>
      <c r="L21" s="83">
        <v>264189</v>
      </c>
      <c r="M21" s="83"/>
      <c r="N21" s="83">
        <v>154134</v>
      </c>
      <c r="O21" s="83">
        <v>159825</v>
      </c>
      <c r="P21" s="84"/>
      <c r="Q21" s="86">
        <v>0.13700000000000001</v>
      </c>
      <c r="R21" s="87"/>
      <c r="S21" s="88">
        <v>3.3000000000000002E-2</v>
      </c>
      <c r="T21" s="88">
        <v>0.124</v>
      </c>
      <c r="U21" s="89"/>
      <c r="V21" s="90">
        <f>'AUTO CALCULATION SHEET (2)'!G29</f>
        <v>62424.715600000003</v>
      </c>
      <c r="W21" s="91">
        <f t="shared" si="4"/>
        <v>214.32416999999651</v>
      </c>
      <c r="X21" s="92">
        <f t="shared" si="5"/>
        <v>0</v>
      </c>
      <c r="Y21" s="92">
        <f t="shared" si="6"/>
        <v>0</v>
      </c>
      <c r="Z21" s="92">
        <f t="shared" si="7"/>
        <v>0</v>
      </c>
      <c r="AA21" s="92">
        <f t="shared" si="8"/>
        <v>0</v>
      </c>
      <c r="AB21" s="93">
        <f t="shared" si="9"/>
        <v>214.32416999999651</v>
      </c>
      <c r="AC21" s="94">
        <f t="shared" si="10"/>
        <v>62639.039770000003</v>
      </c>
      <c r="AD21" s="95">
        <f>'AUTO CALCULATION SHEET (2)'!P29</f>
        <v>135</v>
      </c>
      <c r="AE21" s="96">
        <f>'AUTO CALCULATION SHEET (2)'!R29</f>
        <v>0</v>
      </c>
      <c r="AF21" s="96">
        <f>'AUTO CALCULATION SHEET (2)'!AH29</f>
        <v>37</v>
      </c>
      <c r="AG21" s="96">
        <f>'AUTO CALCULATION SHEET (2)'!AK29</f>
        <v>0</v>
      </c>
      <c r="AH21" s="96">
        <f>'AUTO CALCULATION SHEET (2)'!AM29</f>
        <v>0</v>
      </c>
      <c r="AI21" s="96">
        <f>'AUTO CALCULATION SHEET (2)'!AS29</f>
        <v>0</v>
      </c>
      <c r="AJ21" s="96">
        <f>'AUTO CALCULATION SHEET (2)'!AT29</f>
        <v>0</v>
      </c>
      <c r="AK21" s="96">
        <f>'AUTO CALCULATION SHEET (2)'!BC29</f>
        <v>0</v>
      </c>
      <c r="AL21" s="96">
        <f>'AUTO CALCULATION SHEET (2)'!BH29</f>
        <v>110</v>
      </c>
      <c r="AM21" s="96">
        <f>'AUTO CALCULATION SHEET (2)'!BQ29</f>
        <v>0</v>
      </c>
      <c r="AN21" s="96">
        <f>'AUTO CALCULATION SHEET (2)'!BV29</f>
        <v>0</v>
      </c>
      <c r="AO21" s="97">
        <f t="shared" si="1"/>
        <v>50861</v>
      </c>
      <c r="AP21" s="98">
        <f>'AUTO CALCULATION SHEET (2)'!CB29</f>
        <v>2429</v>
      </c>
      <c r="AQ21" s="97">
        <f t="shared" si="11"/>
        <v>53290</v>
      </c>
      <c r="AR21" s="98">
        <f t="shared" si="2"/>
        <v>9349.039770000003</v>
      </c>
      <c r="AS21" s="97">
        <f t="shared" si="12"/>
        <v>17.54</v>
      </c>
      <c r="AT21" s="98">
        <v>0</v>
      </c>
      <c r="AU21" s="98">
        <v>2</v>
      </c>
      <c r="AV21" s="98">
        <v>1</v>
      </c>
      <c r="AW21" s="99">
        <f t="shared" si="13"/>
        <v>14.54</v>
      </c>
    </row>
    <row r="22" spans="2:49" s="63" customFormat="1" ht="24.75" customHeight="1" x14ac:dyDescent="0.25">
      <c r="B22" s="79" t="str">
        <f>'AUTO CALCULATION SHEET (2)'!F30</f>
        <v>4 CORE X 25 SQ. MM. ALU/ARD - WIRE (XLPE)</v>
      </c>
      <c r="C22" s="79"/>
      <c r="D22" s="80" t="s">
        <v>329</v>
      </c>
      <c r="E22" s="81">
        <v>45706</v>
      </c>
      <c r="F22" s="82">
        <v>265753.40999999997</v>
      </c>
      <c r="G22" s="83"/>
      <c r="H22" s="83">
        <v>154134</v>
      </c>
      <c r="I22" s="83">
        <v>159825</v>
      </c>
      <c r="J22" s="84">
        <v>74750</v>
      </c>
      <c r="K22" s="85">
        <f t="shared" si="3"/>
        <v>45658</v>
      </c>
      <c r="L22" s="83">
        <v>264189</v>
      </c>
      <c r="M22" s="83"/>
      <c r="N22" s="83">
        <v>154134</v>
      </c>
      <c r="O22" s="83">
        <v>159825</v>
      </c>
      <c r="P22" s="84">
        <v>74750</v>
      </c>
      <c r="Q22" s="86">
        <v>0.29199999999999998</v>
      </c>
      <c r="R22" s="87"/>
      <c r="S22" s="88">
        <v>9.2999999999999999E-2</v>
      </c>
      <c r="T22" s="88">
        <v>0.28999999999999998</v>
      </c>
      <c r="U22" s="89">
        <v>0.68500000000000005</v>
      </c>
      <c r="V22" s="90">
        <f>'AUTO CALCULATION SHEET (2)'!G30</f>
        <v>199954.55920000002</v>
      </c>
      <c r="W22" s="91">
        <f t="shared" si="4"/>
        <v>456.80771999999251</v>
      </c>
      <c r="X22" s="92">
        <f t="shared" si="5"/>
        <v>0</v>
      </c>
      <c r="Y22" s="92">
        <f t="shared" si="6"/>
        <v>0</v>
      </c>
      <c r="Z22" s="92">
        <f t="shared" si="7"/>
        <v>0</v>
      </c>
      <c r="AA22" s="92">
        <f t="shared" si="8"/>
        <v>0</v>
      </c>
      <c r="AB22" s="93">
        <f t="shared" si="9"/>
        <v>456.80771999999251</v>
      </c>
      <c r="AC22" s="94">
        <f t="shared" si="10"/>
        <v>200411.36692</v>
      </c>
      <c r="AD22" s="95">
        <f>'AUTO CALCULATION SHEET (2)'!P30</f>
        <v>270</v>
      </c>
      <c r="AE22" s="96">
        <f>'AUTO CALCULATION SHEET (2)'!R30</f>
        <v>0</v>
      </c>
      <c r="AF22" s="96">
        <f>'AUTO CALCULATION SHEET (2)'!AH30</f>
        <v>90</v>
      </c>
      <c r="AG22" s="96">
        <f>'AUTO CALCULATION SHEET (2)'!AK30</f>
        <v>0</v>
      </c>
      <c r="AH22" s="96">
        <f>'AUTO CALCULATION SHEET (2)'!AM30</f>
        <v>0</v>
      </c>
      <c r="AI22" s="96">
        <f>'AUTO CALCULATION SHEET (2)'!AS30</f>
        <v>44</v>
      </c>
      <c r="AJ22" s="96">
        <f>'AUTO CALCULATION SHEET (2)'!AT30</f>
        <v>0</v>
      </c>
      <c r="AK22" s="96">
        <f>'AUTO CALCULATION SHEET (2)'!BC30</f>
        <v>641</v>
      </c>
      <c r="AL22" s="96">
        <f>'AUTO CALCULATION SHEET (2)'!BH30</f>
        <v>190</v>
      </c>
      <c r="AM22" s="96">
        <f>'AUTO CALCULATION SHEET (2)'!BQ30</f>
        <v>0</v>
      </c>
      <c r="AN22" s="96">
        <f>'AUTO CALCULATION SHEET (2)'!BV30</f>
        <v>16</v>
      </c>
      <c r="AO22" s="97">
        <f t="shared" si="1"/>
        <v>162194</v>
      </c>
      <c r="AP22" s="98">
        <f>'AUTO CALCULATION SHEET (2)'!CB30</f>
        <v>3881</v>
      </c>
      <c r="AQ22" s="97">
        <f t="shared" si="11"/>
        <v>166075</v>
      </c>
      <c r="AR22" s="98">
        <f t="shared" si="2"/>
        <v>34336.36692</v>
      </c>
      <c r="AS22" s="97">
        <f t="shared" si="12"/>
        <v>20.68</v>
      </c>
      <c r="AT22" s="98">
        <v>0</v>
      </c>
      <c r="AU22" s="98">
        <v>2</v>
      </c>
      <c r="AV22" s="98">
        <v>1</v>
      </c>
      <c r="AW22" s="99">
        <f t="shared" si="13"/>
        <v>17.68</v>
      </c>
    </row>
    <row r="23" spans="2:49" s="63" customFormat="1" ht="24.75" customHeight="1" x14ac:dyDescent="0.25">
      <c r="B23" s="79" t="str">
        <f>'AUTO CALCULATION SHEET (2)'!F31</f>
        <v>4 CORE X 35 SQ. MM. AL/ARD - WIRE (XLPE)</v>
      </c>
      <c r="C23" s="79"/>
      <c r="D23" s="80" t="s">
        <v>329</v>
      </c>
      <c r="E23" s="81">
        <v>45706</v>
      </c>
      <c r="F23" s="82">
        <v>265753.40999999997</v>
      </c>
      <c r="G23" s="83"/>
      <c r="H23" s="83">
        <v>154134</v>
      </c>
      <c r="I23" s="83">
        <v>159825</v>
      </c>
      <c r="J23" s="84">
        <v>74750</v>
      </c>
      <c r="K23" s="85">
        <f t="shared" si="3"/>
        <v>45658</v>
      </c>
      <c r="L23" s="83">
        <v>264189</v>
      </c>
      <c r="M23" s="83"/>
      <c r="N23" s="83">
        <v>154134</v>
      </c>
      <c r="O23" s="83">
        <v>159825</v>
      </c>
      <c r="P23" s="84">
        <v>74750</v>
      </c>
      <c r="Q23" s="86">
        <v>0.40400000000000003</v>
      </c>
      <c r="R23" s="87"/>
      <c r="S23" s="88">
        <v>0.112</v>
      </c>
      <c r="T23" s="88">
        <v>0.31900000000000001</v>
      </c>
      <c r="U23" s="89">
        <v>0.76100000000000001</v>
      </c>
      <c r="V23" s="90">
        <f>'AUTO CALCULATION SHEET (2)'!G31</f>
        <v>252365.65600000002</v>
      </c>
      <c r="W23" s="91">
        <f t="shared" si="4"/>
        <v>632.0216399999897</v>
      </c>
      <c r="X23" s="92">
        <f t="shared" si="5"/>
        <v>0</v>
      </c>
      <c r="Y23" s="92">
        <f t="shared" si="6"/>
        <v>0</v>
      </c>
      <c r="Z23" s="92">
        <f t="shared" si="7"/>
        <v>0</v>
      </c>
      <c r="AA23" s="92">
        <f t="shared" si="8"/>
        <v>0</v>
      </c>
      <c r="AB23" s="93">
        <f t="shared" si="9"/>
        <v>632.0216399999897</v>
      </c>
      <c r="AC23" s="94">
        <f t="shared" si="10"/>
        <v>252997.67764000001</v>
      </c>
      <c r="AD23" s="95">
        <f>'AUTO CALCULATION SHEET (2)'!P31</f>
        <v>378</v>
      </c>
      <c r="AE23" s="96">
        <f>'AUTO CALCULATION SHEET (2)'!R31</f>
        <v>0</v>
      </c>
      <c r="AF23" s="96">
        <f>'AUTO CALCULATION SHEET (2)'!AH31</f>
        <v>102</v>
      </c>
      <c r="AG23" s="96">
        <f>'AUTO CALCULATION SHEET (2)'!AK31</f>
        <v>0</v>
      </c>
      <c r="AH23" s="96">
        <f>'AUTO CALCULATION SHEET (2)'!AM31</f>
        <v>0</v>
      </c>
      <c r="AI23" s="96">
        <f>'AUTO CALCULATION SHEET (2)'!AS31</f>
        <v>51</v>
      </c>
      <c r="AJ23" s="96">
        <f>'AUTO CALCULATION SHEET (2)'!AT31</f>
        <v>0</v>
      </c>
      <c r="AK23" s="96">
        <f>'AUTO CALCULATION SHEET (2)'!BC31</f>
        <v>770</v>
      </c>
      <c r="AL23" s="96">
        <f>'AUTO CALCULATION SHEET (2)'!BH31</f>
        <v>206</v>
      </c>
      <c r="AM23" s="96">
        <f>'AUTO CALCULATION SHEET (2)'!BQ31</f>
        <v>0</v>
      </c>
      <c r="AN23" s="96">
        <f>'AUTO CALCULATION SHEET (2)'!BV31</f>
        <v>18</v>
      </c>
      <c r="AO23" s="97">
        <f t="shared" si="1"/>
        <v>206224</v>
      </c>
      <c r="AP23" s="98">
        <f>'AUTO CALCULATION SHEET (2)'!CB31</f>
        <v>4139</v>
      </c>
      <c r="AQ23" s="97">
        <f t="shared" si="11"/>
        <v>210363</v>
      </c>
      <c r="AR23" s="98">
        <f t="shared" si="2"/>
        <v>42634.677640000009</v>
      </c>
      <c r="AS23" s="97">
        <f t="shared" si="12"/>
        <v>20.27</v>
      </c>
      <c r="AT23" s="98">
        <v>0</v>
      </c>
      <c r="AU23" s="98">
        <v>2</v>
      </c>
      <c r="AV23" s="98">
        <v>1</v>
      </c>
      <c r="AW23" s="99">
        <f t="shared" si="13"/>
        <v>17.27</v>
      </c>
    </row>
    <row r="24" spans="2:49" s="63" customFormat="1" ht="24.75" customHeight="1" x14ac:dyDescent="0.25">
      <c r="B24" s="79" t="str">
        <f>'AUTO CALCULATION SHEET (2)'!F32</f>
        <v>2 CORE X 4 SQ. MM. AL/ARD - WIRE (XLPE)</v>
      </c>
      <c r="C24" s="79"/>
      <c r="D24" s="80" t="s">
        <v>329</v>
      </c>
      <c r="E24" s="81">
        <v>45706</v>
      </c>
      <c r="F24" s="82">
        <v>265753.40999999997</v>
      </c>
      <c r="G24" s="83"/>
      <c r="H24" s="83">
        <v>154134</v>
      </c>
      <c r="I24" s="83">
        <v>159825</v>
      </c>
      <c r="J24" s="84">
        <v>74750</v>
      </c>
      <c r="K24" s="85">
        <f t="shared" si="3"/>
        <v>45658</v>
      </c>
      <c r="L24" s="83">
        <v>264189</v>
      </c>
      <c r="M24" s="83"/>
      <c r="N24" s="83">
        <v>154134</v>
      </c>
      <c r="O24" s="83">
        <v>159825</v>
      </c>
      <c r="P24" s="84">
        <v>74750</v>
      </c>
      <c r="Q24" s="86">
        <v>2.3E-2</v>
      </c>
      <c r="R24" s="87"/>
      <c r="S24" s="88">
        <v>1.7999999999999999E-2</v>
      </c>
      <c r="T24" s="88">
        <v>0.20399999999999999</v>
      </c>
      <c r="U24" s="89">
        <v>0.30499999999999999</v>
      </c>
      <c r="V24" s="90">
        <f>'AUTO CALCULATION SHEET (2)'!G32</f>
        <v>60548.879599999993</v>
      </c>
      <c r="W24" s="91">
        <f t="shared" si="4"/>
        <v>35.981429999999413</v>
      </c>
      <c r="X24" s="92">
        <f t="shared" si="5"/>
        <v>0</v>
      </c>
      <c r="Y24" s="92">
        <f t="shared" si="6"/>
        <v>0</v>
      </c>
      <c r="Z24" s="92">
        <f t="shared" si="7"/>
        <v>0</v>
      </c>
      <c r="AA24" s="92">
        <f t="shared" si="8"/>
        <v>0</v>
      </c>
      <c r="AB24" s="93">
        <f t="shared" si="9"/>
        <v>35.981429999999413</v>
      </c>
      <c r="AC24" s="94">
        <f t="shared" si="10"/>
        <v>60584.861029999993</v>
      </c>
      <c r="AD24" s="95">
        <f>'AUTO CALCULATION SHEET (2)'!P32</f>
        <v>22</v>
      </c>
      <c r="AE24" s="96">
        <f>'AUTO CALCULATION SHEET (2)'!R32</f>
        <v>0</v>
      </c>
      <c r="AF24" s="96">
        <f>'AUTO CALCULATION SHEET (2)'!AH32</f>
        <v>20</v>
      </c>
      <c r="AG24" s="96">
        <f>'AUTO CALCULATION SHEET (2)'!AK32</f>
        <v>0</v>
      </c>
      <c r="AH24" s="96">
        <f>'AUTO CALCULATION SHEET (2)'!AM32</f>
        <v>0</v>
      </c>
      <c r="AI24" s="96">
        <f>'AUTO CALCULATION SHEET (2)'!AS32</f>
        <v>70</v>
      </c>
      <c r="AJ24" s="96">
        <f>'AUTO CALCULATION SHEET (2)'!AT32</f>
        <v>0</v>
      </c>
      <c r="AK24" s="96">
        <f>'AUTO CALCULATION SHEET (2)'!BC32</f>
        <v>252</v>
      </c>
      <c r="AL24" s="96">
        <f>'AUTO CALCULATION SHEET (2)'!BH32</f>
        <v>103</v>
      </c>
      <c r="AM24" s="96">
        <f>'AUTO CALCULATION SHEET (2)'!BQ32</f>
        <v>0</v>
      </c>
      <c r="AN24" s="96">
        <f>'AUTO CALCULATION SHEET (2)'!BV32</f>
        <v>10</v>
      </c>
      <c r="AO24" s="97">
        <f t="shared" si="1"/>
        <v>46663</v>
      </c>
      <c r="AP24" s="98">
        <f>'AUTO CALCULATION SHEET (2)'!CB32</f>
        <v>2550</v>
      </c>
      <c r="AQ24" s="97">
        <f t="shared" si="11"/>
        <v>49213</v>
      </c>
      <c r="AR24" s="98">
        <f t="shared" si="2"/>
        <v>11371.861029999993</v>
      </c>
      <c r="AS24" s="97">
        <f t="shared" si="12"/>
        <v>23.11</v>
      </c>
      <c r="AT24" s="98">
        <v>0</v>
      </c>
      <c r="AU24" s="98">
        <v>2</v>
      </c>
      <c r="AV24" s="98">
        <v>1</v>
      </c>
      <c r="AW24" s="99">
        <f t="shared" si="13"/>
        <v>20.11</v>
      </c>
    </row>
    <row r="25" spans="2:49" s="63" customFormat="1" ht="24.75" customHeight="1" x14ac:dyDescent="0.25">
      <c r="B25" s="79" t="str">
        <f>'AUTO CALCULATION SHEET (2)'!F33</f>
        <v>2 CORE X 6 SQ. MM. AL/ARD - WIRE (XLPE)</v>
      </c>
      <c r="C25" s="79"/>
      <c r="D25" s="80" t="s">
        <v>329</v>
      </c>
      <c r="E25" s="81">
        <v>45706</v>
      </c>
      <c r="F25" s="82">
        <v>265753.40999999997</v>
      </c>
      <c r="G25" s="83"/>
      <c r="H25" s="83">
        <v>154134</v>
      </c>
      <c r="I25" s="83">
        <v>159825</v>
      </c>
      <c r="J25" s="84">
        <v>74750</v>
      </c>
      <c r="K25" s="85">
        <f t="shared" si="3"/>
        <v>45658</v>
      </c>
      <c r="L25" s="83">
        <v>264189</v>
      </c>
      <c r="M25" s="83"/>
      <c r="N25" s="83">
        <v>154134</v>
      </c>
      <c r="O25" s="83">
        <v>159825</v>
      </c>
      <c r="P25" s="84">
        <v>74750</v>
      </c>
      <c r="Q25" s="86">
        <v>3.4000000000000002E-2</v>
      </c>
      <c r="R25" s="87"/>
      <c r="S25" s="88">
        <v>2.1999999999999999E-2</v>
      </c>
      <c r="T25" s="88">
        <v>0.23400000000000001</v>
      </c>
      <c r="U25" s="89">
        <v>0.34799999999999998</v>
      </c>
      <c r="V25" s="90">
        <f>'AUTO CALCULATION SHEET (2)'!G33</f>
        <v>69881.462400000004</v>
      </c>
      <c r="W25" s="91">
        <f t="shared" si="4"/>
        <v>53.189939999999133</v>
      </c>
      <c r="X25" s="92">
        <f t="shared" si="5"/>
        <v>0</v>
      </c>
      <c r="Y25" s="92">
        <f t="shared" si="6"/>
        <v>0</v>
      </c>
      <c r="Z25" s="92">
        <f t="shared" si="7"/>
        <v>0</v>
      </c>
      <c r="AA25" s="92">
        <f t="shared" si="8"/>
        <v>0</v>
      </c>
      <c r="AB25" s="93">
        <f t="shared" si="9"/>
        <v>53.189939999999133</v>
      </c>
      <c r="AC25" s="94">
        <f t="shared" si="10"/>
        <v>69934.652340000001</v>
      </c>
      <c r="AD25" s="95">
        <f>'AUTO CALCULATION SHEET (2)'!P33</f>
        <v>33</v>
      </c>
      <c r="AE25" s="96">
        <f>'AUTO CALCULATION SHEET (2)'!R33</f>
        <v>0</v>
      </c>
      <c r="AF25" s="96">
        <f>'AUTO CALCULATION SHEET (2)'!AH33</f>
        <v>23</v>
      </c>
      <c r="AG25" s="96">
        <f>'AUTO CALCULATION SHEET (2)'!AK33</f>
        <v>0</v>
      </c>
      <c r="AH25" s="96">
        <f>'AUTO CALCULATION SHEET (2)'!AM33</f>
        <v>0</v>
      </c>
      <c r="AI25" s="96">
        <f>'AUTO CALCULATION SHEET (2)'!AS33</f>
        <v>0</v>
      </c>
      <c r="AJ25" s="96">
        <f>'AUTO CALCULATION SHEET (2)'!AT33</f>
        <v>78</v>
      </c>
      <c r="AK25" s="96">
        <f>'AUTO CALCULATION SHEET (2)'!BC33</f>
        <v>276</v>
      </c>
      <c r="AL25" s="96">
        <f>'AUTO CALCULATION SHEET (2)'!BH33</f>
        <v>108</v>
      </c>
      <c r="AM25" s="96">
        <f>'AUTO CALCULATION SHEET (2)'!BQ33</f>
        <v>0</v>
      </c>
      <c r="AN25" s="96">
        <f>'AUTO CALCULATION SHEET (2)'!BV33</f>
        <v>10</v>
      </c>
      <c r="AO25" s="97">
        <f t="shared" si="1"/>
        <v>54439</v>
      </c>
      <c r="AP25" s="98">
        <f>'AUTO CALCULATION SHEET (2)'!CB33</f>
        <v>2550</v>
      </c>
      <c r="AQ25" s="97">
        <f t="shared" si="11"/>
        <v>56989</v>
      </c>
      <c r="AR25" s="98">
        <f t="shared" si="2"/>
        <v>12945.652340000001</v>
      </c>
      <c r="AS25" s="97">
        <f t="shared" si="12"/>
        <v>22.72</v>
      </c>
      <c r="AT25" s="98">
        <v>0</v>
      </c>
      <c r="AU25" s="98">
        <v>2</v>
      </c>
      <c r="AV25" s="98">
        <v>1</v>
      </c>
      <c r="AW25" s="99">
        <f t="shared" si="13"/>
        <v>19.72</v>
      </c>
    </row>
    <row r="26" spans="2:49" s="63" customFormat="1" ht="24.75" customHeight="1" x14ac:dyDescent="0.25">
      <c r="B26" s="79" t="str">
        <f>'AUTO CALCULATION SHEET (2)'!F34</f>
        <v>2 CORE X 10 SQ. MM. ALU/ARD - WIRE (XLPE)</v>
      </c>
      <c r="C26" s="79"/>
      <c r="D26" s="80" t="s">
        <v>329</v>
      </c>
      <c r="E26" s="81">
        <v>45706</v>
      </c>
      <c r="F26" s="82">
        <v>265753.40999999997</v>
      </c>
      <c r="G26" s="83"/>
      <c r="H26" s="83">
        <v>154134</v>
      </c>
      <c r="I26" s="83">
        <v>159825</v>
      </c>
      <c r="J26" s="84">
        <v>74750</v>
      </c>
      <c r="K26" s="85">
        <f t="shared" si="3"/>
        <v>45658</v>
      </c>
      <c r="L26" s="83">
        <v>264189</v>
      </c>
      <c r="M26" s="83"/>
      <c r="N26" s="83">
        <v>154134</v>
      </c>
      <c r="O26" s="83">
        <v>159825</v>
      </c>
      <c r="P26" s="84">
        <v>74750</v>
      </c>
      <c r="Q26" s="86">
        <v>5.2999999999999999E-2</v>
      </c>
      <c r="R26" s="87"/>
      <c r="S26" s="88">
        <v>2.5000000000000001E-2</v>
      </c>
      <c r="T26" s="88">
        <v>0.28000000000000003</v>
      </c>
      <c r="U26" s="89">
        <v>0.39200000000000002</v>
      </c>
      <c r="V26" s="90">
        <f>'AUTO CALCULATION SHEET (2)'!G34</f>
        <v>92040.223200000008</v>
      </c>
      <c r="W26" s="91">
        <f t="shared" si="4"/>
        <v>82.913729999998637</v>
      </c>
      <c r="X26" s="92">
        <f t="shared" si="5"/>
        <v>0</v>
      </c>
      <c r="Y26" s="92">
        <f t="shared" si="6"/>
        <v>0</v>
      </c>
      <c r="Z26" s="92">
        <f t="shared" si="7"/>
        <v>0</v>
      </c>
      <c r="AA26" s="92">
        <f t="shared" si="8"/>
        <v>0</v>
      </c>
      <c r="AB26" s="93">
        <f t="shared" si="9"/>
        <v>82.913729999998637</v>
      </c>
      <c r="AC26" s="94">
        <f t="shared" si="10"/>
        <v>92123.136930000008</v>
      </c>
      <c r="AD26" s="95">
        <f>'AUTO CALCULATION SHEET (2)'!P34</f>
        <v>54</v>
      </c>
      <c r="AE26" s="96">
        <f>'AUTO CALCULATION SHEET (2)'!R34</f>
        <v>0</v>
      </c>
      <c r="AF26" s="96">
        <f>'AUTO CALCULATION SHEET (2)'!AH34</f>
        <v>25</v>
      </c>
      <c r="AG26" s="96">
        <f>'AUTO CALCULATION SHEET (2)'!AK34</f>
        <v>0</v>
      </c>
      <c r="AH26" s="96">
        <f>'AUTO CALCULATION SHEET (2)'!AM34</f>
        <v>0</v>
      </c>
      <c r="AI26" s="96">
        <f>'AUTO CALCULATION SHEET (2)'!AS34</f>
        <v>0</v>
      </c>
      <c r="AJ26" s="96">
        <f>'AUTO CALCULATION SHEET (2)'!AT34</f>
        <v>103</v>
      </c>
      <c r="AK26" s="96">
        <f>'AUTO CALCULATION SHEET (2)'!BC34</f>
        <v>360</v>
      </c>
      <c r="AL26" s="96">
        <f>'AUTO CALCULATION SHEET (2)'!BH34</f>
        <v>120</v>
      </c>
      <c r="AM26" s="96">
        <f>'AUTO CALCULATION SHEET (2)'!BQ34</f>
        <v>0</v>
      </c>
      <c r="AN26" s="96">
        <f>'AUTO CALCULATION SHEET (2)'!BV34</f>
        <v>12</v>
      </c>
      <c r="AO26" s="97">
        <f t="shared" si="1"/>
        <v>71283</v>
      </c>
      <c r="AP26" s="98">
        <f>'AUTO CALCULATION SHEET (2)'!CB34</f>
        <v>3992</v>
      </c>
      <c r="AQ26" s="97">
        <f t="shared" si="11"/>
        <v>75275</v>
      </c>
      <c r="AR26" s="98">
        <f t="shared" si="2"/>
        <v>16848.136930000008</v>
      </c>
      <c r="AS26" s="97">
        <f t="shared" si="12"/>
        <v>22.38</v>
      </c>
      <c r="AT26" s="98">
        <v>0</v>
      </c>
      <c r="AU26" s="98">
        <v>2</v>
      </c>
      <c r="AV26" s="98">
        <v>1</v>
      </c>
      <c r="AW26" s="99">
        <f t="shared" si="13"/>
        <v>19.38</v>
      </c>
    </row>
    <row r="27" spans="2:49" s="63" customFormat="1" ht="24.75" customHeight="1" x14ac:dyDescent="0.25">
      <c r="B27" s="79" t="str">
        <f>'AUTO CALCULATION SHEET (2)'!F35</f>
        <v>4 CORE X 10 SQ. MM. AL/ARD - WIRE (XLPE)</v>
      </c>
      <c r="C27" s="79"/>
      <c r="D27" s="80" t="s">
        <v>329</v>
      </c>
      <c r="E27" s="81">
        <v>45706</v>
      </c>
      <c r="F27" s="82">
        <v>265753.40999999997</v>
      </c>
      <c r="G27" s="83"/>
      <c r="H27" s="83">
        <v>154134</v>
      </c>
      <c r="I27" s="83">
        <v>159825</v>
      </c>
      <c r="J27" s="84">
        <v>74750</v>
      </c>
      <c r="K27" s="85">
        <f t="shared" si="3"/>
        <v>45658</v>
      </c>
      <c r="L27" s="83">
        <v>264189</v>
      </c>
      <c r="M27" s="83"/>
      <c r="N27" s="83">
        <v>154134</v>
      </c>
      <c r="O27" s="83">
        <v>159825</v>
      </c>
      <c r="P27" s="84">
        <v>74750</v>
      </c>
      <c r="Q27" s="86">
        <v>0.11600000000000001</v>
      </c>
      <c r="R27" s="87"/>
      <c r="S27" s="88">
        <v>5.2999999999999999E-2</v>
      </c>
      <c r="T27" s="88">
        <v>0.29799999999999999</v>
      </c>
      <c r="U27" s="89">
        <v>0.53300000000000003</v>
      </c>
      <c r="V27" s="90">
        <f>'AUTO CALCULATION SHEET (2)'!G35</f>
        <v>111007.07579999999</v>
      </c>
      <c r="W27" s="91">
        <f t="shared" si="4"/>
        <v>181.47155999999703</v>
      </c>
      <c r="X27" s="92">
        <f t="shared" si="5"/>
        <v>0</v>
      </c>
      <c r="Y27" s="92">
        <f t="shared" si="6"/>
        <v>0</v>
      </c>
      <c r="Z27" s="92">
        <f t="shared" si="7"/>
        <v>0</v>
      </c>
      <c r="AA27" s="92">
        <f t="shared" si="8"/>
        <v>0</v>
      </c>
      <c r="AB27" s="93">
        <f t="shared" si="9"/>
        <v>181.47155999999703</v>
      </c>
      <c r="AC27" s="94">
        <f t="shared" si="10"/>
        <v>111188.54735999998</v>
      </c>
      <c r="AD27" s="95">
        <f>'AUTO CALCULATION SHEET (2)'!P35</f>
        <v>108</v>
      </c>
      <c r="AE27" s="96">
        <f>'AUTO CALCULATION SHEET (2)'!R35</f>
        <v>0</v>
      </c>
      <c r="AF27" s="96">
        <f>'AUTO CALCULATION SHEET (2)'!AH35</f>
        <v>50</v>
      </c>
      <c r="AG27" s="96">
        <f>'AUTO CALCULATION SHEET (2)'!AK35</f>
        <v>0</v>
      </c>
      <c r="AH27" s="96">
        <f>'AUTO CALCULATION SHEET (2)'!AM35</f>
        <v>0</v>
      </c>
      <c r="AI27" s="96">
        <f>'AUTO CALCULATION SHEET (2)'!AS35</f>
        <v>35</v>
      </c>
      <c r="AJ27" s="96">
        <f>'AUTO CALCULATION SHEET (2)'!AT35</f>
        <v>0</v>
      </c>
      <c r="AK27" s="96">
        <f>'AUTO CALCULATION SHEET (2)'!BC35</f>
        <v>377</v>
      </c>
      <c r="AL27" s="96">
        <f>'AUTO CALCULATION SHEET (2)'!BH35</f>
        <v>151</v>
      </c>
      <c r="AM27" s="96">
        <f>'AUTO CALCULATION SHEET (2)'!BQ35</f>
        <v>0</v>
      </c>
      <c r="AN27" s="96">
        <f>'AUTO CALCULATION SHEET (2)'!BV35</f>
        <v>13.5</v>
      </c>
      <c r="AO27" s="97">
        <f t="shared" si="1"/>
        <v>86914</v>
      </c>
      <c r="AP27" s="98">
        <f>'AUTO CALCULATION SHEET (2)'!CB35</f>
        <v>4593</v>
      </c>
      <c r="AQ27" s="97">
        <f t="shared" si="11"/>
        <v>91507</v>
      </c>
      <c r="AR27" s="98">
        <f t="shared" si="2"/>
        <v>19681.547359999982</v>
      </c>
      <c r="AS27" s="97">
        <f t="shared" si="12"/>
        <v>21.51</v>
      </c>
      <c r="AT27" s="98">
        <v>0</v>
      </c>
      <c r="AU27" s="98">
        <v>2</v>
      </c>
      <c r="AV27" s="98">
        <v>1</v>
      </c>
      <c r="AW27" s="99">
        <f t="shared" si="13"/>
        <v>18.510000000000002</v>
      </c>
    </row>
    <row r="28" spans="2:49" s="63" customFormat="1" ht="24.75" customHeight="1" x14ac:dyDescent="0.25">
      <c r="B28" s="79" t="str">
        <f>'AUTO CALCULATION SHEET (2)'!F36</f>
        <v>4 CORE X 2.5 SQ. MM. CU/ARD - WIRE (PVC)</v>
      </c>
      <c r="C28" s="79"/>
      <c r="D28" s="80" t="s">
        <v>329</v>
      </c>
      <c r="E28" s="81">
        <v>45706</v>
      </c>
      <c r="F28" s="83"/>
      <c r="G28" s="82">
        <v>870134.53</v>
      </c>
      <c r="H28" s="83"/>
      <c r="I28" s="83">
        <v>159825</v>
      </c>
      <c r="J28" s="84">
        <v>75250</v>
      </c>
      <c r="K28" s="85">
        <f t="shared" si="3"/>
        <v>45658</v>
      </c>
      <c r="L28" s="83"/>
      <c r="M28" s="83">
        <v>837521</v>
      </c>
      <c r="N28" s="83"/>
      <c r="O28" s="83">
        <v>159825</v>
      </c>
      <c r="P28" s="84">
        <v>75250</v>
      </c>
      <c r="Q28" s="86"/>
      <c r="R28" s="87">
        <v>9.4E-2</v>
      </c>
      <c r="S28" s="88"/>
      <c r="T28" s="88">
        <v>0.17899999999999999</v>
      </c>
      <c r="U28" s="89">
        <v>0.314</v>
      </c>
      <c r="V28" s="90">
        <f>'AUTO CALCULATION SHEET (2)'!G36</f>
        <v>144287.6324</v>
      </c>
      <c r="W28" s="91">
        <f t="shared" si="4"/>
        <v>0</v>
      </c>
      <c r="X28" s="92">
        <f t="shared" si="5"/>
        <v>3065.6718200000028</v>
      </c>
      <c r="Y28" s="92">
        <f t="shared" si="6"/>
        <v>0</v>
      </c>
      <c r="Z28" s="92">
        <f t="shared" si="7"/>
        <v>0</v>
      </c>
      <c r="AA28" s="92">
        <f t="shared" si="8"/>
        <v>0</v>
      </c>
      <c r="AB28" s="93">
        <f t="shared" si="9"/>
        <v>3065.6718200000028</v>
      </c>
      <c r="AC28" s="94">
        <f t="shared" si="10"/>
        <v>147353.30421999999</v>
      </c>
      <c r="AD28" s="95">
        <f>'AUTO CALCULATION SHEET (2)'!P36</f>
        <v>0</v>
      </c>
      <c r="AE28" s="96">
        <f>'AUTO CALCULATION SHEET (2)'!R36</f>
        <v>89</v>
      </c>
      <c r="AF28" s="96">
        <f>'AUTO CALCULATION SHEET (2)'!AH36</f>
        <v>0</v>
      </c>
      <c r="AG28" s="96">
        <f>'AUTO CALCULATION SHEET (2)'!AK36</f>
        <v>52</v>
      </c>
      <c r="AH28" s="96">
        <f>'AUTO CALCULATION SHEET (2)'!AM36</f>
        <v>3</v>
      </c>
      <c r="AI28" s="96">
        <f>'AUTO CALCULATION SHEET (2)'!AS36</f>
        <v>27</v>
      </c>
      <c r="AJ28" s="96">
        <f>'AUTO CALCULATION SHEET (2)'!AT36</f>
        <v>0</v>
      </c>
      <c r="AK28" s="96">
        <f>'AUTO CALCULATION SHEET (2)'!BC36</f>
        <v>289</v>
      </c>
      <c r="AL28" s="96">
        <f>'AUTO CALCULATION SHEET (2)'!BH36</f>
        <v>104</v>
      </c>
      <c r="AM28" s="96">
        <f>'AUTO CALCULATION SHEET (2)'!BQ36</f>
        <v>0</v>
      </c>
      <c r="AN28" s="96">
        <f>'AUTO CALCULATION SHEET (2)'!BV36</f>
        <v>0</v>
      </c>
      <c r="AO28" s="97">
        <f t="shared" si="1"/>
        <v>117840</v>
      </c>
      <c r="AP28" s="98">
        <f>'AUTO CALCULATION SHEET (2)'!CB36</f>
        <v>4858</v>
      </c>
      <c r="AQ28" s="97">
        <f t="shared" si="11"/>
        <v>122698</v>
      </c>
      <c r="AR28" s="98">
        <f t="shared" si="2"/>
        <v>24655.304219999991</v>
      </c>
      <c r="AS28" s="97">
        <f t="shared" si="12"/>
        <v>20.09</v>
      </c>
      <c r="AT28" s="98">
        <v>0</v>
      </c>
      <c r="AU28" s="98">
        <v>2</v>
      </c>
      <c r="AV28" s="98">
        <v>1</v>
      </c>
      <c r="AW28" s="99">
        <f t="shared" si="13"/>
        <v>17.09</v>
      </c>
    </row>
    <row r="29" spans="2:49" s="63" customFormat="1" ht="24.75" customHeight="1" x14ac:dyDescent="0.25">
      <c r="B29" s="79" t="str">
        <f>'AUTO CALCULATION SHEET (2)'!F37</f>
        <v>7 CORE X 2.5 SQ. MM. CU/ARD - WIRE (PVC)</v>
      </c>
      <c r="C29" s="79"/>
      <c r="D29" s="80" t="s">
        <v>329</v>
      </c>
      <c r="E29" s="81">
        <v>45706</v>
      </c>
      <c r="F29" s="83"/>
      <c r="G29" s="82">
        <v>870134.53</v>
      </c>
      <c r="H29" s="83"/>
      <c r="I29" s="83">
        <v>159825</v>
      </c>
      <c r="J29" s="84">
        <v>75250</v>
      </c>
      <c r="K29" s="85">
        <f t="shared" si="3"/>
        <v>45658</v>
      </c>
      <c r="L29" s="83"/>
      <c r="M29" s="83">
        <v>837521</v>
      </c>
      <c r="N29" s="83"/>
      <c r="O29" s="83">
        <v>159825</v>
      </c>
      <c r="P29" s="84">
        <v>75250</v>
      </c>
      <c r="Q29" s="86"/>
      <c r="R29" s="87">
        <v>0.16400000000000001</v>
      </c>
      <c r="S29" s="88"/>
      <c r="T29" s="88">
        <v>0.26</v>
      </c>
      <c r="U29" s="89">
        <v>0.379</v>
      </c>
      <c r="V29" s="90">
        <f>'AUTO CALCULATION SHEET (2)'!G37</f>
        <v>223186.25040000002</v>
      </c>
      <c r="W29" s="91">
        <f t="shared" si="4"/>
        <v>0</v>
      </c>
      <c r="X29" s="92">
        <f t="shared" si="5"/>
        <v>5348.6189200000044</v>
      </c>
      <c r="Y29" s="92">
        <f t="shared" si="6"/>
        <v>0</v>
      </c>
      <c r="Z29" s="92">
        <f t="shared" si="7"/>
        <v>0</v>
      </c>
      <c r="AA29" s="92">
        <f t="shared" si="8"/>
        <v>0</v>
      </c>
      <c r="AB29" s="93">
        <f t="shared" si="9"/>
        <v>5348.6189200000044</v>
      </c>
      <c r="AC29" s="94">
        <f t="shared" si="10"/>
        <v>228534.86932000003</v>
      </c>
      <c r="AD29" s="95">
        <f>'AUTO CALCULATION SHEET (2)'!P37</f>
        <v>0</v>
      </c>
      <c r="AE29" s="96">
        <f>'AUTO CALCULATION SHEET (2)'!R37</f>
        <v>155</v>
      </c>
      <c r="AF29" s="96">
        <f>'AUTO CALCULATION SHEET (2)'!AH37</f>
        <v>0</v>
      </c>
      <c r="AG29" s="96">
        <f>'AUTO CALCULATION SHEET (2)'!AK37</f>
        <v>91</v>
      </c>
      <c r="AH29" s="96">
        <f>'AUTO CALCULATION SHEET (2)'!AM37</f>
        <v>4</v>
      </c>
      <c r="AI29" s="96">
        <f>'AUTO CALCULATION SHEET (2)'!AS37</f>
        <v>33</v>
      </c>
      <c r="AJ29" s="96">
        <f>'AUTO CALCULATION SHEET (2)'!AT37</f>
        <v>0</v>
      </c>
      <c r="AK29" s="96">
        <f>'AUTO CALCULATION SHEET (2)'!BC37</f>
        <v>352</v>
      </c>
      <c r="AL29" s="96">
        <f>'AUTO CALCULATION SHEET (2)'!BH37</f>
        <v>120</v>
      </c>
      <c r="AM29" s="96">
        <f>'AUTO CALCULATION SHEET (2)'!BQ37</f>
        <v>0</v>
      </c>
      <c r="AN29" s="96">
        <f>'AUTO CALCULATION SHEET (2)'!BV37</f>
        <v>0</v>
      </c>
      <c r="AO29" s="97">
        <f t="shared" si="1"/>
        <v>186202</v>
      </c>
      <c r="AP29" s="98">
        <f>'AUTO CALCULATION SHEET (2)'!CB37</f>
        <v>4858</v>
      </c>
      <c r="AQ29" s="97">
        <f t="shared" si="11"/>
        <v>191060</v>
      </c>
      <c r="AR29" s="98">
        <f t="shared" si="2"/>
        <v>37474.869320000027</v>
      </c>
      <c r="AS29" s="97">
        <f t="shared" si="12"/>
        <v>19.61</v>
      </c>
      <c r="AT29" s="98">
        <v>0</v>
      </c>
      <c r="AU29" s="98">
        <v>2</v>
      </c>
      <c r="AV29" s="98">
        <v>1</v>
      </c>
      <c r="AW29" s="99">
        <f t="shared" si="13"/>
        <v>16.61</v>
      </c>
    </row>
    <row r="30" spans="2:49" s="63" customFormat="1" ht="24.75" customHeight="1" x14ac:dyDescent="0.25">
      <c r="B30" s="79" t="str">
        <f>'AUTO CALCULATION SHEET (2)'!F38</f>
        <v>10 CORE X 2.5 SQ. MM. CU/ARD - WIRE (PVC)</v>
      </c>
      <c r="C30" s="79"/>
      <c r="D30" s="80" t="s">
        <v>329</v>
      </c>
      <c r="E30" s="81">
        <v>45706</v>
      </c>
      <c r="F30" s="83"/>
      <c r="G30" s="82">
        <v>870134.53</v>
      </c>
      <c r="H30" s="83"/>
      <c r="I30" s="83">
        <v>159825</v>
      </c>
      <c r="J30" s="84">
        <v>75250</v>
      </c>
      <c r="K30" s="85">
        <f t="shared" si="3"/>
        <v>45658</v>
      </c>
      <c r="L30" s="83"/>
      <c r="M30" s="83">
        <v>837521</v>
      </c>
      <c r="N30" s="83"/>
      <c r="O30" s="83">
        <v>159825</v>
      </c>
      <c r="P30" s="84">
        <v>75250</v>
      </c>
      <c r="Q30" s="86"/>
      <c r="R30" s="87">
        <v>0.23499999999999999</v>
      </c>
      <c r="S30" s="88"/>
      <c r="T30" s="88">
        <v>0.33700000000000002</v>
      </c>
      <c r="U30" s="89">
        <v>0.53500000000000003</v>
      </c>
      <c r="V30" s="90">
        <f>'AUTO CALCULATION SHEET (2)'!G38</f>
        <v>317379.50320000004</v>
      </c>
      <c r="W30" s="91">
        <f t="shared" si="4"/>
        <v>0</v>
      </c>
      <c r="X30" s="92">
        <f t="shared" si="5"/>
        <v>7664.1795500000062</v>
      </c>
      <c r="Y30" s="92">
        <f t="shared" si="6"/>
        <v>0</v>
      </c>
      <c r="Z30" s="92">
        <f t="shared" si="7"/>
        <v>0</v>
      </c>
      <c r="AA30" s="92">
        <f t="shared" si="8"/>
        <v>0</v>
      </c>
      <c r="AB30" s="93">
        <f t="shared" si="9"/>
        <v>7664.1795500000062</v>
      </c>
      <c r="AC30" s="94">
        <f t="shared" si="10"/>
        <v>325043.68275000004</v>
      </c>
      <c r="AD30" s="95">
        <f>'AUTO CALCULATION SHEET (2)'!P38</f>
        <v>0</v>
      </c>
      <c r="AE30" s="96">
        <f>'AUTO CALCULATION SHEET (2)'!R38</f>
        <v>222</v>
      </c>
      <c r="AF30" s="96">
        <f>'AUTO CALCULATION SHEET (2)'!AH38</f>
        <v>0</v>
      </c>
      <c r="AG30" s="96">
        <f>'AUTO CALCULATION SHEET (2)'!AK38</f>
        <v>130</v>
      </c>
      <c r="AH30" s="96">
        <f>'AUTO CALCULATION SHEET (2)'!AM38</f>
        <v>5</v>
      </c>
      <c r="AI30" s="96">
        <f>'AUTO CALCULATION SHEET (2)'!AS38</f>
        <v>42</v>
      </c>
      <c r="AJ30" s="96">
        <f>'AUTO CALCULATION SHEET (2)'!AT38</f>
        <v>0</v>
      </c>
      <c r="AK30" s="96">
        <f>'AUTO CALCULATION SHEET (2)'!BC38</f>
        <v>509</v>
      </c>
      <c r="AL30" s="96">
        <f>'AUTO CALCULATION SHEET (2)'!BH38</f>
        <v>172</v>
      </c>
      <c r="AM30" s="96">
        <f>'AUTO CALCULATION SHEET (2)'!BQ38</f>
        <v>0</v>
      </c>
      <c r="AN30" s="96">
        <f>'AUTO CALCULATION SHEET (2)'!BV38</f>
        <v>0</v>
      </c>
      <c r="AO30" s="97">
        <f t="shared" si="1"/>
        <v>266618</v>
      </c>
      <c r="AP30" s="98">
        <f>'AUTO CALCULATION SHEET (2)'!CB38</f>
        <v>5100</v>
      </c>
      <c r="AQ30" s="97">
        <f t="shared" si="11"/>
        <v>271718</v>
      </c>
      <c r="AR30" s="98">
        <f t="shared" si="2"/>
        <v>53325.682750000036</v>
      </c>
      <c r="AS30" s="97">
        <f t="shared" si="12"/>
        <v>19.63</v>
      </c>
      <c r="AT30" s="98">
        <v>0</v>
      </c>
      <c r="AU30" s="98">
        <v>2</v>
      </c>
      <c r="AV30" s="98">
        <v>1</v>
      </c>
      <c r="AW30" s="99">
        <f t="shared" si="13"/>
        <v>16.63</v>
      </c>
    </row>
    <row r="31" spans="2:49" s="63" customFormat="1" ht="24.75" customHeight="1" x14ac:dyDescent="0.25">
      <c r="B31" s="79" t="str">
        <f>'AUTO CALCULATION SHEET (2)'!F39</f>
        <v>12 CORE X 2.5 SQ. MM. CU/ARD - WIRE (PVC)</v>
      </c>
      <c r="C31" s="79"/>
      <c r="D31" s="80" t="s">
        <v>329</v>
      </c>
      <c r="E31" s="81">
        <v>45706</v>
      </c>
      <c r="F31" s="83"/>
      <c r="G31" s="82">
        <v>870134.53</v>
      </c>
      <c r="H31" s="83"/>
      <c r="I31" s="83">
        <v>159825</v>
      </c>
      <c r="J31" s="84">
        <v>75250</v>
      </c>
      <c r="K31" s="85">
        <f t="shared" si="3"/>
        <v>45658</v>
      </c>
      <c r="L31" s="83"/>
      <c r="M31" s="83">
        <v>837521</v>
      </c>
      <c r="N31" s="83"/>
      <c r="O31" s="83">
        <v>159825</v>
      </c>
      <c r="P31" s="84">
        <v>75250</v>
      </c>
      <c r="Q31" s="86"/>
      <c r="R31" s="87">
        <v>0.28199999999999997</v>
      </c>
      <c r="S31" s="88"/>
      <c r="T31" s="88">
        <v>0.371</v>
      </c>
      <c r="U31" s="89">
        <v>0.57199999999999995</v>
      </c>
      <c r="V31" s="90">
        <f>'AUTO CALCULATION SHEET (2)'!G39</f>
        <v>366743.86</v>
      </c>
      <c r="W31" s="91">
        <f t="shared" si="4"/>
        <v>0</v>
      </c>
      <c r="X31" s="92">
        <f t="shared" si="5"/>
        <v>9197.0154600000078</v>
      </c>
      <c r="Y31" s="92">
        <f t="shared" si="6"/>
        <v>0</v>
      </c>
      <c r="Z31" s="92">
        <f t="shared" si="7"/>
        <v>0</v>
      </c>
      <c r="AA31" s="92">
        <f t="shared" si="8"/>
        <v>0</v>
      </c>
      <c r="AB31" s="93">
        <f t="shared" si="9"/>
        <v>9197.0154600000078</v>
      </c>
      <c r="AC31" s="94">
        <f t="shared" si="10"/>
        <v>375940.87546000001</v>
      </c>
      <c r="AD31" s="95">
        <f>'AUTO CALCULATION SHEET (2)'!P39</f>
        <v>0</v>
      </c>
      <c r="AE31" s="96">
        <f>'AUTO CALCULATION SHEET (2)'!R39</f>
        <v>266</v>
      </c>
      <c r="AF31" s="96">
        <f>'AUTO CALCULATION SHEET (2)'!AH39</f>
        <v>0</v>
      </c>
      <c r="AG31" s="96">
        <f>'AUTO CALCULATION SHEET (2)'!AK39</f>
        <v>156</v>
      </c>
      <c r="AH31" s="96">
        <f>'AUTO CALCULATION SHEET (2)'!AM39</f>
        <v>6</v>
      </c>
      <c r="AI31" s="96">
        <f>'AUTO CALCULATION SHEET (2)'!AS39</f>
        <v>44</v>
      </c>
      <c r="AJ31" s="96">
        <f>'AUTO CALCULATION SHEET (2)'!AT39</f>
        <v>0</v>
      </c>
      <c r="AK31" s="96">
        <f>'AUTO CALCULATION SHEET (2)'!BC39</f>
        <v>526</v>
      </c>
      <c r="AL31" s="96">
        <f>'AUTO CALCULATION SHEET (2)'!BH39</f>
        <v>178</v>
      </c>
      <c r="AM31" s="96">
        <f>'AUTO CALCULATION SHEET (2)'!BQ39</f>
        <v>0</v>
      </c>
      <c r="AN31" s="96">
        <f>'AUTO CALCULATION SHEET (2)'!BV39</f>
        <v>0</v>
      </c>
      <c r="AO31" s="97">
        <f t="shared" si="1"/>
        <v>309622</v>
      </c>
      <c r="AP31" s="98">
        <f>'AUTO CALCULATION SHEET (2)'!CB39</f>
        <v>5100</v>
      </c>
      <c r="AQ31" s="97">
        <f t="shared" si="11"/>
        <v>314722</v>
      </c>
      <c r="AR31" s="98">
        <f t="shared" si="2"/>
        <v>61218.87546000001</v>
      </c>
      <c r="AS31" s="97">
        <f t="shared" si="12"/>
        <v>19.45</v>
      </c>
      <c r="AT31" s="98">
        <v>0</v>
      </c>
      <c r="AU31" s="98">
        <v>2</v>
      </c>
      <c r="AV31" s="98">
        <v>1</v>
      </c>
      <c r="AW31" s="99">
        <f t="shared" si="13"/>
        <v>16.45</v>
      </c>
    </row>
    <row r="32" spans="2:49" s="63" customFormat="1" ht="24.75" customHeight="1" x14ac:dyDescent="0.25">
      <c r="B32" s="79" t="str">
        <f>'AUTO CALCULATION SHEET (2)'!F40</f>
        <v>16 CORE X 2.5 SQ. MM. CU/ARD - WIRE (PVC)</v>
      </c>
      <c r="C32" s="79"/>
      <c r="D32" s="80" t="s">
        <v>329</v>
      </c>
      <c r="E32" s="81">
        <v>45706</v>
      </c>
      <c r="F32" s="83"/>
      <c r="G32" s="82">
        <v>870134.53</v>
      </c>
      <c r="H32" s="83"/>
      <c r="I32" s="83">
        <v>159825</v>
      </c>
      <c r="J32" s="84">
        <v>75250</v>
      </c>
      <c r="K32" s="85">
        <f t="shared" si="3"/>
        <v>45658</v>
      </c>
      <c r="L32" s="83"/>
      <c r="M32" s="83">
        <v>837521</v>
      </c>
      <c r="N32" s="83"/>
      <c r="O32" s="83">
        <v>159825</v>
      </c>
      <c r="P32" s="84">
        <v>75250</v>
      </c>
      <c r="Q32" s="86"/>
      <c r="R32" s="87">
        <v>0.376</v>
      </c>
      <c r="S32" s="88"/>
      <c r="T32" s="88">
        <v>0.45800000000000002</v>
      </c>
      <c r="U32" s="89">
        <v>0.66</v>
      </c>
      <c r="V32" s="90">
        <f>'AUTO CALCULATION SHEET (2)'!G40</f>
        <v>472972.33319999999</v>
      </c>
      <c r="W32" s="91">
        <f t="shared" si="4"/>
        <v>0</v>
      </c>
      <c r="X32" s="92">
        <f t="shared" si="5"/>
        <v>12262.687280000011</v>
      </c>
      <c r="Y32" s="92">
        <f t="shared" si="6"/>
        <v>0</v>
      </c>
      <c r="Z32" s="92">
        <f t="shared" si="7"/>
        <v>0</v>
      </c>
      <c r="AA32" s="92">
        <f t="shared" si="8"/>
        <v>0</v>
      </c>
      <c r="AB32" s="93">
        <f t="shared" si="9"/>
        <v>12262.687280000011</v>
      </c>
      <c r="AC32" s="94">
        <f t="shared" si="10"/>
        <v>485235.02048000001</v>
      </c>
      <c r="AD32" s="95">
        <f>'AUTO CALCULATION SHEET (2)'!P40</f>
        <v>0</v>
      </c>
      <c r="AE32" s="96">
        <f>'AUTO CALCULATION SHEET (2)'!R40</f>
        <v>355</v>
      </c>
      <c r="AF32" s="96">
        <f>'AUTO CALCULATION SHEET (2)'!AH40</f>
        <v>0</v>
      </c>
      <c r="AG32" s="96">
        <f>'AUTO CALCULATION SHEET (2)'!AK40</f>
        <v>214</v>
      </c>
      <c r="AH32" s="96">
        <f>'AUTO CALCULATION SHEET (2)'!AM40</f>
        <v>6</v>
      </c>
      <c r="AI32" s="96">
        <f>'AUTO CALCULATION SHEET (2)'!AS40</f>
        <v>58</v>
      </c>
      <c r="AJ32" s="96">
        <f>'AUTO CALCULATION SHEET (2)'!AT40</f>
        <v>0</v>
      </c>
      <c r="AK32" s="96">
        <f>'AUTO CALCULATION SHEET (2)'!BC40</f>
        <v>574</v>
      </c>
      <c r="AL32" s="96">
        <f>'AUTO CALCULATION SHEET (2)'!BH40</f>
        <v>193</v>
      </c>
      <c r="AM32" s="96">
        <f>'AUTO CALCULATION SHEET (2)'!BQ40</f>
        <v>0</v>
      </c>
      <c r="AN32" s="96">
        <f>'AUTO CALCULATION SHEET (2)'!BV40</f>
        <v>0</v>
      </c>
      <c r="AO32" s="97">
        <f t="shared" si="1"/>
        <v>398981</v>
      </c>
      <c r="AP32" s="98">
        <f>'AUTO CALCULATION SHEET (2)'!CB40</f>
        <v>7984</v>
      </c>
      <c r="AQ32" s="97">
        <f t="shared" si="11"/>
        <v>406965</v>
      </c>
      <c r="AR32" s="98">
        <f t="shared" si="2"/>
        <v>78270.020480000007</v>
      </c>
      <c r="AS32" s="97">
        <f t="shared" si="12"/>
        <v>19.23</v>
      </c>
      <c r="AT32" s="98">
        <v>0</v>
      </c>
      <c r="AU32" s="98">
        <v>2</v>
      </c>
      <c r="AV32" s="98">
        <v>1</v>
      </c>
      <c r="AW32" s="99">
        <f t="shared" si="13"/>
        <v>16.23</v>
      </c>
    </row>
    <row r="33" spans="2:49" s="63" customFormat="1" ht="24.75" customHeight="1" x14ac:dyDescent="0.25">
      <c r="B33" s="79" t="str">
        <f>'AUTO CALCULATION SHEET (2)'!F41</f>
        <v>4 CORE X 4 SQ. MM. CU/ARD - WIRE (PVC)</v>
      </c>
      <c r="C33" s="79"/>
      <c r="D33" s="80" t="s">
        <v>329</v>
      </c>
      <c r="E33" s="81">
        <v>45706</v>
      </c>
      <c r="F33" s="83"/>
      <c r="G33" s="82">
        <v>870134.53</v>
      </c>
      <c r="H33" s="83"/>
      <c r="I33" s="83">
        <v>159825</v>
      </c>
      <c r="J33" s="84">
        <v>74750</v>
      </c>
      <c r="K33" s="85">
        <f t="shared" si="3"/>
        <v>45658</v>
      </c>
      <c r="L33" s="83"/>
      <c r="M33" s="83">
        <v>837521</v>
      </c>
      <c r="N33" s="83"/>
      <c r="O33" s="83">
        <v>159825</v>
      </c>
      <c r="P33" s="84">
        <v>74750</v>
      </c>
      <c r="Q33" s="86"/>
      <c r="R33" s="87">
        <v>0.151</v>
      </c>
      <c r="S33" s="88"/>
      <c r="T33" s="88">
        <v>0.20899999999999999</v>
      </c>
      <c r="U33" s="89">
        <v>0.36299999999999999</v>
      </c>
      <c r="V33" s="90">
        <f>'AUTO CALCULATION SHEET (2)'!G41</f>
        <v>210455.65640000001</v>
      </c>
      <c r="W33" s="91">
        <f t="shared" si="4"/>
        <v>0</v>
      </c>
      <c r="X33" s="92">
        <f t="shared" si="5"/>
        <v>4924.6430300000038</v>
      </c>
      <c r="Y33" s="92">
        <f t="shared" si="6"/>
        <v>0</v>
      </c>
      <c r="Z33" s="92">
        <f t="shared" si="7"/>
        <v>0</v>
      </c>
      <c r="AA33" s="92">
        <f t="shared" si="8"/>
        <v>0</v>
      </c>
      <c r="AB33" s="93">
        <f t="shared" si="9"/>
        <v>4924.6430300000038</v>
      </c>
      <c r="AC33" s="94">
        <f t="shared" si="10"/>
        <v>215380.29943000001</v>
      </c>
      <c r="AD33" s="95">
        <f>'AUTO CALCULATION SHEET (2)'!P41</f>
        <v>0</v>
      </c>
      <c r="AE33" s="96">
        <f>'AUTO CALCULATION SHEET (2)'!R41</f>
        <v>144</v>
      </c>
      <c r="AF33" s="96">
        <f>'AUTO CALCULATION SHEET (2)'!AH41</f>
        <v>0</v>
      </c>
      <c r="AG33" s="96">
        <f>'AUTO CALCULATION SHEET (2)'!AK41</f>
        <v>76</v>
      </c>
      <c r="AH33" s="96">
        <f>'AUTO CALCULATION SHEET (2)'!AM41</f>
        <v>4</v>
      </c>
      <c r="AI33" s="96">
        <f>'AUTO CALCULATION SHEET (2)'!AS41</f>
        <v>34</v>
      </c>
      <c r="AJ33" s="96">
        <f>'AUTO CALCULATION SHEET (2)'!AT41</f>
        <v>0</v>
      </c>
      <c r="AK33" s="96">
        <f>'AUTO CALCULATION SHEET (2)'!BC41</f>
        <v>352</v>
      </c>
      <c r="AL33" s="96">
        <f>'AUTO CALCULATION SHEET (2)'!BH41</f>
        <v>119</v>
      </c>
      <c r="AM33" s="96">
        <f>'AUTO CALCULATION SHEET (2)'!BQ41</f>
        <v>0</v>
      </c>
      <c r="AN33" s="96">
        <f>'AUTO CALCULATION SHEET (2)'!BV41</f>
        <v>0</v>
      </c>
      <c r="AO33" s="97">
        <f t="shared" si="1"/>
        <v>175093</v>
      </c>
      <c r="AP33" s="98">
        <f>'AUTO CALCULATION SHEET (2)'!CB41</f>
        <v>4858</v>
      </c>
      <c r="AQ33" s="97">
        <f t="shared" si="11"/>
        <v>179951</v>
      </c>
      <c r="AR33" s="98">
        <f t="shared" si="2"/>
        <v>35429.299430000014</v>
      </c>
      <c r="AS33" s="97">
        <f t="shared" si="12"/>
        <v>19.690000000000001</v>
      </c>
      <c r="AT33" s="98">
        <v>0</v>
      </c>
      <c r="AU33" s="98">
        <v>2</v>
      </c>
      <c r="AV33" s="98">
        <v>1</v>
      </c>
      <c r="AW33" s="99">
        <f t="shared" si="13"/>
        <v>16.690000000000001</v>
      </c>
    </row>
    <row r="34" spans="2:49" s="63" customFormat="1" ht="24.75" customHeight="1" x14ac:dyDescent="0.25">
      <c r="B34" s="79" t="str">
        <f>'AUTO CALCULATION SHEET (2)'!F42</f>
        <v>4 CORE X 16 SQ. MM. AL/ARD - WIRE (XLPE)</v>
      </c>
      <c r="C34" s="79"/>
      <c r="D34" s="80" t="s">
        <v>329</v>
      </c>
      <c r="E34" s="81">
        <v>45706</v>
      </c>
      <c r="F34" s="82">
        <v>265753.40999999997</v>
      </c>
      <c r="G34" s="83"/>
      <c r="H34" s="83">
        <v>154134</v>
      </c>
      <c r="I34" s="83">
        <v>159825</v>
      </c>
      <c r="J34" s="84">
        <v>74750</v>
      </c>
      <c r="K34" s="85">
        <f t="shared" si="3"/>
        <v>45658</v>
      </c>
      <c r="L34" s="83">
        <v>264189</v>
      </c>
      <c r="M34" s="83"/>
      <c r="N34" s="83">
        <v>154134</v>
      </c>
      <c r="O34" s="83">
        <v>159825</v>
      </c>
      <c r="P34" s="84">
        <v>74750</v>
      </c>
      <c r="Q34" s="86"/>
      <c r="R34" s="87">
        <v>0.183</v>
      </c>
      <c r="S34" s="88">
        <v>6.5000000000000002E-2</v>
      </c>
      <c r="T34" s="88">
        <v>0.27900000000000003</v>
      </c>
      <c r="U34" s="89">
        <v>0.57299999999999995</v>
      </c>
      <c r="V34" s="90">
        <f>'AUTO CALCULATION SHEET (2)'!G42</f>
        <v>142452.41960000002</v>
      </c>
      <c r="W34" s="91">
        <f t="shared" si="4"/>
        <v>0</v>
      </c>
      <c r="X34" s="92">
        <f t="shared" si="5"/>
        <v>0</v>
      </c>
      <c r="Y34" s="92">
        <f t="shared" si="6"/>
        <v>0</v>
      </c>
      <c r="Z34" s="92">
        <f t="shared" si="7"/>
        <v>0</v>
      </c>
      <c r="AA34" s="92">
        <f t="shared" si="8"/>
        <v>0</v>
      </c>
      <c r="AB34" s="93">
        <f t="shared" si="9"/>
        <v>0</v>
      </c>
      <c r="AC34" s="94">
        <f t="shared" si="10"/>
        <v>142452.41960000002</v>
      </c>
      <c r="AD34" s="95">
        <f>'AUTO CALCULATION SHEET (2)'!P42</f>
        <v>173</v>
      </c>
      <c r="AE34" s="96">
        <f>'AUTO CALCULATION SHEET (2)'!R42</f>
        <v>0</v>
      </c>
      <c r="AF34" s="96">
        <f>'AUTO CALCULATION SHEET (2)'!AH42</f>
        <v>64</v>
      </c>
      <c r="AG34" s="96">
        <f>'AUTO CALCULATION SHEET (2)'!AK42</f>
        <v>0</v>
      </c>
      <c r="AH34" s="96">
        <f>'AUTO CALCULATION SHEET (2)'!AM42</f>
        <v>0</v>
      </c>
      <c r="AI34" s="96">
        <f>'AUTO CALCULATION SHEET (2)'!AS42</f>
        <v>40</v>
      </c>
      <c r="AJ34" s="96">
        <f>'AUTO CALCULATION SHEET (2)'!AT42</f>
        <v>0</v>
      </c>
      <c r="AK34" s="96">
        <f>'AUTO CALCULATION SHEET (2)'!BC42</f>
        <v>460</v>
      </c>
      <c r="AL34" s="96">
        <f>'AUTO CALCULATION SHEET (2)'!BH42</f>
        <v>158</v>
      </c>
      <c r="AM34" s="96">
        <f>'AUTO CALCULATION SHEET (2)'!BQ42</f>
        <v>0</v>
      </c>
      <c r="AN34" s="96">
        <f>'AUTO CALCULATION SHEET (2)'!BV42</f>
        <v>14</v>
      </c>
      <c r="AO34" s="97">
        <f t="shared" si="1"/>
        <v>114139</v>
      </c>
      <c r="AP34" s="98">
        <f>'AUTO CALCULATION SHEET (2)'!CB42</f>
        <v>3881</v>
      </c>
      <c r="AQ34" s="97">
        <f t="shared" si="11"/>
        <v>118020</v>
      </c>
      <c r="AR34" s="98">
        <f t="shared" si="2"/>
        <v>24432.419600000023</v>
      </c>
      <c r="AS34" s="97">
        <f t="shared" si="12"/>
        <v>20.7</v>
      </c>
      <c r="AT34" s="98">
        <v>0</v>
      </c>
      <c r="AU34" s="98">
        <v>2</v>
      </c>
      <c r="AV34" s="98">
        <v>1</v>
      </c>
      <c r="AW34" s="99">
        <f t="shared" si="13"/>
        <v>17.7</v>
      </c>
    </row>
    <row r="35" spans="2:49" s="63" customFormat="1" ht="24.75" customHeight="1" x14ac:dyDescent="0.25">
      <c r="B35" s="79" t="str">
        <f>'AUTO CALCULATION SHEET (2)'!F43</f>
        <v>1 CORE X 16 SQ. MM. AL/ARD. (XLPE)</v>
      </c>
      <c r="C35" s="79"/>
      <c r="D35" s="80" t="s">
        <v>329</v>
      </c>
      <c r="E35" s="81">
        <v>45706</v>
      </c>
      <c r="F35" s="82">
        <v>265753.40999999997</v>
      </c>
      <c r="G35" s="83"/>
      <c r="H35" s="83">
        <v>154134</v>
      </c>
      <c r="I35" s="83">
        <v>159825</v>
      </c>
      <c r="J35" s="84"/>
      <c r="K35" s="85">
        <f t="shared" si="3"/>
        <v>45658</v>
      </c>
      <c r="L35" s="83">
        <v>264189</v>
      </c>
      <c r="M35" s="83"/>
      <c r="N35" s="83">
        <v>154134</v>
      </c>
      <c r="O35" s="83">
        <v>159825</v>
      </c>
      <c r="P35" s="84"/>
      <c r="Q35" s="119">
        <v>0.1303</v>
      </c>
      <c r="R35" s="87"/>
      <c r="S35" s="88">
        <v>2.3E-2</v>
      </c>
      <c r="T35" s="120"/>
      <c r="U35" s="89"/>
      <c r="V35" s="90">
        <f>'AUTO CALCULATION SHEET (2)'!G43</f>
        <v>39479.776399999995</v>
      </c>
      <c r="W35" s="91">
        <f t="shared" si="4"/>
        <v>203.84262299999665</v>
      </c>
      <c r="X35" s="92">
        <f t="shared" si="5"/>
        <v>0</v>
      </c>
      <c r="Y35" s="92">
        <f t="shared" si="6"/>
        <v>0</v>
      </c>
      <c r="Z35" s="92">
        <f t="shared" si="7"/>
        <v>0</v>
      </c>
      <c r="AA35" s="92">
        <f t="shared" si="8"/>
        <v>0</v>
      </c>
      <c r="AB35" s="93">
        <f t="shared" si="9"/>
        <v>203.84262299999665</v>
      </c>
      <c r="AC35" s="94">
        <f t="shared" si="10"/>
        <v>39683.619022999992</v>
      </c>
      <c r="AD35" s="95">
        <f>'AUTO CALCULATION SHEET (2)'!P43</f>
        <v>44</v>
      </c>
      <c r="AE35" s="96">
        <f>'AUTO CALCULATION SHEET (2)'!R43</f>
        <v>0</v>
      </c>
      <c r="AF35" s="96">
        <f>'AUTO CALCULATION SHEET (2)'!AH43</f>
        <v>22</v>
      </c>
      <c r="AG35" s="96">
        <f>'AUTO CALCULATION SHEET (2)'!AK43</f>
        <v>0</v>
      </c>
      <c r="AH35" s="96">
        <f>'AUTO CALCULATION SHEET (2)'!AM43</f>
        <v>0</v>
      </c>
      <c r="AI35" s="96">
        <f>'AUTO CALCULATION SHEET (2)'!AS43</f>
        <v>0</v>
      </c>
      <c r="AJ35" s="96">
        <f>'AUTO CALCULATION SHEET (2)'!AT43</f>
        <v>0</v>
      </c>
      <c r="AK35" s="96">
        <f>'AUTO CALCULATION SHEET (2)'!BC43</f>
        <v>62</v>
      </c>
      <c r="AL35" s="96">
        <f>'AUTO CALCULATION SHEET (2)'!BH43</f>
        <v>88</v>
      </c>
      <c r="AM35" s="96">
        <f>'AUTO CALCULATION SHEET (2)'!BQ43</f>
        <v>0</v>
      </c>
      <c r="AN35" s="96">
        <f>'AUTO CALCULATION SHEET (2)'!BV43</f>
        <v>8</v>
      </c>
      <c r="AO35" s="97">
        <f t="shared" si="1"/>
        <v>30440</v>
      </c>
      <c r="AP35" s="98">
        <f>'AUTO CALCULATION SHEET (2)'!CB43</f>
        <v>2429</v>
      </c>
      <c r="AQ35" s="97">
        <f t="shared" si="11"/>
        <v>32869</v>
      </c>
      <c r="AR35" s="98">
        <f t="shared" si="2"/>
        <v>6814.619022999992</v>
      </c>
      <c r="AS35" s="97">
        <f t="shared" si="12"/>
        <v>20.73</v>
      </c>
      <c r="AT35" s="98">
        <v>0</v>
      </c>
      <c r="AU35" s="98">
        <v>2</v>
      </c>
      <c r="AV35" s="98">
        <v>1</v>
      </c>
      <c r="AW35" s="99">
        <f t="shared" si="13"/>
        <v>17.73</v>
      </c>
    </row>
    <row r="36" spans="2:49" s="63" customFormat="1" ht="24.75" customHeight="1" x14ac:dyDescent="0.25">
      <c r="B36" s="79" t="str">
        <f>'AUTO CALCULATION SHEET (2)'!F44</f>
        <v>2 CORE X 16 SQ. MM. AL/ARD - WIRE (XLPE)</v>
      </c>
      <c r="C36" s="79"/>
      <c r="D36" s="80" t="s">
        <v>329</v>
      </c>
      <c r="E36" s="81">
        <v>45706</v>
      </c>
      <c r="F36" s="82">
        <v>265753.40999999997</v>
      </c>
      <c r="G36" s="83"/>
      <c r="H36" s="83">
        <v>154134</v>
      </c>
      <c r="I36" s="83">
        <v>159825</v>
      </c>
      <c r="J36" s="84">
        <v>74750</v>
      </c>
      <c r="K36" s="85">
        <f t="shared" si="3"/>
        <v>45658</v>
      </c>
      <c r="L36" s="83">
        <v>264189</v>
      </c>
      <c r="M36" s="83"/>
      <c r="N36" s="83">
        <v>154134</v>
      </c>
      <c r="O36" s="83">
        <v>159825</v>
      </c>
      <c r="P36" s="84">
        <v>74750</v>
      </c>
      <c r="Q36" s="86">
        <v>9.0999999999999998E-2</v>
      </c>
      <c r="R36" s="87"/>
      <c r="S36" s="88">
        <v>3.4000000000000002E-2</v>
      </c>
      <c r="T36" s="88">
        <v>0.34100000000000003</v>
      </c>
      <c r="U36" s="89">
        <v>0.439</v>
      </c>
      <c r="V36" s="90">
        <f>'AUTO CALCULATION SHEET (2)'!G44</f>
        <v>118456.05639999999</v>
      </c>
      <c r="W36" s="91">
        <f t="shared" ref="W36:W37" si="14">Q36*(F36-L36)</f>
        <v>142.36130999999767</v>
      </c>
      <c r="X36" s="92">
        <f t="shared" ref="X36:X37" si="15">R36*(G36-M36)</f>
        <v>0</v>
      </c>
      <c r="Y36" s="92">
        <f t="shared" ref="Y36:Y37" si="16">S36*(H36-N36)</f>
        <v>0</v>
      </c>
      <c r="Z36" s="92">
        <f t="shared" ref="Z36:Z37" si="17">T36*(I36-O36)</f>
        <v>0</v>
      </c>
      <c r="AA36" s="92">
        <f t="shared" ref="AA36:AA37" si="18">U36*(J36-P36)</f>
        <v>0</v>
      </c>
      <c r="AB36" s="93">
        <f t="shared" ref="AB36:AB37" si="19">W36+X36+Y36+Z36+AA36</f>
        <v>142.36130999999767</v>
      </c>
      <c r="AC36" s="94">
        <f t="shared" ref="AC36:AC37" si="20">V36+AB36</f>
        <v>118598.41770999998</v>
      </c>
      <c r="AD36" s="95">
        <f>'AUTO CALCULATION SHEET (2)'!P44</f>
        <v>86</v>
      </c>
      <c r="AE36" s="96">
        <f>'AUTO CALCULATION SHEET (2)'!R44</f>
        <v>0</v>
      </c>
      <c r="AF36" s="96">
        <f>'AUTO CALCULATION SHEET (2)'!AH44</f>
        <v>32</v>
      </c>
      <c r="AG36" s="96">
        <f>'AUTO CALCULATION SHEET (2)'!AK44</f>
        <v>0</v>
      </c>
      <c r="AH36" s="96">
        <f>'AUTO CALCULATION SHEET (2)'!AM44</f>
        <v>0</v>
      </c>
      <c r="AI36" s="96">
        <f>'AUTO CALCULATION SHEET (2)'!AS44</f>
        <v>104</v>
      </c>
      <c r="AJ36" s="96">
        <f>'AUTO CALCULATION SHEET (2)'!AT44</f>
        <v>0</v>
      </c>
      <c r="AK36" s="96">
        <f>'AUTO CALCULATION SHEET (2)'!BC44</f>
        <v>487</v>
      </c>
      <c r="AL36" s="96">
        <f>'AUTO CALCULATION SHEET (2)'!BH44</f>
        <v>150</v>
      </c>
      <c r="AM36" s="96">
        <f>'AUTO CALCULATION SHEET (2)'!BQ44</f>
        <v>0</v>
      </c>
      <c r="AN36" s="96">
        <f>'AUTO CALCULATION SHEET (2)'!BV44</f>
        <v>13</v>
      </c>
      <c r="AO36" s="97">
        <f t="shared" si="1"/>
        <v>92400</v>
      </c>
      <c r="AP36" s="98">
        <f>'AUTO CALCULATION SHEET (2)'!CB44</f>
        <v>4593</v>
      </c>
      <c r="AQ36" s="97">
        <f t="shared" ref="AQ36:AQ37" si="21">AO36+AP36</f>
        <v>96993</v>
      </c>
      <c r="AR36" s="98">
        <f t="shared" si="2"/>
        <v>21605.41770999998</v>
      </c>
      <c r="AS36" s="97">
        <f t="shared" ref="AS36:AS37" si="22">ROUND((AR36/AQ36)*100,2)</f>
        <v>22.28</v>
      </c>
      <c r="AT36" s="98">
        <v>0</v>
      </c>
      <c r="AU36" s="98">
        <v>2</v>
      </c>
      <c r="AV36" s="98">
        <v>1</v>
      </c>
      <c r="AW36" s="99">
        <f t="shared" ref="AW36:AW37" si="23">AS36-AT36-AU36-AV36</f>
        <v>19.28</v>
      </c>
    </row>
    <row r="37" spans="2:49" s="63" customFormat="1" ht="24.75" customHeight="1" x14ac:dyDescent="0.25">
      <c r="B37" s="79" t="str">
        <f>'AUTO CALCULATION SHEET (2)'!F45</f>
        <v>2 CORE X 50 SQ. MM. AL/ARD - WIRE (XLPE)</v>
      </c>
      <c r="C37" s="79"/>
      <c r="D37" s="80" t="s">
        <v>329</v>
      </c>
      <c r="E37" s="81">
        <v>45706</v>
      </c>
      <c r="F37" s="82">
        <v>265753.40999999997</v>
      </c>
      <c r="G37" s="83"/>
      <c r="H37" s="83">
        <v>154134</v>
      </c>
      <c r="I37" s="83">
        <v>159825</v>
      </c>
      <c r="J37" s="84">
        <v>74750</v>
      </c>
      <c r="K37" s="85">
        <f t="shared" si="3"/>
        <v>45658</v>
      </c>
      <c r="L37" s="83">
        <v>264189</v>
      </c>
      <c r="M37" s="83"/>
      <c r="N37" s="83">
        <v>154134</v>
      </c>
      <c r="O37" s="83">
        <v>159825</v>
      </c>
      <c r="P37" s="84">
        <v>74750</v>
      </c>
      <c r="Q37" s="86">
        <v>0.27300000000000002</v>
      </c>
      <c r="R37" s="87"/>
      <c r="S37" s="88">
        <v>7.4999999999999997E-2</v>
      </c>
      <c r="T37" s="88">
        <v>0.68500000000000005</v>
      </c>
      <c r="U37" s="89">
        <v>0.66100000000000003</v>
      </c>
      <c r="V37" s="90">
        <f>'AUTO CALCULATION SHEET (2)'!G45</f>
        <v>240884.82279999999</v>
      </c>
      <c r="W37" s="91">
        <f t="shared" si="14"/>
        <v>427.08392999999302</v>
      </c>
      <c r="X37" s="92">
        <f t="shared" si="15"/>
        <v>0</v>
      </c>
      <c r="Y37" s="92">
        <f t="shared" si="16"/>
        <v>0</v>
      </c>
      <c r="Z37" s="92">
        <f t="shared" si="17"/>
        <v>0</v>
      </c>
      <c r="AA37" s="92">
        <f t="shared" si="18"/>
        <v>0</v>
      </c>
      <c r="AB37" s="93">
        <f t="shared" si="19"/>
        <v>427.08392999999302</v>
      </c>
      <c r="AC37" s="94">
        <f t="shared" si="20"/>
        <v>241311.90672999999</v>
      </c>
      <c r="AD37" s="95">
        <f>'AUTO CALCULATION SHEET (2)'!P45</f>
        <v>270</v>
      </c>
      <c r="AE37" s="96">
        <f>'AUTO CALCULATION SHEET (2)'!R45</f>
        <v>0</v>
      </c>
      <c r="AF37" s="96">
        <f>'AUTO CALCULATION SHEET (2)'!AH45</f>
        <v>64</v>
      </c>
      <c r="AG37" s="96">
        <f>'AUTO CALCULATION SHEET (2)'!AK45</f>
        <v>0</v>
      </c>
      <c r="AH37" s="96">
        <f>'AUTO CALCULATION SHEET (2)'!AM45</f>
        <v>0</v>
      </c>
      <c r="AI37" s="96">
        <f>'AUTO CALCULATION SHEET (2)'!AS45</f>
        <v>80</v>
      </c>
      <c r="AJ37" s="96">
        <f>'AUTO CALCULATION SHEET (2)'!AT45</f>
        <v>0</v>
      </c>
      <c r="AK37" s="96">
        <f>'AUTO CALCULATION SHEET (2)'!BC45</f>
        <v>1018</v>
      </c>
      <c r="AL37" s="96">
        <f>'AUTO CALCULATION SHEET (2)'!BH45</f>
        <v>200</v>
      </c>
      <c r="AM37" s="96">
        <f>'AUTO CALCULATION SHEET (2)'!BQ45</f>
        <v>0</v>
      </c>
      <c r="AN37" s="96">
        <f>'AUTO CALCULATION SHEET (2)'!BV45</f>
        <v>18</v>
      </c>
      <c r="AO37" s="97">
        <f t="shared" si="1"/>
        <v>194398</v>
      </c>
      <c r="AP37" s="98">
        <f>'AUTO CALCULATION SHEET (2)'!CB45</f>
        <v>4139</v>
      </c>
      <c r="AQ37" s="97">
        <f t="shared" si="21"/>
        <v>198537</v>
      </c>
      <c r="AR37" s="98">
        <f t="shared" si="2"/>
        <v>42774.906729999988</v>
      </c>
      <c r="AS37" s="97">
        <f t="shared" si="22"/>
        <v>21.55</v>
      </c>
      <c r="AT37" s="98">
        <v>0</v>
      </c>
      <c r="AU37" s="98">
        <v>2</v>
      </c>
      <c r="AV37" s="98">
        <v>1</v>
      </c>
      <c r="AW37" s="99">
        <f t="shared" si="23"/>
        <v>18.55</v>
      </c>
    </row>
    <row r="38" spans="2:49" s="117" customFormat="1" ht="13.5" thickBot="1" x14ac:dyDescent="0.25">
      <c r="B38" s="100"/>
      <c r="C38" s="101"/>
      <c r="D38" s="102"/>
      <c r="E38" s="103"/>
      <c r="F38" s="104"/>
      <c r="G38" s="104"/>
      <c r="H38" s="104"/>
      <c r="I38" s="104"/>
      <c r="J38" s="105"/>
      <c r="K38" s="106"/>
      <c r="L38" s="107"/>
      <c r="M38" s="107"/>
      <c r="N38" s="107"/>
      <c r="O38" s="107"/>
      <c r="P38" s="108"/>
      <c r="Q38" s="106"/>
      <c r="R38" s="109"/>
      <c r="S38" s="104"/>
      <c r="T38" s="104"/>
      <c r="U38" s="105"/>
      <c r="V38" s="110"/>
      <c r="W38" s="111"/>
      <c r="X38" s="111"/>
      <c r="Y38" s="112"/>
      <c r="Z38" s="112"/>
      <c r="AA38" s="112"/>
      <c r="AB38" s="113"/>
      <c r="AC38" s="110"/>
      <c r="AD38" s="114"/>
      <c r="AE38" s="115"/>
      <c r="AF38" s="115"/>
      <c r="AG38" s="115"/>
      <c r="AH38" s="115"/>
      <c r="AI38" s="115"/>
      <c r="AJ38" s="115"/>
      <c r="AK38" s="115"/>
      <c r="AL38" s="115"/>
      <c r="AM38" s="115"/>
      <c r="AN38" s="115"/>
      <c r="AO38" s="115"/>
      <c r="AP38" s="115"/>
      <c r="AQ38" s="115"/>
      <c r="AR38" s="115"/>
      <c r="AS38" s="115"/>
      <c r="AT38" s="115"/>
      <c r="AU38" s="115"/>
      <c r="AV38" s="115"/>
      <c r="AW38" s="116"/>
    </row>
    <row r="39" spans="2:49" s="117" customFormat="1" x14ac:dyDescent="0.2">
      <c r="B39" s="66"/>
      <c r="C39" s="66"/>
      <c r="D39" s="66"/>
      <c r="E39" s="66"/>
      <c r="F39" s="118"/>
      <c r="G39" s="118"/>
      <c r="H39" s="66"/>
      <c r="I39" s="66"/>
      <c r="J39" s="66"/>
      <c r="K39" s="66"/>
      <c r="L39" s="66"/>
      <c r="M39" s="66"/>
      <c r="N39" s="66"/>
    </row>
  </sheetData>
  <mergeCells count="41">
    <mergeCell ref="C1:N1"/>
    <mergeCell ref="B2:N2"/>
    <mergeCell ref="B3:N4"/>
    <mergeCell ref="AD7:AW7"/>
    <mergeCell ref="B8:B10"/>
    <mergeCell ref="C8:C10"/>
    <mergeCell ref="D8:D10"/>
    <mergeCell ref="E8:J8"/>
    <mergeCell ref="K8:P8"/>
    <mergeCell ref="Q8:U9"/>
    <mergeCell ref="AR8:AR10"/>
    <mergeCell ref="V8:V10"/>
    <mergeCell ref="W8:W10"/>
    <mergeCell ref="X8:X10"/>
    <mergeCell ref="Y8:Y10"/>
    <mergeCell ref="Z8:Z10"/>
    <mergeCell ref="AS8:AS10"/>
    <mergeCell ref="AT8:AT10"/>
    <mergeCell ref="AU8:AU9"/>
    <mergeCell ref="AV8:AV10"/>
    <mergeCell ref="AA8:AA10"/>
    <mergeCell ref="AB8:AB10"/>
    <mergeCell ref="AC8:AC10"/>
    <mergeCell ref="AO8:AO10"/>
    <mergeCell ref="AP8:AP10"/>
    <mergeCell ref="AW8:AW10"/>
    <mergeCell ref="P9:P10"/>
    <mergeCell ref="C5:N6"/>
    <mergeCell ref="B5:B6"/>
    <mergeCell ref="J9:J10"/>
    <mergeCell ref="K9:K10"/>
    <mergeCell ref="L9:L10"/>
    <mergeCell ref="M9:M10"/>
    <mergeCell ref="N9:N10"/>
    <mergeCell ref="O9:O10"/>
    <mergeCell ref="E9:E10"/>
    <mergeCell ref="F9:F10"/>
    <mergeCell ref="G9:G10"/>
    <mergeCell ref="H9:H10"/>
    <mergeCell ref="I9:I10"/>
    <mergeCell ref="AQ8:AQ1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PV</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2025-02-19T12:37:50Z</dcterms:modified>
</cp:coreProperties>
</file>