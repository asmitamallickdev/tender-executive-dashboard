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5-26\07_JULY 2025\CHANDIGARHPOWER-008-HT&amp;LTCABLE-16527\"/>
    </mc:Choice>
  </mc:AlternateContent>
  <xr:revisionPtr revIDLastSave="0" documentId="13_ncr:1_{B057C097-2CCE-4920-89E7-4F015BAFF495}" xr6:coauthVersionLast="47" xr6:coauthVersionMax="47" xr10:uidLastSave="{00000000-0000-0000-0000-000000000000}"/>
  <bookViews>
    <workbookView xWindow="60" yWindow="2730" windowWidth="28740" windowHeight="11880" tabRatio="601" firstSheet="1" activeTab="1" xr2:uid="{00000000-000D-0000-FFFF-FFFF00000000}"/>
  </bookViews>
  <sheets>
    <sheet name="Sheet1" sheetId="1" state="hidden" r:id="rId1"/>
    <sheet name="AUTO CALCULATION SHEET (2)" sheetId="4" r:id="rId2"/>
    <sheet name="PV AUTO CALCULATION SHEET" sheetId="6"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4" i="4" l="1"/>
  <c r="K53" i="4"/>
  <c r="K52" i="4"/>
  <c r="K51" i="4"/>
  <c r="K50" i="4"/>
  <c r="K49" i="4"/>
  <c r="K48" i="4"/>
  <c r="K47" i="4"/>
  <c r="K46" i="4"/>
  <c r="H47" i="4"/>
  <c r="H48" i="4"/>
  <c r="H49" i="4"/>
  <c r="H50" i="4"/>
  <c r="H51" i="4"/>
  <c r="H52" i="4"/>
  <c r="H53" i="4"/>
  <c r="H54" i="4"/>
  <c r="H46" i="4"/>
  <c r="F48" i="4"/>
  <c r="F49" i="4"/>
  <c r="F50" i="4"/>
  <c r="F51" i="4"/>
  <c r="F52" i="4"/>
  <c r="F53" i="4"/>
  <c r="F54" i="4"/>
  <c r="D47" i="4"/>
  <c r="D48" i="4"/>
  <c r="D49" i="4"/>
  <c r="D50" i="4"/>
  <c r="D51" i="4"/>
  <c r="D52" i="4"/>
  <c r="D53" i="4"/>
  <c r="D54" i="4"/>
  <c r="D46" i="4"/>
  <c r="C47" i="4"/>
  <c r="C48" i="4"/>
  <c r="C49" i="4"/>
  <c r="C50" i="4"/>
  <c r="C51" i="4"/>
  <c r="C52" i="4"/>
  <c r="C53" i="4"/>
  <c r="C54" i="4"/>
  <c r="C46" i="4"/>
  <c r="B47" i="4"/>
  <c r="B48" i="4"/>
  <c r="B49" i="4"/>
  <c r="B50" i="4"/>
  <c r="B51" i="4"/>
  <c r="B52" i="4"/>
  <c r="B53" i="4"/>
  <c r="B54" i="4"/>
  <c r="B46" i="4"/>
  <c r="A47" i="4"/>
  <c r="A48" i="4"/>
  <c r="A49" i="4"/>
  <c r="A50" i="4"/>
  <c r="A51" i="4"/>
  <c r="A52" i="4"/>
  <c r="A53" i="4"/>
  <c r="A54" i="4"/>
  <c r="A46" i="4"/>
  <c r="AR20" i="6"/>
  <c r="AR19" i="6"/>
  <c r="AR18" i="6"/>
  <c r="AR17" i="6"/>
  <c r="AR16" i="6"/>
  <c r="AR15" i="6"/>
  <c r="AR14" i="6"/>
  <c r="AR13" i="6"/>
  <c r="AR12" i="6"/>
  <c r="AP20" i="6"/>
  <c r="AP19" i="6"/>
  <c r="AP18" i="6"/>
  <c r="AP17" i="6"/>
  <c r="AP16" i="6"/>
  <c r="AP15" i="6"/>
  <c r="AP14" i="6"/>
  <c r="AP13" i="6"/>
  <c r="AP12" i="6"/>
  <c r="F21" i="4"/>
  <c r="F23" i="4"/>
  <c r="F25" i="4"/>
  <c r="F27" i="4"/>
  <c r="AF36" i="4"/>
  <c r="AF35" i="4"/>
  <c r="AF38" i="4"/>
  <c r="AF37" i="4"/>
  <c r="AF40" i="4"/>
  <c r="AF39" i="4"/>
  <c r="CK21" i="4"/>
  <c r="AI34" i="4"/>
  <c r="AI37" i="4"/>
  <c r="AI38" i="4"/>
  <c r="AI32" i="4"/>
  <c r="AH33" i="4"/>
  <c r="AI33" i="4" s="1"/>
  <c r="AH34" i="4"/>
  <c r="AH35" i="4"/>
  <c r="AI35" i="4" s="1"/>
  <c r="AH36" i="4"/>
  <c r="AI36" i="4" s="1"/>
  <c r="AH37" i="4"/>
  <c r="AH38" i="4"/>
  <c r="AH39" i="4"/>
  <c r="AI39" i="4" s="1"/>
  <c r="AH40" i="4"/>
  <c r="AI40" i="4" s="1"/>
  <c r="AH32" i="4"/>
  <c r="AA33" i="4"/>
  <c r="AA34" i="4"/>
  <c r="AA35" i="4"/>
  <c r="AA36" i="4"/>
  <c r="AA37" i="4"/>
  <c r="AA38" i="4"/>
  <c r="AA39" i="4"/>
  <c r="AA40" i="4"/>
  <c r="AA32" i="4"/>
  <c r="N33" i="4"/>
  <c r="N34" i="4"/>
  <c r="N35" i="4"/>
  <c r="N36" i="4"/>
  <c r="N37" i="4"/>
  <c r="N38" i="4"/>
  <c r="N39" i="4"/>
  <c r="N40" i="4"/>
  <c r="N32" i="4"/>
  <c r="E33" i="4"/>
  <c r="F33" i="4"/>
  <c r="J33" i="4" s="1"/>
  <c r="K33" i="4" s="1"/>
  <c r="L33" i="4" s="1"/>
  <c r="M33" i="4" s="1"/>
  <c r="F20" i="4" s="1"/>
  <c r="F47" i="4" s="1"/>
  <c r="E34" i="4"/>
  <c r="F34" i="4"/>
  <c r="J34" i="4" s="1"/>
  <c r="K34" i="4" s="1"/>
  <c r="L34" i="4" s="1"/>
  <c r="M34" i="4" s="1"/>
  <c r="E35" i="4"/>
  <c r="F35" i="4"/>
  <c r="J35" i="4" s="1"/>
  <c r="K35" i="4" s="1"/>
  <c r="L35" i="4" s="1"/>
  <c r="M35" i="4" s="1"/>
  <c r="F22" i="4" s="1"/>
  <c r="E36" i="4"/>
  <c r="F36" i="4"/>
  <c r="J36" i="4" s="1"/>
  <c r="K36" i="4" s="1"/>
  <c r="L36" i="4" s="1"/>
  <c r="M36" i="4" s="1"/>
  <c r="E37" i="4"/>
  <c r="F37" i="4"/>
  <c r="J37" i="4" s="1"/>
  <c r="K37" i="4" s="1"/>
  <c r="L37" i="4" s="1"/>
  <c r="M37" i="4" s="1"/>
  <c r="F24" i="4" s="1"/>
  <c r="E38" i="4"/>
  <c r="F38" i="4"/>
  <c r="J38" i="4" s="1"/>
  <c r="K38" i="4" s="1"/>
  <c r="L38" i="4" s="1"/>
  <c r="M38" i="4" s="1"/>
  <c r="E39" i="4"/>
  <c r="F39" i="4"/>
  <c r="J39" i="4" s="1"/>
  <c r="K39" i="4" s="1"/>
  <c r="L39" i="4" s="1"/>
  <c r="M39" i="4" s="1"/>
  <c r="F26" i="4" s="1"/>
  <c r="E40" i="4"/>
  <c r="F40" i="4"/>
  <c r="J40" i="4" s="1"/>
  <c r="K40" i="4" s="1"/>
  <c r="L40" i="4" s="1"/>
  <c r="M40" i="4" s="1"/>
  <c r="D33" i="4"/>
  <c r="D34" i="4"/>
  <c r="D35" i="4"/>
  <c r="D36" i="4"/>
  <c r="D37" i="4"/>
  <c r="D38" i="4"/>
  <c r="D39" i="4"/>
  <c r="D40" i="4"/>
  <c r="D32" i="4"/>
  <c r="CK20" i="4"/>
  <c r="CK19" i="4"/>
  <c r="AQ13" i="6" l="1"/>
  <c r="AQ14" i="6"/>
  <c r="AQ15" i="6"/>
  <c r="AQ16" i="6"/>
  <c r="AQ17" i="6"/>
  <c r="AQ18" i="6"/>
  <c r="AQ19" i="6"/>
  <c r="AQ20" i="6"/>
  <c r="AQ12" i="6"/>
  <c r="AO13" i="6"/>
  <c r="AO14" i="6"/>
  <c r="AO15" i="6"/>
  <c r="AO16" i="6"/>
  <c r="AO17" i="6"/>
  <c r="AO18" i="6"/>
  <c r="AO19" i="6"/>
  <c r="AO20" i="6"/>
  <c r="AO12" i="6"/>
  <c r="AN13" i="6"/>
  <c r="AN14" i="6"/>
  <c r="AN15" i="6"/>
  <c r="AN16" i="6"/>
  <c r="AN17" i="6"/>
  <c r="AN18" i="6"/>
  <c r="AN19" i="6"/>
  <c r="AN20" i="6"/>
  <c r="AN12" i="6"/>
  <c r="AM13" i="6"/>
  <c r="AM14" i="6"/>
  <c r="AM15" i="6"/>
  <c r="AM16" i="6"/>
  <c r="AM17" i="6"/>
  <c r="AM18" i="6"/>
  <c r="AM19" i="6"/>
  <c r="AM20" i="6"/>
  <c r="AM12" i="6"/>
  <c r="AL13" i="6"/>
  <c r="AL14" i="6"/>
  <c r="AL15" i="6"/>
  <c r="AL16" i="6"/>
  <c r="AL17" i="6"/>
  <c r="AL18" i="6"/>
  <c r="AL19" i="6"/>
  <c r="AL20" i="6"/>
  <c r="AL12" i="6"/>
  <c r="AK13" i="6"/>
  <c r="AK14" i="6"/>
  <c r="AK15" i="6"/>
  <c r="AK16" i="6"/>
  <c r="AK17" i="6"/>
  <c r="AK18" i="6"/>
  <c r="AK19" i="6"/>
  <c r="AK20" i="6"/>
  <c r="AK12" i="6"/>
  <c r="AJ13" i="6"/>
  <c r="AJ14" i="6"/>
  <c r="AJ15" i="6"/>
  <c r="AJ16" i="6"/>
  <c r="AJ17" i="6"/>
  <c r="AJ18" i="6"/>
  <c r="AJ19" i="6"/>
  <c r="AJ20" i="6"/>
  <c r="AJ12" i="6"/>
  <c r="AI13" i="6"/>
  <c r="AI14" i="6"/>
  <c r="AI15" i="6"/>
  <c r="AI16" i="6"/>
  <c r="AI17" i="6"/>
  <c r="AI18" i="6"/>
  <c r="AI19" i="6"/>
  <c r="AI20" i="6"/>
  <c r="AI12" i="6"/>
  <c r="AH13" i="6"/>
  <c r="AH14" i="6"/>
  <c r="AH15" i="6"/>
  <c r="AH16" i="6"/>
  <c r="AH17" i="6"/>
  <c r="AH18" i="6"/>
  <c r="AH19" i="6"/>
  <c r="AH20" i="6"/>
  <c r="AH12" i="6"/>
  <c r="AG13" i="6"/>
  <c r="AG14" i="6"/>
  <c r="AG15" i="6"/>
  <c r="AG16" i="6"/>
  <c r="AG17" i="6"/>
  <c r="AG18" i="6"/>
  <c r="AG19" i="6"/>
  <c r="AG20" i="6"/>
  <c r="AG12" i="6"/>
  <c r="AF13" i="6"/>
  <c r="AF14" i="6"/>
  <c r="AF15" i="6"/>
  <c r="AF16" i="6"/>
  <c r="AF17" i="6"/>
  <c r="AF18" i="6"/>
  <c r="AF19" i="6"/>
  <c r="AF20" i="6"/>
  <c r="AF12" i="6"/>
  <c r="AO9" i="6"/>
  <c r="AN9" i="6"/>
  <c r="AM9" i="6"/>
  <c r="AL9" i="6"/>
  <c r="AK9" i="6"/>
  <c r="AJ9" i="6"/>
  <c r="AI9" i="6"/>
  <c r="AH9" i="6"/>
  <c r="AG9" i="6"/>
  <c r="AF9" i="6"/>
  <c r="AC20" i="6"/>
  <c r="AC19" i="6"/>
  <c r="AC18" i="6"/>
  <c r="AC17" i="6"/>
  <c r="AC16" i="6"/>
  <c r="AC15" i="6"/>
  <c r="AC14" i="6"/>
  <c r="AC13" i="6"/>
  <c r="AC12" i="6"/>
  <c r="AB20" i="6"/>
  <c r="AB19" i="6"/>
  <c r="AB18" i="6"/>
  <c r="AB17" i="6"/>
  <c r="AB16" i="6"/>
  <c r="AB15" i="6"/>
  <c r="AB14" i="6"/>
  <c r="AB13" i="6"/>
  <c r="AB12" i="6"/>
  <c r="AA20" i="6"/>
  <c r="AA19" i="6"/>
  <c r="AA18" i="6"/>
  <c r="AA17" i="6"/>
  <c r="AA16" i="6"/>
  <c r="AA15" i="6"/>
  <c r="AA14" i="6"/>
  <c r="AA13" i="6"/>
  <c r="AA12" i="6"/>
  <c r="Z20" i="6"/>
  <c r="Z19" i="6"/>
  <c r="Z18" i="6"/>
  <c r="Z17" i="6"/>
  <c r="Z16" i="6"/>
  <c r="Z15" i="6"/>
  <c r="Z14" i="6"/>
  <c r="Z13" i="6"/>
  <c r="Z12" i="6"/>
  <c r="Y20" i="6"/>
  <c r="Y19" i="6"/>
  <c r="Y18" i="6"/>
  <c r="Y17" i="6"/>
  <c r="Y16" i="6"/>
  <c r="Y15" i="6"/>
  <c r="Y14" i="6"/>
  <c r="Y13" i="6"/>
  <c r="Y12" i="6"/>
  <c r="X20" i="6"/>
  <c r="AD20" i="6" s="1"/>
  <c r="X19" i="6"/>
  <c r="AD19" i="6" s="1"/>
  <c r="X18" i="6"/>
  <c r="AD18" i="6" s="1"/>
  <c r="X17" i="6"/>
  <c r="AD17" i="6" s="1"/>
  <c r="X16" i="6"/>
  <c r="AD16" i="6" s="1"/>
  <c r="X15" i="6"/>
  <c r="AD15" i="6" s="1"/>
  <c r="X14" i="6"/>
  <c r="AD14" i="6" s="1"/>
  <c r="X13" i="6"/>
  <c r="AD13" i="6" s="1"/>
  <c r="X12" i="6"/>
  <c r="AD12" i="6" s="1"/>
  <c r="J17" i="6"/>
  <c r="J18" i="6"/>
  <c r="J20" i="6"/>
  <c r="J19" i="6"/>
  <c r="J16" i="6"/>
  <c r="J15" i="6"/>
  <c r="J14" i="6"/>
  <c r="J13" i="6"/>
  <c r="J12" i="6"/>
  <c r="CX20" i="4" l="1"/>
  <c r="CM20" i="4"/>
  <c r="CJ20" i="4"/>
  <c r="CI20" i="4"/>
  <c r="CH20" i="4"/>
  <c r="CG20" i="4"/>
  <c r="CF20" i="4"/>
  <c r="CD20" i="4"/>
  <c r="CC20" i="4"/>
  <c r="CB20" i="4"/>
  <c r="CA20" i="4"/>
  <c r="BZ20" i="4"/>
  <c r="BY20" i="4"/>
  <c r="BW20" i="4"/>
  <c r="BV20" i="4"/>
  <c r="BU20" i="4"/>
  <c r="BS20" i="4"/>
  <c r="BR20" i="4"/>
  <c r="BQ20" i="4"/>
  <c r="BP20" i="4"/>
  <c r="BO20" i="4"/>
  <c r="BN20" i="4"/>
  <c r="BM20" i="4"/>
  <c r="BL20" i="4"/>
  <c r="BK20" i="4"/>
  <c r="BJ20" i="4"/>
  <c r="BI20" i="4"/>
  <c r="BH20" i="4"/>
  <c r="BF20" i="4"/>
  <c r="BE20" i="4"/>
  <c r="BD20" i="4"/>
  <c r="BC20" i="4"/>
  <c r="BB20" i="4"/>
  <c r="BA20" i="4"/>
  <c r="AZ20" i="4"/>
  <c r="AY20" i="4"/>
  <c r="AW20" i="4"/>
  <c r="AV20" i="4"/>
  <c r="AU20" i="4"/>
  <c r="AT20" i="4"/>
  <c r="AS20" i="4"/>
  <c r="AR20" i="4"/>
  <c r="AQ20" i="4"/>
  <c r="AP20" i="4"/>
  <c r="AO20" i="4"/>
  <c r="AN20" i="4"/>
  <c r="AM20" i="4"/>
  <c r="AL20" i="4"/>
  <c r="AK20" i="4"/>
  <c r="AJ20" i="4"/>
  <c r="AI20" i="4"/>
  <c r="AG20" i="4"/>
  <c r="AE20" i="4"/>
  <c r="AD20" i="4"/>
  <c r="AC20" i="4"/>
  <c r="AB20" i="4"/>
  <c r="Z20" i="4"/>
  <c r="Y20" i="4"/>
  <c r="X20" i="4"/>
  <c r="W20" i="4"/>
  <c r="V20" i="4"/>
  <c r="U20" i="4"/>
  <c r="T20" i="4"/>
  <c r="S20" i="4"/>
  <c r="R20" i="4"/>
  <c r="Q20" i="4"/>
  <c r="P20" i="4"/>
  <c r="O20" i="4"/>
  <c r="N20" i="4"/>
  <c r="L20" i="4"/>
  <c r="K20" i="4"/>
  <c r="H20" i="4"/>
  <c r="D20" i="4"/>
  <c r="C20" i="4"/>
  <c r="A20" i="4"/>
  <c r="CX19" i="4"/>
  <c r="CM19" i="4"/>
  <c r="CJ19" i="4"/>
  <c r="CI19" i="4"/>
  <c r="CH19" i="4"/>
  <c r="CG19" i="4"/>
  <c r="CF19" i="4"/>
  <c r="CD19" i="4"/>
  <c r="CC19" i="4"/>
  <c r="CB19" i="4"/>
  <c r="CA19" i="4"/>
  <c r="BZ19" i="4"/>
  <c r="BY19" i="4"/>
  <c r="BW19" i="4"/>
  <c r="BV19" i="4"/>
  <c r="BU19" i="4"/>
  <c r="BS19" i="4"/>
  <c r="BR19" i="4"/>
  <c r="BQ19" i="4"/>
  <c r="BP19" i="4"/>
  <c r="BO19" i="4"/>
  <c r="BN19" i="4"/>
  <c r="BM19" i="4"/>
  <c r="BL19" i="4"/>
  <c r="BK19" i="4"/>
  <c r="BJ19" i="4"/>
  <c r="BI19" i="4"/>
  <c r="BH19" i="4"/>
  <c r="BF19" i="4"/>
  <c r="BE19" i="4"/>
  <c r="BD19" i="4"/>
  <c r="BC19" i="4"/>
  <c r="BB19" i="4"/>
  <c r="BA19" i="4"/>
  <c r="AZ19" i="4"/>
  <c r="AY19" i="4"/>
  <c r="AW19" i="4"/>
  <c r="AV19" i="4"/>
  <c r="AU19" i="4"/>
  <c r="AT19" i="4"/>
  <c r="AS19" i="4"/>
  <c r="AR19" i="4"/>
  <c r="AQ19" i="4"/>
  <c r="AP19" i="4"/>
  <c r="AO19" i="4"/>
  <c r="AN19" i="4"/>
  <c r="AM19" i="4"/>
  <c r="AL19" i="4"/>
  <c r="AK19" i="4"/>
  <c r="AJ19" i="4"/>
  <c r="AI19" i="4"/>
  <c r="AG19" i="4"/>
  <c r="AE19" i="4"/>
  <c r="AD19" i="4"/>
  <c r="AC19" i="4"/>
  <c r="AB19" i="4"/>
  <c r="Z19" i="4"/>
  <c r="Y19" i="4"/>
  <c r="X19" i="4"/>
  <c r="W19" i="4"/>
  <c r="V19" i="4"/>
  <c r="U19" i="4"/>
  <c r="T19" i="4"/>
  <c r="S19" i="4"/>
  <c r="R19" i="4"/>
  <c r="Q19" i="4"/>
  <c r="P19" i="4"/>
  <c r="O19" i="4"/>
  <c r="N19" i="4"/>
  <c r="L19" i="4"/>
  <c r="K19" i="4"/>
  <c r="H19" i="4"/>
  <c r="D19" i="4"/>
  <c r="C19" i="4"/>
  <c r="A19" i="4"/>
  <c r="CX22" i="4"/>
  <c r="CM22" i="4"/>
  <c r="CK22" i="4"/>
  <c r="CJ22" i="4"/>
  <c r="CI22" i="4"/>
  <c r="CH22" i="4"/>
  <c r="CG22" i="4"/>
  <c r="CF22" i="4"/>
  <c r="CD22" i="4"/>
  <c r="CC22" i="4"/>
  <c r="CB22" i="4"/>
  <c r="CA22" i="4"/>
  <c r="BZ22" i="4"/>
  <c r="BY22" i="4"/>
  <c r="BX22" i="4"/>
  <c r="BW22" i="4"/>
  <c r="BV22" i="4"/>
  <c r="BU22" i="4"/>
  <c r="BS22" i="4"/>
  <c r="BR22" i="4"/>
  <c r="BQ22" i="4"/>
  <c r="BP22" i="4"/>
  <c r="BO22" i="4"/>
  <c r="BN22" i="4"/>
  <c r="BM22" i="4"/>
  <c r="BL22" i="4"/>
  <c r="BK22" i="4"/>
  <c r="BJ22" i="4"/>
  <c r="BI22" i="4"/>
  <c r="BH22" i="4"/>
  <c r="BF22" i="4"/>
  <c r="BE22" i="4"/>
  <c r="BD22" i="4"/>
  <c r="BC22" i="4"/>
  <c r="BB22" i="4"/>
  <c r="BA22" i="4"/>
  <c r="AZ22" i="4"/>
  <c r="AY22" i="4"/>
  <c r="AW22" i="4"/>
  <c r="AV22" i="4"/>
  <c r="AU22" i="4"/>
  <c r="AT22" i="4"/>
  <c r="AS22" i="4"/>
  <c r="AR22" i="4"/>
  <c r="AQ22" i="4"/>
  <c r="AP22" i="4"/>
  <c r="AO22" i="4"/>
  <c r="AN22" i="4"/>
  <c r="AM22" i="4"/>
  <c r="AL22" i="4"/>
  <c r="AK22" i="4"/>
  <c r="AJ22" i="4"/>
  <c r="AH22" i="4"/>
  <c r="AG22" i="4"/>
  <c r="AF22" i="4"/>
  <c r="AE22" i="4"/>
  <c r="AD22" i="4"/>
  <c r="AC22" i="4"/>
  <c r="AB22" i="4"/>
  <c r="AA22" i="4"/>
  <c r="Z22" i="4"/>
  <c r="Y22" i="4"/>
  <c r="X22" i="4"/>
  <c r="W22" i="4"/>
  <c r="V22" i="4"/>
  <c r="U22" i="4"/>
  <c r="T22" i="4"/>
  <c r="S22" i="4"/>
  <c r="R22" i="4"/>
  <c r="Q22" i="4"/>
  <c r="P22" i="4"/>
  <c r="O22" i="4"/>
  <c r="N22" i="4"/>
  <c r="L22" i="4"/>
  <c r="K22" i="4"/>
  <c r="H22" i="4"/>
  <c r="D22" i="4"/>
  <c r="C22" i="4"/>
  <c r="A22" i="4"/>
  <c r="CX21" i="4"/>
  <c r="CM21" i="4"/>
  <c r="CJ21" i="4"/>
  <c r="CG21" i="4"/>
  <c r="CF21" i="4"/>
  <c r="CD21" i="4"/>
  <c r="CC21" i="4"/>
  <c r="CB21" i="4"/>
  <c r="CA21" i="4"/>
  <c r="BZ21" i="4"/>
  <c r="BY21" i="4"/>
  <c r="BX21" i="4"/>
  <c r="BW21" i="4"/>
  <c r="BV21" i="4"/>
  <c r="BU21" i="4"/>
  <c r="BS21" i="4"/>
  <c r="BR21" i="4"/>
  <c r="BQ21" i="4"/>
  <c r="BP21" i="4"/>
  <c r="BO21" i="4"/>
  <c r="BN21" i="4"/>
  <c r="BM21" i="4"/>
  <c r="BL21" i="4"/>
  <c r="BK21" i="4"/>
  <c r="BJ21" i="4"/>
  <c r="BI21" i="4"/>
  <c r="BH21" i="4"/>
  <c r="BF21" i="4"/>
  <c r="BE21" i="4"/>
  <c r="BD21" i="4"/>
  <c r="BC21" i="4"/>
  <c r="BB21" i="4"/>
  <c r="BA21" i="4"/>
  <c r="AZ21" i="4"/>
  <c r="AY21" i="4"/>
  <c r="AW21" i="4"/>
  <c r="AV21" i="4"/>
  <c r="AU21" i="4"/>
  <c r="AT21" i="4"/>
  <c r="AS21" i="4"/>
  <c r="AR21" i="4"/>
  <c r="AQ21" i="4"/>
  <c r="AP21" i="4"/>
  <c r="AO21" i="4"/>
  <c r="AN21" i="4"/>
  <c r="AM21" i="4"/>
  <c r="AL21" i="4"/>
  <c r="AK21" i="4"/>
  <c r="AJ21" i="4"/>
  <c r="AH21" i="4"/>
  <c r="AG21" i="4"/>
  <c r="AF21" i="4"/>
  <c r="AE21" i="4"/>
  <c r="AD21" i="4"/>
  <c r="AC21" i="4"/>
  <c r="AB21" i="4"/>
  <c r="AA21" i="4"/>
  <c r="Z21" i="4"/>
  <c r="Y21" i="4"/>
  <c r="X21" i="4"/>
  <c r="W21" i="4"/>
  <c r="V21" i="4"/>
  <c r="U21" i="4"/>
  <c r="T21" i="4"/>
  <c r="S21" i="4"/>
  <c r="R21" i="4"/>
  <c r="Q21" i="4"/>
  <c r="P21" i="4"/>
  <c r="O21" i="4"/>
  <c r="N21" i="4"/>
  <c r="L21" i="4"/>
  <c r="K21" i="4"/>
  <c r="H21" i="4"/>
  <c r="D21" i="4"/>
  <c r="C21" i="4"/>
  <c r="A21" i="4"/>
  <c r="CX23" i="4"/>
  <c r="CM23" i="4"/>
  <c r="CK23" i="4"/>
  <c r="CJ23" i="4"/>
  <c r="CI23" i="4"/>
  <c r="CH23" i="4"/>
  <c r="CG23" i="4"/>
  <c r="CF23" i="4"/>
  <c r="CD23" i="4"/>
  <c r="CC23" i="4"/>
  <c r="CB23" i="4"/>
  <c r="CA23" i="4"/>
  <c r="BZ23" i="4"/>
  <c r="BY23" i="4"/>
  <c r="BX23" i="4"/>
  <c r="BW23" i="4"/>
  <c r="BV23" i="4"/>
  <c r="BU23" i="4"/>
  <c r="BS23" i="4"/>
  <c r="BR23" i="4"/>
  <c r="BQ23" i="4"/>
  <c r="BP23" i="4"/>
  <c r="BO23" i="4"/>
  <c r="BN23" i="4"/>
  <c r="BM23" i="4"/>
  <c r="BL23" i="4"/>
  <c r="BK23" i="4"/>
  <c r="BJ23" i="4"/>
  <c r="BI23" i="4"/>
  <c r="BH23" i="4"/>
  <c r="BF23" i="4"/>
  <c r="BE23" i="4"/>
  <c r="BD23" i="4"/>
  <c r="BC23" i="4"/>
  <c r="BB23" i="4"/>
  <c r="BA23" i="4"/>
  <c r="AZ23" i="4"/>
  <c r="AY23" i="4"/>
  <c r="AW23" i="4"/>
  <c r="AV23" i="4"/>
  <c r="AU23" i="4"/>
  <c r="AT23" i="4"/>
  <c r="AS23" i="4"/>
  <c r="AR23" i="4"/>
  <c r="AQ23" i="4"/>
  <c r="AP23" i="4"/>
  <c r="AO23" i="4"/>
  <c r="AN23" i="4"/>
  <c r="AM23" i="4"/>
  <c r="AL23" i="4"/>
  <c r="AK23" i="4"/>
  <c r="AJ23" i="4"/>
  <c r="AH23" i="4"/>
  <c r="AG23" i="4"/>
  <c r="AF23" i="4"/>
  <c r="AE23" i="4"/>
  <c r="AD23" i="4"/>
  <c r="AC23" i="4"/>
  <c r="AB23" i="4"/>
  <c r="AA23" i="4"/>
  <c r="Z23" i="4"/>
  <c r="Y23" i="4"/>
  <c r="X23" i="4"/>
  <c r="W23" i="4"/>
  <c r="V23" i="4"/>
  <c r="U23" i="4"/>
  <c r="T23" i="4"/>
  <c r="S23" i="4"/>
  <c r="R23" i="4"/>
  <c r="Q23" i="4"/>
  <c r="P23" i="4"/>
  <c r="O23" i="4"/>
  <c r="N23" i="4"/>
  <c r="L23" i="4"/>
  <c r="K23" i="4"/>
  <c r="H23" i="4"/>
  <c r="D23" i="4"/>
  <c r="C23" i="4"/>
  <c r="A23" i="4"/>
  <c r="CX27" i="4"/>
  <c r="CM27" i="4"/>
  <c r="CK27" i="4"/>
  <c r="CJ27" i="4"/>
  <c r="CI27" i="4"/>
  <c r="CH27" i="4"/>
  <c r="CG27" i="4"/>
  <c r="CF27" i="4"/>
  <c r="CD27" i="4"/>
  <c r="CC27" i="4"/>
  <c r="CB27" i="4"/>
  <c r="CA27" i="4"/>
  <c r="BZ27" i="4"/>
  <c r="BY27" i="4"/>
  <c r="BX27" i="4"/>
  <c r="BW27" i="4"/>
  <c r="BV27" i="4"/>
  <c r="BU27" i="4"/>
  <c r="BS27" i="4"/>
  <c r="BR27" i="4"/>
  <c r="BQ27" i="4"/>
  <c r="BP27" i="4"/>
  <c r="BO27" i="4"/>
  <c r="BN27" i="4"/>
  <c r="BM27" i="4"/>
  <c r="BL27" i="4"/>
  <c r="BK27" i="4"/>
  <c r="BJ27" i="4"/>
  <c r="BI27" i="4"/>
  <c r="BH27" i="4"/>
  <c r="BF27" i="4"/>
  <c r="BE27" i="4"/>
  <c r="BD27" i="4"/>
  <c r="BC27" i="4"/>
  <c r="BB27" i="4"/>
  <c r="BA27" i="4"/>
  <c r="AZ27" i="4"/>
  <c r="AY27" i="4"/>
  <c r="AW27" i="4"/>
  <c r="AV27" i="4"/>
  <c r="AU27" i="4"/>
  <c r="AT27" i="4"/>
  <c r="AS27" i="4"/>
  <c r="AR27" i="4"/>
  <c r="AQ27" i="4"/>
  <c r="AP27" i="4"/>
  <c r="AO27" i="4"/>
  <c r="AN27" i="4"/>
  <c r="AM27" i="4"/>
  <c r="AL27" i="4"/>
  <c r="AK27" i="4"/>
  <c r="AJ27" i="4"/>
  <c r="AH27" i="4"/>
  <c r="AG27" i="4"/>
  <c r="AF27" i="4"/>
  <c r="AE27" i="4"/>
  <c r="AD27" i="4"/>
  <c r="AC27" i="4"/>
  <c r="AB27" i="4"/>
  <c r="AA27" i="4"/>
  <c r="Z27" i="4"/>
  <c r="Y27" i="4"/>
  <c r="X27" i="4"/>
  <c r="W27" i="4"/>
  <c r="V27" i="4"/>
  <c r="U27" i="4"/>
  <c r="T27" i="4"/>
  <c r="S27" i="4"/>
  <c r="R27" i="4"/>
  <c r="Q27" i="4"/>
  <c r="P27" i="4"/>
  <c r="O27" i="4"/>
  <c r="N27" i="4"/>
  <c r="L27" i="4"/>
  <c r="K27" i="4"/>
  <c r="H27" i="4"/>
  <c r="D27" i="4"/>
  <c r="C27" i="4"/>
  <c r="A27" i="4"/>
  <c r="CX24" i="4"/>
  <c r="CM24" i="4"/>
  <c r="CK24" i="4"/>
  <c r="CJ24" i="4"/>
  <c r="CI24" i="4"/>
  <c r="CH24" i="4"/>
  <c r="CG24" i="4"/>
  <c r="CF24" i="4"/>
  <c r="CD24" i="4"/>
  <c r="CC24" i="4"/>
  <c r="CB24" i="4"/>
  <c r="CA24" i="4"/>
  <c r="BZ24" i="4"/>
  <c r="BY24" i="4"/>
  <c r="BX24" i="4"/>
  <c r="BW24" i="4"/>
  <c r="BV24" i="4"/>
  <c r="BU24" i="4"/>
  <c r="BS24" i="4"/>
  <c r="BR24" i="4"/>
  <c r="BQ24" i="4"/>
  <c r="BP24" i="4"/>
  <c r="BO24" i="4"/>
  <c r="BN24" i="4"/>
  <c r="BM24" i="4"/>
  <c r="BL24" i="4"/>
  <c r="BK24" i="4"/>
  <c r="BJ24" i="4"/>
  <c r="BI24" i="4"/>
  <c r="BH24" i="4"/>
  <c r="BF24" i="4"/>
  <c r="BE24" i="4"/>
  <c r="BD24" i="4"/>
  <c r="BC24" i="4"/>
  <c r="BB24" i="4"/>
  <c r="BA24" i="4"/>
  <c r="AZ24" i="4"/>
  <c r="AY24" i="4"/>
  <c r="AX24" i="4"/>
  <c r="AW24" i="4"/>
  <c r="AV24" i="4"/>
  <c r="AU24" i="4"/>
  <c r="AT24" i="4"/>
  <c r="AS24" i="4"/>
  <c r="AR24" i="4"/>
  <c r="AQ24" i="4"/>
  <c r="AP24" i="4"/>
  <c r="AO24" i="4"/>
  <c r="AN24" i="4"/>
  <c r="AM24" i="4"/>
  <c r="AL24" i="4"/>
  <c r="AK24" i="4"/>
  <c r="AJ24" i="4"/>
  <c r="AH24" i="4"/>
  <c r="AG24" i="4"/>
  <c r="AF24" i="4"/>
  <c r="AE24" i="4"/>
  <c r="AD24" i="4"/>
  <c r="AC24" i="4"/>
  <c r="AB24" i="4"/>
  <c r="AA24" i="4"/>
  <c r="Z24" i="4"/>
  <c r="Y24" i="4"/>
  <c r="X24" i="4"/>
  <c r="W24" i="4"/>
  <c r="V24" i="4"/>
  <c r="U24" i="4"/>
  <c r="T24" i="4"/>
  <c r="S24" i="4"/>
  <c r="R24" i="4"/>
  <c r="Q24" i="4"/>
  <c r="P24" i="4"/>
  <c r="O24" i="4"/>
  <c r="N24" i="4"/>
  <c r="L24" i="4"/>
  <c r="K24" i="4"/>
  <c r="H24" i="4"/>
  <c r="D24" i="4"/>
  <c r="C24" i="4"/>
  <c r="A24" i="4"/>
  <c r="CX25" i="4"/>
  <c r="CM25" i="4"/>
  <c r="CK25" i="4"/>
  <c r="CJ25" i="4"/>
  <c r="CI25" i="4"/>
  <c r="CH25" i="4"/>
  <c r="CG25" i="4"/>
  <c r="CF25" i="4"/>
  <c r="CD25" i="4"/>
  <c r="CC25" i="4"/>
  <c r="CB25" i="4"/>
  <c r="CA25" i="4"/>
  <c r="BZ25" i="4"/>
  <c r="BY25" i="4"/>
  <c r="BX25" i="4"/>
  <c r="BW25" i="4"/>
  <c r="BV25" i="4"/>
  <c r="BU25" i="4"/>
  <c r="BS25" i="4"/>
  <c r="BR25" i="4"/>
  <c r="BQ25" i="4"/>
  <c r="BP25" i="4"/>
  <c r="BO25" i="4"/>
  <c r="BN25" i="4"/>
  <c r="BM25" i="4"/>
  <c r="BL25" i="4"/>
  <c r="BK25" i="4"/>
  <c r="BJ25" i="4"/>
  <c r="BI25" i="4"/>
  <c r="BH25" i="4"/>
  <c r="BF25" i="4"/>
  <c r="BE25" i="4"/>
  <c r="BD25" i="4"/>
  <c r="BC25" i="4"/>
  <c r="BB25" i="4"/>
  <c r="BA25" i="4"/>
  <c r="AZ25" i="4"/>
  <c r="AY25" i="4"/>
  <c r="AW25" i="4"/>
  <c r="AV25" i="4"/>
  <c r="AU25" i="4"/>
  <c r="AT25" i="4"/>
  <c r="AS25" i="4"/>
  <c r="AR25" i="4"/>
  <c r="AQ25" i="4"/>
  <c r="AP25" i="4"/>
  <c r="AO25" i="4"/>
  <c r="AN25" i="4"/>
  <c r="AM25" i="4"/>
  <c r="AL25" i="4"/>
  <c r="AK25" i="4"/>
  <c r="AJ25" i="4"/>
  <c r="AH25" i="4"/>
  <c r="AG25" i="4"/>
  <c r="AF25" i="4"/>
  <c r="AE25" i="4"/>
  <c r="AD25" i="4"/>
  <c r="AC25" i="4"/>
  <c r="AB25" i="4"/>
  <c r="AA25" i="4"/>
  <c r="Z25" i="4"/>
  <c r="Y25" i="4"/>
  <c r="X25" i="4"/>
  <c r="W25" i="4"/>
  <c r="V25" i="4"/>
  <c r="U25" i="4"/>
  <c r="T25" i="4"/>
  <c r="S25" i="4"/>
  <c r="R25" i="4"/>
  <c r="Q25" i="4"/>
  <c r="P25" i="4"/>
  <c r="O25" i="4"/>
  <c r="N25" i="4"/>
  <c r="L25" i="4"/>
  <c r="K25" i="4"/>
  <c r="H25" i="4"/>
  <c r="D25" i="4"/>
  <c r="C25" i="4"/>
  <c r="A25" i="4"/>
  <c r="S26" i="4"/>
  <c r="S18" i="4"/>
  <c r="R26" i="4"/>
  <c r="R18" i="4"/>
  <c r="AT26" i="4"/>
  <c r="AT18" i="4"/>
  <c r="Q26" i="4"/>
  <c r="Q18" i="4"/>
  <c r="BU26" i="4"/>
  <c r="BU18" i="4"/>
  <c r="AY26" i="4"/>
  <c r="AY18" i="4"/>
  <c r="CJ26" i="4"/>
  <c r="F32" i="4" s="1"/>
  <c r="CI26" i="4"/>
  <c r="CH26" i="4"/>
  <c r="L26" i="4"/>
  <c r="K26" i="4"/>
  <c r="E32" i="4" s="1"/>
  <c r="H26" i="4"/>
  <c r="CX26" i="4"/>
  <c r="J32" i="4" l="1"/>
  <c r="K32" i="4" s="1"/>
  <c r="L32" i="4" s="1"/>
  <c r="M32" i="4" s="1"/>
  <c r="F19" i="4" s="1"/>
  <c r="F46" i="4" s="1"/>
  <c r="CK26" i="4"/>
  <c r="BP26" i="4" l="1"/>
  <c r="BP18" i="4"/>
  <c r="BE26" i="4" l="1"/>
  <c r="BE18" i="4"/>
  <c r="AN26" i="4" l="1"/>
  <c r="AN18" i="4"/>
  <c r="AM26" i="4"/>
  <c r="AM18" i="4"/>
  <c r="AO26" i="4"/>
  <c r="AO18" i="4"/>
  <c r="CG26" i="4" l="1"/>
  <c r="AG26" i="4" l="1"/>
  <c r="CM26" i="4" l="1"/>
  <c r="A26" i="4" l="1"/>
  <c r="W18" i="4" l="1"/>
  <c r="V18" i="4"/>
  <c r="AE26" i="4" l="1"/>
  <c r="AD26" i="4"/>
  <c r="AC26" i="4"/>
  <c r="AB26" i="4"/>
  <c r="AA26" i="4"/>
  <c r="Z26" i="4"/>
  <c r="Y26" i="4"/>
  <c r="X26" i="4"/>
  <c r="W26" i="4"/>
  <c r="V26" i="4"/>
  <c r="CF26" i="4"/>
  <c r="CD26" i="4"/>
  <c r="CC26" i="4"/>
  <c r="CB26" i="4"/>
  <c r="CA26" i="4"/>
  <c r="BZ26" i="4"/>
  <c r="BY26" i="4"/>
  <c r="CD18" i="4"/>
  <c r="CF18" i="4"/>
  <c r="CC18" i="4"/>
  <c r="CB18" i="4"/>
  <c r="CA18" i="4"/>
  <c r="BY18" i="4"/>
  <c r="BZ18" i="4"/>
  <c r="BX26" i="4"/>
  <c r="BW26" i="4"/>
  <c r="BV26" i="4"/>
  <c r="BS26" i="4"/>
  <c r="BR26" i="4"/>
  <c r="BQ26" i="4"/>
  <c r="BO26" i="4"/>
  <c r="BN26" i="4"/>
  <c r="BM26" i="4"/>
  <c r="BL26" i="4"/>
  <c r="BW18" i="4"/>
  <c r="BV18" i="4"/>
  <c r="BS18" i="4"/>
  <c r="BR18" i="4"/>
  <c r="BQ18" i="4"/>
  <c r="BO18" i="4"/>
  <c r="BN18" i="4"/>
  <c r="BM18" i="4"/>
  <c r="BL18" i="4"/>
  <c r="BK26" i="4"/>
  <c r="BJ26" i="4"/>
  <c r="BI26" i="4"/>
  <c r="BH26" i="4"/>
  <c r="BF26" i="4"/>
  <c r="BD26" i="4"/>
  <c r="BC26" i="4"/>
  <c r="BB26" i="4"/>
  <c r="BA26" i="4"/>
  <c r="BK18" i="4"/>
  <c r="BJ18" i="4"/>
  <c r="BI18" i="4"/>
  <c r="BH18" i="4"/>
  <c r="BF18" i="4"/>
  <c r="BD18" i="4"/>
  <c r="BC18" i="4"/>
  <c r="BB18" i="4"/>
  <c r="BA18" i="4"/>
  <c r="AZ18" i="4"/>
  <c r="AZ26" i="4"/>
  <c r="AW26" i="4"/>
  <c r="AV26" i="4"/>
  <c r="AU26" i="4"/>
  <c r="AS26" i="4"/>
  <c r="AR26" i="4"/>
  <c r="AW18" i="4"/>
  <c r="AV18" i="4"/>
  <c r="AU18" i="4"/>
  <c r="AS18" i="4"/>
  <c r="AR18" i="4"/>
  <c r="AQ18" i="4"/>
  <c r="AQ26" i="4"/>
  <c r="AP26" i="4"/>
  <c r="AL26" i="4"/>
  <c r="AK26" i="4"/>
  <c r="AJ26" i="4"/>
  <c r="AH26" i="4"/>
  <c r="AP18" i="4"/>
  <c r="AL18" i="4"/>
  <c r="AK18" i="4"/>
  <c r="AJ18" i="4"/>
  <c r="AG18" i="4"/>
  <c r="AF26" i="4"/>
  <c r="AE18" i="4" l="1"/>
  <c r="AD18" i="4"/>
  <c r="AC18" i="4"/>
  <c r="AB18" i="4"/>
  <c r="Z18" i="4"/>
  <c r="Y18" i="4"/>
  <c r="X18" i="4"/>
  <c r="U18" i="4" l="1"/>
  <c r="T18" i="4"/>
  <c r="P18" i="4"/>
  <c r="O18" i="4"/>
  <c r="N26" i="4"/>
  <c r="U26" i="4"/>
  <c r="T26" i="4"/>
  <c r="P26" i="4"/>
  <c r="O26" i="4"/>
  <c r="D26" i="4"/>
  <c r="C26" i="4"/>
  <c r="CL27" i="4" l="1"/>
  <c r="CL20" i="4"/>
  <c r="CL21" i="4"/>
  <c r="CL23" i="4"/>
  <c r="CL22" i="4"/>
  <c r="CL19" i="4"/>
  <c r="CL25" i="4"/>
  <c r="CL24" i="4"/>
  <c r="CL26" i="4"/>
  <c r="CN21" i="4" l="1"/>
  <c r="CP21" i="4"/>
  <c r="CR21" i="4"/>
  <c r="CN19" i="4"/>
  <c r="CP19" i="4"/>
  <c r="CR19" i="4"/>
  <c r="CP22" i="4"/>
  <c r="CN22" i="4"/>
  <c r="CR22" i="4"/>
  <c r="CN27" i="4"/>
  <c r="CR27" i="4"/>
  <c r="CP27" i="4"/>
  <c r="CN20" i="4"/>
  <c r="CR20" i="4"/>
  <c r="CP20" i="4"/>
  <c r="CN23" i="4"/>
  <c r="CP23" i="4"/>
  <c r="CR23" i="4"/>
  <c r="CN24" i="4"/>
  <c r="CR24" i="4"/>
  <c r="CP24" i="4"/>
  <c r="CP25" i="4"/>
  <c r="CN25" i="4"/>
  <c r="CR25" i="4"/>
  <c r="CN26" i="4"/>
  <c r="CP26" i="4"/>
  <c r="CR26" i="4"/>
  <c r="CS27" i="4" l="1"/>
  <c r="CY27" i="4" s="1"/>
  <c r="CS19" i="4"/>
  <c r="CY19" i="4" s="1"/>
  <c r="CS22" i="4"/>
  <c r="CY22" i="4" s="1"/>
  <c r="CS21" i="4"/>
  <c r="CW21" i="4" s="1"/>
  <c r="CS23" i="4"/>
  <c r="CY23" i="4" s="1"/>
  <c r="CS20" i="4"/>
  <c r="CY20" i="4" s="1"/>
  <c r="CW22" i="4"/>
  <c r="CS24" i="4"/>
  <c r="CY24" i="4" s="1"/>
  <c r="CS25" i="4"/>
  <c r="CY25" i="4" s="1"/>
  <c r="CS26" i="4"/>
  <c r="CU27" i="4" l="1"/>
  <c r="CU19" i="4"/>
  <c r="CW27" i="4"/>
  <c r="E27" i="4" s="1"/>
  <c r="E54" i="4" s="1"/>
  <c r="CU22" i="4"/>
  <c r="E22" i="4" s="1"/>
  <c r="E49" i="4" s="1"/>
  <c r="CY21" i="4"/>
  <c r="CW19" i="4"/>
  <c r="CU21" i="4"/>
  <c r="E21" i="4" s="1"/>
  <c r="CU23" i="4"/>
  <c r="CW23" i="4"/>
  <c r="E19" i="4"/>
  <c r="E46" i="4" s="1"/>
  <c r="CU20" i="4"/>
  <c r="CW20" i="4"/>
  <c r="CW24" i="4"/>
  <c r="CW25" i="4"/>
  <c r="CU24" i="4"/>
  <c r="CU25" i="4"/>
  <c r="CY26" i="4"/>
  <c r="CU26" i="4"/>
  <c r="CW26" i="4"/>
  <c r="G19" i="4" l="1"/>
  <c r="I19" i="4" s="1"/>
  <c r="J19" i="4" s="1"/>
  <c r="M19" i="4" s="1"/>
  <c r="W20" i="6"/>
  <c r="AE20" i="6" s="1"/>
  <c r="AS20" i="6" s="1"/>
  <c r="AT20" i="6" s="1"/>
  <c r="AX20" i="6" s="1"/>
  <c r="G54" i="4"/>
  <c r="W15" i="6"/>
  <c r="AE15" i="6" s="1"/>
  <c r="AS15" i="6" s="1"/>
  <c r="AT15" i="6" s="1"/>
  <c r="AX15" i="6" s="1"/>
  <c r="G49" i="4"/>
  <c r="G21" i="4"/>
  <c r="I21" i="4" s="1"/>
  <c r="J21" i="4" s="1"/>
  <c r="M21" i="4" s="1"/>
  <c r="E48" i="4"/>
  <c r="W12" i="6"/>
  <c r="AE12" i="6" s="1"/>
  <c r="AS12" i="6" s="1"/>
  <c r="AT12" i="6" s="1"/>
  <c r="AX12" i="6" s="1"/>
  <c r="G46" i="4"/>
  <c r="E23" i="4"/>
  <c r="E20" i="4"/>
  <c r="G22" i="4"/>
  <c r="I22" i="4" s="1"/>
  <c r="J22" i="4" s="1"/>
  <c r="M22" i="4" s="1"/>
  <c r="G27" i="4"/>
  <c r="I27" i="4" s="1"/>
  <c r="J27" i="4" s="1"/>
  <c r="M27" i="4" s="1"/>
  <c r="E25" i="4"/>
  <c r="E52" i="4" s="1"/>
  <c r="E24" i="4"/>
  <c r="E51" i="4" s="1"/>
  <c r="E26" i="4"/>
  <c r="I54" i="4" l="1"/>
  <c r="J54" i="4" s="1"/>
  <c r="M54" i="4" s="1"/>
  <c r="G26" i="4"/>
  <c r="E53" i="4"/>
  <c r="W18" i="6"/>
  <c r="AE18" i="6" s="1"/>
  <c r="AS18" i="6" s="1"/>
  <c r="AT18" i="6" s="1"/>
  <c r="AX18" i="6" s="1"/>
  <c r="G52" i="4"/>
  <c r="W17" i="6"/>
  <c r="AE17" i="6" s="1"/>
  <c r="AS17" i="6" s="1"/>
  <c r="AT17" i="6" s="1"/>
  <c r="AX17" i="6" s="1"/>
  <c r="G51" i="4"/>
  <c r="G23" i="4"/>
  <c r="I23" i="4" s="1"/>
  <c r="J23" i="4" s="1"/>
  <c r="M23" i="4" s="1"/>
  <c r="E50" i="4"/>
  <c r="I49" i="4"/>
  <c r="J49" i="4" s="1"/>
  <c r="M49" i="4" s="1"/>
  <c r="W14" i="6"/>
  <c r="AE14" i="6" s="1"/>
  <c r="AS14" i="6" s="1"/>
  <c r="AT14" i="6" s="1"/>
  <c r="AX14" i="6" s="1"/>
  <c r="G48" i="4"/>
  <c r="G20" i="4"/>
  <c r="I20" i="4" s="1"/>
  <c r="J20" i="4" s="1"/>
  <c r="M20" i="4" s="1"/>
  <c r="E47" i="4"/>
  <c r="I46" i="4"/>
  <c r="J46" i="4" s="1"/>
  <c r="M46" i="4" s="1"/>
  <c r="G25" i="4"/>
  <c r="I25" i="4" s="1"/>
  <c r="J25" i="4" s="1"/>
  <c r="M25" i="4" s="1"/>
  <c r="G24" i="4"/>
  <c r="I24" i="4" s="1"/>
  <c r="J24" i="4" s="1"/>
  <c r="M24" i="4" s="1"/>
  <c r="I26" i="4"/>
  <c r="J26" i="4" s="1"/>
  <c r="M26" i="4" s="1"/>
  <c r="M28" i="4" l="1"/>
  <c r="W19" i="6"/>
  <c r="AE19" i="6" s="1"/>
  <c r="AS19" i="6" s="1"/>
  <c r="AT19" i="6" s="1"/>
  <c r="AX19" i="6" s="1"/>
  <c r="G53" i="4"/>
  <c r="I52" i="4"/>
  <c r="J52" i="4" s="1"/>
  <c r="M52" i="4" s="1"/>
  <c r="I51" i="4"/>
  <c r="J51" i="4" s="1"/>
  <c r="M51" i="4" s="1"/>
  <c r="W16" i="6"/>
  <c r="AE16" i="6" s="1"/>
  <c r="AS16" i="6" s="1"/>
  <c r="AT16" i="6" s="1"/>
  <c r="AX16" i="6" s="1"/>
  <c r="G50" i="4"/>
  <c r="I48" i="4"/>
  <c r="J48" i="4" s="1"/>
  <c r="M48" i="4" s="1"/>
  <c r="W13" i="6"/>
  <c r="AE13" i="6" s="1"/>
  <c r="AS13" i="6" s="1"/>
  <c r="AT13" i="6" s="1"/>
  <c r="AX13" i="6" s="1"/>
  <c r="G47" i="4"/>
  <c r="I53" i="4" l="1"/>
  <c r="J53" i="4" s="1"/>
  <c r="M53" i="4" s="1"/>
  <c r="J50" i="4"/>
  <c r="M50" i="4" s="1"/>
  <c r="I50" i="4"/>
  <c r="I47" i="4"/>
  <c r="J47" i="4" s="1"/>
  <c r="M47" i="4" s="1"/>
  <c r="M55" i="4" s="1"/>
  <c r="M5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31"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<sst xmlns="http://schemas.openxmlformats.org/spreadsheetml/2006/main" count="513" uniqueCount="336">
  <si>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</si>
  <si>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</si>
  <si>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</si>
  <si>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</si>
  <si>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</si>
  <si>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</si>
  <si>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</si>
  <si>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</si>
  <si>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</si>
  <si>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</si>
  <si>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</si>
  <si>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</si>
  <si>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</si>
  <si>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</si>
  <si>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</si>
  <si>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</si>
  <si>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</si>
  <si>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</si>
  <si>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</si>
  <si>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</si>
  <si>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</si>
  <si>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</si>
  <si>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</si>
  <si>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</si>
  <si>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</si>
  <si>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</si>
  <si>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</si>
  <si>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</si>
  <si>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</si>
  <si>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</si>
  <si>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</si>
  <si>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</si>
  <si>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</si>
  <si>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</si>
  <si>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</si>
  <si>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</si>
  <si>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</si>
  <si>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</si>
  <si>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</si>
  <si>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</si>
  <si>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</si>
  <si>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</si>
  <si>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</si>
  <si>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</si>
  <si>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</si>
  <si>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</si>
  <si>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</si>
  <si>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</si>
  <si>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</si>
  <si>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</si>
  <si>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</si>
  <si>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</si>
  <si>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</si>
  <si>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</si>
  <si>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</si>
  <si>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</si>
  <si>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</si>
  <si>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</si>
  <si>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</si>
  <si>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</si>
  <si>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</si>
  <si>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</si>
  <si>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</si>
  <si>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</si>
  <si>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</si>
  <si>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</si>
  <si>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</si>
  <si>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</si>
  <si>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</si>
  <si>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</si>
  <si>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</si>
  <si>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</si>
  <si>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</si>
  <si>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</si>
  <si>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</si>
  <si>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</si>
  <si>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</si>
  <si>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</si>
  <si>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</si>
  <si>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</si>
  <si>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</si>
  <si>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</si>
  <si>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</si>
  <si>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</si>
  <si>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</si>
  <si>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</si>
  <si>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</si>
  <si>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</si>
  <si>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</si>
  <si>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</si>
  <si>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</si>
  <si>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</si>
  <si>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</si>
  <si>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</si>
  <si>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</si>
  <si>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</si>
  <si>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</si>
  <si>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</si>
  <si>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</si>
  <si>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</si>
  <si>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</si>
  <si>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</si>
  <si>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</si>
  <si>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</si>
  <si>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</si>
  <si>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</si>
  <si>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</si>
  <si>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</si>
  <si>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</si>
  <si>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</si>
  <si>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</si>
  <si>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</si>
  <si>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</si>
  <si>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</si>
  <si>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</si>
  <si>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</si>
  <si>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</si>
  <si>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</si>
  <si>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</si>
  <si>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</si>
  <si>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</si>
  <si>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</si>
  <si>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</si>
  <si>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</si>
  <si>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</si>
  <si>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</si>
  <si>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</si>
  <si>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</si>
  <si>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</si>
  <si>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</si>
  <si>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</si>
  <si>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</si>
  <si>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</si>
  <si>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</si>
  <si>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</si>
  <si>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</si>
  <si>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</si>
  <si>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PV FORMULA</t>
  </si>
  <si>
    <t xml:space="preserve">P = Po + AIF (Al–Alo) + XLFAL (CC–Cco) + SMIF (SMIF1–SMIF0) + FeF (FeF1–FeF0) + CCFAI (PVCc–PVCco) 
P = Po + AIF (Al–Alo) + XLFAL (CC–Cco) + FeF (FeF1–FeF0) + CCFAI (PVCc–PVCco) </t>
  </si>
  <si>
    <t>VALUE ADDITION CALCULATION</t>
  </si>
  <si>
    <t>Item</t>
  </si>
  <si>
    <t>Calculation part</t>
  </si>
  <si>
    <t>Date of Inspection</t>
  </si>
  <si>
    <t>Applicable Date</t>
  </si>
  <si>
    <t>FACTORS</t>
  </si>
  <si>
    <t>Ex-Work
Po</t>
  </si>
  <si>
    <t>PVC of al</t>
  </si>
  <si>
    <t>PVC of Cu</t>
  </si>
  <si>
    <t>PVC of XLPE</t>
  </si>
  <si>
    <t>PVC OF PVC</t>
  </si>
  <si>
    <t>PVC OF FE</t>
  </si>
  <si>
    <t>PVC OF CU TAPE</t>
  </si>
  <si>
    <t>PV/PKM</t>
  </si>
  <si>
    <t>Billing Price/PKM</t>
  </si>
  <si>
    <t>Date</t>
  </si>
  <si>
    <t>Al</t>
  </si>
  <si>
    <t>Cu</t>
  </si>
  <si>
    <t>Cc</t>
  </si>
  <si>
    <t>PVCc</t>
  </si>
  <si>
    <t>Fe</t>
  </si>
  <si>
    <t>Alo</t>
  </si>
  <si>
    <t>Cuo</t>
  </si>
  <si>
    <t>Cco</t>
  </si>
  <si>
    <t>PVCco</t>
  </si>
  <si>
    <t>Feo</t>
  </si>
  <si>
    <t>RMC</t>
  </si>
  <si>
    <t>Drum</t>
  </si>
  <si>
    <t>RMC+Drum</t>
  </si>
  <si>
    <t>VA</t>
  </si>
  <si>
    <t>Groos VA%</t>
  </si>
  <si>
    <t>Mfg %</t>
  </si>
  <si>
    <t>Int %</t>
  </si>
  <si>
    <t>Ins%</t>
  </si>
  <si>
    <t>Net VA</t>
  </si>
  <si>
    <t>Alf</t>
  </si>
  <si>
    <t>XLFAL</t>
  </si>
  <si>
    <t>CCFAI</t>
  </si>
  <si>
    <t>CCFCu</t>
  </si>
  <si>
    <t>FeF</t>
  </si>
  <si>
    <t>Smif</t>
  </si>
  <si>
    <t>Kg/Km</t>
  </si>
  <si>
    <t>PROVISIONAL</t>
  </si>
  <si>
    <t>3 CORE X 300 SQ. MM. AL/ARM - STRIP (XLPE) - 11 KV</t>
  </si>
  <si>
    <t>3 CORE X 70 SQ. MM. AL/ARM - STRIP (XLPE) - 11 KV</t>
  </si>
  <si>
    <t>4 CORE X 150 SQ. MM. AL/ARD - STRIP (XLPE)</t>
  </si>
  <si>
    <t>4 CORE X 95 SQ. MM. AL/ARD - STRIP (XLPE)</t>
  </si>
  <si>
    <t>4 CORE X 400 SQ. MM. AL/ARD - STRIP (XLPE)</t>
  </si>
  <si>
    <t>4 CORE X 50 SQ. MM. ALU/ARD - STRIP (XLPE)</t>
  </si>
  <si>
    <t>4 CORE X 35 SQ. MM. AL/ARD - STRIP (XLPE)</t>
  </si>
  <si>
    <t>4 CORE X 16 SQ. MM. ALU/ARD - STRIP (XLPE)</t>
  </si>
  <si>
    <t>2 CORE X 10 SQ. MM. ALU/ARD - WIRE (XLPE)</t>
  </si>
  <si>
    <t>TENDER SPECIFICATION NO ()</t>
  </si>
  <si>
    <t>TENDER DESCRIPTION  ()</t>
  </si>
  <si>
    <t>Last Date &amp; Time of Submission ()</t>
  </si>
  <si>
    <t>REVERSE AUCTION</t>
  </si>
  <si>
    <t>Price ()</t>
  </si>
  <si>
    <t>Validity  ()</t>
  </si>
  <si>
    <t>Delivery Period  ()</t>
  </si>
  <si>
    <t>Payment Terms ()</t>
  </si>
  <si>
    <t>Standard length ()</t>
  </si>
  <si>
    <t>Packing  ()</t>
  </si>
  <si>
    <t>Technical Specification</t>
  </si>
  <si>
    <t>Chandigarh Power Distribution Limited</t>
  </si>
  <si>
    <t>CPDL/FY25-26/HT &amp; LT Cable/008 Dated 08th July 2025</t>
  </si>
  <si>
    <t>02 Years Rate Contract for the Supply of HT and LT Cables in Chandigarh, CPDL.</t>
  </si>
  <si>
    <t>29.07.2025(Up to 17:00 Hrs)</t>
  </si>
  <si>
    <t>Purchaser reserves the right to use Reverse Auction as an optional tool as an integral part of the entire tendering process. All techno-commercially qualified bidders shall participate in this event.</t>
  </si>
  <si>
    <t>Prices quoted by the Bidder shall be variable as per PV clause mentioned in bid document.
The price shall be variable and price variation clause shall be as per latest IEEMA price variation formula.
All #0# denoted input prices in the formula (Al0, Cu0, Fe0, CC0, PVC0 etc.) shall be as per IEEMA Circulars of June-25 (Published in July 2025).</t>
  </si>
  <si>
    <t>Bids shall remain valid for 120 days from the due date of submission of the Bid &amp; subsequent corrigendum / amendment / extension of due date of submission.</t>
  </si>
  <si>
    <t>For LT Cable:
Bidders shall supply material within 6 to 8 Weeks from the date of issuance of LOI / Release Order/manufacturing Clearance against Rate Contract. However, firm delivery dates will be mentioned in the LOI / Order.
For HT Cable:
Bidders shall supply material within 8 to 10 Weeks from the date of issuance of LOI / Release Order/manufacturing Clearance against Rate Contract. However, firm delivery dates will be mentioned in the LOI / Order.</t>
  </si>
  <si>
    <t>(i) 20% of contract value will be paid as interest free advance against Corporate Guarantee / Advance Bank Guarantee of an Equivalent amount from nationalized / scheduled bank(s) as may be acceptable to the Company, initially valid for a period of nine months from the date of submission.
(ii) 70% Payment shall be released on pro-rata basic within 90 days from the receipt of material at CPDL site with complete set of documents as mentioned in order. Supplier should submit the invoices along with all required documents at CPDL Office within 3 days. Any delay in submission of any of these documents will be to your account. It may please be noted that for payment purposes the date of receipt of documents will be considered on the basis of the date of receipt of last document, in case partial documents were received earlier.
(iii) The remaining 10% shall be released after submission of Performance Bank Guarantee (PBG).</t>
  </si>
  <si>
    <t>11kV 3C X 300 Sq mm = mtr
11kV 3C X 70 Sq mm = 500 mtr+2% (mild steel drum=2489x1270x1295)
1.1 kV 4C X 150 Sq mm = 500 mtr (good Quality wood)
1.1 kV 4C X 95 Sq mm = 500 mtr+/-2% (good Quality wood)
1.1 kV 4C X 400 Sq mm = 500 mtr (non-returnable wooden drum)
1.1 kV 2C X 10sqmm = 1000 mtr+/-5% (good Quality wood)
1.1 kV 4C X 16sqmm = 500 mtr+/-2% (good Quality wood)
1.1 kV 4C X 35sqmm = 500 mtr+/-2% (good Quality wood)
1.1 kV 4C X 50sqmm = 500 mtr+/-2% (good Quality wood)</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</si>
  <si>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</si>
  <si>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</si>
  <si>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</si>
  <si>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</si>
  <si>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</si>
  <si>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</si>
  <si>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</si>
  <si>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</si>
  <si>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</si>
  <si>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</si>
  <si>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</si>
  <si>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</si>
  <si>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</si>
  <si>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</si>
  <si>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</si>
  <si>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</si>
  <si>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</si>
  <si>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</si>
  <si>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</si>
  <si>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</si>
  <si>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</si>
  <si>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</si>
  <si>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</si>
  <si>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</si>
  <si>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</si>
  <si>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</si>
  <si>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</si>
  <si>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</si>
  <si>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</si>
  <si>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</si>
  <si>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</si>
  <si>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</si>
  <si>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</si>
  <si>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</si>
  <si>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</si>
  <si>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</si>
  <si>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</si>
  <si>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</si>
  <si>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</si>
  <si>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</si>
  <si>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</si>
  <si>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</si>
  <si>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</si>
  <si>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</si>
  <si>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</si>
  <si>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</si>
  <si>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</si>
  <si>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</si>
  <si>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</si>
  <si>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</si>
  <si>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</si>
  <si>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</si>
  <si>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</si>
  <si>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</si>
  <si>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</si>
  <si>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</si>
  <si>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</si>
  <si>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</si>
  <si>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</si>
  <si>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</si>
  <si>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</si>
  <si>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</si>
  <si>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</si>
  <si>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</si>
  <si>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</si>
  <si>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</si>
  <si>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</si>
  <si>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</si>
  <si>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</si>
  <si>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</si>
  <si>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</si>
  <si>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</si>
  <si>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</si>
  <si>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</si>
  <si>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</si>
  <si>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</si>
  <si>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</si>
  <si>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</si>
  <si>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</si>
  <si>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</si>
  <si>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</si>
  <si>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</si>
  <si>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Standard Length(MTR)</t>
  </si>
  <si>
    <t>ENQ-16527-25-26</t>
  </si>
  <si>
    <t>FA0900013</t>
  </si>
  <si>
    <t>WOOD</t>
  </si>
  <si>
    <t>KMS</t>
  </si>
  <si>
    <t>MD0100066</t>
  </si>
  <si>
    <t>DRUM - 40 X 15 X 23 X 2</t>
  </si>
  <si>
    <t>FA0900018</t>
  </si>
  <si>
    <t>MD0100015</t>
  </si>
  <si>
    <t>DRUM - 48 X 20 X 28 X 2.25 - RDSO</t>
  </si>
  <si>
    <t>FA0900036</t>
  </si>
  <si>
    <t>FA0900042</t>
  </si>
  <si>
    <t>MD0100075</t>
  </si>
  <si>
    <t>DRUM - 42 X 15 X 23 X 2</t>
  </si>
  <si>
    <t>FA1100012</t>
  </si>
  <si>
    <t>MD0100061</t>
  </si>
  <si>
    <t>DRUM - 56 X 24 X 32 X 3</t>
  </si>
  <si>
    <t>FA1100036</t>
  </si>
  <si>
    <t>STEEL</t>
  </si>
  <si>
    <t>FA1100067</t>
  </si>
  <si>
    <t>MD0100070</t>
  </si>
  <si>
    <t>DRUM - 68 X 24 X 32 X 3</t>
  </si>
  <si>
    <t>FA1300004</t>
  </si>
  <si>
    <t>Extruded Semiconductive</t>
  </si>
  <si>
    <t>SP0400141</t>
  </si>
  <si>
    <t>CORRUGATED DISPATCH STEEL DRUM 2080 X 1000 X 1400 MM</t>
  </si>
  <si>
    <t>FA1300006</t>
  </si>
  <si>
    <t>SP0400118</t>
  </si>
  <si>
    <t>CORRUGATED DISPATCH STEEL DRUM 1700 X 1000 X 1200</t>
  </si>
  <si>
    <t>CABLE WEIGHT KG/KM</t>
  </si>
  <si>
    <t>DRUM WEIGHT</t>
  </si>
  <si>
    <t>CABLE+DRUM WEIGHT</t>
  </si>
  <si>
    <t>TRUCK/TRAILOR</t>
  </si>
  <si>
    <t>25 MT TRAILOR</t>
  </si>
  <si>
    <t>16 MT</t>
  </si>
  <si>
    <t>SP0400107</t>
  </si>
  <si>
    <t>CORRUGATED DISPATCH STEEL DRUM 2150 X 1080 X 1240 MM</t>
  </si>
  <si>
    <t>EX-WORKS (PER MTR)</t>
  </si>
  <si>
    <t>FREIGHT PER MTR</t>
  </si>
  <si>
    <t>PRICE INCLUDING FREIGHT (PER MTR)</t>
  </si>
  <si>
    <t>PRICE INCLUDING GST &amp; FREIGHT (PER MTR)</t>
  </si>
  <si>
    <t>MTR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</si>
</sst>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0.0000"/>
    <numFmt numFmtId="171" formatCode="&quot;Rs.&quot;#,##0"/>
    <numFmt numFmtId="172" formatCode="0.0"/>
    <numFmt numFmtId="173" formatCode="0.000"/>
    <numFmt numFmtId="174" formatCode="0.00000"/>
  </numFmts>
  <fonts count="5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1"/>
      <color rgb="FFFF9900"/>
      <name val="Calibri"/>
      <family val="2"/>
      <scheme val="minor"/>
    </font>
    <font>
      <sz val="11"/>
      <color rgb="FF009900"/>
      <name val="Calibri"/>
      <family val="2"/>
      <scheme val="minor"/>
    </font>
    <font>
      <sz val="11"/>
      <color theme="1" tint="0.499984740745262"/>
      <name val="Calibri"/>
      <family val="2"/>
      <scheme val="minor"/>
    </font>
    <font>
      <sz val="11"/>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sz val="11"/>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b/>
      <sz val="10"/>
      <name val="Verdana"/>
      <family val="2"/>
    </font>
    <font>
      <b/>
      <sz val="10"/>
      <name val="Calibri"/>
      <family val="2"/>
      <scheme val="minor"/>
    </font>
    <font>
      <sz val="10"/>
      <name val="Arial"/>
      <family val="2"/>
    </font>
    <font>
      <sz val="10"/>
      <name val="Calibri"/>
      <family val="2"/>
      <scheme val="minor"/>
    </font>
    <font>
      <b/>
      <sz val="12"/>
      <color theme="1"/>
      <name val="Times New Roman"/>
      <family val="1"/>
    </font>
    <font>
      <sz val="11"/>
      <color theme="1"/>
      <name val="Times New Roman"/>
      <family val="1"/>
    </font>
    <font>
      <sz val="12"/>
      <color theme="1"/>
      <name val="Times New Roman"/>
      <family val="1"/>
    </font>
    <font>
      <b/>
      <sz val="10"/>
      <name val="Arial"/>
      <family val="2"/>
    </font>
    <font>
      <sz val="10"/>
      <color rgb="FFFF0000"/>
      <name val="Calibri"/>
      <family val="2"/>
      <scheme val="minor"/>
    </font>
    <font>
      <sz val="14"/>
      <color theme="1"/>
      <name val="Arial Black"/>
      <family val="2"/>
    </font>
    <font>
      <sz val="11"/>
      <name val="Calibri"/>
      <family val="2"/>
      <scheme val="minor"/>
    </font>
    <font>
      <b/>
      <sz val="11"/>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0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36" fillId="0" borderId="0"/>
    <xf numFmtId="43" fontId="1" fillId="0" borderId="0" applyFont="0" applyFill="0" applyBorder="0" applyAlignment="0" applyProtection="0"/>
    <xf numFmtId="0" fontId="36" fillId="0" borderId="0"/>
    <xf numFmtId="0" fontId="41" fillId="0" borderId="0"/>
  </cellStyleXfs>
  <cellXfs count="235">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0" fillId="0" borderId="4" xfId="0" applyFont="1" applyBorder="1" applyAlignment="1">
      <alignment horizontal="center" vertical="center" wrapText="1"/>
    </xf>
    <xf numFmtId="0" fontId="19"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164" fontId="0" fillId="0" borderId="0" xfId="1" applyFont="1" applyAlignment="1">
      <alignment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35" fillId="5" borderId="1" xfId="0" applyFont="1" applyFill="1" applyBorder="1" applyAlignment="1">
      <alignment horizontal="center" vertical="center" wrapText="1"/>
    </xf>
    <xf numFmtId="3" fontId="35"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26"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2" fontId="0" fillId="0" borderId="1" xfId="0" applyNumberFormat="1" applyBorder="1" applyAlignment="1">
      <alignment vertical="center" wrapText="1"/>
    </xf>
    <xf numFmtId="0" fontId="36" fillId="0" borderId="1" xfId="6" applyBorder="1" applyAlignment="1">
      <alignment horizontal="center" vertical="center"/>
    </xf>
    <xf numFmtId="0" fontId="40" fillId="0" borderId="0" xfId="6" applyFont="1" applyAlignment="1">
      <alignment horizontal="center" vertical="center"/>
    </xf>
    <xf numFmtId="0" fontId="42" fillId="0" borderId="0" xfId="7" applyFont="1" applyAlignment="1">
      <alignment horizontal="center" vertical="center"/>
    </xf>
    <xf numFmtId="0" fontId="36" fillId="0" borderId="0" xfId="6" applyAlignment="1">
      <alignment horizontal="center" vertical="center"/>
    </xf>
    <xf numFmtId="0" fontId="43" fillId="0" borderId="6" xfId="0" applyFont="1" applyBorder="1" applyAlignment="1">
      <alignment vertical="center"/>
    </xf>
    <xf numFmtId="0" fontId="43" fillId="0" borderId="0" xfId="0" applyFont="1" applyAlignment="1">
      <alignment vertical="center"/>
    </xf>
    <xf numFmtId="0" fontId="43" fillId="0" borderId="0" xfId="0" applyFont="1" applyAlignment="1">
      <alignment horizontal="center" vertical="center"/>
    </xf>
    <xf numFmtId="0" fontId="40" fillId="0" borderId="0" xfId="6" applyFont="1"/>
    <xf numFmtId="0" fontId="42" fillId="0" borderId="0" xfId="7" applyFont="1"/>
    <xf numFmtId="0" fontId="36" fillId="0" borderId="0" xfId="6"/>
    <xf numFmtId="0" fontId="44" fillId="0" borderId="6" xfId="0" applyFont="1" applyBorder="1" applyAlignment="1">
      <alignment horizontal="justify" vertical="center"/>
    </xf>
    <xf numFmtId="0" fontId="45" fillId="0" borderId="0" xfId="0" applyFont="1" applyAlignment="1">
      <alignment vertical="center"/>
    </xf>
    <xf numFmtId="0" fontId="40" fillId="0" borderId="0" xfId="6" applyFont="1" applyAlignment="1">
      <alignment vertical="center"/>
    </xf>
    <xf numFmtId="0" fontId="36" fillId="0" borderId="0" xfId="6" applyAlignment="1">
      <alignment horizontal="center"/>
    </xf>
    <xf numFmtId="170" fontId="40" fillId="0" borderId="0" xfId="6" applyNumberFormat="1" applyFont="1" applyAlignment="1">
      <alignment vertical="center"/>
    </xf>
    <xf numFmtId="0" fontId="42" fillId="0" borderId="0" xfId="6" applyFont="1" applyAlignment="1">
      <alignment horizontal="center"/>
    </xf>
    <xf numFmtId="14" fontId="42" fillId="0" borderId="0" xfId="6" applyNumberFormat="1" applyFont="1" applyAlignment="1">
      <alignment horizontal="center"/>
    </xf>
    <xf numFmtId="0" fontId="40" fillId="0" borderId="16" xfId="7" applyFont="1" applyBorder="1" applyAlignment="1">
      <alignment horizontal="center" vertical="center" wrapText="1"/>
    </xf>
    <xf numFmtId="0" fontId="40" fillId="0" borderId="1" xfId="7" applyFont="1" applyBorder="1" applyAlignment="1">
      <alignment horizontal="center" vertical="center" wrapText="1"/>
    </xf>
    <xf numFmtId="0" fontId="40" fillId="0" borderId="14"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center" vertical="center" wrapText="1"/>
    </xf>
    <xf numFmtId="171" fontId="46" fillId="0" borderId="4" xfId="7" applyNumberFormat="1" applyFont="1" applyBorder="1" applyAlignment="1">
      <alignment horizontal="center" vertical="center" wrapText="1"/>
    </xf>
    <xf numFmtId="0" fontId="36" fillId="0" borderId="10" xfId="6" applyBorder="1"/>
    <xf numFmtId="0" fontId="42" fillId="0" borderId="16" xfId="7" applyFont="1" applyBorder="1" applyAlignment="1">
      <alignment horizontal="left" vertical="center" wrapText="1"/>
    </xf>
    <xf numFmtId="14" fontId="42" fillId="0" borderId="1" xfId="7" applyNumberFormat="1" applyFont="1" applyBorder="1" applyAlignment="1">
      <alignment horizontal="center" vertical="center" wrapText="1"/>
    </xf>
    <xf numFmtId="14" fontId="42" fillId="0" borderId="14" xfId="7" applyNumberFormat="1" applyFont="1" applyBorder="1" applyAlignment="1">
      <alignment horizontal="center" vertical="center" wrapText="1"/>
    </xf>
    <xf numFmtId="14" fontId="42" fillId="0" borderId="16" xfId="7" applyNumberFormat="1" applyFont="1" applyBorder="1" applyAlignment="1">
      <alignment horizontal="center" vertical="center" wrapText="1"/>
    </xf>
    <xf numFmtId="14" fontId="42" fillId="0" borderId="2" xfId="7" applyNumberFormat="1" applyFont="1" applyBorder="1" applyAlignment="1">
      <alignment horizontal="center" vertical="center" wrapText="1"/>
    </xf>
    <xf numFmtId="2" fontId="40" fillId="0" borderId="16" xfId="7" applyNumberFormat="1" applyFont="1" applyBorder="1" applyAlignment="1">
      <alignment horizontal="center" vertical="center" wrapText="1"/>
    </xf>
    <xf numFmtId="2" fontId="40" fillId="0" borderId="1" xfId="7" applyNumberFormat="1" applyFont="1" applyBorder="1" applyAlignment="1">
      <alignment horizontal="center" vertical="center" wrapText="1"/>
    </xf>
    <xf numFmtId="2" fontId="40" fillId="0" borderId="14" xfId="7" applyNumberFormat="1" applyFont="1" applyBorder="1" applyAlignment="1">
      <alignment horizontal="center" vertical="center" wrapText="1"/>
    </xf>
    <xf numFmtId="2" fontId="40" fillId="0" borderId="19" xfId="7" applyNumberFormat="1" applyFont="1" applyBorder="1" applyAlignment="1">
      <alignment horizontal="center" vertical="center" wrapText="1"/>
    </xf>
    <xf numFmtId="0" fontId="42" fillId="0" borderId="19" xfId="7" applyFont="1" applyBorder="1" applyAlignment="1">
      <alignment horizontal="center" vertical="center" wrapText="1"/>
    </xf>
    <xf numFmtId="0" fontId="36" fillId="0" borderId="19" xfId="6" applyBorder="1" applyAlignment="1">
      <alignment wrapText="1"/>
    </xf>
    <xf numFmtId="0" fontId="36" fillId="0" borderId="19" xfId="6" applyBorder="1"/>
    <xf numFmtId="14" fontId="47" fillId="0" borderId="26" xfId="7" applyNumberFormat="1" applyFont="1" applyBorder="1" applyAlignment="1">
      <alignment horizontal="center" vertical="center" wrapText="1"/>
    </xf>
    <xf numFmtId="14" fontId="47" fillId="9" borderId="16" xfId="7" applyNumberFormat="1" applyFont="1" applyFill="1" applyBorder="1" applyAlignment="1">
      <alignment horizontal="center" vertical="center" wrapText="1"/>
    </xf>
    <xf numFmtId="2" fontId="47" fillId="0" borderId="4" xfId="7" applyNumberFormat="1" applyFont="1" applyBorder="1" applyAlignment="1">
      <alignment horizontal="center" vertical="center" wrapText="1"/>
    </xf>
    <xf numFmtId="2" fontId="47" fillId="0" borderId="1" xfId="7" applyNumberFormat="1" applyFont="1" applyBorder="1" applyAlignment="1">
      <alignment horizontal="center" vertical="center" wrapText="1"/>
    </xf>
    <xf numFmtId="172" fontId="42" fillId="0" borderId="1" xfId="7" applyNumberFormat="1" applyFont="1" applyBorder="1" applyAlignment="1">
      <alignment horizontal="center" vertical="center" wrapText="1"/>
    </xf>
    <xf numFmtId="172" fontId="42" fillId="0" borderId="2" xfId="7" applyNumberFormat="1" applyFont="1" applyBorder="1" applyAlignment="1">
      <alignment horizontal="center" vertical="center" wrapText="1"/>
    </xf>
    <xf numFmtId="14" fontId="40" fillId="9" borderId="16" xfId="7" applyNumberFormat="1" applyFont="1" applyFill="1" applyBorder="1" applyAlignment="1">
      <alignment horizontal="center" vertical="center" wrapText="1"/>
    </xf>
    <xf numFmtId="173" fontId="42" fillId="0" borderId="16" xfId="7" applyNumberFormat="1" applyFont="1" applyBorder="1" applyAlignment="1">
      <alignment horizontal="center" vertical="center" wrapText="1"/>
    </xf>
    <xf numFmtId="173" fontId="42" fillId="0" borderId="1" xfId="7" applyNumberFormat="1" applyFont="1" applyBorder="1" applyAlignment="1">
      <alignment horizontal="center" vertical="center" wrapText="1"/>
    </xf>
    <xf numFmtId="170" fontId="42" fillId="0" borderId="14" xfId="7" applyNumberFormat="1" applyFont="1" applyBorder="1" applyAlignment="1">
      <alignment horizontal="center" vertical="center" wrapText="1"/>
    </xf>
    <xf numFmtId="2" fontId="42" fillId="0" borderId="19" xfId="7" applyNumberFormat="1" applyFont="1" applyBorder="1" applyAlignment="1">
      <alignment horizontal="center" vertical="center" wrapText="1"/>
    </xf>
    <xf numFmtId="170" fontId="42" fillId="0" borderId="16" xfId="7" applyNumberFormat="1" applyFont="1" applyBorder="1" applyAlignment="1">
      <alignment vertical="center" wrapText="1"/>
    </xf>
    <xf numFmtId="170" fontId="42" fillId="0" borderId="1" xfId="7" applyNumberFormat="1" applyFont="1" applyBorder="1" applyAlignment="1">
      <alignment vertical="center" wrapText="1"/>
    </xf>
    <xf numFmtId="173" fontId="42" fillId="0" borderId="14" xfId="7" applyNumberFormat="1" applyFont="1" applyBorder="1" applyAlignment="1">
      <alignment horizontal="center" vertical="center" wrapText="1"/>
    </xf>
    <xf numFmtId="2" fontId="42" fillId="10" borderId="19" xfId="7" applyNumberFormat="1" applyFont="1" applyFill="1" applyBorder="1" applyAlignment="1">
      <alignment horizontal="center" vertical="center" wrapText="1"/>
    </xf>
    <xf numFmtId="173" fontId="41" fillId="0" borderId="4" xfId="7" applyNumberFormat="1" applyBorder="1" applyAlignment="1">
      <alignment vertical="center"/>
    </xf>
    <xf numFmtId="173" fontId="41" fillId="0" borderId="1" xfId="7" applyNumberFormat="1" applyBorder="1" applyAlignment="1">
      <alignment vertical="center"/>
    </xf>
    <xf numFmtId="2" fontId="46" fillId="0" borderId="1" xfId="7" applyNumberFormat="1" applyFont="1" applyBorder="1" applyAlignment="1">
      <alignment vertical="center"/>
    </xf>
    <xf numFmtId="2" fontId="41" fillId="0" borderId="1" xfId="7" applyNumberFormat="1" applyBorder="1" applyAlignment="1">
      <alignment vertical="center"/>
    </xf>
    <xf numFmtId="2" fontId="46" fillId="0" borderId="14" xfId="7" applyNumberFormat="1" applyFont="1" applyBorder="1" applyAlignment="1">
      <alignment vertical="center"/>
    </xf>
    <xf numFmtId="0" fontId="36" fillId="0" borderId="27" xfId="6" applyBorder="1" applyAlignment="1">
      <alignment wrapText="1"/>
    </xf>
    <xf numFmtId="14" fontId="42" fillId="0" borderId="28" xfId="7" applyNumberFormat="1" applyFont="1" applyBorder="1" applyAlignment="1">
      <alignment horizontal="center" vertical="center" wrapText="1"/>
    </xf>
    <xf numFmtId="14" fontId="42" fillId="0" borderId="29" xfId="7" applyNumberFormat="1" applyFont="1" applyBorder="1" applyAlignment="1">
      <alignment horizontal="center" vertical="center" wrapText="1"/>
    </xf>
    <xf numFmtId="2" fontId="42" fillId="0" borderId="30" xfId="7" applyNumberFormat="1" applyFont="1" applyBorder="1" applyAlignment="1">
      <alignment horizontal="center" vertical="center" wrapText="1"/>
    </xf>
    <xf numFmtId="2" fontId="42" fillId="0" borderId="31" xfId="7" applyNumberFormat="1" applyFont="1" applyBorder="1" applyAlignment="1">
      <alignment horizontal="center" vertical="center" wrapText="1"/>
    </xf>
    <xf numFmtId="2" fontId="42" fillId="0" borderId="29" xfId="7" applyNumberFormat="1" applyFont="1" applyBorder="1" applyAlignment="1">
      <alignment horizontal="center" vertical="center" wrapText="1"/>
    </xf>
    <xf numFmtId="172" fontId="42" fillId="0" borderId="30" xfId="7" applyNumberFormat="1" applyFont="1" applyBorder="1" applyAlignment="1">
      <alignment horizontal="center" vertical="center" wrapText="1"/>
    </xf>
    <xf numFmtId="172" fontId="42" fillId="0" borderId="32" xfId="7" applyNumberFormat="1" applyFont="1" applyBorder="1" applyAlignment="1">
      <alignment horizontal="center" vertical="center" wrapText="1"/>
    </xf>
    <xf numFmtId="2" fontId="42" fillId="0" borderId="33" xfId="7" applyNumberFormat="1" applyFont="1" applyBorder="1" applyAlignment="1">
      <alignment horizontal="center" vertical="center" wrapText="1"/>
    </xf>
    <xf numFmtId="174" fontId="42" fillId="0" borderId="29" xfId="7" applyNumberFormat="1" applyFont="1" applyBorder="1" applyAlignment="1">
      <alignment vertical="center" wrapText="1"/>
    </xf>
    <xf numFmtId="174" fontId="42" fillId="0" borderId="30" xfId="7" applyNumberFormat="1" applyFont="1" applyBorder="1" applyAlignment="1">
      <alignment vertical="center" wrapText="1"/>
    </xf>
    <xf numFmtId="174" fontId="42" fillId="0" borderId="31" xfId="7" applyNumberFormat="1" applyFont="1" applyBorder="1" applyAlignment="1">
      <alignment vertical="center" wrapText="1"/>
    </xf>
    <xf numFmtId="170" fontId="42" fillId="0" borderId="33" xfId="7" applyNumberFormat="1" applyFont="1" applyBorder="1" applyAlignment="1">
      <alignment horizontal="center" vertical="center" wrapText="1"/>
    </xf>
    <xf numFmtId="0" fontId="36" fillId="0" borderId="34" xfId="6" applyBorder="1"/>
    <xf numFmtId="0" fontId="36" fillId="0" borderId="35" xfId="6" applyBorder="1"/>
    <xf numFmtId="0" fontId="36" fillId="0" borderId="0" xfId="6" applyAlignment="1">
      <alignment wrapText="1"/>
    </xf>
    <xf numFmtId="0" fontId="39" fillId="0" borderId="0" xfId="6" applyFont="1"/>
    <xf numFmtId="14" fontId="36" fillId="0" borderId="0" xfId="6" applyNumberFormat="1"/>
    <xf numFmtId="0" fontId="0" fillId="0" borderId="0" xfId="0" applyAlignment="1">
      <alignment vertical="center"/>
    </xf>
    <xf numFmtId="0" fontId="2" fillId="8" borderId="7" xfId="0" applyFont="1" applyFill="1" applyBorder="1" applyAlignment="1">
      <alignment vertical="top" wrapText="1"/>
    </xf>
    <xf numFmtId="0" fontId="2" fillId="8" borderId="16" xfId="0" applyFont="1" applyFill="1" applyBorder="1" applyAlignment="1">
      <alignment vertical="top" wrapText="1"/>
    </xf>
    <xf numFmtId="0" fontId="2" fillId="8" borderId="1" xfId="0" applyFont="1" applyFill="1" applyBorder="1" applyAlignment="1">
      <alignment vertical="center" wrapText="1"/>
    </xf>
    <xf numFmtId="0" fontId="2" fillId="0" borderId="0" xfId="0" applyFont="1" applyAlignment="1">
      <alignment vertical="center" wrapText="1"/>
    </xf>
    <xf numFmtId="3" fontId="0" fillId="0" borderId="0" xfId="0" applyNumberFormat="1" applyAlignment="1">
      <alignment wrapText="1"/>
    </xf>
    <xf numFmtId="164" fontId="0" fillId="0" borderId="1" xfId="1" applyFont="1" applyBorder="1" applyAlignment="1">
      <alignment vertical="center" wrapText="1"/>
    </xf>
    <xf numFmtId="164" fontId="42" fillId="0" borderId="19" xfId="1" applyFont="1" applyBorder="1" applyAlignment="1">
      <alignment horizontal="center" vertical="center" wrapText="1"/>
    </xf>
    <xf numFmtId="0" fontId="40" fillId="0" borderId="1" xfId="0" applyFont="1" applyBorder="1" applyAlignment="1">
      <alignment horizontal="center" vertical="center" wrapText="1"/>
    </xf>
    <xf numFmtId="0" fontId="40" fillId="11" borderId="1" xfId="0" applyFont="1" applyFill="1" applyBorder="1" applyAlignment="1">
      <alignment horizontal="center" vertical="center" wrapText="1"/>
    </xf>
    <xf numFmtId="0" fontId="50" fillId="11" borderId="1" xfId="0" applyFont="1" applyFill="1" applyBorder="1" applyAlignment="1">
      <alignment horizontal="center" vertical="center" wrapText="1"/>
    </xf>
    <xf numFmtId="0" fontId="50" fillId="0" borderId="1" xfId="0" applyFont="1" applyBorder="1" applyAlignment="1">
      <alignment horizontal="center" vertical="center" wrapText="1"/>
    </xf>
    <xf numFmtId="164" fontId="0" fillId="0" borderId="0" xfId="0" applyNumberFormat="1"/>
    <xf numFmtId="43" fontId="0" fillId="0" borderId="0" xfId="0" applyNumberFormat="1" applyAlignment="1">
      <alignment wrapText="1"/>
    </xf>
    <xf numFmtId="0" fontId="0" fillId="0" borderId="1" xfId="0" applyBorder="1" applyAlignment="1">
      <alignment vertical="center" wrapText="1"/>
    </xf>
    <xf numFmtId="0" fontId="49" fillId="0" borderId="1" xfId="0" applyFont="1" applyBorder="1" applyAlignment="1">
      <alignment horizontal="left" vertical="top" wrapText="1"/>
    </xf>
    <xf numFmtId="0" fontId="49" fillId="0" borderId="2" xfId="0" applyFont="1" applyBorder="1" applyAlignment="1">
      <alignment horizontal="left" vertical="top" wrapText="1"/>
    </xf>
    <xf numFmtId="0" fontId="49" fillId="0" borderId="3" xfId="0" applyFont="1" applyBorder="1" applyAlignment="1">
      <alignment horizontal="left" vertical="top" wrapText="1"/>
    </xf>
    <xf numFmtId="0" fontId="49" fillId="0" borderId="4" xfId="0" applyFont="1" applyBorder="1" applyAlignment="1">
      <alignment horizontal="left" vertical="top" wrapText="1"/>
    </xf>
    <xf numFmtId="0" fontId="49" fillId="0" borderId="2" xfId="0" applyFont="1" applyBorder="1" applyAlignment="1">
      <alignment horizontal="justify" vertical="top" wrapText="1"/>
    </xf>
    <xf numFmtId="0" fontId="49" fillId="0" borderId="3" xfId="0" applyFont="1" applyBorder="1" applyAlignment="1">
      <alignment horizontal="justify" vertical="top" wrapText="1"/>
    </xf>
    <xf numFmtId="0" fontId="49" fillId="0" borderId="4" xfId="0" applyFont="1" applyBorder="1" applyAlignment="1">
      <alignment horizontal="justify" vertical="top" wrapText="1"/>
    </xf>
    <xf numFmtId="0" fontId="48" fillId="0" borderId="36" xfId="0" applyFont="1" applyBorder="1" applyAlignment="1">
      <alignment horizontal="center"/>
    </xf>
    <xf numFmtId="0" fontId="48" fillId="0" borderId="37" xfId="0" applyFont="1" applyBorder="1" applyAlignment="1">
      <alignment horizontal="center"/>
    </xf>
    <xf numFmtId="0" fontId="48" fillId="0" borderId="38" xfId="0" applyFont="1" applyBorder="1" applyAlignment="1">
      <alignment horizontal="center"/>
    </xf>
    <xf numFmtId="0" fontId="49" fillId="0" borderId="1" xfId="0" applyFont="1" applyBorder="1" applyAlignment="1">
      <alignment horizontal="left" vertical="top"/>
    </xf>
    <xf numFmtId="0" fontId="49" fillId="0" borderId="1" xfId="0" quotePrefix="1" applyFont="1" applyBorder="1" applyAlignment="1">
      <alignment horizontal="left" vertical="top" wrapText="1"/>
    </xf>
    <xf numFmtId="0" fontId="34" fillId="5" borderId="2" xfId="0" applyFont="1" applyFill="1" applyBorder="1" applyAlignment="1">
      <alignment horizontal="center" vertical="center" wrapText="1"/>
    </xf>
    <xf numFmtId="0" fontId="34" fillId="5" borderId="3" xfId="0" applyFont="1" applyFill="1" applyBorder="1" applyAlignment="1">
      <alignment horizontal="center" vertical="center" wrapText="1"/>
    </xf>
    <xf numFmtId="0" fontId="34" fillId="5" borderId="4" xfId="0" applyFont="1" applyFill="1" applyBorder="1" applyAlignment="1">
      <alignment horizontal="center" vertical="center"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46" fillId="0" borderId="17" xfId="7" applyFont="1" applyBorder="1" applyAlignment="1">
      <alignment horizontal="center" vertical="center" wrapText="1"/>
    </xf>
    <xf numFmtId="0" fontId="46" fillId="0" borderId="23" xfId="7" applyFont="1" applyBorder="1" applyAlignment="1">
      <alignment horizontal="center" vertical="center" wrapText="1"/>
    </xf>
    <xf numFmtId="0" fontId="46" fillId="0" borderId="21" xfId="7" applyFont="1" applyBorder="1" applyAlignment="1">
      <alignment horizontal="center" vertical="center" wrapText="1"/>
    </xf>
    <xf numFmtId="0" fontId="46" fillId="0" borderId="20" xfId="7" applyFont="1" applyBorder="1" applyAlignment="1">
      <alignment horizontal="center" vertical="center" wrapText="1"/>
    </xf>
    <xf numFmtId="0" fontId="46" fillId="0" borderId="24" xfId="7" applyFont="1" applyBorder="1" applyAlignment="1">
      <alignment horizontal="center" vertical="center" wrapText="1"/>
    </xf>
    <xf numFmtId="0" fontId="46" fillId="0" borderId="25" xfId="7" applyFont="1" applyBorder="1" applyAlignment="1">
      <alignment horizontal="center" vertical="center" wrapText="1"/>
    </xf>
    <xf numFmtId="0" fontId="40" fillId="0" borderId="8" xfId="7" applyFont="1" applyBorder="1" applyAlignment="1">
      <alignment horizontal="center" vertical="center" wrapText="1"/>
    </xf>
    <xf numFmtId="0" fontId="40" fillId="0" borderId="1" xfId="7" applyFont="1" applyBorder="1" applyAlignment="1">
      <alignment horizontal="center" vertical="center" wrapText="1"/>
    </xf>
    <xf numFmtId="0" fontId="40" fillId="0" borderId="9" xfId="7" applyFont="1" applyBorder="1" applyAlignment="1">
      <alignment horizontal="center" vertical="center" wrapText="1"/>
    </xf>
    <xf numFmtId="0" fontId="40" fillId="0" borderId="14" xfId="7" applyFont="1" applyBorder="1" applyAlignment="1">
      <alignment horizontal="center" vertical="center" wrapText="1"/>
    </xf>
    <xf numFmtId="0" fontId="40" fillId="0" borderId="13" xfId="7" applyFont="1" applyBorder="1" applyAlignment="1">
      <alignment horizontal="center" vertical="center" wrapText="1"/>
    </xf>
    <xf numFmtId="0" fontId="40" fillId="0" borderId="19" xfId="7" applyFont="1" applyBorder="1" applyAlignment="1">
      <alignment horizontal="center" vertical="center" wrapText="1"/>
    </xf>
    <xf numFmtId="0" fontId="40" fillId="0" borderId="18" xfId="7" applyFont="1" applyBorder="1" applyAlignment="1">
      <alignment horizontal="center" vertical="center" wrapText="1"/>
    </xf>
    <xf numFmtId="0" fontId="40" fillId="0" borderId="22" xfId="7" applyFont="1" applyBorder="1" applyAlignment="1">
      <alignment horizontal="center" vertical="center" wrapText="1"/>
    </xf>
    <xf numFmtId="0" fontId="40" fillId="0" borderId="16" xfId="7" applyFont="1" applyBorder="1" applyAlignment="1">
      <alignment horizontal="center" vertical="center" wrapText="1"/>
    </xf>
    <xf numFmtId="0" fontId="40" fillId="0" borderId="17" xfId="7" applyFont="1" applyBorder="1" applyAlignment="1">
      <alignment horizontal="center" vertical="center" wrapText="1"/>
    </xf>
    <xf numFmtId="0" fontId="40" fillId="0" borderId="21" xfId="7" applyFont="1" applyBorder="1" applyAlignment="1">
      <alignment horizontal="center" vertical="center" wrapText="1"/>
    </xf>
    <xf numFmtId="14" fontId="39" fillId="8" borderId="2" xfId="6" applyNumberFormat="1" applyFont="1" applyFill="1" applyBorder="1" applyAlignment="1">
      <alignment horizontal="center" vertical="center"/>
    </xf>
    <xf numFmtId="0" fontId="39" fillId="8" borderId="3" xfId="6" applyFont="1" applyFill="1" applyBorder="1" applyAlignment="1">
      <alignment horizontal="center" vertical="center"/>
    </xf>
    <xf numFmtId="0" fontId="39" fillId="8" borderId="4" xfId="6" applyFont="1" applyFill="1" applyBorder="1" applyAlignment="1">
      <alignment horizontal="center" vertical="center"/>
    </xf>
    <xf numFmtId="0" fontId="40" fillId="0" borderId="1" xfId="6" applyFont="1" applyBorder="1" applyAlignment="1">
      <alignment horizontal="center" vertical="center"/>
    </xf>
    <xf numFmtId="0" fontId="40" fillId="0" borderId="2" xfId="6" applyFont="1" applyBorder="1" applyAlignment="1">
      <alignment horizontal="center" vertical="center"/>
    </xf>
    <xf numFmtId="0" fontId="40" fillId="0" borderId="1" xfId="6" applyFont="1" applyBorder="1" applyAlignment="1">
      <alignment horizontal="center" vertical="center" wrapText="1"/>
    </xf>
    <xf numFmtId="0" fontId="36" fillId="0" borderId="0" xfId="6" applyAlignment="1">
      <alignment horizontal="center"/>
    </xf>
    <xf numFmtId="0" fontId="46" fillId="0" borderId="7" xfId="7" applyFont="1" applyBorder="1" applyAlignment="1">
      <alignment horizontal="center" vertical="center"/>
    </xf>
    <xf numFmtId="0" fontId="46" fillId="0" borderId="8" xfId="7" applyFont="1" applyBorder="1" applyAlignment="1">
      <alignment horizontal="center" vertical="center"/>
    </xf>
    <xf numFmtId="0" fontId="46" fillId="0" borderId="9" xfId="7" applyFont="1" applyBorder="1" applyAlignment="1">
      <alignment horizontal="center" vertical="center"/>
    </xf>
    <xf numFmtId="0" fontId="46" fillId="0" borderId="4" xfId="7" applyFont="1" applyBorder="1" applyAlignment="1">
      <alignment horizontal="center" vertical="center"/>
    </xf>
    <xf numFmtId="0" fontId="46" fillId="0" borderId="1" xfId="7" applyFont="1" applyBorder="1" applyAlignment="1">
      <alignment horizontal="center" vertical="center"/>
    </xf>
    <xf numFmtId="0" fontId="46" fillId="0" borderId="14" xfId="7" applyFont="1" applyBorder="1" applyAlignment="1">
      <alignment horizontal="center" vertical="center"/>
    </xf>
    <xf numFmtId="0" fontId="39" fillId="0" borderId="10" xfId="6" applyFont="1" applyBorder="1" applyAlignment="1">
      <alignment horizontal="center" vertical="center"/>
    </xf>
    <xf numFmtId="0" fontId="39" fillId="0" borderId="15" xfId="6" applyFont="1" applyBorder="1" applyAlignment="1">
      <alignment horizontal="center" vertical="center"/>
    </xf>
    <xf numFmtId="0" fontId="39" fillId="0" borderId="10" xfId="6" applyFont="1" applyBorder="1" applyAlignment="1">
      <alignment horizontal="center" vertical="center" wrapText="1"/>
    </xf>
    <xf numFmtId="0" fontId="39" fillId="0" borderId="15" xfId="6" applyFont="1" applyBorder="1" applyAlignment="1">
      <alignment horizontal="center" vertical="center" wrapText="1"/>
    </xf>
    <xf numFmtId="0" fontId="40" fillId="0" borderId="11" xfId="7" applyFont="1" applyBorder="1" applyAlignment="1">
      <alignment horizontal="center" vertical="center" wrapText="1"/>
    </xf>
    <xf numFmtId="0" fontId="40" fillId="0" borderId="0" xfId="7" applyFont="1" applyAlignment="1">
      <alignment horizontal="center" vertical="center" wrapText="1"/>
    </xf>
    <xf numFmtId="0" fontId="40" fillId="0" borderId="5" xfId="7" applyFont="1" applyBorder="1" applyAlignment="1">
      <alignment horizontal="center" vertical="center" wrapText="1"/>
    </xf>
    <xf numFmtId="0" fontId="40" fillId="0" borderId="7" xfId="7" applyFont="1" applyBorder="1" applyAlignment="1">
      <alignment horizontal="center" vertical="center" wrapText="1"/>
    </xf>
    <xf numFmtId="0" fontId="40" fillId="0" borderId="12" xfId="7" applyFont="1" applyBorder="1" applyAlignment="1">
      <alignment horizontal="center" vertical="center" wrapText="1"/>
    </xf>
  </cellXfs>
  <cellStyles count="8">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A82C3AA8-5189-405D-B437-29FC25D20FF1}"/>
    <cellStyle name="Normal 6 2" xfId="6" xr:uid="{E53FE051-58FF-41AA-A7CF-5DCE94F49859}"/>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activeCell="F11" sqref="F11"/>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40"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212</v>
      </c>
      <c r="F1" s="47" t="s">
        <v>213</v>
      </c>
      <c r="G1" s="47" t="s">
        <v>214</v>
      </c>
      <c r="H1" s="47" t="s">
        <v>215</v>
      </c>
      <c r="I1" s="47" t="s">
        <v>216</v>
      </c>
      <c r="J1" s="42" t="s">
        <v>82</v>
      </c>
      <c r="K1" s="42" t="s">
        <v>217</v>
      </c>
      <c r="L1" s="42" t="s">
        <v>218</v>
      </c>
      <c r="M1" s="42" t="s">
        <v>219</v>
      </c>
      <c r="N1" s="41" t="s">
        <v>4</v>
      </c>
      <c r="O1" s="41" t="s">
        <v>220</v>
      </c>
      <c r="P1" s="41" t="s">
        <v>221</v>
      </c>
      <c r="Q1" s="41" t="s">
        <v>222</v>
      </c>
      <c r="R1" s="45" t="s">
        <v>223</v>
      </c>
      <c r="S1" s="45" t="s">
        <v>224</v>
      </c>
      <c r="T1" s="45" t="s">
        <v>225</v>
      </c>
      <c r="U1" s="45" t="s">
        <v>226</v>
      </c>
      <c r="V1" s="44" t="s">
        <v>6</v>
      </c>
      <c r="W1" s="44" t="s">
        <v>227</v>
      </c>
      <c r="X1" s="44" t="s">
        <v>228</v>
      </c>
      <c r="Y1" s="44" t="s">
        <v>229</v>
      </c>
      <c r="Z1" s="1" t="s">
        <v>230</v>
      </c>
      <c r="AA1" s="1" t="s">
        <v>231</v>
      </c>
      <c r="AB1" s="1" t="s">
        <v>232</v>
      </c>
      <c r="AC1" s="1" t="s">
        <v>233</v>
      </c>
      <c r="AD1" s="43" t="s">
        <v>8</v>
      </c>
      <c r="AE1" s="43" t="s">
        <v>234</v>
      </c>
      <c r="AF1" s="43" t="s">
        <v>235</v>
      </c>
      <c r="AG1" s="43" t="s">
        <v>236</v>
      </c>
      <c r="AH1" s="44" t="s">
        <v>9</v>
      </c>
      <c r="AI1" s="44" t="s">
        <v>237</v>
      </c>
      <c r="AJ1" s="44" t="s">
        <v>238</v>
      </c>
      <c r="AK1" s="44" t="s">
        <v>239</v>
      </c>
      <c r="AL1" s="1" t="s">
        <v>10</v>
      </c>
      <c r="AM1" s="1" t="s">
        <v>240</v>
      </c>
      <c r="AN1" s="1" t="s">
        <v>241</v>
      </c>
      <c r="AO1" s="1" t="s">
        <v>242</v>
      </c>
      <c r="AP1" s="46" t="s">
        <v>243</v>
      </c>
      <c r="AQ1" s="46" t="s">
        <v>244</v>
      </c>
      <c r="AR1" s="46" t="s">
        <v>245</v>
      </c>
      <c r="AS1" s="46" t="s">
        <v>246</v>
      </c>
      <c r="AT1" s="1" t="s">
        <v>50</v>
      </c>
      <c r="AU1" s="1" t="s">
        <v>247</v>
      </c>
      <c r="AV1" s="1" t="s">
        <v>248</v>
      </c>
      <c r="AW1" s="1" t="s">
        <v>249</v>
      </c>
      <c r="AX1" s="1" t="s">
        <v>250</v>
      </c>
      <c r="AY1" s="1" t="s">
        <v>251</v>
      </c>
      <c r="AZ1" s="1" t="s">
        <v>252</v>
      </c>
      <c r="BA1" s="1" t="s">
        <v>253</v>
      </c>
      <c r="BB1" s="1" t="s">
        <v>254</v>
      </c>
      <c r="BC1" s="1" t="s">
        <v>255</v>
      </c>
      <c r="BD1" s="1" t="s">
        <v>256</v>
      </c>
      <c r="BE1" s="1" t="s">
        <v>257</v>
      </c>
      <c r="BF1" s="1" t="s">
        <v>258</v>
      </c>
      <c r="BG1" s="1" t="s">
        <v>259</v>
      </c>
      <c r="BH1" s="1" t="s">
        <v>260</v>
      </c>
      <c r="BI1" s="1" t="s">
        <v>261</v>
      </c>
      <c r="BJ1" s="1" t="s">
        <v>262</v>
      </c>
      <c r="BK1" s="1" t="s">
        <v>263</v>
      </c>
      <c r="BL1" s="1" t="s">
        <v>264</v>
      </c>
      <c r="BM1" s="1" t="s">
        <v>265</v>
      </c>
      <c r="BN1" s="1" t="s">
        <v>266</v>
      </c>
      <c r="BO1" s="1" t="s">
        <v>267</v>
      </c>
      <c r="BP1" s="1" t="s">
        <v>268</v>
      </c>
      <c r="BQ1" s="1" t="s">
        <v>269</v>
      </c>
      <c r="BR1" s="1" t="s">
        <v>270</v>
      </c>
      <c r="BS1" s="1" t="s">
        <v>271</v>
      </c>
      <c r="BT1" s="1" t="s">
        <v>272</v>
      </c>
      <c r="BU1" s="1" t="s">
        <v>273</v>
      </c>
      <c r="BV1" s="1" t="s">
        <v>19</v>
      </c>
      <c r="BW1" s="1" t="s">
        <v>274</v>
      </c>
      <c r="BX1" s="1" t="s">
        <v>275</v>
      </c>
      <c r="BY1" s="1" t="s">
        <v>276</v>
      </c>
      <c r="BZ1" s="1" t="s">
        <v>277</v>
      </c>
      <c r="CA1" s="1" t="s">
        <v>278</v>
      </c>
      <c r="CB1" s="1" t="s">
        <v>279</v>
      </c>
      <c r="CC1" s="1" t="s">
        <v>280</v>
      </c>
      <c r="CD1" s="1" t="s">
        <v>22</v>
      </c>
      <c r="CE1" s="1" t="s">
        <v>281</v>
      </c>
      <c r="CF1" s="1" t="s">
        <v>24</v>
      </c>
      <c r="CG1" s="1" t="s">
        <v>282</v>
      </c>
      <c r="CH1" s="1" t="s">
        <v>283</v>
      </c>
      <c r="CI1" s="1" t="s">
        <v>27</v>
      </c>
      <c r="CJ1" s="1" t="s">
        <v>284</v>
      </c>
      <c r="CK1" s="1" t="s">
        <v>29</v>
      </c>
      <c r="CL1" s="1" t="s">
        <v>285</v>
      </c>
      <c r="CM1" s="1" t="s">
        <v>286</v>
      </c>
      <c r="CN1" s="1" t="s">
        <v>287</v>
      </c>
      <c r="CO1" s="1" t="s">
        <v>288</v>
      </c>
      <c r="CP1" s="1" t="s">
        <v>289</v>
      </c>
      <c r="CQ1" s="1" t="s">
        <v>290</v>
      </c>
      <c r="CR1" s="1" t="s">
        <v>34</v>
      </c>
      <c r="CS1" s="1" t="s">
        <v>291</v>
      </c>
      <c r="CT1" s="1" t="s">
        <v>292</v>
      </c>
      <c r="CU1" s="1" t="s">
        <v>37</v>
      </c>
      <c r="CV1" s="1" t="s">
        <v>38</v>
      </c>
      <c r="CW1" s="1" t="s">
        <v>293</v>
      </c>
      <c r="CX1" s="1" t="s">
        <v>92</v>
      </c>
      <c r="CY1" s="10" t="s">
        <v>93</v>
      </c>
      <c r="CZ1" s="10" t="s">
        <v>294</v>
      </c>
    </row>
    <row r="2" spans="1:104" s="10" customFormat="1" ht="18" customHeight="1" x14ac:dyDescent="0.25">
      <c r="A2" s="6" t="s">
        <v>295</v>
      </c>
      <c r="B2" s="52"/>
      <c r="C2" s="1" t="s">
        <v>296</v>
      </c>
      <c r="D2" s="1" t="s">
        <v>189</v>
      </c>
      <c r="E2" s="1" t="s">
        <v>297</v>
      </c>
      <c r="F2" s="47"/>
      <c r="G2" s="47"/>
      <c r="H2" s="47">
        <v>0</v>
      </c>
      <c r="I2" s="47"/>
      <c r="J2" s="42" t="s">
        <v>41</v>
      </c>
      <c r="K2" s="42"/>
      <c r="L2" s="42">
        <v>173</v>
      </c>
      <c r="M2" s="42"/>
      <c r="N2" s="41"/>
      <c r="O2" s="41"/>
      <c r="P2" s="41">
        <v>0</v>
      </c>
      <c r="Q2" s="41"/>
      <c r="R2" s="45"/>
      <c r="S2" s="45"/>
      <c r="T2" s="45">
        <v>0</v>
      </c>
      <c r="U2" s="45"/>
      <c r="V2" s="44" t="s">
        <v>47</v>
      </c>
      <c r="W2" s="44"/>
      <c r="X2" s="44">
        <v>63</v>
      </c>
      <c r="Y2" s="44"/>
      <c r="Z2" s="1"/>
      <c r="AA2" s="1"/>
      <c r="AB2" s="1">
        <v>0</v>
      </c>
      <c r="AC2" s="1"/>
      <c r="AD2" s="43" t="s">
        <v>48</v>
      </c>
      <c r="AE2" s="43"/>
      <c r="AF2" s="43">
        <v>40</v>
      </c>
      <c r="AG2" s="43"/>
      <c r="AH2" s="44" t="s">
        <v>49</v>
      </c>
      <c r="AI2" s="44"/>
      <c r="AJ2" s="44">
        <v>300</v>
      </c>
      <c r="AK2" s="44"/>
      <c r="AL2" s="1" t="s">
        <v>48</v>
      </c>
      <c r="AM2" s="1"/>
      <c r="AN2" s="1">
        <v>146</v>
      </c>
      <c r="AO2" s="1"/>
      <c r="AP2" s="46"/>
      <c r="AQ2" s="46"/>
      <c r="AR2" s="46">
        <v>0</v>
      </c>
      <c r="AS2" s="46"/>
      <c r="AT2" s="1"/>
      <c r="AU2" s="1"/>
      <c r="AV2" s="1">
        <v>0</v>
      </c>
      <c r="AW2" s="1"/>
      <c r="AX2" s="1"/>
      <c r="AY2" s="1"/>
      <c r="AZ2" s="1">
        <v>0</v>
      </c>
      <c r="BA2" s="1"/>
      <c r="BB2" s="1"/>
      <c r="BC2" s="1"/>
      <c r="BD2" s="1">
        <v>0</v>
      </c>
      <c r="BE2" s="1"/>
      <c r="BF2" s="1"/>
      <c r="BG2" s="1"/>
      <c r="BH2" s="1">
        <v>0</v>
      </c>
      <c r="BI2" s="1"/>
      <c r="BJ2" s="1"/>
      <c r="BK2" s="1"/>
      <c r="BL2" s="1">
        <v>0</v>
      </c>
      <c r="BM2" s="59"/>
      <c r="BN2" s="1"/>
      <c r="BO2" s="1"/>
      <c r="BP2" s="1">
        <v>0</v>
      </c>
      <c r="BQ2" s="1"/>
      <c r="BR2" s="1" t="s">
        <v>18</v>
      </c>
      <c r="BS2" s="1"/>
      <c r="BT2" s="1">
        <v>0</v>
      </c>
      <c r="BU2" s="1"/>
      <c r="BV2" s="1"/>
      <c r="BW2" s="1"/>
      <c r="BX2" s="1">
        <v>0</v>
      </c>
      <c r="BY2" s="1"/>
      <c r="BZ2" s="1">
        <v>5448</v>
      </c>
      <c r="CA2" s="1">
        <v>5448</v>
      </c>
      <c r="CB2" s="49"/>
      <c r="CC2" s="1"/>
      <c r="CD2" s="49"/>
      <c r="CE2" s="1"/>
      <c r="CF2" s="49"/>
      <c r="CG2" s="1"/>
      <c r="CH2" s="1">
        <v>5448</v>
      </c>
      <c r="CI2" s="49"/>
      <c r="CJ2" s="1"/>
      <c r="CK2" s="49"/>
      <c r="CL2" s="1"/>
      <c r="CM2" s="1"/>
      <c r="CN2" s="1"/>
      <c r="CO2" s="1">
        <v>5448</v>
      </c>
      <c r="CP2" s="49"/>
      <c r="CQ2" s="1">
        <v>5448</v>
      </c>
      <c r="CR2" s="49">
        <v>0.18</v>
      </c>
      <c r="CS2" s="1">
        <v>980.64</v>
      </c>
      <c r="CT2" s="1">
        <v>6428.64</v>
      </c>
      <c r="CU2" s="48">
        <v>100</v>
      </c>
      <c r="CV2" s="48" t="s">
        <v>298</v>
      </c>
      <c r="CW2" s="48">
        <v>642864</v>
      </c>
      <c r="CX2" s="1" t="s">
        <v>299</v>
      </c>
      <c r="CY2" s="10" t="s">
        <v>300</v>
      </c>
      <c r="CZ2" s="10">
        <v>500</v>
      </c>
    </row>
    <row r="3" spans="1:104" s="10" customFormat="1" ht="18" customHeight="1" x14ac:dyDescent="0.25">
      <c r="A3" s="6" t="s">
        <v>295</v>
      </c>
      <c r="B3" s="52"/>
      <c r="C3" s="1" t="s">
        <v>301</v>
      </c>
      <c r="D3" s="1" t="s">
        <v>188</v>
      </c>
      <c r="E3" s="1" t="s">
        <v>297</v>
      </c>
      <c r="F3" s="47"/>
      <c r="G3" s="47"/>
      <c r="H3" s="47">
        <v>0</v>
      </c>
      <c r="I3" s="47"/>
      <c r="J3" s="42" t="s">
        <v>41</v>
      </c>
      <c r="K3" s="42"/>
      <c r="L3" s="42">
        <v>378</v>
      </c>
      <c r="M3" s="42"/>
      <c r="N3" s="41"/>
      <c r="O3" s="41"/>
      <c r="P3" s="41">
        <v>0</v>
      </c>
      <c r="Q3" s="41"/>
      <c r="R3" s="45"/>
      <c r="S3" s="45"/>
      <c r="T3" s="45">
        <v>0</v>
      </c>
      <c r="U3" s="45"/>
      <c r="V3" s="44" t="s">
        <v>47</v>
      </c>
      <c r="W3" s="44"/>
      <c r="X3" s="44">
        <v>109</v>
      </c>
      <c r="Y3" s="44"/>
      <c r="Z3" s="1"/>
      <c r="AA3" s="1"/>
      <c r="AB3" s="1">
        <v>0</v>
      </c>
      <c r="AC3" s="1"/>
      <c r="AD3" s="43" t="s">
        <v>48</v>
      </c>
      <c r="AE3" s="43"/>
      <c r="AF3" s="43">
        <v>51</v>
      </c>
      <c r="AG3" s="43"/>
      <c r="AH3" s="44" t="s">
        <v>49</v>
      </c>
      <c r="AI3" s="44"/>
      <c r="AJ3" s="44">
        <v>407</v>
      </c>
      <c r="AK3" s="44"/>
      <c r="AL3" s="1" t="s">
        <v>48</v>
      </c>
      <c r="AM3" s="1"/>
      <c r="AN3" s="1">
        <v>191</v>
      </c>
      <c r="AO3" s="1"/>
      <c r="AP3" s="46"/>
      <c r="AQ3" s="46"/>
      <c r="AR3" s="46">
        <v>0</v>
      </c>
      <c r="AS3" s="46"/>
      <c r="AT3" s="1"/>
      <c r="AU3" s="1"/>
      <c r="AV3" s="1">
        <v>0</v>
      </c>
      <c r="AW3" s="1"/>
      <c r="AX3" s="1"/>
      <c r="AY3" s="1"/>
      <c r="AZ3" s="1">
        <v>0</v>
      </c>
      <c r="BA3" s="1"/>
      <c r="BB3" s="1"/>
      <c r="BC3" s="1"/>
      <c r="BD3" s="1">
        <v>0</v>
      </c>
      <c r="BE3" s="1"/>
      <c r="BF3" s="1"/>
      <c r="BG3" s="1"/>
      <c r="BH3" s="1">
        <v>0</v>
      </c>
      <c r="BI3" s="1"/>
      <c r="BJ3" s="1"/>
      <c r="BK3" s="1"/>
      <c r="BL3" s="1">
        <v>0</v>
      </c>
      <c r="BM3" s="59"/>
      <c r="BN3" s="1"/>
      <c r="BO3" s="1"/>
      <c r="BP3" s="1">
        <v>0</v>
      </c>
      <c r="BQ3" s="1"/>
      <c r="BR3" s="1" t="s">
        <v>18</v>
      </c>
      <c r="BS3" s="1"/>
      <c r="BT3" s="1">
        <v>0</v>
      </c>
      <c r="BU3" s="1"/>
      <c r="BV3" s="1"/>
      <c r="BW3" s="1"/>
      <c r="BX3" s="1">
        <v>0</v>
      </c>
      <c r="BY3" s="1"/>
      <c r="BZ3" s="1">
        <v>8874</v>
      </c>
      <c r="CA3" s="1">
        <v>8874</v>
      </c>
      <c r="CB3" s="49"/>
      <c r="CC3" s="1"/>
      <c r="CD3" s="49"/>
      <c r="CE3" s="1"/>
      <c r="CF3" s="49"/>
      <c r="CG3" s="1"/>
      <c r="CH3" s="1">
        <v>8874</v>
      </c>
      <c r="CI3" s="49"/>
      <c r="CJ3" s="1"/>
      <c r="CK3" s="49"/>
      <c r="CL3" s="1"/>
      <c r="CM3" s="1"/>
      <c r="CN3" s="1"/>
      <c r="CO3" s="1">
        <v>8874</v>
      </c>
      <c r="CP3" s="49"/>
      <c r="CQ3" s="1">
        <v>8874</v>
      </c>
      <c r="CR3" s="49">
        <v>0.18</v>
      </c>
      <c r="CS3" s="1">
        <v>1597.32</v>
      </c>
      <c r="CT3" s="1">
        <v>10471.32</v>
      </c>
      <c r="CU3" s="48">
        <v>60</v>
      </c>
      <c r="CV3" s="48" t="s">
        <v>298</v>
      </c>
      <c r="CW3" s="48">
        <v>628279</v>
      </c>
      <c r="CX3" s="1" t="s">
        <v>302</v>
      </c>
      <c r="CY3" s="10" t="s">
        <v>303</v>
      </c>
      <c r="CZ3" s="10">
        <v>500</v>
      </c>
    </row>
    <row r="4" spans="1:104" s="10" customFormat="1" ht="18" customHeight="1" x14ac:dyDescent="0.25">
      <c r="A4" s="6" t="s">
        <v>295</v>
      </c>
      <c r="B4" s="52"/>
      <c r="C4" s="1" t="s">
        <v>304</v>
      </c>
      <c r="D4" s="1" t="s">
        <v>187</v>
      </c>
      <c r="E4" s="1" t="s">
        <v>297</v>
      </c>
      <c r="F4" s="47"/>
      <c r="G4" s="47"/>
      <c r="H4" s="47">
        <v>0</v>
      </c>
      <c r="I4" s="47"/>
      <c r="J4" s="42" t="s">
        <v>41</v>
      </c>
      <c r="K4" s="42"/>
      <c r="L4" s="42">
        <v>540</v>
      </c>
      <c r="M4" s="42"/>
      <c r="N4" s="41"/>
      <c r="O4" s="41"/>
      <c r="P4" s="41">
        <v>0</v>
      </c>
      <c r="Q4" s="41"/>
      <c r="R4" s="45"/>
      <c r="S4" s="45"/>
      <c r="T4" s="45">
        <v>0</v>
      </c>
      <c r="U4" s="45"/>
      <c r="V4" s="44" t="s">
        <v>47</v>
      </c>
      <c r="W4" s="44"/>
      <c r="X4" s="44">
        <v>124</v>
      </c>
      <c r="Y4" s="44"/>
      <c r="Z4" s="1"/>
      <c r="AA4" s="1"/>
      <c r="AB4" s="1">
        <v>0</v>
      </c>
      <c r="AC4" s="1"/>
      <c r="AD4" s="43" t="s">
        <v>48</v>
      </c>
      <c r="AE4" s="43"/>
      <c r="AF4" s="43">
        <v>69</v>
      </c>
      <c r="AG4" s="43"/>
      <c r="AH4" s="44" t="s">
        <v>49</v>
      </c>
      <c r="AI4" s="44"/>
      <c r="AJ4" s="44">
        <v>457</v>
      </c>
      <c r="AK4" s="44"/>
      <c r="AL4" s="1" t="s">
        <v>48</v>
      </c>
      <c r="AM4" s="1"/>
      <c r="AN4" s="1">
        <v>240</v>
      </c>
      <c r="AO4" s="1"/>
      <c r="AP4" s="46"/>
      <c r="AQ4" s="46"/>
      <c r="AR4" s="46">
        <v>0</v>
      </c>
      <c r="AS4" s="46"/>
      <c r="AT4" s="1"/>
      <c r="AU4" s="1"/>
      <c r="AV4" s="1">
        <v>0</v>
      </c>
      <c r="AW4" s="1"/>
      <c r="AX4" s="1"/>
      <c r="AY4" s="1"/>
      <c r="AZ4" s="1">
        <v>0</v>
      </c>
      <c r="BA4" s="1"/>
      <c r="BB4" s="1"/>
      <c r="BC4" s="1"/>
      <c r="BD4" s="1">
        <v>0</v>
      </c>
      <c r="BE4" s="1"/>
      <c r="BF4" s="1"/>
      <c r="BG4" s="1"/>
      <c r="BH4" s="1">
        <v>0</v>
      </c>
      <c r="BI4" s="1"/>
      <c r="BJ4" s="1"/>
      <c r="BK4" s="1"/>
      <c r="BL4" s="1">
        <v>0</v>
      </c>
      <c r="BM4" s="59"/>
      <c r="BN4" s="1"/>
      <c r="BO4" s="1"/>
      <c r="BP4" s="1">
        <v>0</v>
      </c>
      <c r="BQ4" s="1"/>
      <c r="BR4" s="1" t="s">
        <v>18</v>
      </c>
      <c r="BS4" s="1"/>
      <c r="BT4" s="1">
        <v>0</v>
      </c>
      <c r="BU4" s="1"/>
      <c r="BV4" s="1"/>
      <c r="BW4" s="1"/>
      <c r="BX4" s="1">
        <v>0</v>
      </c>
      <c r="BY4" s="1"/>
      <c r="BZ4" s="1">
        <v>8874</v>
      </c>
      <c r="CA4" s="1">
        <v>8874</v>
      </c>
      <c r="CB4" s="49"/>
      <c r="CC4" s="1"/>
      <c r="CD4" s="49"/>
      <c r="CE4" s="1"/>
      <c r="CF4" s="49"/>
      <c r="CG4" s="1"/>
      <c r="CH4" s="1">
        <v>8874</v>
      </c>
      <c r="CI4" s="49"/>
      <c r="CJ4" s="1"/>
      <c r="CK4" s="49"/>
      <c r="CL4" s="1"/>
      <c r="CM4" s="1"/>
      <c r="CN4" s="1"/>
      <c r="CO4" s="1">
        <v>8874</v>
      </c>
      <c r="CP4" s="49"/>
      <c r="CQ4" s="1">
        <v>8874</v>
      </c>
      <c r="CR4" s="49">
        <v>0.18</v>
      </c>
      <c r="CS4" s="1">
        <v>1597.32</v>
      </c>
      <c r="CT4" s="1">
        <v>10471.32</v>
      </c>
      <c r="CU4" s="48">
        <v>60</v>
      </c>
      <c r="CV4" s="48" t="s">
        <v>298</v>
      </c>
      <c r="CW4" s="48">
        <v>628279</v>
      </c>
      <c r="CX4" s="1" t="s">
        <v>302</v>
      </c>
      <c r="CY4" s="10" t="s">
        <v>303</v>
      </c>
      <c r="CZ4" s="10">
        <v>500</v>
      </c>
    </row>
    <row r="5" spans="1:104" s="10" customFormat="1" ht="18" customHeight="1" x14ac:dyDescent="0.25">
      <c r="A5" s="6" t="s">
        <v>295</v>
      </c>
      <c r="B5" s="52"/>
      <c r="C5" s="1" t="s">
        <v>305</v>
      </c>
      <c r="D5" s="1" t="s">
        <v>190</v>
      </c>
      <c r="E5" s="1" t="s">
        <v>297</v>
      </c>
      <c r="F5" s="47"/>
      <c r="G5" s="47"/>
      <c r="H5" s="47">
        <v>0</v>
      </c>
      <c r="I5" s="47"/>
      <c r="J5" s="42" t="s">
        <v>41</v>
      </c>
      <c r="K5" s="42"/>
      <c r="L5" s="42">
        <v>54</v>
      </c>
      <c r="M5" s="42"/>
      <c r="N5" s="41"/>
      <c r="O5" s="41"/>
      <c r="P5" s="41">
        <v>0</v>
      </c>
      <c r="Q5" s="41"/>
      <c r="R5" s="45"/>
      <c r="S5" s="45"/>
      <c r="T5" s="45">
        <v>0</v>
      </c>
      <c r="U5" s="45"/>
      <c r="V5" s="44" t="s">
        <v>47</v>
      </c>
      <c r="W5" s="44"/>
      <c r="X5" s="44">
        <v>26</v>
      </c>
      <c r="Y5" s="44"/>
      <c r="Z5" s="1"/>
      <c r="AA5" s="1"/>
      <c r="AB5" s="1">
        <v>0</v>
      </c>
      <c r="AC5" s="1"/>
      <c r="AD5" s="43" t="s">
        <v>48</v>
      </c>
      <c r="AE5" s="43"/>
      <c r="AF5" s="43">
        <v>74</v>
      </c>
      <c r="AG5" s="43"/>
      <c r="AH5" s="44" t="s">
        <v>78</v>
      </c>
      <c r="AI5" s="44"/>
      <c r="AJ5" s="44">
        <v>340</v>
      </c>
      <c r="AK5" s="44"/>
      <c r="AL5" s="1" t="s">
        <v>48</v>
      </c>
      <c r="AM5" s="1"/>
      <c r="AN5" s="1">
        <v>127</v>
      </c>
      <c r="AO5" s="1"/>
      <c r="AP5" s="46"/>
      <c r="AQ5" s="46"/>
      <c r="AR5" s="46">
        <v>0</v>
      </c>
      <c r="AS5" s="46"/>
      <c r="AT5" s="1"/>
      <c r="AU5" s="1"/>
      <c r="AV5" s="1">
        <v>0</v>
      </c>
      <c r="AW5" s="1"/>
      <c r="AX5" s="1"/>
      <c r="AY5" s="1"/>
      <c r="AZ5" s="1">
        <v>0</v>
      </c>
      <c r="BA5" s="1"/>
      <c r="BB5" s="1"/>
      <c r="BC5" s="1"/>
      <c r="BD5" s="1">
        <v>0</v>
      </c>
      <c r="BE5" s="1"/>
      <c r="BF5" s="1"/>
      <c r="BG5" s="1"/>
      <c r="BH5" s="1">
        <v>0</v>
      </c>
      <c r="BI5" s="1"/>
      <c r="BJ5" s="1"/>
      <c r="BK5" s="1"/>
      <c r="BL5" s="1">
        <v>0</v>
      </c>
      <c r="BM5" s="1"/>
      <c r="BN5" s="1"/>
      <c r="BO5" s="1"/>
      <c r="BP5" s="1">
        <v>0</v>
      </c>
      <c r="BQ5" s="1"/>
      <c r="BR5" s="1" t="s">
        <v>18</v>
      </c>
      <c r="BS5" s="1"/>
      <c r="BT5" s="1">
        <v>0</v>
      </c>
      <c r="BU5" s="1"/>
      <c r="BV5" s="1"/>
      <c r="BW5" s="1"/>
      <c r="BX5" s="1">
        <v>0</v>
      </c>
      <c r="BY5" s="1"/>
      <c r="BZ5" s="1">
        <v>4313</v>
      </c>
      <c r="CA5" s="1">
        <v>4313</v>
      </c>
      <c r="CB5" s="49"/>
      <c r="CC5" s="1"/>
      <c r="CD5" s="49"/>
      <c r="CE5" s="1"/>
      <c r="CF5" s="49"/>
      <c r="CG5" s="1"/>
      <c r="CH5" s="1">
        <v>4313</v>
      </c>
      <c r="CI5" s="49"/>
      <c r="CJ5" s="1"/>
      <c r="CK5" s="49"/>
      <c r="CL5" s="1"/>
      <c r="CM5" s="1"/>
      <c r="CN5" s="1"/>
      <c r="CO5" s="1">
        <v>4313</v>
      </c>
      <c r="CP5" s="49"/>
      <c r="CQ5" s="1">
        <v>4313</v>
      </c>
      <c r="CR5" s="49">
        <v>0.18</v>
      </c>
      <c r="CS5" s="1">
        <v>776.34</v>
      </c>
      <c r="CT5" s="1">
        <v>5089.34</v>
      </c>
      <c r="CU5" s="48">
        <v>100</v>
      </c>
      <c r="CV5" s="48" t="s">
        <v>298</v>
      </c>
      <c r="CW5" s="48">
        <v>508934</v>
      </c>
      <c r="CX5" s="1" t="s">
        <v>306</v>
      </c>
      <c r="CY5" s="10" t="s">
        <v>307</v>
      </c>
      <c r="CZ5" s="10">
        <v>1000</v>
      </c>
    </row>
    <row r="6" spans="1:104" s="10" customFormat="1" ht="18" customHeight="1" x14ac:dyDescent="0.25">
      <c r="A6" s="6" t="s">
        <v>295</v>
      </c>
      <c r="B6" s="52"/>
      <c r="C6" s="1" t="s">
        <v>308</v>
      </c>
      <c r="D6" s="1" t="s">
        <v>185</v>
      </c>
      <c r="E6" s="1" t="s">
        <v>297</v>
      </c>
      <c r="F6" s="47"/>
      <c r="G6" s="47"/>
      <c r="H6" s="47">
        <v>0</v>
      </c>
      <c r="I6" s="47"/>
      <c r="J6" s="42" t="s">
        <v>41</v>
      </c>
      <c r="K6" s="42"/>
      <c r="L6" s="42">
        <v>1026</v>
      </c>
      <c r="M6" s="42"/>
      <c r="N6" s="41"/>
      <c r="O6" s="41"/>
      <c r="P6" s="41">
        <v>0</v>
      </c>
      <c r="Q6" s="41"/>
      <c r="R6" s="45"/>
      <c r="S6" s="45"/>
      <c r="T6" s="45">
        <v>0</v>
      </c>
      <c r="U6" s="45"/>
      <c r="V6" s="44" t="s">
        <v>47</v>
      </c>
      <c r="W6" s="44"/>
      <c r="X6" s="44">
        <v>187</v>
      </c>
      <c r="Y6" s="44"/>
      <c r="Z6" s="1"/>
      <c r="AA6" s="1"/>
      <c r="AB6" s="1">
        <v>0</v>
      </c>
      <c r="AC6" s="1"/>
      <c r="AD6" s="43" t="s">
        <v>48</v>
      </c>
      <c r="AE6" s="43"/>
      <c r="AF6" s="43">
        <v>93</v>
      </c>
      <c r="AG6" s="43"/>
      <c r="AH6" s="44" t="s">
        <v>49</v>
      </c>
      <c r="AI6" s="44"/>
      <c r="AJ6" s="44">
        <v>611</v>
      </c>
      <c r="AK6" s="44"/>
      <c r="AL6" s="1" t="s">
        <v>48</v>
      </c>
      <c r="AM6" s="1"/>
      <c r="AN6" s="1">
        <v>348</v>
      </c>
      <c r="AO6" s="1"/>
      <c r="AP6" s="46"/>
      <c r="AQ6" s="46"/>
      <c r="AR6" s="46">
        <v>0</v>
      </c>
      <c r="AS6" s="46"/>
      <c r="AT6" s="1"/>
      <c r="AU6" s="1"/>
      <c r="AV6" s="1">
        <v>0</v>
      </c>
      <c r="AW6" s="1"/>
      <c r="AX6" s="1"/>
      <c r="AY6" s="1"/>
      <c r="AZ6" s="1">
        <v>0</v>
      </c>
      <c r="BA6" s="1"/>
      <c r="BB6" s="1"/>
      <c r="BC6" s="1"/>
      <c r="BD6" s="1">
        <v>0</v>
      </c>
      <c r="BE6" s="1"/>
      <c r="BF6" s="1"/>
      <c r="BG6" s="1"/>
      <c r="BH6" s="1">
        <v>0</v>
      </c>
      <c r="BI6" s="1"/>
      <c r="BJ6" s="1"/>
      <c r="BK6" s="1"/>
      <c r="BL6" s="1">
        <v>0</v>
      </c>
      <c r="BM6" s="1"/>
      <c r="BN6" s="1"/>
      <c r="BO6" s="1"/>
      <c r="BP6" s="1">
        <v>0</v>
      </c>
      <c r="BQ6" s="1"/>
      <c r="BR6" s="1" t="s">
        <v>18</v>
      </c>
      <c r="BS6" s="1"/>
      <c r="BT6" s="1">
        <v>0</v>
      </c>
      <c r="BU6" s="1"/>
      <c r="BV6" s="1"/>
      <c r="BW6" s="1"/>
      <c r="BX6" s="1">
        <v>0</v>
      </c>
      <c r="BY6" s="1"/>
      <c r="BZ6" s="1">
        <v>15824</v>
      </c>
      <c r="CA6" s="1">
        <v>15824</v>
      </c>
      <c r="CB6" s="49"/>
      <c r="CC6" s="1"/>
      <c r="CD6" s="49"/>
      <c r="CE6" s="1"/>
      <c r="CF6" s="49"/>
      <c r="CG6" s="1"/>
      <c r="CH6" s="1">
        <v>15824</v>
      </c>
      <c r="CI6" s="49"/>
      <c r="CJ6" s="1"/>
      <c r="CK6" s="49"/>
      <c r="CL6" s="1"/>
      <c r="CM6" s="1"/>
      <c r="CN6" s="1"/>
      <c r="CO6" s="1">
        <v>15824</v>
      </c>
      <c r="CP6" s="49"/>
      <c r="CQ6" s="1">
        <v>15824</v>
      </c>
      <c r="CR6" s="49">
        <v>0.18</v>
      </c>
      <c r="CS6" s="1">
        <v>2848.32</v>
      </c>
      <c r="CT6" s="1">
        <v>18672.32</v>
      </c>
      <c r="CU6" s="48">
        <v>198</v>
      </c>
      <c r="CV6" s="48" t="s">
        <v>298</v>
      </c>
      <c r="CW6" s="48">
        <v>3697119</v>
      </c>
      <c r="CX6" s="1" t="s">
        <v>309</v>
      </c>
      <c r="CY6" s="10" t="s">
        <v>310</v>
      </c>
      <c r="CZ6" s="10">
        <v>500</v>
      </c>
    </row>
    <row r="7" spans="1:104" s="10" customFormat="1" ht="18" customHeight="1" x14ac:dyDescent="0.25">
      <c r="A7" s="6" t="s">
        <v>295</v>
      </c>
      <c r="B7" s="52"/>
      <c r="C7" s="1" t="s">
        <v>311</v>
      </c>
      <c r="D7" s="1" t="s">
        <v>186</v>
      </c>
      <c r="E7" s="1" t="s">
        <v>312</v>
      </c>
      <c r="F7" s="47"/>
      <c r="G7" s="47"/>
      <c r="H7" s="47">
        <v>0</v>
      </c>
      <c r="I7" s="47"/>
      <c r="J7" s="42" t="s">
        <v>41</v>
      </c>
      <c r="K7" s="42"/>
      <c r="L7" s="42">
        <v>4320</v>
      </c>
      <c r="M7" s="42"/>
      <c r="N7" s="41"/>
      <c r="O7" s="41"/>
      <c r="P7" s="41">
        <v>0</v>
      </c>
      <c r="Q7" s="41"/>
      <c r="R7" s="45"/>
      <c r="S7" s="45"/>
      <c r="T7" s="45">
        <v>0</v>
      </c>
      <c r="U7" s="45"/>
      <c r="V7" s="44" t="s">
        <v>47</v>
      </c>
      <c r="W7" s="44"/>
      <c r="X7" s="44">
        <v>650</v>
      </c>
      <c r="Y7" s="44"/>
      <c r="Z7" s="1"/>
      <c r="AA7" s="1"/>
      <c r="AB7" s="1">
        <v>0</v>
      </c>
      <c r="AC7" s="1"/>
      <c r="AD7" s="43" t="s">
        <v>48</v>
      </c>
      <c r="AE7" s="43"/>
      <c r="AF7" s="43">
        <v>308</v>
      </c>
      <c r="AG7" s="43"/>
      <c r="AH7" s="44" t="s">
        <v>49</v>
      </c>
      <c r="AI7" s="44"/>
      <c r="AJ7" s="44">
        <v>1211</v>
      </c>
      <c r="AK7" s="44"/>
      <c r="AL7" s="1" t="s">
        <v>48</v>
      </c>
      <c r="AM7" s="1"/>
      <c r="AN7" s="1">
        <v>999</v>
      </c>
      <c r="AO7" s="1"/>
      <c r="AP7" s="46"/>
      <c r="AQ7" s="46"/>
      <c r="AR7" s="46">
        <v>0</v>
      </c>
      <c r="AS7" s="46"/>
      <c r="AT7" s="1"/>
      <c r="AU7" s="1"/>
      <c r="AV7" s="1">
        <v>0</v>
      </c>
      <c r="AW7" s="1"/>
      <c r="AX7" s="1"/>
      <c r="AY7" s="1"/>
      <c r="AZ7" s="1">
        <v>0</v>
      </c>
      <c r="BA7" s="1"/>
      <c r="BB7" s="1"/>
      <c r="BC7" s="1"/>
      <c r="BD7" s="1">
        <v>0</v>
      </c>
      <c r="BE7" s="1"/>
      <c r="BF7" s="1"/>
      <c r="BG7" s="1"/>
      <c r="BH7" s="1">
        <v>0</v>
      </c>
      <c r="BI7" s="1"/>
      <c r="BJ7" s="1"/>
      <c r="BK7" s="1"/>
      <c r="BL7" s="1">
        <v>0</v>
      </c>
      <c r="BM7" s="1"/>
      <c r="BN7" s="1"/>
      <c r="BO7" s="1"/>
      <c r="BP7" s="1">
        <v>0</v>
      </c>
      <c r="BQ7" s="1"/>
      <c r="BR7" s="1" t="s">
        <v>18</v>
      </c>
      <c r="BS7" s="1"/>
      <c r="BT7" s="1">
        <v>0</v>
      </c>
      <c r="BU7" s="1"/>
      <c r="BV7" s="1"/>
      <c r="BW7" s="1"/>
      <c r="BX7" s="1">
        <v>0</v>
      </c>
      <c r="BY7" s="1"/>
      <c r="BZ7" s="1"/>
      <c r="CA7" s="1"/>
      <c r="CB7" s="49"/>
      <c r="CC7" s="1"/>
      <c r="CD7" s="49"/>
      <c r="CE7" s="1"/>
      <c r="CF7" s="49"/>
      <c r="CG7" s="1"/>
      <c r="CH7" s="1"/>
      <c r="CI7" s="49"/>
      <c r="CJ7" s="1"/>
      <c r="CK7" s="49"/>
      <c r="CL7" s="1"/>
      <c r="CM7" s="1"/>
      <c r="CN7" s="1"/>
      <c r="CO7" s="1"/>
      <c r="CP7" s="49"/>
      <c r="CQ7" s="1"/>
      <c r="CR7" s="49">
        <v>0.18</v>
      </c>
      <c r="CS7" s="1"/>
      <c r="CT7" s="1"/>
      <c r="CU7" s="48">
        <v>27</v>
      </c>
      <c r="CV7" s="48" t="s">
        <v>298</v>
      </c>
      <c r="CW7" s="48"/>
      <c r="CX7" s="1"/>
      <c r="CZ7" s="10">
        <v>500</v>
      </c>
    </row>
    <row r="8" spans="1:104" s="10" customFormat="1" ht="18" customHeight="1" x14ac:dyDescent="0.25">
      <c r="A8" s="6" t="s">
        <v>295</v>
      </c>
      <c r="B8" s="52"/>
      <c r="C8" s="1" t="s">
        <v>313</v>
      </c>
      <c r="D8" s="1" t="s">
        <v>184</v>
      </c>
      <c r="E8" s="1" t="s">
        <v>297</v>
      </c>
      <c r="F8" s="47"/>
      <c r="G8" s="47"/>
      <c r="H8" s="47">
        <v>0</v>
      </c>
      <c r="I8" s="47"/>
      <c r="J8" s="42" t="s">
        <v>41</v>
      </c>
      <c r="K8" s="42"/>
      <c r="L8" s="42">
        <v>1620</v>
      </c>
      <c r="M8" s="42"/>
      <c r="N8" s="41"/>
      <c r="O8" s="41"/>
      <c r="P8" s="41">
        <v>0</v>
      </c>
      <c r="Q8" s="41"/>
      <c r="R8" s="45"/>
      <c r="S8" s="45"/>
      <c r="T8" s="45">
        <v>0</v>
      </c>
      <c r="U8" s="45"/>
      <c r="V8" s="44" t="s">
        <v>47</v>
      </c>
      <c r="W8" s="44"/>
      <c r="X8" s="44">
        <v>297</v>
      </c>
      <c r="Y8" s="44"/>
      <c r="Z8" s="1"/>
      <c r="AA8" s="1"/>
      <c r="AB8" s="1">
        <v>0</v>
      </c>
      <c r="AC8" s="1"/>
      <c r="AD8" s="43" t="s">
        <v>48</v>
      </c>
      <c r="AE8" s="43"/>
      <c r="AF8" s="43">
        <v>138</v>
      </c>
      <c r="AG8" s="43"/>
      <c r="AH8" s="44" t="s">
        <v>49</v>
      </c>
      <c r="AI8" s="44"/>
      <c r="AJ8" s="44">
        <v>777</v>
      </c>
      <c r="AK8" s="44"/>
      <c r="AL8" s="1" t="s">
        <v>48</v>
      </c>
      <c r="AM8" s="1"/>
      <c r="AN8" s="1">
        <v>479</v>
      </c>
      <c r="AO8" s="1"/>
      <c r="AP8" s="46"/>
      <c r="AQ8" s="46"/>
      <c r="AR8" s="46">
        <v>0</v>
      </c>
      <c r="AS8" s="46"/>
      <c r="AT8" s="1"/>
      <c r="AU8" s="1"/>
      <c r="AV8" s="1">
        <v>0</v>
      </c>
      <c r="AW8" s="1"/>
      <c r="AX8" s="1"/>
      <c r="AY8" s="1"/>
      <c r="AZ8" s="1">
        <v>0</v>
      </c>
      <c r="BA8" s="1"/>
      <c r="BB8" s="1"/>
      <c r="BC8" s="1"/>
      <c r="BD8" s="1">
        <v>0</v>
      </c>
      <c r="BE8" s="1"/>
      <c r="BF8" s="1"/>
      <c r="BG8" s="1"/>
      <c r="BH8" s="1">
        <v>0</v>
      </c>
      <c r="BI8" s="1"/>
      <c r="BJ8" s="1"/>
      <c r="BK8" s="1"/>
      <c r="BL8" s="1">
        <v>0</v>
      </c>
      <c r="BM8" s="1"/>
      <c r="BN8" s="1"/>
      <c r="BO8" s="1"/>
      <c r="BP8" s="1">
        <v>0</v>
      </c>
      <c r="BQ8" s="1"/>
      <c r="BR8" s="1" t="s">
        <v>18</v>
      </c>
      <c r="BS8" s="1"/>
      <c r="BT8" s="1">
        <v>0</v>
      </c>
      <c r="BU8" s="1"/>
      <c r="BV8" s="1"/>
      <c r="BW8" s="1"/>
      <c r="BX8" s="1">
        <v>0</v>
      </c>
      <c r="BY8" s="1"/>
      <c r="BZ8" s="1">
        <v>20094</v>
      </c>
      <c r="CA8" s="1">
        <v>20094</v>
      </c>
      <c r="CB8" s="49"/>
      <c r="CC8" s="1"/>
      <c r="CD8" s="49"/>
      <c r="CE8" s="1"/>
      <c r="CF8" s="49"/>
      <c r="CG8" s="1"/>
      <c r="CH8" s="1">
        <v>20094</v>
      </c>
      <c r="CI8" s="49"/>
      <c r="CJ8" s="1"/>
      <c r="CK8" s="49"/>
      <c r="CL8" s="1"/>
      <c r="CM8" s="1"/>
      <c r="CN8" s="1"/>
      <c r="CO8" s="1">
        <v>20094</v>
      </c>
      <c r="CP8" s="49"/>
      <c r="CQ8" s="1">
        <v>20094</v>
      </c>
      <c r="CR8" s="49">
        <v>0.18</v>
      </c>
      <c r="CS8" s="1">
        <v>3616.92</v>
      </c>
      <c r="CT8" s="1">
        <v>23710.92</v>
      </c>
      <c r="CU8" s="48">
        <v>8</v>
      </c>
      <c r="CV8" s="48" t="s">
        <v>298</v>
      </c>
      <c r="CW8" s="48">
        <v>189687</v>
      </c>
      <c r="CX8" s="1" t="s">
        <v>314</v>
      </c>
      <c r="CY8" s="10" t="s">
        <v>315</v>
      </c>
      <c r="CZ8" s="10">
        <v>500</v>
      </c>
    </row>
    <row r="9" spans="1:104" s="10" customFormat="1" ht="18" customHeight="1" x14ac:dyDescent="0.25">
      <c r="A9" s="6" t="s">
        <v>295</v>
      </c>
      <c r="B9" s="52"/>
      <c r="C9" s="1" t="s">
        <v>316</v>
      </c>
      <c r="D9" s="1" t="s">
        <v>182</v>
      </c>
      <c r="E9" s="1" t="s">
        <v>312</v>
      </c>
      <c r="F9" s="47" t="s">
        <v>65</v>
      </c>
      <c r="G9" s="47"/>
      <c r="H9" s="47">
        <v>88</v>
      </c>
      <c r="I9" s="47"/>
      <c r="J9" s="42" t="s">
        <v>41</v>
      </c>
      <c r="K9" s="42"/>
      <c r="L9" s="42">
        <v>2430</v>
      </c>
      <c r="M9" s="42"/>
      <c r="N9" s="41"/>
      <c r="O9" s="41"/>
      <c r="P9" s="41">
        <v>0</v>
      </c>
      <c r="Q9" s="41"/>
      <c r="R9" s="45" t="s">
        <v>317</v>
      </c>
      <c r="S9" s="45"/>
      <c r="T9" s="45">
        <v>337</v>
      </c>
      <c r="U9" s="45"/>
      <c r="V9" s="44" t="s">
        <v>51</v>
      </c>
      <c r="W9" s="44"/>
      <c r="X9" s="44">
        <v>802</v>
      </c>
      <c r="Y9" s="44"/>
      <c r="Z9" s="1"/>
      <c r="AA9" s="1"/>
      <c r="AB9" s="1">
        <v>0</v>
      </c>
      <c r="AC9" s="1"/>
      <c r="AD9" s="43" t="s">
        <v>48</v>
      </c>
      <c r="AE9" s="43"/>
      <c r="AF9" s="43">
        <v>277</v>
      </c>
      <c r="AG9" s="43"/>
      <c r="AH9" s="44" t="s">
        <v>49</v>
      </c>
      <c r="AI9" s="44"/>
      <c r="AJ9" s="44">
        <v>1125</v>
      </c>
      <c r="AK9" s="44"/>
      <c r="AL9" s="1" t="s">
        <v>48</v>
      </c>
      <c r="AM9" s="1"/>
      <c r="AN9" s="1">
        <v>995</v>
      </c>
      <c r="AO9" s="1"/>
      <c r="AP9" s="46" t="s">
        <v>11</v>
      </c>
      <c r="AQ9" s="46"/>
      <c r="AR9" s="46">
        <v>1258</v>
      </c>
      <c r="AS9" s="46"/>
      <c r="AT9" s="1"/>
      <c r="AU9" s="1"/>
      <c r="AV9" s="1">
        <v>0</v>
      </c>
      <c r="AW9" s="1"/>
      <c r="AX9" s="1"/>
      <c r="AY9" s="1"/>
      <c r="AZ9" s="1">
        <v>0</v>
      </c>
      <c r="BA9" s="1"/>
      <c r="BB9" s="1"/>
      <c r="BC9" s="1"/>
      <c r="BD9" s="1">
        <v>0</v>
      </c>
      <c r="BE9" s="1"/>
      <c r="BF9" s="1"/>
      <c r="BG9" s="1"/>
      <c r="BH9" s="1">
        <v>0</v>
      </c>
      <c r="BI9" s="1"/>
      <c r="BJ9" s="1"/>
      <c r="BK9" s="1"/>
      <c r="BL9" s="1">
        <v>88</v>
      </c>
      <c r="BM9" s="1"/>
      <c r="BN9" s="1"/>
      <c r="BO9" s="1"/>
      <c r="BP9" s="1">
        <v>0</v>
      </c>
      <c r="BQ9" s="1"/>
      <c r="BR9" s="1" t="s">
        <v>18</v>
      </c>
      <c r="BS9" s="1"/>
      <c r="BT9" s="1">
        <v>0</v>
      </c>
      <c r="BU9" s="1"/>
      <c r="BV9" s="1"/>
      <c r="BW9" s="1"/>
      <c r="BX9" s="1">
        <v>0</v>
      </c>
      <c r="BY9" s="1"/>
      <c r="BZ9" s="1">
        <v>60800</v>
      </c>
      <c r="CA9" s="1">
        <v>60800</v>
      </c>
      <c r="CB9" s="49"/>
      <c r="CC9" s="1"/>
      <c r="CD9" s="49"/>
      <c r="CE9" s="1"/>
      <c r="CF9" s="49"/>
      <c r="CG9" s="1"/>
      <c r="CH9" s="1">
        <v>60800</v>
      </c>
      <c r="CI9" s="49"/>
      <c r="CJ9" s="1"/>
      <c r="CK9" s="49"/>
      <c r="CL9" s="1"/>
      <c r="CM9" s="1"/>
      <c r="CN9" s="1"/>
      <c r="CO9" s="1">
        <v>60800</v>
      </c>
      <c r="CP9" s="49"/>
      <c r="CQ9" s="1">
        <v>60800</v>
      </c>
      <c r="CR9" s="49">
        <v>0.18</v>
      </c>
      <c r="CS9" s="1">
        <v>10944</v>
      </c>
      <c r="CT9" s="1">
        <v>71744</v>
      </c>
      <c r="CU9" s="48">
        <v>111</v>
      </c>
      <c r="CV9" s="48" t="s">
        <v>298</v>
      </c>
      <c r="CW9" s="48">
        <v>7963584</v>
      </c>
      <c r="CX9" s="1" t="s">
        <v>318</v>
      </c>
      <c r="CY9" s="10" t="s">
        <v>319</v>
      </c>
      <c r="CZ9" s="10">
        <v>500</v>
      </c>
    </row>
    <row r="10" spans="1:104" s="10" customFormat="1" ht="18" customHeight="1" x14ac:dyDescent="0.25">
      <c r="A10" s="6" t="s">
        <v>295</v>
      </c>
      <c r="B10" s="52"/>
      <c r="C10" s="1" t="s">
        <v>320</v>
      </c>
      <c r="D10" s="1" t="s">
        <v>183</v>
      </c>
      <c r="E10" s="1" t="s">
        <v>312</v>
      </c>
      <c r="F10" s="47" t="s">
        <v>65</v>
      </c>
      <c r="G10" s="47"/>
      <c r="H10" s="47">
        <v>58</v>
      </c>
      <c r="I10" s="47"/>
      <c r="J10" s="42" t="s">
        <v>41</v>
      </c>
      <c r="K10" s="42"/>
      <c r="L10" s="42">
        <v>567</v>
      </c>
      <c r="M10" s="42"/>
      <c r="N10" s="41"/>
      <c r="O10" s="41"/>
      <c r="P10" s="41">
        <v>0</v>
      </c>
      <c r="Q10" s="41"/>
      <c r="R10" s="45" t="s">
        <v>317</v>
      </c>
      <c r="S10" s="45"/>
      <c r="T10" s="45">
        <v>188</v>
      </c>
      <c r="U10" s="45"/>
      <c r="V10" s="44" t="s">
        <v>51</v>
      </c>
      <c r="W10" s="44"/>
      <c r="X10" s="44">
        <v>474</v>
      </c>
      <c r="Y10" s="44"/>
      <c r="Z10" s="1"/>
      <c r="AA10" s="1"/>
      <c r="AB10" s="1">
        <v>0</v>
      </c>
      <c r="AC10" s="1"/>
      <c r="AD10" s="43" t="s">
        <v>48</v>
      </c>
      <c r="AE10" s="43"/>
      <c r="AF10" s="43">
        <v>142</v>
      </c>
      <c r="AG10" s="43"/>
      <c r="AH10" s="44" t="s">
        <v>49</v>
      </c>
      <c r="AI10" s="44"/>
      <c r="AJ10" s="44">
        <v>750</v>
      </c>
      <c r="AK10" s="44"/>
      <c r="AL10" s="1" t="s">
        <v>48</v>
      </c>
      <c r="AM10" s="1"/>
      <c r="AN10" s="1">
        <v>474</v>
      </c>
      <c r="AO10" s="1"/>
      <c r="AP10" s="46" t="s">
        <v>11</v>
      </c>
      <c r="AQ10" s="46"/>
      <c r="AR10" s="46">
        <v>533</v>
      </c>
      <c r="AS10" s="46"/>
      <c r="AT10" s="1"/>
      <c r="AU10" s="1"/>
      <c r="AV10" s="1">
        <v>0</v>
      </c>
      <c r="AW10" s="1"/>
      <c r="AX10" s="1"/>
      <c r="AY10" s="1"/>
      <c r="AZ10" s="1">
        <v>0</v>
      </c>
      <c r="BA10" s="1"/>
      <c r="BB10" s="1"/>
      <c r="BC10" s="1"/>
      <c r="BD10" s="1">
        <v>0</v>
      </c>
      <c r="BE10" s="1"/>
      <c r="BF10" s="1"/>
      <c r="BG10" s="1"/>
      <c r="BH10" s="1">
        <v>0</v>
      </c>
      <c r="BI10" s="1"/>
      <c r="BJ10" s="1"/>
      <c r="BK10" s="1"/>
      <c r="BL10" s="1">
        <v>0</v>
      </c>
      <c r="BM10" s="1"/>
      <c r="BN10" s="1"/>
      <c r="BO10" s="1"/>
      <c r="BP10" s="1">
        <v>0</v>
      </c>
      <c r="BQ10" s="1"/>
      <c r="BR10" s="1" t="s">
        <v>18</v>
      </c>
      <c r="BS10" s="1"/>
      <c r="BT10" s="1">
        <v>0</v>
      </c>
      <c r="BU10" s="1"/>
      <c r="BV10" s="1"/>
      <c r="BW10" s="1"/>
      <c r="BX10" s="1">
        <v>0</v>
      </c>
      <c r="BY10" s="1"/>
      <c r="BZ10" s="1"/>
      <c r="CA10" s="1"/>
      <c r="CB10" s="49"/>
      <c r="CC10" s="1"/>
      <c r="CD10" s="49"/>
      <c r="CE10" s="1"/>
      <c r="CF10" s="49"/>
      <c r="CG10" s="1"/>
      <c r="CH10" s="1"/>
      <c r="CI10" s="49"/>
      <c r="CJ10" s="1"/>
      <c r="CK10" s="49"/>
      <c r="CL10" s="1"/>
      <c r="CM10" s="1"/>
      <c r="CN10" s="1"/>
      <c r="CO10" s="1"/>
      <c r="CP10" s="49"/>
      <c r="CQ10" s="1"/>
      <c r="CR10" s="49">
        <v>0.18</v>
      </c>
      <c r="CS10" s="1"/>
      <c r="CT10" s="1"/>
      <c r="CU10" s="48">
        <v>3</v>
      </c>
      <c r="CV10" s="48" t="s">
        <v>298</v>
      </c>
      <c r="CW10" s="48"/>
      <c r="CX10" s="1" t="s">
        <v>321</v>
      </c>
      <c r="CY10" s="10" t="s">
        <v>322</v>
      </c>
      <c r="CZ10" s="10">
        <v>500</v>
      </c>
    </row>
    <row r="11" spans="1:104" s="10" customFormat="1" ht="18" customHeight="1" x14ac:dyDescent="0.25">
      <c r="A11" s="6"/>
      <c r="B11" s="52"/>
      <c r="C11" s="1"/>
      <c r="D11" s="1"/>
      <c r="E11" s="1"/>
      <c r="F11" s="47"/>
      <c r="G11" s="47"/>
      <c r="H11" s="47"/>
      <c r="I11" s="47"/>
      <c r="J11" s="42"/>
      <c r="K11" s="42"/>
      <c r="L11" s="42"/>
      <c r="M11" s="42"/>
      <c r="N11" s="41"/>
      <c r="O11" s="41"/>
      <c r="P11" s="41"/>
      <c r="Q11" s="41"/>
      <c r="R11" s="45"/>
      <c r="S11" s="45"/>
      <c r="T11" s="45"/>
      <c r="U11" s="45"/>
      <c r="V11" s="44"/>
      <c r="W11" s="44"/>
      <c r="X11" s="44"/>
      <c r="Y11" s="44"/>
      <c r="Z11" s="1"/>
      <c r="AA11" s="1"/>
      <c r="AB11" s="1"/>
      <c r="AC11" s="1"/>
      <c r="AD11" s="43"/>
      <c r="AE11" s="43"/>
      <c r="AF11" s="43"/>
      <c r="AG11" s="43"/>
      <c r="AH11" s="44"/>
      <c r="AI11" s="44"/>
      <c r="AJ11" s="44"/>
      <c r="AK11" s="44"/>
      <c r="AL11" s="1"/>
      <c r="AM11" s="1"/>
      <c r="AN11" s="1"/>
      <c r="AO11" s="1"/>
      <c r="AP11" s="46"/>
      <c r="AQ11" s="46"/>
      <c r="AR11" s="46"/>
      <c r="AS11" s="46"/>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49"/>
      <c r="CC11" s="1"/>
      <c r="CD11" s="49"/>
      <c r="CE11" s="1"/>
      <c r="CF11" s="49"/>
      <c r="CG11" s="1"/>
      <c r="CH11" s="1"/>
      <c r="CI11" s="49"/>
      <c r="CJ11" s="1"/>
      <c r="CK11" s="49"/>
      <c r="CL11" s="1"/>
      <c r="CM11" s="1"/>
      <c r="CN11" s="1"/>
      <c r="CO11" s="1"/>
      <c r="CP11" s="49"/>
      <c r="CQ11" s="1"/>
      <c r="CR11" s="1"/>
      <c r="CS11" s="1"/>
      <c r="CT11" s="1"/>
      <c r="CU11" s="48"/>
      <c r="CV11" s="48"/>
      <c r="CW11" s="48"/>
      <c r="CX11" s="1"/>
    </row>
    <row r="12" spans="1:104" s="10" customFormat="1" ht="18" customHeight="1" x14ac:dyDescent="0.25">
      <c r="A12" s="6"/>
      <c r="B12" s="52"/>
      <c r="C12" s="1"/>
      <c r="D12" s="1"/>
      <c r="E12" s="1"/>
      <c r="F12" s="47"/>
      <c r="G12" s="47"/>
      <c r="H12" s="47"/>
      <c r="I12" s="47"/>
      <c r="J12" s="42"/>
      <c r="K12" s="42"/>
      <c r="L12" s="42"/>
      <c r="M12" s="42"/>
      <c r="N12" s="41"/>
      <c r="O12" s="41"/>
      <c r="P12" s="41"/>
      <c r="Q12" s="41"/>
      <c r="R12" s="45"/>
      <c r="S12" s="45"/>
      <c r="T12" s="45"/>
      <c r="U12" s="45"/>
      <c r="V12" s="44"/>
      <c r="W12" s="44"/>
      <c r="X12" s="44"/>
      <c r="Y12" s="44"/>
      <c r="Z12" s="1"/>
      <c r="AA12" s="1"/>
      <c r="AB12" s="1"/>
      <c r="AC12" s="1"/>
      <c r="AD12" s="43"/>
      <c r="AE12" s="43"/>
      <c r="AF12" s="43"/>
      <c r="AG12" s="43"/>
      <c r="AH12" s="44"/>
      <c r="AI12" s="44"/>
      <c r="AJ12" s="44"/>
      <c r="AK12" s="44"/>
      <c r="AL12" s="1"/>
      <c r="AM12" s="1"/>
      <c r="AN12" s="1"/>
      <c r="AO12" s="1"/>
      <c r="AP12" s="46"/>
      <c r="AQ12" s="46"/>
      <c r="AR12" s="46"/>
      <c r="AS12" s="46"/>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49"/>
      <c r="CC12" s="1"/>
      <c r="CD12" s="49"/>
      <c r="CE12" s="1"/>
      <c r="CF12" s="49"/>
      <c r="CG12" s="1"/>
      <c r="CH12" s="1"/>
      <c r="CI12" s="49"/>
      <c r="CJ12" s="1"/>
      <c r="CK12" s="49"/>
      <c r="CL12" s="1"/>
      <c r="CM12" s="1"/>
      <c r="CN12" s="1"/>
      <c r="CO12" s="1"/>
      <c r="CP12" s="49"/>
      <c r="CQ12" s="1"/>
      <c r="CR12" s="1"/>
      <c r="CS12" s="1"/>
      <c r="CT12" s="1"/>
      <c r="CU12" s="48"/>
      <c r="CV12" s="48"/>
      <c r="CW12" s="48"/>
      <c r="CX12" s="1"/>
    </row>
    <row r="13" spans="1:104" s="10" customFormat="1" ht="18" customHeight="1" x14ac:dyDescent="0.25">
      <c r="A13" s="6"/>
      <c r="B13" s="52"/>
      <c r="C13" s="1"/>
      <c r="D13" s="1"/>
      <c r="E13" s="1"/>
      <c r="F13" s="47"/>
      <c r="G13" s="47"/>
      <c r="H13" s="47"/>
      <c r="I13" s="47"/>
      <c r="J13" s="42"/>
      <c r="K13" s="42"/>
      <c r="L13" s="42"/>
      <c r="M13" s="42"/>
      <c r="N13" s="41"/>
      <c r="O13" s="41"/>
      <c r="P13" s="41"/>
      <c r="Q13" s="41"/>
      <c r="R13" s="45"/>
      <c r="S13" s="45"/>
      <c r="T13" s="45"/>
      <c r="U13" s="45"/>
      <c r="V13" s="44"/>
      <c r="W13" s="44"/>
      <c r="X13" s="44"/>
      <c r="Y13" s="44"/>
      <c r="Z13" s="1"/>
      <c r="AA13" s="1"/>
      <c r="AB13" s="1"/>
      <c r="AC13" s="1"/>
      <c r="AD13" s="43"/>
      <c r="AE13" s="43"/>
      <c r="AF13" s="43"/>
      <c r="AG13" s="43"/>
      <c r="AH13" s="44"/>
      <c r="AI13" s="44"/>
      <c r="AJ13" s="44"/>
      <c r="AK13" s="44"/>
      <c r="AL13" s="1"/>
      <c r="AM13" s="1"/>
      <c r="AN13" s="1"/>
      <c r="AO13" s="1"/>
      <c r="AP13" s="46"/>
      <c r="AQ13" s="46"/>
      <c r="AR13" s="46"/>
      <c r="AS13" s="46"/>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49"/>
      <c r="CC13" s="1"/>
      <c r="CD13" s="49"/>
      <c r="CE13" s="1"/>
      <c r="CF13" s="49"/>
      <c r="CG13" s="1"/>
      <c r="CH13" s="1"/>
      <c r="CI13" s="49"/>
      <c r="CJ13" s="1"/>
      <c r="CK13" s="49"/>
      <c r="CL13" s="1"/>
      <c r="CM13" s="1"/>
      <c r="CN13" s="1"/>
      <c r="CO13" s="1"/>
      <c r="CP13" s="49"/>
      <c r="CQ13" s="1"/>
      <c r="CR13" s="1"/>
      <c r="CS13" s="1"/>
      <c r="CT13" s="1"/>
      <c r="CU13" s="48"/>
      <c r="CV13" s="48"/>
      <c r="CW13" s="48"/>
      <c r="CX13" s="1"/>
    </row>
    <row r="14" spans="1:104" s="10" customFormat="1" ht="18" customHeight="1" x14ac:dyDescent="0.25">
      <c r="A14" s="6"/>
      <c r="B14" s="6"/>
      <c r="C14" s="1"/>
      <c r="D14" s="1"/>
      <c r="E14" s="1"/>
      <c r="F14" s="47"/>
      <c r="G14" s="47"/>
      <c r="H14" s="47"/>
      <c r="I14" s="47"/>
      <c r="J14" s="42"/>
      <c r="K14" s="42"/>
      <c r="L14" s="42"/>
      <c r="M14" s="42"/>
      <c r="N14" s="41"/>
      <c r="O14" s="41"/>
      <c r="P14" s="41"/>
      <c r="Q14" s="41"/>
      <c r="R14" s="45"/>
      <c r="S14" s="45"/>
      <c r="T14" s="45"/>
      <c r="U14" s="45"/>
      <c r="V14" s="44"/>
      <c r="W14" s="44"/>
      <c r="X14" s="44"/>
      <c r="Y14" s="44"/>
      <c r="Z14" s="1"/>
      <c r="AA14" s="1"/>
      <c r="AB14" s="1"/>
      <c r="AC14" s="1"/>
      <c r="AD14" s="43"/>
      <c r="AE14" s="43"/>
      <c r="AF14" s="43"/>
      <c r="AG14" s="43"/>
      <c r="AH14" s="44"/>
      <c r="AI14" s="44"/>
      <c r="AJ14" s="44"/>
      <c r="AK14" s="44"/>
      <c r="AL14" s="1"/>
      <c r="AM14" s="1"/>
      <c r="AN14" s="1"/>
      <c r="AO14" s="1"/>
      <c r="AP14" s="46"/>
      <c r="AQ14" s="46"/>
      <c r="AR14" s="46"/>
      <c r="AS14" s="46"/>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48"/>
      <c r="CW14" s="48"/>
      <c r="CX14" s="1"/>
    </row>
    <row r="15" spans="1:104" s="10" customFormat="1" ht="18" customHeight="1" x14ac:dyDescent="0.25">
      <c r="A15" s="6"/>
      <c r="B15" s="6"/>
      <c r="C15" s="1"/>
      <c r="D15" s="1"/>
      <c r="E15" s="1"/>
      <c r="F15" s="47"/>
      <c r="G15" s="47"/>
      <c r="H15" s="47"/>
      <c r="I15" s="47"/>
      <c r="J15" s="42"/>
      <c r="K15" s="42"/>
      <c r="L15" s="42"/>
      <c r="M15" s="42"/>
      <c r="N15" s="41"/>
      <c r="O15" s="41"/>
      <c r="P15" s="41"/>
      <c r="Q15" s="41"/>
      <c r="R15" s="45"/>
      <c r="S15" s="45"/>
      <c r="T15" s="45"/>
      <c r="U15" s="45"/>
      <c r="V15" s="44"/>
      <c r="W15" s="44"/>
      <c r="X15" s="44"/>
      <c r="Y15" s="44"/>
      <c r="Z15" s="1"/>
      <c r="AA15" s="1"/>
      <c r="AB15" s="1"/>
      <c r="AC15" s="1"/>
      <c r="AD15" s="43"/>
      <c r="AE15" s="43"/>
      <c r="AF15" s="43"/>
      <c r="AG15" s="43"/>
      <c r="AH15" s="44"/>
      <c r="AI15" s="44"/>
      <c r="AJ15" s="44"/>
      <c r="AK15" s="44"/>
      <c r="AL15" s="1"/>
      <c r="AM15" s="1"/>
      <c r="AN15" s="1"/>
      <c r="AO15" s="1"/>
      <c r="AP15" s="46"/>
      <c r="AQ15" s="46"/>
      <c r="AR15" s="46"/>
      <c r="AS15" s="46"/>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48"/>
      <c r="CW15" s="48"/>
      <c r="CX15" s="1"/>
    </row>
    <row r="16" spans="1:104" s="10" customFormat="1" ht="18" customHeight="1" x14ac:dyDescent="0.25">
      <c r="A16" s="6"/>
      <c r="B16" s="6"/>
      <c r="C16" s="1"/>
      <c r="D16" s="1"/>
      <c r="E16" s="1"/>
      <c r="F16" s="47"/>
      <c r="G16" s="47"/>
      <c r="H16" s="47"/>
      <c r="I16" s="47"/>
      <c r="J16" s="42"/>
      <c r="K16" s="42"/>
      <c r="L16" s="42"/>
      <c r="M16" s="42"/>
      <c r="N16" s="41"/>
      <c r="O16" s="41"/>
      <c r="P16" s="41"/>
      <c r="Q16" s="41"/>
      <c r="R16" s="45"/>
      <c r="S16" s="45"/>
      <c r="T16" s="45"/>
      <c r="U16" s="45"/>
      <c r="V16" s="44"/>
      <c r="W16" s="44"/>
      <c r="X16" s="44"/>
      <c r="Y16" s="44"/>
      <c r="Z16" s="1"/>
      <c r="AA16" s="1"/>
      <c r="AB16" s="1"/>
      <c r="AC16" s="1"/>
      <c r="AD16" s="43"/>
      <c r="AE16" s="43"/>
      <c r="AF16" s="43"/>
      <c r="AG16" s="43"/>
      <c r="AH16" s="44"/>
      <c r="AI16" s="44"/>
      <c r="AJ16" s="44"/>
      <c r="AK16" s="44"/>
      <c r="AL16" s="1"/>
      <c r="AM16" s="1"/>
      <c r="AN16" s="1"/>
      <c r="AO16" s="1"/>
      <c r="AP16" s="46"/>
      <c r="AQ16" s="46"/>
      <c r="AR16" s="46"/>
      <c r="AS16" s="46"/>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48"/>
      <c r="CW16" s="48"/>
      <c r="CX16" s="1"/>
    </row>
    <row r="17" spans="1:102" s="10" customFormat="1" ht="18" customHeight="1" x14ac:dyDescent="0.25">
      <c r="A17" s="6"/>
      <c r="B17" s="6"/>
      <c r="C17" s="1"/>
      <c r="D17" s="1"/>
      <c r="E17" s="1"/>
      <c r="F17" s="47"/>
      <c r="G17" s="47"/>
      <c r="H17" s="47"/>
      <c r="I17" s="47"/>
      <c r="J17" s="42"/>
      <c r="K17" s="42"/>
      <c r="L17" s="42"/>
      <c r="M17" s="42"/>
      <c r="N17" s="41"/>
      <c r="O17" s="41"/>
      <c r="P17" s="41"/>
      <c r="Q17" s="41"/>
      <c r="R17" s="45"/>
      <c r="S17" s="45"/>
      <c r="T17" s="45"/>
      <c r="U17" s="45"/>
      <c r="V17" s="44"/>
      <c r="W17" s="44"/>
      <c r="X17" s="44"/>
      <c r="Y17" s="44"/>
      <c r="Z17" s="1"/>
      <c r="AA17" s="1"/>
      <c r="AB17" s="1"/>
      <c r="AC17" s="1"/>
      <c r="AD17" s="43"/>
      <c r="AE17" s="43"/>
      <c r="AF17" s="43"/>
      <c r="AG17" s="43"/>
      <c r="AH17" s="44"/>
      <c r="AI17" s="44"/>
      <c r="AJ17" s="44"/>
      <c r="AK17" s="44"/>
      <c r="AL17" s="1"/>
      <c r="AM17" s="1"/>
      <c r="AN17" s="1"/>
      <c r="AO17" s="1"/>
      <c r="AP17" s="46"/>
      <c r="AQ17" s="46"/>
      <c r="AR17" s="46"/>
      <c r="AS17" s="46"/>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48"/>
      <c r="CW17" s="48"/>
      <c r="CX17" s="1"/>
    </row>
    <row r="18" spans="1:102" s="10" customFormat="1" ht="18" customHeight="1" x14ac:dyDescent="0.25">
      <c r="A18" s="6"/>
      <c r="B18" s="6"/>
      <c r="C18" s="1"/>
      <c r="D18" s="1"/>
      <c r="E18" s="1"/>
      <c r="F18" s="47"/>
      <c r="G18" s="47"/>
      <c r="H18" s="47"/>
      <c r="I18" s="47"/>
      <c r="J18" s="42"/>
      <c r="K18" s="42"/>
      <c r="L18" s="42"/>
      <c r="M18" s="42"/>
      <c r="N18" s="41"/>
      <c r="O18" s="41"/>
      <c r="P18" s="41"/>
      <c r="Q18" s="41"/>
      <c r="R18" s="45"/>
      <c r="S18" s="45"/>
      <c r="T18" s="45"/>
      <c r="U18" s="45"/>
      <c r="V18" s="44"/>
      <c r="W18" s="44"/>
      <c r="X18" s="44"/>
      <c r="Y18" s="44"/>
      <c r="Z18" s="1"/>
      <c r="AA18" s="1"/>
      <c r="AB18" s="1"/>
      <c r="AC18" s="1"/>
      <c r="AD18" s="43"/>
      <c r="AE18" s="43"/>
      <c r="AF18" s="43"/>
      <c r="AG18" s="43"/>
      <c r="AH18" s="44"/>
      <c r="AI18" s="44"/>
      <c r="AJ18" s="44"/>
      <c r="AK18" s="44"/>
      <c r="AL18" s="1"/>
      <c r="AM18" s="1"/>
      <c r="AN18" s="1"/>
      <c r="AO18" s="1"/>
      <c r="AP18" s="46"/>
      <c r="AQ18" s="46"/>
      <c r="AR18" s="46"/>
      <c r="AS18" s="46"/>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48"/>
      <c r="CW18" s="48"/>
      <c r="CX18" s="1"/>
    </row>
    <row r="19" spans="1:102" s="10" customFormat="1" ht="18" customHeight="1" x14ac:dyDescent="0.25">
      <c r="A19" s="6"/>
      <c r="B19" s="6"/>
      <c r="C19" s="1"/>
      <c r="D19" s="1"/>
      <c r="E19" s="1"/>
      <c r="F19" s="47"/>
      <c r="G19" s="47"/>
      <c r="H19" s="47"/>
      <c r="I19" s="47"/>
      <c r="J19" s="42"/>
      <c r="K19" s="42"/>
      <c r="L19" s="42"/>
      <c r="M19" s="42"/>
      <c r="N19" s="41"/>
      <c r="O19" s="41"/>
      <c r="P19" s="41"/>
      <c r="Q19" s="41"/>
      <c r="R19" s="45"/>
      <c r="S19" s="45"/>
      <c r="T19" s="45"/>
      <c r="U19" s="45"/>
      <c r="V19" s="44"/>
      <c r="W19" s="44"/>
      <c r="X19" s="44"/>
      <c r="Y19" s="44"/>
      <c r="Z19" s="1"/>
      <c r="AA19" s="1"/>
      <c r="AB19" s="1"/>
      <c r="AC19" s="1"/>
      <c r="AD19" s="43"/>
      <c r="AE19" s="43"/>
      <c r="AF19" s="43"/>
      <c r="AG19" s="43"/>
      <c r="AH19" s="44"/>
      <c r="AI19" s="44"/>
      <c r="AJ19" s="44"/>
      <c r="AK19" s="44"/>
      <c r="AL19" s="1"/>
      <c r="AM19" s="1"/>
      <c r="AN19" s="1"/>
      <c r="AO19" s="1"/>
      <c r="AP19" s="46"/>
      <c r="AQ19" s="46"/>
      <c r="AR19" s="46"/>
      <c r="AS19" s="46"/>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48"/>
      <c r="CW19" s="48"/>
      <c r="CX19" s="1"/>
    </row>
    <row r="20" spans="1:102" s="10" customFormat="1" ht="18" customHeight="1" x14ac:dyDescent="0.25">
      <c r="A20" s="6"/>
      <c r="B20" s="6"/>
      <c r="C20" s="1"/>
      <c r="D20" s="1"/>
      <c r="E20" s="1"/>
      <c r="F20" s="47"/>
      <c r="G20" s="47"/>
      <c r="H20" s="47"/>
      <c r="I20" s="47"/>
      <c r="J20" s="42"/>
      <c r="K20" s="42"/>
      <c r="L20" s="42"/>
      <c r="M20" s="42"/>
      <c r="N20" s="41"/>
      <c r="O20" s="41"/>
      <c r="P20" s="41"/>
      <c r="Q20" s="41"/>
      <c r="R20" s="45"/>
      <c r="S20" s="45"/>
      <c r="T20" s="45"/>
      <c r="U20" s="45"/>
      <c r="V20" s="44"/>
      <c r="W20" s="44"/>
      <c r="X20" s="44"/>
      <c r="Y20" s="44"/>
      <c r="Z20" s="1"/>
      <c r="AA20" s="1"/>
      <c r="AB20" s="1"/>
      <c r="AC20" s="1"/>
      <c r="AD20" s="43"/>
      <c r="AE20" s="43"/>
      <c r="AF20" s="43"/>
      <c r="AG20" s="43"/>
      <c r="AH20" s="44"/>
      <c r="AI20" s="44"/>
      <c r="AJ20" s="44"/>
      <c r="AK20" s="44"/>
      <c r="AL20" s="1"/>
      <c r="AM20" s="1"/>
      <c r="AN20" s="1"/>
      <c r="AO20" s="1"/>
      <c r="AP20" s="46"/>
      <c r="AQ20" s="46"/>
      <c r="AR20" s="46"/>
      <c r="AS20" s="46"/>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48"/>
      <c r="CW20" s="48"/>
      <c r="CX20" s="1"/>
    </row>
    <row r="21" spans="1:102" s="10" customFormat="1" ht="18" customHeight="1" x14ac:dyDescent="0.25">
      <c r="A21" s="6"/>
      <c r="B21" s="6"/>
      <c r="C21" s="1"/>
      <c r="D21" s="1"/>
      <c r="E21" s="1"/>
      <c r="F21" s="47"/>
      <c r="G21" s="47"/>
      <c r="H21" s="47"/>
      <c r="I21" s="47"/>
      <c r="J21" s="42"/>
      <c r="K21" s="42"/>
      <c r="L21" s="42"/>
      <c r="M21" s="42"/>
      <c r="N21" s="41"/>
      <c r="O21" s="41"/>
      <c r="P21" s="41"/>
      <c r="Q21" s="41"/>
      <c r="R21" s="45"/>
      <c r="S21" s="45"/>
      <c r="T21" s="45"/>
      <c r="U21" s="45"/>
      <c r="V21" s="44"/>
      <c r="W21" s="44"/>
      <c r="X21" s="44"/>
      <c r="Y21" s="44"/>
      <c r="Z21" s="1"/>
      <c r="AA21" s="1"/>
      <c r="AB21" s="1"/>
      <c r="AC21" s="1"/>
      <c r="AD21" s="43"/>
      <c r="AE21" s="43"/>
      <c r="AF21" s="43"/>
      <c r="AG21" s="43"/>
      <c r="AH21" s="44"/>
      <c r="AI21" s="44"/>
      <c r="AJ21" s="44"/>
      <c r="AK21" s="44"/>
      <c r="AL21" s="1"/>
      <c r="AM21" s="1"/>
      <c r="AN21" s="1"/>
      <c r="AO21" s="1"/>
      <c r="AP21" s="46"/>
      <c r="AQ21" s="46"/>
      <c r="AR21" s="46"/>
      <c r="AS21" s="46"/>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48"/>
      <c r="CW21" s="48"/>
      <c r="CX21" s="1"/>
    </row>
    <row r="22" spans="1:102" s="10" customFormat="1" ht="18" customHeight="1" x14ac:dyDescent="0.25">
      <c r="A22" s="6"/>
      <c r="B22" s="6"/>
      <c r="C22" s="1"/>
      <c r="D22" s="1"/>
      <c r="E22" s="1"/>
      <c r="F22" s="47"/>
      <c r="G22" s="47"/>
      <c r="H22" s="47"/>
      <c r="I22" s="47"/>
      <c r="J22" s="42"/>
      <c r="K22" s="42"/>
      <c r="L22" s="42"/>
      <c r="M22" s="42"/>
      <c r="N22" s="41"/>
      <c r="O22" s="41"/>
      <c r="P22" s="41"/>
      <c r="Q22" s="41"/>
      <c r="R22" s="45"/>
      <c r="S22" s="45"/>
      <c r="T22" s="45"/>
      <c r="U22" s="45"/>
      <c r="V22" s="44"/>
      <c r="W22" s="44"/>
      <c r="X22" s="44"/>
      <c r="Y22" s="44"/>
      <c r="Z22" s="1"/>
      <c r="AA22" s="1"/>
      <c r="AB22" s="1"/>
      <c r="AC22" s="1"/>
      <c r="AD22" s="43"/>
      <c r="AE22" s="43"/>
      <c r="AF22" s="43"/>
      <c r="AG22" s="43"/>
      <c r="AH22" s="44"/>
      <c r="AI22" s="44"/>
      <c r="AJ22" s="44"/>
      <c r="AK22" s="44"/>
      <c r="AL22" s="1"/>
      <c r="AM22" s="1"/>
      <c r="AN22" s="1"/>
      <c r="AO22" s="1"/>
      <c r="AP22" s="46"/>
      <c r="AQ22" s="46"/>
      <c r="AR22" s="46"/>
      <c r="AS22" s="46"/>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48"/>
      <c r="CW22" s="48"/>
      <c r="CX22" s="1"/>
    </row>
    <row r="23" spans="1:102" s="10" customFormat="1" ht="18" customHeight="1" x14ac:dyDescent="0.25">
      <c r="A23" s="6"/>
      <c r="B23" s="6"/>
      <c r="C23" s="1"/>
      <c r="D23" s="1"/>
      <c r="E23" s="1"/>
      <c r="F23" s="47"/>
      <c r="G23" s="47"/>
      <c r="H23" s="47"/>
      <c r="I23" s="47"/>
      <c r="J23" s="42"/>
      <c r="K23" s="42"/>
      <c r="L23" s="42"/>
      <c r="M23" s="42"/>
      <c r="N23" s="41"/>
      <c r="O23" s="41"/>
      <c r="P23" s="41"/>
      <c r="Q23" s="41"/>
      <c r="R23" s="45"/>
      <c r="S23" s="45"/>
      <c r="T23" s="45"/>
      <c r="U23" s="45"/>
      <c r="V23" s="44"/>
      <c r="W23" s="44"/>
      <c r="X23" s="44"/>
      <c r="Y23" s="44"/>
      <c r="Z23" s="1"/>
      <c r="AA23" s="1"/>
      <c r="AB23" s="1"/>
      <c r="AC23" s="1"/>
      <c r="AD23" s="43"/>
      <c r="AE23" s="43"/>
      <c r="AF23" s="43"/>
      <c r="AG23" s="43"/>
      <c r="AH23" s="44"/>
      <c r="AI23" s="44"/>
      <c r="AJ23" s="44"/>
      <c r="AK23" s="44"/>
      <c r="AL23" s="1"/>
      <c r="AM23" s="1"/>
      <c r="AN23" s="1"/>
      <c r="AO23" s="1"/>
      <c r="AP23" s="46"/>
      <c r="AQ23" s="46"/>
      <c r="AR23" s="46"/>
      <c r="AS23" s="46"/>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48"/>
      <c r="CW23" s="48"/>
      <c r="CX23" s="1"/>
    </row>
    <row r="24" spans="1:102" s="10" customFormat="1" ht="18" customHeight="1" x14ac:dyDescent="0.25">
      <c r="A24" s="6"/>
      <c r="B24" s="6"/>
      <c r="C24" s="1"/>
      <c r="D24" s="1"/>
      <c r="E24" s="1"/>
      <c r="F24" s="47"/>
      <c r="G24" s="47"/>
      <c r="H24" s="47"/>
      <c r="I24" s="47"/>
      <c r="J24" s="42"/>
      <c r="K24" s="42"/>
      <c r="L24" s="42"/>
      <c r="M24" s="42"/>
      <c r="N24" s="41"/>
      <c r="O24" s="41"/>
      <c r="P24" s="41"/>
      <c r="Q24" s="41"/>
      <c r="R24" s="45"/>
      <c r="S24" s="45"/>
      <c r="T24" s="45"/>
      <c r="U24" s="45"/>
      <c r="V24" s="44"/>
      <c r="W24" s="44"/>
      <c r="X24" s="44"/>
      <c r="Y24" s="44"/>
      <c r="Z24" s="1"/>
      <c r="AA24" s="1"/>
      <c r="AB24" s="1"/>
      <c r="AC24" s="1"/>
      <c r="AD24" s="43"/>
      <c r="AE24" s="43"/>
      <c r="AF24" s="43"/>
      <c r="AG24" s="43"/>
      <c r="AH24" s="44"/>
      <c r="AI24" s="44"/>
      <c r="AJ24" s="44"/>
      <c r="AK24" s="44"/>
      <c r="AL24" s="1"/>
      <c r="AM24" s="1"/>
      <c r="AN24" s="1"/>
      <c r="AO24" s="1"/>
      <c r="AP24" s="46"/>
      <c r="AQ24" s="46"/>
      <c r="AR24" s="46"/>
      <c r="AS24" s="46"/>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48"/>
      <c r="CW24" s="48"/>
      <c r="CX24" s="1"/>
    </row>
    <row r="25" spans="1:102" s="10" customFormat="1" ht="18" customHeight="1" x14ac:dyDescent="0.25">
      <c r="A25" s="6"/>
      <c r="B25" s="6"/>
      <c r="C25" s="1"/>
      <c r="D25" s="1"/>
      <c r="E25" s="1"/>
      <c r="F25" s="47"/>
      <c r="G25" s="47"/>
      <c r="H25" s="47"/>
      <c r="I25" s="47"/>
      <c r="J25" s="42"/>
      <c r="K25" s="42"/>
      <c r="L25" s="42"/>
      <c r="M25" s="42"/>
      <c r="N25" s="41"/>
      <c r="O25" s="41"/>
      <c r="P25" s="41"/>
      <c r="Q25" s="41"/>
      <c r="R25" s="45"/>
      <c r="S25" s="45"/>
      <c r="T25" s="45"/>
      <c r="U25" s="45"/>
      <c r="V25" s="44"/>
      <c r="W25" s="44"/>
      <c r="X25" s="44"/>
      <c r="Y25" s="44"/>
      <c r="Z25" s="1"/>
      <c r="AA25" s="1"/>
      <c r="AB25" s="1"/>
      <c r="AC25" s="1"/>
      <c r="AD25" s="43"/>
      <c r="AE25" s="43"/>
      <c r="AF25" s="43"/>
      <c r="AG25" s="43"/>
      <c r="AH25" s="44"/>
      <c r="AI25" s="44"/>
      <c r="AJ25" s="44"/>
      <c r="AK25" s="44"/>
      <c r="AL25" s="1"/>
      <c r="AM25" s="1"/>
      <c r="AN25" s="1"/>
      <c r="AO25" s="1"/>
      <c r="AP25" s="46"/>
      <c r="AQ25" s="46"/>
      <c r="AR25" s="46"/>
      <c r="AS25" s="46"/>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48"/>
      <c r="CW25" s="48"/>
      <c r="CX25" s="1"/>
    </row>
    <row r="26" spans="1:102" s="10" customFormat="1" ht="18" customHeight="1" x14ac:dyDescent="0.25">
      <c r="A26" s="6"/>
      <c r="B26" s="6"/>
      <c r="C26" s="1"/>
      <c r="D26" s="1"/>
      <c r="E26" s="1"/>
      <c r="F26" s="47"/>
      <c r="G26" s="47"/>
      <c r="H26" s="47"/>
      <c r="I26" s="47"/>
      <c r="J26" s="42"/>
      <c r="K26" s="42"/>
      <c r="L26" s="42"/>
      <c r="M26" s="42"/>
      <c r="N26" s="41"/>
      <c r="O26" s="41"/>
      <c r="P26" s="41"/>
      <c r="Q26" s="41"/>
      <c r="R26" s="45"/>
      <c r="S26" s="45"/>
      <c r="T26" s="45"/>
      <c r="U26" s="45"/>
      <c r="V26" s="44"/>
      <c r="W26" s="44"/>
      <c r="X26" s="44"/>
      <c r="Y26" s="44"/>
      <c r="Z26" s="1"/>
      <c r="AA26" s="1"/>
      <c r="AB26" s="1"/>
      <c r="AC26" s="1"/>
      <c r="AD26" s="43"/>
      <c r="AE26" s="43"/>
      <c r="AF26" s="43"/>
      <c r="AG26" s="43"/>
      <c r="AH26" s="44"/>
      <c r="AI26" s="44"/>
      <c r="AJ26" s="44"/>
      <c r="AK26" s="44"/>
      <c r="AL26" s="1"/>
      <c r="AM26" s="1"/>
      <c r="AN26" s="1"/>
      <c r="AO26" s="1"/>
      <c r="AP26" s="46"/>
      <c r="AQ26" s="46"/>
      <c r="AR26" s="46"/>
      <c r="AS26" s="46"/>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48"/>
      <c r="CW26" s="48"/>
      <c r="CX26" s="1"/>
    </row>
    <row r="27" spans="1:102" s="10" customFormat="1" ht="18" customHeight="1" x14ac:dyDescent="0.25">
      <c r="A27" s="6"/>
      <c r="B27" s="6"/>
      <c r="C27" s="1"/>
      <c r="D27" s="1"/>
      <c r="E27" s="1"/>
      <c r="F27" s="47"/>
      <c r="G27" s="47"/>
      <c r="H27" s="47"/>
      <c r="I27" s="47"/>
      <c r="J27" s="42"/>
      <c r="K27" s="42"/>
      <c r="L27" s="42"/>
      <c r="M27" s="42"/>
      <c r="N27" s="41"/>
      <c r="O27" s="41"/>
      <c r="P27" s="41"/>
      <c r="Q27" s="41"/>
      <c r="R27" s="45"/>
      <c r="S27" s="45"/>
      <c r="T27" s="45"/>
      <c r="U27" s="45"/>
      <c r="V27" s="44"/>
      <c r="W27" s="44"/>
      <c r="X27" s="44"/>
      <c r="Y27" s="44"/>
      <c r="Z27" s="1"/>
      <c r="AA27" s="1"/>
      <c r="AB27" s="1"/>
      <c r="AC27" s="1"/>
      <c r="AD27" s="43"/>
      <c r="AE27" s="43"/>
      <c r="AF27" s="43"/>
      <c r="AG27" s="43"/>
      <c r="AH27" s="44"/>
      <c r="AI27" s="44"/>
      <c r="AJ27" s="44"/>
      <c r="AK27" s="44"/>
      <c r="AL27" s="1"/>
      <c r="AM27" s="1"/>
      <c r="AN27" s="1"/>
      <c r="AO27" s="1"/>
      <c r="AP27" s="46"/>
      <c r="AQ27" s="46"/>
      <c r="AR27" s="46"/>
      <c r="AS27" s="46"/>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48"/>
      <c r="CW27" s="48"/>
      <c r="CX27" s="1"/>
    </row>
    <row r="28" spans="1:102" s="10" customFormat="1" ht="18" customHeight="1" x14ac:dyDescent="0.25">
      <c r="A28" s="6"/>
      <c r="B28" s="6"/>
      <c r="C28" s="1"/>
      <c r="D28" s="1"/>
      <c r="E28" s="1"/>
      <c r="F28" s="47"/>
      <c r="G28" s="47"/>
      <c r="H28" s="47"/>
      <c r="I28" s="47"/>
      <c r="J28" s="42"/>
      <c r="K28" s="42"/>
      <c r="L28" s="42"/>
      <c r="M28" s="42"/>
      <c r="N28" s="41"/>
      <c r="O28" s="41"/>
      <c r="P28" s="41"/>
      <c r="Q28" s="41"/>
      <c r="R28" s="45"/>
      <c r="S28" s="45"/>
      <c r="T28" s="45"/>
      <c r="U28" s="45"/>
      <c r="V28" s="44"/>
      <c r="W28" s="44"/>
      <c r="X28" s="44"/>
      <c r="Y28" s="44"/>
      <c r="Z28" s="1"/>
      <c r="AA28" s="1"/>
      <c r="AB28" s="1"/>
      <c r="AC28" s="1"/>
      <c r="AD28" s="43"/>
      <c r="AE28" s="43"/>
      <c r="AF28" s="43"/>
      <c r="AG28" s="43"/>
      <c r="AH28" s="44"/>
      <c r="AI28" s="44"/>
      <c r="AJ28" s="44"/>
      <c r="AK28" s="44"/>
      <c r="AL28" s="1"/>
      <c r="AM28" s="1"/>
      <c r="AN28" s="1"/>
      <c r="AO28" s="1"/>
      <c r="AP28" s="46"/>
      <c r="AQ28" s="46"/>
      <c r="AR28" s="46"/>
      <c r="AS28" s="46"/>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48"/>
      <c r="CW28" s="48"/>
      <c r="CX28" s="1"/>
    </row>
    <row r="29" spans="1:102" s="10" customFormat="1" ht="18" customHeight="1" x14ac:dyDescent="0.25">
      <c r="A29" s="6"/>
      <c r="B29" s="6"/>
      <c r="C29" s="1"/>
      <c r="D29" s="1"/>
      <c r="E29" s="1"/>
      <c r="F29" s="47"/>
      <c r="G29" s="47"/>
      <c r="H29" s="47"/>
      <c r="I29" s="47"/>
      <c r="J29" s="42"/>
      <c r="K29" s="42"/>
      <c r="L29" s="42"/>
      <c r="M29" s="42"/>
      <c r="N29" s="41"/>
      <c r="O29" s="41"/>
      <c r="P29" s="41"/>
      <c r="Q29" s="41"/>
      <c r="R29" s="45"/>
      <c r="S29" s="45"/>
      <c r="T29" s="45"/>
      <c r="U29" s="45"/>
      <c r="V29" s="44"/>
      <c r="W29" s="44"/>
      <c r="X29" s="44"/>
      <c r="Y29" s="44"/>
      <c r="Z29" s="1"/>
      <c r="AA29" s="1"/>
      <c r="AB29" s="1"/>
      <c r="AC29" s="1"/>
      <c r="AD29" s="43"/>
      <c r="AE29" s="43"/>
      <c r="AF29" s="43"/>
      <c r="AG29" s="43"/>
      <c r="AH29" s="44"/>
      <c r="AI29" s="44"/>
      <c r="AJ29" s="44"/>
      <c r="AK29" s="44"/>
      <c r="AL29" s="1"/>
      <c r="AM29" s="1"/>
      <c r="AN29" s="1"/>
      <c r="AO29" s="1"/>
      <c r="AP29" s="46"/>
      <c r="AQ29" s="46"/>
      <c r="AR29" s="46"/>
      <c r="AS29" s="46"/>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48"/>
      <c r="CW29" s="48"/>
      <c r="CX29" s="1"/>
    </row>
    <row r="30" spans="1:102" s="10" customFormat="1" ht="18" customHeight="1" x14ac:dyDescent="0.25">
      <c r="A30" s="6"/>
      <c r="B30" s="6"/>
      <c r="C30" s="1"/>
      <c r="D30" s="1"/>
      <c r="E30" s="1"/>
      <c r="F30" s="47"/>
      <c r="G30" s="47"/>
      <c r="H30" s="47"/>
      <c r="I30" s="47"/>
      <c r="J30" s="42"/>
      <c r="K30" s="42"/>
      <c r="L30" s="42"/>
      <c r="M30" s="42"/>
      <c r="N30" s="41"/>
      <c r="O30" s="41"/>
      <c r="P30" s="41"/>
      <c r="Q30" s="41"/>
      <c r="R30" s="45"/>
      <c r="S30" s="45"/>
      <c r="T30" s="45"/>
      <c r="U30" s="45"/>
      <c r="V30" s="44"/>
      <c r="W30" s="44"/>
      <c r="X30" s="44"/>
      <c r="Y30" s="44"/>
      <c r="Z30" s="1"/>
      <c r="AA30" s="1"/>
      <c r="AB30" s="1"/>
      <c r="AC30" s="1"/>
      <c r="AD30" s="43"/>
      <c r="AE30" s="43"/>
      <c r="AF30" s="43"/>
      <c r="AG30" s="43"/>
      <c r="AH30" s="44"/>
      <c r="AI30" s="44"/>
      <c r="AJ30" s="44"/>
      <c r="AK30" s="44"/>
      <c r="AL30" s="1"/>
      <c r="AM30" s="1"/>
      <c r="AN30" s="1"/>
      <c r="AO30" s="1"/>
      <c r="AP30" s="46"/>
      <c r="AQ30" s="46"/>
      <c r="AR30" s="46"/>
      <c r="AS30" s="46"/>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48"/>
      <c r="CW30" s="48"/>
      <c r="CX30" s="1"/>
    </row>
    <row r="31" spans="1:102" s="10" customFormat="1" ht="18" customHeight="1" x14ac:dyDescent="0.25">
      <c r="A31" s="6"/>
      <c r="B31" s="6"/>
      <c r="C31" s="1"/>
      <c r="D31" s="1"/>
      <c r="E31" s="1"/>
      <c r="F31" s="47"/>
      <c r="G31" s="47"/>
      <c r="H31" s="47"/>
      <c r="I31" s="47"/>
      <c r="J31" s="42"/>
      <c r="K31" s="42"/>
      <c r="L31" s="42"/>
      <c r="M31" s="42"/>
      <c r="N31" s="41"/>
      <c r="O31" s="41"/>
      <c r="P31" s="41"/>
      <c r="Q31" s="41"/>
      <c r="R31" s="45"/>
      <c r="S31" s="45"/>
      <c r="T31" s="45"/>
      <c r="U31" s="45"/>
      <c r="V31" s="44"/>
      <c r="W31" s="44"/>
      <c r="X31" s="44"/>
      <c r="Y31" s="44"/>
      <c r="Z31" s="1"/>
      <c r="AA31" s="1"/>
      <c r="AB31" s="1"/>
      <c r="AC31" s="1"/>
      <c r="AD31" s="43"/>
      <c r="AE31" s="43"/>
      <c r="AF31" s="43"/>
      <c r="AG31" s="43"/>
      <c r="AH31" s="44"/>
      <c r="AI31" s="44"/>
      <c r="AJ31" s="44"/>
      <c r="AK31" s="44"/>
      <c r="AL31" s="1"/>
      <c r="AM31" s="1"/>
      <c r="AN31" s="1"/>
      <c r="AO31" s="1"/>
      <c r="AP31" s="46"/>
      <c r="AQ31" s="46"/>
      <c r="AR31" s="46"/>
      <c r="AS31" s="46"/>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48"/>
      <c r="CW31" s="48"/>
      <c r="CX31" s="1"/>
    </row>
    <row r="32" spans="1:102" s="10" customFormat="1" ht="18" customHeight="1" x14ac:dyDescent="0.25">
      <c r="A32" s="6"/>
      <c r="B32" s="6"/>
      <c r="C32" s="1"/>
      <c r="D32" s="1"/>
      <c r="E32" s="1"/>
      <c r="F32" s="47"/>
      <c r="G32" s="47"/>
      <c r="H32" s="47"/>
      <c r="I32" s="47"/>
      <c r="J32" s="42"/>
      <c r="K32" s="42"/>
      <c r="L32" s="42"/>
      <c r="M32" s="42"/>
      <c r="N32" s="41"/>
      <c r="O32" s="41"/>
      <c r="P32" s="41"/>
      <c r="Q32" s="41"/>
      <c r="R32" s="45"/>
      <c r="S32" s="45"/>
      <c r="T32" s="45"/>
      <c r="U32" s="45"/>
      <c r="V32" s="44"/>
      <c r="W32" s="44"/>
      <c r="X32" s="44"/>
      <c r="Y32" s="44"/>
      <c r="Z32" s="1"/>
      <c r="AA32" s="1"/>
      <c r="AB32" s="1"/>
      <c r="AC32" s="1"/>
      <c r="AD32" s="43"/>
      <c r="AE32" s="43"/>
      <c r="AF32" s="43"/>
      <c r="AG32" s="43"/>
      <c r="AH32" s="44"/>
      <c r="AI32" s="44"/>
      <c r="AJ32" s="44"/>
      <c r="AK32" s="44"/>
      <c r="AL32" s="1"/>
      <c r="AM32" s="1"/>
      <c r="AN32" s="1"/>
      <c r="AO32" s="1"/>
      <c r="AP32" s="46"/>
      <c r="AQ32" s="46"/>
      <c r="AR32" s="46"/>
      <c r="AS32" s="46"/>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48"/>
      <c r="CW32" s="48"/>
      <c r="CX32" s="1"/>
    </row>
    <row r="33" spans="1:102" s="10" customFormat="1" ht="18" customHeight="1" x14ac:dyDescent="0.25">
      <c r="A33" s="6"/>
      <c r="B33" s="6"/>
      <c r="C33" s="1"/>
      <c r="D33" s="1"/>
      <c r="E33" s="1"/>
      <c r="F33" s="47"/>
      <c r="G33" s="47"/>
      <c r="H33" s="47"/>
      <c r="I33" s="47"/>
      <c r="J33" s="42"/>
      <c r="K33" s="42"/>
      <c r="L33" s="42"/>
      <c r="M33" s="42"/>
      <c r="N33" s="41"/>
      <c r="O33" s="41"/>
      <c r="P33" s="41"/>
      <c r="Q33" s="41"/>
      <c r="R33" s="45"/>
      <c r="S33" s="45"/>
      <c r="T33" s="45"/>
      <c r="U33" s="45"/>
      <c r="V33" s="44"/>
      <c r="W33" s="44"/>
      <c r="X33" s="44"/>
      <c r="Y33" s="44"/>
      <c r="Z33" s="1"/>
      <c r="AA33" s="1"/>
      <c r="AB33" s="1"/>
      <c r="AC33" s="1"/>
      <c r="AD33" s="43"/>
      <c r="AE33" s="43"/>
      <c r="AF33" s="43"/>
      <c r="AG33" s="43"/>
      <c r="AH33" s="44"/>
      <c r="AI33" s="44"/>
      <c r="AJ33" s="44"/>
      <c r="AK33" s="44"/>
      <c r="AL33" s="1"/>
      <c r="AM33" s="1"/>
      <c r="AN33" s="1"/>
      <c r="AO33" s="1"/>
      <c r="AP33" s="46"/>
      <c r="AQ33" s="46"/>
      <c r="AR33" s="46"/>
      <c r="AS33" s="46"/>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48"/>
      <c r="CW33" s="48"/>
      <c r="CX33" s="1"/>
    </row>
    <row r="34" spans="1:102" s="10" customFormat="1" ht="18" customHeight="1" x14ac:dyDescent="0.25">
      <c r="A34" s="6"/>
      <c r="B34" s="6"/>
      <c r="C34" s="1"/>
      <c r="D34" s="1"/>
      <c r="E34" s="1"/>
      <c r="F34" s="47"/>
      <c r="G34" s="47"/>
      <c r="H34" s="47"/>
      <c r="I34" s="47"/>
      <c r="J34" s="42"/>
      <c r="K34" s="42"/>
      <c r="L34" s="42"/>
      <c r="M34" s="42"/>
      <c r="N34" s="41"/>
      <c r="O34" s="41"/>
      <c r="P34" s="41"/>
      <c r="Q34" s="41"/>
      <c r="R34" s="45"/>
      <c r="S34" s="45"/>
      <c r="T34" s="45"/>
      <c r="U34" s="45"/>
      <c r="V34" s="44"/>
      <c r="W34" s="44"/>
      <c r="X34" s="44"/>
      <c r="Y34" s="44"/>
      <c r="Z34" s="1"/>
      <c r="AA34" s="1"/>
      <c r="AB34" s="1"/>
      <c r="AC34" s="1"/>
      <c r="AD34" s="43"/>
      <c r="AE34" s="43"/>
      <c r="AF34" s="43"/>
      <c r="AG34" s="43"/>
      <c r="AH34" s="44"/>
      <c r="AI34" s="44"/>
      <c r="AJ34" s="44"/>
      <c r="AK34" s="44"/>
      <c r="AL34" s="1"/>
      <c r="AM34" s="1"/>
      <c r="AN34" s="1"/>
      <c r="AO34" s="1"/>
      <c r="AP34" s="46"/>
      <c r="AQ34" s="46"/>
      <c r="AR34" s="46"/>
      <c r="AS34" s="46"/>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48"/>
      <c r="CW34" s="48"/>
      <c r="CX34" s="1"/>
    </row>
    <row r="35" spans="1:102" s="10" customFormat="1" ht="18" customHeight="1" x14ac:dyDescent="0.25">
      <c r="A35" s="6"/>
      <c r="B35" s="6"/>
      <c r="C35" s="1"/>
      <c r="D35" s="1"/>
      <c r="E35" s="1"/>
      <c r="F35" s="47"/>
      <c r="G35" s="47"/>
      <c r="H35" s="47"/>
      <c r="I35" s="47"/>
      <c r="J35" s="42"/>
      <c r="K35" s="42"/>
      <c r="L35" s="42"/>
      <c r="M35" s="42"/>
      <c r="N35" s="41"/>
      <c r="O35" s="41"/>
      <c r="P35" s="41"/>
      <c r="Q35" s="41"/>
      <c r="R35" s="45"/>
      <c r="S35" s="45"/>
      <c r="T35" s="45"/>
      <c r="U35" s="45"/>
      <c r="V35" s="44"/>
      <c r="W35" s="44"/>
      <c r="X35" s="44"/>
      <c r="Y35" s="44"/>
      <c r="Z35" s="1"/>
      <c r="AA35" s="1"/>
      <c r="AB35" s="1"/>
      <c r="AC35" s="1"/>
      <c r="AD35" s="43"/>
      <c r="AE35" s="43"/>
      <c r="AF35" s="43"/>
      <c r="AG35" s="43"/>
      <c r="AH35" s="44"/>
      <c r="AI35" s="44"/>
      <c r="AJ35" s="44"/>
      <c r="AK35" s="44"/>
      <c r="AL35" s="1"/>
      <c r="AM35" s="1"/>
      <c r="AN35" s="1"/>
      <c r="AO35" s="1"/>
      <c r="AP35" s="46"/>
      <c r="AQ35" s="46"/>
      <c r="AR35" s="46"/>
      <c r="AS35" s="46"/>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48"/>
      <c r="CW35" s="48"/>
      <c r="CX35" s="1"/>
    </row>
    <row r="36" spans="1:102" s="10" customFormat="1" ht="18" customHeight="1" x14ac:dyDescent="0.25">
      <c r="A36" s="6"/>
      <c r="B36" s="6"/>
      <c r="C36" s="1"/>
      <c r="D36" s="1"/>
      <c r="E36" s="1"/>
      <c r="F36" s="47"/>
      <c r="G36" s="47"/>
      <c r="H36" s="47"/>
      <c r="I36" s="47"/>
      <c r="J36" s="42"/>
      <c r="K36" s="42"/>
      <c r="L36" s="42"/>
      <c r="M36" s="42"/>
      <c r="N36" s="41"/>
      <c r="O36" s="41"/>
      <c r="P36" s="41"/>
      <c r="Q36" s="41"/>
      <c r="R36" s="45"/>
      <c r="S36" s="45"/>
      <c r="T36" s="45"/>
      <c r="U36" s="45"/>
      <c r="V36" s="44"/>
      <c r="W36" s="44"/>
      <c r="X36" s="44"/>
      <c r="Y36" s="44"/>
      <c r="Z36" s="1"/>
      <c r="AA36" s="1"/>
      <c r="AB36" s="1"/>
      <c r="AC36" s="1"/>
      <c r="AD36" s="43"/>
      <c r="AE36" s="43"/>
      <c r="AF36" s="43"/>
      <c r="AG36" s="43"/>
      <c r="AH36" s="44"/>
      <c r="AI36" s="44"/>
      <c r="AJ36" s="44"/>
      <c r="AK36" s="44"/>
      <c r="AL36" s="1"/>
      <c r="AM36" s="1"/>
      <c r="AN36" s="1"/>
      <c r="AO36" s="1"/>
      <c r="AP36" s="46"/>
      <c r="AQ36" s="46"/>
      <c r="AR36" s="46"/>
      <c r="AS36" s="46"/>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48"/>
      <c r="CW36" s="48"/>
      <c r="CX36" s="1"/>
    </row>
    <row r="37" spans="1:102" s="10" customFormat="1" ht="18" customHeight="1" x14ac:dyDescent="0.25">
      <c r="A37" s="6"/>
      <c r="B37" s="6"/>
      <c r="C37" s="1"/>
      <c r="D37" s="1"/>
      <c r="E37" s="1"/>
      <c r="F37" s="47"/>
      <c r="G37" s="47"/>
      <c r="H37" s="47"/>
      <c r="I37" s="47"/>
      <c r="J37" s="42"/>
      <c r="K37" s="42"/>
      <c r="L37" s="42"/>
      <c r="M37" s="42"/>
      <c r="N37" s="41"/>
      <c r="O37" s="41"/>
      <c r="P37" s="41"/>
      <c r="Q37" s="41"/>
      <c r="R37" s="45"/>
      <c r="S37" s="45"/>
      <c r="T37" s="45"/>
      <c r="U37" s="45"/>
      <c r="V37" s="44"/>
      <c r="W37" s="44"/>
      <c r="X37" s="44"/>
      <c r="Y37" s="44"/>
      <c r="Z37" s="1"/>
      <c r="AA37" s="1"/>
      <c r="AB37" s="1"/>
      <c r="AC37" s="1"/>
      <c r="AD37" s="43"/>
      <c r="AE37" s="43"/>
      <c r="AF37" s="43"/>
      <c r="AG37" s="43"/>
      <c r="AH37" s="44"/>
      <c r="AI37" s="44"/>
      <c r="AJ37" s="44"/>
      <c r="AK37" s="44"/>
      <c r="AL37" s="1"/>
      <c r="AM37" s="1"/>
      <c r="AN37" s="1"/>
      <c r="AO37" s="1"/>
      <c r="AP37" s="46"/>
      <c r="AQ37" s="46"/>
      <c r="AR37" s="46"/>
      <c r="AS37" s="46"/>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48"/>
      <c r="CW37" s="48"/>
      <c r="CX37" s="1"/>
    </row>
    <row r="38" spans="1:102" s="10" customFormat="1" ht="18" customHeight="1" x14ac:dyDescent="0.25">
      <c r="A38" s="6"/>
      <c r="B38" s="6"/>
      <c r="C38" s="1"/>
      <c r="D38" s="1"/>
      <c r="E38" s="1"/>
      <c r="F38" s="47"/>
      <c r="G38" s="47"/>
      <c r="H38" s="47"/>
      <c r="I38" s="47"/>
      <c r="J38" s="42"/>
      <c r="K38" s="42"/>
      <c r="L38" s="42"/>
      <c r="M38" s="42"/>
      <c r="N38" s="41"/>
      <c r="O38" s="41"/>
      <c r="P38" s="41"/>
      <c r="Q38" s="41"/>
      <c r="R38" s="45"/>
      <c r="S38" s="45"/>
      <c r="T38" s="45"/>
      <c r="U38" s="45"/>
      <c r="V38" s="44"/>
      <c r="W38" s="44"/>
      <c r="X38" s="44"/>
      <c r="Y38" s="44"/>
      <c r="Z38" s="1"/>
      <c r="AA38" s="1"/>
      <c r="AB38" s="1"/>
      <c r="AC38" s="1"/>
      <c r="AD38" s="43"/>
      <c r="AE38" s="43"/>
      <c r="AF38" s="43"/>
      <c r="AG38" s="43"/>
      <c r="AH38" s="44"/>
      <c r="AI38" s="44"/>
      <c r="AJ38" s="44"/>
      <c r="AK38" s="44"/>
      <c r="AL38" s="1"/>
      <c r="AM38" s="1"/>
      <c r="AN38" s="1"/>
      <c r="AO38" s="1"/>
      <c r="AP38" s="46"/>
      <c r="AQ38" s="46"/>
      <c r="AR38" s="46"/>
      <c r="AS38" s="46"/>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48"/>
      <c r="CW38" s="48"/>
      <c r="CX38" s="1"/>
    </row>
    <row r="39" spans="1:102" s="10" customFormat="1" ht="18" customHeight="1" x14ac:dyDescent="0.25">
      <c r="A39" s="6"/>
      <c r="B39" s="6"/>
      <c r="C39" s="1"/>
      <c r="D39" s="1"/>
      <c r="E39" s="1"/>
      <c r="F39" s="47"/>
      <c r="G39" s="47"/>
      <c r="H39" s="47"/>
      <c r="I39" s="47"/>
      <c r="J39" s="42"/>
      <c r="K39" s="42"/>
      <c r="L39" s="42"/>
      <c r="M39" s="42"/>
      <c r="N39" s="41"/>
      <c r="O39" s="41"/>
      <c r="P39" s="41"/>
      <c r="Q39" s="41"/>
      <c r="R39" s="45"/>
      <c r="S39" s="45"/>
      <c r="T39" s="45"/>
      <c r="U39" s="45"/>
      <c r="V39" s="44"/>
      <c r="W39" s="44"/>
      <c r="X39" s="44"/>
      <c r="Y39" s="44"/>
      <c r="Z39" s="1"/>
      <c r="AA39" s="1"/>
      <c r="AB39" s="1"/>
      <c r="AC39" s="1"/>
      <c r="AD39" s="43"/>
      <c r="AE39" s="43"/>
      <c r="AF39" s="43"/>
      <c r="AG39" s="43"/>
      <c r="AH39" s="44"/>
      <c r="AI39" s="44"/>
      <c r="AJ39" s="44"/>
      <c r="AK39" s="44"/>
      <c r="AL39" s="1"/>
      <c r="AM39" s="1"/>
      <c r="AN39" s="1"/>
      <c r="AO39" s="1"/>
      <c r="AP39" s="46"/>
      <c r="AQ39" s="46"/>
      <c r="AR39" s="46"/>
      <c r="AS39" s="46"/>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48"/>
      <c r="CW39" s="48"/>
      <c r="CX39" s="1"/>
    </row>
    <row r="40" spans="1:102" s="10" customFormat="1" ht="18" customHeight="1" x14ac:dyDescent="0.25">
      <c r="A40" s="6"/>
      <c r="B40" s="6"/>
      <c r="C40" s="1"/>
      <c r="D40" s="1"/>
      <c r="E40" s="1"/>
      <c r="F40" s="47"/>
      <c r="G40" s="47"/>
      <c r="H40" s="47"/>
      <c r="I40" s="47"/>
      <c r="J40" s="42"/>
      <c r="K40" s="42"/>
      <c r="L40" s="42"/>
      <c r="M40" s="42"/>
      <c r="N40" s="41"/>
      <c r="O40" s="41"/>
      <c r="P40" s="41"/>
      <c r="Q40" s="41"/>
      <c r="R40" s="45"/>
      <c r="S40" s="45"/>
      <c r="T40" s="45"/>
      <c r="U40" s="45"/>
      <c r="V40" s="44"/>
      <c r="W40" s="44"/>
      <c r="X40" s="44"/>
      <c r="Y40" s="44"/>
      <c r="Z40" s="1"/>
      <c r="AA40" s="1"/>
      <c r="AB40" s="1"/>
      <c r="AC40" s="1"/>
      <c r="AD40" s="43"/>
      <c r="AE40" s="43"/>
      <c r="AF40" s="43"/>
      <c r="AG40" s="43"/>
      <c r="AH40" s="44"/>
      <c r="AI40" s="44"/>
      <c r="AJ40" s="44"/>
      <c r="AK40" s="44"/>
      <c r="AL40" s="1"/>
      <c r="AM40" s="1"/>
      <c r="AN40" s="1"/>
      <c r="AO40" s="1"/>
      <c r="AP40" s="46"/>
      <c r="AQ40" s="46"/>
      <c r="AR40" s="46"/>
      <c r="AS40" s="46"/>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48"/>
      <c r="CW40" s="48"/>
      <c r="CX40" s="1"/>
    </row>
    <row r="41" spans="1:102" s="10" customFormat="1" ht="18" customHeight="1" x14ac:dyDescent="0.25">
      <c r="A41" s="6"/>
      <c r="B41" s="6"/>
      <c r="C41" s="1"/>
      <c r="D41" s="1"/>
      <c r="E41" s="1"/>
      <c r="F41" s="47"/>
      <c r="G41" s="47"/>
      <c r="H41" s="47"/>
      <c r="I41" s="47"/>
      <c r="J41" s="42"/>
      <c r="K41" s="42"/>
      <c r="L41" s="42"/>
      <c r="M41" s="42"/>
      <c r="N41" s="41"/>
      <c r="O41" s="41"/>
      <c r="P41" s="41"/>
      <c r="Q41" s="41"/>
      <c r="R41" s="45"/>
      <c r="S41" s="45"/>
      <c r="T41" s="45"/>
      <c r="U41" s="45"/>
      <c r="V41" s="44"/>
      <c r="W41" s="44"/>
      <c r="X41" s="44"/>
      <c r="Y41" s="44"/>
      <c r="Z41" s="1"/>
      <c r="AA41" s="1"/>
      <c r="AB41" s="1"/>
      <c r="AC41" s="1"/>
      <c r="AD41" s="43"/>
      <c r="AE41" s="43"/>
      <c r="AF41" s="43"/>
      <c r="AG41" s="43"/>
      <c r="AH41" s="44"/>
      <c r="AI41" s="44"/>
      <c r="AJ41" s="44"/>
      <c r="AK41" s="44"/>
      <c r="AL41" s="1"/>
      <c r="AM41" s="1"/>
      <c r="AN41" s="1"/>
      <c r="AO41" s="1"/>
      <c r="AP41" s="46"/>
      <c r="AQ41" s="46"/>
      <c r="AR41" s="46"/>
      <c r="AS41" s="46"/>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48"/>
      <c r="CW41" s="48"/>
      <c r="CX41" s="1"/>
    </row>
    <row r="42" spans="1:102" s="10" customFormat="1" ht="18" customHeight="1" x14ac:dyDescent="0.25">
      <c r="A42" s="6"/>
      <c r="B42" s="6"/>
      <c r="C42" s="1"/>
      <c r="D42" s="1"/>
      <c r="E42" s="1"/>
      <c r="F42" s="47"/>
      <c r="G42" s="47"/>
      <c r="H42" s="47"/>
      <c r="I42" s="47"/>
      <c r="J42" s="42"/>
      <c r="K42" s="42"/>
      <c r="L42" s="42"/>
      <c r="M42" s="42"/>
      <c r="N42" s="41"/>
      <c r="O42" s="41"/>
      <c r="P42" s="41"/>
      <c r="Q42" s="41"/>
      <c r="R42" s="45"/>
      <c r="S42" s="45"/>
      <c r="T42" s="45"/>
      <c r="U42" s="45"/>
      <c r="V42" s="44"/>
      <c r="W42" s="44"/>
      <c r="X42" s="44"/>
      <c r="Y42" s="44"/>
      <c r="Z42" s="1"/>
      <c r="AA42" s="1"/>
      <c r="AB42" s="1"/>
      <c r="AC42" s="1"/>
      <c r="AD42" s="43"/>
      <c r="AE42" s="43"/>
      <c r="AF42" s="43"/>
      <c r="AG42" s="43"/>
      <c r="AH42" s="44"/>
      <c r="AI42" s="44"/>
      <c r="AJ42" s="44"/>
      <c r="AK42" s="44"/>
      <c r="AL42" s="1"/>
      <c r="AM42" s="1"/>
      <c r="AN42" s="1"/>
      <c r="AO42" s="1"/>
      <c r="AP42" s="46"/>
      <c r="AQ42" s="46"/>
      <c r="AR42" s="46"/>
      <c r="AS42" s="46"/>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48"/>
      <c r="CW42" s="48"/>
      <c r="CX42" s="1"/>
    </row>
    <row r="43" spans="1:102" s="10" customFormat="1" ht="18" customHeight="1" x14ac:dyDescent="0.25">
      <c r="A43" s="6"/>
      <c r="B43" s="6"/>
      <c r="C43" s="1"/>
      <c r="D43" s="1"/>
      <c r="E43" s="1"/>
      <c r="F43" s="47"/>
      <c r="G43" s="47"/>
      <c r="H43" s="47"/>
      <c r="I43" s="47"/>
      <c r="J43" s="42"/>
      <c r="K43" s="42"/>
      <c r="L43" s="42"/>
      <c r="M43" s="42"/>
      <c r="N43" s="41"/>
      <c r="O43" s="41"/>
      <c r="P43" s="41"/>
      <c r="Q43" s="41"/>
      <c r="R43" s="45"/>
      <c r="S43" s="45"/>
      <c r="T43" s="45"/>
      <c r="U43" s="45"/>
      <c r="V43" s="44"/>
      <c r="W43" s="44"/>
      <c r="X43" s="44"/>
      <c r="Y43" s="44"/>
      <c r="Z43" s="1"/>
      <c r="AA43" s="1"/>
      <c r="AB43" s="1"/>
      <c r="AC43" s="1"/>
      <c r="AD43" s="43"/>
      <c r="AE43" s="43"/>
      <c r="AF43" s="43"/>
      <c r="AG43" s="43"/>
      <c r="AH43" s="44"/>
      <c r="AI43" s="44"/>
      <c r="AJ43" s="44"/>
      <c r="AK43" s="44"/>
      <c r="AL43" s="1"/>
      <c r="AM43" s="1"/>
      <c r="AN43" s="1"/>
      <c r="AO43" s="1"/>
      <c r="AP43" s="46"/>
      <c r="AQ43" s="46"/>
      <c r="AR43" s="46"/>
      <c r="AS43" s="46"/>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48"/>
      <c r="CW43" s="48"/>
      <c r="CX43" s="1"/>
    </row>
    <row r="44" spans="1:102" s="10" customFormat="1" ht="18" customHeight="1" x14ac:dyDescent="0.25">
      <c r="A44" s="6"/>
      <c r="B44" s="6"/>
      <c r="C44" s="1"/>
      <c r="D44" s="1"/>
      <c r="E44" s="1"/>
      <c r="F44" s="47"/>
      <c r="G44" s="47"/>
      <c r="H44" s="47"/>
      <c r="I44" s="47"/>
      <c r="J44" s="42"/>
      <c r="K44" s="42"/>
      <c r="L44" s="42"/>
      <c r="M44" s="42"/>
      <c r="N44" s="41"/>
      <c r="O44" s="41"/>
      <c r="P44" s="41"/>
      <c r="Q44" s="41"/>
      <c r="R44" s="45"/>
      <c r="S44" s="45"/>
      <c r="T44" s="45"/>
      <c r="U44" s="45"/>
      <c r="V44" s="44"/>
      <c r="W44" s="44"/>
      <c r="X44" s="44"/>
      <c r="Y44" s="44"/>
      <c r="Z44" s="1"/>
      <c r="AA44" s="1"/>
      <c r="AB44" s="1"/>
      <c r="AC44" s="1"/>
      <c r="AD44" s="43"/>
      <c r="AE44" s="43"/>
      <c r="AF44" s="43"/>
      <c r="AG44" s="43"/>
      <c r="AH44" s="44"/>
      <c r="AI44" s="44"/>
      <c r="AJ44" s="44"/>
      <c r="AK44" s="44"/>
      <c r="AL44" s="1"/>
      <c r="AM44" s="1"/>
      <c r="AN44" s="1"/>
      <c r="AO44" s="1"/>
      <c r="AP44" s="46"/>
      <c r="AQ44" s="46"/>
      <c r="AR44" s="46"/>
      <c r="AS44" s="46"/>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48"/>
      <c r="CW44" s="48"/>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Z79"/>
  <sheetViews>
    <sheetView showZeros="0" tabSelected="1" topLeftCell="A16" zoomScale="85" zoomScaleNormal="85" workbookViewId="0">
      <selection activeCell="CO19" sqref="CO19:CO27"/>
    </sheetView>
  </sheetViews>
  <sheetFormatPr defaultRowHeight="15" x14ac:dyDescent="0.25"/>
  <cols>
    <col min="1" max="1" width="14.140625" bestFit="1" customWidth="1"/>
    <col min="2" max="2" width="16.28515625" style="51" bestFit="1" customWidth="1"/>
    <col min="3" max="3" width="10.28515625" bestFit="1" customWidth="1"/>
    <col min="4" max="4" width="37.5703125" bestFit="1" customWidth="1"/>
    <col min="5" max="5" width="13.7109375" style="2" bestFit="1" customWidth="1"/>
    <col min="6" max="6" width="10.85546875" customWidth="1"/>
    <col min="7" max="7" width="12.7109375" customWidth="1"/>
    <col min="8" max="8" width="12.140625" style="5" customWidth="1"/>
    <col min="9" max="9" width="11.7109375" bestFit="1" customWidth="1"/>
    <col min="10" max="10" width="13.140625" bestFit="1" customWidth="1"/>
    <col min="11" max="11" width="12.7109375" bestFit="1" customWidth="1"/>
    <col min="12" max="12" width="14.7109375" customWidth="1"/>
    <col min="13" max="13" width="16.5703125" customWidth="1"/>
    <col min="14" max="14" width="7.85546875" style="15" customWidth="1"/>
    <col min="15" max="26" width="7.85546875" style="15" hidden="1" customWidth="1"/>
    <col min="27" max="27" width="9.28515625" style="15" bestFit="1" customWidth="1"/>
    <col min="28" max="31" width="7.85546875" style="15" hidden="1" customWidth="1"/>
    <col min="32" max="32" width="7.85546875" style="15" customWidth="1"/>
    <col min="33" max="33" width="7.85546875" style="15" hidden="1" customWidth="1"/>
    <col min="34" max="35" width="7.85546875" style="15" customWidth="1"/>
    <col min="36" max="49" width="7.85546875" style="15" hidden="1" customWidth="1"/>
    <col min="50" max="50" width="7.85546875" style="15" customWidth="1"/>
    <col min="51" max="58" width="7.85546875" style="15" hidden="1" customWidth="1"/>
    <col min="59" max="59" width="7.85546875" style="15" customWidth="1"/>
    <col min="60" max="71" width="7.85546875" style="15" hidden="1" customWidth="1"/>
    <col min="72" max="72" width="7.85546875" style="15" customWidth="1"/>
    <col min="73" max="75" width="7.85546875" style="15" hidden="1" customWidth="1"/>
    <col min="76" max="76" width="7.85546875" style="15" customWidth="1"/>
    <col min="77" max="82" width="7.85546875" style="15" hidden="1" customWidth="1"/>
    <col min="83" max="83" width="7.85546875" style="15" customWidth="1"/>
    <col min="84" max="84" width="7.85546875" style="15" hidden="1" customWidth="1"/>
    <col min="85" max="85" width="7.85546875" style="15" customWidth="1"/>
    <col min="86" max="86" width="11" style="15" customWidth="1"/>
    <col min="87" max="87" width="25.7109375" style="15" customWidth="1"/>
    <col min="88" max="88" width="10.7109375" style="15" customWidth="1"/>
    <col min="89" max="89" width="11.28515625" style="2" customWidth="1"/>
    <col min="90" max="90" width="13.85546875" style="2" bestFit="1" customWidth="1"/>
    <col min="91" max="91" width="9.140625" style="13" hidden="1" customWidth="1"/>
    <col min="92" max="92" width="9.140625" style="2" hidden="1"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10.28515625" bestFit="1" customWidth="1"/>
  </cols>
  <sheetData>
    <row r="1" spans="1:104" ht="15.75" thickBot="1" x14ac:dyDescent="0.3">
      <c r="A1" s="157"/>
      <c r="B1" s="157"/>
      <c r="C1" s="157"/>
      <c r="D1" s="157"/>
      <c r="E1" s="157"/>
      <c r="F1" s="157"/>
      <c r="G1" s="157"/>
      <c r="H1" s="157"/>
      <c r="I1" s="157"/>
      <c r="J1" s="157"/>
      <c r="K1" s="157"/>
      <c r="L1" s="157"/>
      <c r="M1" s="157"/>
      <c r="N1" s="157"/>
      <c r="O1" s="157"/>
      <c r="P1" s="157"/>
      <c r="Q1" s="157"/>
      <c r="R1" s="157"/>
    </row>
    <row r="2" spans="1:104" ht="23.25" thickBot="1" x14ac:dyDescent="0.5">
      <c r="A2" s="179" t="s">
        <v>202</v>
      </c>
      <c r="B2" s="180"/>
      <c r="C2" s="180"/>
      <c r="D2" s="180"/>
      <c r="E2" s="180"/>
      <c r="F2" s="180"/>
      <c r="G2" s="180"/>
      <c r="H2" s="180"/>
      <c r="I2" s="180"/>
      <c r="J2" s="180"/>
      <c r="K2" s="180"/>
      <c r="L2" s="180"/>
      <c r="M2" s="180"/>
      <c r="N2" s="180"/>
      <c r="O2" s="180"/>
      <c r="P2" s="180"/>
      <c r="Q2" s="180"/>
      <c r="R2" s="181"/>
    </row>
    <row r="3" spans="1:104" ht="15.75" thickBot="1" x14ac:dyDescent="0.3">
      <c r="B3"/>
      <c r="E3"/>
      <c r="H3"/>
      <c r="N3"/>
      <c r="O3"/>
      <c r="P3"/>
      <c r="Q3"/>
      <c r="R3"/>
    </row>
    <row r="4" spans="1:104" ht="45.75" thickBot="1" x14ac:dyDescent="0.3">
      <c r="A4" s="158" t="s">
        <v>191</v>
      </c>
      <c r="B4" s="182" t="s">
        <v>203</v>
      </c>
      <c r="C4" s="182"/>
      <c r="D4" s="182"/>
      <c r="E4" s="182"/>
      <c r="F4" s="182"/>
      <c r="G4" s="182"/>
      <c r="H4" s="182"/>
      <c r="I4" s="182"/>
      <c r="J4" s="182"/>
      <c r="K4" s="182"/>
      <c r="L4" s="182"/>
      <c r="M4" s="182"/>
      <c r="N4" s="182"/>
      <c r="O4" s="182"/>
      <c r="P4" s="182"/>
      <c r="Q4" s="182"/>
      <c r="R4" s="182"/>
    </row>
    <row r="5" spans="1:104" ht="45" x14ac:dyDescent="0.25">
      <c r="A5" s="158" t="s">
        <v>192</v>
      </c>
      <c r="B5" s="182" t="s">
        <v>204</v>
      </c>
      <c r="C5" s="182"/>
      <c r="D5" s="182"/>
      <c r="E5" s="182"/>
      <c r="F5" s="182"/>
      <c r="G5" s="182"/>
      <c r="H5" s="182"/>
      <c r="I5" s="182"/>
      <c r="J5" s="182"/>
      <c r="K5" s="182"/>
      <c r="L5" s="182"/>
      <c r="M5" s="182"/>
      <c r="N5" s="182"/>
      <c r="O5" s="182"/>
      <c r="P5" s="182"/>
      <c r="Q5" s="182"/>
      <c r="R5" s="182"/>
    </row>
    <row r="6" spans="1:104" ht="45" x14ac:dyDescent="0.25">
      <c r="A6" s="159" t="s">
        <v>193</v>
      </c>
      <c r="B6" s="183" t="s">
        <v>205</v>
      </c>
      <c r="C6" s="182"/>
      <c r="D6" s="182"/>
      <c r="E6" s="182"/>
      <c r="F6" s="182"/>
      <c r="G6" s="182"/>
      <c r="H6" s="182"/>
      <c r="I6" s="182"/>
      <c r="J6" s="182"/>
      <c r="K6" s="182"/>
      <c r="L6" s="182"/>
      <c r="M6" s="182"/>
      <c r="N6" s="182"/>
      <c r="O6" s="182"/>
      <c r="P6" s="182"/>
      <c r="Q6" s="182"/>
      <c r="R6" s="182"/>
    </row>
    <row r="7" spans="1:104" ht="30" x14ac:dyDescent="0.25">
      <c r="A7" s="159" t="s">
        <v>194</v>
      </c>
      <c r="B7" s="172" t="s">
        <v>206</v>
      </c>
      <c r="C7" s="182"/>
      <c r="D7" s="182"/>
      <c r="E7" s="182"/>
      <c r="F7" s="182"/>
      <c r="G7" s="182"/>
      <c r="H7" s="182"/>
      <c r="I7" s="182"/>
      <c r="J7" s="182"/>
      <c r="K7" s="182"/>
      <c r="L7" s="182"/>
      <c r="M7" s="182"/>
      <c r="N7" s="182"/>
      <c r="O7" s="182"/>
      <c r="P7" s="182"/>
      <c r="Q7" s="182"/>
      <c r="R7" s="182"/>
    </row>
    <row r="8" spans="1:104" ht="58.5" customHeight="1" x14ac:dyDescent="0.25">
      <c r="A8" s="159" t="s">
        <v>195</v>
      </c>
      <c r="B8" s="172" t="s">
        <v>207</v>
      </c>
      <c r="C8" s="172"/>
      <c r="D8" s="172"/>
      <c r="E8" s="172"/>
      <c r="F8" s="172"/>
      <c r="G8" s="172"/>
      <c r="H8" s="172"/>
      <c r="I8" s="172"/>
      <c r="J8" s="172"/>
      <c r="K8" s="172"/>
      <c r="L8" s="172"/>
      <c r="M8" s="172"/>
      <c r="N8" s="172"/>
      <c r="O8" s="172"/>
      <c r="P8" s="172"/>
      <c r="Q8" s="172"/>
      <c r="R8" s="172"/>
    </row>
    <row r="9" spans="1:104" x14ac:dyDescent="0.25">
      <c r="A9" s="159" t="s">
        <v>196</v>
      </c>
      <c r="B9" s="173" t="s">
        <v>208</v>
      </c>
      <c r="C9" s="174"/>
      <c r="D9" s="174"/>
      <c r="E9" s="174"/>
      <c r="F9" s="174"/>
      <c r="G9" s="174"/>
      <c r="H9" s="174"/>
      <c r="I9" s="174"/>
      <c r="J9" s="174"/>
      <c r="K9" s="174"/>
      <c r="L9" s="174"/>
      <c r="M9" s="174"/>
      <c r="N9" s="174"/>
      <c r="O9" s="174"/>
      <c r="P9" s="174"/>
      <c r="Q9" s="174"/>
      <c r="R9" s="175"/>
    </row>
    <row r="10" spans="1:104" ht="69" customHeight="1" x14ac:dyDescent="0.25">
      <c r="A10" s="159" t="s">
        <v>197</v>
      </c>
      <c r="B10" s="172" t="s">
        <v>209</v>
      </c>
      <c r="C10" s="172"/>
      <c r="D10" s="172"/>
      <c r="E10" s="172"/>
      <c r="F10" s="172"/>
      <c r="G10" s="172"/>
      <c r="H10" s="172"/>
      <c r="I10" s="172"/>
      <c r="J10" s="172"/>
      <c r="K10" s="172"/>
      <c r="L10" s="172"/>
      <c r="M10" s="172"/>
      <c r="N10" s="172"/>
      <c r="O10" s="172"/>
      <c r="P10" s="172"/>
      <c r="Q10" s="172"/>
      <c r="R10" s="172"/>
    </row>
    <row r="11" spans="1:104" ht="102.75" customHeight="1" x14ac:dyDescent="0.25">
      <c r="A11" s="159" t="s">
        <v>198</v>
      </c>
      <c r="B11" s="176" t="s">
        <v>210</v>
      </c>
      <c r="C11" s="177"/>
      <c r="D11" s="177"/>
      <c r="E11" s="177"/>
      <c r="F11" s="177"/>
      <c r="G11" s="177"/>
      <c r="H11" s="177"/>
      <c r="I11" s="177"/>
      <c r="J11" s="177"/>
      <c r="K11" s="177"/>
      <c r="L11" s="177"/>
      <c r="M11" s="177"/>
      <c r="N11" s="177"/>
      <c r="O11" s="177"/>
      <c r="P11" s="177"/>
      <c r="Q11" s="177"/>
      <c r="R11" s="178"/>
    </row>
    <row r="12" spans="1:104" ht="119.25" customHeight="1" x14ac:dyDescent="0.25">
      <c r="A12" s="160" t="s">
        <v>199</v>
      </c>
      <c r="B12" s="171" t="s">
        <v>211</v>
      </c>
      <c r="C12" s="171"/>
      <c r="D12" s="171"/>
      <c r="E12" s="171"/>
      <c r="F12" s="171"/>
      <c r="G12" s="171"/>
      <c r="H12" s="171"/>
      <c r="I12" s="171"/>
      <c r="J12" s="171"/>
      <c r="K12" s="171"/>
      <c r="L12" s="171"/>
      <c r="M12" s="171"/>
      <c r="N12" s="171"/>
      <c r="O12" s="171"/>
      <c r="P12" s="171"/>
      <c r="Q12" s="171"/>
      <c r="R12" s="171"/>
    </row>
    <row r="13" spans="1:104" x14ac:dyDescent="0.25">
      <c r="A13" s="160" t="s">
        <v>200</v>
      </c>
      <c r="B13" s="171"/>
      <c r="C13" s="171"/>
      <c r="D13" s="171"/>
      <c r="E13" s="171"/>
      <c r="F13" s="171"/>
      <c r="G13" s="171"/>
      <c r="H13" s="171"/>
      <c r="I13" s="171"/>
      <c r="J13" s="171"/>
      <c r="K13" s="171"/>
      <c r="L13" s="171"/>
      <c r="M13" s="171"/>
      <c r="N13" s="171"/>
      <c r="O13" s="171"/>
      <c r="P13" s="171"/>
      <c r="Q13" s="171"/>
      <c r="R13" s="171"/>
    </row>
    <row r="14" spans="1:104" ht="30" x14ac:dyDescent="0.25">
      <c r="A14" s="161" t="s">
        <v>201</v>
      </c>
      <c r="B14" s="171"/>
      <c r="C14" s="171"/>
      <c r="D14" s="171"/>
      <c r="E14" s="171"/>
      <c r="F14" s="171"/>
      <c r="G14" s="171"/>
      <c r="H14" s="171"/>
      <c r="I14" s="171"/>
      <c r="J14" s="171"/>
      <c r="K14" s="171"/>
      <c r="L14" s="171"/>
      <c r="M14" s="171"/>
      <c r="N14" s="171"/>
      <c r="O14" s="171"/>
      <c r="P14" s="171"/>
      <c r="Q14" s="171"/>
      <c r="R14" s="171"/>
    </row>
    <row r="16" spans="1:104" s="22" customFormat="1" ht="28.9" customHeight="1" x14ac:dyDescent="0.25">
      <c r="A16" s="72"/>
      <c r="B16" s="72"/>
      <c r="C16" s="73"/>
      <c r="D16" s="73"/>
      <c r="E16" s="26"/>
      <c r="H16" s="27"/>
      <c r="N16" s="191" t="s">
        <v>82</v>
      </c>
      <c r="O16" s="191"/>
      <c r="P16" s="191"/>
      <c r="Q16" s="191"/>
      <c r="R16" s="191"/>
      <c r="S16" s="191"/>
      <c r="T16" s="191"/>
      <c r="U16" s="191"/>
      <c r="V16" s="192" t="s">
        <v>4</v>
      </c>
      <c r="W16" s="192"/>
      <c r="X16" s="193" t="s">
        <v>3</v>
      </c>
      <c r="Y16" s="193"/>
      <c r="Z16" s="193"/>
      <c r="AA16" s="193"/>
      <c r="AB16" s="193"/>
      <c r="AC16" s="193"/>
      <c r="AD16" s="193"/>
      <c r="AE16" s="193"/>
      <c r="AF16" s="194" t="s">
        <v>5</v>
      </c>
      <c r="AG16" s="194"/>
      <c r="AH16" s="195" t="s">
        <v>6</v>
      </c>
      <c r="AI16" s="195"/>
      <c r="AJ16" s="195"/>
      <c r="AK16" s="195"/>
      <c r="AL16" s="195"/>
      <c r="AM16" s="195"/>
      <c r="AN16" s="195"/>
      <c r="AO16" s="195"/>
      <c r="AP16" s="195"/>
      <c r="AQ16" s="33" t="s">
        <v>7</v>
      </c>
      <c r="AR16" s="187" t="s">
        <v>8</v>
      </c>
      <c r="AS16" s="188"/>
      <c r="AT16" s="188"/>
      <c r="AU16" s="188"/>
      <c r="AV16" s="188"/>
      <c r="AW16" s="188"/>
      <c r="AX16" s="188"/>
      <c r="AY16" s="188"/>
      <c r="AZ16" s="188"/>
      <c r="BA16" s="189" t="s">
        <v>9</v>
      </c>
      <c r="BB16" s="189"/>
      <c r="BC16" s="189"/>
      <c r="BD16" s="189"/>
      <c r="BE16" s="189"/>
      <c r="BF16" s="189"/>
      <c r="BG16" s="189"/>
      <c r="BH16" s="189"/>
      <c r="BI16" s="189"/>
      <c r="BJ16" s="189"/>
      <c r="BK16" s="189"/>
      <c r="BL16" s="190" t="s">
        <v>10</v>
      </c>
      <c r="BM16" s="190"/>
      <c r="BN16" s="190"/>
      <c r="BO16" s="190"/>
      <c r="BP16" s="190"/>
      <c r="BQ16" s="190"/>
      <c r="BR16" s="190"/>
      <c r="BS16" s="190"/>
      <c r="BT16" s="190"/>
      <c r="BU16" s="190"/>
      <c r="BV16" s="190"/>
      <c r="BW16" s="190"/>
      <c r="BX16" s="34" t="s">
        <v>11</v>
      </c>
      <c r="BY16" s="36" t="s">
        <v>12</v>
      </c>
      <c r="BZ16" s="30" t="s">
        <v>13</v>
      </c>
      <c r="CA16" s="32" t="s">
        <v>14</v>
      </c>
      <c r="CB16" s="31" t="s">
        <v>15</v>
      </c>
      <c r="CC16" s="38" t="s">
        <v>16</v>
      </c>
      <c r="CD16" s="39" t="s">
        <v>17</v>
      </c>
      <c r="CE16" s="35" t="s">
        <v>18</v>
      </c>
      <c r="CF16" s="30" t="s">
        <v>19</v>
      </c>
      <c r="CG16" s="184" t="s">
        <v>84</v>
      </c>
      <c r="CH16" s="185"/>
      <c r="CI16" s="185"/>
      <c r="CJ16" s="186"/>
      <c r="CK16" s="54" t="s">
        <v>20</v>
      </c>
      <c r="CL16" s="23" t="s">
        <v>21</v>
      </c>
      <c r="CM16" s="24" t="s">
        <v>40</v>
      </c>
      <c r="CN16" s="23" t="s">
        <v>81</v>
      </c>
      <c r="CO16" s="25"/>
      <c r="CP16" s="26"/>
      <c r="CQ16" s="27"/>
      <c r="CR16" s="26"/>
      <c r="CS16" s="26"/>
      <c r="CT16" s="27"/>
      <c r="CV16" s="27"/>
      <c r="CZ16" s="22" t="s">
        <v>126</v>
      </c>
    </row>
    <row r="17" spans="1:103" s="11" customFormat="1" ht="89.25" x14ac:dyDescent="0.25">
      <c r="A17" s="64" t="s">
        <v>0</v>
      </c>
      <c r="B17" s="65" t="s">
        <v>85</v>
      </c>
      <c r="C17" s="64" t="s">
        <v>1</v>
      </c>
      <c r="D17" s="64" t="s">
        <v>2</v>
      </c>
      <c r="E17" s="3" t="s">
        <v>31</v>
      </c>
      <c r="F17" s="9" t="s">
        <v>32</v>
      </c>
      <c r="G17" s="9" t="s">
        <v>33</v>
      </c>
      <c r="H17" s="4" t="s">
        <v>34</v>
      </c>
      <c r="I17" s="9" t="s">
        <v>35</v>
      </c>
      <c r="J17" s="9" t="s">
        <v>36</v>
      </c>
      <c r="K17" s="9" t="s">
        <v>37</v>
      </c>
      <c r="L17" s="9" t="s">
        <v>38</v>
      </c>
      <c r="M17" s="9" t="s">
        <v>39</v>
      </c>
      <c r="N17" s="66" t="s">
        <v>41</v>
      </c>
      <c r="O17" s="66" t="s">
        <v>46</v>
      </c>
      <c r="P17" s="66" t="s">
        <v>43</v>
      </c>
      <c r="Q17" s="66" t="s">
        <v>123</v>
      </c>
      <c r="R17" s="66" t="s">
        <v>124</v>
      </c>
      <c r="S17" s="66" t="s">
        <v>125</v>
      </c>
      <c r="T17" s="66" t="s">
        <v>44</v>
      </c>
      <c r="U17" s="66" t="s">
        <v>45</v>
      </c>
      <c r="V17" s="66" t="s">
        <v>41</v>
      </c>
      <c r="W17" s="66" t="s">
        <v>46</v>
      </c>
      <c r="X17" s="67" t="s">
        <v>53</v>
      </c>
      <c r="Y17" s="67" t="s">
        <v>57</v>
      </c>
      <c r="Z17" s="67" t="s">
        <v>60</v>
      </c>
      <c r="AA17" s="67" t="s">
        <v>65</v>
      </c>
      <c r="AB17" s="67" t="s">
        <v>69</v>
      </c>
      <c r="AC17" s="67" t="s">
        <v>71</v>
      </c>
      <c r="AD17" s="67" t="s">
        <v>73</v>
      </c>
      <c r="AE17" s="67" t="s">
        <v>75</v>
      </c>
      <c r="AF17" s="67" t="s">
        <v>52</v>
      </c>
      <c r="AG17" s="67" t="s">
        <v>56</v>
      </c>
      <c r="AH17" s="67" t="s">
        <v>51</v>
      </c>
      <c r="AI17" s="67" t="s">
        <v>47</v>
      </c>
      <c r="AJ17" s="67" t="s">
        <v>59</v>
      </c>
      <c r="AK17" s="67" t="s">
        <v>64</v>
      </c>
      <c r="AL17" s="67" t="s">
        <v>68</v>
      </c>
      <c r="AM17" s="67" t="s">
        <v>87</v>
      </c>
      <c r="AN17" s="67" t="s">
        <v>88</v>
      </c>
      <c r="AO17" s="67" t="s">
        <v>86</v>
      </c>
      <c r="AP17" s="67" t="s">
        <v>94</v>
      </c>
      <c r="AQ17" s="68" t="s">
        <v>7</v>
      </c>
      <c r="AR17" s="67" t="s">
        <v>54</v>
      </c>
      <c r="AS17" s="67" t="s">
        <v>58</v>
      </c>
      <c r="AT17" s="67" t="s">
        <v>63</v>
      </c>
      <c r="AU17" s="67" t="s">
        <v>61</v>
      </c>
      <c r="AV17" s="67" t="s">
        <v>66</v>
      </c>
      <c r="AW17" s="67" t="s">
        <v>70</v>
      </c>
      <c r="AX17" s="67" t="s">
        <v>48</v>
      </c>
      <c r="AY17" s="67" t="s">
        <v>122</v>
      </c>
      <c r="AZ17" s="67" t="s">
        <v>74</v>
      </c>
      <c r="BA17" s="67" t="s">
        <v>55</v>
      </c>
      <c r="BB17" s="67" t="s">
        <v>42</v>
      </c>
      <c r="BC17" s="67" t="s">
        <v>62</v>
      </c>
      <c r="BD17" s="67" t="s">
        <v>67</v>
      </c>
      <c r="BE17" s="67" t="s">
        <v>89</v>
      </c>
      <c r="BF17" s="67" t="s">
        <v>72</v>
      </c>
      <c r="BG17" s="67" t="s">
        <v>49</v>
      </c>
      <c r="BH17" s="67" t="s">
        <v>76</v>
      </c>
      <c r="BI17" s="67" t="s">
        <v>77</v>
      </c>
      <c r="BJ17" s="67" t="s">
        <v>78</v>
      </c>
      <c r="BK17" s="67" t="s">
        <v>80</v>
      </c>
      <c r="BL17" s="67" t="s">
        <v>54</v>
      </c>
      <c r="BM17" s="67" t="s">
        <v>58</v>
      </c>
      <c r="BN17" s="67" t="s">
        <v>63</v>
      </c>
      <c r="BO17" s="67" t="s">
        <v>61</v>
      </c>
      <c r="BP17" s="67" t="s">
        <v>90</v>
      </c>
      <c r="BQ17" s="67" t="s">
        <v>95</v>
      </c>
      <c r="BR17" s="67" t="s">
        <v>91</v>
      </c>
      <c r="BS17" s="67" t="s">
        <v>66</v>
      </c>
      <c r="BT17" s="67" t="s">
        <v>48</v>
      </c>
      <c r="BU17" s="67" t="s">
        <v>122</v>
      </c>
      <c r="BV17" s="67" t="s">
        <v>74</v>
      </c>
      <c r="BW17" s="67" t="s">
        <v>79</v>
      </c>
      <c r="BX17" s="68" t="s">
        <v>11</v>
      </c>
      <c r="BY17" s="68" t="s">
        <v>50</v>
      </c>
      <c r="BZ17" s="69" t="s">
        <v>13</v>
      </c>
      <c r="CA17" s="70" t="s">
        <v>14</v>
      </c>
      <c r="CB17" s="69" t="s">
        <v>15</v>
      </c>
      <c r="CC17" s="69" t="s">
        <v>16</v>
      </c>
      <c r="CD17" s="69" t="s">
        <v>17</v>
      </c>
      <c r="CE17" s="70" t="s">
        <v>18</v>
      </c>
      <c r="CF17" s="69" t="s">
        <v>19</v>
      </c>
      <c r="CG17" s="58" t="s">
        <v>83</v>
      </c>
      <c r="CH17" s="58" t="s">
        <v>92</v>
      </c>
      <c r="CI17" s="58" t="s">
        <v>93</v>
      </c>
      <c r="CJ17" s="58" t="s">
        <v>96</v>
      </c>
      <c r="CK17" s="14"/>
      <c r="CL17" s="14"/>
      <c r="CM17" s="12"/>
      <c r="CN17" s="14"/>
      <c r="CO17" s="7" t="s">
        <v>22</v>
      </c>
      <c r="CP17" s="3" t="s">
        <v>23</v>
      </c>
      <c r="CQ17" s="4" t="s">
        <v>24</v>
      </c>
      <c r="CR17" s="3" t="s">
        <v>25</v>
      </c>
      <c r="CS17" s="3" t="s">
        <v>26</v>
      </c>
      <c r="CT17" s="4" t="s">
        <v>27</v>
      </c>
      <c r="CU17" s="9" t="s">
        <v>28</v>
      </c>
      <c r="CV17" s="4" t="s">
        <v>29</v>
      </c>
      <c r="CW17" s="9" t="s">
        <v>30</v>
      </c>
      <c r="CX17" s="4" t="s">
        <v>97</v>
      </c>
      <c r="CY17" s="9" t="s">
        <v>98</v>
      </c>
    </row>
    <row r="18" spans="1:103" s="14" customFormat="1" x14ac:dyDescent="0.25">
      <c r="A18" s="16"/>
      <c r="B18" s="50"/>
      <c r="C18" s="16"/>
      <c r="D18" s="16"/>
      <c r="E18" s="3"/>
      <c r="F18" s="61"/>
      <c r="G18" s="53"/>
      <c r="H18" s="3"/>
      <c r="I18" s="3"/>
      <c r="J18" s="3"/>
      <c r="K18" s="62"/>
      <c r="L18" s="3"/>
      <c r="M18" s="3"/>
      <c r="N18" s="17">
        <v>255</v>
      </c>
      <c r="O18" s="17">
        <f>+IFERROR(VLOOKUP($O$17,Sheet1!J:L,2,0),0)</f>
        <v>0</v>
      </c>
      <c r="P18" s="17">
        <f>+IFERROR(VLOOKUP($P$17,Sheet1!J:M,2,0),0)</f>
        <v>0</v>
      </c>
      <c r="Q18" s="17">
        <f>+IFERROR(VLOOKUP($Q$17,Sheet1!J:M,2,0),0)</f>
        <v>0</v>
      </c>
      <c r="R18" s="17">
        <f>+IFERROR(VLOOKUP($R$17,Sheet1!J:M,2,0),0)</f>
        <v>0</v>
      </c>
      <c r="S18" s="17">
        <f>+IFERROR(VLOOKUP($S$17,Sheet1!J:M,2,0),0)</f>
        <v>0</v>
      </c>
      <c r="T18" s="17">
        <f>+IFERROR(VLOOKUP($T$17,Sheet1!J:M,2,0),0)</f>
        <v>0</v>
      </c>
      <c r="U18" s="17">
        <f>+IFERROR(VLOOKUP($U$17,Sheet1!J:M,2,0),0)</f>
        <v>0</v>
      </c>
      <c r="V18" s="17">
        <f>+IFERROR(VLOOKUP($V$17,Sheet1!N:Q,2,0),0)</f>
        <v>0</v>
      </c>
      <c r="W18" s="17">
        <f>+IFERROR(VLOOKUP($W$17,Sheet1!N:O,2,0),0)</f>
        <v>0</v>
      </c>
      <c r="X18" s="18">
        <f>+IFERROR(VLOOKUP($X$17,Sheet1!F:I,2,0),0)</f>
        <v>0</v>
      </c>
      <c r="Y18" s="18">
        <f>+IFERROR(VLOOKUP($Y$17,Sheet1!F:I,2,0),0)</f>
        <v>0</v>
      </c>
      <c r="Z18" s="18">
        <f>+IFERROR(VLOOKUP($Z$17,Sheet1!F:I,2,0),0)</f>
        <v>0</v>
      </c>
      <c r="AA18" s="18">
        <v>1017</v>
      </c>
      <c r="AB18" s="18">
        <f>+IFERROR(VLOOKUP($AB$17,Sheet1!F:I,2,0),0)</f>
        <v>0</v>
      </c>
      <c r="AC18" s="18">
        <f>+IFERROR(VLOOKUP($AC$17,Sheet1!F:I,2,0),0)</f>
        <v>0</v>
      </c>
      <c r="AD18" s="18">
        <f>+IFERROR(VLOOKUP($AD$17,Sheet1!F:I,2,0),0)</f>
        <v>0</v>
      </c>
      <c r="AE18" s="18">
        <f>+IFERROR(VLOOKUP($AE$17,Sheet1!F:I,2,0),0)</f>
        <v>0</v>
      </c>
      <c r="AF18" s="18">
        <v>170</v>
      </c>
      <c r="AG18" s="18">
        <f>+IFERROR(VLOOKUP($AG$17,Sheet1!R:U,2,0),0)</f>
        <v>0</v>
      </c>
      <c r="AH18" s="18">
        <v>142</v>
      </c>
      <c r="AI18" s="18">
        <v>105</v>
      </c>
      <c r="AJ18" s="18">
        <f>+IFERROR(VLOOKUP($AJ$17,Sheet1!V:Y,2,0),0)</f>
        <v>0</v>
      </c>
      <c r="AK18" s="18">
        <f>+IFERROR(VLOOKUP($AK$17,Sheet1!V:Y,2,0),0)</f>
        <v>0</v>
      </c>
      <c r="AL18" s="18">
        <f>+IFERROR(VLOOKUP($AL$17,Sheet1!V:Y,2,0),0)</f>
        <v>0</v>
      </c>
      <c r="AM18" s="18">
        <f>+IFERROR(VLOOKUP($AM$17,Sheet1!V:Y,2,0),0)</f>
        <v>0</v>
      </c>
      <c r="AN18" s="18">
        <f>+IFERROR(VLOOKUP($AN$17,Sheet1!V:Y,2,0),0)</f>
        <v>0</v>
      </c>
      <c r="AO18" s="18">
        <f>+IFERROR(VLOOKUP($AO$17,Sheet1!V:Y,2,0),0)</f>
        <v>0</v>
      </c>
      <c r="AP18" s="18">
        <f>+IFERROR(VLOOKUP($AP$17,Sheet1!V:Y,2,0),0)</f>
        <v>0</v>
      </c>
      <c r="AQ18" s="19">
        <f>+IFERROR(VLOOKUP($AQ$17,Sheet1!Z2:AA840,2,0),0)</f>
        <v>0</v>
      </c>
      <c r="AR18" s="18">
        <f>+IFERROR(VLOOKUP($AR$17,Sheet1!AD2:AG840,2,0),0)</f>
        <v>0</v>
      </c>
      <c r="AS18" s="18">
        <f>+IFERROR(VLOOKUP($AS$17,Sheet1!AD2:AG840,2,0),0)</f>
        <v>0</v>
      </c>
      <c r="AT18" s="18">
        <f>+IFERROR(VLOOKUP($AT$17,Sheet1!AD2:AG840,2,0),0)</f>
        <v>0</v>
      </c>
      <c r="AU18" s="18">
        <f>+IFERROR(VLOOKUP($AU$17,Sheet1!AD2:AG840,2,0),0)</f>
        <v>0</v>
      </c>
      <c r="AV18" s="18">
        <f>+IFERROR(VLOOKUP($AV$17,Sheet1!AD2:AG840,2,0),0)</f>
        <v>0</v>
      </c>
      <c r="AW18" s="18">
        <f>+IFERROR(VLOOKUP($AW$17,Sheet1!AD2:AG840,2,0),0)</f>
        <v>0</v>
      </c>
      <c r="AX18" s="18">
        <v>62</v>
      </c>
      <c r="AY18" s="18">
        <f>+IFERROR(VLOOKUP($AY$17,Sheet1!AD2:AG840,2,0),0)</f>
        <v>0</v>
      </c>
      <c r="AZ18" s="18">
        <f>+IFERROR(VLOOKUP($AZ$17,Sheet1!AD2:AG840,2,0),0)</f>
        <v>0</v>
      </c>
      <c r="BA18" s="18">
        <f>+IFERROR(VLOOKUP($BA$17,Sheet1!AH2:AK840,2,0),0)</f>
        <v>0</v>
      </c>
      <c r="BB18" s="18">
        <f>+IFERROR(VLOOKUP($BB$17,Sheet1!AH2:AK840,2,0),0)</f>
        <v>0</v>
      </c>
      <c r="BC18" s="18">
        <f>+IFERROR(VLOOKUP($BC$17,Sheet1!AH2:AK840,2,0),0)</f>
        <v>0</v>
      </c>
      <c r="BD18" s="18">
        <f>+IFERROR(VLOOKUP($BD$17,Sheet1!AH2:AK840,2,0),0)</f>
        <v>0</v>
      </c>
      <c r="BE18" s="18">
        <f>+IFERROR(VLOOKUP($BE$17,Sheet1!AH2:AK840,2,0),0)</f>
        <v>0</v>
      </c>
      <c r="BF18" s="18">
        <f>+IFERROR(VLOOKUP($BF$17,Sheet1!AH2:AK840,2,0),0)</f>
        <v>0</v>
      </c>
      <c r="BG18" s="18">
        <v>74</v>
      </c>
      <c r="BH18" s="18">
        <f>+IFERROR(VLOOKUP($BH$17,Sheet1!AH2:AK840,2,0),0)</f>
        <v>0</v>
      </c>
      <c r="BI18" s="18">
        <f>+IFERROR(VLOOKUP($BI$17,Sheet1!AH2:AK840,2,0),0)</f>
        <v>0</v>
      </c>
      <c r="BJ18" s="18">
        <f>+IFERROR(VLOOKUP($BJ$17,Sheet1!AH2:AK840,2,0),0)</f>
        <v>0</v>
      </c>
      <c r="BK18" s="18">
        <f>+IFERROR(VLOOKUP($BK$17,Sheet1!AH2:AK840,2,0),0)</f>
        <v>0</v>
      </c>
      <c r="BL18" s="18">
        <f>+IFERROR(VLOOKUP($BL$17,Sheet1!AL2:AO840,2,0),0)</f>
        <v>0</v>
      </c>
      <c r="BM18" s="18">
        <f>+IFERROR(VLOOKUP($BM$17,Sheet1!AL2:AO840,2,0),0)</f>
        <v>0</v>
      </c>
      <c r="BN18" s="18">
        <f>+IFERROR(VLOOKUP($BN$17,Sheet1!AL2:AO840,2,0),0)</f>
        <v>0</v>
      </c>
      <c r="BO18" s="18">
        <f>+IFERROR(VLOOKUP($BO$17,Sheet1!AL2:AO840,2,0),0)</f>
        <v>0</v>
      </c>
      <c r="BP18" s="18">
        <f>+IFERROR(VLOOKUP($BP$17,Sheet1!AL2:AO840,2,0),0)</f>
        <v>0</v>
      </c>
      <c r="BQ18" s="18">
        <f>+IFERROR(VLOOKUP($BQ$17,Sheet1!AL2:AO840,2,0),0)</f>
        <v>0</v>
      </c>
      <c r="BR18" s="18">
        <f>+IFERROR(VLOOKUP($BR$17,Sheet1!AL2:AO840,2,0),0)</f>
        <v>0</v>
      </c>
      <c r="BS18" s="18">
        <f>+IFERROR(VLOOKUP($BS$17,Sheet1!AL2:AO840,2,0),0)</f>
        <v>0</v>
      </c>
      <c r="BT18" s="18">
        <v>62</v>
      </c>
      <c r="BU18" s="18">
        <f>+IFERROR(VLOOKUP($BU$17,Sheet1!AL2:AO840,2,0),0)</f>
        <v>0</v>
      </c>
      <c r="BV18" s="18">
        <f>+IFERROR(VLOOKUP($BV$17,Sheet1!AL2:AO840,2,0),0)</f>
        <v>0</v>
      </c>
      <c r="BW18" s="18">
        <f>+IFERROR(VLOOKUP($BW$17,Sheet1!AL2:AO840,2,0),0)</f>
        <v>0</v>
      </c>
      <c r="BX18" s="19">
        <v>28</v>
      </c>
      <c r="BY18" s="19">
        <f>+IFERROR(VLOOKUP($BY$17,Sheet1!AT2:AW840,2,0),0)</f>
        <v>0</v>
      </c>
      <c r="BZ18" s="20">
        <f>+IFERROR(VLOOKUP($BZ$17,Sheet1!AX2:BA840,2,0),0)</f>
        <v>0</v>
      </c>
      <c r="CA18" s="21">
        <f>+IFERROR(VLOOKUP($CA$17,Sheet1!BB2:BE840,2,0),0)</f>
        <v>0</v>
      </c>
      <c r="CB18" s="20">
        <f>+IFERROR(VLOOKUP($CB$17,Sheet1!BF2:BI840,2,0),0)</f>
        <v>0</v>
      </c>
      <c r="CC18" s="20">
        <f>+IFERROR(VLOOKUP($CC$17,Sheet1!BJ2:BM840,2,0),0)</f>
        <v>0</v>
      </c>
      <c r="CD18" s="20">
        <f>+IFERROR(VLOOKUP($CD$17,Sheet1!BN2:BQ840,2,0),0)</f>
        <v>0</v>
      </c>
      <c r="CE18" s="21">
        <v>303</v>
      </c>
      <c r="CF18" s="20">
        <f>+IFERROR(VLOOKUP($CF$17,Sheet1!BV2:BY840,2,0),0)</f>
        <v>0</v>
      </c>
      <c r="CG18" s="55"/>
      <c r="CH18" s="55"/>
      <c r="CI18" s="55"/>
      <c r="CJ18" s="55"/>
      <c r="CO18" s="3"/>
      <c r="CP18" s="3"/>
      <c r="CQ18" s="3"/>
      <c r="CR18" s="3"/>
      <c r="CS18" s="3"/>
      <c r="CT18" s="3"/>
      <c r="CU18" s="3"/>
      <c r="CV18" s="3"/>
      <c r="CW18" s="3"/>
      <c r="CX18" s="3"/>
      <c r="CY18" s="3"/>
    </row>
    <row r="19" spans="1:103" s="22" customFormat="1" ht="38.25" x14ac:dyDescent="0.25">
      <c r="A19" s="6" t="str">
        <f>Sheet1!A9</f>
        <v>ENQ-16527-25-26</v>
      </c>
      <c r="B19" s="71">
        <v>45809</v>
      </c>
      <c r="C19" s="6" t="str">
        <f>Sheet1!C9</f>
        <v>FA1300004</v>
      </c>
      <c r="D19" s="6" t="str">
        <f>Sheet1!D9</f>
        <v>3 CORE X 300 SQ. MM. AL/ARM - STRIP (XLPE) - 11 KV</v>
      </c>
      <c r="E19" s="23">
        <f t="shared" ref="E19:E27" si="0">CS19+CU19+CW19+CY19</f>
        <v>1666853.5319999999</v>
      </c>
      <c r="F19" s="163">
        <f>ROUNDUP(M32,0)</f>
        <v>54933</v>
      </c>
      <c r="G19" s="28">
        <f t="shared" ref="G19:G27" si="1">E19+F19</f>
        <v>1721786.5319999999</v>
      </c>
      <c r="H19" s="29">
        <f>Sheet1!CR9</f>
        <v>0.18</v>
      </c>
      <c r="I19" s="28">
        <f t="shared" ref="I19:I27" si="2">G19*H19</f>
        <v>309921.57575999998</v>
      </c>
      <c r="J19" s="28">
        <f t="shared" ref="J19:J27" si="3">G19+I19</f>
        <v>2031708.1077599998</v>
      </c>
      <c r="K19" s="63">
        <f>Sheet1!CU9</f>
        <v>111</v>
      </c>
      <c r="L19" s="60" t="str">
        <f>Sheet1!CV9</f>
        <v>KMS</v>
      </c>
      <c r="M19" s="23">
        <f t="shared" ref="M19:M27" si="4">J19*K19</f>
        <v>225519599.96135998</v>
      </c>
      <c r="N19" s="167">
        <f>+IFERROR(VLOOKUP($N$17,Sheet1!J9:L9,3,0),0)</f>
        <v>2430</v>
      </c>
      <c r="O19" s="168">
        <f>+IFERROR(VLOOKUP($O$17,Sheet1!J9:L9,3,0),0)</f>
        <v>0</v>
      </c>
      <c r="P19" s="168">
        <f>+IFERROR(VLOOKUP($P$17,Sheet1!J9:M9,3,0),0)</f>
        <v>0</v>
      </c>
      <c r="Q19" s="168">
        <f>+IFERROR(VLOOKUP($Q$17,Sheet1!J9:M9,3,0),0)</f>
        <v>0</v>
      </c>
      <c r="R19" s="168">
        <f>+IFERROR(VLOOKUP($R$17,Sheet1!J9:M9,3,0),0)</f>
        <v>0</v>
      </c>
      <c r="S19" s="168">
        <f>+IFERROR(VLOOKUP($S$17,Sheet1!J9:M9,3,0),0)</f>
        <v>0</v>
      </c>
      <c r="T19" s="168">
        <f>+IFERROR(VLOOKUP($T$17,Sheet1!J9:M9,3,0),0)</f>
        <v>0</v>
      </c>
      <c r="U19" s="168">
        <f>+IFERROR(VLOOKUP($U$17,Sheet1!J9:M9,3,0),0)</f>
        <v>0</v>
      </c>
      <c r="V19" s="168">
        <f>+IFERROR(VLOOKUP($V$17,Sheet1!N9:Q9,3,0),0)</f>
        <v>0</v>
      </c>
      <c r="W19" s="168">
        <f>+IFERROR(VLOOKUP($W$17,Sheet1!N9:Q9,3,0),0)</f>
        <v>0</v>
      </c>
      <c r="X19" s="168">
        <f>+IFERROR(VLOOKUP($X$17,Sheet1!F9:I9,3,0),0)</f>
        <v>0</v>
      </c>
      <c r="Y19" s="168">
        <f>+IFERROR(VLOOKUP($Y$17,Sheet1!F9:I9,3,0),0)</f>
        <v>0</v>
      </c>
      <c r="Z19" s="168">
        <f>+IFERROR(VLOOKUP($Z$17,Sheet1!F9:I9,3,0),0)</f>
        <v>0</v>
      </c>
      <c r="AA19" s="167">
        <v>119</v>
      </c>
      <c r="AB19" s="168">
        <f>+IFERROR(VLOOKUP($AB$17,Sheet1!F9:I9,3,0),0)</f>
        <v>0</v>
      </c>
      <c r="AC19" s="168">
        <f>+IFERROR(VLOOKUP($AC$17,Sheet1!F9:I9,3,0),0)</f>
        <v>0</v>
      </c>
      <c r="AD19" s="168">
        <f>+IFERROR(VLOOKUP($AD$17,Sheet1!F9:I9,3,0),0)</f>
        <v>0</v>
      </c>
      <c r="AE19" s="168">
        <f>+IFERROR(VLOOKUP($AE$17,Sheet1!F9:I9,3,0),0)</f>
        <v>0</v>
      </c>
      <c r="AF19" s="167">
        <v>328</v>
      </c>
      <c r="AG19" s="165">
        <f>+IFERROR(VLOOKUP($AG$17,Sheet1!R9:U9,3,0),0)</f>
        <v>0</v>
      </c>
      <c r="AH19" s="167">
        <v>870</v>
      </c>
      <c r="AI19" s="165">
        <f>+IFERROR(VLOOKUP($AI$17,Sheet1!V9:Y9,3,0),0)</f>
        <v>0</v>
      </c>
      <c r="AJ19" s="165">
        <f>+IFERROR(VLOOKUP($AJ$17,Sheet1!V9:Y9,3,0),0)</f>
        <v>0</v>
      </c>
      <c r="AK19" s="165">
        <f>+IFERROR(VLOOKUP($AK$17,Sheet1!V9:Y9,3,0),0)</f>
        <v>0</v>
      </c>
      <c r="AL19" s="165">
        <f>+IFERROR(VLOOKUP($AL$17,Sheet1!V9:Y9,3,0),0)</f>
        <v>0</v>
      </c>
      <c r="AM19" s="165">
        <f>+IFERROR(VLOOKUP($AM$17,Sheet1!V9:Y9,3,0),0)</f>
        <v>0</v>
      </c>
      <c r="AN19" s="165">
        <f>+IFERROR(VLOOKUP($AN$17,Sheet1!V9:Y9,3,0),0)</f>
        <v>0</v>
      </c>
      <c r="AO19" s="165">
        <f>+IFERROR(VLOOKUP($AO$17,Sheet1!V9:Y9,3,0),0)</f>
        <v>0</v>
      </c>
      <c r="AP19" s="165">
        <f>+IFERROR(VLOOKUP($AP$17,Sheet1!V9:Y9,3,0),0)</f>
        <v>0</v>
      </c>
      <c r="AQ19" s="165">
        <f>+IFERROR(VLOOKUP($AQ$17,Sheet1!Z9:AB9,3,0),0)</f>
        <v>0</v>
      </c>
      <c r="AR19" s="165">
        <f>+IFERROR(VLOOKUP($AR$17,Sheet1!AD9:AG9,3,0),0)</f>
        <v>0</v>
      </c>
      <c r="AS19" s="165">
        <f>+IFERROR(VLOOKUP($AS$17,Sheet1!AD9:AG9,3,0),0)</f>
        <v>0</v>
      </c>
      <c r="AT19" s="165">
        <f>+IFERROR(VLOOKUP($AT$17,Sheet1!AD9:AG9,3,0),0)</f>
        <v>0</v>
      </c>
      <c r="AU19" s="165">
        <f>+IFERROR(VLOOKUP($AU$17,Sheet1!AD9:AG9,3,0),0)</f>
        <v>0</v>
      </c>
      <c r="AV19" s="165">
        <f>+IFERROR(VLOOKUP($AV$17,Sheet1!AD9:AG9,3,0),0)</f>
        <v>0</v>
      </c>
      <c r="AW19" s="165">
        <f>+IFERROR(VLOOKUP($AW$17,Sheet1!AD9:AG9,3,0),0)</f>
        <v>0</v>
      </c>
      <c r="AX19" s="166">
        <v>300</v>
      </c>
      <c r="AY19" s="165">
        <f>+IFERROR(VLOOKUP($AY$17,Sheet1!AD9:AG9,3,0),0)</f>
        <v>0</v>
      </c>
      <c r="AZ19" s="165">
        <f>+IFERROR(VLOOKUP($AZ$17,Sheet1!AD9:AG9,3,0),0)</f>
        <v>0</v>
      </c>
      <c r="BA19" s="165">
        <f>+IFERROR(VLOOKUP($BA$17,Sheet1!AH9:AK9,3,0),0)</f>
        <v>0</v>
      </c>
      <c r="BB19" s="165">
        <f>+IFERROR(VLOOKUP($BB$17,Sheet1!AH9:AK9,3,0),0)</f>
        <v>0</v>
      </c>
      <c r="BC19" s="165">
        <f>+IFERROR(VLOOKUP($BC$17,Sheet1!AH9:AK9,3,0),0)</f>
        <v>0</v>
      </c>
      <c r="BD19" s="165">
        <f>+IFERROR(VLOOKUP($BD$17,Sheet1!AH9:AK9,3,0),0)</f>
        <v>0</v>
      </c>
      <c r="BE19" s="165">
        <f>+IFERROR(VLOOKUP($BE$17,Sheet1!AH9:AK9,3,0),0)</f>
        <v>0</v>
      </c>
      <c r="BF19" s="165">
        <f>+IFERROR(VLOOKUP($BF$17,Sheet1!AH9:AK9,3,0),0)</f>
        <v>0</v>
      </c>
      <c r="BG19" s="166">
        <v>1150</v>
      </c>
      <c r="BH19" s="165">
        <f>+IFERROR(VLOOKUP($BH$17,Sheet1!AH9:AK9,3,0),0)</f>
        <v>0</v>
      </c>
      <c r="BI19" s="165">
        <f>+IFERROR(VLOOKUP($BI$17,Sheet1!AH9:AK9,3,0),0)</f>
        <v>0</v>
      </c>
      <c r="BJ19" s="165">
        <f>+IFERROR(VLOOKUP($BJ$17,Sheet1!AH9:AK9,3,0),0)</f>
        <v>0</v>
      </c>
      <c r="BK19" s="165">
        <f>+IFERROR(VLOOKUP($BK$17,Sheet1!AH9:AK9,3,0),0)</f>
        <v>0</v>
      </c>
      <c r="BL19" s="165">
        <f>+IFERROR(VLOOKUP($BL$17,Sheet1!AL9:AO9,3,0),0)</f>
        <v>0</v>
      </c>
      <c r="BM19" s="165">
        <f>+IFERROR(VLOOKUP($BM$17,Sheet1!AL9:AO9,3,0),0)</f>
        <v>0</v>
      </c>
      <c r="BN19" s="165">
        <f>+IFERROR(VLOOKUP($BN$17,Sheet1!AL9:AO9,3,0),0)</f>
        <v>0</v>
      </c>
      <c r="BO19" s="165">
        <f>+IFERROR(VLOOKUP($BO$17,Sheet1!AL9:AO9,3,0),0)</f>
        <v>0</v>
      </c>
      <c r="BP19" s="165">
        <f>+IFERROR(VLOOKUP($BP$17,Sheet1!AL9:AO9,3,0),0)</f>
        <v>0</v>
      </c>
      <c r="BQ19" s="165">
        <f>+IFERROR(VLOOKUP($BQ$17,Sheet1!AL9:AO9,3,0),0)</f>
        <v>0</v>
      </c>
      <c r="BR19" s="165">
        <f>+IFERROR(VLOOKUP($BR$17,Sheet1!AL9:AO9,3,0),0)</f>
        <v>0</v>
      </c>
      <c r="BS19" s="165">
        <f>+IFERROR(VLOOKUP($BS$17,Sheet1!AL9:AO9,3,0),0)</f>
        <v>0</v>
      </c>
      <c r="BT19" s="166">
        <v>1012</v>
      </c>
      <c r="BU19" s="165">
        <f>+IFERROR(VLOOKUP($BU$17,Sheet1!AL9:AO9,3,0),0)</f>
        <v>0</v>
      </c>
      <c r="BV19" s="165">
        <f>+IFERROR(VLOOKUP($BV$17,Sheet1!AL9:AO9,3,0),0)</f>
        <v>0</v>
      </c>
      <c r="BW19" s="165">
        <f>+IFERROR(VLOOKUP($BW$17,Sheet1!AL9:AO9,3,0),0)</f>
        <v>0</v>
      </c>
      <c r="BX19" s="166">
        <v>1310</v>
      </c>
      <c r="BY19" s="165">
        <f>+IFERROR(VLOOKUP($BY$17,Sheet1!AT9:AW9,3,0),0)</f>
        <v>0</v>
      </c>
      <c r="BZ19" s="165">
        <f>+IFERROR(VLOOKUP($BZ$17,Sheet1!AX9:BA9,3,0),0)</f>
        <v>0</v>
      </c>
      <c r="CA19" s="165">
        <f>+IFERROR(VLOOKUP($CA$17,Sheet1!BB9:BE9,3,0),0)</f>
        <v>0</v>
      </c>
      <c r="CB19" s="165">
        <f>+IFERROR(VLOOKUP($CB$17,Sheet1!BF9:BI9,3,0),0)</f>
        <v>0</v>
      </c>
      <c r="CC19" s="165">
        <f>+IFERROR(VLOOKUP($CC$17,Sheet1!BJ9:BM9,3,0),0)</f>
        <v>0</v>
      </c>
      <c r="CD19" s="165">
        <f>+IFERROR(VLOOKUP($CD$17,Sheet1!BN9:BQ9,3,0),0)</f>
        <v>0</v>
      </c>
      <c r="CE19" s="166">
        <v>49</v>
      </c>
      <c r="CF19" s="37">
        <f>+IFERROR(VLOOKUP($CF$17,Sheet1!BV9:BY9,3,0),0)</f>
        <v>0</v>
      </c>
      <c r="CG19" s="56" t="str">
        <f>Sheet1!E9</f>
        <v>STEEL</v>
      </c>
      <c r="CH19" s="57" t="str">
        <f>Sheet1!CX9</f>
        <v>SP0400141</v>
      </c>
      <c r="CI19" s="57" t="str">
        <f>Sheet1!CY9</f>
        <v>CORRUGATED DISPATCH STEEL DRUM 2080 X 1000 X 1400 MM</v>
      </c>
      <c r="CJ19" s="57">
        <f>Sheet1!CZ9</f>
        <v>500</v>
      </c>
      <c r="CK19" s="23">
        <f>30400/0.5</f>
        <v>60800</v>
      </c>
      <c r="CL19" s="23">
        <f t="shared" ref="CL19:CL27" si="5">SUMPRODUCT($N$18:$CF$18,N19:CF19)+CK19</f>
        <v>1198744</v>
      </c>
      <c r="CM19" s="24">
        <f>Sheet1!CB9</f>
        <v>0</v>
      </c>
      <c r="CN19" s="23">
        <f t="shared" ref="CN19:CN27" si="6">CL19*CM19</f>
        <v>0</v>
      </c>
      <c r="CO19" s="79">
        <v>0.35</v>
      </c>
      <c r="CP19" s="23">
        <f t="shared" ref="CP19:CP27" si="7">CL19*CO19</f>
        <v>419560.39999999997</v>
      </c>
      <c r="CQ19" s="79">
        <v>0</v>
      </c>
      <c r="CR19" s="23">
        <f t="shared" ref="CR19:CR27" si="8">CL19*CQ19</f>
        <v>0</v>
      </c>
      <c r="CS19" s="23">
        <f t="shared" ref="CS19:CS27" si="9">CL19+CN19+CP19+CR19</f>
        <v>1618304.4</v>
      </c>
      <c r="CT19" s="79">
        <v>0.02</v>
      </c>
      <c r="CU19" s="23">
        <f t="shared" ref="CU19:CU27" si="10">CS19*CT19</f>
        <v>32366.088</v>
      </c>
      <c r="CV19" s="79">
        <v>0.01</v>
      </c>
      <c r="CW19" s="23">
        <f t="shared" ref="CW19:CW27" si="11">CS19*CV19</f>
        <v>16183.044</v>
      </c>
      <c r="CX19" s="79">
        <f>Sheet1!CM9</f>
        <v>0</v>
      </c>
      <c r="CY19" s="6">
        <f t="shared" ref="CY19:CY27" si="12">CX19*CS19</f>
        <v>0</v>
      </c>
    </row>
    <row r="20" spans="1:103" s="22" customFormat="1" ht="30" x14ac:dyDescent="0.25">
      <c r="A20" s="6" t="str">
        <f>Sheet1!A10</f>
        <v>ENQ-16527-25-26</v>
      </c>
      <c r="B20" s="71">
        <v>45809</v>
      </c>
      <c r="C20" s="6" t="str">
        <f>Sheet1!C10</f>
        <v>FA1300006</v>
      </c>
      <c r="D20" s="6" t="str">
        <f>Sheet1!D10</f>
        <v>3 CORE X 70 SQ. MM. AL/ARM - STRIP (XLPE) - 11 KV</v>
      </c>
      <c r="E20" s="23">
        <f t="shared" si="0"/>
        <v>694910.71799999999</v>
      </c>
      <c r="F20" s="163">
        <f t="shared" ref="F20:F27" si="13">ROUNDUP(M33,0)</f>
        <v>45167</v>
      </c>
      <c r="G20" s="28">
        <f t="shared" si="1"/>
        <v>740077.71799999999</v>
      </c>
      <c r="H20" s="29">
        <f>Sheet1!CR10</f>
        <v>0.18</v>
      </c>
      <c r="I20" s="28">
        <f t="shared" si="2"/>
        <v>133213.98924</v>
      </c>
      <c r="J20" s="28">
        <f t="shared" si="3"/>
        <v>873291.70724000002</v>
      </c>
      <c r="K20" s="63">
        <f>Sheet1!CU10</f>
        <v>3</v>
      </c>
      <c r="L20" s="60" t="str">
        <f>Sheet1!CV10</f>
        <v>KMS</v>
      </c>
      <c r="M20" s="23">
        <f t="shared" si="4"/>
        <v>2619875.1217200002</v>
      </c>
      <c r="N20" s="167">
        <f>+IFERROR(VLOOKUP($N$17,Sheet1!J10:L10,3,0),0)</f>
        <v>567</v>
      </c>
      <c r="O20" s="168">
        <f>+IFERROR(VLOOKUP($O$17,Sheet1!J10:L10,3,0),0)</f>
        <v>0</v>
      </c>
      <c r="P20" s="168">
        <f>+IFERROR(VLOOKUP($P$17,Sheet1!J10:M10,3,0),0)</f>
        <v>0</v>
      </c>
      <c r="Q20" s="168">
        <f>+IFERROR(VLOOKUP($Q$17,Sheet1!J10:M10,3,0),0)</f>
        <v>0</v>
      </c>
      <c r="R20" s="168">
        <f>+IFERROR(VLOOKUP($R$17,Sheet1!J10:M10,3,0),0)</f>
        <v>0</v>
      </c>
      <c r="S20" s="168">
        <f>+IFERROR(VLOOKUP($S$17,Sheet1!J10:M10,3,0),0)</f>
        <v>0</v>
      </c>
      <c r="T20" s="168">
        <f>+IFERROR(VLOOKUP($T$17,Sheet1!J10:M10,3,0),0)</f>
        <v>0</v>
      </c>
      <c r="U20" s="168">
        <f>+IFERROR(VLOOKUP($U$17,Sheet1!J10:M10,3,0),0)</f>
        <v>0</v>
      </c>
      <c r="V20" s="168">
        <f>+IFERROR(VLOOKUP($V$17,Sheet1!N10:Q10,3,0),0)</f>
        <v>0</v>
      </c>
      <c r="W20" s="168">
        <f>+IFERROR(VLOOKUP($W$17,Sheet1!N10:Q10,3,0),0)</f>
        <v>0</v>
      </c>
      <c r="X20" s="168">
        <f>+IFERROR(VLOOKUP($X$17,Sheet1!F10:I10,3,0),0)</f>
        <v>0</v>
      </c>
      <c r="Y20" s="168">
        <f>+IFERROR(VLOOKUP($Y$17,Sheet1!F10:I10,3,0),0)</f>
        <v>0</v>
      </c>
      <c r="Z20" s="168">
        <f>+IFERROR(VLOOKUP($Z$17,Sheet1!F10:I10,3,0),0)</f>
        <v>0</v>
      </c>
      <c r="AA20" s="167">
        <v>78</v>
      </c>
      <c r="AB20" s="168">
        <f>+IFERROR(VLOOKUP($AB$17,Sheet1!F10:I10,3,0),0)</f>
        <v>0</v>
      </c>
      <c r="AC20" s="168">
        <f>+IFERROR(VLOOKUP($AC$17,Sheet1!F10:I10,3,0),0)</f>
        <v>0</v>
      </c>
      <c r="AD20" s="168">
        <f>+IFERROR(VLOOKUP($AD$17,Sheet1!F10:I10,3,0),0)</f>
        <v>0</v>
      </c>
      <c r="AE20" s="168">
        <f>+IFERROR(VLOOKUP($AE$17,Sheet1!F10:I10,3,0),0)</f>
        <v>0</v>
      </c>
      <c r="AF20" s="167">
        <v>190</v>
      </c>
      <c r="AG20" s="165">
        <f>+IFERROR(VLOOKUP($AG$17,Sheet1!R10:U10,3,0),0)</f>
        <v>0</v>
      </c>
      <c r="AH20" s="167">
        <v>510</v>
      </c>
      <c r="AI20" s="165">
        <f>+IFERROR(VLOOKUP($AI$17,Sheet1!V10:Y10,3,0),0)</f>
        <v>0</v>
      </c>
      <c r="AJ20" s="165">
        <f>+IFERROR(VLOOKUP($AJ$17,Sheet1!V10:Y10,3,0),0)</f>
        <v>0</v>
      </c>
      <c r="AK20" s="165">
        <f>+IFERROR(VLOOKUP($AK$17,Sheet1!V10:Y10,3,0),0)</f>
        <v>0</v>
      </c>
      <c r="AL20" s="165">
        <f>+IFERROR(VLOOKUP($AL$17,Sheet1!V10:Y10,3,0),0)</f>
        <v>0</v>
      </c>
      <c r="AM20" s="165">
        <f>+IFERROR(VLOOKUP($AM$17,Sheet1!V10:Y10,3,0),0)</f>
        <v>0</v>
      </c>
      <c r="AN20" s="165">
        <f>+IFERROR(VLOOKUP($AN$17,Sheet1!V10:Y10,3,0),0)</f>
        <v>0</v>
      </c>
      <c r="AO20" s="165">
        <f>+IFERROR(VLOOKUP($AO$17,Sheet1!V10:Y10,3,0),0)</f>
        <v>0</v>
      </c>
      <c r="AP20" s="165">
        <f>+IFERROR(VLOOKUP($AP$17,Sheet1!V10:Y10,3,0),0)</f>
        <v>0</v>
      </c>
      <c r="AQ20" s="165">
        <f>+IFERROR(VLOOKUP($AQ$17,Sheet1!Z10:AB10,3,0),0)</f>
        <v>0</v>
      </c>
      <c r="AR20" s="165">
        <f>+IFERROR(VLOOKUP($AR$17,Sheet1!AD10:AG10,3,0),0)</f>
        <v>0</v>
      </c>
      <c r="AS20" s="165">
        <f>+IFERROR(VLOOKUP($AS$17,Sheet1!AD10:AG10,3,0),0)</f>
        <v>0</v>
      </c>
      <c r="AT20" s="165">
        <f>+IFERROR(VLOOKUP($AT$17,Sheet1!AD10:AG10,3,0),0)</f>
        <v>0</v>
      </c>
      <c r="AU20" s="165">
        <f>+IFERROR(VLOOKUP($AU$17,Sheet1!AD10:AG10,3,0),0)</f>
        <v>0</v>
      </c>
      <c r="AV20" s="165">
        <f>+IFERROR(VLOOKUP($AV$17,Sheet1!AD10:AG10,3,0),0)</f>
        <v>0</v>
      </c>
      <c r="AW20" s="165">
        <f>+IFERROR(VLOOKUP($AW$17,Sheet1!AD10:AG10,3,0),0)</f>
        <v>0</v>
      </c>
      <c r="AX20" s="166">
        <v>155</v>
      </c>
      <c r="AY20" s="165">
        <f>+IFERROR(VLOOKUP($AY$17,Sheet1!AD10:AG10,3,0),0)</f>
        <v>0</v>
      </c>
      <c r="AZ20" s="165">
        <f>+IFERROR(VLOOKUP($AZ$17,Sheet1!AD10:AG10,3,0),0)</f>
        <v>0</v>
      </c>
      <c r="BA20" s="165">
        <f>+IFERROR(VLOOKUP($BA$17,Sheet1!AH10:AK10,3,0),0)</f>
        <v>0</v>
      </c>
      <c r="BB20" s="165">
        <f>+IFERROR(VLOOKUP($BB$17,Sheet1!AH10:AK10,3,0),0)</f>
        <v>0</v>
      </c>
      <c r="BC20" s="165">
        <f>+IFERROR(VLOOKUP($BC$17,Sheet1!AH10:AK10,3,0),0)</f>
        <v>0</v>
      </c>
      <c r="BD20" s="165">
        <f>+IFERROR(VLOOKUP($BD$17,Sheet1!AH10:AK10,3,0),0)</f>
        <v>0</v>
      </c>
      <c r="BE20" s="165">
        <f>+IFERROR(VLOOKUP($BE$17,Sheet1!AH10:AK10,3,0),0)</f>
        <v>0</v>
      </c>
      <c r="BF20" s="165">
        <f>+IFERROR(VLOOKUP($BF$17,Sheet1!AH10:AK10,3,0),0)</f>
        <v>0</v>
      </c>
      <c r="BG20" s="166">
        <v>775</v>
      </c>
      <c r="BH20" s="165">
        <f>+IFERROR(VLOOKUP($BH$17,Sheet1!AH10:AK10,3,0),0)</f>
        <v>0</v>
      </c>
      <c r="BI20" s="165">
        <f>+IFERROR(VLOOKUP($BI$17,Sheet1!AH10:AK10,3,0),0)</f>
        <v>0</v>
      </c>
      <c r="BJ20" s="165">
        <f>+IFERROR(VLOOKUP($BJ$17,Sheet1!AH10:AK10,3,0),0)</f>
        <v>0</v>
      </c>
      <c r="BK20" s="165">
        <f>+IFERROR(VLOOKUP($BK$17,Sheet1!AH10:AK10,3,0),0)</f>
        <v>0</v>
      </c>
      <c r="BL20" s="165">
        <f>+IFERROR(VLOOKUP($BL$17,Sheet1!AL10:AO10,3,0),0)</f>
        <v>0</v>
      </c>
      <c r="BM20" s="165">
        <f>+IFERROR(VLOOKUP($BM$17,Sheet1!AL10:AO10,3,0),0)</f>
        <v>0</v>
      </c>
      <c r="BN20" s="165">
        <f>+IFERROR(VLOOKUP($BN$17,Sheet1!AL10:AO10,3,0),0)</f>
        <v>0</v>
      </c>
      <c r="BO20" s="165">
        <f>+IFERROR(VLOOKUP($BO$17,Sheet1!AL10:AO10,3,0),0)</f>
        <v>0</v>
      </c>
      <c r="BP20" s="165">
        <f>+IFERROR(VLOOKUP($BP$17,Sheet1!AL10:AO10,3,0),0)</f>
        <v>0</v>
      </c>
      <c r="BQ20" s="165">
        <f>+IFERROR(VLOOKUP($BQ$17,Sheet1!AL10:AO10,3,0),0)</f>
        <v>0</v>
      </c>
      <c r="BR20" s="165">
        <f>+IFERROR(VLOOKUP($BR$17,Sheet1!AL10:AO10,3,0),0)</f>
        <v>0</v>
      </c>
      <c r="BS20" s="165">
        <f>+IFERROR(VLOOKUP($BS$17,Sheet1!AL10:AO10,3,0),0)</f>
        <v>0</v>
      </c>
      <c r="BT20" s="166">
        <v>490</v>
      </c>
      <c r="BU20" s="165">
        <f>+IFERROR(VLOOKUP($BU$17,Sheet1!AL10:AO10,3,0),0)</f>
        <v>0</v>
      </c>
      <c r="BV20" s="165">
        <f>+IFERROR(VLOOKUP($BV$17,Sheet1!AL10:AO10,3,0),0)</f>
        <v>0</v>
      </c>
      <c r="BW20" s="165">
        <f>+IFERROR(VLOOKUP($BW$17,Sheet1!AL10:AO10,3,0),0)</f>
        <v>0</v>
      </c>
      <c r="BX20" s="166">
        <v>560</v>
      </c>
      <c r="BY20" s="165">
        <f>+IFERROR(VLOOKUP($BY$17,Sheet1!AT10:AW10,3,0),0)</f>
        <v>0</v>
      </c>
      <c r="BZ20" s="165">
        <f>+IFERROR(VLOOKUP($BZ$17,Sheet1!AX10:BA10,3,0),0)</f>
        <v>0</v>
      </c>
      <c r="CA20" s="165">
        <f>+IFERROR(VLOOKUP($CA$17,Sheet1!BB10:BE10,3,0),0)</f>
        <v>0</v>
      </c>
      <c r="CB20" s="165">
        <f>+IFERROR(VLOOKUP($CB$17,Sheet1!BF10:BI10,3,0),0)</f>
        <v>0</v>
      </c>
      <c r="CC20" s="165">
        <f>+IFERROR(VLOOKUP($CC$17,Sheet1!BJ10:BM10,3,0),0)</f>
        <v>0</v>
      </c>
      <c r="CD20" s="165">
        <f>+IFERROR(VLOOKUP($CD$17,Sheet1!BN10:BQ10,3,0),0)</f>
        <v>0</v>
      </c>
      <c r="CE20" s="166">
        <v>35</v>
      </c>
      <c r="CF20" s="37">
        <f>+IFERROR(VLOOKUP($CF$17,Sheet1!BV10:BY10,3,0),0)</f>
        <v>0</v>
      </c>
      <c r="CG20" s="56" t="str">
        <f>Sheet1!E10</f>
        <v>STEEL</v>
      </c>
      <c r="CH20" s="57" t="str">
        <f>Sheet1!CX10</f>
        <v>SP0400118</v>
      </c>
      <c r="CI20" s="57" t="str">
        <f>Sheet1!CY10</f>
        <v>CORRUGATED DISPATCH STEEL DRUM 1700 X 1000 X 1200</v>
      </c>
      <c r="CJ20" s="57">
        <f>Sheet1!CZ10</f>
        <v>500</v>
      </c>
      <c r="CK20" s="23">
        <f>23750/0.5</f>
        <v>47500</v>
      </c>
      <c r="CL20" s="23">
        <f t="shared" si="5"/>
        <v>499756</v>
      </c>
      <c r="CM20" s="24">
        <f>Sheet1!CB10</f>
        <v>0</v>
      </c>
      <c r="CN20" s="23">
        <f t="shared" si="6"/>
        <v>0</v>
      </c>
      <c r="CO20" s="79">
        <v>0.35</v>
      </c>
      <c r="CP20" s="23">
        <f t="shared" si="7"/>
        <v>174914.59999999998</v>
      </c>
      <c r="CQ20" s="79">
        <v>0</v>
      </c>
      <c r="CR20" s="23">
        <f t="shared" si="8"/>
        <v>0</v>
      </c>
      <c r="CS20" s="23">
        <f t="shared" si="9"/>
        <v>674670.6</v>
      </c>
      <c r="CT20" s="79">
        <v>0.02</v>
      </c>
      <c r="CU20" s="23">
        <f t="shared" si="10"/>
        <v>13493.412</v>
      </c>
      <c r="CV20" s="79">
        <v>0.01</v>
      </c>
      <c r="CW20" s="23">
        <f t="shared" si="11"/>
        <v>6746.7060000000001</v>
      </c>
      <c r="CX20" s="79">
        <f>Sheet1!CM10</f>
        <v>0</v>
      </c>
      <c r="CY20" s="6">
        <f t="shared" si="12"/>
        <v>0</v>
      </c>
    </row>
    <row r="21" spans="1:103" s="22" customFormat="1" ht="38.25" x14ac:dyDescent="0.25">
      <c r="A21" s="6" t="str">
        <f>Sheet1!A7</f>
        <v>ENQ-16527-25-26</v>
      </c>
      <c r="B21" s="71">
        <v>45809</v>
      </c>
      <c r="C21" s="6" t="str">
        <f>Sheet1!C7</f>
        <v>FA1100036</v>
      </c>
      <c r="D21" s="6" t="str">
        <f>Sheet1!D7</f>
        <v>4 CORE X 400 SQ. MM. AL/ARD - STRIP (XLPE)</v>
      </c>
      <c r="E21" s="23">
        <f t="shared" si="0"/>
        <v>1968518.3355</v>
      </c>
      <c r="F21" s="163">
        <f t="shared" si="13"/>
        <v>37686</v>
      </c>
      <c r="G21" s="28">
        <f t="shared" si="1"/>
        <v>2006204.3355</v>
      </c>
      <c r="H21" s="29">
        <f>Sheet1!CR7</f>
        <v>0.18</v>
      </c>
      <c r="I21" s="28">
        <f t="shared" si="2"/>
        <v>361116.78038999997</v>
      </c>
      <c r="J21" s="28">
        <f t="shared" si="3"/>
        <v>2367321.11589</v>
      </c>
      <c r="K21" s="63">
        <f>Sheet1!CU7</f>
        <v>27</v>
      </c>
      <c r="L21" s="60" t="str">
        <f>Sheet1!CV7</f>
        <v>KMS</v>
      </c>
      <c r="M21" s="23">
        <f t="shared" si="4"/>
        <v>63917670.129030004</v>
      </c>
      <c r="N21" s="167">
        <f>+IFERROR(VLOOKUP($N$17,Sheet1!J7:L7,3,0),0)</f>
        <v>4320</v>
      </c>
      <c r="O21" s="168">
        <f>+IFERROR(VLOOKUP($O$17,Sheet1!J7:L7,3,0),0)</f>
        <v>0</v>
      </c>
      <c r="P21" s="168">
        <f>+IFERROR(VLOOKUP($P$17,Sheet1!J7:M7,3,0),0)</f>
        <v>0</v>
      </c>
      <c r="Q21" s="168">
        <f>+IFERROR(VLOOKUP($Q$17,Sheet1!J7:M7,3,0),0)</f>
        <v>0</v>
      </c>
      <c r="R21" s="168">
        <f>+IFERROR(VLOOKUP($R$17,Sheet1!J7:M7,3,0),0)</f>
        <v>0</v>
      </c>
      <c r="S21" s="168">
        <f>+IFERROR(VLOOKUP($S$17,Sheet1!J7:M7,3,0),0)</f>
        <v>0</v>
      </c>
      <c r="T21" s="168">
        <f>+IFERROR(VLOOKUP($T$17,Sheet1!J7:M7,3,0),0)</f>
        <v>0</v>
      </c>
      <c r="U21" s="168">
        <f>+IFERROR(VLOOKUP($U$17,Sheet1!J7:M7,3,0),0)</f>
        <v>0</v>
      </c>
      <c r="V21" s="168">
        <f>+IFERROR(VLOOKUP($V$17,Sheet1!N7:Q7,3,0),0)</f>
        <v>0</v>
      </c>
      <c r="W21" s="168">
        <f>+IFERROR(VLOOKUP($W$17,Sheet1!N7:Q7,3,0),0)</f>
        <v>0</v>
      </c>
      <c r="X21" s="168">
        <f>+IFERROR(VLOOKUP($X$17,Sheet1!F7:I7,3,0),0)</f>
        <v>0</v>
      </c>
      <c r="Y21" s="168">
        <f>+IFERROR(VLOOKUP($Y$17,Sheet1!F7:I7,3,0),0)</f>
        <v>0</v>
      </c>
      <c r="Z21" s="168">
        <f>+IFERROR(VLOOKUP($Z$17,Sheet1!F7:I7,3,0),0)</f>
        <v>0</v>
      </c>
      <c r="AA21" s="168">
        <f>+IFERROR(VLOOKUP($AA$17,Sheet1!F7:I7,3,0),0)</f>
        <v>0</v>
      </c>
      <c r="AB21" s="168">
        <f>+IFERROR(VLOOKUP($AB$17,Sheet1!F7:I7,3,0),0)</f>
        <v>0</v>
      </c>
      <c r="AC21" s="168">
        <f>+IFERROR(VLOOKUP($AC$17,Sheet1!F7:I7,3,0),0)</f>
        <v>0</v>
      </c>
      <c r="AD21" s="168">
        <f>+IFERROR(VLOOKUP($AD$17,Sheet1!F7:I7,3,0),0)</f>
        <v>0</v>
      </c>
      <c r="AE21" s="168">
        <f>+IFERROR(VLOOKUP($AE$17,Sheet1!F7:I7,3,0),0)</f>
        <v>0</v>
      </c>
      <c r="AF21" s="168">
        <f>+IFERROR(VLOOKUP($AF$17,Sheet1!R7:U7,3,0),0)</f>
        <v>0</v>
      </c>
      <c r="AG21" s="165">
        <f>+IFERROR(VLOOKUP($AG$17,Sheet1!R7:U7,3,0),0)</f>
        <v>0</v>
      </c>
      <c r="AH21" s="168">
        <f>+IFERROR(VLOOKUP($AH$17,Sheet1!V7:Y7,3,0),0)</f>
        <v>0</v>
      </c>
      <c r="AI21" s="166">
        <v>700</v>
      </c>
      <c r="AJ21" s="165">
        <f>+IFERROR(VLOOKUP($AJ$17,Sheet1!V7:Y7,3,0),0)</f>
        <v>0</v>
      </c>
      <c r="AK21" s="165">
        <f>+IFERROR(VLOOKUP($AK$17,Sheet1!V7:Y7,3,0),0)</f>
        <v>0</v>
      </c>
      <c r="AL21" s="165">
        <f>+IFERROR(VLOOKUP($AL$17,Sheet1!V7:Y7,3,0),0)</f>
        <v>0</v>
      </c>
      <c r="AM21" s="165">
        <f>+IFERROR(VLOOKUP($AM$17,Sheet1!V7:Y7,3,0),0)</f>
        <v>0</v>
      </c>
      <c r="AN21" s="165">
        <f>+IFERROR(VLOOKUP($AN$17,Sheet1!V7:Y7,3,0),0)</f>
        <v>0</v>
      </c>
      <c r="AO21" s="165">
        <f>+IFERROR(VLOOKUP($AO$17,Sheet1!V7:Y7,3,0),0)</f>
        <v>0</v>
      </c>
      <c r="AP21" s="165">
        <f>+IFERROR(VLOOKUP($AP$17,Sheet1!V7:Y7,3,0),0)</f>
        <v>0</v>
      </c>
      <c r="AQ21" s="165">
        <f>+IFERROR(VLOOKUP($AQ$17,Sheet1!Z7:AB7,3,0),0)</f>
        <v>0</v>
      </c>
      <c r="AR21" s="165">
        <f>+IFERROR(VLOOKUP($AR$17,Sheet1!AD7:AG7,3,0),0)</f>
        <v>0</v>
      </c>
      <c r="AS21" s="165">
        <f>+IFERROR(VLOOKUP($AS$17,Sheet1!AD7:AG7,3,0),0)</f>
        <v>0</v>
      </c>
      <c r="AT21" s="165">
        <f>+IFERROR(VLOOKUP($AT$17,Sheet1!AD7:AG7,3,0),0)</f>
        <v>0</v>
      </c>
      <c r="AU21" s="165">
        <f>+IFERROR(VLOOKUP($AU$17,Sheet1!AD7:AG7,3,0),0)</f>
        <v>0</v>
      </c>
      <c r="AV21" s="165">
        <f>+IFERROR(VLOOKUP($AV$17,Sheet1!AD7:AG7,3,0),0)</f>
        <v>0</v>
      </c>
      <c r="AW21" s="165">
        <f>+IFERROR(VLOOKUP($AW$17,Sheet1!AD7:AG7,3,0),0)</f>
        <v>0</v>
      </c>
      <c r="AX21" s="166">
        <v>271</v>
      </c>
      <c r="AY21" s="165">
        <f>+IFERROR(VLOOKUP($AY$17,Sheet1!AD7:AG7,3,0),0)</f>
        <v>0</v>
      </c>
      <c r="AZ21" s="165">
        <f>+IFERROR(VLOOKUP($AZ$17,Sheet1!AD7:AG7,3,0),0)</f>
        <v>0</v>
      </c>
      <c r="BA21" s="165">
        <f>+IFERROR(VLOOKUP($BA$17,Sheet1!AH7:AK7,3,0),0)</f>
        <v>0</v>
      </c>
      <c r="BB21" s="165">
        <f>+IFERROR(VLOOKUP($BB$17,Sheet1!AH7:AK7,3,0),0)</f>
        <v>0</v>
      </c>
      <c r="BC21" s="165">
        <f>+IFERROR(VLOOKUP($BC$17,Sheet1!AH7:AK7,3,0),0)</f>
        <v>0</v>
      </c>
      <c r="BD21" s="165">
        <f>+IFERROR(VLOOKUP($BD$17,Sheet1!AH7:AK7,3,0),0)</f>
        <v>0</v>
      </c>
      <c r="BE21" s="165">
        <f>+IFERROR(VLOOKUP($BE$17,Sheet1!AH7:AK7,3,0),0)</f>
        <v>0</v>
      </c>
      <c r="BF21" s="165">
        <f>+IFERROR(VLOOKUP($BF$17,Sheet1!AH7:AK7,3,0),0)</f>
        <v>0</v>
      </c>
      <c r="BG21" s="166">
        <v>1102</v>
      </c>
      <c r="BH21" s="165">
        <f>+IFERROR(VLOOKUP($BH$17,Sheet1!AH7:AK7,3,0),0)</f>
        <v>0</v>
      </c>
      <c r="BI21" s="165">
        <f>+IFERROR(VLOOKUP($BI$17,Sheet1!AH7:AK7,3,0),0)</f>
        <v>0</v>
      </c>
      <c r="BJ21" s="165">
        <f>+IFERROR(VLOOKUP($BJ$17,Sheet1!AH7:AK7,3,0),0)</f>
        <v>0</v>
      </c>
      <c r="BK21" s="165">
        <f>+IFERROR(VLOOKUP($BK$17,Sheet1!AH7:AK7,3,0),0)</f>
        <v>0</v>
      </c>
      <c r="BL21" s="165">
        <f>+IFERROR(VLOOKUP($BL$17,Sheet1!AL7:AO7,3,0),0)</f>
        <v>0</v>
      </c>
      <c r="BM21" s="165">
        <f>+IFERROR(VLOOKUP($BM$17,Sheet1!AL7:AO7,3,0),0)</f>
        <v>0</v>
      </c>
      <c r="BN21" s="165">
        <f>+IFERROR(VLOOKUP($BN$17,Sheet1!AL7:AO7,3,0),0)</f>
        <v>0</v>
      </c>
      <c r="BO21" s="165">
        <f>+IFERROR(VLOOKUP($BO$17,Sheet1!AL7:AO7,3,0),0)</f>
        <v>0</v>
      </c>
      <c r="BP21" s="165">
        <f>+IFERROR(VLOOKUP($BP$17,Sheet1!AL7:AO7,3,0),0)</f>
        <v>0</v>
      </c>
      <c r="BQ21" s="165">
        <f>+IFERROR(VLOOKUP($BQ$17,Sheet1!AL7:AO7,3,0),0)</f>
        <v>0</v>
      </c>
      <c r="BR21" s="165">
        <f>+IFERROR(VLOOKUP($BR$17,Sheet1!AL7:AO7,3,0),0)</f>
        <v>0</v>
      </c>
      <c r="BS21" s="165">
        <f>+IFERROR(VLOOKUP($BS$17,Sheet1!AL7:AO7,3,0),0)</f>
        <v>0</v>
      </c>
      <c r="BT21" s="166">
        <v>940</v>
      </c>
      <c r="BU21" s="165">
        <f>+IFERROR(VLOOKUP($BU$17,Sheet1!AL7:AO7,3,0),0)</f>
        <v>0</v>
      </c>
      <c r="BV21" s="165">
        <f>+IFERROR(VLOOKUP($BV$17,Sheet1!AL7:AO7,3,0),0)</f>
        <v>0</v>
      </c>
      <c r="BW21" s="165">
        <f>+IFERROR(VLOOKUP($BW$17,Sheet1!AL7:AO7,3,0),0)</f>
        <v>0</v>
      </c>
      <c r="BX21" s="165">
        <f>+IFERROR(VLOOKUP($BX$17,Sheet1!AP7:AS7,3,0),0)</f>
        <v>0</v>
      </c>
      <c r="BY21" s="165">
        <f>+IFERROR(VLOOKUP($BY$17,Sheet1!AT7:AW7,3,0),0)</f>
        <v>0</v>
      </c>
      <c r="BZ21" s="165">
        <f>+IFERROR(VLOOKUP($BZ$17,Sheet1!AX7:BA7,3,0),0)</f>
        <v>0</v>
      </c>
      <c r="CA21" s="165">
        <f>+IFERROR(VLOOKUP($CA$17,Sheet1!BB7:BE7,3,0),0)</f>
        <v>0</v>
      </c>
      <c r="CB21" s="165">
        <f>+IFERROR(VLOOKUP($CB$17,Sheet1!BF7:BI7,3,0),0)</f>
        <v>0</v>
      </c>
      <c r="CC21" s="165">
        <f>+IFERROR(VLOOKUP($CC$17,Sheet1!BJ7:BM7,3,0),0)</f>
        <v>0</v>
      </c>
      <c r="CD21" s="165">
        <f>+IFERROR(VLOOKUP($CD$17,Sheet1!BN7:BQ7,3,0),0)</f>
        <v>0</v>
      </c>
      <c r="CE21" s="166">
        <v>87</v>
      </c>
      <c r="CF21" s="37">
        <f>+IFERROR(VLOOKUP($CF$17,Sheet1!BV7:BY7,3,0),0)</f>
        <v>0</v>
      </c>
      <c r="CG21" s="56" t="str">
        <f>Sheet1!E7</f>
        <v>STEEL</v>
      </c>
      <c r="CH21" s="57" t="s">
        <v>329</v>
      </c>
      <c r="CI21" s="57" t="s">
        <v>330</v>
      </c>
      <c r="CJ21" s="57">
        <f>Sheet1!CZ7</f>
        <v>500</v>
      </c>
      <c r="CK21" s="23">
        <f>28800/0.5</f>
        <v>57600</v>
      </c>
      <c r="CL21" s="23">
        <f t="shared" si="5"/>
        <v>1415691</v>
      </c>
      <c r="CM21" s="24">
        <f>Sheet1!CB7</f>
        <v>0</v>
      </c>
      <c r="CN21" s="23">
        <f t="shared" si="6"/>
        <v>0</v>
      </c>
      <c r="CO21" s="79">
        <v>0.35</v>
      </c>
      <c r="CP21" s="23">
        <f t="shared" si="7"/>
        <v>495491.85</v>
      </c>
      <c r="CQ21" s="79">
        <v>0</v>
      </c>
      <c r="CR21" s="23">
        <f t="shared" si="8"/>
        <v>0</v>
      </c>
      <c r="CS21" s="23">
        <f t="shared" si="9"/>
        <v>1911182.85</v>
      </c>
      <c r="CT21" s="79">
        <v>0.02</v>
      </c>
      <c r="CU21" s="23">
        <f t="shared" si="10"/>
        <v>38223.656999999999</v>
      </c>
      <c r="CV21" s="79">
        <v>0.01</v>
      </c>
      <c r="CW21" s="23">
        <f t="shared" si="11"/>
        <v>19111.8285</v>
      </c>
      <c r="CX21" s="79">
        <f>Sheet1!CM7</f>
        <v>0</v>
      </c>
      <c r="CY21" s="6">
        <f t="shared" si="12"/>
        <v>0</v>
      </c>
    </row>
    <row r="22" spans="1:103" s="22" customFormat="1" ht="30" x14ac:dyDescent="0.25">
      <c r="A22" s="6" t="str">
        <f>Sheet1!A8</f>
        <v>ENQ-16527-25-26</v>
      </c>
      <c r="B22" s="71">
        <v>45809</v>
      </c>
      <c r="C22" s="6" t="str">
        <f>Sheet1!C8</f>
        <v>FA1100067</v>
      </c>
      <c r="D22" s="6" t="str">
        <f>Sheet1!D8</f>
        <v>4 CORE X 150 SQ. MM. AL/ARD - STRIP (XLPE)</v>
      </c>
      <c r="E22" s="23">
        <f t="shared" si="0"/>
        <v>803410.04249999998</v>
      </c>
      <c r="F22" s="163">
        <f t="shared" si="13"/>
        <v>34688</v>
      </c>
      <c r="G22" s="28">
        <f t="shared" si="1"/>
        <v>838098.04249999998</v>
      </c>
      <c r="H22" s="29">
        <f>Sheet1!CR8</f>
        <v>0.18</v>
      </c>
      <c r="I22" s="28">
        <f t="shared" si="2"/>
        <v>150857.64765</v>
      </c>
      <c r="J22" s="28">
        <f t="shared" si="3"/>
        <v>988955.69014999992</v>
      </c>
      <c r="K22" s="63">
        <f>Sheet1!CU8</f>
        <v>8</v>
      </c>
      <c r="L22" s="60" t="str">
        <f>Sheet1!CV8</f>
        <v>KMS</v>
      </c>
      <c r="M22" s="23">
        <f t="shared" si="4"/>
        <v>7911645.5211999994</v>
      </c>
      <c r="N22" s="167">
        <f>+IFERROR(VLOOKUP($N$17,Sheet1!J8:L8,3,0),0)</f>
        <v>1620</v>
      </c>
      <c r="O22" s="168">
        <f>+IFERROR(VLOOKUP($O$17,Sheet1!J8:L8,3,0),0)</f>
        <v>0</v>
      </c>
      <c r="P22" s="168">
        <f>+IFERROR(VLOOKUP($P$17,Sheet1!J8:M8,3,0),0)</f>
        <v>0</v>
      </c>
      <c r="Q22" s="168">
        <f>+IFERROR(VLOOKUP($Q$17,Sheet1!J8:M8,3,0),0)</f>
        <v>0</v>
      </c>
      <c r="R22" s="168">
        <f>+IFERROR(VLOOKUP($R$17,Sheet1!J8:M8,3,0),0)</f>
        <v>0</v>
      </c>
      <c r="S22" s="168">
        <f>+IFERROR(VLOOKUP($S$17,Sheet1!J8:M8,3,0),0)</f>
        <v>0</v>
      </c>
      <c r="T22" s="168">
        <f>+IFERROR(VLOOKUP($T$17,Sheet1!J8:M8,3,0),0)</f>
        <v>0</v>
      </c>
      <c r="U22" s="168">
        <f>+IFERROR(VLOOKUP($U$17,Sheet1!J8:M8,3,0),0)</f>
        <v>0</v>
      </c>
      <c r="V22" s="168">
        <f>+IFERROR(VLOOKUP($V$17,Sheet1!N8:Q8,3,0),0)</f>
        <v>0</v>
      </c>
      <c r="W22" s="168">
        <f>+IFERROR(VLOOKUP($W$17,Sheet1!N8:Q8,3,0),0)</f>
        <v>0</v>
      </c>
      <c r="X22" s="168">
        <f>+IFERROR(VLOOKUP($X$17,Sheet1!F8:I8,3,0),0)</f>
        <v>0</v>
      </c>
      <c r="Y22" s="168">
        <f>+IFERROR(VLOOKUP($Y$17,Sheet1!F8:I8,3,0),0)</f>
        <v>0</v>
      </c>
      <c r="Z22" s="168">
        <f>+IFERROR(VLOOKUP($Z$17,Sheet1!F8:I8,3,0),0)</f>
        <v>0</v>
      </c>
      <c r="AA22" s="168">
        <f>+IFERROR(VLOOKUP($AA$17,Sheet1!F8:I8,3,0),0)</f>
        <v>0</v>
      </c>
      <c r="AB22" s="168">
        <f>+IFERROR(VLOOKUP($AB$17,Sheet1!F8:I8,3,0),0)</f>
        <v>0</v>
      </c>
      <c r="AC22" s="168">
        <f>+IFERROR(VLOOKUP($AC$17,Sheet1!F8:I8,3,0),0)</f>
        <v>0</v>
      </c>
      <c r="AD22" s="168">
        <f>+IFERROR(VLOOKUP($AD$17,Sheet1!F8:I8,3,0),0)</f>
        <v>0</v>
      </c>
      <c r="AE22" s="168">
        <f>+IFERROR(VLOOKUP($AE$17,Sheet1!F8:I8,3,0),0)</f>
        <v>0</v>
      </c>
      <c r="AF22" s="168">
        <f>+IFERROR(VLOOKUP($AF$17,Sheet1!R8:U8,3,0),0)</f>
        <v>0</v>
      </c>
      <c r="AG22" s="165">
        <f>+IFERROR(VLOOKUP($AG$17,Sheet1!R8:U8,3,0),0)</f>
        <v>0</v>
      </c>
      <c r="AH22" s="168">
        <f>+IFERROR(VLOOKUP($AH$17,Sheet1!V8:Y8,3,0),0)</f>
        <v>0</v>
      </c>
      <c r="AI22" s="166">
        <v>327</v>
      </c>
      <c r="AJ22" s="165">
        <f>+IFERROR(VLOOKUP($AJ$17,Sheet1!V8:Y8,3,0),0)</f>
        <v>0</v>
      </c>
      <c r="AK22" s="165">
        <f>+IFERROR(VLOOKUP($AK$17,Sheet1!V8:Y8,3,0),0)</f>
        <v>0</v>
      </c>
      <c r="AL22" s="165">
        <f>+IFERROR(VLOOKUP($AL$17,Sheet1!V8:Y8,3,0),0)</f>
        <v>0</v>
      </c>
      <c r="AM22" s="165">
        <f>+IFERROR(VLOOKUP($AM$17,Sheet1!V8:Y8,3,0),0)</f>
        <v>0</v>
      </c>
      <c r="AN22" s="165">
        <f>+IFERROR(VLOOKUP($AN$17,Sheet1!V8:Y8,3,0),0)</f>
        <v>0</v>
      </c>
      <c r="AO22" s="165">
        <f>+IFERROR(VLOOKUP($AO$17,Sheet1!V8:Y8,3,0),0)</f>
        <v>0</v>
      </c>
      <c r="AP22" s="165">
        <f>+IFERROR(VLOOKUP($AP$17,Sheet1!V8:Y8,3,0),0)</f>
        <v>0</v>
      </c>
      <c r="AQ22" s="165">
        <f>+IFERROR(VLOOKUP($AQ$17,Sheet1!Z8:AB8,3,0),0)</f>
        <v>0</v>
      </c>
      <c r="AR22" s="165">
        <f>+IFERROR(VLOOKUP($AR$17,Sheet1!AD8:AG8,3,0),0)</f>
        <v>0</v>
      </c>
      <c r="AS22" s="165">
        <f>+IFERROR(VLOOKUP($AS$17,Sheet1!AD8:AG8,3,0),0)</f>
        <v>0</v>
      </c>
      <c r="AT22" s="165">
        <f>+IFERROR(VLOOKUP($AT$17,Sheet1!AD8:AG8,3,0),0)</f>
        <v>0</v>
      </c>
      <c r="AU22" s="165">
        <f>+IFERROR(VLOOKUP($AU$17,Sheet1!AD8:AG8,3,0),0)</f>
        <v>0</v>
      </c>
      <c r="AV22" s="165">
        <f>+IFERROR(VLOOKUP($AV$17,Sheet1!AD8:AG8,3,0),0)</f>
        <v>0</v>
      </c>
      <c r="AW22" s="165">
        <f>+IFERROR(VLOOKUP($AW$17,Sheet1!AD8:AG8,3,0),0)</f>
        <v>0</v>
      </c>
      <c r="AX22" s="166">
        <v>145</v>
      </c>
      <c r="AY22" s="165">
        <f>+IFERROR(VLOOKUP($AY$17,Sheet1!AD8:AG8,3,0),0)</f>
        <v>0</v>
      </c>
      <c r="AZ22" s="165">
        <f>+IFERROR(VLOOKUP($AZ$17,Sheet1!AD8:AG8,3,0),0)</f>
        <v>0</v>
      </c>
      <c r="BA22" s="165">
        <f>+IFERROR(VLOOKUP($BA$17,Sheet1!AH8:AK8,3,0),0)</f>
        <v>0</v>
      </c>
      <c r="BB22" s="165">
        <f>+IFERROR(VLOOKUP($BB$17,Sheet1!AH8:AK8,3,0),0)</f>
        <v>0</v>
      </c>
      <c r="BC22" s="165">
        <f>+IFERROR(VLOOKUP($BC$17,Sheet1!AH8:AK8,3,0),0)</f>
        <v>0</v>
      </c>
      <c r="BD22" s="165">
        <f>+IFERROR(VLOOKUP($BD$17,Sheet1!AH8:AK8,3,0),0)</f>
        <v>0</v>
      </c>
      <c r="BE22" s="165">
        <f>+IFERROR(VLOOKUP($BE$17,Sheet1!AH8:AK8,3,0),0)</f>
        <v>0</v>
      </c>
      <c r="BF22" s="165">
        <f>+IFERROR(VLOOKUP($BF$17,Sheet1!AH8:AK8,3,0),0)</f>
        <v>0</v>
      </c>
      <c r="BG22" s="166">
        <v>816</v>
      </c>
      <c r="BH22" s="165">
        <f>+IFERROR(VLOOKUP($BH$17,Sheet1!AH8:AK8,3,0),0)</f>
        <v>0</v>
      </c>
      <c r="BI22" s="165">
        <f>+IFERROR(VLOOKUP($BI$17,Sheet1!AH8:AK8,3,0),0)</f>
        <v>0</v>
      </c>
      <c r="BJ22" s="165">
        <f>+IFERROR(VLOOKUP($BJ$17,Sheet1!AH8:AK8,3,0),0)</f>
        <v>0</v>
      </c>
      <c r="BK22" s="165">
        <f>+IFERROR(VLOOKUP($BK$17,Sheet1!AH8:AK8,3,0),0)</f>
        <v>0</v>
      </c>
      <c r="BL22" s="165">
        <f>+IFERROR(VLOOKUP($BL$17,Sheet1!AL8:AO8,3,0),0)</f>
        <v>0</v>
      </c>
      <c r="BM22" s="165">
        <f>+IFERROR(VLOOKUP($BM$17,Sheet1!AL8:AO8,3,0),0)</f>
        <v>0</v>
      </c>
      <c r="BN22" s="165">
        <f>+IFERROR(VLOOKUP($BN$17,Sheet1!AL8:AO8,3,0),0)</f>
        <v>0</v>
      </c>
      <c r="BO22" s="165">
        <f>+IFERROR(VLOOKUP($BO$17,Sheet1!AL8:AO8,3,0),0)</f>
        <v>0</v>
      </c>
      <c r="BP22" s="165">
        <f>+IFERROR(VLOOKUP($BP$17,Sheet1!AL8:AO8,3,0),0)</f>
        <v>0</v>
      </c>
      <c r="BQ22" s="165">
        <f>+IFERROR(VLOOKUP($BQ$17,Sheet1!AL8:AO8,3,0),0)</f>
        <v>0</v>
      </c>
      <c r="BR22" s="165">
        <f>+IFERROR(VLOOKUP($BR$17,Sheet1!AL8:AO8,3,0),0)</f>
        <v>0</v>
      </c>
      <c r="BS22" s="165">
        <f>+IFERROR(VLOOKUP($BS$17,Sheet1!AL8:AO8,3,0),0)</f>
        <v>0</v>
      </c>
      <c r="BT22" s="166">
        <v>503</v>
      </c>
      <c r="BU22" s="165">
        <f>+IFERROR(VLOOKUP($BU$17,Sheet1!AL8:AO8,3,0),0)</f>
        <v>0</v>
      </c>
      <c r="BV22" s="165">
        <f>+IFERROR(VLOOKUP($BV$17,Sheet1!AL8:AO8,3,0),0)</f>
        <v>0</v>
      </c>
      <c r="BW22" s="165">
        <f>+IFERROR(VLOOKUP($BW$17,Sheet1!AL8:AO8,3,0),0)</f>
        <v>0</v>
      </c>
      <c r="BX22" s="165">
        <f>+IFERROR(VLOOKUP($BX$17,Sheet1!AP8:AS8,3,0),0)</f>
        <v>0</v>
      </c>
      <c r="BY22" s="165">
        <f>+IFERROR(VLOOKUP($BY$17,Sheet1!AT8:AW8,3,0),0)</f>
        <v>0</v>
      </c>
      <c r="BZ22" s="165">
        <f>+IFERROR(VLOOKUP($BZ$17,Sheet1!AX8:BA8,3,0),0)</f>
        <v>0</v>
      </c>
      <c r="CA22" s="165">
        <f>+IFERROR(VLOOKUP($CA$17,Sheet1!BB8:BE8,3,0),0)</f>
        <v>0</v>
      </c>
      <c r="CB22" s="165">
        <f>+IFERROR(VLOOKUP($CB$17,Sheet1!BF8:BI8,3,0),0)</f>
        <v>0</v>
      </c>
      <c r="CC22" s="165">
        <f>+IFERROR(VLOOKUP($CC$17,Sheet1!BJ8:BM8,3,0),0)</f>
        <v>0</v>
      </c>
      <c r="CD22" s="165">
        <f>+IFERROR(VLOOKUP($CD$17,Sheet1!BN8:BQ8,3,0),0)</f>
        <v>0</v>
      </c>
      <c r="CE22" s="166">
        <v>32</v>
      </c>
      <c r="CF22" s="37">
        <f>+IFERROR(VLOOKUP($CF$17,Sheet1!BV8:BY8,3,0),0)</f>
        <v>0</v>
      </c>
      <c r="CG22" s="56" t="str">
        <f>Sheet1!E8</f>
        <v>WOOD</v>
      </c>
      <c r="CH22" s="57" t="str">
        <f>Sheet1!CX8</f>
        <v>MD0100070</v>
      </c>
      <c r="CI22" s="57" t="str">
        <f>Sheet1!CY8</f>
        <v>DRUM - 68 X 24 X 32 X 3</v>
      </c>
      <c r="CJ22" s="57">
        <f>Sheet1!CZ8</f>
        <v>500</v>
      </c>
      <c r="CK22" s="23">
        <f>Sheet1!BZ8</f>
        <v>20094</v>
      </c>
      <c r="CL22" s="23">
        <f t="shared" si="5"/>
        <v>577785</v>
      </c>
      <c r="CM22" s="24">
        <f>Sheet1!CB8</f>
        <v>0</v>
      </c>
      <c r="CN22" s="23">
        <f t="shared" si="6"/>
        <v>0</v>
      </c>
      <c r="CO22" s="79">
        <v>0.35</v>
      </c>
      <c r="CP22" s="23">
        <f t="shared" si="7"/>
        <v>202224.75</v>
      </c>
      <c r="CQ22" s="79">
        <v>0</v>
      </c>
      <c r="CR22" s="23">
        <f t="shared" si="8"/>
        <v>0</v>
      </c>
      <c r="CS22" s="23">
        <f t="shared" si="9"/>
        <v>780009.75</v>
      </c>
      <c r="CT22" s="79">
        <v>0.02</v>
      </c>
      <c r="CU22" s="23">
        <f t="shared" si="10"/>
        <v>15600.195</v>
      </c>
      <c r="CV22" s="79">
        <v>0.01</v>
      </c>
      <c r="CW22" s="23">
        <f t="shared" si="11"/>
        <v>7800.0974999999999</v>
      </c>
      <c r="CX22" s="79">
        <f>Sheet1!CM8</f>
        <v>0</v>
      </c>
      <c r="CY22" s="6">
        <f t="shared" si="12"/>
        <v>0</v>
      </c>
    </row>
    <row r="23" spans="1:103" s="22" customFormat="1" ht="30" x14ac:dyDescent="0.25">
      <c r="A23" s="6" t="str">
        <f>Sheet1!A6</f>
        <v>ENQ-16527-25-26</v>
      </c>
      <c r="B23" s="71">
        <v>45809</v>
      </c>
      <c r="C23" s="6" t="str">
        <f>Sheet1!C6</f>
        <v>FA1100012</v>
      </c>
      <c r="D23" s="6" t="str">
        <f>Sheet1!D6</f>
        <v>4 CORE X 95 SQ. MM. AL/ARD - STRIP (XLPE)</v>
      </c>
      <c r="E23" s="23">
        <f t="shared" si="0"/>
        <v>527298.45750000002</v>
      </c>
      <c r="F23" s="163">
        <f t="shared" si="13"/>
        <v>18687</v>
      </c>
      <c r="G23" s="28">
        <f t="shared" si="1"/>
        <v>545985.45750000002</v>
      </c>
      <c r="H23" s="29">
        <f>Sheet1!CR6</f>
        <v>0.18</v>
      </c>
      <c r="I23" s="28">
        <f t="shared" si="2"/>
        <v>98277.38235</v>
      </c>
      <c r="J23" s="28">
        <f t="shared" si="3"/>
        <v>644262.83984999999</v>
      </c>
      <c r="K23" s="63">
        <f>Sheet1!CU6</f>
        <v>198</v>
      </c>
      <c r="L23" s="60" t="str">
        <f>Sheet1!CV6</f>
        <v>KMS</v>
      </c>
      <c r="M23" s="23">
        <f t="shared" si="4"/>
        <v>127564042.2903</v>
      </c>
      <c r="N23" s="167">
        <f>+IFERROR(VLOOKUP($N$17,Sheet1!J6:L6,3,0),0)</f>
        <v>1026</v>
      </c>
      <c r="O23" s="168">
        <f>+IFERROR(VLOOKUP($O$17,Sheet1!J6:L6,3,0),0)</f>
        <v>0</v>
      </c>
      <c r="P23" s="168">
        <f>+IFERROR(VLOOKUP($P$17,Sheet1!J6:M6,3,0),0)</f>
        <v>0</v>
      </c>
      <c r="Q23" s="168">
        <f>+IFERROR(VLOOKUP($Q$17,Sheet1!J6:M6,3,0),0)</f>
        <v>0</v>
      </c>
      <c r="R23" s="168">
        <f>+IFERROR(VLOOKUP($R$17,Sheet1!J6:M6,3,0),0)</f>
        <v>0</v>
      </c>
      <c r="S23" s="168">
        <f>+IFERROR(VLOOKUP($S$17,Sheet1!J6:M6,3,0),0)</f>
        <v>0</v>
      </c>
      <c r="T23" s="168">
        <f>+IFERROR(VLOOKUP($T$17,Sheet1!J6:M6,3,0),0)</f>
        <v>0</v>
      </c>
      <c r="U23" s="168">
        <f>+IFERROR(VLOOKUP($U$17,Sheet1!J6:M6,3,0),0)</f>
        <v>0</v>
      </c>
      <c r="V23" s="168">
        <f>+IFERROR(VLOOKUP($V$17,Sheet1!N6:Q6,3,0),0)</f>
        <v>0</v>
      </c>
      <c r="W23" s="168">
        <f>+IFERROR(VLOOKUP($W$17,Sheet1!N6:Q6,3,0),0)</f>
        <v>0</v>
      </c>
      <c r="X23" s="168">
        <f>+IFERROR(VLOOKUP($X$17,Sheet1!F6:I6,3,0),0)</f>
        <v>0</v>
      </c>
      <c r="Y23" s="168">
        <f>+IFERROR(VLOOKUP($Y$17,Sheet1!F6:I6,3,0),0)</f>
        <v>0</v>
      </c>
      <c r="Z23" s="168">
        <f>+IFERROR(VLOOKUP($Z$17,Sheet1!F6:I6,3,0),0)</f>
        <v>0</v>
      </c>
      <c r="AA23" s="168">
        <f>+IFERROR(VLOOKUP($AA$17,Sheet1!F6:I6,3,0),0)</f>
        <v>0</v>
      </c>
      <c r="AB23" s="168">
        <f>+IFERROR(VLOOKUP($AB$17,Sheet1!F6:I6,3,0),0)</f>
        <v>0</v>
      </c>
      <c r="AC23" s="168">
        <f>+IFERROR(VLOOKUP($AC$17,Sheet1!F6:I6,3,0),0)</f>
        <v>0</v>
      </c>
      <c r="AD23" s="168">
        <f>+IFERROR(VLOOKUP($AD$17,Sheet1!F6:I6,3,0),0)</f>
        <v>0</v>
      </c>
      <c r="AE23" s="168">
        <f>+IFERROR(VLOOKUP($AE$17,Sheet1!F6:I6,3,0),0)</f>
        <v>0</v>
      </c>
      <c r="AF23" s="168">
        <f>+IFERROR(VLOOKUP($AF$17,Sheet1!R6:U6,3,0),0)</f>
        <v>0</v>
      </c>
      <c r="AG23" s="165">
        <f>+IFERROR(VLOOKUP($AG$17,Sheet1!R6:U6,3,0),0)</f>
        <v>0</v>
      </c>
      <c r="AH23" s="168">
        <f>+IFERROR(VLOOKUP($AH$17,Sheet1!V6:Y6,3,0),0)</f>
        <v>0</v>
      </c>
      <c r="AI23" s="166">
        <v>200</v>
      </c>
      <c r="AJ23" s="165">
        <f>+IFERROR(VLOOKUP($AJ$17,Sheet1!V6:Y6,3,0),0)</f>
        <v>0</v>
      </c>
      <c r="AK23" s="165">
        <f>+IFERROR(VLOOKUP($AK$17,Sheet1!V6:Y6,3,0),0)</f>
        <v>0</v>
      </c>
      <c r="AL23" s="165">
        <f>+IFERROR(VLOOKUP($AL$17,Sheet1!V6:Y6,3,0),0)</f>
        <v>0</v>
      </c>
      <c r="AM23" s="165">
        <f>+IFERROR(VLOOKUP($AM$17,Sheet1!V6:Y6,3,0),0)</f>
        <v>0</v>
      </c>
      <c r="AN23" s="165">
        <f>+IFERROR(VLOOKUP($AN$17,Sheet1!V6:Y6,3,0),0)</f>
        <v>0</v>
      </c>
      <c r="AO23" s="165">
        <f>+IFERROR(VLOOKUP($AO$17,Sheet1!V6:Y6,3,0),0)</f>
        <v>0</v>
      </c>
      <c r="AP23" s="165">
        <f>+IFERROR(VLOOKUP($AP$17,Sheet1!V6:Y6,3,0),0)</f>
        <v>0</v>
      </c>
      <c r="AQ23" s="165">
        <f>+IFERROR(VLOOKUP($AQ$17,Sheet1!Z6:AB6,3,0),0)</f>
        <v>0</v>
      </c>
      <c r="AR23" s="165">
        <f>+IFERROR(VLOOKUP($AR$17,Sheet1!AD6:AG6,3,0),0)</f>
        <v>0</v>
      </c>
      <c r="AS23" s="165">
        <f>+IFERROR(VLOOKUP($AS$17,Sheet1!AD6:AG6,3,0),0)</f>
        <v>0</v>
      </c>
      <c r="AT23" s="165">
        <f>+IFERROR(VLOOKUP($AT$17,Sheet1!AD6:AG6,3,0),0)</f>
        <v>0</v>
      </c>
      <c r="AU23" s="165">
        <f>+IFERROR(VLOOKUP($AU$17,Sheet1!AD6:AG6,3,0),0)</f>
        <v>0</v>
      </c>
      <c r="AV23" s="165">
        <f>+IFERROR(VLOOKUP($AV$17,Sheet1!AD6:AG6,3,0),0)</f>
        <v>0</v>
      </c>
      <c r="AW23" s="165">
        <f>+IFERROR(VLOOKUP($AW$17,Sheet1!AD6:AG6,3,0),0)</f>
        <v>0</v>
      </c>
      <c r="AX23" s="166">
        <v>90</v>
      </c>
      <c r="AY23" s="165">
        <f>+IFERROR(VLOOKUP($AY$17,Sheet1!AD6:AG6,3,0),0)</f>
        <v>0</v>
      </c>
      <c r="AZ23" s="165">
        <f>+IFERROR(VLOOKUP($AZ$17,Sheet1!AD6:AG6,3,0),0)</f>
        <v>0</v>
      </c>
      <c r="BA23" s="165">
        <f>+IFERROR(VLOOKUP($BA$17,Sheet1!AH6:AK6,3,0),0)</f>
        <v>0</v>
      </c>
      <c r="BB23" s="165">
        <f>+IFERROR(VLOOKUP($BB$17,Sheet1!AH6:AK6,3,0),0)</f>
        <v>0</v>
      </c>
      <c r="BC23" s="165">
        <f>+IFERROR(VLOOKUP($BC$17,Sheet1!AH6:AK6,3,0),0)</f>
        <v>0</v>
      </c>
      <c r="BD23" s="165">
        <f>+IFERROR(VLOOKUP($BD$17,Sheet1!AH6:AK6,3,0),0)</f>
        <v>0</v>
      </c>
      <c r="BE23" s="165">
        <f>+IFERROR(VLOOKUP($BE$17,Sheet1!AH6:AK6,3,0),0)</f>
        <v>0</v>
      </c>
      <c r="BF23" s="165">
        <f>+IFERROR(VLOOKUP($BF$17,Sheet1!AH6:AK6,3,0),0)</f>
        <v>0</v>
      </c>
      <c r="BG23" s="166">
        <v>577</v>
      </c>
      <c r="BH23" s="165">
        <f>+IFERROR(VLOOKUP($BH$17,Sheet1!AH6:AK6,3,0),0)</f>
        <v>0</v>
      </c>
      <c r="BI23" s="165">
        <f>+IFERROR(VLOOKUP($BI$17,Sheet1!AH6:AK6,3,0),0)</f>
        <v>0</v>
      </c>
      <c r="BJ23" s="165">
        <f>+IFERROR(VLOOKUP($BJ$17,Sheet1!AH6:AK6,3,0),0)</f>
        <v>0</v>
      </c>
      <c r="BK23" s="165">
        <f>+IFERROR(VLOOKUP($BK$17,Sheet1!AH6:AK6,3,0),0)</f>
        <v>0</v>
      </c>
      <c r="BL23" s="165">
        <f>+IFERROR(VLOOKUP($BL$17,Sheet1!AL6:AO6,3,0),0)</f>
        <v>0</v>
      </c>
      <c r="BM23" s="165">
        <f>+IFERROR(VLOOKUP($BM$17,Sheet1!AL6:AO6,3,0),0)</f>
        <v>0</v>
      </c>
      <c r="BN23" s="165">
        <f>+IFERROR(VLOOKUP($BN$17,Sheet1!AL6:AO6,3,0),0)</f>
        <v>0</v>
      </c>
      <c r="BO23" s="165">
        <f>+IFERROR(VLOOKUP($BO$17,Sheet1!AL6:AO6,3,0),0)</f>
        <v>0</v>
      </c>
      <c r="BP23" s="165">
        <f>+IFERROR(VLOOKUP($BP$17,Sheet1!AL6:AO6,3,0),0)</f>
        <v>0</v>
      </c>
      <c r="BQ23" s="165">
        <f>+IFERROR(VLOOKUP($BQ$17,Sheet1!AL6:AO6,3,0),0)</f>
        <v>0</v>
      </c>
      <c r="BR23" s="165">
        <f>+IFERROR(VLOOKUP($BR$17,Sheet1!AL6:AO6,3,0),0)</f>
        <v>0</v>
      </c>
      <c r="BS23" s="165">
        <f>+IFERROR(VLOOKUP($BS$17,Sheet1!AL6:AO6,3,0),0)</f>
        <v>0</v>
      </c>
      <c r="BT23" s="166">
        <v>304</v>
      </c>
      <c r="BU23" s="165">
        <f>+IFERROR(VLOOKUP($BU$17,Sheet1!AL6:AO6,3,0),0)</f>
        <v>0</v>
      </c>
      <c r="BV23" s="165">
        <f>+IFERROR(VLOOKUP($BV$17,Sheet1!AL6:AO6,3,0),0)</f>
        <v>0</v>
      </c>
      <c r="BW23" s="165">
        <f>+IFERROR(VLOOKUP($BW$17,Sheet1!AL6:AO6,3,0),0)</f>
        <v>0</v>
      </c>
      <c r="BX23" s="165">
        <f>+IFERROR(VLOOKUP($BX$17,Sheet1!AP6:AS6,3,0),0)</f>
        <v>0</v>
      </c>
      <c r="BY23" s="165">
        <f>+IFERROR(VLOOKUP($BY$17,Sheet1!AT6:AW6,3,0),0)</f>
        <v>0</v>
      </c>
      <c r="BZ23" s="165">
        <f>+IFERROR(VLOOKUP($BZ$17,Sheet1!AX6:BA6,3,0),0)</f>
        <v>0</v>
      </c>
      <c r="CA23" s="165">
        <f>+IFERROR(VLOOKUP($CA$17,Sheet1!BB6:BE6,3,0),0)</f>
        <v>0</v>
      </c>
      <c r="CB23" s="165">
        <f>+IFERROR(VLOOKUP($CB$17,Sheet1!BF6:BI6,3,0),0)</f>
        <v>0</v>
      </c>
      <c r="CC23" s="165">
        <f>+IFERROR(VLOOKUP($CC$17,Sheet1!BJ6:BM6,3,0),0)</f>
        <v>0</v>
      </c>
      <c r="CD23" s="165">
        <f>+IFERROR(VLOOKUP($CD$17,Sheet1!BN6:BQ6,3,0),0)</f>
        <v>0</v>
      </c>
      <c r="CE23" s="166">
        <v>45</v>
      </c>
      <c r="CF23" s="37">
        <f>+IFERROR(VLOOKUP($CF$17,Sheet1!BV6:BY6,3,0),0)</f>
        <v>0</v>
      </c>
      <c r="CG23" s="56" t="str">
        <f>Sheet1!E6</f>
        <v>WOOD</v>
      </c>
      <c r="CH23" s="57" t="str">
        <f>Sheet1!CX6</f>
        <v>MD0100061</v>
      </c>
      <c r="CI23" s="57" t="str">
        <f>Sheet1!CY6</f>
        <v>DRUM - 56 X 24 X 32 X 3</v>
      </c>
      <c r="CJ23" s="57">
        <f>Sheet1!CZ6</f>
        <v>500</v>
      </c>
      <c r="CK23" s="23">
        <f>Sheet1!BZ6</f>
        <v>15824</v>
      </c>
      <c r="CL23" s="23">
        <f t="shared" si="5"/>
        <v>379215</v>
      </c>
      <c r="CM23" s="24">
        <f>Sheet1!CB6</f>
        <v>0</v>
      </c>
      <c r="CN23" s="23">
        <f t="shared" si="6"/>
        <v>0</v>
      </c>
      <c r="CO23" s="79">
        <v>0.35</v>
      </c>
      <c r="CP23" s="23">
        <f t="shared" si="7"/>
        <v>132725.25</v>
      </c>
      <c r="CQ23" s="79">
        <v>0</v>
      </c>
      <c r="CR23" s="23">
        <f t="shared" si="8"/>
        <v>0</v>
      </c>
      <c r="CS23" s="23">
        <f t="shared" si="9"/>
        <v>511940.25</v>
      </c>
      <c r="CT23" s="79">
        <v>0.02</v>
      </c>
      <c r="CU23" s="23">
        <f t="shared" si="10"/>
        <v>10238.805</v>
      </c>
      <c r="CV23" s="79">
        <v>0.01</v>
      </c>
      <c r="CW23" s="23">
        <f t="shared" si="11"/>
        <v>5119.4025000000001</v>
      </c>
      <c r="CX23" s="79">
        <f>Sheet1!CM6</f>
        <v>0</v>
      </c>
      <c r="CY23" s="6">
        <f t="shared" si="12"/>
        <v>0</v>
      </c>
    </row>
    <row r="24" spans="1:103" s="22" customFormat="1" ht="30" x14ac:dyDescent="0.25">
      <c r="A24" s="6" t="str">
        <f>Sheet1!A4</f>
        <v>ENQ-16527-25-26</v>
      </c>
      <c r="B24" s="71">
        <v>45809</v>
      </c>
      <c r="C24" s="6" t="str">
        <f>Sheet1!C4</f>
        <v>FA0900036</v>
      </c>
      <c r="D24" s="6" t="str">
        <f>Sheet1!D4</f>
        <v>4 CORE X 50 SQ. MM. ALU/ARD - STRIP (XLPE)</v>
      </c>
      <c r="E24" s="23">
        <f t="shared" si="0"/>
        <v>303622.6275</v>
      </c>
      <c r="F24" s="163">
        <f t="shared" si="13"/>
        <v>10792</v>
      </c>
      <c r="G24" s="28">
        <f t="shared" si="1"/>
        <v>314414.6275</v>
      </c>
      <c r="H24" s="29">
        <f>Sheet1!CR4</f>
        <v>0.18</v>
      </c>
      <c r="I24" s="28">
        <f t="shared" si="2"/>
        <v>56594.632949999999</v>
      </c>
      <c r="J24" s="28">
        <f t="shared" si="3"/>
        <v>371009.26045</v>
      </c>
      <c r="K24" s="63">
        <f>Sheet1!CU4</f>
        <v>60</v>
      </c>
      <c r="L24" s="60" t="str">
        <f>Sheet1!CV4</f>
        <v>KMS</v>
      </c>
      <c r="M24" s="23">
        <f t="shared" si="4"/>
        <v>22260555.627</v>
      </c>
      <c r="N24" s="167">
        <f>+IFERROR(VLOOKUP($N$17,Sheet1!J4:L4,3,0),0)</f>
        <v>540</v>
      </c>
      <c r="O24" s="168">
        <f>+IFERROR(VLOOKUP($O$17,Sheet1!J4:L4,3,0),0)</f>
        <v>0</v>
      </c>
      <c r="P24" s="168">
        <f>+IFERROR(VLOOKUP($P$17,Sheet1!J4:M4,3,0),0)</f>
        <v>0</v>
      </c>
      <c r="Q24" s="168">
        <f>+IFERROR(VLOOKUP($Q$17,Sheet1!J4:M4,3,0),0)</f>
        <v>0</v>
      </c>
      <c r="R24" s="168">
        <f>+IFERROR(VLOOKUP($R$17,Sheet1!J4:M4,3,0),0)</f>
        <v>0</v>
      </c>
      <c r="S24" s="168">
        <f>+IFERROR(VLOOKUP($S$17,Sheet1!J4:M4,3,0),0)</f>
        <v>0</v>
      </c>
      <c r="T24" s="168">
        <f>+IFERROR(VLOOKUP($T$17,Sheet1!J4:M4,3,0),0)</f>
        <v>0</v>
      </c>
      <c r="U24" s="168">
        <f>+IFERROR(VLOOKUP($U$17,Sheet1!J4:M4,3,0),0)</f>
        <v>0</v>
      </c>
      <c r="V24" s="168">
        <f>+IFERROR(VLOOKUP($V$17,Sheet1!N4:Q4,3,0),0)</f>
        <v>0</v>
      </c>
      <c r="W24" s="168">
        <f>+IFERROR(VLOOKUP($W$17,Sheet1!N4:Q4,3,0),0)</f>
        <v>0</v>
      </c>
      <c r="X24" s="168">
        <f>+IFERROR(VLOOKUP($X$17,Sheet1!F4:I4,3,0),0)</f>
        <v>0</v>
      </c>
      <c r="Y24" s="168">
        <f>+IFERROR(VLOOKUP($Y$17,Sheet1!F4:I4,3,0),0)</f>
        <v>0</v>
      </c>
      <c r="Z24" s="168">
        <f>+IFERROR(VLOOKUP($Z$17,Sheet1!F4:I4,3,0),0)</f>
        <v>0</v>
      </c>
      <c r="AA24" s="168">
        <f>+IFERROR(VLOOKUP($AA$17,Sheet1!F4:I4,3,0),0)</f>
        <v>0</v>
      </c>
      <c r="AB24" s="168">
        <f>+IFERROR(VLOOKUP($AB$17,Sheet1!F4:I4,3,0),0)</f>
        <v>0</v>
      </c>
      <c r="AC24" s="168">
        <f>+IFERROR(VLOOKUP($AC$17,Sheet1!F4:I4,3,0),0)</f>
        <v>0</v>
      </c>
      <c r="AD24" s="168">
        <f>+IFERROR(VLOOKUP($AD$17,Sheet1!F4:I4,3,0),0)</f>
        <v>0</v>
      </c>
      <c r="AE24" s="168">
        <f>+IFERROR(VLOOKUP($AE$17,Sheet1!F4:I4,3,0),0)</f>
        <v>0</v>
      </c>
      <c r="AF24" s="168">
        <f>+IFERROR(VLOOKUP($AF$17,Sheet1!R4:U4,3,0),0)</f>
        <v>0</v>
      </c>
      <c r="AG24" s="165">
        <f>+IFERROR(VLOOKUP($AG$17,Sheet1!R4:U4,3,0),0)</f>
        <v>0</v>
      </c>
      <c r="AH24" s="168">
        <f>+IFERROR(VLOOKUP($AH$17,Sheet1!V4:Y4,3,0),0)</f>
        <v>0</v>
      </c>
      <c r="AI24" s="166">
        <v>144</v>
      </c>
      <c r="AJ24" s="165">
        <f>+IFERROR(VLOOKUP($AJ$17,Sheet1!V4:Y4,3,0),0)</f>
        <v>0</v>
      </c>
      <c r="AK24" s="165">
        <f>+IFERROR(VLOOKUP($AK$17,Sheet1!V4:Y4,3,0),0)</f>
        <v>0</v>
      </c>
      <c r="AL24" s="165">
        <f>+IFERROR(VLOOKUP($AL$17,Sheet1!V4:Y4,3,0),0)</f>
        <v>0</v>
      </c>
      <c r="AM24" s="165">
        <f>+IFERROR(VLOOKUP($AM$17,Sheet1!V4:Y4,3,0),0)</f>
        <v>0</v>
      </c>
      <c r="AN24" s="165">
        <f>+IFERROR(VLOOKUP($AN$17,Sheet1!V4:Y4,3,0),0)</f>
        <v>0</v>
      </c>
      <c r="AO24" s="165">
        <f>+IFERROR(VLOOKUP($AO$17,Sheet1!V4:Y4,3,0),0)</f>
        <v>0</v>
      </c>
      <c r="AP24" s="165">
        <f>+IFERROR(VLOOKUP($AP$17,Sheet1!V4:Y4,3,0),0)</f>
        <v>0</v>
      </c>
      <c r="AQ24" s="165">
        <f>+IFERROR(VLOOKUP($AQ$17,Sheet1!Z4:AB4,3,0),0)</f>
        <v>0</v>
      </c>
      <c r="AR24" s="165">
        <f>+IFERROR(VLOOKUP($AR$17,Sheet1!AD4:AG4,3,0),0)</f>
        <v>0</v>
      </c>
      <c r="AS24" s="165">
        <f>+IFERROR(VLOOKUP($AS$17,Sheet1!AD4:AG4,3,0),0)</f>
        <v>0</v>
      </c>
      <c r="AT24" s="165">
        <f>+IFERROR(VLOOKUP($AT$17,Sheet1!AD4:AG4,3,0),0)</f>
        <v>0</v>
      </c>
      <c r="AU24" s="165">
        <f>+IFERROR(VLOOKUP($AU$17,Sheet1!AD4:AG4,3,0),0)</f>
        <v>0</v>
      </c>
      <c r="AV24" s="165">
        <f>+IFERROR(VLOOKUP($AV$17,Sheet1!AD4:AG4,3,0),0)</f>
        <v>0</v>
      </c>
      <c r="AW24" s="165">
        <f>+IFERROR(VLOOKUP($AW$17,Sheet1!AD4:AG4,3,0),0)</f>
        <v>0</v>
      </c>
      <c r="AX24" s="166">
        <f>+IFERROR(VLOOKUP($AX$17,Sheet1!AD4:AG4,3,0),0)</f>
        <v>69</v>
      </c>
      <c r="AY24" s="165">
        <f>+IFERROR(VLOOKUP($AY$17,Sheet1!AD4:AG4,3,0),0)</f>
        <v>0</v>
      </c>
      <c r="AZ24" s="165">
        <f>+IFERROR(VLOOKUP($AZ$17,Sheet1!AD4:AG4,3,0),0)</f>
        <v>0</v>
      </c>
      <c r="BA24" s="165">
        <f>+IFERROR(VLOOKUP($BA$17,Sheet1!AH4:AK4,3,0),0)</f>
        <v>0</v>
      </c>
      <c r="BB24" s="165">
        <f>+IFERROR(VLOOKUP($BB$17,Sheet1!AH4:AK4,3,0),0)</f>
        <v>0</v>
      </c>
      <c r="BC24" s="165">
        <f>+IFERROR(VLOOKUP($BC$17,Sheet1!AH4:AK4,3,0),0)</f>
        <v>0</v>
      </c>
      <c r="BD24" s="165">
        <f>+IFERROR(VLOOKUP($BD$17,Sheet1!AH4:AK4,3,0),0)</f>
        <v>0</v>
      </c>
      <c r="BE24" s="165">
        <f>+IFERROR(VLOOKUP($BE$17,Sheet1!AH4:AK4,3,0),0)</f>
        <v>0</v>
      </c>
      <c r="BF24" s="165">
        <f>+IFERROR(VLOOKUP($BF$17,Sheet1!AH4:AK4,3,0),0)</f>
        <v>0</v>
      </c>
      <c r="BG24" s="166">
        <v>425</v>
      </c>
      <c r="BH24" s="165">
        <f>+IFERROR(VLOOKUP($BH$17,Sheet1!AH4:AK4,3,0),0)</f>
        <v>0</v>
      </c>
      <c r="BI24" s="165">
        <f>+IFERROR(VLOOKUP($BI$17,Sheet1!AH4:AK4,3,0),0)</f>
        <v>0</v>
      </c>
      <c r="BJ24" s="165">
        <f>+IFERROR(VLOOKUP($BJ$17,Sheet1!AH4:AK4,3,0),0)</f>
        <v>0</v>
      </c>
      <c r="BK24" s="165">
        <f>+IFERROR(VLOOKUP($BK$17,Sheet1!AH4:AK4,3,0),0)</f>
        <v>0</v>
      </c>
      <c r="BL24" s="165">
        <f>+IFERROR(VLOOKUP($BL$17,Sheet1!AL4:AO4,3,0),0)</f>
        <v>0</v>
      </c>
      <c r="BM24" s="165">
        <f>+IFERROR(VLOOKUP($BM$17,Sheet1!AL4:AO4,3,0),0)</f>
        <v>0</v>
      </c>
      <c r="BN24" s="165">
        <f>+IFERROR(VLOOKUP($BN$17,Sheet1!AL4:AO4,3,0),0)</f>
        <v>0</v>
      </c>
      <c r="BO24" s="165">
        <f>+IFERROR(VLOOKUP($BO$17,Sheet1!AL4:AO4,3,0),0)</f>
        <v>0</v>
      </c>
      <c r="BP24" s="165">
        <f>+IFERROR(VLOOKUP($BP$17,Sheet1!AL4:AO4,3,0),0)</f>
        <v>0</v>
      </c>
      <c r="BQ24" s="165">
        <f>+IFERROR(VLOOKUP($BQ$17,Sheet1!AL4:AO4,3,0),0)</f>
        <v>0</v>
      </c>
      <c r="BR24" s="165">
        <f>+IFERROR(VLOOKUP($BR$17,Sheet1!AL4:AO4,3,0),0)</f>
        <v>0</v>
      </c>
      <c r="BS24" s="165">
        <f>+IFERROR(VLOOKUP($BS$17,Sheet1!AL4:AO4,3,0),0)</f>
        <v>0</v>
      </c>
      <c r="BT24" s="166">
        <v>235</v>
      </c>
      <c r="BU24" s="165">
        <f>+IFERROR(VLOOKUP($BU$17,Sheet1!AL4:AO4,3,0),0)</f>
        <v>0</v>
      </c>
      <c r="BV24" s="165">
        <f>+IFERROR(VLOOKUP($BV$17,Sheet1!AL4:AO4,3,0),0)</f>
        <v>0</v>
      </c>
      <c r="BW24" s="165">
        <f>+IFERROR(VLOOKUP($BW$17,Sheet1!AL4:AO4,3,0),0)</f>
        <v>0</v>
      </c>
      <c r="BX24" s="165">
        <f>+IFERROR(VLOOKUP($BX$17,Sheet1!AP4:AS4,3,0),0)</f>
        <v>0</v>
      </c>
      <c r="BY24" s="165">
        <f>+IFERROR(VLOOKUP($BY$17,Sheet1!AT4:AW4,3,0),0)</f>
        <v>0</v>
      </c>
      <c r="BZ24" s="165">
        <f>+IFERROR(VLOOKUP($BZ$17,Sheet1!AX4:BA4,3,0),0)</f>
        <v>0</v>
      </c>
      <c r="CA24" s="165">
        <f>+IFERROR(VLOOKUP($CA$17,Sheet1!BB4:BE4,3,0),0)</f>
        <v>0</v>
      </c>
      <c r="CB24" s="165">
        <f>+IFERROR(VLOOKUP($CB$17,Sheet1!BF4:BI4,3,0),0)</f>
        <v>0</v>
      </c>
      <c r="CC24" s="165">
        <f>+IFERROR(VLOOKUP($CC$17,Sheet1!BJ4:BM4,3,0),0)</f>
        <v>0</v>
      </c>
      <c r="CD24" s="165">
        <f>+IFERROR(VLOOKUP($CD$17,Sheet1!BN4:BQ4,3,0),0)</f>
        <v>0</v>
      </c>
      <c r="CE24" s="166">
        <v>21</v>
      </c>
      <c r="CF24" s="37">
        <f>+IFERROR(VLOOKUP($CF$17,Sheet1!BV4:BY4,3,0),0)</f>
        <v>0</v>
      </c>
      <c r="CG24" s="56" t="str">
        <f>Sheet1!E4</f>
        <v>WOOD</v>
      </c>
      <c r="CH24" s="57" t="str">
        <f>Sheet1!CX4</f>
        <v>MD0100015</v>
      </c>
      <c r="CI24" s="57" t="str">
        <f>Sheet1!CY4</f>
        <v>DRUM - 48 X 20 X 28 X 2.25 - RDSO</v>
      </c>
      <c r="CJ24" s="57">
        <f>Sheet1!CZ4</f>
        <v>500</v>
      </c>
      <c r="CK24" s="23">
        <f>Sheet1!BZ4</f>
        <v>8874</v>
      </c>
      <c r="CL24" s="23">
        <f t="shared" si="5"/>
        <v>218355</v>
      </c>
      <c r="CM24" s="24">
        <f>Sheet1!CB4</f>
        <v>0</v>
      </c>
      <c r="CN24" s="23">
        <f t="shared" si="6"/>
        <v>0</v>
      </c>
      <c r="CO24" s="79">
        <v>0.35</v>
      </c>
      <c r="CP24" s="23">
        <f t="shared" si="7"/>
        <v>76424.25</v>
      </c>
      <c r="CQ24" s="79">
        <v>0</v>
      </c>
      <c r="CR24" s="23">
        <f t="shared" si="8"/>
        <v>0</v>
      </c>
      <c r="CS24" s="23">
        <f t="shared" si="9"/>
        <v>294779.25</v>
      </c>
      <c r="CT24" s="79">
        <v>0.02</v>
      </c>
      <c r="CU24" s="23">
        <f t="shared" si="10"/>
        <v>5895.585</v>
      </c>
      <c r="CV24" s="79">
        <v>0.01</v>
      </c>
      <c r="CW24" s="23">
        <f t="shared" si="11"/>
        <v>2947.7925</v>
      </c>
      <c r="CX24" s="79">
        <f>Sheet1!CM4</f>
        <v>0</v>
      </c>
      <c r="CY24" s="6">
        <f t="shared" si="12"/>
        <v>0</v>
      </c>
    </row>
    <row r="25" spans="1:103" s="22" customFormat="1" ht="30" x14ac:dyDescent="0.25">
      <c r="A25" s="6" t="str">
        <f>Sheet1!A3</f>
        <v>ENQ-16527-25-26</v>
      </c>
      <c r="B25" s="71">
        <v>45809</v>
      </c>
      <c r="C25" s="6" t="str">
        <f>Sheet1!C3</f>
        <v>FA0900018</v>
      </c>
      <c r="D25" s="6" t="str">
        <f>Sheet1!D3</f>
        <v>4 CORE X 35 SQ. MM. AL/ARD - STRIP (XLPE)</v>
      </c>
      <c r="E25" s="23">
        <f t="shared" si="0"/>
        <v>237497.4</v>
      </c>
      <c r="F25" s="163">
        <f t="shared" si="13"/>
        <v>9250</v>
      </c>
      <c r="G25" s="28">
        <f t="shared" si="1"/>
        <v>246747.4</v>
      </c>
      <c r="H25" s="29">
        <f>Sheet1!CR3</f>
        <v>0.18</v>
      </c>
      <c r="I25" s="28">
        <f t="shared" si="2"/>
        <v>44414.531999999999</v>
      </c>
      <c r="J25" s="28">
        <f t="shared" si="3"/>
        <v>291161.93199999997</v>
      </c>
      <c r="K25" s="63">
        <f>Sheet1!CU3</f>
        <v>60</v>
      </c>
      <c r="L25" s="60" t="str">
        <f>Sheet1!CV3</f>
        <v>KMS</v>
      </c>
      <c r="M25" s="23">
        <f t="shared" si="4"/>
        <v>17469715.919999998</v>
      </c>
      <c r="N25" s="167">
        <f>+IFERROR(VLOOKUP($N$17,Sheet1!J3:L3,3,0),0)</f>
        <v>378</v>
      </c>
      <c r="O25" s="168">
        <f>+IFERROR(VLOOKUP($O$17,Sheet1!J3:L3,3,0),0)</f>
        <v>0</v>
      </c>
      <c r="P25" s="168">
        <f>+IFERROR(VLOOKUP($P$17,Sheet1!J3:M3,3,0),0)</f>
        <v>0</v>
      </c>
      <c r="Q25" s="168">
        <f>+IFERROR(VLOOKUP($Q$17,Sheet1!J3:M3,3,0),0)</f>
        <v>0</v>
      </c>
      <c r="R25" s="168">
        <f>+IFERROR(VLOOKUP($R$17,Sheet1!J3:M3,3,0),0)</f>
        <v>0</v>
      </c>
      <c r="S25" s="168">
        <f>+IFERROR(VLOOKUP($S$17,Sheet1!J3:M3,3,0),0)</f>
        <v>0</v>
      </c>
      <c r="T25" s="168">
        <f>+IFERROR(VLOOKUP($T$17,Sheet1!J3:M3,3,0),0)</f>
        <v>0</v>
      </c>
      <c r="U25" s="168">
        <f>+IFERROR(VLOOKUP($U$17,Sheet1!J3:M3,3,0),0)</f>
        <v>0</v>
      </c>
      <c r="V25" s="168">
        <f>+IFERROR(VLOOKUP($V$17,Sheet1!N3:Q3,3,0),0)</f>
        <v>0</v>
      </c>
      <c r="W25" s="168">
        <f>+IFERROR(VLOOKUP($W$17,Sheet1!N3:Q3,3,0),0)</f>
        <v>0</v>
      </c>
      <c r="X25" s="168">
        <f>+IFERROR(VLOOKUP($X$17,Sheet1!F3:I3,3,0),0)</f>
        <v>0</v>
      </c>
      <c r="Y25" s="168">
        <f>+IFERROR(VLOOKUP($Y$17,Sheet1!F3:I3,3,0),0)</f>
        <v>0</v>
      </c>
      <c r="Z25" s="168">
        <f>+IFERROR(VLOOKUP($Z$17,Sheet1!F3:I3,3,0),0)</f>
        <v>0</v>
      </c>
      <c r="AA25" s="168">
        <f>+IFERROR(VLOOKUP($AA$17,Sheet1!F3:I3,3,0),0)</f>
        <v>0</v>
      </c>
      <c r="AB25" s="168">
        <f>+IFERROR(VLOOKUP($AB$17,Sheet1!F3:I3,3,0),0)</f>
        <v>0</v>
      </c>
      <c r="AC25" s="168">
        <f>+IFERROR(VLOOKUP($AC$17,Sheet1!F3:I3,3,0),0)</f>
        <v>0</v>
      </c>
      <c r="AD25" s="168">
        <f>+IFERROR(VLOOKUP($AD$17,Sheet1!F3:I3,3,0),0)</f>
        <v>0</v>
      </c>
      <c r="AE25" s="168">
        <f>+IFERROR(VLOOKUP($AE$17,Sheet1!F3:I3,3,0),0)</f>
        <v>0</v>
      </c>
      <c r="AF25" s="168">
        <f>+IFERROR(VLOOKUP($AF$17,Sheet1!R3:U3,3,0),0)</f>
        <v>0</v>
      </c>
      <c r="AG25" s="165">
        <f>+IFERROR(VLOOKUP($AG$17,Sheet1!R3:U3,3,0),0)</f>
        <v>0</v>
      </c>
      <c r="AH25" s="168">
        <f>+IFERROR(VLOOKUP($AH$17,Sheet1!V3:Y3,3,0),0)</f>
        <v>0</v>
      </c>
      <c r="AI25" s="166">
        <v>120</v>
      </c>
      <c r="AJ25" s="165">
        <f>+IFERROR(VLOOKUP($AJ$17,Sheet1!V3:Y3,3,0),0)</f>
        <v>0</v>
      </c>
      <c r="AK25" s="165">
        <f>+IFERROR(VLOOKUP($AK$17,Sheet1!V3:Y3,3,0),0)</f>
        <v>0</v>
      </c>
      <c r="AL25" s="165">
        <f>+IFERROR(VLOOKUP($AL$17,Sheet1!V3:Y3,3,0),0)</f>
        <v>0</v>
      </c>
      <c r="AM25" s="165">
        <f>+IFERROR(VLOOKUP($AM$17,Sheet1!V3:Y3,3,0),0)</f>
        <v>0</v>
      </c>
      <c r="AN25" s="165">
        <f>+IFERROR(VLOOKUP($AN$17,Sheet1!V3:Y3,3,0),0)</f>
        <v>0</v>
      </c>
      <c r="AO25" s="165">
        <f>+IFERROR(VLOOKUP($AO$17,Sheet1!V3:Y3,3,0),0)</f>
        <v>0</v>
      </c>
      <c r="AP25" s="165">
        <f>+IFERROR(VLOOKUP($AP$17,Sheet1!V3:Y3,3,0),0)</f>
        <v>0</v>
      </c>
      <c r="AQ25" s="165">
        <f>+IFERROR(VLOOKUP($AQ$17,Sheet1!Z3:AB3,3,0),0)</f>
        <v>0</v>
      </c>
      <c r="AR25" s="165">
        <f>+IFERROR(VLOOKUP($AR$17,Sheet1!AD3:AG3,3,0),0)</f>
        <v>0</v>
      </c>
      <c r="AS25" s="165">
        <f>+IFERROR(VLOOKUP($AS$17,Sheet1!AD3:AG3,3,0),0)</f>
        <v>0</v>
      </c>
      <c r="AT25" s="165">
        <f>+IFERROR(VLOOKUP($AT$17,Sheet1!AD3:AG3,3,0),0)</f>
        <v>0</v>
      </c>
      <c r="AU25" s="165">
        <f>+IFERROR(VLOOKUP($AU$17,Sheet1!AD3:AG3,3,0),0)</f>
        <v>0</v>
      </c>
      <c r="AV25" s="165">
        <f>+IFERROR(VLOOKUP($AV$17,Sheet1!AD3:AG3,3,0),0)</f>
        <v>0</v>
      </c>
      <c r="AW25" s="165">
        <f>+IFERROR(VLOOKUP($AW$17,Sheet1!AD3:AG3,3,0),0)</f>
        <v>0</v>
      </c>
      <c r="AX25" s="166">
        <v>54</v>
      </c>
      <c r="AY25" s="165">
        <f>+IFERROR(VLOOKUP($AY$17,Sheet1!AD3:AG3,3,0),0)</f>
        <v>0</v>
      </c>
      <c r="AZ25" s="165">
        <f>+IFERROR(VLOOKUP($AZ$17,Sheet1!AD3:AG3,3,0),0)</f>
        <v>0</v>
      </c>
      <c r="BA25" s="165">
        <f>+IFERROR(VLOOKUP($BA$17,Sheet1!AH3:AK3,3,0),0)</f>
        <v>0</v>
      </c>
      <c r="BB25" s="165">
        <f>+IFERROR(VLOOKUP($BB$17,Sheet1!AH3:AK3,3,0),0)</f>
        <v>0</v>
      </c>
      <c r="BC25" s="165">
        <f>+IFERROR(VLOOKUP($BC$17,Sheet1!AH3:AK3,3,0),0)</f>
        <v>0</v>
      </c>
      <c r="BD25" s="165">
        <f>+IFERROR(VLOOKUP($BD$17,Sheet1!AH3:AK3,3,0),0)</f>
        <v>0</v>
      </c>
      <c r="BE25" s="165">
        <f>+IFERROR(VLOOKUP($BE$17,Sheet1!AH3:AK3,3,0),0)</f>
        <v>0</v>
      </c>
      <c r="BF25" s="165">
        <f>+IFERROR(VLOOKUP($BF$17,Sheet1!AH3:AK3,3,0),0)</f>
        <v>0</v>
      </c>
      <c r="BG25" s="166">
        <v>428</v>
      </c>
      <c r="BH25" s="165">
        <f>+IFERROR(VLOOKUP($BH$17,Sheet1!AH3:AK3,3,0),0)</f>
        <v>0</v>
      </c>
      <c r="BI25" s="165">
        <f>+IFERROR(VLOOKUP($BI$17,Sheet1!AH3:AK3,3,0),0)</f>
        <v>0</v>
      </c>
      <c r="BJ25" s="165">
        <f>+IFERROR(VLOOKUP($BJ$17,Sheet1!AH3:AK3,3,0),0)</f>
        <v>0</v>
      </c>
      <c r="BK25" s="165">
        <f>+IFERROR(VLOOKUP($BK$17,Sheet1!AH3:AK3,3,0),0)</f>
        <v>0</v>
      </c>
      <c r="BL25" s="165">
        <f>+IFERROR(VLOOKUP($BL$17,Sheet1!AL3:AO3,3,0),0)</f>
        <v>0</v>
      </c>
      <c r="BM25" s="165">
        <f>+IFERROR(VLOOKUP($BM$17,Sheet1!AL3:AO3,3,0),0)</f>
        <v>0</v>
      </c>
      <c r="BN25" s="165">
        <f>+IFERROR(VLOOKUP($BN$17,Sheet1!AL3:AO3,3,0),0)</f>
        <v>0</v>
      </c>
      <c r="BO25" s="165">
        <f>+IFERROR(VLOOKUP($BO$17,Sheet1!AL3:AO3,3,0),0)</f>
        <v>0</v>
      </c>
      <c r="BP25" s="165">
        <f>+IFERROR(VLOOKUP($BP$17,Sheet1!AL3:AO3,3,0),0)</f>
        <v>0</v>
      </c>
      <c r="BQ25" s="165">
        <f>+IFERROR(VLOOKUP($BQ$17,Sheet1!AL3:AO3,3,0),0)</f>
        <v>0</v>
      </c>
      <c r="BR25" s="165">
        <f>+IFERROR(VLOOKUP($BR$17,Sheet1!AL3:AO3,3,0),0)</f>
        <v>0</v>
      </c>
      <c r="BS25" s="165">
        <f>+IFERROR(VLOOKUP($BS$17,Sheet1!AL3:AO3,3,0),0)</f>
        <v>0</v>
      </c>
      <c r="BT25" s="166">
        <v>201</v>
      </c>
      <c r="BU25" s="165">
        <f>+IFERROR(VLOOKUP($BU$17,Sheet1!AL3:AO3,3,0),0)</f>
        <v>0</v>
      </c>
      <c r="BV25" s="165">
        <f>+IFERROR(VLOOKUP($BV$17,Sheet1!AL3:AO3,3,0),0)</f>
        <v>0</v>
      </c>
      <c r="BW25" s="165">
        <f>+IFERROR(VLOOKUP($BW$17,Sheet1!AL3:AO3,3,0),0)</f>
        <v>0</v>
      </c>
      <c r="BX25" s="165">
        <f>+IFERROR(VLOOKUP($BX$17,Sheet1!AP3:AS3,3,0),0)</f>
        <v>0</v>
      </c>
      <c r="BY25" s="165">
        <f>+IFERROR(VLOOKUP($BY$17,Sheet1!AT3:AW3,3,0),0)</f>
        <v>0</v>
      </c>
      <c r="BZ25" s="165">
        <f>+IFERROR(VLOOKUP($BZ$17,Sheet1!AX3:BA3,3,0),0)</f>
        <v>0</v>
      </c>
      <c r="CA25" s="165">
        <f>+IFERROR(VLOOKUP($CA$17,Sheet1!BB3:BE3,3,0),0)</f>
        <v>0</v>
      </c>
      <c r="CB25" s="165">
        <f>+IFERROR(VLOOKUP($CB$17,Sheet1!BF3:BI3,3,0),0)</f>
        <v>0</v>
      </c>
      <c r="CC25" s="165">
        <f>+IFERROR(VLOOKUP($CC$17,Sheet1!BJ3:BM3,3,0),0)</f>
        <v>0</v>
      </c>
      <c r="CD25" s="165">
        <f>+IFERROR(VLOOKUP($CD$17,Sheet1!BN3:BQ3,3,0),0)</f>
        <v>0</v>
      </c>
      <c r="CE25" s="166">
        <v>18</v>
      </c>
      <c r="CF25" s="37">
        <f>+IFERROR(VLOOKUP($CF$17,Sheet1!BV3:BY3,3,0),0)</f>
        <v>0</v>
      </c>
      <c r="CG25" s="56" t="str">
        <f>Sheet1!E3</f>
        <v>WOOD</v>
      </c>
      <c r="CH25" s="57" t="str">
        <f>Sheet1!CX3</f>
        <v>MD0100015</v>
      </c>
      <c r="CI25" s="57" t="str">
        <f>Sheet1!CY3</f>
        <v>DRUM - 48 X 20 X 28 X 2.25 - RDSO</v>
      </c>
      <c r="CJ25" s="57">
        <f>Sheet1!CZ3</f>
        <v>500</v>
      </c>
      <c r="CK25" s="23">
        <f>Sheet1!BZ3</f>
        <v>8874</v>
      </c>
      <c r="CL25" s="23">
        <f t="shared" si="5"/>
        <v>170800</v>
      </c>
      <c r="CM25" s="24">
        <f>Sheet1!CB3</f>
        <v>0</v>
      </c>
      <c r="CN25" s="23">
        <f t="shared" si="6"/>
        <v>0</v>
      </c>
      <c r="CO25" s="79">
        <v>0.35</v>
      </c>
      <c r="CP25" s="23">
        <f t="shared" si="7"/>
        <v>59779.999999999993</v>
      </c>
      <c r="CQ25" s="79">
        <v>0</v>
      </c>
      <c r="CR25" s="23">
        <f t="shared" si="8"/>
        <v>0</v>
      </c>
      <c r="CS25" s="23">
        <f t="shared" si="9"/>
        <v>230580</v>
      </c>
      <c r="CT25" s="79">
        <v>0.02</v>
      </c>
      <c r="CU25" s="23">
        <f t="shared" si="10"/>
        <v>4611.6000000000004</v>
      </c>
      <c r="CV25" s="79">
        <v>0.01</v>
      </c>
      <c r="CW25" s="23">
        <f t="shared" si="11"/>
        <v>2305.8000000000002</v>
      </c>
      <c r="CX25" s="79">
        <f>Sheet1!CM3</f>
        <v>0</v>
      </c>
      <c r="CY25" s="6">
        <f t="shared" si="12"/>
        <v>0</v>
      </c>
    </row>
    <row r="26" spans="1:103" s="22" customFormat="1" ht="30" x14ac:dyDescent="0.25">
      <c r="A26" s="6" t="str">
        <f>Sheet1!A2</f>
        <v>ENQ-16527-25-26</v>
      </c>
      <c r="B26" s="71">
        <v>45809</v>
      </c>
      <c r="C26" s="6" t="str">
        <f>Sheet1!C2</f>
        <v>FA0900013</v>
      </c>
      <c r="D26" s="6" t="str">
        <f>Sheet1!D2</f>
        <v>4 CORE X 16 SQ. MM. ALU/ARD - STRIP (XLPE)</v>
      </c>
      <c r="E26" s="23">
        <f t="shared" si="0"/>
        <v>134345.93849999999</v>
      </c>
      <c r="F26" s="163">
        <f t="shared" si="13"/>
        <v>6475</v>
      </c>
      <c r="G26" s="28">
        <f t="shared" si="1"/>
        <v>140820.93849999999</v>
      </c>
      <c r="H26" s="29">
        <f>Sheet1!CR2</f>
        <v>0.18</v>
      </c>
      <c r="I26" s="28">
        <f t="shared" si="2"/>
        <v>25347.768929999998</v>
      </c>
      <c r="J26" s="28">
        <f t="shared" si="3"/>
        <v>166168.70742999998</v>
      </c>
      <c r="K26" s="63">
        <f>Sheet1!CU2</f>
        <v>100</v>
      </c>
      <c r="L26" s="60" t="str">
        <f>Sheet1!CV2</f>
        <v>KMS</v>
      </c>
      <c r="M26" s="23">
        <f t="shared" si="4"/>
        <v>16616870.742999999</v>
      </c>
      <c r="N26" s="167">
        <f>+IFERROR(VLOOKUP($N$17,Sheet1!J2:L2,3,0),0)</f>
        <v>173</v>
      </c>
      <c r="O26" s="168">
        <f>+IFERROR(VLOOKUP($O$17,Sheet1!J2:L2,3,0),0)</f>
        <v>0</v>
      </c>
      <c r="P26" s="168">
        <f>+IFERROR(VLOOKUP($P$17,Sheet1!J2:M2,3,0),0)</f>
        <v>0</v>
      </c>
      <c r="Q26" s="168">
        <f>+IFERROR(VLOOKUP($Q$17,Sheet1!J2:M2,3,0),0)</f>
        <v>0</v>
      </c>
      <c r="R26" s="168">
        <f>+IFERROR(VLOOKUP($R$17,Sheet1!J2:M2,3,0),0)</f>
        <v>0</v>
      </c>
      <c r="S26" s="168">
        <f>+IFERROR(VLOOKUP($S$17,Sheet1!J2:M2,3,0),0)</f>
        <v>0</v>
      </c>
      <c r="T26" s="168">
        <f>+IFERROR(VLOOKUP($T$17,Sheet1!J2:M2,3,0),0)</f>
        <v>0</v>
      </c>
      <c r="U26" s="168">
        <f>+IFERROR(VLOOKUP($U$17,Sheet1!J2:M2,3,0),0)</f>
        <v>0</v>
      </c>
      <c r="V26" s="168">
        <f>+IFERROR(VLOOKUP($V$17,Sheet1!N2:Q2,3,0),0)</f>
        <v>0</v>
      </c>
      <c r="W26" s="168">
        <f>+IFERROR(VLOOKUP($W$17,Sheet1!N2:Q2,3,0),0)</f>
        <v>0</v>
      </c>
      <c r="X26" s="168">
        <f>+IFERROR(VLOOKUP($X$17,Sheet1!F2:I2,3,0),0)</f>
        <v>0</v>
      </c>
      <c r="Y26" s="168">
        <f>+IFERROR(VLOOKUP($Y$17,Sheet1!F2:I2,3,0),0)</f>
        <v>0</v>
      </c>
      <c r="Z26" s="168">
        <f>+IFERROR(VLOOKUP($Z$17,Sheet1!F2:I2,3,0),0)</f>
        <v>0</v>
      </c>
      <c r="AA26" s="168">
        <f>+IFERROR(VLOOKUP($AA$17,Sheet1!F2:I2,3,0),0)</f>
        <v>0</v>
      </c>
      <c r="AB26" s="168">
        <f>+IFERROR(VLOOKUP($AB$17,Sheet1!F2:I2,3,0),0)</f>
        <v>0</v>
      </c>
      <c r="AC26" s="168">
        <f>+IFERROR(VLOOKUP($AC$17,Sheet1!F2:I2,3,0),0)</f>
        <v>0</v>
      </c>
      <c r="AD26" s="168">
        <f>+IFERROR(VLOOKUP($AD$17,Sheet1!F2:I2,3,0),0)</f>
        <v>0</v>
      </c>
      <c r="AE26" s="168">
        <f>+IFERROR(VLOOKUP($AE$17,Sheet1!F2:I2,3,0),0)</f>
        <v>0</v>
      </c>
      <c r="AF26" s="168">
        <f>+IFERROR(VLOOKUP($AF$17,Sheet1!R2:U2,3,0),0)</f>
        <v>0</v>
      </c>
      <c r="AG26" s="165">
        <f>+IFERROR(VLOOKUP($AG$17,Sheet1!R2:U2,3,0),0)</f>
        <v>0</v>
      </c>
      <c r="AH26" s="168">
        <f>+IFERROR(VLOOKUP($AH$17,Sheet1!V2:Y2,3,0),0)</f>
        <v>0</v>
      </c>
      <c r="AI26" s="166">
        <v>70</v>
      </c>
      <c r="AJ26" s="165">
        <f>+IFERROR(VLOOKUP($AJ$17,Sheet1!V2:Y2,3,0),0)</f>
        <v>0</v>
      </c>
      <c r="AK26" s="165">
        <f>+IFERROR(VLOOKUP($AK$17,Sheet1!V2:Y2,3,0),0)</f>
        <v>0</v>
      </c>
      <c r="AL26" s="165">
        <f>+IFERROR(VLOOKUP($AL$17,Sheet1!V2:Y2,3,0),0)</f>
        <v>0</v>
      </c>
      <c r="AM26" s="165">
        <f>+IFERROR(VLOOKUP($AM$17,Sheet1!V2:Y2,3,0),0)</f>
        <v>0</v>
      </c>
      <c r="AN26" s="165">
        <f>+IFERROR(VLOOKUP($AN$17,Sheet1!V2:Y2,3,0),0)</f>
        <v>0</v>
      </c>
      <c r="AO26" s="165">
        <f>+IFERROR(VLOOKUP($AO$17,Sheet1!V2:Y2,3,0),0)</f>
        <v>0</v>
      </c>
      <c r="AP26" s="165">
        <f>+IFERROR(VLOOKUP($AP$17,Sheet1!V2:Y2,3,0),0)</f>
        <v>0</v>
      </c>
      <c r="AQ26" s="165">
        <f>+IFERROR(VLOOKUP($AQ$17,Sheet1!Z2:AB2,3,0),0)</f>
        <v>0</v>
      </c>
      <c r="AR26" s="165">
        <f>+IFERROR(VLOOKUP($AR$17,Sheet1!AD2:AG2,3,0),0)</f>
        <v>0</v>
      </c>
      <c r="AS26" s="165">
        <f>+IFERROR(VLOOKUP($AS$17,Sheet1!AD2:AG2,3,0),0)</f>
        <v>0</v>
      </c>
      <c r="AT26" s="165">
        <f>+IFERROR(VLOOKUP($AT$17,Sheet1!AD2:AG2,3,0),0)</f>
        <v>0</v>
      </c>
      <c r="AU26" s="165">
        <f>+IFERROR(VLOOKUP($AU$17,Sheet1!AD2:AG2,3,0),0)</f>
        <v>0</v>
      </c>
      <c r="AV26" s="165">
        <f>+IFERROR(VLOOKUP($AV$17,Sheet1!AD2:AG2,3,0),0)</f>
        <v>0</v>
      </c>
      <c r="AW26" s="165">
        <f>+IFERROR(VLOOKUP($AW$17,Sheet1!AD2:AG2,3,0),0)</f>
        <v>0</v>
      </c>
      <c r="AX26" s="166">
        <v>42</v>
      </c>
      <c r="AY26" s="165">
        <f>+IFERROR(VLOOKUP($AY$17,Sheet1!AD2:AG2,3,0),0)</f>
        <v>0</v>
      </c>
      <c r="AZ26" s="165">
        <f>+IFERROR(VLOOKUP($AZ$17,Sheet1!AD2:AG2,3,0),0)</f>
        <v>0</v>
      </c>
      <c r="BA26" s="165">
        <f>+IFERROR(VLOOKUP($BA$17,Sheet1!AH2:AK2,3,0),0)</f>
        <v>0</v>
      </c>
      <c r="BB26" s="165">
        <f>+IFERROR(VLOOKUP($BB$17,Sheet1!AH2:AK2,3,0),0)</f>
        <v>0</v>
      </c>
      <c r="BC26" s="165">
        <f>+IFERROR(VLOOKUP($BC$17,Sheet1!AH2:AK2,3,0),0)</f>
        <v>0</v>
      </c>
      <c r="BD26" s="165">
        <f>+IFERROR(VLOOKUP($BD$17,Sheet1!AH2:AK2,3,0),0)</f>
        <v>0</v>
      </c>
      <c r="BE26" s="165">
        <f>+IFERROR(VLOOKUP($BE$17,Sheet1!AH2:AK2,3,0),0)</f>
        <v>0</v>
      </c>
      <c r="BF26" s="165">
        <f>+IFERROR(VLOOKUP($BF$17,Sheet1!AH2:AK2,3,0),0)</f>
        <v>0</v>
      </c>
      <c r="BG26" s="166">
        <v>315</v>
      </c>
      <c r="BH26" s="165">
        <f>+IFERROR(VLOOKUP($BH$17,Sheet1!AH2:AK2,3,0),0)</f>
        <v>0</v>
      </c>
      <c r="BI26" s="165">
        <f>+IFERROR(VLOOKUP($BI$17,Sheet1!AH2:AK2,3,0),0)</f>
        <v>0</v>
      </c>
      <c r="BJ26" s="165">
        <f>+IFERROR(VLOOKUP($BJ$17,Sheet1!AH2:AK2,3,0),0)</f>
        <v>0</v>
      </c>
      <c r="BK26" s="165">
        <f>+IFERROR(VLOOKUP($BK$17,Sheet1!AH2:AK2,3,0),0)</f>
        <v>0</v>
      </c>
      <c r="BL26" s="165">
        <f>+IFERROR(VLOOKUP($BL$17,Sheet1!AL2:AO2,3,0),0)</f>
        <v>0</v>
      </c>
      <c r="BM26" s="165">
        <f>+IFERROR(VLOOKUP($BM$17,Sheet1!AL2:AO2,3,0),0)</f>
        <v>0</v>
      </c>
      <c r="BN26" s="165">
        <f>+IFERROR(VLOOKUP($BN$17,Sheet1!AL2:AO2,3,0),0)</f>
        <v>0</v>
      </c>
      <c r="BO26" s="165">
        <f>+IFERROR(VLOOKUP($BO$17,Sheet1!AL2:AO2,3,0),0)</f>
        <v>0</v>
      </c>
      <c r="BP26" s="165">
        <f>+IFERROR(VLOOKUP($BP$17,Sheet1!AL2:AO2,3,0),0)</f>
        <v>0</v>
      </c>
      <c r="BQ26" s="165">
        <f>+IFERROR(VLOOKUP($BQ$17,Sheet1!AL2:AO2,3,0),0)</f>
        <v>0</v>
      </c>
      <c r="BR26" s="165">
        <f>+IFERROR(VLOOKUP($BR$17,Sheet1!AL2:AO2,3,0),0)</f>
        <v>0</v>
      </c>
      <c r="BS26" s="165">
        <f>+IFERROR(VLOOKUP($BS$17,Sheet1!AL2:AO2,3,0),0)</f>
        <v>0</v>
      </c>
      <c r="BT26" s="166">
        <v>154</v>
      </c>
      <c r="BU26" s="165">
        <f>+IFERROR(VLOOKUP($BU$17,Sheet1!AL2:AO2,3,0),0)</f>
        <v>0</v>
      </c>
      <c r="BV26" s="165">
        <f>+IFERROR(VLOOKUP($BV$17,Sheet1!AL2:AO2,3,0),0)</f>
        <v>0</v>
      </c>
      <c r="BW26" s="165">
        <f>+IFERROR(VLOOKUP($BW$17,Sheet1!AL2:AO2,3,0),0)</f>
        <v>0</v>
      </c>
      <c r="BX26" s="165">
        <f>+IFERROR(VLOOKUP($BX$17,Sheet1!AP2:AS2,3,0),0)</f>
        <v>0</v>
      </c>
      <c r="BY26" s="165">
        <f>+IFERROR(VLOOKUP($BY$17,Sheet1!AT2:AW2,3,0),0)</f>
        <v>0</v>
      </c>
      <c r="BZ26" s="165">
        <f>+IFERROR(VLOOKUP($BZ$17,Sheet1!AX2:BA2,3,0),0)</f>
        <v>0</v>
      </c>
      <c r="CA26" s="165">
        <f>+IFERROR(VLOOKUP($CA$17,Sheet1!BB2:BE2,3,0),0)</f>
        <v>0</v>
      </c>
      <c r="CB26" s="165">
        <f>+IFERROR(VLOOKUP($CB$17,Sheet1!BF2:BI2,3,0),0)</f>
        <v>0</v>
      </c>
      <c r="CC26" s="165">
        <f>+IFERROR(VLOOKUP($CC$17,Sheet1!BJ2:BM2,3,0),0)</f>
        <v>0</v>
      </c>
      <c r="CD26" s="165">
        <f>+IFERROR(VLOOKUP($CD$17,Sheet1!BN2:BQ2,3,0),0)</f>
        <v>0</v>
      </c>
      <c r="CE26" s="166">
        <v>14</v>
      </c>
      <c r="CF26" s="37">
        <f>+IFERROR(VLOOKUP($CF$17,Sheet1!BV2:BY2,3,0),0)</f>
        <v>0</v>
      </c>
      <c r="CG26" s="56" t="str">
        <f>Sheet1!E2</f>
        <v>WOOD</v>
      </c>
      <c r="CH26" s="57" t="str">
        <f>Sheet1!CX2</f>
        <v>MD0100066</v>
      </c>
      <c r="CI26" s="57" t="str">
        <f>Sheet1!CY2</f>
        <v>DRUM - 40 X 15 X 23 X 2</v>
      </c>
      <c r="CJ26" s="57">
        <f>Sheet1!CZ2</f>
        <v>500</v>
      </c>
      <c r="CK26" s="23">
        <f>Sheet1!BZ2</f>
        <v>5448</v>
      </c>
      <c r="CL26" s="23">
        <f t="shared" si="5"/>
        <v>96617</v>
      </c>
      <c r="CM26" s="24">
        <f>Sheet1!CB2</f>
        <v>0</v>
      </c>
      <c r="CN26" s="23">
        <f t="shared" si="6"/>
        <v>0</v>
      </c>
      <c r="CO26" s="79">
        <v>0.35</v>
      </c>
      <c r="CP26" s="23">
        <f t="shared" si="7"/>
        <v>33815.949999999997</v>
      </c>
      <c r="CQ26" s="79">
        <v>0</v>
      </c>
      <c r="CR26" s="23">
        <f t="shared" si="8"/>
        <v>0</v>
      </c>
      <c r="CS26" s="23">
        <f t="shared" si="9"/>
        <v>130432.95</v>
      </c>
      <c r="CT26" s="79">
        <v>0.02</v>
      </c>
      <c r="CU26" s="23">
        <f t="shared" si="10"/>
        <v>2608.6590000000001</v>
      </c>
      <c r="CV26" s="79">
        <v>0.01</v>
      </c>
      <c r="CW26" s="23">
        <f t="shared" si="11"/>
        <v>1304.3295000000001</v>
      </c>
      <c r="CX26" s="79">
        <f>Sheet1!CM2</f>
        <v>0</v>
      </c>
      <c r="CY26" s="6">
        <f t="shared" si="12"/>
        <v>0</v>
      </c>
    </row>
    <row r="27" spans="1:103" s="22" customFormat="1" ht="30" x14ac:dyDescent="0.25">
      <c r="A27" s="6" t="str">
        <f>Sheet1!A5</f>
        <v>ENQ-16527-25-26</v>
      </c>
      <c r="B27" s="71">
        <v>45809</v>
      </c>
      <c r="C27" s="6" t="str">
        <f>Sheet1!C5</f>
        <v>FA0900042</v>
      </c>
      <c r="D27" s="6" t="str">
        <f>Sheet1!D5</f>
        <v>2 CORE X 10 SQ. MM. ALU/ARD - WIRE (XLPE)</v>
      </c>
      <c r="E27" s="23">
        <f t="shared" si="0"/>
        <v>89866.624499999991</v>
      </c>
      <c r="F27" s="163">
        <f t="shared" si="13"/>
        <v>7400</v>
      </c>
      <c r="G27" s="28">
        <f t="shared" si="1"/>
        <v>97266.624499999991</v>
      </c>
      <c r="H27" s="29">
        <f>Sheet1!CR5</f>
        <v>0.18</v>
      </c>
      <c r="I27" s="28">
        <f t="shared" si="2"/>
        <v>17507.992409999999</v>
      </c>
      <c r="J27" s="28">
        <f t="shared" si="3"/>
        <v>114774.61690999998</v>
      </c>
      <c r="K27" s="63">
        <f>Sheet1!CU5</f>
        <v>100</v>
      </c>
      <c r="L27" s="60" t="str">
        <f>Sheet1!CV5</f>
        <v>KMS</v>
      </c>
      <c r="M27" s="23">
        <f t="shared" si="4"/>
        <v>11477461.690999998</v>
      </c>
      <c r="N27" s="167">
        <f>+IFERROR(VLOOKUP($N$17,Sheet1!J5:L5,3,0),0)</f>
        <v>54</v>
      </c>
      <c r="O27" s="168">
        <f>+IFERROR(VLOOKUP($O$17,Sheet1!J5:L5,3,0),0)</f>
        <v>0</v>
      </c>
      <c r="P27" s="168">
        <f>+IFERROR(VLOOKUP($P$17,Sheet1!J5:M5,3,0),0)</f>
        <v>0</v>
      </c>
      <c r="Q27" s="168">
        <f>+IFERROR(VLOOKUP($Q$17,Sheet1!J5:M5,3,0),0)</f>
        <v>0</v>
      </c>
      <c r="R27" s="168">
        <f>+IFERROR(VLOOKUP($R$17,Sheet1!J5:M5,3,0),0)</f>
        <v>0</v>
      </c>
      <c r="S27" s="168">
        <f>+IFERROR(VLOOKUP($S$17,Sheet1!J5:M5,3,0),0)</f>
        <v>0</v>
      </c>
      <c r="T27" s="168">
        <f>+IFERROR(VLOOKUP($T$17,Sheet1!J5:M5,3,0),0)</f>
        <v>0</v>
      </c>
      <c r="U27" s="168">
        <f>+IFERROR(VLOOKUP($U$17,Sheet1!J5:M5,3,0),0)</f>
        <v>0</v>
      </c>
      <c r="V27" s="168">
        <f>+IFERROR(VLOOKUP($V$17,Sheet1!N5:Q5,3,0),0)</f>
        <v>0</v>
      </c>
      <c r="W27" s="168">
        <f>+IFERROR(VLOOKUP($W$17,Sheet1!N5:Q5,3,0),0)</f>
        <v>0</v>
      </c>
      <c r="X27" s="168">
        <f>+IFERROR(VLOOKUP($X$17,Sheet1!F5:I5,3,0),0)</f>
        <v>0</v>
      </c>
      <c r="Y27" s="168">
        <f>+IFERROR(VLOOKUP($Y$17,Sheet1!F5:I5,3,0),0)</f>
        <v>0</v>
      </c>
      <c r="Z27" s="168">
        <f>+IFERROR(VLOOKUP($Z$17,Sheet1!F5:I5,3,0),0)</f>
        <v>0</v>
      </c>
      <c r="AA27" s="168">
        <f>+IFERROR(VLOOKUP($AA$17,Sheet1!F5:I5,3,0),0)</f>
        <v>0</v>
      </c>
      <c r="AB27" s="168">
        <f>+IFERROR(VLOOKUP($AB$17,Sheet1!F5:I5,3,0),0)</f>
        <v>0</v>
      </c>
      <c r="AC27" s="168">
        <f>+IFERROR(VLOOKUP($AC$17,Sheet1!F5:I5,3,0),0)</f>
        <v>0</v>
      </c>
      <c r="AD27" s="168">
        <f>+IFERROR(VLOOKUP($AD$17,Sheet1!F5:I5,3,0),0)</f>
        <v>0</v>
      </c>
      <c r="AE27" s="168">
        <f>+IFERROR(VLOOKUP($AE$17,Sheet1!F5:I5,3,0),0)</f>
        <v>0</v>
      </c>
      <c r="AF27" s="168">
        <f>+IFERROR(VLOOKUP($AF$17,Sheet1!R5:U5,3,0),0)</f>
        <v>0</v>
      </c>
      <c r="AG27" s="165">
        <f>+IFERROR(VLOOKUP($AG$17,Sheet1!R5:U5,3,0),0)</f>
        <v>0</v>
      </c>
      <c r="AH27" s="168">
        <f>+IFERROR(VLOOKUP($AH$17,Sheet1!V5:Y5,3,0),0)</f>
        <v>0</v>
      </c>
      <c r="AI27" s="166">
        <v>29</v>
      </c>
      <c r="AJ27" s="165">
        <f>+IFERROR(VLOOKUP($AJ$17,Sheet1!V5:Y5,3,0),0)</f>
        <v>0</v>
      </c>
      <c r="AK27" s="165">
        <f>+IFERROR(VLOOKUP($AK$17,Sheet1!V5:Y5,3,0),0)</f>
        <v>0</v>
      </c>
      <c r="AL27" s="165">
        <f>+IFERROR(VLOOKUP($AL$17,Sheet1!V5:Y5,3,0),0)</f>
        <v>0</v>
      </c>
      <c r="AM27" s="165">
        <f>+IFERROR(VLOOKUP($AM$17,Sheet1!V5:Y5,3,0),0)</f>
        <v>0</v>
      </c>
      <c r="AN27" s="165">
        <f>+IFERROR(VLOOKUP($AN$17,Sheet1!V5:Y5,3,0),0)</f>
        <v>0</v>
      </c>
      <c r="AO27" s="165">
        <f>+IFERROR(VLOOKUP($AO$17,Sheet1!V5:Y5,3,0),0)</f>
        <v>0</v>
      </c>
      <c r="AP27" s="165">
        <f>+IFERROR(VLOOKUP($AP$17,Sheet1!V5:Y5,3,0),0)</f>
        <v>0</v>
      </c>
      <c r="AQ27" s="165">
        <f>+IFERROR(VLOOKUP($AQ$17,Sheet1!Z5:AB5,3,0),0)</f>
        <v>0</v>
      </c>
      <c r="AR27" s="165">
        <f>+IFERROR(VLOOKUP($AR$17,Sheet1!AD5:AG5,3,0),0)</f>
        <v>0</v>
      </c>
      <c r="AS27" s="165">
        <f>+IFERROR(VLOOKUP($AS$17,Sheet1!AD5:AG5,3,0),0)</f>
        <v>0</v>
      </c>
      <c r="AT27" s="165">
        <f>+IFERROR(VLOOKUP($AT$17,Sheet1!AD5:AG5,3,0),0)</f>
        <v>0</v>
      </c>
      <c r="AU27" s="165">
        <f>+IFERROR(VLOOKUP($AU$17,Sheet1!AD5:AG5,3,0),0)</f>
        <v>0</v>
      </c>
      <c r="AV27" s="165">
        <f>+IFERROR(VLOOKUP($AV$17,Sheet1!AD5:AG5,3,0),0)</f>
        <v>0</v>
      </c>
      <c r="AW27" s="165">
        <f>+IFERROR(VLOOKUP($AW$17,Sheet1!AD5:AG5,3,0),0)</f>
        <v>0</v>
      </c>
      <c r="AX27" s="166">
        <v>78</v>
      </c>
      <c r="AY27" s="165">
        <f>+IFERROR(VLOOKUP($AY$17,Sheet1!AD5:AG5,3,0),0)</f>
        <v>0</v>
      </c>
      <c r="AZ27" s="165">
        <f>+IFERROR(VLOOKUP($AZ$17,Sheet1!AD5:AG5,3,0),0)</f>
        <v>0</v>
      </c>
      <c r="BA27" s="165">
        <f>+IFERROR(VLOOKUP($BA$17,Sheet1!AH5:AK5,3,0),0)</f>
        <v>0</v>
      </c>
      <c r="BB27" s="165">
        <f>+IFERROR(VLOOKUP($BB$17,Sheet1!AH5:AK5,3,0),0)</f>
        <v>0</v>
      </c>
      <c r="BC27" s="165">
        <f>+IFERROR(VLOOKUP($BC$17,Sheet1!AH5:AK5,3,0),0)</f>
        <v>0</v>
      </c>
      <c r="BD27" s="165">
        <f>+IFERROR(VLOOKUP($BD$17,Sheet1!AH5:AK5,3,0),0)</f>
        <v>0</v>
      </c>
      <c r="BE27" s="165">
        <f>+IFERROR(VLOOKUP($BE$17,Sheet1!AH5:AK5,3,0),0)</f>
        <v>0</v>
      </c>
      <c r="BF27" s="165">
        <f>+IFERROR(VLOOKUP($BF$17,Sheet1!AH5:AK5,3,0),0)</f>
        <v>0</v>
      </c>
      <c r="BG27" s="166">
        <v>357</v>
      </c>
      <c r="BH27" s="165">
        <f>+IFERROR(VLOOKUP($BH$17,Sheet1!AH5:AK5,3,0),0)</f>
        <v>0</v>
      </c>
      <c r="BI27" s="165">
        <f>+IFERROR(VLOOKUP($BI$17,Sheet1!AH5:AK5,3,0),0)</f>
        <v>0</v>
      </c>
      <c r="BJ27" s="165">
        <f>+IFERROR(VLOOKUP($BJ$17,Sheet1!AH5:AK5,3,0),0)</f>
        <v>340</v>
      </c>
      <c r="BK27" s="165">
        <f>+IFERROR(VLOOKUP($BK$17,Sheet1!AH5:AK5,3,0),0)</f>
        <v>0</v>
      </c>
      <c r="BL27" s="165">
        <f>+IFERROR(VLOOKUP($BL$17,Sheet1!AL5:AO5,3,0),0)</f>
        <v>0</v>
      </c>
      <c r="BM27" s="165">
        <f>+IFERROR(VLOOKUP($BM$17,Sheet1!AL5:AO5,3,0),0)</f>
        <v>0</v>
      </c>
      <c r="BN27" s="165">
        <f>+IFERROR(VLOOKUP($BN$17,Sheet1!AL5:AO5,3,0),0)</f>
        <v>0</v>
      </c>
      <c r="BO27" s="165">
        <f>+IFERROR(VLOOKUP($BO$17,Sheet1!AL5:AO5,3,0),0)</f>
        <v>0</v>
      </c>
      <c r="BP27" s="165">
        <f>+IFERROR(VLOOKUP($BP$17,Sheet1!AL5:AO5,3,0),0)</f>
        <v>0</v>
      </c>
      <c r="BQ27" s="165">
        <f>+IFERROR(VLOOKUP($BQ$17,Sheet1!AL5:AO5,3,0),0)</f>
        <v>0</v>
      </c>
      <c r="BR27" s="165">
        <f>+IFERROR(VLOOKUP($BR$17,Sheet1!AL5:AO5,3,0),0)</f>
        <v>0</v>
      </c>
      <c r="BS27" s="165">
        <f>+IFERROR(VLOOKUP($BS$17,Sheet1!AL5:AO5,3,0),0)</f>
        <v>0</v>
      </c>
      <c r="BT27" s="166">
        <v>134</v>
      </c>
      <c r="BU27" s="165">
        <f>+IFERROR(VLOOKUP($BU$17,Sheet1!AL5:AO5,3,0),0)</f>
        <v>0</v>
      </c>
      <c r="BV27" s="165">
        <f>+IFERROR(VLOOKUP($BV$17,Sheet1!AL5:AO5,3,0),0)</f>
        <v>0</v>
      </c>
      <c r="BW27" s="165">
        <f>+IFERROR(VLOOKUP($BW$17,Sheet1!AL5:AO5,3,0),0)</f>
        <v>0</v>
      </c>
      <c r="BX27" s="165">
        <f>+IFERROR(VLOOKUP($BX$17,Sheet1!AP5:AS5,3,0),0)</f>
        <v>0</v>
      </c>
      <c r="BY27" s="165">
        <f>+IFERROR(VLOOKUP($BY$17,Sheet1!AT5:AW5,3,0),0)</f>
        <v>0</v>
      </c>
      <c r="BZ27" s="165">
        <f>+IFERROR(VLOOKUP($BZ$17,Sheet1!AX5:BA5,3,0),0)</f>
        <v>0</v>
      </c>
      <c r="CA27" s="165">
        <f>+IFERROR(VLOOKUP($CA$17,Sheet1!BB5:BE5,3,0),0)</f>
        <v>0</v>
      </c>
      <c r="CB27" s="165">
        <f>+IFERROR(VLOOKUP($CB$17,Sheet1!BF5:BI5,3,0),0)</f>
        <v>0</v>
      </c>
      <c r="CC27" s="165">
        <f>+IFERROR(VLOOKUP($CC$17,Sheet1!BJ5:BM5,3,0),0)</f>
        <v>0</v>
      </c>
      <c r="CD27" s="165">
        <f>+IFERROR(VLOOKUP($CD$17,Sheet1!BN5:BQ5,3,0),0)</f>
        <v>0</v>
      </c>
      <c r="CE27" s="166">
        <v>13</v>
      </c>
      <c r="CF27" s="37">
        <f>+IFERROR(VLOOKUP($CF$17,Sheet1!BV5:BY5,3,0),0)</f>
        <v>0</v>
      </c>
      <c r="CG27" s="56" t="str">
        <f>Sheet1!E5</f>
        <v>WOOD</v>
      </c>
      <c r="CH27" s="57" t="str">
        <f>Sheet1!CX5</f>
        <v>MD0100075</v>
      </c>
      <c r="CI27" s="57" t="str">
        <f>Sheet1!CY5</f>
        <v>DRUM - 42 X 15 X 23 X 2</v>
      </c>
      <c r="CJ27" s="57">
        <f>Sheet1!CZ5</f>
        <v>1000</v>
      </c>
      <c r="CK27" s="23">
        <f>Sheet1!BZ5</f>
        <v>4313</v>
      </c>
      <c r="CL27" s="23">
        <f t="shared" si="5"/>
        <v>64629</v>
      </c>
      <c r="CM27" s="24">
        <f>Sheet1!CB5</f>
        <v>0</v>
      </c>
      <c r="CN27" s="23">
        <f t="shared" si="6"/>
        <v>0</v>
      </c>
      <c r="CO27" s="79">
        <v>0.35</v>
      </c>
      <c r="CP27" s="23">
        <f t="shared" si="7"/>
        <v>22620.149999999998</v>
      </c>
      <c r="CQ27" s="79">
        <v>0</v>
      </c>
      <c r="CR27" s="23">
        <f t="shared" si="8"/>
        <v>0</v>
      </c>
      <c r="CS27" s="23">
        <f t="shared" si="9"/>
        <v>87249.15</v>
      </c>
      <c r="CT27" s="79">
        <v>0.02</v>
      </c>
      <c r="CU27" s="23">
        <f t="shared" si="10"/>
        <v>1744.9829999999999</v>
      </c>
      <c r="CV27" s="79">
        <v>0.01</v>
      </c>
      <c r="CW27" s="23">
        <f t="shared" si="11"/>
        <v>872.49149999999997</v>
      </c>
      <c r="CX27" s="79">
        <f>Sheet1!CM5</f>
        <v>0</v>
      </c>
      <c r="CY27" s="6">
        <f t="shared" si="12"/>
        <v>0</v>
      </c>
    </row>
    <row r="28" spans="1:103" x14ac:dyDescent="0.25">
      <c r="M28" s="169">
        <f>SUM(M19:M27)</f>
        <v>495357437.00460994</v>
      </c>
    </row>
    <row r="29" spans="1:103" x14ac:dyDescent="0.25">
      <c r="N29" s="170"/>
      <c r="AA29" s="170"/>
      <c r="AF29" s="170"/>
      <c r="AH29" s="170"/>
      <c r="AI29" s="170"/>
      <c r="AX29" s="170"/>
      <c r="BG29" s="170"/>
      <c r="BT29" s="170"/>
      <c r="BX29" s="170"/>
      <c r="CE29" s="170"/>
    </row>
    <row r="31" spans="1:103" ht="60" x14ac:dyDescent="0.25">
      <c r="E31" s="1" t="s">
        <v>127</v>
      </c>
      <c r="F31" s="1" t="s">
        <v>128</v>
      </c>
      <c r="G31" s="74" t="s">
        <v>129</v>
      </c>
      <c r="H31" s="1" t="s">
        <v>130</v>
      </c>
      <c r="I31" s="1" t="s">
        <v>131</v>
      </c>
      <c r="J31" s="1" t="s">
        <v>132</v>
      </c>
      <c r="K31" s="1" t="s">
        <v>133</v>
      </c>
      <c r="L31" s="1" t="s">
        <v>134</v>
      </c>
      <c r="M31" s="75" t="s">
        <v>135</v>
      </c>
      <c r="AA31" s="15" t="s">
        <v>323</v>
      </c>
      <c r="AF31" s="15" t="s">
        <v>324</v>
      </c>
      <c r="AH31" s="15" t="s">
        <v>325</v>
      </c>
      <c r="AI31" s="15" t="s">
        <v>326</v>
      </c>
    </row>
    <row r="32" spans="1:103" ht="30" x14ac:dyDescent="0.25">
      <c r="D32" s="15" t="str">
        <f>D19</f>
        <v>3 CORE X 300 SQ. MM. AL/ARM - STRIP (XLPE) - 11 KV</v>
      </c>
      <c r="E32" s="76">
        <f>K19</f>
        <v>111</v>
      </c>
      <c r="F32" s="77">
        <f>CJ19/1000</f>
        <v>0.5</v>
      </c>
      <c r="G32" s="1" t="s">
        <v>327</v>
      </c>
      <c r="H32" s="78">
        <v>135500</v>
      </c>
      <c r="I32" s="77">
        <v>5</v>
      </c>
      <c r="J32" s="74">
        <f>F32*I32</f>
        <v>2.5</v>
      </c>
      <c r="K32" s="74">
        <f>ROUNDUP((E32/J32),0)</f>
        <v>45</v>
      </c>
      <c r="L32" s="74">
        <f>H32*K32</f>
        <v>6097500</v>
      </c>
      <c r="M32" s="80">
        <f>L32/E32</f>
        <v>54932.432432432433</v>
      </c>
      <c r="N32" s="162" t="str">
        <f>CH19</f>
        <v>SP0400141</v>
      </c>
      <c r="AA32" s="15">
        <f>SUM(N19:CE19)</f>
        <v>7568</v>
      </c>
      <c r="AF32" s="15">
        <v>350</v>
      </c>
      <c r="AH32" s="15">
        <f>((AA32*F32)+AF32)</f>
        <v>4134</v>
      </c>
      <c r="AI32" s="15">
        <f>AH32*I32</f>
        <v>20670</v>
      </c>
    </row>
    <row r="33" spans="1:35" ht="30" x14ac:dyDescent="0.25">
      <c r="D33" s="15" t="str">
        <f t="shared" ref="D33:D40" si="14">D20</f>
        <v>3 CORE X 70 SQ. MM. AL/ARM - STRIP (XLPE) - 11 KV</v>
      </c>
      <c r="E33" s="76">
        <f t="shared" ref="E33:E40" si="15">K20</f>
        <v>3</v>
      </c>
      <c r="F33" s="77">
        <f t="shared" ref="F33:F40" si="16">CJ20/1000</f>
        <v>0.5</v>
      </c>
      <c r="G33" s="1" t="s">
        <v>327</v>
      </c>
      <c r="H33" s="78">
        <v>135500</v>
      </c>
      <c r="I33" s="77">
        <v>8</v>
      </c>
      <c r="J33" s="74">
        <f t="shared" ref="J33:J40" si="17">F33*I33</f>
        <v>4</v>
      </c>
      <c r="K33" s="74">
        <f t="shared" ref="K33:K40" si="18">ROUNDUP((E33/J33),0)</f>
        <v>1</v>
      </c>
      <c r="L33" s="74">
        <f t="shared" ref="L33:L40" si="19">H33*K33</f>
        <v>135500</v>
      </c>
      <c r="M33" s="80">
        <f t="shared" ref="M33:M40" si="20">L33/E33</f>
        <v>45166.666666666664</v>
      </c>
      <c r="N33" s="162" t="str">
        <f t="shared" ref="N33:N40" si="21">CH20</f>
        <v>SP0400118</v>
      </c>
      <c r="AA33" s="15">
        <f t="shared" ref="AA33:AA40" si="22">SUM(N20:CE20)</f>
        <v>3360</v>
      </c>
      <c r="AF33" s="15">
        <v>200</v>
      </c>
      <c r="AH33" s="15">
        <f t="shared" ref="AH33:AH40" si="23">((AA33*F33)+AF33)</f>
        <v>1880</v>
      </c>
      <c r="AI33" s="15">
        <f t="shared" ref="AI33:AI40" si="24">AH33*I33</f>
        <v>15040</v>
      </c>
    </row>
    <row r="34" spans="1:35" ht="30" x14ac:dyDescent="0.25">
      <c r="D34" s="15" t="str">
        <f t="shared" si="14"/>
        <v>4 CORE X 400 SQ. MM. AL/ARD - STRIP (XLPE)</v>
      </c>
      <c r="E34" s="76">
        <f t="shared" si="15"/>
        <v>27</v>
      </c>
      <c r="F34" s="77">
        <f t="shared" si="16"/>
        <v>0.5</v>
      </c>
      <c r="G34" s="74" t="s">
        <v>328</v>
      </c>
      <c r="H34" s="78">
        <v>92500</v>
      </c>
      <c r="I34" s="77">
        <v>5</v>
      </c>
      <c r="J34" s="74">
        <f t="shared" si="17"/>
        <v>2.5</v>
      </c>
      <c r="K34" s="74">
        <f t="shared" si="18"/>
        <v>11</v>
      </c>
      <c r="L34" s="74">
        <f t="shared" si="19"/>
        <v>1017500</v>
      </c>
      <c r="M34" s="80">
        <f t="shared" si="20"/>
        <v>37685.185185185182</v>
      </c>
      <c r="N34" s="162" t="str">
        <f t="shared" si="21"/>
        <v>SP0400107</v>
      </c>
      <c r="AA34" s="15">
        <f t="shared" si="22"/>
        <v>7420</v>
      </c>
      <c r="AF34" s="15">
        <v>320</v>
      </c>
      <c r="AH34" s="15">
        <f t="shared" si="23"/>
        <v>4030</v>
      </c>
      <c r="AI34" s="15">
        <f t="shared" si="24"/>
        <v>20150</v>
      </c>
    </row>
    <row r="35" spans="1:35" ht="30" x14ac:dyDescent="0.25">
      <c r="D35" s="15" t="str">
        <f t="shared" si="14"/>
        <v>4 CORE X 150 SQ. MM. AL/ARD - STRIP (XLPE)</v>
      </c>
      <c r="E35" s="76">
        <f t="shared" si="15"/>
        <v>8</v>
      </c>
      <c r="F35" s="77">
        <f t="shared" si="16"/>
        <v>0.5</v>
      </c>
      <c r="G35" s="74" t="s">
        <v>328</v>
      </c>
      <c r="H35" s="78">
        <v>92500</v>
      </c>
      <c r="I35" s="77">
        <v>6</v>
      </c>
      <c r="J35" s="74">
        <f t="shared" si="17"/>
        <v>3</v>
      </c>
      <c r="K35" s="74">
        <f t="shared" si="18"/>
        <v>3</v>
      </c>
      <c r="L35" s="74">
        <f t="shared" si="19"/>
        <v>277500</v>
      </c>
      <c r="M35" s="80">
        <f t="shared" si="20"/>
        <v>34687.5</v>
      </c>
      <c r="N35" s="162" t="str">
        <f t="shared" si="21"/>
        <v>MD0100070</v>
      </c>
      <c r="AA35" s="15">
        <f t="shared" si="22"/>
        <v>3443</v>
      </c>
      <c r="AF35" s="15">
        <f>300+80</f>
        <v>380</v>
      </c>
      <c r="AH35" s="15">
        <f t="shared" si="23"/>
        <v>2101.5</v>
      </c>
      <c r="AI35" s="15">
        <f t="shared" si="24"/>
        <v>12609</v>
      </c>
    </row>
    <row r="36" spans="1:35" ht="30" x14ac:dyDescent="0.25">
      <c r="D36" s="15" t="str">
        <f t="shared" si="14"/>
        <v>4 CORE X 95 SQ. MM. AL/ARD - STRIP (XLPE)</v>
      </c>
      <c r="E36" s="76">
        <f t="shared" si="15"/>
        <v>198</v>
      </c>
      <c r="F36" s="77">
        <f t="shared" si="16"/>
        <v>0.5</v>
      </c>
      <c r="G36" s="74" t="s">
        <v>328</v>
      </c>
      <c r="H36" s="78">
        <v>92500</v>
      </c>
      <c r="I36" s="77">
        <v>10</v>
      </c>
      <c r="J36" s="74">
        <f t="shared" si="17"/>
        <v>5</v>
      </c>
      <c r="K36" s="74">
        <f t="shared" si="18"/>
        <v>40</v>
      </c>
      <c r="L36" s="74">
        <f t="shared" si="19"/>
        <v>3700000</v>
      </c>
      <c r="M36" s="80">
        <f t="shared" si="20"/>
        <v>18686.868686868685</v>
      </c>
      <c r="N36" s="162" t="str">
        <f t="shared" si="21"/>
        <v>MD0100061</v>
      </c>
      <c r="AA36" s="15">
        <f t="shared" si="22"/>
        <v>2242</v>
      </c>
      <c r="AF36" s="15">
        <f>190+45</f>
        <v>235</v>
      </c>
      <c r="AH36" s="15">
        <f t="shared" si="23"/>
        <v>1356</v>
      </c>
      <c r="AI36" s="15">
        <f t="shared" si="24"/>
        <v>13560</v>
      </c>
    </row>
    <row r="37" spans="1:35" ht="30" x14ac:dyDescent="0.25">
      <c r="D37" s="15" t="str">
        <f t="shared" si="14"/>
        <v>4 CORE X 50 SQ. MM. ALU/ARD - STRIP (XLPE)</v>
      </c>
      <c r="E37" s="76">
        <f t="shared" si="15"/>
        <v>60</v>
      </c>
      <c r="F37" s="77">
        <f t="shared" si="16"/>
        <v>0.5</v>
      </c>
      <c r="G37" s="74" t="s">
        <v>328</v>
      </c>
      <c r="H37" s="78">
        <v>92500</v>
      </c>
      <c r="I37" s="77">
        <v>18</v>
      </c>
      <c r="J37" s="74">
        <f t="shared" si="17"/>
        <v>9</v>
      </c>
      <c r="K37" s="74">
        <f t="shared" si="18"/>
        <v>7</v>
      </c>
      <c r="L37" s="74">
        <f t="shared" si="19"/>
        <v>647500</v>
      </c>
      <c r="M37" s="80">
        <f t="shared" si="20"/>
        <v>10791.666666666666</v>
      </c>
      <c r="N37" s="162" t="str">
        <f t="shared" si="21"/>
        <v>MD0100015</v>
      </c>
      <c r="AA37" s="15">
        <f t="shared" si="22"/>
        <v>1434</v>
      </c>
      <c r="AF37" s="15">
        <f>125+30</f>
        <v>155</v>
      </c>
      <c r="AH37" s="15">
        <f t="shared" si="23"/>
        <v>872</v>
      </c>
      <c r="AI37" s="15">
        <f t="shared" si="24"/>
        <v>15696</v>
      </c>
    </row>
    <row r="38" spans="1:35" ht="30" x14ac:dyDescent="0.25">
      <c r="D38" s="15" t="str">
        <f t="shared" si="14"/>
        <v>4 CORE X 35 SQ. MM. AL/ARD - STRIP (XLPE)</v>
      </c>
      <c r="E38" s="76">
        <f t="shared" si="15"/>
        <v>60</v>
      </c>
      <c r="F38" s="77">
        <f t="shared" si="16"/>
        <v>0.5</v>
      </c>
      <c r="G38" s="74" t="s">
        <v>328</v>
      </c>
      <c r="H38" s="78">
        <v>92500</v>
      </c>
      <c r="I38" s="77">
        <v>20</v>
      </c>
      <c r="J38" s="74">
        <f t="shared" si="17"/>
        <v>10</v>
      </c>
      <c r="K38" s="74">
        <f t="shared" si="18"/>
        <v>6</v>
      </c>
      <c r="L38" s="74">
        <f t="shared" si="19"/>
        <v>555000</v>
      </c>
      <c r="M38" s="80">
        <f t="shared" si="20"/>
        <v>9250</v>
      </c>
      <c r="N38" s="162" t="str">
        <f t="shared" si="21"/>
        <v>MD0100015</v>
      </c>
      <c r="AA38" s="15">
        <f t="shared" si="22"/>
        <v>1199</v>
      </c>
      <c r="AF38" s="15">
        <f>125+30</f>
        <v>155</v>
      </c>
      <c r="AH38" s="15">
        <f t="shared" si="23"/>
        <v>754.5</v>
      </c>
      <c r="AI38" s="15">
        <f t="shared" si="24"/>
        <v>15090</v>
      </c>
    </row>
    <row r="39" spans="1:35" ht="30" x14ac:dyDescent="0.25">
      <c r="D39" s="15" t="str">
        <f t="shared" si="14"/>
        <v>4 CORE X 16 SQ. MM. ALU/ARD - STRIP (XLPE)</v>
      </c>
      <c r="E39" s="76">
        <f t="shared" si="15"/>
        <v>100</v>
      </c>
      <c r="F39" s="77">
        <f t="shared" si="16"/>
        <v>0.5</v>
      </c>
      <c r="G39" s="74" t="s">
        <v>328</v>
      </c>
      <c r="H39" s="78">
        <v>92500</v>
      </c>
      <c r="I39" s="77">
        <v>30</v>
      </c>
      <c r="J39" s="74">
        <f t="shared" si="17"/>
        <v>15</v>
      </c>
      <c r="K39" s="74">
        <f t="shared" si="18"/>
        <v>7</v>
      </c>
      <c r="L39" s="74">
        <f t="shared" si="19"/>
        <v>647500</v>
      </c>
      <c r="M39" s="80">
        <f t="shared" si="20"/>
        <v>6475</v>
      </c>
      <c r="N39" s="162" t="str">
        <f t="shared" si="21"/>
        <v>MD0100066</v>
      </c>
      <c r="AA39" s="15">
        <f t="shared" si="22"/>
        <v>768</v>
      </c>
      <c r="AF39" s="15">
        <f>75+25</f>
        <v>100</v>
      </c>
      <c r="AH39" s="15">
        <f t="shared" si="23"/>
        <v>484</v>
      </c>
      <c r="AI39" s="15">
        <f t="shared" si="24"/>
        <v>14520</v>
      </c>
    </row>
    <row r="40" spans="1:35" ht="30" x14ac:dyDescent="0.25">
      <c r="D40" s="15" t="str">
        <f t="shared" si="14"/>
        <v>2 CORE X 10 SQ. MM. ALU/ARD - WIRE (XLPE)</v>
      </c>
      <c r="E40" s="76">
        <f t="shared" si="15"/>
        <v>100</v>
      </c>
      <c r="F40" s="77">
        <f t="shared" si="16"/>
        <v>1</v>
      </c>
      <c r="G40" s="74" t="s">
        <v>328</v>
      </c>
      <c r="H40" s="78">
        <v>92500</v>
      </c>
      <c r="I40" s="77">
        <v>14</v>
      </c>
      <c r="J40" s="74">
        <f t="shared" si="17"/>
        <v>14</v>
      </c>
      <c r="K40" s="74">
        <f t="shared" si="18"/>
        <v>8</v>
      </c>
      <c r="L40" s="74">
        <f t="shared" si="19"/>
        <v>740000</v>
      </c>
      <c r="M40" s="80">
        <f t="shared" si="20"/>
        <v>7400</v>
      </c>
      <c r="N40" s="162" t="str">
        <f t="shared" si="21"/>
        <v>MD0100075</v>
      </c>
      <c r="AA40" s="15">
        <f t="shared" si="22"/>
        <v>1005</v>
      </c>
      <c r="AF40" s="15">
        <f>75+25</f>
        <v>100</v>
      </c>
      <c r="AH40" s="15">
        <f t="shared" si="23"/>
        <v>1105</v>
      </c>
      <c r="AI40" s="15">
        <f t="shared" si="24"/>
        <v>15470</v>
      </c>
    </row>
    <row r="41" spans="1:35" x14ac:dyDescent="0.25">
      <c r="M41" s="81"/>
    </row>
    <row r="42" spans="1:35" x14ac:dyDescent="0.25">
      <c r="M42" s="81"/>
    </row>
    <row r="43" spans="1:35" x14ac:dyDescent="0.25">
      <c r="M43" s="81"/>
    </row>
    <row r="44" spans="1:35" ht="51" x14ac:dyDescent="0.25">
      <c r="A44" s="64" t="s">
        <v>0</v>
      </c>
      <c r="B44" s="65" t="s">
        <v>85</v>
      </c>
      <c r="C44" s="64" t="s">
        <v>1</v>
      </c>
      <c r="D44" s="64" t="s">
        <v>2</v>
      </c>
      <c r="E44" s="3" t="s">
        <v>331</v>
      </c>
      <c r="F44" s="9" t="s">
        <v>332</v>
      </c>
      <c r="G44" s="9" t="s">
        <v>333</v>
      </c>
      <c r="H44" s="4" t="s">
        <v>34</v>
      </c>
      <c r="I44" s="9" t="s">
        <v>35</v>
      </c>
      <c r="J44" s="9" t="s">
        <v>334</v>
      </c>
      <c r="K44" s="9" t="s">
        <v>37</v>
      </c>
      <c r="L44" s="9" t="s">
        <v>38</v>
      </c>
      <c r="M44" s="9" t="s">
        <v>39</v>
      </c>
    </row>
    <row r="45" spans="1:35" x14ac:dyDescent="0.25">
      <c r="A45" s="16"/>
      <c r="B45" s="50"/>
      <c r="C45" s="16"/>
      <c r="D45" s="16"/>
      <c r="E45" s="3"/>
      <c r="F45" s="61"/>
      <c r="G45" s="53"/>
      <c r="H45" s="3"/>
      <c r="I45" s="3"/>
      <c r="J45" s="3"/>
      <c r="K45" s="62"/>
      <c r="L45" s="3"/>
      <c r="M45" s="3"/>
    </row>
    <row r="46" spans="1:35" ht="30" x14ac:dyDescent="0.25">
      <c r="A46" s="6" t="str">
        <f>A19</f>
        <v>ENQ-16527-25-26</v>
      </c>
      <c r="B46" s="71">
        <f>B19</f>
        <v>45809</v>
      </c>
      <c r="C46" s="6" t="str">
        <f>C19</f>
        <v>FA1300004</v>
      </c>
      <c r="D46" s="6" t="str">
        <f>D19</f>
        <v>3 CORE X 300 SQ. MM. AL/ARM - STRIP (XLPE) - 11 KV</v>
      </c>
      <c r="E46" s="23">
        <f>ROUNDUP(E19/1000,2)</f>
        <v>1666.86</v>
      </c>
      <c r="F46" s="82">
        <f>ROUNDUP(F19/1000,2)</f>
        <v>54.94</v>
      </c>
      <c r="G46" s="28">
        <f t="shared" ref="G46:G54" si="25">E46+F46</f>
        <v>1721.8</v>
      </c>
      <c r="H46" s="29">
        <f>H19</f>
        <v>0.18</v>
      </c>
      <c r="I46" s="28">
        <f>ROUND(G46*H46,2)</f>
        <v>309.92</v>
      </c>
      <c r="J46" s="28">
        <f>ROUND(G46+I46,2)</f>
        <v>2031.72</v>
      </c>
      <c r="K46" s="63">
        <f t="shared" ref="K46:K54" si="26">K19*1000</f>
        <v>111000</v>
      </c>
      <c r="L46" s="60" t="s">
        <v>335</v>
      </c>
      <c r="M46" s="23">
        <f t="shared" ref="M46:M54" si="27">J46*K46</f>
        <v>225520920</v>
      </c>
    </row>
    <row r="47" spans="1:35" ht="30" x14ac:dyDescent="0.25">
      <c r="A47" s="6" t="str">
        <f t="shared" ref="A47:D54" si="28">A20</f>
        <v>ENQ-16527-25-26</v>
      </c>
      <c r="B47" s="71">
        <f t="shared" si="28"/>
        <v>45809</v>
      </c>
      <c r="C47" s="6" t="str">
        <f t="shared" si="28"/>
        <v>FA1300006</v>
      </c>
      <c r="D47" s="6" t="str">
        <f t="shared" si="28"/>
        <v>3 CORE X 70 SQ. MM. AL/ARM - STRIP (XLPE) - 11 KV</v>
      </c>
      <c r="E47" s="23">
        <f t="shared" ref="E47:F54" si="29">ROUNDUP(E20/1000,2)</f>
        <v>694.92</v>
      </c>
      <c r="F47" s="82">
        <f t="shared" si="29"/>
        <v>45.169999999999995</v>
      </c>
      <c r="G47" s="28">
        <f t="shared" si="25"/>
        <v>740.08999999999992</v>
      </c>
      <c r="H47" s="29">
        <f t="shared" ref="H47:H54" si="30">H20</f>
        <v>0.18</v>
      </c>
      <c r="I47" s="28">
        <f t="shared" ref="I47:I54" si="31">ROUND(G47*H47,2)</f>
        <v>133.22</v>
      </c>
      <c r="J47" s="28">
        <f t="shared" ref="J47:J54" si="32">ROUND(G47+I47,2)</f>
        <v>873.31</v>
      </c>
      <c r="K47" s="63">
        <f t="shared" si="26"/>
        <v>3000</v>
      </c>
      <c r="L47" s="60" t="s">
        <v>335</v>
      </c>
      <c r="M47" s="23">
        <f t="shared" si="27"/>
        <v>2619930</v>
      </c>
    </row>
    <row r="48" spans="1:35" ht="30" x14ac:dyDescent="0.25">
      <c r="A48" s="6" t="str">
        <f t="shared" si="28"/>
        <v>ENQ-16527-25-26</v>
      </c>
      <c r="B48" s="71">
        <f t="shared" si="28"/>
        <v>45809</v>
      </c>
      <c r="C48" s="6" t="str">
        <f t="shared" si="28"/>
        <v>FA1100036</v>
      </c>
      <c r="D48" s="6" t="str">
        <f t="shared" si="28"/>
        <v>4 CORE X 400 SQ. MM. AL/ARD - STRIP (XLPE)</v>
      </c>
      <c r="E48" s="23">
        <f t="shared" si="29"/>
        <v>1968.52</v>
      </c>
      <c r="F48" s="82">
        <f t="shared" si="29"/>
        <v>37.69</v>
      </c>
      <c r="G48" s="28">
        <f t="shared" si="25"/>
        <v>2006.21</v>
      </c>
      <c r="H48" s="29">
        <f t="shared" si="30"/>
        <v>0.18</v>
      </c>
      <c r="I48" s="28">
        <f t="shared" si="31"/>
        <v>361.12</v>
      </c>
      <c r="J48" s="28">
        <f t="shared" si="32"/>
        <v>2367.33</v>
      </c>
      <c r="K48" s="63">
        <f t="shared" si="26"/>
        <v>27000</v>
      </c>
      <c r="L48" s="60" t="s">
        <v>335</v>
      </c>
      <c r="M48" s="23">
        <f t="shared" si="27"/>
        <v>63917910</v>
      </c>
    </row>
    <row r="49" spans="1:13" ht="30" x14ac:dyDescent="0.25">
      <c r="A49" s="6" t="str">
        <f t="shared" si="28"/>
        <v>ENQ-16527-25-26</v>
      </c>
      <c r="B49" s="71">
        <f t="shared" si="28"/>
        <v>45809</v>
      </c>
      <c r="C49" s="6" t="str">
        <f t="shared" si="28"/>
        <v>FA1100067</v>
      </c>
      <c r="D49" s="6" t="str">
        <f t="shared" si="28"/>
        <v>4 CORE X 150 SQ. MM. AL/ARD - STRIP (XLPE)</v>
      </c>
      <c r="E49" s="23">
        <f t="shared" si="29"/>
        <v>803.42</v>
      </c>
      <c r="F49" s="82">
        <f t="shared" si="29"/>
        <v>34.69</v>
      </c>
      <c r="G49" s="28">
        <f t="shared" si="25"/>
        <v>838.1099999999999</v>
      </c>
      <c r="H49" s="29">
        <f t="shared" si="30"/>
        <v>0.18</v>
      </c>
      <c r="I49" s="28">
        <f t="shared" si="31"/>
        <v>150.86000000000001</v>
      </c>
      <c r="J49" s="28">
        <f t="shared" si="32"/>
        <v>988.97</v>
      </c>
      <c r="K49" s="63">
        <f t="shared" si="26"/>
        <v>8000</v>
      </c>
      <c r="L49" s="60" t="s">
        <v>335</v>
      </c>
      <c r="M49" s="23">
        <f t="shared" si="27"/>
        <v>7911760</v>
      </c>
    </row>
    <row r="50" spans="1:13" ht="30" x14ac:dyDescent="0.25">
      <c r="A50" s="6" t="str">
        <f t="shared" si="28"/>
        <v>ENQ-16527-25-26</v>
      </c>
      <c r="B50" s="71">
        <f t="shared" si="28"/>
        <v>45809</v>
      </c>
      <c r="C50" s="6" t="str">
        <f t="shared" si="28"/>
        <v>FA1100012</v>
      </c>
      <c r="D50" s="6" t="str">
        <f t="shared" si="28"/>
        <v>4 CORE X 95 SQ. MM. AL/ARD - STRIP (XLPE)</v>
      </c>
      <c r="E50" s="23">
        <f t="shared" si="29"/>
        <v>527.29999999999995</v>
      </c>
      <c r="F50" s="82">
        <f t="shared" si="29"/>
        <v>18.690000000000001</v>
      </c>
      <c r="G50" s="28">
        <f t="shared" si="25"/>
        <v>545.99</v>
      </c>
      <c r="H50" s="29">
        <f t="shared" si="30"/>
        <v>0.18</v>
      </c>
      <c r="I50" s="28">
        <f t="shared" si="31"/>
        <v>98.28</v>
      </c>
      <c r="J50" s="28">
        <f t="shared" si="32"/>
        <v>644.27</v>
      </c>
      <c r="K50" s="63">
        <f t="shared" si="26"/>
        <v>198000</v>
      </c>
      <c r="L50" s="60" t="s">
        <v>335</v>
      </c>
      <c r="M50" s="23">
        <f t="shared" si="27"/>
        <v>127565460</v>
      </c>
    </row>
    <row r="51" spans="1:13" ht="30" x14ac:dyDescent="0.25">
      <c r="A51" s="6" t="str">
        <f t="shared" si="28"/>
        <v>ENQ-16527-25-26</v>
      </c>
      <c r="B51" s="71">
        <f t="shared" si="28"/>
        <v>45809</v>
      </c>
      <c r="C51" s="6" t="str">
        <f t="shared" si="28"/>
        <v>FA0900036</v>
      </c>
      <c r="D51" s="6" t="str">
        <f t="shared" si="28"/>
        <v>4 CORE X 50 SQ. MM. ALU/ARD - STRIP (XLPE)</v>
      </c>
      <c r="E51" s="23">
        <f t="shared" si="29"/>
        <v>303.63</v>
      </c>
      <c r="F51" s="82">
        <f t="shared" si="29"/>
        <v>10.799999999999999</v>
      </c>
      <c r="G51" s="28">
        <f t="shared" si="25"/>
        <v>314.43</v>
      </c>
      <c r="H51" s="29">
        <f t="shared" si="30"/>
        <v>0.18</v>
      </c>
      <c r="I51" s="28">
        <f t="shared" si="31"/>
        <v>56.6</v>
      </c>
      <c r="J51" s="28">
        <f t="shared" si="32"/>
        <v>371.03</v>
      </c>
      <c r="K51" s="63">
        <f t="shared" si="26"/>
        <v>60000</v>
      </c>
      <c r="L51" s="60" t="s">
        <v>335</v>
      </c>
      <c r="M51" s="23">
        <f t="shared" si="27"/>
        <v>22261800</v>
      </c>
    </row>
    <row r="52" spans="1:13" ht="30" x14ac:dyDescent="0.25">
      <c r="A52" s="6" t="str">
        <f t="shared" si="28"/>
        <v>ENQ-16527-25-26</v>
      </c>
      <c r="B52" s="71">
        <f t="shared" si="28"/>
        <v>45809</v>
      </c>
      <c r="C52" s="6" t="str">
        <f t="shared" si="28"/>
        <v>FA0900018</v>
      </c>
      <c r="D52" s="6" t="str">
        <f t="shared" si="28"/>
        <v>4 CORE X 35 SQ. MM. AL/ARD - STRIP (XLPE)</v>
      </c>
      <c r="E52" s="23">
        <f t="shared" si="29"/>
        <v>237.5</v>
      </c>
      <c r="F52" s="82">
        <f t="shared" si="29"/>
        <v>9.25</v>
      </c>
      <c r="G52" s="28">
        <f t="shared" si="25"/>
        <v>246.75</v>
      </c>
      <c r="H52" s="29">
        <f t="shared" si="30"/>
        <v>0.18</v>
      </c>
      <c r="I52" s="28">
        <f t="shared" si="31"/>
        <v>44.42</v>
      </c>
      <c r="J52" s="28">
        <f t="shared" si="32"/>
        <v>291.17</v>
      </c>
      <c r="K52" s="63">
        <f t="shared" si="26"/>
        <v>60000</v>
      </c>
      <c r="L52" s="60" t="s">
        <v>335</v>
      </c>
      <c r="M52" s="23">
        <f t="shared" si="27"/>
        <v>17470200</v>
      </c>
    </row>
    <row r="53" spans="1:13" ht="30" x14ac:dyDescent="0.25">
      <c r="A53" s="6" t="str">
        <f t="shared" si="28"/>
        <v>ENQ-16527-25-26</v>
      </c>
      <c r="B53" s="71">
        <f t="shared" si="28"/>
        <v>45809</v>
      </c>
      <c r="C53" s="6" t="str">
        <f t="shared" si="28"/>
        <v>FA0900013</v>
      </c>
      <c r="D53" s="6" t="str">
        <f t="shared" si="28"/>
        <v>4 CORE X 16 SQ. MM. ALU/ARD - STRIP (XLPE)</v>
      </c>
      <c r="E53" s="23">
        <f t="shared" si="29"/>
        <v>134.35</v>
      </c>
      <c r="F53" s="82">
        <f t="shared" si="29"/>
        <v>6.4799999999999995</v>
      </c>
      <c r="G53" s="28">
        <f t="shared" si="25"/>
        <v>140.82999999999998</v>
      </c>
      <c r="H53" s="29">
        <f t="shared" si="30"/>
        <v>0.18</v>
      </c>
      <c r="I53" s="28">
        <f t="shared" si="31"/>
        <v>25.35</v>
      </c>
      <c r="J53" s="28">
        <f t="shared" si="32"/>
        <v>166.18</v>
      </c>
      <c r="K53" s="63">
        <f t="shared" si="26"/>
        <v>100000</v>
      </c>
      <c r="L53" s="60" t="s">
        <v>335</v>
      </c>
      <c r="M53" s="23">
        <f t="shared" si="27"/>
        <v>16618000</v>
      </c>
    </row>
    <row r="54" spans="1:13" ht="30" x14ac:dyDescent="0.25">
      <c r="A54" s="6" t="str">
        <f t="shared" si="28"/>
        <v>ENQ-16527-25-26</v>
      </c>
      <c r="B54" s="71">
        <f t="shared" si="28"/>
        <v>45809</v>
      </c>
      <c r="C54" s="6" t="str">
        <f t="shared" si="28"/>
        <v>FA0900042</v>
      </c>
      <c r="D54" s="6" t="str">
        <f t="shared" si="28"/>
        <v>2 CORE X 10 SQ. MM. ALU/ARD - WIRE (XLPE)</v>
      </c>
      <c r="E54" s="23">
        <f t="shared" si="29"/>
        <v>89.87</v>
      </c>
      <c r="F54" s="82">
        <f t="shared" si="29"/>
        <v>7.4</v>
      </c>
      <c r="G54" s="28">
        <f t="shared" si="25"/>
        <v>97.27000000000001</v>
      </c>
      <c r="H54" s="29">
        <f t="shared" si="30"/>
        <v>0.18</v>
      </c>
      <c r="I54" s="28">
        <f t="shared" si="31"/>
        <v>17.510000000000002</v>
      </c>
      <c r="J54" s="28">
        <f t="shared" si="32"/>
        <v>114.78</v>
      </c>
      <c r="K54" s="63">
        <f t="shared" si="26"/>
        <v>100000</v>
      </c>
      <c r="L54" s="60" t="s">
        <v>335</v>
      </c>
      <c r="M54" s="23">
        <f t="shared" si="27"/>
        <v>11478000</v>
      </c>
    </row>
    <row r="55" spans="1:13" x14ac:dyDescent="0.25">
      <c r="M55" s="2">
        <f>SUM(M46:M54)</f>
        <v>495363980</v>
      </c>
    </row>
    <row r="56" spans="1:13" x14ac:dyDescent="0.25">
      <c r="M56" s="81">
        <f>M55-M28</f>
        <v>6542.9953900575638</v>
      </c>
    </row>
    <row r="57" spans="1:13" x14ac:dyDescent="0.25">
      <c r="M57" s="81"/>
    </row>
    <row r="58" spans="1:13" x14ac:dyDescent="0.25">
      <c r="M58" s="81"/>
    </row>
    <row r="59" spans="1:13" x14ac:dyDescent="0.25">
      <c r="M59" s="81"/>
    </row>
    <row r="60" spans="1:13" x14ac:dyDescent="0.25">
      <c r="M60" s="81"/>
    </row>
    <row r="61" spans="1:13" x14ac:dyDescent="0.25">
      <c r="M61" s="81"/>
    </row>
    <row r="62" spans="1:13" x14ac:dyDescent="0.25">
      <c r="M62" s="81"/>
    </row>
    <row r="63" spans="1:13" x14ac:dyDescent="0.25">
      <c r="M63" s="81"/>
    </row>
    <row r="64" spans="1:13" x14ac:dyDescent="0.25">
      <c r="M64" s="81"/>
    </row>
    <row r="65" spans="13:13" x14ac:dyDescent="0.25">
      <c r="M65" s="81"/>
    </row>
    <row r="66" spans="13:13" x14ac:dyDescent="0.25">
      <c r="M66" s="81"/>
    </row>
    <row r="67" spans="13:13" x14ac:dyDescent="0.25">
      <c r="M67" s="81"/>
    </row>
    <row r="68" spans="13:13" x14ac:dyDescent="0.25">
      <c r="M68" s="81"/>
    </row>
    <row r="69" spans="13:13" x14ac:dyDescent="0.25">
      <c r="M69" s="81"/>
    </row>
    <row r="70" spans="13:13" x14ac:dyDescent="0.25">
      <c r="M70" s="81"/>
    </row>
    <row r="71" spans="13:13" x14ac:dyDescent="0.25">
      <c r="M71" s="81"/>
    </row>
    <row r="72" spans="13:13" x14ac:dyDescent="0.25">
      <c r="M72" s="81"/>
    </row>
    <row r="73" spans="13:13" x14ac:dyDescent="0.25">
      <c r="M73" s="81"/>
    </row>
    <row r="74" spans="13:13" x14ac:dyDescent="0.25">
      <c r="M74" s="81"/>
    </row>
    <row r="75" spans="13:13" x14ac:dyDescent="0.25">
      <c r="M75" s="81"/>
    </row>
    <row r="76" spans="13:13" x14ac:dyDescent="0.25">
      <c r="M76" s="81"/>
    </row>
    <row r="77" spans="13:13" x14ac:dyDescent="0.25">
      <c r="M77" s="81"/>
    </row>
    <row r="78" spans="13:13" x14ac:dyDescent="0.25">
      <c r="M78" s="81"/>
    </row>
    <row r="79" spans="13:13" x14ac:dyDescent="0.25">
      <c r="M79" s="81"/>
    </row>
  </sheetData>
  <sortState xmlns:xlrd2="http://schemas.microsoft.com/office/spreadsheetml/2017/richdata2" ref="A19:CY27">
    <sortCondition ref="F19:F27"/>
  </sortState>
  <mergeCells count="21">
    <mergeCell ref="CG16:CJ16"/>
    <mergeCell ref="AR16:AZ16"/>
    <mergeCell ref="BA16:BK16"/>
    <mergeCell ref="BL16:BW16"/>
    <mergeCell ref="N16:U16"/>
    <mergeCell ref="V16:W16"/>
    <mergeCell ref="X16:AE16"/>
    <mergeCell ref="AF16:AG16"/>
    <mergeCell ref="AH16:AP16"/>
    <mergeCell ref="A2:R2"/>
    <mergeCell ref="B4:R4"/>
    <mergeCell ref="B5:R5"/>
    <mergeCell ref="B6:R6"/>
    <mergeCell ref="B7:R7"/>
    <mergeCell ref="B13:R13"/>
    <mergeCell ref="B14:R14"/>
    <mergeCell ref="B8:R8"/>
    <mergeCell ref="B9:R9"/>
    <mergeCell ref="B10:R10"/>
    <mergeCell ref="B11:R11"/>
    <mergeCell ref="B12:R12"/>
  </mergeCells>
  <pageMargins left="0.7" right="0.7" top="0.75" bottom="0.75" header="0.3" footer="0.3"/>
  <pageSetup scale="25" fitToHeight="0" orientation="landscape"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9568B-82B2-41CC-B1BB-1FD071139949}">
  <sheetPr>
    <tabColor rgb="FFFF0000"/>
    <pageSetUpPr fitToPage="1"/>
  </sheetPr>
  <dimension ref="A1:AX25"/>
  <sheetViews>
    <sheetView showZeros="0" topLeftCell="A9" zoomScaleNormal="100" workbookViewId="0">
      <pane xSplit="1" ySplit="2" topLeftCell="B11" activePane="bottomRight" state="frozen"/>
      <selection activeCell="A9" sqref="A9"/>
      <selection pane="topRight" activeCell="B9" sqref="B9"/>
      <selection pane="bottomLeft" activeCell="A11" sqref="A11"/>
      <selection pane="bottomRight" activeCell="AF12" sqref="AF12:AO12"/>
    </sheetView>
  </sheetViews>
  <sheetFormatPr defaultRowHeight="12.75" x14ac:dyDescent="0.2"/>
  <cols>
    <col min="1" max="1" width="45.28515625" style="92" customWidth="1"/>
    <col min="2" max="2" width="14.7109375" style="92" customWidth="1"/>
    <col min="3" max="3" width="11.85546875" style="92" customWidth="1"/>
    <col min="4" max="4" width="10.7109375" style="92" customWidth="1"/>
    <col min="5" max="9" width="9.42578125" style="92" customWidth="1"/>
    <col min="10" max="10" width="11.85546875" style="92" customWidth="1"/>
    <col min="11" max="15" width="9.140625" style="92" customWidth="1"/>
    <col min="16" max="17" width="7.28515625" style="92" customWidth="1"/>
    <col min="18" max="22" width="7.42578125" style="92" customWidth="1"/>
    <col min="23" max="23" width="12.140625" style="92" bestFit="1" customWidth="1"/>
    <col min="24" max="24" width="12" style="92" bestFit="1" customWidth="1"/>
    <col min="25" max="25" width="12" style="92" customWidth="1"/>
    <col min="26" max="26" width="11" style="92" bestFit="1" customWidth="1"/>
    <col min="27" max="27" width="11.42578125" style="92" bestFit="1" customWidth="1"/>
    <col min="28" max="29" width="11" style="92" customWidth="1"/>
    <col min="30" max="30" width="11" style="92" bestFit="1" customWidth="1"/>
    <col min="31" max="31" width="14.42578125" style="92" bestFit="1" customWidth="1"/>
    <col min="32" max="32" width="9.140625" style="92" customWidth="1"/>
    <col min="33" max="38" width="10.85546875" style="92" customWidth="1"/>
    <col min="39" max="39" width="13.28515625" style="92" bestFit="1" customWidth="1"/>
    <col min="40" max="40" width="9.5703125" style="92" customWidth="1"/>
    <col min="41" max="41" width="10.42578125" style="92" customWidth="1"/>
    <col min="42" max="42" width="10.5703125" style="92" bestFit="1" customWidth="1"/>
    <col min="43" max="43" width="9.5703125" style="92" bestFit="1" customWidth="1"/>
    <col min="44" max="44" width="10.5703125" style="92" customWidth="1"/>
    <col min="45" max="45" width="11.140625" style="92" bestFit="1" customWidth="1"/>
    <col min="46" max="264" width="9.140625" style="92"/>
    <col min="265" max="265" width="54.140625" style="92" bestFit="1" customWidth="1"/>
    <col min="266" max="266" width="14.7109375" style="92" customWidth="1"/>
    <col min="267" max="267" width="10.140625" style="92" customWidth="1"/>
    <col min="268" max="268" width="10.42578125" style="92" bestFit="1" customWidth="1"/>
    <col min="269" max="270" width="9.42578125" style="92" bestFit="1" customWidth="1"/>
    <col min="271" max="272" width="9.42578125" style="92" customWidth="1"/>
    <col min="273" max="273" width="10.140625" style="92" bestFit="1" customWidth="1"/>
    <col min="274" max="277" width="9.140625" style="92"/>
    <col min="278" max="278" width="7.28515625" style="92" customWidth="1"/>
    <col min="279" max="281" width="7.42578125" style="92" customWidth="1"/>
    <col min="282" max="282" width="10.42578125" style="92" bestFit="1" customWidth="1"/>
    <col min="283" max="283" width="12" style="92" bestFit="1" customWidth="1"/>
    <col min="284" max="284" width="11" style="92" bestFit="1" customWidth="1"/>
    <col min="285" max="286" width="11" style="92" customWidth="1"/>
    <col min="287" max="287" width="10" style="92" bestFit="1" customWidth="1"/>
    <col min="288" max="288" width="14.42578125" style="92" bestFit="1" customWidth="1"/>
    <col min="289" max="299" width="0" style="92" hidden="1" customWidth="1"/>
    <col min="300" max="520" width="9.140625" style="92"/>
    <col min="521" max="521" width="54.140625" style="92" bestFit="1" customWidth="1"/>
    <col min="522" max="522" width="14.7109375" style="92" customWidth="1"/>
    <col min="523" max="523" width="10.140625" style="92" customWidth="1"/>
    <col min="524" max="524" width="10.42578125" style="92" bestFit="1" customWidth="1"/>
    <col min="525" max="526" width="9.42578125" style="92" bestFit="1" customWidth="1"/>
    <col min="527" max="528" width="9.42578125" style="92" customWidth="1"/>
    <col min="529" max="529" width="10.140625" style="92" bestFit="1" customWidth="1"/>
    <col min="530" max="533" width="9.140625" style="92"/>
    <col min="534" max="534" width="7.28515625" style="92" customWidth="1"/>
    <col min="535" max="537" width="7.42578125" style="92" customWidth="1"/>
    <col min="538" max="538" width="10.42578125" style="92" bestFit="1" customWidth="1"/>
    <col min="539" max="539" width="12" style="92" bestFit="1" customWidth="1"/>
    <col min="540" max="540" width="11" style="92" bestFit="1" customWidth="1"/>
    <col min="541" max="542" width="11" style="92" customWidth="1"/>
    <col min="543" max="543" width="10" style="92" bestFit="1" customWidth="1"/>
    <col min="544" max="544" width="14.42578125" style="92" bestFit="1" customWidth="1"/>
    <col min="545" max="555" width="0" style="92" hidden="1" customWidth="1"/>
    <col min="556" max="776" width="9.140625" style="92"/>
    <col min="777" max="777" width="54.140625" style="92" bestFit="1" customWidth="1"/>
    <col min="778" max="778" width="14.7109375" style="92" customWidth="1"/>
    <col min="779" max="779" width="10.140625" style="92" customWidth="1"/>
    <col min="780" max="780" width="10.42578125" style="92" bestFit="1" customWidth="1"/>
    <col min="781" max="782" width="9.42578125" style="92" bestFit="1" customWidth="1"/>
    <col min="783" max="784" width="9.42578125" style="92" customWidth="1"/>
    <col min="785" max="785" width="10.140625" style="92" bestFit="1" customWidth="1"/>
    <col min="786" max="789" width="9.140625" style="92"/>
    <col min="790" max="790" width="7.28515625" style="92" customWidth="1"/>
    <col min="791" max="793" width="7.42578125" style="92" customWidth="1"/>
    <col min="794" max="794" width="10.42578125" style="92" bestFit="1" customWidth="1"/>
    <col min="795" max="795" width="12" style="92" bestFit="1" customWidth="1"/>
    <col min="796" max="796" width="11" style="92" bestFit="1" customWidth="1"/>
    <col min="797" max="798" width="11" style="92" customWidth="1"/>
    <col min="799" max="799" width="10" style="92" bestFit="1" customWidth="1"/>
    <col min="800" max="800" width="14.42578125" style="92" bestFit="1" customWidth="1"/>
    <col min="801" max="811" width="0" style="92" hidden="1" customWidth="1"/>
    <col min="812" max="1032" width="9.140625" style="92"/>
    <col min="1033" max="1033" width="54.140625" style="92" bestFit="1" customWidth="1"/>
    <col min="1034" max="1034" width="14.7109375" style="92" customWidth="1"/>
    <col min="1035" max="1035" width="10.140625" style="92" customWidth="1"/>
    <col min="1036" max="1036" width="10.42578125" style="92" bestFit="1" customWidth="1"/>
    <col min="1037" max="1038" width="9.42578125" style="92" bestFit="1" customWidth="1"/>
    <col min="1039" max="1040" width="9.42578125" style="92" customWidth="1"/>
    <col min="1041" max="1041" width="10.140625" style="92" bestFit="1" customWidth="1"/>
    <col min="1042" max="1045" width="9.140625" style="92"/>
    <col min="1046" max="1046" width="7.28515625" style="92" customWidth="1"/>
    <col min="1047" max="1049" width="7.42578125" style="92" customWidth="1"/>
    <col min="1050" max="1050" width="10.42578125" style="92" bestFit="1" customWidth="1"/>
    <col min="1051" max="1051" width="12" style="92" bestFit="1" customWidth="1"/>
    <col min="1052" max="1052" width="11" style="92" bestFit="1" customWidth="1"/>
    <col min="1053" max="1054" width="11" style="92" customWidth="1"/>
    <col min="1055" max="1055" width="10" style="92" bestFit="1" customWidth="1"/>
    <col min="1056" max="1056" width="14.42578125" style="92" bestFit="1" customWidth="1"/>
    <col min="1057" max="1067" width="0" style="92" hidden="1" customWidth="1"/>
    <col min="1068" max="1288" width="9.140625" style="92"/>
    <col min="1289" max="1289" width="54.140625" style="92" bestFit="1" customWidth="1"/>
    <col min="1290" max="1290" width="14.7109375" style="92" customWidth="1"/>
    <col min="1291" max="1291" width="10.140625" style="92" customWidth="1"/>
    <col min="1292" max="1292" width="10.42578125" style="92" bestFit="1" customWidth="1"/>
    <col min="1293" max="1294" width="9.42578125" style="92" bestFit="1" customWidth="1"/>
    <col min="1295" max="1296" width="9.42578125" style="92" customWidth="1"/>
    <col min="1297" max="1297" width="10.140625" style="92" bestFit="1" customWidth="1"/>
    <col min="1298" max="1301" width="9.140625" style="92"/>
    <col min="1302" max="1302" width="7.28515625" style="92" customWidth="1"/>
    <col min="1303" max="1305" width="7.42578125" style="92" customWidth="1"/>
    <col min="1306" max="1306" width="10.42578125" style="92" bestFit="1" customWidth="1"/>
    <col min="1307" max="1307" width="12" style="92" bestFit="1" customWidth="1"/>
    <col min="1308" max="1308" width="11" style="92" bestFit="1" customWidth="1"/>
    <col min="1309" max="1310" width="11" style="92" customWidth="1"/>
    <col min="1311" max="1311" width="10" style="92" bestFit="1" customWidth="1"/>
    <col min="1312" max="1312" width="14.42578125" style="92" bestFit="1" customWidth="1"/>
    <col min="1313" max="1323" width="0" style="92" hidden="1" customWidth="1"/>
    <col min="1324" max="1544" width="9.140625" style="92"/>
    <col min="1545" max="1545" width="54.140625" style="92" bestFit="1" customWidth="1"/>
    <col min="1546" max="1546" width="14.7109375" style="92" customWidth="1"/>
    <col min="1547" max="1547" width="10.140625" style="92" customWidth="1"/>
    <col min="1548" max="1548" width="10.42578125" style="92" bestFit="1" customWidth="1"/>
    <col min="1549" max="1550" width="9.42578125" style="92" bestFit="1" customWidth="1"/>
    <col min="1551" max="1552" width="9.42578125" style="92" customWidth="1"/>
    <col min="1553" max="1553" width="10.140625" style="92" bestFit="1" customWidth="1"/>
    <col min="1554" max="1557" width="9.140625" style="92"/>
    <col min="1558" max="1558" width="7.28515625" style="92" customWidth="1"/>
    <col min="1559" max="1561" width="7.42578125" style="92" customWidth="1"/>
    <col min="1562" max="1562" width="10.42578125" style="92" bestFit="1" customWidth="1"/>
    <col min="1563" max="1563" width="12" style="92" bestFit="1" customWidth="1"/>
    <col min="1564" max="1564" width="11" style="92" bestFit="1" customWidth="1"/>
    <col min="1565" max="1566" width="11" style="92" customWidth="1"/>
    <col min="1567" max="1567" width="10" style="92" bestFit="1" customWidth="1"/>
    <col min="1568" max="1568" width="14.42578125" style="92" bestFit="1" customWidth="1"/>
    <col min="1569" max="1579" width="0" style="92" hidden="1" customWidth="1"/>
    <col min="1580" max="1800" width="9.140625" style="92"/>
    <col min="1801" max="1801" width="54.140625" style="92" bestFit="1" customWidth="1"/>
    <col min="1802" max="1802" width="14.7109375" style="92" customWidth="1"/>
    <col min="1803" max="1803" width="10.140625" style="92" customWidth="1"/>
    <col min="1804" max="1804" width="10.42578125" style="92" bestFit="1" customWidth="1"/>
    <col min="1805" max="1806" width="9.42578125" style="92" bestFit="1" customWidth="1"/>
    <col min="1807" max="1808" width="9.42578125" style="92" customWidth="1"/>
    <col min="1809" max="1809" width="10.140625" style="92" bestFit="1" customWidth="1"/>
    <col min="1810" max="1813" width="9.140625" style="92"/>
    <col min="1814" max="1814" width="7.28515625" style="92" customWidth="1"/>
    <col min="1815" max="1817" width="7.42578125" style="92" customWidth="1"/>
    <col min="1818" max="1818" width="10.42578125" style="92" bestFit="1" customWidth="1"/>
    <col min="1819" max="1819" width="12" style="92" bestFit="1" customWidth="1"/>
    <col min="1820" max="1820" width="11" style="92" bestFit="1" customWidth="1"/>
    <col min="1821" max="1822" width="11" style="92" customWidth="1"/>
    <col min="1823" max="1823" width="10" style="92" bestFit="1" customWidth="1"/>
    <col min="1824" max="1824" width="14.42578125" style="92" bestFit="1" customWidth="1"/>
    <col min="1825" max="1835" width="0" style="92" hidden="1" customWidth="1"/>
    <col min="1836" max="2056" width="9.140625" style="92"/>
    <col min="2057" max="2057" width="54.140625" style="92" bestFit="1" customWidth="1"/>
    <col min="2058" max="2058" width="14.7109375" style="92" customWidth="1"/>
    <col min="2059" max="2059" width="10.140625" style="92" customWidth="1"/>
    <col min="2060" max="2060" width="10.42578125" style="92" bestFit="1" customWidth="1"/>
    <col min="2061" max="2062" width="9.42578125" style="92" bestFit="1" customWidth="1"/>
    <col min="2063" max="2064" width="9.42578125" style="92" customWidth="1"/>
    <col min="2065" max="2065" width="10.140625" style="92" bestFit="1" customWidth="1"/>
    <col min="2066" max="2069" width="9.140625" style="92"/>
    <col min="2070" max="2070" width="7.28515625" style="92" customWidth="1"/>
    <col min="2071" max="2073" width="7.42578125" style="92" customWidth="1"/>
    <col min="2074" max="2074" width="10.42578125" style="92" bestFit="1" customWidth="1"/>
    <col min="2075" max="2075" width="12" style="92" bestFit="1" customWidth="1"/>
    <col min="2076" max="2076" width="11" style="92" bestFit="1" customWidth="1"/>
    <col min="2077" max="2078" width="11" style="92" customWidth="1"/>
    <col min="2079" max="2079" width="10" style="92" bestFit="1" customWidth="1"/>
    <col min="2080" max="2080" width="14.42578125" style="92" bestFit="1" customWidth="1"/>
    <col min="2081" max="2091" width="0" style="92" hidden="1" customWidth="1"/>
    <col min="2092" max="2312" width="9.140625" style="92"/>
    <col min="2313" max="2313" width="54.140625" style="92" bestFit="1" customWidth="1"/>
    <col min="2314" max="2314" width="14.7109375" style="92" customWidth="1"/>
    <col min="2315" max="2315" width="10.140625" style="92" customWidth="1"/>
    <col min="2316" max="2316" width="10.42578125" style="92" bestFit="1" customWidth="1"/>
    <col min="2317" max="2318" width="9.42578125" style="92" bestFit="1" customWidth="1"/>
    <col min="2319" max="2320" width="9.42578125" style="92" customWidth="1"/>
    <col min="2321" max="2321" width="10.140625" style="92" bestFit="1" customWidth="1"/>
    <col min="2322" max="2325" width="9.140625" style="92"/>
    <col min="2326" max="2326" width="7.28515625" style="92" customWidth="1"/>
    <col min="2327" max="2329" width="7.42578125" style="92" customWidth="1"/>
    <col min="2330" max="2330" width="10.42578125" style="92" bestFit="1" customWidth="1"/>
    <col min="2331" max="2331" width="12" style="92" bestFit="1" customWidth="1"/>
    <col min="2332" max="2332" width="11" style="92" bestFit="1" customWidth="1"/>
    <col min="2333" max="2334" width="11" style="92" customWidth="1"/>
    <col min="2335" max="2335" width="10" style="92" bestFit="1" customWidth="1"/>
    <col min="2336" max="2336" width="14.42578125" style="92" bestFit="1" customWidth="1"/>
    <col min="2337" max="2347" width="0" style="92" hidden="1" customWidth="1"/>
    <col min="2348" max="2568" width="9.140625" style="92"/>
    <col min="2569" max="2569" width="54.140625" style="92" bestFit="1" customWidth="1"/>
    <col min="2570" max="2570" width="14.7109375" style="92" customWidth="1"/>
    <col min="2571" max="2571" width="10.140625" style="92" customWidth="1"/>
    <col min="2572" max="2572" width="10.42578125" style="92" bestFit="1" customWidth="1"/>
    <col min="2573" max="2574" width="9.42578125" style="92" bestFit="1" customWidth="1"/>
    <col min="2575" max="2576" width="9.42578125" style="92" customWidth="1"/>
    <col min="2577" max="2577" width="10.140625" style="92" bestFit="1" customWidth="1"/>
    <col min="2578" max="2581" width="9.140625" style="92"/>
    <col min="2582" max="2582" width="7.28515625" style="92" customWidth="1"/>
    <col min="2583" max="2585" width="7.42578125" style="92" customWidth="1"/>
    <col min="2586" max="2586" width="10.42578125" style="92" bestFit="1" customWidth="1"/>
    <col min="2587" max="2587" width="12" style="92" bestFit="1" customWidth="1"/>
    <col min="2588" max="2588" width="11" style="92" bestFit="1" customWidth="1"/>
    <col min="2589" max="2590" width="11" style="92" customWidth="1"/>
    <col min="2591" max="2591" width="10" style="92" bestFit="1" customWidth="1"/>
    <col min="2592" max="2592" width="14.42578125" style="92" bestFit="1" customWidth="1"/>
    <col min="2593" max="2603" width="0" style="92" hidden="1" customWidth="1"/>
    <col min="2604" max="2824" width="9.140625" style="92"/>
    <col min="2825" max="2825" width="54.140625" style="92" bestFit="1" customWidth="1"/>
    <col min="2826" max="2826" width="14.7109375" style="92" customWidth="1"/>
    <col min="2827" max="2827" width="10.140625" style="92" customWidth="1"/>
    <col min="2828" max="2828" width="10.42578125" style="92" bestFit="1" customWidth="1"/>
    <col min="2829" max="2830" width="9.42578125" style="92" bestFit="1" customWidth="1"/>
    <col min="2831" max="2832" width="9.42578125" style="92" customWidth="1"/>
    <col min="2833" max="2833" width="10.140625" style="92" bestFit="1" customWidth="1"/>
    <col min="2834" max="2837" width="9.140625" style="92"/>
    <col min="2838" max="2838" width="7.28515625" style="92" customWidth="1"/>
    <col min="2839" max="2841" width="7.42578125" style="92" customWidth="1"/>
    <col min="2842" max="2842" width="10.42578125" style="92" bestFit="1" customWidth="1"/>
    <col min="2843" max="2843" width="12" style="92" bestFit="1" customWidth="1"/>
    <col min="2844" max="2844" width="11" style="92" bestFit="1" customWidth="1"/>
    <col min="2845" max="2846" width="11" style="92" customWidth="1"/>
    <col min="2847" max="2847" width="10" style="92" bestFit="1" customWidth="1"/>
    <col min="2848" max="2848" width="14.42578125" style="92" bestFit="1" customWidth="1"/>
    <col min="2849" max="2859" width="0" style="92" hidden="1" customWidth="1"/>
    <col min="2860" max="3080" width="9.140625" style="92"/>
    <col min="3081" max="3081" width="54.140625" style="92" bestFit="1" customWidth="1"/>
    <col min="3082" max="3082" width="14.7109375" style="92" customWidth="1"/>
    <col min="3083" max="3083" width="10.140625" style="92" customWidth="1"/>
    <col min="3084" max="3084" width="10.42578125" style="92" bestFit="1" customWidth="1"/>
    <col min="3085" max="3086" width="9.42578125" style="92" bestFit="1" customWidth="1"/>
    <col min="3087" max="3088" width="9.42578125" style="92" customWidth="1"/>
    <col min="3089" max="3089" width="10.140625" style="92" bestFit="1" customWidth="1"/>
    <col min="3090" max="3093" width="9.140625" style="92"/>
    <col min="3094" max="3094" width="7.28515625" style="92" customWidth="1"/>
    <col min="3095" max="3097" width="7.42578125" style="92" customWidth="1"/>
    <col min="3098" max="3098" width="10.42578125" style="92" bestFit="1" customWidth="1"/>
    <col min="3099" max="3099" width="12" style="92" bestFit="1" customWidth="1"/>
    <col min="3100" max="3100" width="11" style="92" bestFit="1" customWidth="1"/>
    <col min="3101" max="3102" width="11" style="92" customWidth="1"/>
    <col min="3103" max="3103" width="10" style="92" bestFit="1" customWidth="1"/>
    <col min="3104" max="3104" width="14.42578125" style="92" bestFit="1" customWidth="1"/>
    <col min="3105" max="3115" width="0" style="92" hidden="1" customWidth="1"/>
    <col min="3116" max="3336" width="9.140625" style="92"/>
    <col min="3337" max="3337" width="54.140625" style="92" bestFit="1" customWidth="1"/>
    <col min="3338" max="3338" width="14.7109375" style="92" customWidth="1"/>
    <col min="3339" max="3339" width="10.140625" style="92" customWidth="1"/>
    <col min="3340" max="3340" width="10.42578125" style="92" bestFit="1" customWidth="1"/>
    <col min="3341" max="3342" width="9.42578125" style="92" bestFit="1" customWidth="1"/>
    <col min="3343" max="3344" width="9.42578125" style="92" customWidth="1"/>
    <col min="3345" max="3345" width="10.140625" style="92" bestFit="1" customWidth="1"/>
    <col min="3346" max="3349" width="9.140625" style="92"/>
    <col min="3350" max="3350" width="7.28515625" style="92" customWidth="1"/>
    <col min="3351" max="3353" width="7.42578125" style="92" customWidth="1"/>
    <col min="3354" max="3354" width="10.42578125" style="92" bestFit="1" customWidth="1"/>
    <col min="3355" max="3355" width="12" style="92" bestFit="1" customWidth="1"/>
    <col min="3356" max="3356" width="11" style="92" bestFit="1" customWidth="1"/>
    <col min="3357" max="3358" width="11" style="92" customWidth="1"/>
    <col min="3359" max="3359" width="10" style="92" bestFit="1" customWidth="1"/>
    <col min="3360" max="3360" width="14.42578125" style="92" bestFit="1" customWidth="1"/>
    <col min="3361" max="3371" width="0" style="92" hidden="1" customWidth="1"/>
    <col min="3372" max="3592" width="9.140625" style="92"/>
    <col min="3593" max="3593" width="54.140625" style="92" bestFit="1" customWidth="1"/>
    <col min="3594" max="3594" width="14.7109375" style="92" customWidth="1"/>
    <col min="3595" max="3595" width="10.140625" style="92" customWidth="1"/>
    <col min="3596" max="3596" width="10.42578125" style="92" bestFit="1" customWidth="1"/>
    <col min="3597" max="3598" width="9.42578125" style="92" bestFit="1" customWidth="1"/>
    <col min="3599" max="3600" width="9.42578125" style="92" customWidth="1"/>
    <col min="3601" max="3601" width="10.140625" style="92" bestFit="1" customWidth="1"/>
    <col min="3602" max="3605" width="9.140625" style="92"/>
    <col min="3606" max="3606" width="7.28515625" style="92" customWidth="1"/>
    <col min="3607" max="3609" width="7.42578125" style="92" customWidth="1"/>
    <col min="3610" max="3610" width="10.42578125" style="92" bestFit="1" customWidth="1"/>
    <col min="3611" max="3611" width="12" style="92" bestFit="1" customWidth="1"/>
    <col min="3612" max="3612" width="11" style="92" bestFit="1" customWidth="1"/>
    <col min="3613" max="3614" width="11" style="92" customWidth="1"/>
    <col min="3615" max="3615" width="10" style="92" bestFit="1" customWidth="1"/>
    <col min="3616" max="3616" width="14.42578125" style="92" bestFit="1" customWidth="1"/>
    <col min="3617" max="3627" width="0" style="92" hidden="1" customWidth="1"/>
    <col min="3628" max="3848" width="9.140625" style="92"/>
    <col min="3849" max="3849" width="54.140625" style="92" bestFit="1" customWidth="1"/>
    <col min="3850" max="3850" width="14.7109375" style="92" customWidth="1"/>
    <col min="3851" max="3851" width="10.140625" style="92" customWidth="1"/>
    <col min="3852" max="3852" width="10.42578125" style="92" bestFit="1" customWidth="1"/>
    <col min="3853" max="3854" width="9.42578125" style="92" bestFit="1" customWidth="1"/>
    <col min="3855" max="3856" width="9.42578125" style="92" customWidth="1"/>
    <col min="3857" max="3857" width="10.140625" style="92" bestFit="1" customWidth="1"/>
    <col min="3858" max="3861" width="9.140625" style="92"/>
    <col min="3862" max="3862" width="7.28515625" style="92" customWidth="1"/>
    <col min="3863" max="3865" width="7.42578125" style="92" customWidth="1"/>
    <col min="3866" max="3866" width="10.42578125" style="92" bestFit="1" customWidth="1"/>
    <col min="3867" max="3867" width="12" style="92" bestFit="1" customWidth="1"/>
    <col min="3868" max="3868" width="11" style="92" bestFit="1" customWidth="1"/>
    <col min="3869" max="3870" width="11" style="92" customWidth="1"/>
    <col min="3871" max="3871" width="10" style="92" bestFit="1" customWidth="1"/>
    <col min="3872" max="3872" width="14.42578125" style="92" bestFit="1" customWidth="1"/>
    <col min="3873" max="3883" width="0" style="92" hidden="1" customWidth="1"/>
    <col min="3884" max="4104" width="9.140625" style="92"/>
    <col min="4105" max="4105" width="54.140625" style="92" bestFit="1" customWidth="1"/>
    <col min="4106" max="4106" width="14.7109375" style="92" customWidth="1"/>
    <col min="4107" max="4107" width="10.140625" style="92" customWidth="1"/>
    <col min="4108" max="4108" width="10.42578125" style="92" bestFit="1" customWidth="1"/>
    <col min="4109" max="4110" width="9.42578125" style="92" bestFit="1" customWidth="1"/>
    <col min="4111" max="4112" width="9.42578125" style="92" customWidth="1"/>
    <col min="4113" max="4113" width="10.140625" style="92" bestFit="1" customWidth="1"/>
    <col min="4114" max="4117" width="9.140625" style="92"/>
    <col min="4118" max="4118" width="7.28515625" style="92" customWidth="1"/>
    <col min="4119" max="4121" width="7.42578125" style="92" customWidth="1"/>
    <col min="4122" max="4122" width="10.42578125" style="92" bestFit="1" customWidth="1"/>
    <col min="4123" max="4123" width="12" style="92" bestFit="1" customWidth="1"/>
    <col min="4124" max="4124" width="11" style="92" bestFit="1" customWidth="1"/>
    <col min="4125" max="4126" width="11" style="92" customWidth="1"/>
    <col min="4127" max="4127" width="10" style="92" bestFit="1" customWidth="1"/>
    <col min="4128" max="4128" width="14.42578125" style="92" bestFit="1" customWidth="1"/>
    <col min="4129" max="4139" width="0" style="92" hidden="1" customWidth="1"/>
    <col min="4140" max="4360" width="9.140625" style="92"/>
    <col min="4361" max="4361" width="54.140625" style="92" bestFit="1" customWidth="1"/>
    <col min="4362" max="4362" width="14.7109375" style="92" customWidth="1"/>
    <col min="4363" max="4363" width="10.140625" style="92" customWidth="1"/>
    <col min="4364" max="4364" width="10.42578125" style="92" bestFit="1" customWidth="1"/>
    <col min="4365" max="4366" width="9.42578125" style="92" bestFit="1" customWidth="1"/>
    <col min="4367" max="4368" width="9.42578125" style="92" customWidth="1"/>
    <col min="4369" max="4369" width="10.140625" style="92" bestFit="1" customWidth="1"/>
    <col min="4370" max="4373" width="9.140625" style="92"/>
    <col min="4374" max="4374" width="7.28515625" style="92" customWidth="1"/>
    <col min="4375" max="4377" width="7.42578125" style="92" customWidth="1"/>
    <col min="4378" max="4378" width="10.42578125" style="92" bestFit="1" customWidth="1"/>
    <col min="4379" max="4379" width="12" style="92" bestFit="1" customWidth="1"/>
    <col min="4380" max="4380" width="11" style="92" bestFit="1" customWidth="1"/>
    <col min="4381" max="4382" width="11" style="92" customWidth="1"/>
    <col min="4383" max="4383" width="10" style="92" bestFit="1" customWidth="1"/>
    <col min="4384" max="4384" width="14.42578125" style="92" bestFit="1" customWidth="1"/>
    <col min="4385" max="4395" width="0" style="92" hidden="1" customWidth="1"/>
    <col min="4396" max="4616" width="9.140625" style="92"/>
    <col min="4617" max="4617" width="54.140625" style="92" bestFit="1" customWidth="1"/>
    <col min="4618" max="4618" width="14.7109375" style="92" customWidth="1"/>
    <col min="4619" max="4619" width="10.140625" style="92" customWidth="1"/>
    <col min="4620" max="4620" width="10.42578125" style="92" bestFit="1" customWidth="1"/>
    <col min="4621" max="4622" width="9.42578125" style="92" bestFit="1" customWidth="1"/>
    <col min="4623" max="4624" width="9.42578125" style="92" customWidth="1"/>
    <col min="4625" max="4625" width="10.140625" style="92" bestFit="1" customWidth="1"/>
    <col min="4626" max="4629" width="9.140625" style="92"/>
    <col min="4630" max="4630" width="7.28515625" style="92" customWidth="1"/>
    <col min="4631" max="4633" width="7.42578125" style="92" customWidth="1"/>
    <col min="4634" max="4634" width="10.42578125" style="92" bestFit="1" customWidth="1"/>
    <col min="4635" max="4635" width="12" style="92" bestFit="1" customWidth="1"/>
    <col min="4636" max="4636" width="11" style="92" bestFit="1" customWidth="1"/>
    <col min="4637" max="4638" width="11" style="92" customWidth="1"/>
    <col min="4639" max="4639" width="10" style="92" bestFit="1" customWidth="1"/>
    <col min="4640" max="4640" width="14.42578125" style="92" bestFit="1" customWidth="1"/>
    <col min="4641" max="4651" width="0" style="92" hidden="1" customWidth="1"/>
    <col min="4652" max="4872" width="9.140625" style="92"/>
    <col min="4873" max="4873" width="54.140625" style="92" bestFit="1" customWidth="1"/>
    <col min="4874" max="4874" width="14.7109375" style="92" customWidth="1"/>
    <col min="4875" max="4875" width="10.140625" style="92" customWidth="1"/>
    <col min="4876" max="4876" width="10.42578125" style="92" bestFit="1" customWidth="1"/>
    <col min="4877" max="4878" width="9.42578125" style="92" bestFit="1" customWidth="1"/>
    <col min="4879" max="4880" width="9.42578125" style="92" customWidth="1"/>
    <col min="4881" max="4881" width="10.140625" style="92" bestFit="1" customWidth="1"/>
    <col min="4882" max="4885" width="9.140625" style="92"/>
    <col min="4886" max="4886" width="7.28515625" style="92" customWidth="1"/>
    <col min="4887" max="4889" width="7.42578125" style="92" customWidth="1"/>
    <col min="4890" max="4890" width="10.42578125" style="92" bestFit="1" customWidth="1"/>
    <col min="4891" max="4891" width="12" style="92" bestFit="1" customWidth="1"/>
    <col min="4892" max="4892" width="11" style="92" bestFit="1" customWidth="1"/>
    <col min="4893" max="4894" width="11" style="92" customWidth="1"/>
    <col min="4895" max="4895" width="10" style="92" bestFit="1" customWidth="1"/>
    <col min="4896" max="4896" width="14.42578125" style="92" bestFit="1" customWidth="1"/>
    <col min="4897" max="4907" width="0" style="92" hidden="1" customWidth="1"/>
    <col min="4908" max="5128" width="9.140625" style="92"/>
    <col min="5129" max="5129" width="54.140625" style="92" bestFit="1" customWidth="1"/>
    <col min="5130" max="5130" width="14.7109375" style="92" customWidth="1"/>
    <col min="5131" max="5131" width="10.140625" style="92" customWidth="1"/>
    <col min="5132" max="5132" width="10.42578125" style="92" bestFit="1" customWidth="1"/>
    <col min="5133" max="5134" width="9.42578125" style="92" bestFit="1" customWidth="1"/>
    <col min="5135" max="5136" width="9.42578125" style="92" customWidth="1"/>
    <col min="5137" max="5137" width="10.140625" style="92" bestFit="1" customWidth="1"/>
    <col min="5138" max="5141" width="9.140625" style="92"/>
    <col min="5142" max="5142" width="7.28515625" style="92" customWidth="1"/>
    <col min="5143" max="5145" width="7.42578125" style="92" customWidth="1"/>
    <col min="5146" max="5146" width="10.42578125" style="92" bestFit="1" customWidth="1"/>
    <col min="5147" max="5147" width="12" style="92" bestFit="1" customWidth="1"/>
    <col min="5148" max="5148" width="11" style="92" bestFit="1" customWidth="1"/>
    <col min="5149" max="5150" width="11" style="92" customWidth="1"/>
    <col min="5151" max="5151" width="10" style="92" bestFit="1" customWidth="1"/>
    <col min="5152" max="5152" width="14.42578125" style="92" bestFit="1" customWidth="1"/>
    <col min="5153" max="5163" width="0" style="92" hidden="1" customWidth="1"/>
    <col min="5164" max="5384" width="9.140625" style="92"/>
    <col min="5385" max="5385" width="54.140625" style="92" bestFit="1" customWidth="1"/>
    <col min="5386" max="5386" width="14.7109375" style="92" customWidth="1"/>
    <col min="5387" max="5387" width="10.140625" style="92" customWidth="1"/>
    <col min="5388" max="5388" width="10.42578125" style="92" bestFit="1" customWidth="1"/>
    <col min="5389" max="5390" width="9.42578125" style="92" bestFit="1" customWidth="1"/>
    <col min="5391" max="5392" width="9.42578125" style="92" customWidth="1"/>
    <col min="5393" max="5393" width="10.140625" style="92" bestFit="1" customWidth="1"/>
    <col min="5394" max="5397" width="9.140625" style="92"/>
    <col min="5398" max="5398" width="7.28515625" style="92" customWidth="1"/>
    <col min="5399" max="5401" width="7.42578125" style="92" customWidth="1"/>
    <col min="5402" max="5402" width="10.42578125" style="92" bestFit="1" customWidth="1"/>
    <col min="5403" max="5403" width="12" style="92" bestFit="1" customWidth="1"/>
    <col min="5404" max="5404" width="11" style="92" bestFit="1" customWidth="1"/>
    <col min="5405" max="5406" width="11" style="92" customWidth="1"/>
    <col min="5407" max="5407" width="10" style="92" bestFit="1" customWidth="1"/>
    <col min="5408" max="5408" width="14.42578125" style="92" bestFit="1" customWidth="1"/>
    <col min="5409" max="5419" width="0" style="92" hidden="1" customWidth="1"/>
    <col min="5420" max="5640" width="9.140625" style="92"/>
    <col min="5641" max="5641" width="54.140625" style="92" bestFit="1" customWidth="1"/>
    <col min="5642" max="5642" width="14.7109375" style="92" customWidth="1"/>
    <col min="5643" max="5643" width="10.140625" style="92" customWidth="1"/>
    <col min="5644" max="5644" width="10.42578125" style="92" bestFit="1" customWidth="1"/>
    <col min="5645" max="5646" width="9.42578125" style="92" bestFit="1" customWidth="1"/>
    <col min="5647" max="5648" width="9.42578125" style="92" customWidth="1"/>
    <col min="5649" max="5649" width="10.140625" style="92" bestFit="1" customWidth="1"/>
    <col min="5650" max="5653" width="9.140625" style="92"/>
    <col min="5654" max="5654" width="7.28515625" style="92" customWidth="1"/>
    <col min="5655" max="5657" width="7.42578125" style="92" customWidth="1"/>
    <col min="5658" max="5658" width="10.42578125" style="92" bestFit="1" customWidth="1"/>
    <col min="5659" max="5659" width="12" style="92" bestFit="1" customWidth="1"/>
    <col min="5660" max="5660" width="11" style="92" bestFit="1" customWidth="1"/>
    <col min="5661" max="5662" width="11" style="92" customWidth="1"/>
    <col min="5663" max="5663" width="10" style="92" bestFit="1" customWidth="1"/>
    <col min="5664" max="5664" width="14.42578125" style="92" bestFit="1" customWidth="1"/>
    <col min="5665" max="5675" width="0" style="92" hidden="1" customWidth="1"/>
    <col min="5676" max="5896" width="9.140625" style="92"/>
    <col min="5897" max="5897" width="54.140625" style="92" bestFit="1" customWidth="1"/>
    <col min="5898" max="5898" width="14.7109375" style="92" customWidth="1"/>
    <col min="5899" max="5899" width="10.140625" style="92" customWidth="1"/>
    <col min="5900" max="5900" width="10.42578125" style="92" bestFit="1" customWidth="1"/>
    <col min="5901" max="5902" width="9.42578125" style="92" bestFit="1" customWidth="1"/>
    <col min="5903" max="5904" width="9.42578125" style="92" customWidth="1"/>
    <col min="5905" max="5905" width="10.140625" style="92" bestFit="1" customWidth="1"/>
    <col min="5906" max="5909" width="9.140625" style="92"/>
    <col min="5910" max="5910" width="7.28515625" style="92" customWidth="1"/>
    <col min="5911" max="5913" width="7.42578125" style="92" customWidth="1"/>
    <col min="5914" max="5914" width="10.42578125" style="92" bestFit="1" customWidth="1"/>
    <col min="5915" max="5915" width="12" style="92" bestFit="1" customWidth="1"/>
    <col min="5916" max="5916" width="11" style="92" bestFit="1" customWidth="1"/>
    <col min="5917" max="5918" width="11" style="92" customWidth="1"/>
    <col min="5919" max="5919" width="10" style="92" bestFit="1" customWidth="1"/>
    <col min="5920" max="5920" width="14.42578125" style="92" bestFit="1" customWidth="1"/>
    <col min="5921" max="5931" width="0" style="92" hidden="1" customWidth="1"/>
    <col min="5932" max="6152" width="9.140625" style="92"/>
    <col min="6153" max="6153" width="54.140625" style="92" bestFit="1" customWidth="1"/>
    <col min="6154" max="6154" width="14.7109375" style="92" customWidth="1"/>
    <col min="6155" max="6155" width="10.140625" style="92" customWidth="1"/>
    <col min="6156" max="6156" width="10.42578125" style="92" bestFit="1" customWidth="1"/>
    <col min="6157" max="6158" width="9.42578125" style="92" bestFit="1" customWidth="1"/>
    <col min="6159" max="6160" width="9.42578125" style="92" customWidth="1"/>
    <col min="6161" max="6161" width="10.140625" style="92" bestFit="1" customWidth="1"/>
    <col min="6162" max="6165" width="9.140625" style="92"/>
    <col min="6166" max="6166" width="7.28515625" style="92" customWidth="1"/>
    <col min="6167" max="6169" width="7.42578125" style="92" customWidth="1"/>
    <col min="6170" max="6170" width="10.42578125" style="92" bestFit="1" customWidth="1"/>
    <col min="6171" max="6171" width="12" style="92" bestFit="1" customWidth="1"/>
    <col min="6172" max="6172" width="11" style="92" bestFit="1" customWidth="1"/>
    <col min="6173" max="6174" width="11" style="92" customWidth="1"/>
    <col min="6175" max="6175" width="10" style="92" bestFit="1" customWidth="1"/>
    <col min="6176" max="6176" width="14.42578125" style="92" bestFit="1" customWidth="1"/>
    <col min="6177" max="6187" width="0" style="92" hidden="1" customWidth="1"/>
    <col min="6188" max="6408" width="9.140625" style="92"/>
    <col min="6409" max="6409" width="54.140625" style="92" bestFit="1" customWidth="1"/>
    <col min="6410" max="6410" width="14.7109375" style="92" customWidth="1"/>
    <col min="6411" max="6411" width="10.140625" style="92" customWidth="1"/>
    <col min="6412" max="6412" width="10.42578125" style="92" bestFit="1" customWidth="1"/>
    <col min="6413" max="6414" width="9.42578125" style="92" bestFit="1" customWidth="1"/>
    <col min="6415" max="6416" width="9.42578125" style="92" customWidth="1"/>
    <col min="6417" max="6417" width="10.140625" style="92" bestFit="1" customWidth="1"/>
    <col min="6418" max="6421" width="9.140625" style="92"/>
    <col min="6422" max="6422" width="7.28515625" style="92" customWidth="1"/>
    <col min="6423" max="6425" width="7.42578125" style="92" customWidth="1"/>
    <col min="6426" max="6426" width="10.42578125" style="92" bestFit="1" customWidth="1"/>
    <col min="6427" max="6427" width="12" style="92" bestFit="1" customWidth="1"/>
    <col min="6428" max="6428" width="11" style="92" bestFit="1" customWidth="1"/>
    <col min="6429" max="6430" width="11" style="92" customWidth="1"/>
    <col min="6431" max="6431" width="10" style="92" bestFit="1" customWidth="1"/>
    <col min="6432" max="6432" width="14.42578125" style="92" bestFit="1" customWidth="1"/>
    <col min="6433" max="6443" width="0" style="92" hidden="1" customWidth="1"/>
    <col min="6444" max="6664" width="9.140625" style="92"/>
    <col min="6665" max="6665" width="54.140625" style="92" bestFit="1" customWidth="1"/>
    <col min="6666" max="6666" width="14.7109375" style="92" customWidth="1"/>
    <col min="6667" max="6667" width="10.140625" style="92" customWidth="1"/>
    <col min="6668" max="6668" width="10.42578125" style="92" bestFit="1" customWidth="1"/>
    <col min="6669" max="6670" width="9.42578125" style="92" bestFit="1" customWidth="1"/>
    <col min="6671" max="6672" width="9.42578125" style="92" customWidth="1"/>
    <col min="6673" max="6673" width="10.140625" style="92" bestFit="1" customWidth="1"/>
    <col min="6674" max="6677" width="9.140625" style="92"/>
    <col min="6678" max="6678" width="7.28515625" style="92" customWidth="1"/>
    <col min="6679" max="6681" width="7.42578125" style="92" customWidth="1"/>
    <col min="6682" max="6682" width="10.42578125" style="92" bestFit="1" customWidth="1"/>
    <col min="6683" max="6683" width="12" style="92" bestFit="1" customWidth="1"/>
    <col min="6684" max="6684" width="11" style="92" bestFit="1" customWidth="1"/>
    <col min="6685" max="6686" width="11" style="92" customWidth="1"/>
    <col min="6687" max="6687" width="10" style="92" bestFit="1" customWidth="1"/>
    <col min="6688" max="6688" width="14.42578125" style="92" bestFit="1" customWidth="1"/>
    <col min="6689" max="6699" width="0" style="92" hidden="1" customWidth="1"/>
    <col min="6700" max="6920" width="9.140625" style="92"/>
    <col min="6921" max="6921" width="54.140625" style="92" bestFit="1" customWidth="1"/>
    <col min="6922" max="6922" width="14.7109375" style="92" customWidth="1"/>
    <col min="6923" max="6923" width="10.140625" style="92" customWidth="1"/>
    <col min="6924" max="6924" width="10.42578125" style="92" bestFit="1" customWidth="1"/>
    <col min="6925" max="6926" width="9.42578125" style="92" bestFit="1" customWidth="1"/>
    <col min="6927" max="6928" width="9.42578125" style="92" customWidth="1"/>
    <col min="6929" max="6929" width="10.140625" style="92" bestFit="1" customWidth="1"/>
    <col min="6930" max="6933" width="9.140625" style="92"/>
    <col min="6934" max="6934" width="7.28515625" style="92" customWidth="1"/>
    <col min="6935" max="6937" width="7.42578125" style="92" customWidth="1"/>
    <col min="6938" max="6938" width="10.42578125" style="92" bestFit="1" customWidth="1"/>
    <col min="6939" max="6939" width="12" style="92" bestFit="1" customWidth="1"/>
    <col min="6940" max="6940" width="11" style="92" bestFit="1" customWidth="1"/>
    <col min="6941" max="6942" width="11" style="92" customWidth="1"/>
    <col min="6943" max="6943" width="10" style="92" bestFit="1" customWidth="1"/>
    <col min="6944" max="6944" width="14.42578125" style="92" bestFit="1" customWidth="1"/>
    <col min="6945" max="6955" width="0" style="92" hidden="1" customWidth="1"/>
    <col min="6956" max="7176" width="9.140625" style="92"/>
    <col min="7177" max="7177" width="54.140625" style="92" bestFit="1" customWidth="1"/>
    <col min="7178" max="7178" width="14.7109375" style="92" customWidth="1"/>
    <col min="7179" max="7179" width="10.140625" style="92" customWidth="1"/>
    <col min="7180" max="7180" width="10.42578125" style="92" bestFit="1" customWidth="1"/>
    <col min="7181" max="7182" width="9.42578125" style="92" bestFit="1" customWidth="1"/>
    <col min="7183" max="7184" width="9.42578125" style="92" customWidth="1"/>
    <col min="7185" max="7185" width="10.140625" style="92" bestFit="1" customWidth="1"/>
    <col min="7186" max="7189" width="9.140625" style="92"/>
    <col min="7190" max="7190" width="7.28515625" style="92" customWidth="1"/>
    <col min="7191" max="7193" width="7.42578125" style="92" customWidth="1"/>
    <col min="7194" max="7194" width="10.42578125" style="92" bestFit="1" customWidth="1"/>
    <col min="7195" max="7195" width="12" style="92" bestFit="1" customWidth="1"/>
    <col min="7196" max="7196" width="11" style="92" bestFit="1" customWidth="1"/>
    <col min="7197" max="7198" width="11" style="92" customWidth="1"/>
    <col min="7199" max="7199" width="10" style="92" bestFit="1" customWidth="1"/>
    <col min="7200" max="7200" width="14.42578125" style="92" bestFit="1" customWidth="1"/>
    <col min="7201" max="7211" width="0" style="92" hidden="1" customWidth="1"/>
    <col min="7212" max="7432" width="9.140625" style="92"/>
    <col min="7433" max="7433" width="54.140625" style="92" bestFit="1" customWidth="1"/>
    <col min="7434" max="7434" width="14.7109375" style="92" customWidth="1"/>
    <col min="7435" max="7435" width="10.140625" style="92" customWidth="1"/>
    <col min="7436" max="7436" width="10.42578125" style="92" bestFit="1" customWidth="1"/>
    <col min="7437" max="7438" width="9.42578125" style="92" bestFit="1" customWidth="1"/>
    <col min="7439" max="7440" width="9.42578125" style="92" customWidth="1"/>
    <col min="7441" max="7441" width="10.140625" style="92" bestFit="1" customWidth="1"/>
    <col min="7442" max="7445" width="9.140625" style="92"/>
    <col min="7446" max="7446" width="7.28515625" style="92" customWidth="1"/>
    <col min="7447" max="7449" width="7.42578125" style="92" customWidth="1"/>
    <col min="7450" max="7450" width="10.42578125" style="92" bestFit="1" customWidth="1"/>
    <col min="7451" max="7451" width="12" style="92" bestFit="1" customWidth="1"/>
    <col min="7452" max="7452" width="11" style="92" bestFit="1" customWidth="1"/>
    <col min="7453" max="7454" width="11" style="92" customWidth="1"/>
    <col min="7455" max="7455" width="10" style="92" bestFit="1" customWidth="1"/>
    <col min="7456" max="7456" width="14.42578125" style="92" bestFit="1" customWidth="1"/>
    <col min="7457" max="7467" width="0" style="92" hidden="1" customWidth="1"/>
    <col min="7468" max="7688" width="9.140625" style="92"/>
    <col min="7689" max="7689" width="54.140625" style="92" bestFit="1" customWidth="1"/>
    <col min="7690" max="7690" width="14.7109375" style="92" customWidth="1"/>
    <col min="7691" max="7691" width="10.140625" style="92" customWidth="1"/>
    <col min="7692" max="7692" width="10.42578125" style="92" bestFit="1" customWidth="1"/>
    <col min="7693" max="7694" width="9.42578125" style="92" bestFit="1" customWidth="1"/>
    <col min="7695" max="7696" width="9.42578125" style="92" customWidth="1"/>
    <col min="7697" max="7697" width="10.140625" style="92" bestFit="1" customWidth="1"/>
    <col min="7698" max="7701" width="9.140625" style="92"/>
    <col min="7702" max="7702" width="7.28515625" style="92" customWidth="1"/>
    <col min="7703" max="7705" width="7.42578125" style="92" customWidth="1"/>
    <col min="7706" max="7706" width="10.42578125" style="92" bestFit="1" customWidth="1"/>
    <col min="7707" max="7707" width="12" style="92" bestFit="1" customWidth="1"/>
    <col min="7708" max="7708" width="11" style="92" bestFit="1" customWidth="1"/>
    <col min="7709" max="7710" width="11" style="92" customWidth="1"/>
    <col min="7711" max="7711" width="10" style="92" bestFit="1" customWidth="1"/>
    <col min="7712" max="7712" width="14.42578125" style="92" bestFit="1" customWidth="1"/>
    <col min="7713" max="7723" width="0" style="92" hidden="1" customWidth="1"/>
    <col min="7724" max="7944" width="9.140625" style="92"/>
    <col min="7945" max="7945" width="54.140625" style="92" bestFit="1" customWidth="1"/>
    <col min="7946" max="7946" width="14.7109375" style="92" customWidth="1"/>
    <col min="7947" max="7947" width="10.140625" style="92" customWidth="1"/>
    <col min="7948" max="7948" width="10.42578125" style="92" bestFit="1" customWidth="1"/>
    <col min="7949" max="7950" width="9.42578125" style="92" bestFit="1" customWidth="1"/>
    <col min="7951" max="7952" width="9.42578125" style="92" customWidth="1"/>
    <col min="7953" max="7953" width="10.140625" style="92" bestFit="1" customWidth="1"/>
    <col min="7954" max="7957" width="9.140625" style="92"/>
    <col min="7958" max="7958" width="7.28515625" style="92" customWidth="1"/>
    <col min="7959" max="7961" width="7.42578125" style="92" customWidth="1"/>
    <col min="7962" max="7962" width="10.42578125" style="92" bestFit="1" customWidth="1"/>
    <col min="7963" max="7963" width="12" style="92" bestFit="1" customWidth="1"/>
    <col min="7964" max="7964" width="11" style="92" bestFit="1" customWidth="1"/>
    <col min="7965" max="7966" width="11" style="92" customWidth="1"/>
    <col min="7967" max="7967" width="10" style="92" bestFit="1" customWidth="1"/>
    <col min="7968" max="7968" width="14.42578125" style="92" bestFit="1" customWidth="1"/>
    <col min="7969" max="7979" width="0" style="92" hidden="1" customWidth="1"/>
    <col min="7980" max="8200" width="9.140625" style="92"/>
    <col min="8201" max="8201" width="54.140625" style="92" bestFit="1" customWidth="1"/>
    <col min="8202" max="8202" width="14.7109375" style="92" customWidth="1"/>
    <col min="8203" max="8203" width="10.140625" style="92" customWidth="1"/>
    <col min="8204" max="8204" width="10.42578125" style="92" bestFit="1" customWidth="1"/>
    <col min="8205" max="8206" width="9.42578125" style="92" bestFit="1" customWidth="1"/>
    <col min="8207" max="8208" width="9.42578125" style="92" customWidth="1"/>
    <col min="8209" max="8209" width="10.140625" style="92" bestFit="1" customWidth="1"/>
    <col min="8210" max="8213" width="9.140625" style="92"/>
    <col min="8214" max="8214" width="7.28515625" style="92" customWidth="1"/>
    <col min="8215" max="8217" width="7.42578125" style="92" customWidth="1"/>
    <col min="8218" max="8218" width="10.42578125" style="92" bestFit="1" customWidth="1"/>
    <col min="8219" max="8219" width="12" style="92" bestFit="1" customWidth="1"/>
    <col min="8220" max="8220" width="11" style="92" bestFit="1" customWidth="1"/>
    <col min="8221" max="8222" width="11" style="92" customWidth="1"/>
    <col min="8223" max="8223" width="10" style="92" bestFit="1" customWidth="1"/>
    <col min="8224" max="8224" width="14.42578125" style="92" bestFit="1" customWidth="1"/>
    <col min="8225" max="8235" width="0" style="92" hidden="1" customWidth="1"/>
    <col min="8236" max="8456" width="9.140625" style="92"/>
    <col min="8457" max="8457" width="54.140625" style="92" bestFit="1" customWidth="1"/>
    <col min="8458" max="8458" width="14.7109375" style="92" customWidth="1"/>
    <col min="8459" max="8459" width="10.140625" style="92" customWidth="1"/>
    <col min="8460" max="8460" width="10.42578125" style="92" bestFit="1" customWidth="1"/>
    <col min="8461" max="8462" width="9.42578125" style="92" bestFit="1" customWidth="1"/>
    <col min="8463" max="8464" width="9.42578125" style="92" customWidth="1"/>
    <col min="8465" max="8465" width="10.140625" style="92" bestFit="1" customWidth="1"/>
    <col min="8466" max="8469" width="9.140625" style="92"/>
    <col min="8470" max="8470" width="7.28515625" style="92" customWidth="1"/>
    <col min="8471" max="8473" width="7.42578125" style="92" customWidth="1"/>
    <col min="8474" max="8474" width="10.42578125" style="92" bestFit="1" customWidth="1"/>
    <col min="8475" max="8475" width="12" style="92" bestFit="1" customWidth="1"/>
    <col min="8476" max="8476" width="11" style="92" bestFit="1" customWidth="1"/>
    <col min="8477" max="8478" width="11" style="92" customWidth="1"/>
    <col min="8479" max="8479" width="10" style="92" bestFit="1" customWidth="1"/>
    <col min="8480" max="8480" width="14.42578125" style="92" bestFit="1" customWidth="1"/>
    <col min="8481" max="8491" width="0" style="92" hidden="1" customWidth="1"/>
    <col min="8492" max="8712" width="9.140625" style="92"/>
    <col min="8713" max="8713" width="54.140625" style="92" bestFit="1" customWidth="1"/>
    <col min="8714" max="8714" width="14.7109375" style="92" customWidth="1"/>
    <col min="8715" max="8715" width="10.140625" style="92" customWidth="1"/>
    <col min="8716" max="8716" width="10.42578125" style="92" bestFit="1" customWidth="1"/>
    <col min="8717" max="8718" width="9.42578125" style="92" bestFit="1" customWidth="1"/>
    <col min="8719" max="8720" width="9.42578125" style="92" customWidth="1"/>
    <col min="8721" max="8721" width="10.140625" style="92" bestFit="1" customWidth="1"/>
    <col min="8722" max="8725" width="9.140625" style="92"/>
    <col min="8726" max="8726" width="7.28515625" style="92" customWidth="1"/>
    <col min="8727" max="8729" width="7.42578125" style="92" customWidth="1"/>
    <col min="8730" max="8730" width="10.42578125" style="92" bestFit="1" customWidth="1"/>
    <col min="8731" max="8731" width="12" style="92" bestFit="1" customWidth="1"/>
    <col min="8732" max="8732" width="11" style="92" bestFit="1" customWidth="1"/>
    <col min="8733" max="8734" width="11" style="92" customWidth="1"/>
    <col min="8735" max="8735" width="10" style="92" bestFit="1" customWidth="1"/>
    <col min="8736" max="8736" width="14.42578125" style="92" bestFit="1" customWidth="1"/>
    <col min="8737" max="8747" width="0" style="92" hidden="1" customWidth="1"/>
    <col min="8748" max="8968" width="9.140625" style="92"/>
    <col min="8969" max="8969" width="54.140625" style="92" bestFit="1" customWidth="1"/>
    <col min="8970" max="8970" width="14.7109375" style="92" customWidth="1"/>
    <col min="8971" max="8971" width="10.140625" style="92" customWidth="1"/>
    <col min="8972" max="8972" width="10.42578125" style="92" bestFit="1" customWidth="1"/>
    <col min="8973" max="8974" width="9.42578125" style="92" bestFit="1" customWidth="1"/>
    <col min="8975" max="8976" width="9.42578125" style="92" customWidth="1"/>
    <col min="8977" max="8977" width="10.140625" style="92" bestFit="1" customWidth="1"/>
    <col min="8978" max="8981" width="9.140625" style="92"/>
    <col min="8982" max="8982" width="7.28515625" style="92" customWidth="1"/>
    <col min="8983" max="8985" width="7.42578125" style="92" customWidth="1"/>
    <col min="8986" max="8986" width="10.42578125" style="92" bestFit="1" customWidth="1"/>
    <col min="8987" max="8987" width="12" style="92" bestFit="1" customWidth="1"/>
    <col min="8988" max="8988" width="11" style="92" bestFit="1" customWidth="1"/>
    <col min="8989" max="8990" width="11" style="92" customWidth="1"/>
    <col min="8991" max="8991" width="10" style="92" bestFit="1" customWidth="1"/>
    <col min="8992" max="8992" width="14.42578125" style="92" bestFit="1" customWidth="1"/>
    <col min="8993" max="9003" width="0" style="92" hidden="1" customWidth="1"/>
    <col min="9004" max="9224" width="9.140625" style="92"/>
    <col min="9225" max="9225" width="54.140625" style="92" bestFit="1" customWidth="1"/>
    <col min="9226" max="9226" width="14.7109375" style="92" customWidth="1"/>
    <col min="9227" max="9227" width="10.140625" style="92" customWidth="1"/>
    <col min="9228" max="9228" width="10.42578125" style="92" bestFit="1" customWidth="1"/>
    <col min="9229" max="9230" width="9.42578125" style="92" bestFit="1" customWidth="1"/>
    <col min="9231" max="9232" width="9.42578125" style="92" customWidth="1"/>
    <col min="9233" max="9233" width="10.140625" style="92" bestFit="1" customWidth="1"/>
    <col min="9234" max="9237" width="9.140625" style="92"/>
    <col min="9238" max="9238" width="7.28515625" style="92" customWidth="1"/>
    <col min="9239" max="9241" width="7.42578125" style="92" customWidth="1"/>
    <col min="9242" max="9242" width="10.42578125" style="92" bestFit="1" customWidth="1"/>
    <col min="9243" max="9243" width="12" style="92" bestFit="1" customWidth="1"/>
    <col min="9244" max="9244" width="11" style="92" bestFit="1" customWidth="1"/>
    <col min="9245" max="9246" width="11" style="92" customWidth="1"/>
    <col min="9247" max="9247" width="10" style="92" bestFit="1" customWidth="1"/>
    <col min="9248" max="9248" width="14.42578125" style="92" bestFit="1" customWidth="1"/>
    <col min="9249" max="9259" width="0" style="92" hidden="1" customWidth="1"/>
    <col min="9260" max="9480" width="9.140625" style="92"/>
    <col min="9481" max="9481" width="54.140625" style="92" bestFit="1" customWidth="1"/>
    <col min="9482" max="9482" width="14.7109375" style="92" customWidth="1"/>
    <col min="9483" max="9483" width="10.140625" style="92" customWidth="1"/>
    <col min="9484" max="9484" width="10.42578125" style="92" bestFit="1" customWidth="1"/>
    <col min="9485" max="9486" width="9.42578125" style="92" bestFit="1" customWidth="1"/>
    <col min="9487" max="9488" width="9.42578125" style="92" customWidth="1"/>
    <col min="9489" max="9489" width="10.140625" style="92" bestFit="1" customWidth="1"/>
    <col min="9490" max="9493" width="9.140625" style="92"/>
    <col min="9494" max="9494" width="7.28515625" style="92" customWidth="1"/>
    <col min="9495" max="9497" width="7.42578125" style="92" customWidth="1"/>
    <col min="9498" max="9498" width="10.42578125" style="92" bestFit="1" customWidth="1"/>
    <col min="9499" max="9499" width="12" style="92" bestFit="1" customWidth="1"/>
    <col min="9500" max="9500" width="11" style="92" bestFit="1" customWidth="1"/>
    <col min="9501" max="9502" width="11" style="92" customWidth="1"/>
    <col min="9503" max="9503" width="10" style="92" bestFit="1" customWidth="1"/>
    <col min="9504" max="9504" width="14.42578125" style="92" bestFit="1" customWidth="1"/>
    <col min="9505" max="9515" width="0" style="92" hidden="1" customWidth="1"/>
    <col min="9516" max="9736" width="9.140625" style="92"/>
    <col min="9737" max="9737" width="54.140625" style="92" bestFit="1" customWidth="1"/>
    <col min="9738" max="9738" width="14.7109375" style="92" customWidth="1"/>
    <col min="9739" max="9739" width="10.140625" style="92" customWidth="1"/>
    <col min="9740" max="9740" width="10.42578125" style="92" bestFit="1" customWidth="1"/>
    <col min="9741" max="9742" width="9.42578125" style="92" bestFit="1" customWidth="1"/>
    <col min="9743" max="9744" width="9.42578125" style="92" customWidth="1"/>
    <col min="9745" max="9745" width="10.140625" style="92" bestFit="1" customWidth="1"/>
    <col min="9746" max="9749" width="9.140625" style="92"/>
    <col min="9750" max="9750" width="7.28515625" style="92" customWidth="1"/>
    <col min="9751" max="9753" width="7.42578125" style="92" customWidth="1"/>
    <col min="9754" max="9754" width="10.42578125" style="92" bestFit="1" customWidth="1"/>
    <col min="9755" max="9755" width="12" style="92" bestFit="1" customWidth="1"/>
    <col min="9756" max="9756" width="11" style="92" bestFit="1" customWidth="1"/>
    <col min="9757" max="9758" width="11" style="92" customWidth="1"/>
    <col min="9759" max="9759" width="10" style="92" bestFit="1" customWidth="1"/>
    <col min="9760" max="9760" width="14.42578125" style="92" bestFit="1" customWidth="1"/>
    <col min="9761" max="9771" width="0" style="92" hidden="1" customWidth="1"/>
    <col min="9772" max="9992" width="9.140625" style="92"/>
    <col min="9993" max="9993" width="54.140625" style="92" bestFit="1" customWidth="1"/>
    <col min="9994" max="9994" width="14.7109375" style="92" customWidth="1"/>
    <col min="9995" max="9995" width="10.140625" style="92" customWidth="1"/>
    <col min="9996" max="9996" width="10.42578125" style="92" bestFit="1" customWidth="1"/>
    <col min="9997" max="9998" width="9.42578125" style="92" bestFit="1" customWidth="1"/>
    <col min="9999" max="10000" width="9.42578125" style="92" customWidth="1"/>
    <col min="10001" max="10001" width="10.140625" style="92" bestFit="1" customWidth="1"/>
    <col min="10002" max="10005" width="9.140625" style="92"/>
    <col min="10006" max="10006" width="7.28515625" style="92" customWidth="1"/>
    <col min="10007" max="10009" width="7.42578125" style="92" customWidth="1"/>
    <col min="10010" max="10010" width="10.42578125" style="92" bestFit="1" customWidth="1"/>
    <col min="10011" max="10011" width="12" style="92" bestFit="1" customWidth="1"/>
    <col min="10012" max="10012" width="11" style="92" bestFit="1" customWidth="1"/>
    <col min="10013" max="10014" width="11" style="92" customWidth="1"/>
    <col min="10015" max="10015" width="10" style="92" bestFit="1" customWidth="1"/>
    <col min="10016" max="10016" width="14.42578125" style="92" bestFit="1" customWidth="1"/>
    <col min="10017" max="10027" width="0" style="92" hidden="1" customWidth="1"/>
    <col min="10028" max="10248" width="9.140625" style="92"/>
    <col min="10249" max="10249" width="54.140625" style="92" bestFit="1" customWidth="1"/>
    <col min="10250" max="10250" width="14.7109375" style="92" customWidth="1"/>
    <col min="10251" max="10251" width="10.140625" style="92" customWidth="1"/>
    <col min="10252" max="10252" width="10.42578125" style="92" bestFit="1" customWidth="1"/>
    <col min="10253" max="10254" width="9.42578125" style="92" bestFit="1" customWidth="1"/>
    <col min="10255" max="10256" width="9.42578125" style="92" customWidth="1"/>
    <col min="10257" max="10257" width="10.140625" style="92" bestFit="1" customWidth="1"/>
    <col min="10258" max="10261" width="9.140625" style="92"/>
    <col min="10262" max="10262" width="7.28515625" style="92" customWidth="1"/>
    <col min="10263" max="10265" width="7.42578125" style="92" customWidth="1"/>
    <col min="10266" max="10266" width="10.42578125" style="92" bestFit="1" customWidth="1"/>
    <col min="10267" max="10267" width="12" style="92" bestFit="1" customWidth="1"/>
    <col min="10268" max="10268" width="11" style="92" bestFit="1" customWidth="1"/>
    <col min="10269" max="10270" width="11" style="92" customWidth="1"/>
    <col min="10271" max="10271" width="10" style="92" bestFit="1" customWidth="1"/>
    <col min="10272" max="10272" width="14.42578125" style="92" bestFit="1" customWidth="1"/>
    <col min="10273" max="10283" width="0" style="92" hidden="1" customWidth="1"/>
    <col min="10284" max="10504" width="9.140625" style="92"/>
    <col min="10505" max="10505" width="54.140625" style="92" bestFit="1" customWidth="1"/>
    <col min="10506" max="10506" width="14.7109375" style="92" customWidth="1"/>
    <col min="10507" max="10507" width="10.140625" style="92" customWidth="1"/>
    <col min="10508" max="10508" width="10.42578125" style="92" bestFit="1" customWidth="1"/>
    <col min="10509" max="10510" width="9.42578125" style="92" bestFit="1" customWidth="1"/>
    <col min="10511" max="10512" width="9.42578125" style="92" customWidth="1"/>
    <col min="10513" max="10513" width="10.140625" style="92" bestFit="1" customWidth="1"/>
    <col min="10514" max="10517" width="9.140625" style="92"/>
    <col min="10518" max="10518" width="7.28515625" style="92" customWidth="1"/>
    <col min="10519" max="10521" width="7.42578125" style="92" customWidth="1"/>
    <col min="10522" max="10522" width="10.42578125" style="92" bestFit="1" customWidth="1"/>
    <col min="10523" max="10523" width="12" style="92" bestFit="1" customWidth="1"/>
    <col min="10524" max="10524" width="11" style="92" bestFit="1" customWidth="1"/>
    <col min="10525" max="10526" width="11" style="92" customWidth="1"/>
    <col min="10527" max="10527" width="10" style="92" bestFit="1" customWidth="1"/>
    <col min="10528" max="10528" width="14.42578125" style="92" bestFit="1" customWidth="1"/>
    <col min="10529" max="10539" width="0" style="92" hidden="1" customWidth="1"/>
    <col min="10540" max="10760" width="9.140625" style="92"/>
    <col min="10761" max="10761" width="54.140625" style="92" bestFit="1" customWidth="1"/>
    <col min="10762" max="10762" width="14.7109375" style="92" customWidth="1"/>
    <col min="10763" max="10763" width="10.140625" style="92" customWidth="1"/>
    <col min="10764" max="10764" width="10.42578125" style="92" bestFit="1" customWidth="1"/>
    <col min="10765" max="10766" width="9.42578125" style="92" bestFit="1" customWidth="1"/>
    <col min="10767" max="10768" width="9.42578125" style="92" customWidth="1"/>
    <col min="10769" max="10769" width="10.140625" style="92" bestFit="1" customWidth="1"/>
    <col min="10770" max="10773" width="9.140625" style="92"/>
    <col min="10774" max="10774" width="7.28515625" style="92" customWidth="1"/>
    <col min="10775" max="10777" width="7.42578125" style="92" customWidth="1"/>
    <col min="10778" max="10778" width="10.42578125" style="92" bestFit="1" customWidth="1"/>
    <col min="10779" max="10779" width="12" style="92" bestFit="1" customWidth="1"/>
    <col min="10780" max="10780" width="11" style="92" bestFit="1" customWidth="1"/>
    <col min="10781" max="10782" width="11" style="92" customWidth="1"/>
    <col min="10783" max="10783" width="10" style="92" bestFit="1" customWidth="1"/>
    <col min="10784" max="10784" width="14.42578125" style="92" bestFit="1" customWidth="1"/>
    <col min="10785" max="10795" width="0" style="92" hidden="1" customWidth="1"/>
    <col min="10796" max="11016" width="9.140625" style="92"/>
    <col min="11017" max="11017" width="54.140625" style="92" bestFit="1" customWidth="1"/>
    <col min="11018" max="11018" width="14.7109375" style="92" customWidth="1"/>
    <col min="11019" max="11019" width="10.140625" style="92" customWidth="1"/>
    <col min="11020" max="11020" width="10.42578125" style="92" bestFit="1" customWidth="1"/>
    <col min="11021" max="11022" width="9.42578125" style="92" bestFit="1" customWidth="1"/>
    <col min="11023" max="11024" width="9.42578125" style="92" customWidth="1"/>
    <col min="11025" max="11025" width="10.140625" style="92" bestFit="1" customWidth="1"/>
    <col min="11026" max="11029" width="9.140625" style="92"/>
    <col min="11030" max="11030" width="7.28515625" style="92" customWidth="1"/>
    <col min="11031" max="11033" width="7.42578125" style="92" customWidth="1"/>
    <col min="11034" max="11034" width="10.42578125" style="92" bestFit="1" customWidth="1"/>
    <col min="11035" max="11035" width="12" style="92" bestFit="1" customWidth="1"/>
    <col min="11036" max="11036" width="11" style="92" bestFit="1" customWidth="1"/>
    <col min="11037" max="11038" width="11" style="92" customWidth="1"/>
    <col min="11039" max="11039" width="10" style="92" bestFit="1" customWidth="1"/>
    <col min="11040" max="11040" width="14.42578125" style="92" bestFit="1" customWidth="1"/>
    <col min="11041" max="11051" width="0" style="92" hidden="1" customWidth="1"/>
    <col min="11052" max="11272" width="9.140625" style="92"/>
    <col min="11273" max="11273" width="54.140625" style="92" bestFit="1" customWidth="1"/>
    <col min="11274" max="11274" width="14.7109375" style="92" customWidth="1"/>
    <col min="11275" max="11275" width="10.140625" style="92" customWidth="1"/>
    <col min="11276" max="11276" width="10.42578125" style="92" bestFit="1" customWidth="1"/>
    <col min="11277" max="11278" width="9.42578125" style="92" bestFit="1" customWidth="1"/>
    <col min="11279" max="11280" width="9.42578125" style="92" customWidth="1"/>
    <col min="11281" max="11281" width="10.140625" style="92" bestFit="1" customWidth="1"/>
    <col min="11282" max="11285" width="9.140625" style="92"/>
    <col min="11286" max="11286" width="7.28515625" style="92" customWidth="1"/>
    <col min="11287" max="11289" width="7.42578125" style="92" customWidth="1"/>
    <col min="11290" max="11290" width="10.42578125" style="92" bestFit="1" customWidth="1"/>
    <col min="11291" max="11291" width="12" style="92" bestFit="1" customWidth="1"/>
    <col min="11292" max="11292" width="11" style="92" bestFit="1" customWidth="1"/>
    <col min="11293" max="11294" width="11" style="92" customWidth="1"/>
    <col min="11295" max="11295" width="10" style="92" bestFit="1" customWidth="1"/>
    <col min="11296" max="11296" width="14.42578125" style="92" bestFit="1" customWidth="1"/>
    <col min="11297" max="11307" width="0" style="92" hidden="1" customWidth="1"/>
    <col min="11308" max="11528" width="9.140625" style="92"/>
    <col min="11529" max="11529" width="54.140625" style="92" bestFit="1" customWidth="1"/>
    <col min="11530" max="11530" width="14.7109375" style="92" customWidth="1"/>
    <col min="11531" max="11531" width="10.140625" style="92" customWidth="1"/>
    <col min="11532" max="11532" width="10.42578125" style="92" bestFit="1" customWidth="1"/>
    <col min="11533" max="11534" width="9.42578125" style="92" bestFit="1" customWidth="1"/>
    <col min="11535" max="11536" width="9.42578125" style="92" customWidth="1"/>
    <col min="11537" max="11537" width="10.140625" style="92" bestFit="1" customWidth="1"/>
    <col min="11538" max="11541" width="9.140625" style="92"/>
    <col min="11542" max="11542" width="7.28515625" style="92" customWidth="1"/>
    <col min="11543" max="11545" width="7.42578125" style="92" customWidth="1"/>
    <col min="11546" max="11546" width="10.42578125" style="92" bestFit="1" customWidth="1"/>
    <col min="11547" max="11547" width="12" style="92" bestFit="1" customWidth="1"/>
    <col min="11548" max="11548" width="11" style="92" bestFit="1" customWidth="1"/>
    <col min="11549" max="11550" width="11" style="92" customWidth="1"/>
    <col min="11551" max="11551" width="10" style="92" bestFit="1" customWidth="1"/>
    <col min="11552" max="11552" width="14.42578125" style="92" bestFit="1" customWidth="1"/>
    <col min="11553" max="11563" width="0" style="92" hidden="1" customWidth="1"/>
    <col min="11564" max="11784" width="9.140625" style="92"/>
    <col min="11785" max="11785" width="54.140625" style="92" bestFit="1" customWidth="1"/>
    <col min="11786" max="11786" width="14.7109375" style="92" customWidth="1"/>
    <col min="11787" max="11787" width="10.140625" style="92" customWidth="1"/>
    <col min="11788" max="11788" width="10.42578125" style="92" bestFit="1" customWidth="1"/>
    <col min="11789" max="11790" width="9.42578125" style="92" bestFit="1" customWidth="1"/>
    <col min="11791" max="11792" width="9.42578125" style="92" customWidth="1"/>
    <col min="11793" max="11793" width="10.140625" style="92" bestFit="1" customWidth="1"/>
    <col min="11794" max="11797" width="9.140625" style="92"/>
    <col min="11798" max="11798" width="7.28515625" style="92" customWidth="1"/>
    <col min="11799" max="11801" width="7.42578125" style="92" customWidth="1"/>
    <col min="11802" max="11802" width="10.42578125" style="92" bestFit="1" customWidth="1"/>
    <col min="11803" max="11803" width="12" style="92" bestFit="1" customWidth="1"/>
    <col min="11804" max="11804" width="11" style="92" bestFit="1" customWidth="1"/>
    <col min="11805" max="11806" width="11" style="92" customWidth="1"/>
    <col min="11807" max="11807" width="10" style="92" bestFit="1" customWidth="1"/>
    <col min="11808" max="11808" width="14.42578125" style="92" bestFit="1" customWidth="1"/>
    <col min="11809" max="11819" width="0" style="92" hidden="1" customWidth="1"/>
    <col min="11820" max="12040" width="9.140625" style="92"/>
    <col min="12041" max="12041" width="54.140625" style="92" bestFit="1" customWidth="1"/>
    <col min="12042" max="12042" width="14.7109375" style="92" customWidth="1"/>
    <col min="12043" max="12043" width="10.140625" style="92" customWidth="1"/>
    <col min="12044" max="12044" width="10.42578125" style="92" bestFit="1" customWidth="1"/>
    <col min="12045" max="12046" width="9.42578125" style="92" bestFit="1" customWidth="1"/>
    <col min="12047" max="12048" width="9.42578125" style="92" customWidth="1"/>
    <col min="12049" max="12049" width="10.140625" style="92" bestFit="1" customWidth="1"/>
    <col min="12050" max="12053" width="9.140625" style="92"/>
    <col min="12054" max="12054" width="7.28515625" style="92" customWidth="1"/>
    <col min="12055" max="12057" width="7.42578125" style="92" customWidth="1"/>
    <col min="12058" max="12058" width="10.42578125" style="92" bestFit="1" customWidth="1"/>
    <col min="12059" max="12059" width="12" style="92" bestFit="1" customWidth="1"/>
    <col min="12060" max="12060" width="11" style="92" bestFit="1" customWidth="1"/>
    <col min="12061" max="12062" width="11" style="92" customWidth="1"/>
    <col min="12063" max="12063" width="10" style="92" bestFit="1" customWidth="1"/>
    <col min="12064" max="12064" width="14.42578125" style="92" bestFit="1" customWidth="1"/>
    <col min="12065" max="12075" width="0" style="92" hidden="1" customWidth="1"/>
    <col min="12076" max="12296" width="9.140625" style="92"/>
    <col min="12297" max="12297" width="54.140625" style="92" bestFit="1" customWidth="1"/>
    <col min="12298" max="12298" width="14.7109375" style="92" customWidth="1"/>
    <col min="12299" max="12299" width="10.140625" style="92" customWidth="1"/>
    <col min="12300" max="12300" width="10.42578125" style="92" bestFit="1" customWidth="1"/>
    <col min="12301" max="12302" width="9.42578125" style="92" bestFit="1" customWidth="1"/>
    <col min="12303" max="12304" width="9.42578125" style="92" customWidth="1"/>
    <col min="12305" max="12305" width="10.140625" style="92" bestFit="1" customWidth="1"/>
    <col min="12306" max="12309" width="9.140625" style="92"/>
    <col min="12310" max="12310" width="7.28515625" style="92" customWidth="1"/>
    <col min="12311" max="12313" width="7.42578125" style="92" customWidth="1"/>
    <col min="12314" max="12314" width="10.42578125" style="92" bestFit="1" customWidth="1"/>
    <col min="12315" max="12315" width="12" style="92" bestFit="1" customWidth="1"/>
    <col min="12316" max="12316" width="11" style="92" bestFit="1" customWidth="1"/>
    <col min="12317" max="12318" width="11" style="92" customWidth="1"/>
    <col min="12319" max="12319" width="10" style="92" bestFit="1" customWidth="1"/>
    <col min="12320" max="12320" width="14.42578125" style="92" bestFit="1" customWidth="1"/>
    <col min="12321" max="12331" width="0" style="92" hidden="1" customWidth="1"/>
    <col min="12332" max="12552" width="9.140625" style="92"/>
    <col min="12553" max="12553" width="54.140625" style="92" bestFit="1" customWidth="1"/>
    <col min="12554" max="12554" width="14.7109375" style="92" customWidth="1"/>
    <col min="12555" max="12555" width="10.140625" style="92" customWidth="1"/>
    <col min="12556" max="12556" width="10.42578125" style="92" bestFit="1" customWidth="1"/>
    <col min="12557" max="12558" width="9.42578125" style="92" bestFit="1" customWidth="1"/>
    <col min="12559" max="12560" width="9.42578125" style="92" customWidth="1"/>
    <col min="12561" max="12561" width="10.140625" style="92" bestFit="1" customWidth="1"/>
    <col min="12562" max="12565" width="9.140625" style="92"/>
    <col min="12566" max="12566" width="7.28515625" style="92" customWidth="1"/>
    <col min="12567" max="12569" width="7.42578125" style="92" customWidth="1"/>
    <col min="12570" max="12570" width="10.42578125" style="92" bestFit="1" customWidth="1"/>
    <col min="12571" max="12571" width="12" style="92" bestFit="1" customWidth="1"/>
    <col min="12572" max="12572" width="11" style="92" bestFit="1" customWidth="1"/>
    <col min="12573" max="12574" width="11" style="92" customWidth="1"/>
    <col min="12575" max="12575" width="10" style="92" bestFit="1" customWidth="1"/>
    <col min="12576" max="12576" width="14.42578125" style="92" bestFit="1" customWidth="1"/>
    <col min="12577" max="12587" width="0" style="92" hidden="1" customWidth="1"/>
    <col min="12588" max="12808" width="9.140625" style="92"/>
    <col min="12809" max="12809" width="54.140625" style="92" bestFit="1" customWidth="1"/>
    <col min="12810" max="12810" width="14.7109375" style="92" customWidth="1"/>
    <col min="12811" max="12811" width="10.140625" style="92" customWidth="1"/>
    <col min="12812" max="12812" width="10.42578125" style="92" bestFit="1" customWidth="1"/>
    <col min="12813" max="12814" width="9.42578125" style="92" bestFit="1" customWidth="1"/>
    <col min="12815" max="12816" width="9.42578125" style="92" customWidth="1"/>
    <col min="12817" max="12817" width="10.140625" style="92" bestFit="1" customWidth="1"/>
    <col min="12818" max="12821" width="9.140625" style="92"/>
    <col min="12822" max="12822" width="7.28515625" style="92" customWidth="1"/>
    <col min="12823" max="12825" width="7.42578125" style="92" customWidth="1"/>
    <col min="12826" max="12826" width="10.42578125" style="92" bestFit="1" customWidth="1"/>
    <col min="12827" max="12827" width="12" style="92" bestFit="1" customWidth="1"/>
    <col min="12828" max="12828" width="11" style="92" bestFit="1" customWidth="1"/>
    <col min="12829" max="12830" width="11" style="92" customWidth="1"/>
    <col min="12831" max="12831" width="10" style="92" bestFit="1" customWidth="1"/>
    <col min="12832" max="12832" width="14.42578125" style="92" bestFit="1" customWidth="1"/>
    <col min="12833" max="12843" width="0" style="92" hidden="1" customWidth="1"/>
    <col min="12844" max="13064" width="9.140625" style="92"/>
    <col min="13065" max="13065" width="54.140625" style="92" bestFit="1" customWidth="1"/>
    <col min="13066" max="13066" width="14.7109375" style="92" customWidth="1"/>
    <col min="13067" max="13067" width="10.140625" style="92" customWidth="1"/>
    <col min="13068" max="13068" width="10.42578125" style="92" bestFit="1" customWidth="1"/>
    <col min="13069" max="13070" width="9.42578125" style="92" bestFit="1" customWidth="1"/>
    <col min="13071" max="13072" width="9.42578125" style="92" customWidth="1"/>
    <col min="13073" max="13073" width="10.140625" style="92" bestFit="1" customWidth="1"/>
    <col min="13074" max="13077" width="9.140625" style="92"/>
    <col min="13078" max="13078" width="7.28515625" style="92" customWidth="1"/>
    <col min="13079" max="13081" width="7.42578125" style="92" customWidth="1"/>
    <col min="13082" max="13082" width="10.42578125" style="92" bestFit="1" customWidth="1"/>
    <col min="13083" max="13083" width="12" style="92" bestFit="1" customWidth="1"/>
    <col min="13084" max="13084" width="11" style="92" bestFit="1" customWidth="1"/>
    <col min="13085" max="13086" width="11" style="92" customWidth="1"/>
    <col min="13087" max="13087" width="10" style="92" bestFit="1" customWidth="1"/>
    <col min="13088" max="13088" width="14.42578125" style="92" bestFit="1" customWidth="1"/>
    <col min="13089" max="13099" width="0" style="92" hidden="1" customWidth="1"/>
    <col min="13100" max="13320" width="9.140625" style="92"/>
    <col min="13321" max="13321" width="54.140625" style="92" bestFit="1" customWidth="1"/>
    <col min="13322" max="13322" width="14.7109375" style="92" customWidth="1"/>
    <col min="13323" max="13323" width="10.140625" style="92" customWidth="1"/>
    <col min="13324" max="13324" width="10.42578125" style="92" bestFit="1" customWidth="1"/>
    <col min="13325" max="13326" width="9.42578125" style="92" bestFit="1" customWidth="1"/>
    <col min="13327" max="13328" width="9.42578125" style="92" customWidth="1"/>
    <col min="13329" max="13329" width="10.140625" style="92" bestFit="1" customWidth="1"/>
    <col min="13330" max="13333" width="9.140625" style="92"/>
    <col min="13334" max="13334" width="7.28515625" style="92" customWidth="1"/>
    <col min="13335" max="13337" width="7.42578125" style="92" customWidth="1"/>
    <col min="13338" max="13338" width="10.42578125" style="92" bestFit="1" customWidth="1"/>
    <col min="13339" max="13339" width="12" style="92" bestFit="1" customWidth="1"/>
    <col min="13340" max="13340" width="11" style="92" bestFit="1" customWidth="1"/>
    <col min="13341" max="13342" width="11" style="92" customWidth="1"/>
    <col min="13343" max="13343" width="10" style="92" bestFit="1" customWidth="1"/>
    <col min="13344" max="13344" width="14.42578125" style="92" bestFit="1" customWidth="1"/>
    <col min="13345" max="13355" width="0" style="92" hidden="1" customWidth="1"/>
    <col min="13356" max="13576" width="9.140625" style="92"/>
    <col min="13577" max="13577" width="54.140625" style="92" bestFit="1" customWidth="1"/>
    <col min="13578" max="13578" width="14.7109375" style="92" customWidth="1"/>
    <col min="13579" max="13579" width="10.140625" style="92" customWidth="1"/>
    <col min="13580" max="13580" width="10.42578125" style="92" bestFit="1" customWidth="1"/>
    <col min="13581" max="13582" width="9.42578125" style="92" bestFit="1" customWidth="1"/>
    <col min="13583" max="13584" width="9.42578125" style="92" customWidth="1"/>
    <col min="13585" max="13585" width="10.140625" style="92" bestFit="1" customWidth="1"/>
    <col min="13586" max="13589" width="9.140625" style="92"/>
    <col min="13590" max="13590" width="7.28515625" style="92" customWidth="1"/>
    <col min="13591" max="13593" width="7.42578125" style="92" customWidth="1"/>
    <col min="13594" max="13594" width="10.42578125" style="92" bestFit="1" customWidth="1"/>
    <col min="13595" max="13595" width="12" style="92" bestFit="1" customWidth="1"/>
    <col min="13596" max="13596" width="11" style="92" bestFit="1" customWidth="1"/>
    <col min="13597" max="13598" width="11" style="92" customWidth="1"/>
    <col min="13599" max="13599" width="10" style="92" bestFit="1" customWidth="1"/>
    <col min="13600" max="13600" width="14.42578125" style="92" bestFit="1" customWidth="1"/>
    <col min="13601" max="13611" width="0" style="92" hidden="1" customWidth="1"/>
    <col min="13612" max="13832" width="9.140625" style="92"/>
    <col min="13833" max="13833" width="54.140625" style="92" bestFit="1" customWidth="1"/>
    <col min="13834" max="13834" width="14.7109375" style="92" customWidth="1"/>
    <col min="13835" max="13835" width="10.140625" style="92" customWidth="1"/>
    <col min="13836" max="13836" width="10.42578125" style="92" bestFit="1" customWidth="1"/>
    <col min="13837" max="13838" width="9.42578125" style="92" bestFit="1" customWidth="1"/>
    <col min="13839" max="13840" width="9.42578125" style="92" customWidth="1"/>
    <col min="13841" max="13841" width="10.140625" style="92" bestFit="1" customWidth="1"/>
    <col min="13842" max="13845" width="9.140625" style="92"/>
    <col min="13846" max="13846" width="7.28515625" style="92" customWidth="1"/>
    <col min="13847" max="13849" width="7.42578125" style="92" customWidth="1"/>
    <col min="13850" max="13850" width="10.42578125" style="92" bestFit="1" customWidth="1"/>
    <col min="13851" max="13851" width="12" style="92" bestFit="1" customWidth="1"/>
    <col min="13852" max="13852" width="11" style="92" bestFit="1" customWidth="1"/>
    <col min="13853" max="13854" width="11" style="92" customWidth="1"/>
    <col min="13855" max="13855" width="10" style="92" bestFit="1" customWidth="1"/>
    <col min="13856" max="13856" width="14.42578125" style="92" bestFit="1" customWidth="1"/>
    <col min="13857" max="13867" width="0" style="92" hidden="1" customWidth="1"/>
    <col min="13868" max="14088" width="9.140625" style="92"/>
    <col min="14089" max="14089" width="54.140625" style="92" bestFit="1" customWidth="1"/>
    <col min="14090" max="14090" width="14.7109375" style="92" customWidth="1"/>
    <col min="14091" max="14091" width="10.140625" style="92" customWidth="1"/>
    <col min="14092" max="14092" width="10.42578125" style="92" bestFit="1" customWidth="1"/>
    <col min="14093" max="14094" width="9.42578125" style="92" bestFit="1" customWidth="1"/>
    <col min="14095" max="14096" width="9.42578125" style="92" customWidth="1"/>
    <col min="14097" max="14097" width="10.140625" style="92" bestFit="1" customWidth="1"/>
    <col min="14098" max="14101" width="9.140625" style="92"/>
    <col min="14102" max="14102" width="7.28515625" style="92" customWidth="1"/>
    <col min="14103" max="14105" width="7.42578125" style="92" customWidth="1"/>
    <col min="14106" max="14106" width="10.42578125" style="92" bestFit="1" customWidth="1"/>
    <col min="14107" max="14107" width="12" style="92" bestFit="1" customWidth="1"/>
    <col min="14108" max="14108" width="11" style="92" bestFit="1" customWidth="1"/>
    <col min="14109" max="14110" width="11" style="92" customWidth="1"/>
    <col min="14111" max="14111" width="10" style="92" bestFit="1" customWidth="1"/>
    <col min="14112" max="14112" width="14.42578125" style="92" bestFit="1" customWidth="1"/>
    <col min="14113" max="14123" width="0" style="92" hidden="1" customWidth="1"/>
    <col min="14124" max="14344" width="9.140625" style="92"/>
    <col min="14345" max="14345" width="54.140625" style="92" bestFit="1" customWidth="1"/>
    <col min="14346" max="14346" width="14.7109375" style="92" customWidth="1"/>
    <col min="14347" max="14347" width="10.140625" style="92" customWidth="1"/>
    <col min="14348" max="14348" width="10.42578125" style="92" bestFit="1" customWidth="1"/>
    <col min="14349" max="14350" width="9.42578125" style="92" bestFit="1" customWidth="1"/>
    <col min="14351" max="14352" width="9.42578125" style="92" customWidth="1"/>
    <col min="14353" max="14353" width="10.140625" style="92" bestFit="1" customWidth="1"/>
    <col min="14354" max="14357" width="9.140625" style="92"/>
    <col min="14358" max="14358" width="7.28515625" style="92" customWidth="1"/>
    <col min="14359" max="14361" width="7.42578125" style="92" customWidth="1"/>
    <col min="14362" max="14362" width="10.42578125" style="92" bestFit="1" customWidth="1"/>
    <col min="14363" max="14363" width="12" style="92" bestFit="1" customWidth="1"/>
    <col min="14364" max="14364" width="11" style="92" bestFit="1" customWidth="1"/>
    <col min="14365" max="14366" width="11" style="92" customWidth="1"/>
    <col min="14367" max="14367" width="10" style="92" bestFit="1" customWidth="1"/>
    <col min="14368" max="14368" width="14.42578125" style="92" bestFit="1" customWidth="1"/>
    <col min="14369" max="14379" width="0" style="92" hidden="1" customWidth="1"/>
    <col min="14380" max="14600" width="9.140625" style="92"/>
    <col min="14601" max="14601" width="54.140625" style="92" bestFit="1" customWidth="1"/>
    <col min="14602" max="14602" width="14.7109375" style="92" customWidth="1"/>
    <col min="14603" max="14603" width="10.140625" style="92" customWidth="1"/>
    <col min="14604" max="14604" width="10.42578125" style="92" bestFit="1" customWidth="1"/>
    <col min="14605" max="14606" width="9.42578125" style="92" bestFit="1" customWidth="1"/>
    <col min="14607" max="14608" width="9.42578125" style="92" customWidth="1"/>
    <col min="14609" max="14609" width="10.140625" style="92" bestFit="1" customWidth="1"/>
    <col min="14610" max="14613" width="9.140625" style="92"/>
    <col min="14614" max="14614" width="7.28515625" style="92" customWidth="1"/>
    <col min="14615" max="14617" width="7.42578125" style="92" customWidth="1"/>
    <col min="14618" max="14618" width="10.42578125" style="92" bestFit="1" customWidth="1"/>
    <col min="14619" max="14619" width="12" style="92" bestFit="1" customWidth="1"/>
    <col min="14620" max="14620" width="11" style="92" bestFit="1" customWidth="1"/>
    <col min="14621" max="14622" width="11" style="92" customWidth="1"/>
    <col min="14623" max="14623" width="10" style="92" bestFit="1" customWidth="1"/>
    <col min="14624" max="14624" width="14.42578125" style="92" bestFit="1" customWidth="1"/>
    <col min="14625" max="14635" width="0" style="92" hidden="1" customWidth="1"/>
    <col min="14636" max="14856" width="9.140625" style="92"/>
    <col min="14857" max="14857" width="54.140625" style="92" bestFit="1" customWidth="1"/>
    <col min="14858" max="14858" width="14.7109375" style="92" customWidth="1"/>
    <col min="14859" max="14859" width="10.140625" style="92" customWidth="1"/>
    <col min="14860" max="14860" width="10.42578125" style="92" bestFit="1" customWidth="1"/>
    <col min="14861" max="14862" width="9.42578125" style="92" bestFit="1" customWidth="1"/>
    <col min="14863" max="14864" width="9.42578125" style="92" customWidth="1"/>
    <col min="14865" max="14865" width="10.140625" style="92" bestFit="1" customWidth="1"/>
    <col min="14866" max="14869" width="9.140625" style="92"/>
    <col min="14870" max="14870" width="7.28515625" style="92" customWidth="1"/>
    <col min="14871" max="14873" width="7.42578125" style="92" customWidth="1"/>
    <col min="14874" max="14874" width="10.42578125" style="92" bestFit="1" customWidth="1"/>
    <col min="14875" max="14875" width="12" style="92" bestFit="1" customWidth="1"/>
    <col min="14876" max="14876" width="11" style="92" bestFit="1" customWidth="1"/>
    <col min="14877" max="14878" width="11" style="92" customWidth="1"/>
    <col min="14879" max="14879" width="10" style="92" bestFit="1" customWidth="1"/>
    <col min="14880" max="14880" width="14.42578125" style="92" bestFit="1" customWidth="1"/>
    <col min="14881" max="14891" width="0" style="92" hidden="1" customWidth="1"/>
    <col min="14892" max="15112" width="9.140625" style="92"/>
    <col min="15113" max="15113" width="54.140625" style="92" bestFit="1" customWidth="1"/>
    <col min="15114" max="15114" width="14.7109375" style="92" customWidth="1"/>
    <col min="15115" max="15115" width="10.140625" style="92" customWidth="1"/>
    <col min="15116" max="15116" width="10.42578125" style="92" bestFit="1" customWidth="1"/>
    <col min="15117" max="15118" width="9.42578125" style="92" bestFit="1" customWidth="1"/>
    <col min="15119" max="15120" width="9.42578125" style="92" customWidth="1"/>
    <col min="15121" max="15121" width="10.140625" style="92" bestFit="1" customWidth="1"/>
    <col min="15122" max="15125" width="9.140625" style="92"/>
    <col min="15126" max="15126" width="7.28515625" style="92" customWidth="1"/>
    <col min="15127" max="15129" width="7.42578125" style="92" customWidth="1"/>
    <col min="15130" max="15130" width="10.42578125" style="92" bestFit="1" customWidth="1"/>
    <col min="15131" max="15131" width="12" style="92" bestFit="1" customWidth="1"/>
    <col min="15132" max="15132" width="11" style="92" bestFit="1" customWidth="1"/>
    <col min="15133" max="15134" width="11" style="92" customWidth="1"/>
    <col min="15135" max="15135" width="10" style="92" bestFit="1" customWidth="1"/>
    <col min="15136" max="15136" width="14.42578125" style="92" bestFit="1" customWidth="1"/>
    <col min="15137" max="15147" width="0" style="92" hidden="1" customWidth="1"/>
    <col min="15148" max="15368" width="9.140625" style="92"/>
    <col min="15369" max="15369" width="54.140625" style="92" bestFit="1" customWidth="1"/>
    <col min="15370" max="15370" width="14.7109375" style="92" customWidth="1"/>
    <col min="15371" max="15371" width="10.140625" style="92" customWidth="1"/>
    <col min="15372" max="15372" width="10.42578125" style="92" bestFit="1" customWidth="1"/>
    <col min="15373" max="15374" width="9.42578125" style="92" bestFit="1" customWidth="1"/>
    <col min="15375" max="15376" width="9.42578125" style="92" customWidth="1"/>
    <col min="15377" max="15377" width="10.140625" style="92" bestFit="1" customWidth="1"/>
    <col min="15378" max="15381" width="9.140625" style="92"/>
    <col min="15382" max="15382" width="7.28515625" style="92" customWidth="1"/>
    <col min="15383" max="15385" width="7.42578125" style="92" customWidth="1"/>
    <col min="15386" max="15386" width="10.42578125" style="92" bestFit="1" customWidth="1"/>
    <col min="15387" max="15387" width="12" style="92" bestFit="1" customWidth="1"/>
    <col min="15388" max="15388" width="11" style="92" bestFit="1" customWidth="1"/>
    <col min="15389" max="15390" width="11" style="92" customWidth="1"/>
    <col min="15391" max="15391" width="10" style="92" bestFit="1" customWidth="1"/>
    <col min="15392" max="15392" width="14.42578125" style="92" bestFit="1" customWidth="1"/>
    <col min="15393" max="15403" width="0" style="92" hidden="1" customWidth="1"/>
    <col min="15404" max="15624" width="9.140625" style="92"/>
    <col min="15625" max="15625" width="54.140625" style="92" bestFit="1" customWidth="1"/>
    <col min="15626" max="15626" width="14.7109375" style="92" customWidth="1"/>
    <col min="15627" max="15627" width="10.140625" style="92" customWidth="1"/>
    <col min="15628" max="15628" width="10.42578125" style="92" bestFit="1" customWidth="1"/>
    <col min="15629" max="15630" width="9.42578125" style="92" bestFit="1" customWidth="1"/>
    <col min="15631" max="15632" width="9.42578125" style="92" customWidth="1"/>
    <col min="15633" max="15633" width="10.140625" style="92" bestFit="1" customWidth="1"/>
    <col min="15634" max="15637" width="9.140625" style="92"/>
    <col min="15638" max="15638" width="7.28515625" style="92" customWidth="1"/>
    <col min="15639" max="15641" width="7.42578125" style="92" customWidth="1"/>
    <col min="15642" max="15642" width="10.42578125" style="92" bestFit="1" customWidth="1"/>
    <col min="15643" max="15643" width="12" style="92" bestFit="1" customWidth="1"/>
    <col min="15644" max="15644" width="11" style="92" bestFit="1" customWidth="1"/>
    <col min="15645" max="15646" width="11" style="92" customWidth="1"/>
    <col min="15647" max="15647" width="10" style="92" bestFit="1" customWidth="1"/>
    <col min="15648" max="15648" width="14.42578125" style="92" bestFit="1" customWidth="1"/>
    <col min="15649" max="15659" width="0" style="92" hidden="1" customWidth="1"/>
    <col min="15660" max="15880" width="9.140625" style="92"/>
    <col min="15881" max="15881" width="54.140625" style="92" bestFit="1" customWidth="1"/>
    <col min="15882" max="15882" width="14.7109375" style="92" customWidth="1"/>
    <col min="15883" max="15883" width="10.140625" style="92" customWidth="1"/>
    <col min="15884" max="15884" width="10.42578125" style="92" bestFit="1" customWidth="1"/>
    <col min="15885" max="15886" width="9.42578125" style="92" bestFit="1" customWidth="1"/>
    <col min="15887" max="15888" width="9.42578125" style="92" customWidth="1"/>
    <col min="15889" max="15889" width="10.140625" style="92" bestFit="1" customWidth="1"/>
    <col min="15890" max="15893" width="9.140625" style="92"/>
    <col min="15894" max="15894" width="7.28515625" style="92" customWidth="1"/>
    <col min="15895" max="15897" width="7.42578125" style="92" customWidth="1"/>
    <col min="15898" max="15898" width="10.42578125" style="92" bestFit="1" customWidth="1"/>
    <col min="15899" max="15899" width="12" style="92" bestFit="1" customWidth="1"/>
    <col min="15900" max="15900" width="11" style="92" bestFit="1" customWidth="1"/>
    <col min="15901" max="15902" width="11" style="92" customWidth="1"/>
    <col min="15903" max="15903" width="10" style="92" bestFit="1" customWidth="1"/>
    <col min="15904" max="15904" width="14.42578125" style="92" bestFit="1" customWidth="1"/>
    <col min="15905" max="15915" width="0" style="92" hidden="1" customWidth="1"/>
    <col min="15916" max="16136" width="9.140625" style="92"/>
    <col min="16137" max="16137" width="54.140625" style="92" bestFit="1" customWidth="1"/>
    <col min="16138" max="16138" width="14.7109375" style="92" customWidth="1"/>
    <col min="16139" max="16139" width="10.140625" style="92" customWidth="1"/>
    <col min="16140" max="16140" width="10.42578125" style="92" bestFit="1" customWidth="1"/>
    <col min="16141" max="16142" width="9.42578125" style="92" bestFit="1" customWidth="1"/>
    <col min="16143" max="16144" width="9.42578125" style="92" customWidth="1"/>
    <col min="16145" max="16145" width="10.140625" style="92" bestFit="1" customWidth="1"/>
    <col min="16146" max="16149" width="9.140625" style="92"/>
    <col min="16150" max="16150" width="7.28515625" style="92" customWidth="1"/>
    <col min="16151" max="16153" width="7.42578125" style="92" customWidth="1"/>
    <col min="16154" max="16154" width="10.42578125" style="92" bestFit="1" customWidth="1"/>
    <col min="16155" max="16155" width="12" style="92" bestFit="1" customWidth="1"/>
    <col min="16156" max="16156" width="11" style="92" bestFit="1" customWidth="1"/>
    <col min="16157" max="16158" width="11" style="92" customWidth="1"/>
    <col min="16159" max="16159" width="10" style="92" bestFit="1" customWidth="1"/>
    <col min="16160" max="16160" width="14.42578125" style="92" bestFit="1" customWidth="1"/>
    <col min="16161" max="16171" width="0" style="92" hidden="1" customWidth="1"/>
    <col min="16172" max="16384" width="9.140625" style="92"/>
  </cols>
  <sheetData>
    <row r="1" spans="1:50" s="86" customFormat="1" ht="45.75" customHeight="1" x14ac:dyDescent="0.25">
      <c r="A1" s="83" t="s">
        <v>136</v>
      </c>
      <c r="B1" s="213">
        <v>45809</v>
      </c>
      <c r="C1" s="214"/>
      <c r="D1" s="214"/>
      <c r="E1" s="214"/>
      <c r="F1" s="214"/>
      <c r="G1" s="214"/>
      <c r="H1" s="214"/>
      <c r="I1" s="214"/>
      <c r="J1" s="214"/>
      <c r="K1" s="214"/>
      <c r="L1" s="214"/>
      <c r="M1" s="215"/>
      <c r="N1" s="84"/>
      <c r="O1" s="84"/>
      <c r="P1" s="84"/>
      <c r="Q1" s="84"/>
      <c r="R1" s="84"/>
      <c r="S1" s="84"/>
      <c r="T1" s="84"/>
      <c r="U1" s="84"/>
      <c r="V1" s="84"/>
      <c r="W1" s="84"/>
      <c r="X1" s="84"/>
      <c r="Y1" s="84"/>
      <c r="Z1" s="84"/>
      <c r="AA1" s="84"/>
      <c r="AB1" s="84"/>
      <c r="AC1" s="84"/>
      <c r="AD1" s="85"/>
      <c r="AE1" s="85"/>
    </row>
    <row r="2" spans="1:50" ht="15.75" x14ac:dyDescent="0.2">
      <c r="A2" s="216" t="s">
        <v>137</v>
      </c>
      <c r="B2" s="216"/>
      <c r="C2" s="216"/>
      <c r="D2" s="216"/>
      <c r="E2" s="216"/>
      <c r="F2" s="216"/>
      <c r="G2" s="216"/>
      <c r="H2" s="216"/>
      <c r="I2" s="216"/>
      <c r="J2" s="216"/>
      <c r="K2" s="216"/>
      <c r="L2" s="216"/>
      <c r="M2" s="217"/>
      <c r="N2" s="87"/>
      <c r="O2" s="88"/>
      <c r="P2" s="88"/>
      <c r="Q2" s="88"/>
      <c r="R2" s="89"/>
      <c r="S2" s="88"/>
      <c r="T2" s="88"/>
      <c r="U2" s="90"/>
      <c r="V2" s="90"/>
      <c r="W2" s="90"/>
      <c r="X2" s="90"/>
      <c r="Y2" s="90"/>
      <c r="Z2" s="90"/>
      <c r="AA2" s="90"/>
      <c r="AB2" s="90"/>
      <c r="AC2" s="90"/>
      <c r="AD2" s="91"/>
      <c r="AE2" s="91"/>
    </row>
    <row r="3" spans="1:50" ht="15" customHeight="1" x14ac:dyDescent="0.2">
      <c r="A3" s="218" t="s">
        <v>138</v>
      </c>
      <c r="B3" s="216"/>
      <c r="C3" s="216"/>
      <c r="D3" s="216"/>
      <c r="E3" s="216"/>
      <c r="F3" s="216"/>
      <c r="G3" s="216"/>
      <c r="H3" s="216"/>
      <c r="I3" s="216"/>
      <c r="J3" s="216"/>
      <c r="K3" s="216"/>
      <c r="L3" s="216"/>
      <c r="M3" s="217"/>
      <c r="N3" s="93"/>
      <c r="O3" s="94"/>
      <c r="P3" s="94"/>
      <c r="Q3" s="94"/>
      <c r="R3" s="94"/>
      <c r="S3" s="94"/>
      <c r="T3" s="94"/>
      <c r="U3" s="90"/>
      <c r="V3" s="90"/>
      <c r="W3" s="90"/>
    </row>
    <row r="4" spans="1:50" ht="15.75" customHeight="1" x14ac:dyDescent="0.2">
      <c r="A4" s="216"/>
      <c r="B4" s="216"/>
      <c r="C4" s="216"/>
      <c r="D4" s="216"/>
      <c r="E4" s="216"/>
      <c r="F4" s="216"/>
      <c r="G4" s="216"/>
      <c r="H4" s="216"/>
      <c r="I4" s="216"/>
      <c r="J4" s="216"/>
      <c r="K4" s="216"/>
      <c r="L4" s="216"/>
      <c r="M4" s="217"/>
      <c r="N4" s="93"/>
      <c r="O4" s="94"/>
      <c r="P4" s="94"/>
      <c r="Q4" s="94"/>
      <c r="R4" s="94"/>
      <c r="S4" s="94"/>
      <c r="T4" s="94"/>
      <c r="U4" s="95"/>
      <c r="V4" s="95"/>
      <c r="W4" s="95"/>
      <c r="X4" s="95"/>
      <c r="Y4" s="95"/>
      <c r="Z4" s="95"/>
      <c r="AA4" s="95"/>
      <c r="AB4" s="95"/>
      <c r="AC4" s="95"/>
      <c r="AD4" s="91"/>
      <c r="AE4" s="91"/>
    </row>
    <row r="5" spans="1:50" x14ac:dyDescent="0.2">
      <c r="A5" s="84"/>
      <c r="B5" s="84"/>
      <c r="C5" s="84"/>
      <c r="D5" s="84"/>
      <c r="E5" s="84"/>
      <c r="F5" s="84"/>
      <c r="G5" s="84"/>
      <c r="H5" s="84"/>
      <c r="I5" s="84"/>
      <c r="J5" s="84"/>
      <c r="K5" s="84"/>
      <c r="L5" s="84"/>
      <c r="M5" s="84"/>
      <c r="N5" s="84"/>
      <c r="O5" s="84"/>
      <c r="P5" s="95"/>
      <c r="Q5" s="95"/>
      <c r="R5" s="95"/>
      <c r="S5" s="95"/>
      <c r="T5" s="95"/>
      <c r="U5" s="95"/>
      <c r="V5" s="95"/>
      <c r="W5" s="95"/>
      <c r="X5" s="95"/>
      <c r="Y5" s="95"/>
      <c r="Z5" s="95"/>
      <c r="AA5" s="95"/>
      <c r="AB5" s="95"/>
      <c r="AC5" s="95"/>
      <c r="AD5" s="219"/>
      <c r="AE5" s="219"/>
    </row>
    <row r="6" spans="1:50" ht="18" customHeight="1" thickBot="1" x14ac:dyDescent="0.25">
      <c r="B6" s="84"/>
      <c r="C6" s="84"/>
      <c r="D6" s="84"/>
      <c r="E6" s="84"/>
      <c r="F6" s="84"/>
      <c r="G6" s="84"/>
      <c r="H6" s="84"/>
      <c r="I6" s="84"/>
      <c r="J6" s="84"/>
      <c r="K6" s="84"/>
      <c r="L6" s="84"/>
      <c r="M6" s="84"/>
      <c r="N6" s="84"/>
      <c r="O6" s="84"/>
      <c r="P6" s="95"/>
      <c r="Q6" s="95"/>
      <c r="R6" s="95"/>
      <c r="S6" s="95"/>
      <c r="T6" s="95"/>
      <c r="U6" s="95"/>
      <c r="V6" s="95"/>
      <c r="W6" s="95"/>
      <c r="X6" s="97"/>
      <c r="Y6" s="97"/>
      <c r="Z6" s="95"/>
      <c r="AA6" s="95"/>
      <c r="AB6" s="95"/>
      <c r="AC6" s="95"/>
      <c r="AD6" s="96"/>
      <c r="AE6" s="96"/>
    </row>
    <row r="7" spans="1:50" ht="13.5" thickBot="1" x14ac:dyDescent="0.25">
      <c r="C7" s="98"/>
      <c r="D7" s="99"/>
      <c r="E7" s="95"/>
      <c r="F7" s="95"/>
      <c r="G7" s="95"/>
      <c r="H7" s="95"/>
      <c r="I7" s="95"/>
      <c r="J7" s="95"/>
      <c r="K7" s="95"/>
      <c r="L7" s="95"/>
      <c r="M7" s="95"/>
      <c r="N7" s="84"/>
      <c r="O7" s="84"/>
      <c r="P7" s="95"/>
      <c r="Q7" s="95"/>
      <c r="R7" s="95"/>
      <c r="S7" s="95"/>
      <c r="T7" s="95"/>
      <c r="U7" s="95"/>
      <c r="V7" s="95"/>
      <c r="W7" s="95"/>
      <c r="X7" s="95"/>
      <c r="Y7" s="95"/>
      <c r="Z7" s="95"/>
      <c r="AA7" s="95"/>
      <c r="AB7" s="95"/>
      <c r="AC7" s="95"/>
      <c r="AD7" s="96"/>
      <c r="AE7" s="96"/>
      <c r="AF7" s="220" t="s">
        <v>139</v>
      </c>
      <c r="AG7" s="221"/>
      <c r="AH7" s="221"/>
      <c r="AI7" s="221"/>
      <c r="AJ7" s="221"/>
      <c r="AK7" s="221"/>
      <c r="AL7" s="221"/>
      <c r="AM7" s="221"/>
      <c r="AN7" s="221"/>
      <c r="AO7" s="221"/>
      <c r="AP7" s="221"/>
      <c r="AQ7" s="221"/>
      <c r="AR7" s="221"/>
      <c r="AS7" s="221"/>
      <c r="AT7" s="221"/>
      <c r="AU7" s="221"/>
      <c r="AV7" s="221"/>
      <c r="AW7" s="221"/>
      <c r="AX7" s="222"/>
    </row>
    <row r="8" spans="1:50" ht="26.25" customHeight="1" x14ac:dyDescent="0.2">
      <c r="A8" s="226" t="s">
        <v>140</v>
      </c>
      <c r="B8" s="228" t="s">
        <v>141</v>
      </c>
      <c r="C8" s="230" t="s">
        <v>142</v>
      </c>
      <c r="D8" s="233" t="s">
        <v>143</v>
      </c>
      <c r="E8" s="202"/>
      <c r="F8" s="202"/>
      <c r="G8" s="202"/>
      <c r="H8" s="202"/>
      <c r="I8" s="204"/>
      <c r="J8" s="233" t="s">
        <v>85</v>
      </c>
      <c r="K8" s="202"/>
      <c r="L8" s="202"/>
      <c r="M8" s="202"/>
      <c r="N8" s="202"/>
      <c r="O8" s="234"/>
      <c r="P8" s="233" t="s">
        <v>144</v>
      </c>
      <c r="Q8" s="202"/>
      <c r="R8" s="202"/>
      <c r="S8" s="202"/>
      <c r="T8" s="202"/>
      <c r="U8" s="202"/>
      <c r="V8" s="204"/>
      <c r="W8" s="206" t="s">
        <v>145</v>
      </c>
      <c r="X8" s="233" t="s">
        <v>146</v>
      </c>
      <c r="Y8" s="202" t="s">
        <v>147</v>
      </c>
      <c r="Z8" s="202" t="s">
        <v>148</v>
      </c>
      <c r="AA8" s="202" t="s">
        <v>149</v>
      </c>
      <c r="AB8" s="202" t="s">
        <v>150</v>
      </c>
      <c r="AC8" s="204" t="s">
        <v>151</v>
      </c>
      <c r="AD8" s="206" t="s">
        <v>152</v>
      </c>
      <c r="AE8" s="206" t="s">
        <v>153</v>
      </c>
      <c r="AF8" s="223"/>
      <c r="AG8" s="224"/>
      <c r="AH8" s="224"/>
      <c r="AI8" s="224"/>
      <c r="AJ8" s="224"/>
      <c r="AK8" s="224"/>
      <c r="AL8" s="224"/>
      <c r="AM8" s="224"/>
      <c r="AN8" s="224"/>
      <c r="AO8" s="224"/>
      <c r="AP8" s="224"/>
      <c r="AQ8" s="224"/>
      <c r="AR8" s="224"/>
      <c r="AS8" s="224"/>
      <c r="AT8" s="224"/>
      <c r="AU8" s="224"/>
      <c r="AV8" s="224"/>
      <c r="AW8" s="224"/>
      <c r="AX8" s="225"/>
    </row>
    <row r="9" spans="1:50" ht="39" customHeight="1" x14ac:dyDescent="0.2">
      <c r="A9" s="227"/>
      <c r="B9" s="229"/>
      <c r="C9" s="231"/>
      <c r="D9" s="210" t="s">
        <v>154</v>
      </c>
      <c r="E9" s="203" t="s">
        <v>155</v>
      </c>
      <c r="F9" s="203" t="s">
        <v>156</v>
      </c>
      <c r="G9" s="203" t="s">
        <v>157</v>
      </c>
      <c r="H9" s="203" t="s">
        <v>158</v>
      </c>
      <c r="I9" s="205" t="s">
        <v>159</v>
      </c>
      <c r="J9" s="210" t="s">
        <v>154</v>
      </c>
      <c r="K9" s="203" t="s">
        <v>160</v>
      </c>
      <c r="L9" s="203" t="s">
        <v>161</v>
      </c>
      <c r="M9" s="203" t="s">
        <v>162</v>
      </c>
      <c r="N9" s="211" t="s">
        <v>163</v>
      </c>
      <c r="O9" s="208" t="s">
        <v>164</v>
      </c>
      <c r="P9" s="210"/>
      <c r="Q9" s="203"/>
      <c r="R9" s="203"/>
      <c r="S9" s="203"/>
      <c r="T9" s="203"/>
      <c r="U9" s="203"/>
      <c r="V9" s="205"/>
      <c r="W9" s="207"/>
      <c r="X9" s="210"/>
      <c r="Y9" s="203"/>
      <c r="Z9" s="203"/>
      <c r="AA9" s="203"/>
      <c r="AB9" s="203"/>
      <c r="AC9" s="205"/>
      <c r="AD9" s="207"/>
      <c r="AE9" s="207"/>
      <c r="AF9" s="103" t="str">
        <f>'AUTO CALCULATION SHEET (2)'!N17</f>
        <v>Alumimium</v>
      </c>
      <c r="AG9" s="104" t="str">
        <f>'AUTO CALCULATION SHEET (2)'!AA17</f>
        <v>Copper Tape - 0.04 mm</v>
      </c>
      <c r="AH9" s="104" t="str">
        <f>'AUTO CALCULATION SHEET (2)'!AF17</f>
        <v>Extruded semiconductive</v>
      </c>
      <c r="AI9" s="104" t="str">
        <f>'AUTO CALCULATION SHEET (2)'!AH17</f>
        <v>HT-XLPE</v>
      </c>
      <c r="AJ9" s="104" t="str">
        <f>'AUTO CALCULATION SHEET (2)'!AI17</f>
        <v>LT-XLPE</v>
      </c>
      <c r="AK9" s="104" t="str">
        <f>'AUTO CALCULATION SHEET (2)'!AX17</f>
        <v>PVC Type ST-2</v>
      </c>
      <c r="AL9" s="104" t="str">
        <f>'AUTO CALCULATION SHEET (2)'!BG17</f>
        <v>Galvanised Steel Flat Strip</v>
      </c>
      <c r="AM9" s="104" t="str">
        <f>'AUTO CALCULATION SHEET (2)'!BT17</f>
        <v>PVC Type ST-2</v>
      </c>
      <c r="AN9" s="104" t="str">
        <f>'AUTO CALCULATION SHEET (2)'!BX17</f>
        <v>FILLER</v>
      </c>
      <c r="AO9" s="104" t="str">
        <f>'AUTO CALCULATION SHEET (2)'!CE17</f>
        <v>RUBBERIZED COTTON TAPE</v>
      </c>
      <c r="AP9" s="196" t="s">
        <v>165</v>
      </c>
      <c r="AQ9" s="196" t="s">
        <v>166</v>
      </c>
      <c r="AR9" s="196" t="s">
        <v>167</v>
      </c>
      <c r="AS9" s="196" t="s">
        <v>168</v>
      </c>
      <c r="AT9" s="196" t="s">
        <v>169</v>
      </c>
      <c r="AU9" s="196" t="s">
        <v>170</v>
      </c>
      <c r="AV9" s="196" t="s">
        <v>171</v>
      </c>
      <c r="AW9" s="196" t="s">
        <v>172</v>
      </c>
      <c r="AX9" s="199" t="s">
        <v>173</v>
      </c>
    </row>
    <row r="10" spans="1:50" ht="21.75" customHeight="1" thickBot="1" x14ac:dyDescent="0.25">
      <c r="A10" s="227"/>
      <c r="B10" s="229"/>
      <c r="C10" s="232"/>
      <c r="D10" s="210"/>
      <c r="E10" s="203"/>
      <c r="F10" s="203"/>
      <c r="G10" s="203"/>
      <c r="H10" s="203"/>
      <c r="I10" s="205"/>
      <c r="J10" s="210"/>
      <c r="K10" s="203"/>
      <c r="L10" s="203"/>
      <c r="M10" s="203"/>
      <c r="N10" s="212"/>
      <c r="O10" s="209"/>
      <c r="P10" s="100" t="s">
        <v>174</v>
      </c>
      <c r="Q10" s="101" t="s">
        <v>156</v>
      </c>
      <c r="R10" s="101" t="s">
        <v>175</v>
      </c>
      <c r="S10" s="101" t="s">
        <v>176</v>
      </c>
      <c r="T10" s="101" t="s">
        <v>177</v>
      </c>
      <c r="U10" s="101" t="s">
        <v>178</v>
      </c>
      <c r="V10" s="102" t="s">
        <v>179</v>
      </c>
      <c r="W10" s="207"/>
      <c r="X10" s="210"/>
      <c r="Y10" s="203"/>
      <c r="Z10" s="203"/>
      <c r="AA10" s="203"/>
      <c r="AB10" s="203"/>
      <c r="AC10" s="205"/>
      <c r="AD10" s="207"/>
      <c r="AE10" s="207"/>
      <c r="AF10" s="105">
        <v>269</v>
      </c>
      <c r="AG10" s="105">
        <v>1021</v>
      </c>
      <c r="AH10" s="105">
        <v>174</v>
      </c>
      <c r="AI10" s="105">
        <v>149</v>
      </c>
      <c r="AJ10" s="105">
        <v>110</v>
      </c>
      <c r="AK10" s="105">
        <v>65</v>
      </c>
      <c r="AL10" s="105">
        <v>75</v>
      </c>
      <c r="AM10" s="105">
        <v>65</v>
      </c>
      <c r="AN10" s="105">
        <v>27</v>
      </c>
      <c r="AO10" s="105">
        <v>300</v>
      </c>
      <c r="AP10" s="197"/>
      <c r="AQ10" s="197"/>
      <c r="AR10" s="197"/>
      <c r="AS10" s="197"/>
      <c r="AT10" s="197"/>
      <c r="AU10" s="197"/>
      <c r="AV10" s="197"/>
      <c r="AW10" s="197"/>
      <c r="AX10" s="200"/>
    </row>
    <row r="11" spans="1:50" ht="24" customHeight="1" x14ac:dyDescent="0.2">
      <c r="A11" s="106"/>
      <c r="B11" s="106"/>
      <c r="C11" s="91"/>
      <c r="D11" s="107"/>
      <c r="E11" s="108"/>
      <c r="F11" s="108"/>
      <c r="G11" s="108"/>
      <c r="H11" s="108"/>
      <c r="I11" s="109"/>
      <c r="J11" s="110"/>
      <c r="K11" s="108"/>
      <c r="L11" s="108"/>
      <c r="M11" s="108"/>
      <c r="N11" s="108"/>
      <c r="O11" s="111"/>
      <c r="P11" s="112"/>
      <c r="Q11" s="113"/>
      <c r="R11" s="113"/>
      <c r="S11" s="113"/>
      <c r="T11" s="113"/>
      <c r="U11" s="113"/>
      <c r="V11" s="114"/>
      <c r="W11" s="115"/>
      <c r="X11" s="100"/>
      <c r="Y11" s="101"/>
      <c r="Z11" s="101"/>
      <c r="AA11" s="101"/>
      <c r="AB11" s="101"/>
      <c r="AC11" s="102"/>
      <c r="AD11" s="116"/>
      <c r="AE11" s="116"/>
      <c r="AF11" s="105" t="s">
        <v>180</v>
      </c>
      <c r="AG11" s="105" t="s">
        <v>180</v>
      </c>
      <c r="AH11" s="105" t="s">
        <v>180</v>
      </c>
      <c r="AI11" s="105" t="s">
        <v>180</v>
      </c>
      <c r="AJ11" s="105" t="s">
        <v>180</v>
      </c>
      <c r="AK11" s="105" t="s">
        <v>180</v>
      </c>
      <c r="AL11" s="105" t="s">
        <v>180</v>
      </c>
      <c r="AM11" s="105" t="s">
        <v>180</v>
      </c>
      <c r="AN11" s="105" t="s">
        <v>180</v>
      </c>
      <c r="AO11" s="105" t="s">
        <v>180</v>
      </c>
      <c r="AP11" s="198"/>
      <c r="AQ11" s="198"/>
      <c r="AR11" s="198"/>
      <c r="AS11" s="198"/>
      <c r="AT11" s="198"/>
      <c r="AU11" s="198"/>
      <c r="AV11" s="198"/>
      <c r="AW11" s="198"/>
      <c r="AX11" s="201"/>
    </row>
    <row r="12" spans="1:50" ht="24" customHeight="1" x14ac:dyDescent="0.2">
      <c r="A12" s="117" t="s">
        <v>182</v>
      </c>
      <c r="B12" s="118"/>
      <c r="C12" s="119" t="s">
        <v>181</v>
      </c>
      <c r="D12" s="120">
        <v>45833</v>
      </c>
      <c r="E12" s="121">
        <v>260517.35</v>
      </c>
      <c r="F12" s="122">
        <v>909044.63</v>
      </c>
      <c r="G12" s="123">
        <v>183840</v>
      </c>
      <c r="H12" s="123">
        <v>157075</v>
      </c>
      <c r="I12" s="124">
        <v>81250</v>
      </c>
      <c r="J12" s="125">
        <f t="shared" ref="J12:J13" si="0">$B$1</f>
        <v>45809</v>
      </c>
      <c r="K12" s="123">
        <v>255857</v>
      </c>
      <c r="L12" s="123">
        <v>920211</v>
      </c>
      <c r="M12" s="123">
        <v>183840</v>
      </c>
      <c r="N12" s="123">
        <v>157075</v>
      </c>
      <c r="O12" s="124">
        <v>81250</v>
      </c>
      <c r="P12" s="126">
        <v>2.6349999999999998</v>
      </c>
      <c r="Q12" s="127"/>
      <c r="R12" s="127">
        <v>1.167</v>
      </c>
      <c r="S12" s="127">
        <v>3.161</v>
      </c>
      <c r="T12" s="127"/>
      <c r="U12" s="127">
        <v>1.3180000000000001</v>
      </c>
      <c r="V12" s="128">
        <v>0.11</v>
      </c>
      <c r="W12" s="164">
        <f>'AUTO CALCULATION SHEET (2)'!E46*1000</f>
        <v>1666860</v>
      </c>
      <c r="X12" s="130">
        <f t="shared" ref="X12:X20" si="1">(P12*(E12-K12))</f>
        <v>12280.022250000015</v>
      </c>
      <c r="Y12" s="131">
        <f t="shared" ref="Y12:Y20" si="2">(Q12*(F12-L12))</f>
        <v>0</v>
      </c>
      <c r="Z12" s="127">
        <f t="shared" ref="Z12:Z20" si="3">(R12*(G12-M12))</f>
        <v>0</v>
      </c>
      <c r="AA12" s="127">
        <f t="shared" ref="AA12:AA20" si="4">(S12*(H12-N12))</f>
        <v>0</v>
      </c>
      <c r="AB12" s="127">
        <f t="shared" ref="AB12:AB20" si="5">(U12*(I12-O12))</f>
        <v>0</v>
      </c>
      <c r="AC12" s="132">
        <f t="shared" ref="AC12:AC20" si="6">V12*(F12-L12)</f>
        <v>-1228.3006999999996</v>
      </c>
      <c r="AD12" s="129">
        <f t="shared" ref="AD12:AD20" si="7">X12+Y12+Z12+AA12+AB12+AC12</f>
        <v>11051.721550000015</v>
      </c>
      <c r="AE12" s="133">
        <f t="shared" ref="AE12:AE20" si="8">+W12+AD12</f>
        <v>1677911.7215499999</v>
      </c>
      <c r="AF12" s="134">
        <f>'AUTO CALCULATION SHEET (2)'!N19</f>
        <v>2430</v>
      </c>
      <c r="AG12" s="135">
        <f>'AUTO CALCULATION SHEET (2)'!AA19</f>
        <v>119</v>
      </c>
      <c r="AH12" s="135">
        <f>'AUTO CALCULATION SHEET (2)'!AF19</f>
        <v>328</v>
      </c>
      <c r="AI12" s="135">
        <f>'AUTO CALCULATION SHEET (2)'!AH19</f>
        <v>870</v>
      </c>
      <c r="AJ12" s="135">
        <f>'AUTO CALCULATION SHEET (2)'!AI19</f>
        <v>0</v>
      </c>
      <c r="AK12" s="135">
        <f>'AUTO CALCULATION SHEET (2)'!AX19</f>
        <v>300</v>
      </c>
      <c r="AL12" s="135">
        <f>'AUTO CALCULATION SHEET (2)'!BG19</f>
        <v>1150</v>
      </c>
      <c r="AM12" s="135">
        <f>'AUTO CALCULATION SHEET (2)'!BT19</f>
        <v>1012</v>
      </c>
      <c r="AN12" s="135">
        <f>'AUTO CALCULATION SHEET (2)'!BX19</f>
        <v>1310</v>
      </c>
      <c r="AO12" s="135">
        <f>'AUTO CALCULATION SHEET (2)'!CE19</f>
        <v>49</v>
      </c>
      <c r="AP12" s="136">
        <f t="shared" ref="AP12:AP20" si="9">SUMPRODUCT(AF12:AO12,$AF$10:$AO$10)</f>
        <v>1183471</v>
      </c>
      <c r="AQ12" s="137">
        <f>'AUTO CALCULATION SHEET (2)'!CK19</f>
        <v>60800</v>
      </c>
      <c r="AR12" s="136">
        <f t="shared" ref="AR12:AR20" si="10">AP12+AQ12</f>
        <v>1244271</v>
      </c>
      <c r="AS12" s="137">
        <f t="shared" ref="AS12:AS20" si="11">AE12-AR12</f>
        <v>433640.7215499999</v>
      </c>
      <c r="AT12" s="136">
        <f>ROUND((AS12/AR12)*100,2)</f>
        <v>34.85</v>
      </c>
      <c r="AU12" s="137">
        <v>0</v>
      </c>
      <c r="AV12" s="137">
        <v>0</v>
      </c>
      <c r="AW12" s="137">
        <v>0</v>
      </c>
      <c r="AX12" s="138">
        <f>AT12-AU12-AV12-AW12</f>
        <v>34.85</v>
      </c>
    </row>
    <row r="13" spans="1:50" ht="24" customHeight="1" x14ac:dyDescent="0.2">
      <c r="A13" s="117" t="s">
        <v>183</v>
      </c>
      <c r="B13" s="118"/>
      <c r="C13" s="119" t="s">
        <v>181</v>
      </c>
      <c r="D13" s="120">
        <v>45833</v>
      </c>
      <c r="E13" s="121">
        <v>260517.35</v>
      </c>
      <c r="F13" s="122">
        <v>909044.63</v>
      </c>
      <c r="G13" s="123">
        <v>183840</v>
      </c>
      <c r="H13" s="123">
        <v>157075</v>
      </c>
      <c r="I13" s="124">
        <v>81250</v>
      </c>
      <c r="J13" s="125">
        <f t="shared" si="0"/>
        <v>45809</v>
      </c>
      <c r="K13" s="123">
        <v>255857</v>
      </c>
      <c r="L13" s="123">
        <v>920211</v>
      </c>
      <c r="M13" s="123">
        <v>183840</v>
      </c>
      <c r="N13" s="123">
        <v>157075</v>
      </c>
      <c r="O13" s="124">
        <v>81250</v>
      </c>
      <c r="P13" s="126">
        <v>0.59299999999999997</v>
      </c>
      <c r="Q13" s="127"/>
      <c r="R13" s="127">
        <v>0.67900000000000005</v>
      </c>
      <c r="S13" s="127">
        <v>1.3959999999999999</v>
      </c>
      <c r="T13" s="127"/>
      <c r="U13" s="127">
        <v>0.84899999999999998</v>
      </c>
      <c r="V13" s="128">
        <v>7.0999999999999994E-2</v>
      </c>
      <c r="W13" s="164">
        <f>'AUTO CALCULATION SHEET (2)'!E47*1000</f>
        <v>694920</v>
      </c>
      <c r="X13" s="130">
        <f t="shared" si="1"/>
        <v>2763.5875500000034</v>
      </c>
      <c r="Y13" s="131">
        <f t="shared" si="2"/>
        <v>0</v>
      </c>
      <c r="Z13" s="127">
        <f t="shared" si="3"/>
        <v>0</v>
      </c>
      <c r="AA13" s="127">
        <f t="shared" si="4"/>
        <v>0</v>
      </c>
      <c r="AB13" s="127">
        <f t="shared" si="5"/>
        <v>0</v>
      </c>
      <c r="AC13" s="132">
        <f t="shared" si="6"/>
        <v>-792.81226999999956</v>
      </c>
      <c r="AD13" s="129">
        <f t="shared" si="7"/>
        <v>1970.7752800000039</v>
      </c>
      <c r="AE13" s="133">
        <f t="shared" si="8"/>
        <v>696890.77528000006</v>
      </c>
      <c r="AF13" s="134">
        <f>'AUTO CALCULATION SHEET (2)'!N20</f>
        <v>567</v>
      </c>
      <c r="AG13" s="135">
        <f>'AUTO CALCULATION SHEET (2)'!AA20</f>
        <v>78</v>
      </c>
      <c r="AH13" s="135">
        <f>'AUTO CALCULATION SHEET (2)'!AF20</f>
        <v>190</v>
      </c>
      <c r="AI13" s="135">
        <f>'AUTO CALCULATION SHEET (2)'!AH20</f>
        <v>510</v>
      </c>
      <c r="AJ13" s="135">
        <f>'AUTO CALCULATION SHEET (2)'!AI20</f>
        <v>0</v>
      </c>
      <c r="AK13" s="135">
        <f>'AUTO CALCULATION SHEET (2)'!AX20</f>
        <v>155</v>
      </c>
      <c r="AL13" s="135">
        <f>'AUTO CALCULATION SHEET (2)'!BG20</f>
        <v>775</v>
      </c>
      <c r="AM13" s="135">
        <f>'AUTO CALCULATION SHEET (2)'!BT20</f>
        <v>490</v>
      </c>
      <c r="AN13" s="135">
        <f>'AUTO CALCULATION SHEET (2)'!BX20</f>
        <v>560</v>
      </c>
      <c r="AO13" s="135">
        <f>'AUTO CALCULATION SHEET (2)'!CE20</f>
        <v>35</v>
      </c>
      <c r="AP13" s="136">
        <f t="shared" si="9"/>
        <v>466881</v>
      </c>
      <c r="AQ13" s="137">
        <f>'AUTO CALCULATION SHEET (2)'!CK20</f>
        <v>47500</v>
      </c>
      <c r="AR13" s="136">
        <f t="shared" si="10"/>
        <v>514381</v>
      </c>
      <c r="AS13" s="137">
        <f t="shared" si="11"/>
        <v>182509.77528000006</v>
      </c>
      <c r="AT13" s="136">
        <f>ROUND((AS13/AR13)*100,2)</f>
        <v>35.479999999999997</v>
      </c>
      <c r="AU13" s="137">
        <v>0</v>
      </c>
      <c r="AV13" s="137">
        <v>0</v>
      </c>
      <c r="AW13" s="137">
        <v>0</v>
      </c>
      <c r="AX13" s="138">
        <f>AT13-AU13-AV13-AW13</f>
        <v>35.479999999999997</v>
      </c>
    </row>
    <row r="14" spans="1:50" ht="24" customHeight="1" x14ac:dyDescent="0.2">
      <c r="A14" s="117" t="s">
        <v>186</v>
      </c>
      <c r="B14" s="118"/>
      <c r="C14" s="119" t="s">
        <v>181</v>
      </c>
      <c r="D14" s="120">
        <v>45833</v>
      </c>
      <c r="E14" s="121">
        <v>260517.35</v>
      </c>
      <c r="F14" s="122">
        <v>909044.63</v>
      </c>
      <c r="G14" s="123">
        <v>151416</v>
      </c>
      <c r="H14" s="123">
        <v>156075</v>
      </c>
      <c r="I14" s="124">
        <v>81250</v>
      </c>
      <c r="J14" s="125">
        <f>$B$1</f>
        <v>45809</v>
      </c>
      <c r="K14" s="123">
        <v>255857</v>
      </c>
      <c r="L14" s="123">
        <v>920211</v>
      </c>
      <c r="M14" s="123">
        <v>151416</v>
      </c>
      <c r="N14" s="123">
        <v>156075</v>
      </c>
      <c r="O14" s="124">
        <v>81250</v>
      </c>
      <c r="P14" s="126">
        <v>4.4980000000000002</v>
      </c>
      <c r="Q14" s="127"/>
      <c r="R14" s="127">
        <v>0.71399999999999997</v>
      </c>
      <c r="S14" s="127">
        <v>1.6259999999999999</v>
      </c>
      <c r="T14" s="127"/>
      <c r="U14" s="127">
        <v>1.2310000000000001</v>
      </c>
      <c r="V14" s="128"/>
      <c r="W14" s="164">
        <f>'AUTO CALCULATION SHEET (2)'!E48*1000</f>
        <v>1968520</v>
      </c>
      <c r="X14" s="130">
        <f t="shared" si="1"/>
        <v>20962.254300000026</v>
      </c>
      <c r="Y14" s="131">
        <f t="shared" si="2"/>
        <v>0</v>
      </c>
      <c r="Z14" s="127">
        <f t="shared" si="3"/>
        <v>0</v>
      </c>
      <c r="AA14" s="127">
        <f t="shared" si="4"/>
        <v>0</v>
      </c>
      <c r="AB14" s="127">
        <f t="shared" si="5"/>
        <v>0</v>
      </c>
      <c r="AC14" s="132">
        <f t="shared" si="6"/>
        <v>0</v>
      </c>
      <c r="AD14" s="129">
        <f t="shared" si="7"/>
        <v>20962.254300000026</v>
      </c>
      <c r="AE14" s="133">
        <f t="shared" si="8"/>
        <v>1989482.2542999999</v>
      </c>
      <c r="AF14" s="134">
        <f>'AUTO CALCULATION SHEET (2)'!N21</f>
        <v>4320</v>
      </c>
      <c r="AG14" s="135">
        <f>'AUTO CALCULATION SHEET (2)'!AA21</f>
        <v>0</v>
      </c>
      <c r="AH14" s="135">
        <f>'AUTO CALCULATION SHEET (2)'!AF21</f>
        <v>0</v>
      </c>
      <c r="AI14" s="135">
        <f>'AUTO CALCULATION SHEET (2)'!AH21</f>
        <v>0</v>
      </c>
      <c r="AJ14" s="135">
        <f>'AUTO CALCULATION SHEET (2)'!AI21</f>
        <v>700</v>
      </c>
      <c r="AK14" s="135">
        <f>'AUTO CALCULATION SHEET (2)'!AX21</f>
        <v>271</v>
      </c>
      <c r="AL14" s="135">
        <f>'AUTO CALCULATION SHEET (2)'!BG21</f>
        <v>1102</v>
      </c>
      <c r="AM14" s="135">
        <f>'AUTO CALCULATION SHEET (2)'!BT21</f>
        <v>940</v>
      </c>
      <c r="AN14" s="135">
        <f>'AUTO CALCULATION SHEET (2)'!BX21</f>
        <v>0</v>
      </c>
      <c r="AO14" s="135">
        <f>'AUTO CALCULATION SHEET (2)'!CE21</f>
        <v>87</v>
      </c>
      <c r="AP14" s="136">
        <f t="shared" si="9"/>
        <v>1426545</v>
      </c>
      <c r="AQ14" s="137">
        <f>'AUTO CALCULATION SHEET (2)'!CK21</f>
        <v>57600</v>
      </c>
      <c r="AR14" s="136">
        <f t="shared" si="10"/>
        <v>1484145</v>
      </c>
      <c r="AS14" s="137">
        <f t="shared" si="11"/>
        <v>505337.25429999991</v>
      </c>
      <c r="AT14" s="136">
        <f>ROUND((AS14/AR14)*100,2)</f>
        <v>34.049999999999997</v>
      </c>
      <c r="AU14" s="137">
        <v>0</v>
      </c>
      <c r="AV14" s="137">
        <v>0</v>
      </c>
      <c r="AW14" s="137">
        <v>0</v>
      </c>
      <c r="AX14" s="138">
        <f>AT14-AU14-AV14-AW14</f>
        <v>34.049999999999997</v>
      </c>
    </row>
    <row r="15" spans="1:50" ht="24" customHeight="1" x14ac:dyDescent="0.2">
      <c r="A15" s="117" t="s">
        <v>184</v>
      </c>
      <c r="B15" s="118"/>
      <c r="C15" s="119" t="s">
        <v>181</v>
      </c>
      <c r="D15" s="120">
        <v>45833</v>
      </c>
      <c r="E15" s="121">
        <v>260517.35</v>
      </c>
      <c r="F15" s="122">
        <v>909044.63</v>
      </c>
      <c r="G15" s="123">
        <v>151416</v>
      </c>
      <c r="H15" s="123">
        <v>156075</v>
      </c>
      <c r="I15" s="124">
        <v>81250</v>
      </c>
      <c r="J15" s="125">
        <f>$B$1</f>
        <v>45809</v>
      </c>
      <c r="K15" s="123">
        <v>255857</v>
      </c>
      <c r="L15" s="123">
        <v>920211</v>
      </c>
      <c r="M15" s="123">
        <v>151416</v>
      </c>
      <c r="N15" s="123">
        <v>156075</v>
      </c>
      <c r="O15" s="124">
        <v>81250</v>
      </c>
      <c r="P15" s="126">
        <v>1.706</v>
      </c>
      <c r="Q15" s="127"/>
      <c r="R15" s="127">
        <v>0.34399999999999997</v>
      </c>
      <c r="S15" s="127">
        <v>0.76200000000000001</v>
      </c>
      <c r="T15" s="127"/>
      <c r="U15" s="127">
        <v>0.79</v>
      </c>
      <c r="V15" s="128"/>
      <c r="W15" s="164">
        <f>'AUTO CALCULATION SHEET (2)'!E49*1000</f>
        <v>803420</v>
      </c>
      <c r="X15" s="130">
        <f t="shared" si="1"/>
        <v>7950.55710000001</v>
      </c>
      <c r="Y15" s="131">
        <f t="shared" si="2"/>
        <v>0</v>
      </c>
      <c r="Z15" s="127">
        <f t="shared" si="3"/>
        <v>0</v>
      </c>
      <c r="AA15" s="127">
        <f t="shared" si="4"/>
        <v>0</v>
      </c>
      <c r="AB15" s="127">
        <f t="shared" si="5"/>
        <v>0</v>
      </c>
      <c r="AC15" s="132">
        <f t="shared" si="6"/>
        <v>0</v>
      </c>
      <c r="AD15" s="129">
        <f t="shared" si="7"/>
        <v>7950.55710000001</v>
      </c>
      <c r="AE15" s="133">
        <f t="shared" si="8"/>
        <v>811370.55709999998</v>
      </c>
      <c r="AF15" s="134">
        <f>'AUTO CALCULATION SHEET (2)'!N22</f>
        <v>1620</v>
      </c>
      <c r="AG15" s="135">
        <f>'AUTO CALCULATION SHEET (2)'!AA22</f>
        <v>0</v>
      </c>
      <c r="AH15" s="135">
        <f>'AUTO CALCULATION SHEET (2)'!AF22</f>
        <v>0</v>
      </c>
      <c r="AI15" s="135">
        <f>'AUTO CALCULATION SHEET (2)'!AH22</f>
        <v>0</v>
      </c>
      <c r="AJ15" s="135">
        <f>'AUTO CALCULATION SHEET (2)'!AI22</f>
        <v>327</v>
      </c>
      <c r="AK15" s="135">
        <f>'AUTO CALCULATION SHEET (2)'!AX22</f>
        <v>145</v>
      </c>
      <c r="AL15" s="135">
        <f>'AUTO CALCULATION SHEET (2)'!BG22</f>
        <v>816</v>
      </c>
      <c r="AM15" s="135">
        <f>'AUTO CALCULATION SHEET (2)'!BT22</f>
        <v>503</v>
      </c>
      <c r="AN15" s="135">
        <f>'AUTO CALCULATION SHEET (2)'!BX22</f>
        <v>0</v>
      </c>
      <c r="AO15" s="135">
        <f>'AUTO CALCULATION SHEET (2)'!CE22</f>
        <v>32</v>
      </c>
      <c r="AP15" s="136">
        <f t="shared" si="9"/>
        <v>584670</v>
      </c>
      <c r="AQ15" s="137">
        <f>'AUTO CALCULATION SHEET (2)'!CK22</f>
        <v>20094</v>
      </c>
      <c r="AR15" s="136">
        <f t="shared" si="10"/>
        <v>604764</v>
      </c>
      <c r="AS15" s="137">
        <f t="shared" si="11"/>
        <v>206606.55709999998</v>
      </c>
      <c r="AT15" s="136">
        <f>ROUND((AS15/AR15)*100,2)</f>
        <v>34.159999999999997</v>
      </c>
      <c r="AU15" s="137">
        <v>0</v>
      </c>
      <c r="AV15" s="137">
        <v>0</v>
      </c>
      <c r="AW15" s="137">
        <v>0</v>
      </c>
      <c r="AX15" s="138">
        <f>AT15-AU15-AV15-AW15</f>
        <v>34.159999999999997</v>
      </c>
    </row>
    <row r="16" spans="1:50" ht="24" customHeight="1" x14ac:dyDescent="0.2">
      <c r="A16" s="117" t="s">
        <v>185</v>
      </c>
      <c r="B16" s="118"/>
      <c r="C16" s="119" t="s">
        <v>181</v>
      </c>
      <c r="D16" s="120">
        <v>45833</v>
      </c>
      <c r="E16" s="121">
        <v>260517.35</v>
      </c>
      <c r="F16" s="122">
        <v>909044.63</v>
      </c>
      <c r="G16" s="123">
        <v>151416</v>
      </c>
      <c r="H16" s="123">
        <v>156075</v>
      </c>
      <c r="I16" s="124">
        <v>81250</v>
      </c>
      <c r="J16" s="125">
        <f t="shared" ref="J16:J20" si="12">$B$1</f>
        <v>45809</v>
      </c>
      <c r="K16" s="123">
        <v>255857</v>
      </c>
      <c r="L16" s="123">
        <v>920211</v>
      </c>
      <c r="M16" s="123">
        <v>151416</v>
      </c>
      <c r="N16" s="123">
        <v>156075</v>
      </c>
      <c r="O16" s="124">
        <v>81250</v>
      </c>
      <c r="P16" s="126">
        <v>1.095</v>
      </c>
      <c r="Q16" s="127"/>
      <c r="R16" s="127">
        <v>0.21099999999999999</v>
      </c>
      <c r="S16" s="127">
        <v>0.52300000000000002</v>
      </c>
      <c r="T16" s="127"/>
      <c r="U16" s="127">
        <v>0.64500000000000002</v>
      </c>
      <c r="V16" s="128"/>
      <c r="W16" s="164">
        <f>'AUTO CALCULATION SHEET (2)'!E50*1000</f>
        <v>527300</v>
      </c>
      <c r="X16" s="130">
        <f t="shared" si="1"/>
        <v>5103.083250000006</v>
      </c>
      <c r="Y16" s="131">
        <f t="shared" si="2"/>
        <v>0</v>
      </c>
      <c r="Z16" s="127">
        <f t="shared" si="3"/>
        <v>0</v>
      </c>
      <c r="AA16" s="127">
        <f t="shared" si="4"/>
        <v>0</v>
      </c>
      <c r="AB16" s="127">
        <f t="shared" si="5"/>
        <v>0</v>
      </c>
      <c r="AC16" s="132">
        <f t="shared" si="6"/>
        <v>0</v>
      </c>
      <c r="AD16" s="129">
        <f t="shared" si="7"/>
        <v>5103.083250000006</v>
      </c>
      <c r="AE16" s="133">
        <f t="shared" si="8"/>
        <v>532403.08325000003</v>
      </c>
      <c r="AF16" s="134">
        <f>'AUTO CALCULATION SHEET (2)'!N23</f>
        <v>1026</v>
      </c>
      <c r="AG16" s="135">
        <f>'AUTO CALCULATION SHEET (2)'!AA23</f>
        <v>0</v>
      </c>
      <c r="AH16" s="135">
        <f>'AUTO CALCULATION SHEET (2)'!AF23</f>
        <v>0</v>
      </c>
      <c r="AI16" s="135">
        <f>'AUTO CALCULATION SHEET (2)'!AH23</f>
        <v>0</v>
      </c>
      <c r="AJ16" s="135">
        <f>'AUTO CALCULATION SHEET (2)'!AI23</f>
        <v>200</v>
      </c>
      <c r="AK16" s="135">
        <f>'AUTO CALCULATION SHEET (2)'!AX23</f>
        <v>90</v>
      </c>
      <c r="AL16" s="135">
        <f>'AUTO CALCULATION SHEET (2)'!BG23</f>
        <v>577</v>
      </c>
      <c r="AM16" s="135">
        <f>'AUTO CALCULATION SHEET (2)'!BT23</f>
        <v>304</v>
      </c>
      <c r="AN16" s="135">
        <f>'AUTO CALCULATION SHEET (2)'!BX23</f>
        <v>0</v>
      </c>
      <c r="AO16" s="135">
        <f>'AUTO CALCULATION SHEET (2)'!CE23</f>
        <v>45</v>
      </c>
      <c r="AP16" s="136">
        <f t="shared" si="9"/>
        <v>380379</v>
      </c>
      <c r="AQ16" s="137">
        <f>'AUTO CALCULATION SHEET (2)'!CK23</f>
        <v>15824</v>
      </c>
      <c r="AR16" s="136">
        <f t="shared" si="10"/>
        <v>396203</v>
      </c>
      <c r="AS16" s="137">
        <f t="shared" si="11"/>
        <v>136200.08325000003</v>
      </c>
      <c r="AT16" s="136">
        <f t="shared" ref="AT16:AT20" si="13">ROUND((AS16/AR16)*100,2)</f>
        <v>34.380000000000003</v>
      </c>
      <c r="AU16" s="137">
        <v>0</v>
      </c>
      <c r="AV16" s="137">
        <v>0</v>
      </c>
      <c r="AW16" s="137">
        <v>0</v>
      </c>
      <c r="AX16" s="138">
        <f t="shared" ref="AX16:AX20" si="14">AT16-AU16-AV16-AW16</f>
        <v>34.380000000000003</v>
      </c>
    </row>
    <row r="17" spans="1:50" ht="24" customHeight="1" x14ac:dyDescent="0.2">
      <c r="A17" s="117" t="s">
        <v>187</v>
      </c>
      <c r="B17" s="118"/>
      <c r="C17" s="119" t="s">
        <v>181</v>
      </c>
      <c r="D17" s="120">
        <v>45833</v>
      </c>
      <c r="E17" s="121">
        <v>260517.35</v>
      </c>
      <c r="F17" s="122">
        <v>909044.63</v>
      </c>
      <c r="G17" s="123">
        <v>151416</v>
      </c>
      <c r="H17" s="123">
        <v>156075</v>
      </c>
      <c r="I17" s="124">
        <v>81250</v>
      </c>
      <c r="J17" s="125">
        <f t="shared" si="12"/>
        <v>45809</v>
      </c>
      <c r="K17" s="123">
        <v>255857</v>
      </c>
      <c r="L17" s="123">
        <v>920211</v>
      </c>
      <c r="M17" s="123">
        <v>151416</v>
      </c>
      <c r="N17" s="123">
        <v>156075</v>
      </c>
      <c r="O17" s="124">
        <v>81250</v>
      </c>
      <c r="P17" s="126">
        <v>0.54700000000000004</v>
      </c>
      <c r="Q17" s="127"/>
      <c r="R17" s="127">
        <v>0.14399999999999999</v>
      </c>
      <c r="S17" s="127">
        <v>0.39400000000000002</v>
      </c>
      <c r="T17" s="127"/>
      <c r="U17" s="127">
        <v>0.499</v>
      </c>
      <c r="V17" s="128"/>
      <c r="W17" s="164">
        <f>'AUTO CALCULATION SHEET (2)'!E51*1000</f>
        <v>303630</v>
      </c>
      <c r="X17" s="130">
        <f t="shared" si="1"/>
        <v>2549.2114500000034</v>
      </c>
      <c r="Y17" s="131">
        <f t="shared" si="2"/>
        <v>0</v>
      </c>
      <c r="Z17" s="127">
        <f t="shared" si="3"/>
        <v>0</v>
      </c>
      <c r="AA17" s="127">
        <f t="shared" si="4"/>
        <v>0</v>
      </c>
      <c r="AB17" s="127">
        <f t="shared" si="5"/>
        <v>0</v>
      </c>
      <c r="AC17" s="132">
        <f t="shared" si="6"/>
        <v>0</v>
      </c>
      <c r="AD17" s="129">
        <f t="shared" si="7"/>
        <v>2549.2114500000034</v>
      </c>
      <c r="AE17" s="133">
        <f t="shared" si="8"/>
        <v>306179.21145</v>
      </c>
      <c r="AF17" s="134">
        <f>'AUTO CALCULATION SHEET (2)'!N24</f>
        <v>540</v>
      </c>
      <c r="AG17" s="135">
        <f>'AUTO CALCULATION SHEET (2)'!AA24</f>
        <v>0</v>
      </c>
      <c r="AH17" s="135">
        <f>'AUTO CALCULATION SHEET (2)'!AF24</f>
        <v>0</v>
      </c>
      <c r="AI17" s="135">
        <f>'AUTO CALCULATION SHEET (2)'!AH24</f>
        <v>0</v>
      </c>
      <c r="AJ17" s="135">
        <f>'AUTO CALCULATION SHEET (2)'!AI24</f>
        <v>144</v>
      </c>
      <c r="AK17" s="135">
        <f>'AUTO CALCULATION SHEET (2)'!AX24</f>
        <v>69</v>
      </c>
      <c r="AL17" s="135">
        <f>'AUTO CALCULATION SHEET (2)'!BG24</f>
        <v>425</v>
      </c>
      <c r="AM17" s="135">
        <f>'AUTO CALCULATION SHEET (2)'!BT24</f>
        <v>235</v>
      </c>
      <c r="AN17" s="135">
        <f>'AUTO CALCULATION SHEET (2)'!BX24</f>
        <v>0</v>
      </c>
      <c r="AO17" s="135">
        <f>'AUTO CALCULATION SHEET (2)'!CE24</f>
        <v>21</v>
      </c>
      <c r="AP17" s="136">
        <f t="shared" si="9"/>
        <v>219035</v>
      </c>
      <c r="AQ17" s="137">
        <f>'AUTO CALCULATION SHEET (2)'!CK24</f>
        <v>8874</v>
      </c>
      <c r="AR17" s="136">
        <f t="shared" si="10"/>
        <v>227909</v>
      </c>
      <c r="AS17" s="137">
        <f t="shared" si="11"/>
        <v>78270.211450000003</v>
      </c>
      <c r="AT17" s="136">
        <f t="shared" si="13"/>
        <v>34.340000000000003</v>
      </c>
      <c r="AU17" s="137">
        <v>0</v>
      </c>
      <c r="AV17" s="137">
        <v>0</v>
      </c>
      <c r="AW17" s="137">
        <v>0</v>
      </c>
      <c r="AX17" s="138">
        <f t="shared" si="14"/>
        <v>34.340000000000003</v>
      </c>
    </row>
    <row r="18" spans="1:50" ht="24" customHeight="1" x14ac:dyDescent="0.2">
      <c r="A18" s="117" t="s">
        <v>188</v>
      </c>
      <c r="B18" s="118"/>
      <c r="C18" s="119" t="s">
        <v>181</v>
      </c>
      <c r="D18" s="120">
        <v>45833</v>
      </c>
      <c r="E18" s="121">
        <v>260517.35</v>
      </c>
      <c r="F18" s="122">
        <v>909044.63</v>
      </c>
      <c r="G18" s="123">
        <v>151416</v>
      </c>
      <c r="H18" s="123">
        <v>156075</v>
      </c>
      <c r="I18" s="124">
        <v>81250</v>
      </c>
      <c r="J18" s="125">
        <f t="shared" si="12"/>
        <v>45809</v>
      </c>
      <c r="K18" s="123">
        <v>255857</v>
      </c>
      <c r="L18" s="123">
        <v>920211</v>
      </c>
      <c r="M18" s="123">
        <v>151416</v>
      </c>
      <c r="N18" s="123">
        <v>156075</v>
      </c>
      <c r="O18" s="124">
        <v>81250</v>
      </c>
      <c r="P18" s="126">
        <v>0.40400000000000003</v>
      </c>
      <c r="Q18" s="127"/>
      <c r="R18" s="127">
        <v>0.112</v>
      </c>
      <c r="S18" s="127">
        <v>0.31900000000000001</v>
      </c>
      <c r="T18" s="127"/>
      <c r="U18" s="127">
        <v>0.44</v>
      </c>
      <c r="V18" s="128"/>
      <c r="W18" s="164">
        <f>'AUTO CALCULATION SHEET (2)'!E52*1000</f>
        <v>237500</v>
      </c>
      <c r="X18" s="130">
        <f t="shared" si="1"/>
        <v>1882.7814000000026</v>
      </c>
      <c r="Y18" s="131">
        <f t="shared" si="2"/>
        <v>0</v>
      </c>
      <c r="Z18" s="127">
        <f t="shared" si="3"/>
        <v>0</v>
      </c>
      <c r="AA18" s="127">
        <f t="shared" si="4"/>
        <v>0</v>
      </c>
      <c r="AB18" s="127">
        <f t="shared" si="5"/>
        <v>0</v>
      </c>
      <c r="AC18" s="132">
        <f t="shared" si="6"/>
        <v>0</v>
      </c>
      <c r="AD18" s="129">
        <f t="shared" si="7"/>
        <v>1882.7814000000026</v>
      </c>
      <c r="AE18" s="133">
        <f t="shared" si="8"/>
        <v>239382.78140000001</v>
      </c>
      <c r="AF18" s="134">
        <f>'AUTO CALCULATION SHEET (2)'!N25</f>
        <v>378</v>
      </c>
      <c r="AG18" s="135">
        <f>'AUTO CALCULATION SHEET (2)'!AA25</f>
        <v>0</v>
      </c>
      <c r="AH18" s="135">
        <f>'AUTO CALCULATION SHEET (2)'!AF25</f>
        <v>0</v>
      </c>
      <c r="AI18" s="135">
        <f>'AUTO CALCULATION SHEET (2)'!AH25</f>
        <v>0</v>
      </c>
      <c r="AJ18" s="135">
        <f>'AUTO CALCULATION SHEET (2)'!AI25</f>
        <v>120</v>
      </c>
      <c r="AK18" s="135">
        <f>'AUTO CALCULATION SHEET (2)'!AX25</f>
        <v>54</v>
      </c>
      <c r="AL18" s="135">
        <f>'AUTO CALCULATION SHEET (2)'!BG25</f>
        <v>428</v>
      </c>
      <c r="AM18" s="135">
        <f>'AUTO CALCULATION SHEET (2)'!BT25</f>
        <v>201</v>
      </c>
      <c r="AN18" s="135">
        <f>'AUTO CALCULATION SHEET (2)'!BX25</f>
        <v>0</v>
      </c>
      <c r="AO18" s="135">
        <f>'AUTO CALCULATION SHEET (2)'!CE25</f>
        <v>18</v>
      </c>
      <c r="AP18" s="136">
        <f t="shared" si="9"/>
        <v>168957</v>
      </c>
      <c r="AQ18" s="137">
        <f>'AUTO CALCULATION SHEET (2)'!CK25</f>
        <v>8874</v>
      </c>
      <c r="AR18" s="136">
        <f t="shared" si="10"/>
        <v>177831</v>
      </c>
      <c r="AS18" s="137">
        <f t="shared" si="11"/>
        <v>61551.781400000007</v>
      </c>
      <c r="AT18" s="136">
        <f t="shared" si="13"/>
        <v>34.61</v>
      </c>
      <c r="AU18" s="137">
        <v>0</v>
      </c>
      <c r="AV18" s="137">
        <v>0</v>
      </c>
      <c r="AW18" s="137">
        <v>0</v>
      </c>
      <c r="AX18" s="138">
        <f t="shared" si="14"/>
        <v>34.61</v>
      </c>
    </row>
    <row r="19" spans="1:50" ht="24" customHeight="1" x14ac:dyDescent="0.2">
      <c r="A19" s="117" t="s">
        <v>189</v>
      </c>
      <c r="B19" s="118"/>
      <c r="C19" s="119" t="s">
        <v>181</v>
      </c>
      <c r="D19" s="120">
        <v>45833</v>
      </c>
      <c r="E19" s="121">
        <v>260517.35</v>
      </c>
      <c r="F19" s="122">
        <v>909044.63</v>
      </c>
      <c r="G19" s="123">
        <v>151416</v>
      </c>
      <c r="H19" s="123">
        <v>156075</v>
      </c>
      <c r="I19" s="124">
        <v>81250</v>
      </c>
      <c r="J19" s="125">
        <f t="shared" si="12"/>
        <v>45809</v>
      </c>
      <c r="K19" s="123">
        <v>255857</v>
      </c>
      <c r="L19" s="123">
        <v>920211</v>
      </c>
      <c r="M19" s="123">
        <v>151416</v>
      </c>
      <c r="N19" s="123">
        <v>156075</v>
      </c>
      <c r="O19" s="124">
        <v>81250</v>
      </c>
      <c r="P19" s="126">
        <v>0.183</v>
      </c>
      <c r="Q19" s="127"/>
      <c r="R19" s="127">
        <v>6.3E-2</v>
      </c>
      <c r="S19" s="127">
        <v>0.27900000000000003</v>
      </c>
      <c r="T19" s="127"/>
      <c r="U19" s="127">
        <v>0.32300000000000001</v>
      </c>
      <c r="V19" s="128"/>
      <c r="W19" s="164">
        <f>'AUTO CALCULATION SHEET (2)'!E53*1000</f>
        <v>134350</v>
      </c>
      <c r="X19" s="130">
        <f t="shared" si="1"/>
        <v>852.84405000000106</v>
      </c>
      <c r="Y19" s="131">
        <f t="shared" si="2"/>
        <v>0</v>
      </c>
      <c r="Z19" s="127">
        <f t="shared" si="3"/>
        <v>0</v>
      </c>
      <c r="AA19" s="127">
        <f t="shared" si="4"/>
        <v>0</v>
      </c>
      <c r="AB19" s="127">
        <f t="shared" si="5"/>
        <v>0</v>
      </c>
      <c r="AC19" s="132">
        <f t="shared" si="6"/>
        <v>0</v>
      </c>
      <c r="AD19" s="129">
        <f t="shared" si="7"/>
        <v>852.84405000000106</v>
      </c>
      <c r="AE19" s="133">
        <f t="shared" si="8"/>
        <v>135202.84405000001</v>
      </c>
      <c r="AF19" s="134">
        <f>'AUTO CALCULATION SHEET (2)'!N26</f>
        <v>173</v>
      </c>
      <c r="AG19" s="135">
        <f>'AUTO CALCULATION SHEET (2)'!AA26</f>
        <v>0</v>
      </c>
      <c r="AH19" s="135">
        <f>'AUTO CALCULATION SHEET (2)'!AF26</f>
        <v>0</v>
      </c>
      <c r="AI19" s="135">
        <f>'AUTO CALCULATION SHEET (2)'!AH26</f>
        <v>0</v>
      </c>
      <c r="AJ19" s="135">
        <f>'AUTO CALCULATION SHEET (2)'!AI26</f>
        <v>70</v>
      </c>
      <c r="AK19" s="135">
        <f>'AUTO CALCULATION SHEET (2)'!AX26</f>
        <v>42</v>
      </c>
      <c r="AL19" s="135">
        <f>'AUTO CALCULATION SHEET (2)'!BG26</f>
        <v>315</v>
      </c>
      <c r="AM19" s="135">
        <f>'AUTO CALCULATION SHEET (2)'!BT26</f>
        <v>154</v>
      </c>
      <c r="AN19" s="135">
        <f>'AUTO CALCULATION SHEET (2)'!BX26</f>
        <v>0</v>
      </c>
      <c r="AO19" s="135">
        <f>'AUTO CALCULATION SHEET (2)'!CE26</f>
        <v>14</v>
      </c>
      <c r="AP19" s="136">
        <f t="shared" si="9"/>
        <v>94802</v>
      </c>
      <c r="AQ19" s="137">
        <f>'AUTO CALCULATION SHEET (2)'!CK26</f>
        <v>5448</v>
      </c>
      <c r="AR19" s="136">
        <f t="shared" si="10"/>
        <v>100250</v>
      </c>
      <c r="AS19" s="137">
        <f t="shared" si="11"/>
        <v>34952.844050000014</v>
      </c>
      <c r="AT19" s="136">
        <f t="shared" si="13"/>
        <v>34.869999999999997</v>
      </c>
      <c r="AU19" s="137">
        <v>0</v>
      </c>
      <c r="AV19" s="137">
        <v>0</v>
      </c>
      <c r="AW19" s="137">
        <v>0</v>
      </c>
      <c r="AX19" s="138">
        <f t="shared" si="14"/>
        <v>34.869999999999997</v>
      </c>
    </row>
    <row r="20" spans="1:50" ht="24" customHeight="1" x14ac:dyDescent="0.2">
      <c r="A20" s="117" t="s">
        <v>190</v>
      </c>
      <c r="B20" s="118"/>
      <c r="C20" s="119" t="s">
        <v>181</v>
      </c>
      <c r="D20" s="120">
        <v>45833</v>
      </c>
      <c r="E20" s="121">
        <v>260517.35</v>
      </c>
      <c r="F20" s="122">
        <v>909044.63</v>
      </c>
      <c r="G20" s="123">
        <v>151416</v>
      </c>
      <c r="H20" s="123">
        <v>156075</v>
      </c>
      <c r="I20" s="124">
        <v>80250</v>
      </c>
      <c r="J20" s="125">
        <f t="shared" si="12"/>
        <v>45809</v>
      </c>
      <c r="K20" s="123">
        <v>255857</v>
      </c>
      <c r="L20" s="123">
        <v>920211</v>
      </c>
      <c r="M20" s="123">
        <v>151416</v>
      </c>
      <c r="N20" s="123">
        <v>156075</v>
      </c>
      <c r="O20" s="124">
        <v>80250</v>
      </c>
      <c r="P20" s="126">
        <v>5.2999999999999999E-2</v>
      </c>
      <c r="Q20" s="127"/>
      <c r="R20" s="127">
        <v>2.5000000000000001E-2</v>
      </c>
      <c r="S20" s="127">
        <v>0.28000000000000003</v>
      </c>
      <c r="T20" s="127"/>
      <c r="U20" s="127">
        <v>0.39200000000000002</v>
      </c>
      <c r="V20" s="128"/>
      <c r="W20" s="164">
        <f>'AUTO CALCULATION SHEET (2)'!E54*1000</f>
        <v>89870</v>
      </c>
      <c r="X20" s="130">
        <f t="shared" si="1"/>
        <v>246.99855000000031</v>
      </c>
      <c r="Y20" s="131">
        <f t="shared" si="2"/>
        <v>0</v>
      </c>
      <c r="Z20" s="127">
        <f t="shared" si="3"/>
        <v>0</v>
      </c>
      <c r="AA20" s="127">
        <f t="shared" si="4"/>
        <v>0</v>
      </c>
      <c r="AB20" s="127">
        <f t="shared" si="5"/>
        <v>0</v>
      </c>
      <c r="AC20" s="132">
        <f t="shared" si="6"/>
        <v>0</v>
      </c>
      <c r="AD20" s="129">
        <f t="shared" si="7"/>
        <v>246.99855000000031</v>
      </c>
      <c r="AE20" s="133">
        <f t="shared" si="8"/>
        <v>90116.998550000004</v>
      </c>
      <c r="AF20" s="134">
        <f>'AUTO CALCULATION SHEET (2)'!N27</f>
        <v>54</v>
      </c>
      <c r="AG20" s="135">
        <f>'AUTO CALCULATION SHEET (2)'!AA27</f>
        <v>0</v>
      </c>
      <c r="AH20" s="135">
        <f>'AUTO CALCULATION SHEET (2)'!AF27</f>
        <v>0</v>
      </c>
      <c r="AI20" s="135">
        <f>'AUTO CALCULATION SHEET (2)'!AH27</f>
        <v>0</v>
      </c>
      <c r="AJ20" s="135">
        <f>'AUTO CALCULATION SHEET (2)'!AI27</f>
        <v>29</v>
      </c>
      <c r="AK20" s="135">
        <f>'AUTO CALCULATION SHEET (2)'!AX27</f>
        <v>78</v>
      </c>
      <c r="AL20" s="135">
        <f>'AUTO CALCULATION SHEET (2)'!BG27</f>
        <v>357</v>
      </c>
      <c r="AM20" s="135">
        <f>'AUTO CALCULATION SHEET (2)'!BT27</f>
        <v>134</v>
      </c>
      <c r="AN20" s="135">
        <f>'AUTO CALCULATION SHEET (2)'!BX27</f>
        <v>0</v>
      </c>
      <c r="AO20" s="135">
        <f>'AUTO CALCULATION SHEET (2)'!CE27</f>
        <v>13</v>
      </c>
      <c r="AP20" s="136">
        <f t="shared" si="9"/>
        <v>62171</v>
      </c>
      <c r="AQ20" s="137">
        <f>'AUTO CALCULATION SHEET (2)'!CK27</f>
        <v>4313</v>
      </c>
      <c r="AR20" s="136">
        <f t="shared" si="10"/>
        <v>66484</v>
      </c>
      <c r="AS20" s="137">
        <f t="shared" si="11"/>
        <v>23632.998550000004</v>
      </c>
      <c r="AT20" s="136">
        <f t="shared" si="13"/>
        <v>35.549999999999997</v>
      </c>
      <c r="AU20" s="137">
        <v>0</v>
      </c>
      <c r="AV20" s="137">
        <v>0</v>
      </c>
      <c r="AW20" s="137">
        <v>0</v>
      </c>
      <c r="AX20" s="138">
        <f t="shared" si="14"/>
        <v>35.549999999999997</v>
      </c>
    </row>
    <row r="21" spans="1:50" s="154" customFormat="1" ht="31.5" customHeight="1" thickBot="1" x14ac:dyDescent="0.25">
      <c r="A21" s="139"/>
      <c r="B21" s="139"/>
      <c r="C21" s="140"/>
      <c r="D21" s="141"/>
      <c r="E21" s="142"/>
      <c r="F21" s="142"/>
      <c r="G21" s="142"/>
      <c r="H21" s="142"/>
      <c r="I21" s="143"/>
      <c r="J21" s="144"/>
      <c r="K21" s="145"/>
      <c r="L21" s="145"/>
      <c r="M21" s="145"/>
      <c r="N21" s="145"/>
      <c r="O21" s="146"/>
      <c r="P21" s="144"/>
      <c r="Q21" s="142"/>
      <c r="R21" s="142"/>
      <c r="S21" s="142"/>
      <c r="T21" s="142"/>
      <c r="U21" s="142"/>
      <c r="V21" s="143"/>
      <c r="W21" s="147"/>
      <c r="X21" s="148"/>
      <c r="Y21" s="149"/>
      <c r="Z21" s="149"/>
      <c r="AA21" s="149"/>
      <c r="AB21" s="149"/>
      <c r="AC21" s="150"/>
      <c r="AD21" s="151"/>
      <c r="AE21" s="147"/>
      <c r="AF21" s="152"/>
      <c r="AG21" s="152"/>
      <c r="AH21" s="152"/>
      <c r="AI21" s="152"/>
      <c r="AJ21" s="152"/>
      <c r="AK21" s="152"/>
      <c r="AL21" s="152"/>
      <c r="AM21" s="152"/>
      <c r="AN21" s="152"/>
      <c r="AO21" s="152"/>
      <c r="AP21" s="152"/>
      <c r="AQ21" s="152"/>
      <c r="AR21" s="152"/>
      <c r="AS21" s="152"/>
      <c r="AT21" s="152"/>
      <c r="AU21" s="152"/>
      <c r="AV21" s="152"/>
      <c r="AW21" s="152"/>
      <c r="AX21" s="153"/>
    </row>
    <row r="22" spans="1:50" s="154" customFormat="1" x14ac:dyDescent="0.2">
      <c r="A22" s="92"/>
      <c r="B22" s="92"/>
      <c r="C22" s="92"/>
      <c r="D22" s="92"/>
      <c r="E22" s="155"/>
      <c r="F22" s="155"/>
      <c r="G22" s="92"/>
      <c r="H22" s="92"/>
      <c r="I22" s="92"/>
      <c r="J22" s="92"/>
      <c r="K22" s="92"/>
      <c r="L22" s="92"/>
      <c r="M22" s="92"/>
    </row>
    <row r="24" spans="1:50" x14ac:dyDescent="0.2">
      <c r="J24" s="156"/>
    </row>
    <row r="25" spans="1:50" x14ac:dyDescent="0.2">
      <c r="J25" s="156"/>
    </row>
  </sheetData>
  <mergeCells count="41">
    <mergeCell ref="B1:M1"/>
    <mergeCell ref="A2:M2"/>
    <mergeCell ref="A3:M4"/>
    <mergeCell ref="AD5:AE5"/>
    <mergeCell ref="AF7:AX8"/>
    <mergeCell ref="A8:A10"/>
    <mergeCell ref="B8:B10"/>
    <mergeCell ref="C8:C10"/>
    <mergeCell ref="D8:I8"/>
    <mergeCell ref="J8:O8"/>
    <mergeCell ref="I9:I10"/>
    <mergeCell ref="P8:V9"/>
    <mergeCell ref="W8:W10"/>
    <mergeCell ref="X8:X10"/>
    <mergeCell ref="Y8:Y10"/>
    <mergeCell ref="D9:D10"/>
    <mergeCell ref="E9:E10"/>
    <mergeCell ref="F9:F10"/>
    <mergeCell ref="G9:G10"/>
    <mergeCell ref="H9:H10"/>
    <mergeCell ref="O9:O10"/>
    <mergeCell ref="J9:J10"/>
    <mergeCell ref="K9:K10"/>
    <mergeCell ref="L9:L10"/>
    <mergeCell ref="M9:M10"/>
    <mergeCell ref="N9:N10"/>
    <mergeCell ref="AB8:AB10"/>
    <mergeCell ref="AC8:AC10"/>
    <mergeCell ref="AD8:AD10"/>
    <mergeCell ref="AE8:AE10"/>
    <mergeCell ref="Z8:Z10"/>
    <mergeCell ref="AA8:AA10"/>
    <mergeCell ref="AV9:AV11"/>
    <mergeCell ref="AW9:AW11"/>
    <mergeCell ref="AX9:AX11"/>
    <mergeCell ref="AP9:AP11"/>
    <mergeCell ref="AQ9:AQ11"/>
    <mergeCell ref="AR9:AR11"/>
    <mergeCell ref="AS9:AS11"/>
    <mergeCell ref="AT9:AT11"/>
    <mergeCell ref="AU9:AU11"/>
  </mergeCells>
  <pageMargins left="0.17" right="0.17" top="4.3499999999999996" bottom="0.75" header="0.3" footer="0.3"/>
  <pageSetup paperSize="9" scale="2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 AUTO CALCULATION SHEET</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cp:lastPrinted>2025-07-28T06:35:30Z</cp:lastPrinted>
  <dcterms:created xsi:type="dcterms:W3CDTF">2021-04-03T12:13:55Z</dcterms:created>
  <dcterms:modified xsi:type="dcterms:W3CDTF">2025-07-29T10:52:34Z</dcterms:modified>
</cp:coreProperties>
</file>