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5-26\08_AUGUST 2025\NBPDCL-PR-72-CONTROL-16531\"/>
    </mc:Choice>
  </mc:AlternateContent>
  <xr:revisionPtr revIDLastSave="0" documentId="13_ncr:1_{41E5C295-3EE6-4CE3-BF0C-99C003F4BFC9}" xr6:coauthVersionLast="47" xr6:coauthVersionMax="47" xr10:uidLastSave="{00000000-0000-0000-0000-000000000000}"/>
  <bookViews>
    <workbookView xWindow="60" yWindow="6930" windowWidth="28740" windowHeight="8670" activeTab="1" xr2:uid="{00000000-000D-0000-FFFF-FFFF00000000}"/>
  </bookViews>
  <sheets>
    <sheet name="Sheet1" sheetId="1" r:id="rId1"/>
    <sheet name="AUTO CALCULATION SHEET (2)" sheetId="4" r:id="rId2"/>
    <sheet name="PV AUTO CALCULATION SHEET" sheetId="6" r:id="rId3"/>
    <sheet name="terms" sheetId="5" state="hidden" r:id="rId4"/>
  </sheets>
  <definedNames>
    <definedName name="_xlnm._FilterDatabase" localSheetId="1" hidden="1">'AUTO CALCULATION SHEET (2)'!$A$18:$CY$21</definedName>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37" i="4" l="1"/>
  <c r="AQ36" i="4"/>
  <c r="AQ35" i="4"/>
  <c r="AQ34" i="4"/>
  <c r="AB10" i="6" l="1"/>
  <c r="AB11" i="6"/>
  <c r="AB12" i="6"/>
  <c r="AB9" i="6"/>
  <c r="Z10" i="6"/>
  <c r="Z11" i="6"/>
  <c r="Z12" i="6"/>
  <c r="Z9" i="6"/>
  <c r="Y10" i="6"/>
  <c r="Y11" i="6"/>
  <c r="Y12" i="6"/>
  <c r="Y9" i="6"/>
  <c r="X10" i="6"/>
  <c r="X11" i="6"/>
  <c r="X12" i="6"/>
  <c r="X9" i="6"/>
  <c r="W10" i="6"/>
  <c r="W11" i="6"/>
  <c r="W12" i="6"/>
  <c r="W9" i="6"/>
  <c r="V10" i="6"/>
  <c r="V11" i="6"/>
  <c r="V12" i="6"/>
  <c r="V9" i="6"/>
  <c r="U10" i="6"/>
  <c r="U11" i="6"/>
  <c r="U12" i="6"/>
  <c r="U9" i="6"/>
  <c r="Z6" i="6"/>
  <c r="Y6" i="6"/>
  <c r="X6" i="6"/>
  <c r="W6" i="6"/>
  <c r="V6" i="6"/>
  <c r="U6" i="6"/>
  <c r="S12" i="6"/>
  <c r="S11" i="6"/>
  <c r="S10" i="6"/>
  <c r="S9" i="6"/>
  <c r="R12" i="6"/>
  <c r="R11" i="6"/>
  <c r="R10" i="6"/>
  <c r="R9" i="6"/>
  <c r="Q12" i="6"/>
  <c r="Q11" i="6"/>
  <c r="Q10" i="6"/>
  <c r="Q9" i="6"/>
  <c r="P12" i="6"/>
  <c r="P11" i="6"/>
  <c r="P10" i="6"/>
  <c r="P9" i="6"/>
  <c r="A10" i="6"/>
  <c r="A11" i="6"/>
  <c r="A12" i="6"/>
  <c r="A9" i="6"/>
  <c r="BJ35" i="4"/>
  <c r="BJ37" i="4"/>
  <c r="AS35" i="4"/>
  <c r="AS36" i="4"/>
  <c r="BJ36" i="4" s="1"/>
  <c r="AS37" i="4"/>
  <c r="AS34" i="4"/>
  <c r="BJ34" i="4" s="1"/>
  <c r="AL35" i="4"/>
  <c r="AL36" i="4"/>
  <c r="AL37" i="4"/>
  <c r="AL34" i="4"/>
  <c r="P35" i="4"/>
  <c r="P36" i="4"/>
  <c r="P37" i="4"/>
  <c r="P34" i="4"/>
  <c r="E35" i="4" l="1"/>
  <c r="F35" i="4"/>
  <c r="J35" i="4" s="1"/>
  <c r="K35" i="4" s="1"/>
  <c r="L35" i="4" s="1"/>
  <c r="M35" i="4" s="1"/>
  <c r="F19" i="4" s="1"/>
  <c r="E36" i="4"/>
  <c r="F36" i="4"/>
  <c r="J36" i="4" s="1"/>
  <c r="K36" i="4" s="1"/>
  <c r="L36" i="4" s="1"/>
  <c r="M36" i="4" s="1"/>
  <c r="F20" i="4" s="1"/>
  <c r="E37" i="4"/>
  <c r="F37" i="4"/>
  <c r="J37" i="4" s="1"/>
  <c r="K37" i="4" s="1"/>
  <c r="L37" i="4" s="1"/>
  <c r="M37" i="4" s="1"/>
  <c r="F21" i="4" s="1"/>
  <c r="D35" i="4"/>
  <c r="D36" i="4"/>
  <c r="D37" i="4"/>
  <c r="D34" i="4"/>
  <c r="H12" i="6"/>
  <c r="AA11" i="6"/>
  <c r="AC11" i="6" s="1"/>
  <c r="H11" i="6"/>
  <c r="H10" i="6"/>
  <c r="AA9" i="6"/>
  <c r="AC9" i="6" s="1"/>
  <c r="H9" i="6"/>
  <c r="AA10" i="6" l="1"/>
  <c r="AC10" i="6" s="1"/>
  <c r="AA12" i="6"/>
  <c r="AC12" i="6" s="1"/>
  <c r="CX29" i="4"/>
  <c r="CV29" i="4"/>
  <c r="CT29" i="4"/>
  <c r="CQ29" i="4"/>
  <c r="CO29" i="4"/>
  <c r="CM29" i="4"/>
  <c r="CK29" i="4"/>
  <c r="CJ29" i="4"/>
  <c r="CI29" i="4"/>
  <c r="CH29" i="4"/>
  <c r="CG29" i="4"/>
  <c r="CF29" i="4"/>
  <c r="CE29" i="4"/>
  <c r="CD29" i="4"/>
  <c r="CC29" i="4"/>
  <c r="CB29" i="4"/>
  <c r="CA29" i="4"/>
  <c r="BZ29" i="4"/>
  <c r="BY29" i="4"/>
  <c r="BX29" i="4"/>
  <c r="BW29" i="4"/>
  <c r="BV29" i="4"/>
  <c r="BU29" i="4"/>
  <c r="BT29" i="4"/>
  <c r="BS29" i="4"/>
  <c r="BR29" i="4"/>
  <c r="BQ29" i="4"/>
  <c r="BP29" i="4"/>
  <c r="BO29" i="4"/>
  <c r="BN29" i="4"/>
  <c r="BM29" i="4"/>
  <c r="BL29" i="4"/>
  <c r="BK29" i="4"/>
  <c r="BJ29" i="4"/>
  <c r="BI29" i="4"/>
  <c r="BH29" i="4"/>
  <c r="BG29" i="4"/>
  <c r="BF29" i="4"/>
  <c r="BE29" i="4"/>
  <c r="BD29" i="4"/>
  <c r="BC29" i="4"/>
  <c r="BB29" i="4"/>
  <c r="BA29" i="4"/>
  <c r="AZ29" i="4"/>
  <c r="AY29" i="4"/>
  <c r="AX29" i="4"/>
  <c r="AW29" i="4"/>
  <c r="AV29" i="4"/>
  <c r="AU29" i="4"/>
  <c r="AT29" i="4"/>
  <c r="AS29" i="4"/>
  <c r="AR29" i="4"/>
  <c r="AQ29" i="4"/>
  <c r="AP29" i="4"/>
  <c r="AO29" i="4"/>
  <c r="AN29" i="4"/>
  <c r="AM29" i="4"/>
  <c r="AL29" i="4"/>
  <c r="AK29" i="4"/>
  <c r="AJ29" i="4"/>
  <c r="AI29" i="4"/>
  <c r="AH29" i="4"/>
  <c r="AG29" i="4"/>
  <c r="AF29" i="4"/>
  <c r="AE29" i="4"/>
  <c r="AD29" i="4"/>
  <c r="AC29" i="4"/>
  <c r="AB29" i="4"/>
  <c r="AA29" i="4"/>
  <c r="Z29" i="4"/>
  <c r="Y29" i="4"/>
  <c r="X29" i="4"/>
  <c r="W29" i="4"/>
  <c r="V29" i="4"/>
  <c r="U29" i="4"/>
  <c r="T29" i="4"/>
  <c r="S29" i="4"/>
  <c r="R29" i="4"/>
  <c r="Q29" i="4"/>
  <c r="P29" i="4"/>
  <c r="O29" i="4"/>
  <c r="N29" i="4"/>
  <c r="L29" i="4"/>
  <c r="K29" i="4"/>
  <c r="H29" i="4"/>
  <c r="F29" i="4"/>
  <c r="D29" i="4"/>
  <c r="C29" i="4"/>
  <c r="B29" i="4"/>
  <c r="A29" i="4"/>
  <c r="CX28" i="4"/>
  <c r="CV28" i="4"/>
  <c r="CT28" i="4"/>
  <c r="CQ28" i="4"/>
  <c r="CO28" i="4"/>
  <c r="CM28" i="4"/>
  <c r="CK28" i="4"/>
  <c r="CJ28" i="4"/>
  <c r="CI28" i="4"/>
  <c r="CH28" i="4"/>
  <c r="CG28" i="4"/>
  <c r="CF28" i="4"/>
  <c r="CE28" i="4"/>
  <c r="CD28" i="4"/>
  <c r="CC28" i="4"/>
  <c r="CB28" i="4"/>
  <c r="CA28" i="4"/>
  <c r="BZ28" i="4"/>
  <c r="BY28" i="4"/>
  <c r="BX28" i="4"/>
  <c r="BW28" i="4"/>
  <c r="BV28" i="4"/>
  <c r="BU28" i="4"/>
  <c r="BT28" i="4"/>
  <c r="BS28" i="4"/>
  <c r="BR28" i="4"/>
  <c r="BQ28" i="4"/>
  <c r="BP28" i="4"/>
  <c r="BO28" i="4"/>
  <c r="BN28" i="4"/>
  <c r="BM28" i="4"/>
  <c r="BL28" i="4"/>
  <c r="BK28" i="4"/>
  <c r="BJ28" i="4"/>
  <c r="BI28" i="4"/>
  <c r="BH28" i="4"/>
  <c r="BG28" i="4"/>
  <c r="BF28" i="4"/>
  <c r="BE28" i="4"/>
  <c r="BD28" i="4"/>
  <c r="BC28" i="4"/>
  <c r="BB28" i="4"/>
  <c r="BA28" i="4"/>
  <c r="AZ28" i="4"/>
  <c r="AY28" i="4"/>
  <c r="AX28" i="4"/>
  <c r="AW28" i="4"/>
  <c r="AV28" i="4"/>
  <c r="AU28" i="4"/>
  <c r="AT28" i="4"/>
  <c r="AS28" i="4"/>
  <c r="AR28" i="4"/>
  <c r="AQ28" i="4"/>
  <c r="AP28" i="4"/>
  <c r="AO28" i="4"/>
  <c r="AN28" i="4"/>
  <c r="AM28" i="4"/>
  <c r="AL28" i="4"/>
  <c r="AK28" i="4"/>
  <c r="AJ28" i="4"/>
  <c r="AI28" i="4"/>
  <c r="AH28" i="4"/>
  <c r="AG28" i="4"/>
  <c r="AF28" i="4"/>
  <c r="AE28" i="4"/>
  <c r="AD28" i="4"/>
  <c r="AC28" i="4"/>
  <c r="AB28" i="4"/>
  <c r="AA28" i="4"/>
  <c r="Z28" i="4"/>
  <c r="Y28" i="4"/>
  <c r="X28" i="4"/>
  <c r="W28" i="4"/>
  <c r="V28" i="4"/>
  <c r="U28" i="4"/>
  <c r="T28" i="4"/>
  <c r="S28" i="4"/>
  <c r="R28" i="4"/>
  <c r="Q28" i="4"/>
  <c r="P28" i="4"/>
  <c r="O28" i="4"/>
  <c r="N28" i="4"/>
  <c r="L28" i="4"/>
  <c r="K28" i="4"/>
  <c r="H28" i="4"/>
  <c r="F28" i="4"/>
  <c r="D28" i="4"/>
  <c r="C28" i="4"/>
  <c r="B28" i="4"/>
  <c r="A28" i="4"/>
  <c r="CX27" i="4"/>
  <c r="CV27" i="4"/>
  <c r="CT27" i="4"/>
  <c r="CQ27" i="4"/>
  <c r="CO27" i="4"/>
  <c r="CM27" i="4"/>
  <c r="CK27" i="4"/>
  <c r="CJ27" i="4"/>
  <c r="CI27" i="4"/>
  <c r="CH27" i="4"/>
  <c r="CG27" i="4"/>
  <c r="CF27" i="4"/>
  <c r="CE27" i="4"/>
  <c r="CD27" i="4"/>
  <c r="CC27" i="4"/>
  <c r="CB27" i="4"/>
  <c r="CA27" i="4"/>
  <c r="BZ27" i="4"/>
  <c r="BY27" i="4"/>
  <c r="BX27" i="4"/>
  <c r="BW27" i="4"/>
  <c r="BV27" i="4"/>
  <c r="BU27" i="4"/>
  <c r="BT27" i="4"/>
  <c r="BS27" i="4"/>
  <c r="BR27" i="4"/>
  <c r="BQ27" i="4"/>
  <c r="BP27" i="4"/>
  <c r="BO27" i="4"/>
  <c r="BN27" i="4"/>
  <c r="BM27" i="4"/>
  <c r="BL27" i="4"/>
  <c r="BK27" i="4"/>
  <c r="BJ27" i="4"/>
  <c r="BI27" i="4"/>
  <c r="BH27" i="4"/>
  <c r="BG27" i="4"/>
  <c r="BF27" i="4"/>
  <c r="BE27" i="4"/>
  <c r="BD27" i="4"/>
  <c r="BC27" i="4"/>
  <c r="BB27" i="4"/>
  <c r="BA27" i="4"/>
  <c r="AZ27" i="4"/>
  <c r="AY27" i="4"/>
  <c r="AX27" i="4"/>
  <c r="AW27" i="4"/>
  <c r="AV27" i="4"/>
  <c r="AU27" i="4"/>
  <c r="AT27" i="4"/>
  <c r="AS27" i="4"/>
  <c r="AR27" i="4"/>
  <c r="AQ27" i="4"/>
  <c r="AP27" i="4"/>
  <c r="AO27" i="4"/>
  <c r="AN27" i="4"/>
  <c r="AM27" i="4"/>
  <c r="AL27" i="4"/>
  <c r="AK27" i="4"/>
  <c r="AJ27" i="4"/>
  <c r="AI27" i="4"/>
  <c r="AH27" i="4"/>
  <c r="AG27" i="4"/>
  <c r="AF27" i="4"/>
  <c r="AE27" i="4"/>
  <c r="AD27" i="4"/>
  <c r="AC27" i="4"/>
  <c r="AB27" i="4"/>
  <c r="AA27" i="4"/>
  <c r="Z27" i="4"/>
  <c r="Y27" i="4"/>
  <c r="X27" i="4"/>
  <c r="W27" i="4"/>
  <c r="V27" i="4"/>
  <c r="U27" i="4"/>
  <c r="T27" i="4"/>
  <c r="S27" i="4"/>
  <c r="R27" i="4"/>
  <c r="Q27" i="4"/>
  <c r="P27" i="4"/>
  <c r="O27" i="4"/>
  <c r="N27" i="4"/>
  <c r="L27" i="4"/>
  <c r="K27" i="4"/>
  <c r="H27" i="4"/>
  <c r="F27" i="4"/>
  <c r="D27" i="4"/>
  <c r="C27" i="4"/>
  <c r="B27" i="4"/>
  <c r="A27" i="4"/>
  <c r="CX26" i="4"/>
  <c r="CV26" i="4"/>
  <c r="CT26" i="4"/>
  <c r="CQ26" i="4"/>
  <c r="CO26" i="4"/>
  <c r="CM26" i="4"/>
  <c r="CK26" i="4"/>
  <c r="CJ26" i="4"/>
  <c r="CI26" i="4"/>
  <c r="CH26" i="4"/>
  <c r="CG26" i="4"/>
  <c r="CF26" i="4"/>
  <c r="CE26" i="4"/>
  <c r="CD26" i="4"/>
  <c r="CC26" i="4"/>
  <c r="CB26" i="4"/>
  <c r="CA26" i="4"/>
  <c r="BZ26" i="4"/>
  <c r="BY26" i="4"/>
  <c r="BX26" i="4"/>
  <c r="BW26" i="4"/>
  <c r="BV26" i="4"/>
  <c r="BU26" i="4"/>
  <c r="BT26" i="4"/>
  <c r="BS26" i="4"/>
  <c r="BR26" i="4"/>
  <c r="BQ26" i="4"/>
  <c r="BP26" i="4"/>
  <c r="BO26" i="4"/>
  <c r="BN26" i="4"/>
  <c r="BM26" i="4"/>
  <c r="BL26" i="4"/>
  <c r="BK26" i="4"/>
  <c r="BJ26" i="4"/>
  <c r="BI26" i="4"/>
  <c r="BH26" i="4"/>
  <c r="BG26" i="4"/>
  <c r="BF26" i="4"/>
  <c r="BE26" i="4"/>
  <c r="BD26" i="4"/>
  <c r="BC26" i="4"/>
  <c r="BB26" i="4"/>
  <c r="BA26" i="4"/>
  <c r="AZ26" i="4"/>
  <c r="AY26" i="4"/>
  <c r="AX26" i="4"/>
  <c r="AW26" i="4"/>
  <c r="AV26" i="4"/>
  <c r="AU26" i="4"/>
  <c r="AT26" i="4"/>
  <c r="AS26" i="4"/>
  <c r="AR26" i="4"/>
  <c r="AQ26" i="4"/>
  <c r="AP26" i="4"/>
  <c r="AO26" i="4"/>
  <c r="AN26" i="4"/>
  <c r="AM26" i="4"/>
  <c r="AL26" i="4"/>
  <c r="AK26" i="4"/>
  <c r="AJ26" i="4"/>
  <c r="AI26" i="4"/>
  <c r="AH26" i="4"/>
  <c r="AG26" i="4"/>
  <c r="AF26" i="4"/>
  <c r="AE26" i="4"/>
  <c r="AD26" i="4"/>
  <c r="AC26" i="4"/>
  <c r="AB26" i="4"/>
  <c r="AA26" i="4"/>
  <c r="Z26" i="4"/>
  <c r="Y26" i="4"/>
  <c r="X26" i="4"/>
  <c r="W26" i="4"/>
  <c r="V26" i="4"/>
  <c r="U26" i="4"/>
  <c r="T26" i="4"/>
  <c r="S26" i="4"/>
  <c r="R26" i="4"/>
  <c r="Q26" i="4"/>
  <c r="P26" i="4"/>
  <c r="O26" i="4"/>
  <c r="N26" i="4"/>
  <c r="L26" i="4"/>
  <c r="K26" i="4"/>
  <c r="H26" i="4"/>
  <c r="F26" i="4"/>
  <c r="D26" i="4"/>
  <c r="C26" i="4"/>
  <c r="B26" i="4"/>
  <c r="A26" i="4"/>
  <c r="CX25" i="4"/>
  <c r="CV25" i="4"/>
  <c r="CT25" i="4"/>
  <c r="CQ25" i="4"/>
  <c r="CO25" i="4"/>
  <c r="CM25" i="4"/>
  <c r="CK25" i="4"/>
  <c r="CJ25" i="4"/>
  <c r="CI25" i="4"/>
  <c r="CH25" i="4"/>
  <c r="CG25" i="4"/>
  <c r="CF25" i="4"/>
  <c r="CE25" i="4"/>
  <c r="CD25" i="4"/>
  <c r="CC25" i="4"/>
  <c r="CB25" i="4"/>
  <c r="CA25" i="4"/>
  <c r="BZ25" i="4"/>
  <c r="BY25" i="4"/>
  <c r="BX25" i="4"/>
  <c r="BW25" i="4"/>
  <c r="BV25" i="4"/>
  <c r="BU25" i="4"/>
  <c r="BT25" i="4"/>
  <c r="BS25" i="4"/>
  <c r="BR25" i="4"/>
  <c r="BQ25" i="4"/>
  <c r="BP25" i="4"/>
  <c r="BO25" i="4"/>
  <c r="BN25" i="4"/>
  <c r="BM25" i="4"/>
  <c r="BL25" i="4"/>
  <c r="BK25" i="4"/>
  <c r="BJ25" i="4"/>
  <c r="BI25" i="4"/>
  <c r="BH25" i="4"/>
  <c r="BG25" i="4"/>
  <c r="BF25" i="4"/>
  <c r="BE25" i="4"/>
  <c r="BD25" i="4"/>
  <c r="BC25" i="4"/>
  <c r="BB25" i="4"/>
  <c r="BA25" i="4"/>
  <c r="AZ25" i="4"/>
  <c r="AY25" i="4"/>
  <c r="AX25" i="4"/>
  <c r="AW25" i="4"/>
  <c r="AV25" i="4"/>
  <c r="AU25" i="4"/>
  <c r="AT25" i="4"/>
  <c r="AS25" i="4"/>
  <c r="AR25" i="4"/>
  <c r="AQ25" i="4"/>
  <c r="AP25" i="4"/>
  <c r="AO25" i="4"/>
  <c r="AN25" i="4"/>
  <c r="AM25" i="4"/>
  <c r="AL25" i="4"/>
  <c r="AK25" i="4"/>
  <c r="AJ25" i="4"/>
  <c r="AI25" i="4"/>
  <c r="AH25" i="4"/>
  <c r="AG25" i="4"/>
  <c r="AF25" i="4"/>
  <c r="AE25" i="4"/>
  <c r="AD25" i="4"/>
  <c r="AC25" i="4"/>
  <c r="AB25" i="4"/>
  <c r="AA25" i="4"/>
  <c r="Z25" i="4"/>
  <c r="Y25" i="4"/>
  <c r="X25" i="4"/>
  <c r="W25" i="4"/>
  <c r="V25" i="4"/>
  <c r="U25" i="4"/>
  <c r="T25" i="4"/>
  <c r="S25" i="4"/>
  <c r="R25" i="4"/>
  <c r="Q25" i="4"/>
  <c r="P25" i="4"/>
  <c r="O25" i="4"/>
  <c r="N25" i="4"/>
  <c r="L25" i="4"/>
  <c r="K25" i="4"/>
  <c r="H25" i="4"/>
  <c r="F25" i="4"/>
  <c r="D25" i="4"/>
  <c r="C25" i="4"/>
  <c r="B25" i="4"/>
  <c r="A25" i="4"/>
  <c r="CX24" i="4"/>
  <c r="CV24" i="4"/>
  <c r="CT24" i="4"/>
  <c r="CQ24" i="4"/>
  <c r="CO24" i="4"/>
  <c r="CM24" i="4"/>
  <c r="CK24" i="4"/>
  <c r="CJ24" i="4"/>
  <c r="CI24" i="4"/>
  <c r="CH24" i="4"/>
  <c r="CG24" i="4"/>
  <c r="CF24" i="4"/>
  <c r="CE24" i="4"/>
  <c r="CD24" i="4"/>
  <c r="CC24" i="4"/>
  <c r="CB24" i="4"/>
  <c r="CA24" i="4"/>
  <c r="BZ24" i="4"/>
  <c r="BY24" i="4"/>
  <c r="BX24" i="4"/>
  <c r="BW24" i="4"/>
  <c r="BV24" i="4"/>
  <c r="BU24" i="4"/>
  <c r="BT24" i="4"/>
  <c r="BS24" i="4"/>
  <c r="BR24" i="4"/>
  <c r="BQ24" i="4"/>
  <c r="BP24" i="4"/>
  <c r="BO24" i="4"/>
  <c r="BN24" i="4"/>
  <c r="BM24" i="4"/>
  <c r="BL24" i="4"/>
  <c r="BK24" i="4"/>
  <c r="BJ24" i="4"/>
  <c r="BI24" i="4"/>
  <c r="BH24" i="4"/>
  <c r="BG24" i="4"/>
  <c r="BF24" i="4"/>
  <c r="BE24" i="4"/>
  <c r="BD24" i="4"/>
  <c r="BC24" i="4"/>
  <c r="BB24" i="4"/>
  <c r="BA24" i="4"/>
  <c r="AZ24" i="4"/>
  <c r="AY24" i="4"/>
  <c r="AX24" i="4"/>
  <c r="AW24" i="4"/>
  <c r="AV24" i="4"/>
  <c r="AU24" i="4"/>
  <c r="AT24" i="4"/>
  <c r="AS24" i="4"/>
  <c r="AR24" i="4"/>
  <c r="AQ24" i="4"/>
  <c r="AP24" i="4"/>
  <c r="AO24" i="4"/>
  <c r="AN24" i="4"/>
  <c r="AM24" i="4"/>
  <c r="AL24" i="4"/>
  <c r="AK24" i="4"/>
  <c r="AJ24" i="4"/>
  <c r="AI24" i="4"/>
  <c r="AH24" i="4"/>
  <c r="AG24" i="4"/>
  <c r="AF24" i="4"/>
  <c r="AE24" i="4"/>
  <c r="AD24" i="4"/>
  <c r="AC24" i="4"/>
  <c r="AB24" i="4"/>
  <c r="AA24" i="4"/>
  <c r="Z24" i="4"/>
  <c r="Y24" i="4"/>
  <c r="X24" i="4"/>
  <c r="W24" i="4"/>
  <c r="V24" i="4"/>
  <c r="U24" i="4"/>
  <c r="T24" i="4"/>
  <c r="S24" i="4"/>
  <c r="R24" i="4"/>
  <c r="Q24" i="4"/>
  <c r="P24" i="4"/>
  <c r="O24" i="4"/>
  <c r="N24" i="4"/>
  <c r="L24" i="4"/>
  <c r="K24" i="4"/>
  <c r="H24" i="4"/>
  <c r="F24" i="4"/>
  <c r="D24" i="4"/>
  <c r="C24" i="4"/>
  <c r="B24" i="4"/>
  <c r="A24" i="4"/>
  <c r="CX23" i="4"/>
  <c r="CV23" i="4"/>
  <c r="CT23" i="4"/>
  <c r="CQ23" i="4"/>
  <c r="CO23" i="4"/>
  <c r="CM23" i="4"/>
  <c r="CK23" i="4"/>
  <c r="CJ23" i="4"/>
  <c r="CI23" i="4"/>
  <c r="CH23" i="4"/>
  <c r="CG23" i="4"/>
  <c r="CF23" i="4"/>
  <c r="CE23" i="4"/>
  <c r="CD23" i="4"/>
  <c r="CC23" i="4"/>
  <c r="CB23" i="4"/>
  <c r="CA23" i="4"/>
  <c r="BZ23" i="4"/>
  <c r="BY23" i="4"/>
  <c r="BX23" i="4"/>
  <c r="BW23" i="4"/>
  <c r="BV23" i="4"/>
  <c r="BU23" i="4"/>
  <c r="BT23" i="4"/>
  <c r="BS23" i="4"/>
  <c r="BR23" i="4"/>
  <c r="BQ23" i="4"/>
  <c r="BP23" i="4"/>
  <c r="BO23" i="4"/>
  <c r="BN23" i="4"/>
  <c r="BM23" i="4"/>
  <c r="BL23" i="4"/>
  <c r="BK23" i="4"/>
  <c r="BJ23" i="4"/>
  <c r="BI23" i="4"/>
  <c r="BH23" i="4"/>
  <c r="BG23" i="4"/>
  <c r="BF23" i="4"/>
  <c r="BE23" i="4"/>
  <c r="BD23" i="4"/>
  <c r="BC23" i="4"/>
  <c r="BB23" i="4"/>
  <c r="BA23" i="4"/>
  <c r="AZ23" i="4"/>
  <c r="AY23" i="4"/>
  <c r="AX23" i="4"/>
  <c r="AW23" i="4"/>
  <c r="AV23" i="4"/>
  <c r="AU23" i="4"/>
  <c r="AT23" i="4"/>
  <c r="AS23" i="4"/>
  <c r="AR23" i="4"/>
  <c r="AQ23" i="4"/>
  <c r="AP23" i="4"/>
  <c r="AO23" i="4"/>
  <c r="AN23" i="4"/>
  <c r="AM23" i="4"/>
  <c r="AL23" i="4"/>
  <c r="AK23" i="4"/>
  <c r="AJ23" i="4"/>
  <c r="AI23" i="4"/>
  <c r="AH23" i="4"/>
  <c r="AG23" i="4"/>
  <c r="AF23" i="4"/>
  <c r="AE23" i="4"/>
  <c r="AD23" i="4"/>
  <c r="AC23" i="4"/>
  <c r="AB23" i="4"/>
  <c r="AA23" i="4"/>
  <c r="Z23" i="4"/>
  <c r="Y23" i="4"/>
  <c r="X23" i="4"/>
  <c r="W23" i="4"/>
  <c r="V23" i="4"/>
  <c r="U23" i="4"/>
  <c r="T23" i="4"/>
  <c r="S23" i="4"/>
  <c r="R23" i="4"/>
  <c r="Q23" i="4"/>
  <c r="P23" i="4"/>
  <c r="O23" i="4"/>
  <c r="N23" i="4"/>
  <c r="L23" i="4"/>
  <c r="K23" i="4"/>
  <c r="H23" i="4"/>
  <c r="F23" i="4"/>
  <c r="D23" i="4"/>
  <c r="C23" i="4"/>
  <c r="B23" i="4"/>
  <c r="A23" i="4"/>
  <c r="CX22" i="4"/>
  <c r="CV22" i="4"/>
  <c r="CT22" i="4"/>
  <c r="CQ22" i="4"/>
  <c r="CO22" i="4"/>
  <c r="CM22" i="4"/>
  <c r="CK22" i="4"/>
  <c r="CJ22" i="4"/>
  <c r="CI22" i="4"/>
  <c r="CH22" i="4"/>
  <c r="CG22" i="4"/>
  <c r="CF22" i="4"/>
  <c r="CE22" i="4"/>
  <c r="CD22" i="4"/>
  <c r="CC22" i="4"/>
  <c r="CB22" i="4"/>
  <c r="CA22" i="4"/>
  <c r="BZ22" i="4"/>
  <c r="BY22" i="4"/>
  <c r="BX22" i="4"/>
  <c r="BW22" i="4"/>
  <c r="BV22" i="4"/>
  <c r="BU22" i="4"/>
  <c r="BT22" i="4"/>
  <c r="BS22" i="4"/>
  <c r="BR22" i="4"/>
  <c r="BQ22" i="4"/>
  <c r="BP22" i="4"/>
  <c r="BO22" i="4"/>
  <c r="BN22" i="4"/>
  <c r="BM22" i="4"/>
  <c r="BL22" i="4"/>
  <c r="BK22" i="4"/>
  <c r="BJ22" i="4"/>
  <c r="BI22" i="4"/>
  <c r="BH22" i="4"/>
  <c r="BG22" i="4"/>
  <c r="BF22" i="4"/>
  <c r="BE22" i="4"/>
  <c r="BD22" i="4"/>
  <c r="BC22" i="4"/>
  <c r="BB22" i="4"/>
  <c r="BA22" i="4"/>
  <c r="AZ22" i="4"/>
  <c r="AY22" i="4"/>
  <c r="AX22" i="4"/>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R22" i="4"/>
  <c r="Q22" i="4"/>
  <c r="P22" i="4"/>
  <c r="O22" i="4"/>
  <c r="N22" i="4"/>
  <c r="L22" i="4"/>
  <c r="K22" i="4"/>
  <c r="H22" i="4"/>
  <c r="F22" i="4"/>
  <c r="D22" i="4"/>
  <c r="C22" i="4"/>
  <c r="B22" i="4"/>
  <c r="A22" i="4"/>
  <c r="CX19" i="4"/>
  <c r="CM19" i="4"/>
  <c r="CK19" i="4"/>
  <c r="CJ19" i="4"/>
  <c r="CI19" i="4"/>
  <c r="CH19" i="4"/>
  <c r="CG19" i="4"/>
  <c r="CF19" i="4"/>
  <c r="CE19" i="4"/>
  <c r="CD19" i="4"/>
  <c r="CC19" i="4"/>
  <c r="CB19" i="4"/>
  <c r="CA19" i="4"/>
  <c r="BZ19" i="4"/>
  <c r="BY19" i="4"/>
  <c r="BX19" i="4"/>
  <c r="BW19" i="4"/>
  <c r="BV19" i="4"/>
  <c r="BU19" i="4"/>
  <c r="BT19" i="4"/>
  <c r="BS19" i="4"/>
  <c r="BR19" i="4"/>
  <c r="BQ19" i="4"/>
  <c r="BP19" i="4"/>
  <c r="BO19" i="4"/>
  <c r="BN19" i="4"/>
  <c r="BM19" i="4"/>
  <c r="BL19" i="4"/>
  <c r="BK19" i="4"/>
  <c r="BJ19" i="4"/>
  <c r="BI19" i="4"/>
  <c r="BH19" i="4"/>
  <c r="BG19" i="4"/>
  <c r="BF19" i="4"/>
  <c r="BE19" i="4"/>
  <c r="BD19" i="4"/>
  <c r="BC19" i="4"/>
  <c r="BB19" i="4"/>
  <c r="BA19" i="4"/>
  <c r="AZ19" i="4"/>
  <c r="AY19" i="4"/>
  <c r="AX19"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R19" i="4"/>
  <c r="Q19" i="4"/>
  <c r="P19" i="4"/>
  <c r="O19" i="4"/>
  <c r="N19" i="4"/>
  <c r="L19" i="4"/>
  <c r="K19" i="4"/>
  <c r="H19" i="4"/>
  <c r="D19" i="4"/>
  <c r="C19" i="4"/>
  <c r="A19" i="4"/>
  <c r="CX18" i="4"/>
  <c r="CM18" i="4"/>
  <c r="CK18" i="4"/>
  <c r="CJ18" i="4"/>
  <c r="CI18" i="4"/>
  <c r="CH18" i="4"/>
  <c r="CG18" i="4"/>
  <c r="CF18" i="4"/>
  <c r="CE18" i="4"/>
  <c r="CD18" i="4"/>
  <c r="CC18" i="4"/>
  <c r="CB18" i="4"/>
  <c r="CA18" i="4"/>
  <c r="BZ18" i="4"/>
  <c r="BY18" i="4"/>
  <c r="BX18" i="4"/>
  <c r="BW18" i="4"/>
  <c r="BV18" i="4"/>
  <c r="BU18" i="4"/>
  <c r="BT18" i="4"/>
  <c r="BS18" i="4"/>
  <c r="BR18" i="4"/>
  <c r="BQ18" i="4"/>
  <c r="BP18" i="4"/>
  <c r="BO18" i="4"/>
  <c r="BN18" i="4"/>
  <c r="BM18" i="4"/>
  <c r="BL18" i="4"/>
  <c r="BK18" i="4"/>
  <c r="BJ18" i="4"/>
  <c r="BI18" i="4"/>
  <c r="BH18" i="4"/>
  <c r="BG18" i="4"/>
  <c r="BF18" i="4"/>
  <c r="BE18" i="4"/>
  <c r="BD18" i="4"/>
  <c r="BC18" i="4"/>
  <c r="BB18" i="4"/>
  <c r="BA18" i="4"/>
  <c r="AZ18" i="4"/>
  <c r="AY18" i="4"/>
  <c r="AX18" i="4"/>
  <c r="AW18" i="4"/>
  <c r="AV18" i="4"/>
  <c r="AU18" i="4"/>
  <c r="AT18" i="4"/>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R18" i="4"/>
  <c r="Q18" i="4"/>
  <c r="P18" i="4"/>
  <c r="O18" i="4"/>
  <c r="N18" i="4"/>
  <c r="L18" i="4"/>
  <c r="K18" i="4"/>
  <c r="H18" i="4"/>
  <c r="D18" i="4"/>
  <c r="C18" i="4"/>
  <c r="A18" i="4"/>
  <c r="CX21" i="4"/>
  <c r="CM21" i="4"/>
  <c r="CK21" i="4"/>
  <c r="CJ21" i="4"/>
  <c r="CI21" i="4"/>
  <c r="CH21" i="4"/>
  <c r="CG21" i="4"/>
  <c r="CF21" i="4"/>
  <c r="CE21" i="4"/>
  <c r="CD21" i="4"/>
  <c r="CC21" i="4"/>
  <c r="CB21" i="4"/>
  <c r="CA21" i="4"/>
  <c r="BZ21" i="4"/>
  <c r="BY21" i="4"/>
  <c r="BX21" i="4"/>
  <c r="BW21" i="4"/>
  <c r="BV21" i="4"/>
  <c r="BU21" i="4"/>
  <c r="BT21" i="4"/>
  <c r="BS21" i="4"/>
  <c r="BR21" i="4"/>
  <c r="BQ21" i="4"/>
  <c r="BP21" i="4"/>
  <c r="BO21" i="4"/>
  <c r="BN21" i="4"/>
  <c r="BM21" i="4"/>
  <c r="BL21" i="4"/>
  <c r="BK21" i="4"/>
  <c r="BJ21" i="4"/>
  <c r="BI21" i="4"/>
  <c r="BH21" i="4"/>
  <c r="BG21" i="4"/>
  <c r="BF21" i="4"/>
  <c r="BE21" i="4"/>
  <c r="BD21" i="4"/>
  <c r="BC21" i="4"/>
  <c r="BB21" i="4"/>
  <c r="BA21" i="4"/>
  <c r="AZ21" i="4"/>
  <c r="AY21" i="4"/>
  <c r="AX21"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N21" i="4"/>
  <c r="L21" i="4"/>
  <c r="K21" i="4"/>
  <c r="H21" i="4"/>
  <c r="D21" i="4"/>
  <c r="C21" i="4"/>
  <c r="A21" i="4"/>
  <c r="S20" i="4"/>
  <c r="S17" i="4"/>
  <c r="R20" i="4"/>
  <c r="R17" i="4"/>
  <c r="AT20" i="4"/>
  <c r="AT17" i="4"/>
  <c r="Q20" i="4"/>
  <c r="Q17" i="4"/>
  <c r="BU20" i="4"/>
  <c r="BU17" i="4"/>
  <c r="AY20" i="4"/>
  <c r="AY17" i="4"/>
  <c r="CJ20" i="4"/>
  <c r="F34" i="4" s="1"/>
  <c r="CI20" i="4"/>
  <c r="CH20" i="4"/>
  <c r="L20" i="4"/>
  <c r="K20" i="4"/>
  <c r="E34" i="4" s="1"/>
  <c r="H20" i="4"/>
  <c r="CX20" i="4"/>
  <c r="J34" i="4" l="1"/>
  <c r="K34" i="4" s="1"/>
  <c r="L34" i="4" s="1"/>
  <c r="M34" i="4" s="1"/>
  <c r="F18" i="4" s="1"/>
  <c r="CK20" i="4"/>
  <c r="BP20" i="4" l="1"/>
  <c r="BP17" i="4"/>
  <c r="BE20" i="4" l="1"/>
  <c r="BE17" i="4"/>
  <c r="AN20" i="4" l="1"/>
  <c r="AN17" i="4"/>
  <c r="AM20" i="4"/>
  <c r="AM17" i="4"/>
  <c r="AO20" i="4"/>
  <c r="AO17" i="4"/>
  <c r="CG20" i="4" l="1"/>
  <c r="AG20" i="4" l="1"/>
  <c r="CM20" i="4" l="1"/>
  <c r="A20" i="4" l="1"/>
  <c r="W17" i="4" l="1"/>
  <c r="V17" i="4"/>
  <c r="AE20" i="4" l="1"/>
  <c r="AD20" i="4"/>
  <c r="AC20" i="4"/>
  <c r="AB20" i="4"/>
  <c r="AA20" i="4"/>
  <c r="Z20" i="4"/>
  <c r="Y20" i="4"/>
  <c r="X20" i="4"/>
  <c r="W20" i="4"/>
  <c r="V20" i="4"/>
  <c r="CF20" i="4"/>
  <c r="CE20" i="4"/>
  <c r="CD20" i="4"/>
  <c r="CC20" i="4"/>
  <c r="CB20" i="4"/>
  <c r="CA20" i="4"/>
  <c r="BZ20" i="4"/>
  <c r="BY20" i="4"/>
  <c r="CD17" i="4"/>
  <c r="CE17" i="4"/>
  <c r="CF17" i="4"/>
  <c r="CC17" i="4"/>
  <c r="CB17" i="4"/>
  <c r="CA17" i="4"/>
  <c r="BY17" i="4"/>
  <c r="BZ17" i="4"/>
  <c r="BX17" i="4"/>
  <c r="BX20" i="4"/>
  <c r="BW20" i="4"/>
  <c r="BV20" i="4"/>
  <c r="BT20" i="4"/>
  <c r="BS20" i="4"/>
  <c r="BR20" i="4"/>
  <c r="BQ20" i="4"/>
  <c r="BO20" i="4"/>
  <c r="BN20" i="4"/>
  <c r="BM20" i="4"/>
  <c r="BL20" i="4"/>
  <c r="BW17" i="4"/>
  <c r="BV17" i="4"/>
  <c r="BT17" i="4"/>
  <c r="BS17" i="4"/>
  <c r="BR17" i="4"/>
  <c r="BQ17" i="4"/>
  <c r="BN17" i="4"/>
  <c r="BM17" i="4"/>
  <c r="BL17" i="4"/>
  <c r="BK20" i="4"/>
  <c r="BJ20" i="4"/>
  <c r="BI20" i="4"/>
  <c r="BH20" i="4"/>
  <c r="BG20" i="4"/>
  <c r="BF20" i="4"/>
  <c r="BD20" i="4"/>
  <c r="BC20" i="4"/>
  <c r="BB20" i="4"/>
  <c r="BA20" i="4"/>
  <c r="BK17" i="4"/>
  <c r="BI17" i="4"/>
  <c r="BH17" i="4"/>
  <c r="BG17" i="4"/>
  <c r="BF17" i="4"/>
  <c r="BD17" i="4"/>
  <c r="BC17" i="4"/>
  <c r="BB17" i="4"/>
  <c r="BA17" i="4"/>
  <c r="AZ17" i="4"/>
  <c r="AZ20" i="4"/>
  <c r="AX20" i="4"/>
  <c r="AW20" i="4"/>
  <c r="AV20" i="4"/>
  <c r="AU20" i="4"/>
  <c r="AS20" i="4"/>
  <c r="AR20" i="4"/>
  <c r="AX17" i="4"/>
  <c r="AW17" i="4"/>
  <c r="AV17" i="4"/>
  <c r="AU17" i="4"/>
  <c r="AR17" i="4"/>
  <c r="AQ20" i="4"/>
  <c r="AP20" i="4"/>
  <c r="AL20" i="4"/>
  <c r="AK20" i="4"/>
  <c r="AJ20" i="4"/>
  <c r="AI20" i="4"/>
  <c r="AH20" i="4"/>
  <c r="AP17" i="4"/>
  <c r="AK17" i="4"/>
  <c r="AH17" i="4"/>
  <c r="AJ17" i="4"/>
  <c r="AI17" i="4"/>
  <c r="AG17" i="4"/>
  <c r="AF20" i="4"/>
  <c r="AF17" i="4"/>
  <c r="N17" i="4"/>
  <c r="AE17" i="4" l="1"/>
  <c r="AD17" i="4"/>
  <c r="AC17" i="4"/>
  <c r="AB17" i="4"/>
  <c r="AA17" i="4"/>
  <c r="Z17" i="4"/>
  <c r="Y17" i="4"/>
  <c r="X17" i="4"/>
  <c r="U17" i="4" l="1"/>
  <c r="T17" i="4"/>
  <c r="O17" i="4"/>
  <c r="N20" i="4"/>
  <c r="U20" i="4"/>
  <c r="T20" i="4"/>
  <c r="P20" i="4"/>
  <c r="O20" i="4"/>
  <c r="D20" i="4"/>
  <c r="C20" i="4"/>
  <c r="CL28" i="4" l="1"/>
  <c r="CL19" i="4"/>
  <c r="CL26" i="4"/>
  <c r="CL23" i="4"/>
  <c r="CL22" i="4"/>
  <c r="CL24" i="4"/>
  <c r="CL25" i="4"/>
  <c r="CL29" i="4"/>
  <c r="CL27" i="4"/>
  <c r="CL21" i="4"/>
  <c r="CL18" i="4"/>
  <c r="CL20" i="4"/>
  <c r="CN23" i="4" l="1"/>
  <c r="CP23" i="4"/>
  <c r="CR23" i="4"/>
  <c r="CN25" i="4"/>
  <c r="CP25" i="4"/>
  <c r="CR25" i="4"/>
  <c r="CP24" i="4"/>
  <c r="CN24" i="4"/>
  <c r="CR24" i="4"/>
  <c r="CN19" i="4"/>
  <c r="CR19" i="4"/>
  <c r="CP19" i="4"/>
  <c r="CN29" i="4"/>
  <c r="CR29" i="4"/>
  <c r="CP29" i="4"/>
  <c r="CN26" i="4"/>
  <c r="CR26" i="4"/>
  <c r="CP26" i="4"/>
  <c r="CR27" i="4"/>
  <c r="CN27" i="4"/>
  <c r="CP27" i="4"/>
  <c r="CN22" i="4"/>
  <c r="CP22" i="4"/>
  <c r="CR22" i="4"/>
  <c r="CN28" i="4"/>
  <c r="CP28" i="4"/>
  <c r="CR28" i="4"/>
  <c r="CN18" i="4"/>
  <c r="CR18" i="4"/>
  <c r="CP18" i="4"/>
  <c r="CP21" i="4"/>
  <c r="CN21" i="4"/>
  <c r="CR21" i="4"/>
  <c r="CN20" i="4"/>
  <c r="CP20" i="4"/>
  <c r="CR20" i="4"/>
  <c r="CS24" i="4" l="1"/>
  <c r="CS23" i="4"/>
  <c r="CW23" i="4" s="1"/>
  <c r="CS19" i="4"/>
  <c r="CS25" i="4"/>
  <c r="CY25" i="4" s="1"/>
  <c r="CS22" i="4"/>
  <c r="CY22" i="4" s="1"/>
  <c r="CS26" i="4"/>
  <c r="CY26" i="4" s="1"/>
  <c r="CS28" i="4"/>
  <c r="CU28" i="4" s="1"/>
  <c r="CS27" i="4"/>
  <c r="CY27" i="4" s="1"/>
  <c r="CS29" i="4"/>
  <c r="CY29" i="4" s="1"/>
  <c r="CW27" i="4"/>
  <c r="CW22" i="4"/>
  <c r="CW28" i="4"/>
  <c r="CW24" i="4"/>
  <c r="CY24" i="4"/>
  <c r="CU24" i="4"/>
  <c r="CY23" i="4"/>
  <c r="CW19" i="4"/>
  <c r="CY19" i="4"/>
  <c r="CU19" i="4"/>
  <c r="CU25" i="4"/>
  <c r="CW29" i="4"/>
  <c r="CS18" i="4"/>
  <c r="CY18" i="4" s="1"/>
  <c r="CS21" i="4"/>
  <c r="CY21" i="4" s="1"/>
  <c r="CS20" i="4"/>
  <c r="CW25" i="4" l="1"/>
  <c r="CU23" i="4"/>
  <c r="CU29" i="4"/>
  <c r="CU22" i="4"/>
  <c r="E22" i="4" s="1"/>
  <c r="G22" i="4" s="1"/>
  <c r="E25" i="4"/>
  <c r="G25" i="4" s="1"/>
  <c r="I25" i="4" s="1"/>
  <c r="J25" i="4" s="1"/>
  <c r="M25" i="4" s="1"/>
  <c r="E23" i="4"/>
  <c r="CY28" i="4"/>
  <c r="E28" i="4" s="1"/>
  <c r="G23" i="4"/>
  <c r="I23" i="4" s="1"/>
  <c r="J23" i="4" s="1"/>
  <c r="M23" i="4" s="1"/>
  <c r="CU26" i="4"/>
  <c r="CU27" i="4"/>
  <c r="E27" i="4" s="1"/>
  <c r="CW26" i="4"/>
  <c r="E26" i="4" s="1"/>
  <c r="E19" i="4"/>
  <c r="O10" i="6" s="1"/>
  <c r="T10" i="6" s="1"/>
  <c r="AD10" i="6" s="1"/>
  <c r="AE10" i="6" s="1"/>
  <c r="AI10" i="6" s="1"/>
  <c r="E29" i="4"/>
  <c r="E24" i="4"/>
  <c r="CW18" i="4"/>
  <c r="CW21" i="4"/>
  <c r="CU18" i="4"/>
  <c r="CU21" i="4"/>
  <c r="CY20" i="4"/>
  <c r="CU20" i="4"/>
  <c r="CW20" i="4"/>
  <c r="G27" i="4" l="1"/>
  <c r="I27" i="4" s="1"/>
  <c r="J27" i="4" s="1"/>
  <c r="M27" i="4" s="1"/>
  <c r="G24" i="4"/>
  <c r="I24" i="4" s="1"/>
  <c r="J24" i="4" s="1"/>
  <c r="M24" i="4" s="1"/>
  <c r="G19" i="4"/>
  <c r="I19" i="4" s="1"/>
  <c r="J19" i="4" s="1"/>
  <c r="M19" i="4" s="1"/>
  <c r="G26" i="4"/>
  <c r="I26" i="4" s="1"/>
  <c r="J26" i="4" s="1"/>
  <c r="M26" i="4" s="1"/>
  <c r="G29" i="4"/>
  <c r="I29" i="4" s="1"/>
  <c r="J29" i="4" s="1"/>
  <c r="M29" i="4" s="1"/>
  <c r="G28" i="4"/>
  <c r="I28" i="4" s="1"/>
  <c r="J28" i="4" s="1"/>
  <c r="M28" i="4" s="1"/>
  <c r="I22" i="4"/>
  <c r="J22" i="4" s="1"/>
  <c r="M22" i="4" s="1"/>
  <c r="E21" i="4"/>
  <c r="O12" i="6" s="1"/>
  <c r="T12" i="6" s="1"/>
  <c r="AD12" i="6" s="1"/>
  <c r="AE12" i="6" s="1"/>
  <c r="AI12" i="6" s="1"/>
  <c r="E18" i="4"/>
  <c r="O9" i="6" s="1"/>
  <c r="T9" i="6" s="1"/>
  <c r="AD9" i="6" s="1"/>
  <c r="AE9" i="6" s="1"/>
  <c r="AI9" i="6" s="1"/>
  <c r="E20" i="4"/>
  <c r="G20" i="4" l="1"/>
  <c r="O11" i="6"/>
  <c r="T11" i="6" s="1"/>
  <c r="AD11" i="6" s="1"/>
  <c r="AE11" i="6" s="1"/>
  <c r="AI11" i="6" s="1"/>
  <c r="G21" i="4"/>
  <c r="I21" i="4" s="1"/>
  <c r="J21" i="4" s="1"/>
  <c r="M21" i="4" s="1"/>
  <c r="G18" i="4"/>
  <c r="I18" i="4" s="1"/>
  <c r="J18" i="4" s="1"/>
  <c r="M18" i="4" s="1"/>
  <c r="I20" i="4"/>
  <c r="J20" i="4" s="1"/>
  <c r="M20" i="4" s="1"/>
  <c r="M30" i="4" l="1"/>
  <c r="M41" i="4" s="1"/>
  <c r="M4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33"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<sst xmlns="http://schemas.openxmlformats.org/spreadsheetml/2006/main" count="385" uniqueCount="297">
  <si>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</si>
  <si>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</si>
  <si>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</si>
  <si>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</si>
  <si>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</si>
  <si>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</si>
  <si>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</si>
  <si>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</si>
  <si>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</si>
  <si>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</si>
  <si>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</si>
  <si>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</si>
  <si>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</si>
  <si>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</si>
  <si>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</si>
  <si>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</si>
  <si>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</si>
  <si>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</si>
  <si>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</si>
  <si>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</si>
  <si>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</si>
  <si>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</si>
  <si>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</si>
  <si>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</si>
  <si>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</si>
  <si>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</si>
  <si>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</si>
  <si>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</si>
  <si>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</si>
  <si>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</si>
  <si>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</si>
  <si>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</si>
  <si>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</si>
  <si>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</si>
  <si>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</si>
  <si>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</si>
  <si>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</si>
  <si>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</si>
  <si>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</si>
  <si>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</si>
  <si>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</si>
  <si>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</si>
  <si>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</si>
  <si>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</si>
  <si>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</si>
  <si>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</si>
  <si>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</si>
  <si>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</si>
  <si>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</si>
  <si>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</si>
  <si>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</si>
  <si>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</si>
  <si>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</si>
  <si>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</si>
  <si>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</si>
  <si>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</si>
  <si>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</si>
  <si>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</si>
  <si>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</si>
  <si>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</si>
  <si>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</si>
  <si>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</si>
  <si>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</si>
  <si>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</si>
  <si>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</si>
  <si>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</si>
  <si>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</si>
  <si>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</si>
  <si>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</si>
  <si>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</si>
  <si>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</si>
  <si>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</si>
  <si>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</si>
  <si>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</si>
  <si>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</si>
  <si>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</si>
  <si>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</si>
  <si>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</si>
  <si>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</si>
  <si>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</si>
  <si>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</si>
  <si>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</si>
  <si>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</si>
  <si>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</si>
  <si>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</si>
  <si>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</si>
  <si>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</si>
  <si>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</si>
  <si>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</si>
  <si>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</si>
  <si>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</si>
  <si>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</si>
  <si>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</si>
  <si>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</si>
  <si>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</si>
  <si>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</si>
  <si>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</si>
  <si>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</si>
  <si>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</si>
  <si>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</si>
  <si>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</si>
  <si>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</si>
  <si>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</si>
  <si>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</si>
  <si>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</si>
  <si>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</si>
  <si>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</si>
  <si>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</si>
  <si>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</si>
  <si>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</si>
  <si>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</si>
  <si>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</si>
  <si>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</si>
  <si>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</si>
  <si>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</si>
  <si>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</si>
  <si>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</si>
  <si>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</si>
  <si>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</si>
  <si>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</si>
  <si>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</si>
  <si>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</si>
  <si>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</si>
  <si>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</si>
  <si>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</si>
  <si>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</si>
  <si>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</si>
  <si>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</si>
  <si>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</si>
  <si>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</si>
  <si>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</si>
  <si>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</si>
  <si>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</si>
  <si>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</si>
  <si>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</si>
  <si>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</si>
  <si>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</si>
  <si>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</si>
  <si>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</si>
  <si>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</si>
  <si>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</si>
  <si>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</si>
  <si>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</si>
  <si>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</si>
  <si>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</si>
  <si>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</si>
  <si>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</si>
  <si>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</si>
  <si>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</si>
  <si>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</si>
  <si>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</si>
  <si>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</si>
  <si>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</si>
  <si>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</si>
  <si>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</si>
  <si>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</si>
  <si>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</si>
  <si>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</si>
  <si>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</si>
  <si>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</si>
  <si>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</si>
  <si>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</si>
  <si>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</si>
  <si>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</si>
  <si>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</si>
  <si>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</si>
  <si>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</si>
  <si>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</si>
  <si>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</si>
  <si>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</si>
  <si>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</si>
  <si>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</si>
  <si>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</si>
  <si>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</si>
  <si>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</si>
  <si>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</si>
  <si>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</si>
  <si>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</si>
  <si>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</si>
  <si>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</si>
  <si>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</si>
  <si>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</si>
  <si>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</si>
  <si>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</si>
  <si>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</si>
  <si>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</si>
  <si>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</si>
  <si>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</si>
  <si>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</si>
  <si>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</si>
  <si>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</si>
  <si>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</si>
  <si>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</si>
  <si>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</si>
  <si>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</si>
  <si>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</si>
  <si>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</si>
  <si>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</si>
  <si>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</si>
  <si>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</si>
  <si>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</si>
  <si>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</si>
  <si>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</si>
  <si>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</si>
  <si>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</si>
  <si>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</si>
  <si>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</si>
  <si>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</si>
  <si>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</si>
  <si>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</si>
  <si>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</si>
  <si>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</si>
  <si>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</si>
  <si>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</si>
  <si>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</si>
  <si>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</si>
  <si>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</si>
  <si>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</si>
  <si>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Standard Length(MTR)</t>
  </si>
  <si>
    <t>ENQ-16531-25-26</t>
  </si>
  <si>
    <t>FA0200002</t>
  </si>
  <si>
    <t>10 CORE X 2.5 SQ. MM. CU/ARD - WIRE (PVC)</t>
  </si>
  <si>
    <t>WOOD</t>
  </si>
  <si>
    <t>Tinned Copper</t>
  </si>
  <si>
    <t>KMS</t>
  </si>
  <si>
    <t>MD0100066</t>
  </si>
  <si>
    <t>DRUM - 40 X 15 X 23 X 2</t>
  </si>
  <si>
    <t>FA0200003</t>
  </si>
  <si>
    <t>12 CORE X 2.5 SQ. MM. CU/ARD - WIRE (PVC)</t>
  </si>
  <si>
    <t>FA0200008</t>
  </si>
  <si>
    <t>2 CORE X 2.5 SQ. MM. CU/ARD - WIRE (PVC)</t>
  </si>
  <si>
    <t>MD0100003</t>
  </si>
  <si>
    <t>DRUM - 28 X 14 X 23 X 2</t>
  </si>
  <si>
    <t>FA0200011</t>
  </si>
  <si>
    <t>4 CORE X 2.5 SQ. MM. CU/ARD - WIRE (PVC)</t>
  </si>
  <si>
    <t>MD0100005</t>
  </si>
  <si>
    <t>DRUM - 36 X 14 X 23 X 2</t>
  </si>
  <si>
    <t>TENDER SPECIFICATION NO ()</t>
  </si>
  <si>
    <t>TENDER DESCRIPTION  ()</t>
  </si>
  <si>
    <t>Last Date &amp; Time of Submission ()</t>
  </si>
  <si>
    <t>REVERSE AUCTION</t>
  </si>
  <si>
    <t>Price ()</t>
  </si>
  <si>
    <t>Validity  ()</t>
  </si>
  <si>
    <t>Payment Terms ()</t>
  </si>
  <si>
    <t>Standard length ()</t>
  </si>
  <si>
    <t xml:space="preserve">Standard lengths for each size of power and control cables shall be 500/1000 meters. The cable length per drum shall be subject to a tolerance of plus or minus 5% of the standard drum length. </t>
  </si>
  <si>
    <t>Packing  ()</t>
  </si>
  <si>
    <t>Cables shall be supplied on returnable wooden or steel drums of heavy construction. Wooden drum shall be properly seasoned sound and free from defects. Wood preservative shall be applied to the entire drum.</t>
  </si>
  <si>
    <t>Technical Specification</t>
  </si>
  <si>
    <t>NORTH BIHAR POWER DISTRIBUTION CO. LTD, PATNA</t>
  </si>
  <si>
    <t>PV FORMULA</t>
  </si>
  <si>
    <t/>
  </si>
  <si>
    <t>Item</t>
  </si>
  <si>
    <t>Calculation part</t>
  </si>
  <si>
    <t>Applicable Date</t>
  </si>
  <si>
    <t>Ex-Work
Po</t>
  </si>
  <si>
    <t>PVC of Cu</t>
  </si>
  <si>
    <t>PVC OF PVC</t>
  </si>
  <si>
    <t>PVC OF FE</t>
  </si>
  <si>
    <t>PV/PKM</t>
  </si>
  <si>
    <t>Billing Price/PKM</t>
  </si>
  <si>
    <t>Date</t>
  </si>
  <si>
    <t>Cu</t>
  </si>
  <si>
    <t>PVCc</t>
  </si>
  <si>
    <t>Fe</t>
  </si>
  <si>
    <t>Cuo</t>
  </si>
  <si>
    <t>PVCco</t>
  </si>
  <si>
    <t>Feo</t>
  </si>
  <si>
    <t>RMC</t>
  </si>
  <si>
    <t>Drum</t>
  </si>
  <si>
    <t>RMC+Drum</t>
  </si>
  <si>
    <t>VA</t>
  </si>
  <si>
    <t>Groos VA%</t>
  </si>
  <si>
    <t>Mfg %</t>
  </si>
  <si>
    <t>Int %</t>
  </si>
  <si>
    <t>Ins%</t>
  </si>
  <si>
    <t>Net VA</t>
  </si>
  <si>
    <t>CuF</t>
  </si>
  <si>
    <t>CCFCu</t>
  </si>
  <si>
    <t>FeF</t>
  </si>
  <si>
    <t>Kg/Km</t>
  </si>
  <si>
    <t>Provisional</t>
  </si>
  <si>
    <t>72/PR/NBPDCL/2025 (System Tender No.104083)</t>
  </si>
  <si>
    <t>LT Copper control cable of different size for NBPDCL and SBPDCL</t>
  </si>
  <si>
    <t>04-08-2025 06:00 PM</t>
  </si>
  <si>
    <t>Not Mention</t>
  </si>
  <si>
    <t>Price Variation for Control  Cable shall be applicable as per current IEEMA as applicable on the final date of submission of bid. 
Base date will be one month prior to the last date of submission of bid against the NIT.</t>
  </si>
  <si>
    <t xml:space="preserve">1.11.1.	Bidders should specify the validity period of their offer/bid which should be valid for a minimum period of 180 days from the last date of submission of bid. </t>
  </si>
  <si>
    <t>90% payment along with full amount of taxes, duties and freight keeping 10% retention money , on submission of triplicate copy of bills with all relevant documents (Sample check list) enclosed in annexure by the vendor after receipt of the material / equipment in good condition. After successful completion of delivery of entire order or modified quantity as decided during its delivery schedule, 10 % retention money may be released after deduction of penalty.
ii.	  Payment will be released normally within 15 working days from the date of submission of bill along with all required relevant document(s) to Sr. Manager (Finance), NBPDCL/SBPDCL.</t>
  </si>
  <si>
    <t>16 MT</t>
  </si>
  <si>
    <t>CABLE WEIGHT KG/KM</t>
  </si>
  <si>
    <t>DRUM WEIGHT</t>
  </si>
  <si>
    <t>CABLE+DRUM WEIGHT</t>
  </si>
  <si>
    <t>TRUCK WEIGHT</t>
  </si>
  <si>
    <t>OUR COST =</t>
  </si>
  <si>
    <t>ESTIMATED COST =</t>
  </si>
  <si>
    <t>DIFF % FROM OUR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</si>
</sst>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quot;Rs. &quot;#,##0.00"/>
    <numFmt numFmtId="171" formatCode="&quot;Rs.&quot;#,##0"/>
    <numFmt numFmtId="172" formatCode="0.0"/>
    <numFmt numFmtId="173" formatCode="0.000"/>
    <numFmt numFmtId="174" formatCode="0.0000"/>
    <numFmt numFmtId="175" formatCode="0.00000"/>
  </numFmts>
  <fonts count="59"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0"/>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0"/>
      <name val="Verdana"/>
      <family val="2"/>
    </font>
    <font>
      <b/>
      <sz val="10"/>
      <name val="Calibri"/>
      <family val="2"/>
      <scheme val="minor"/>
    </font>
    <font>
      <sz val="10"/>
      <name val="Arial"/>
      <family val="2"/>
    </font>
    <font>
      <sz val="10"/>
      <name val="Calibri"/>
      <family val="2"/>
      <scheme val="minor"/>
    </font>
    <font>
      <b/>
      <sz val="10"/>
      <color rgb="FF000000"/>
      <name val="Arial"/>
      <family val="2"/>
    </font>
    <font>
      <b/>
      <sz val="10"/>
      <name val="Arial"/>
      <family val="2"/>
    </font>
    <font>
      <sz val="10"/>
      <color rgb="FFFF0000"/>
      <name val="Calibri"/>
      <family val="2"/>
      <scheme val="minor"/>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tint="-9.9978637043366805E-2"/>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right/>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style="thin">
        <color indexed="64"/>
      </right>
      <top/>
      <bottom/>
      <diagonal/>
    </border>
    <border>
      <left style="thin">
        <color indexed="64"/>
      </left>
      <right style="medium">
        <color indexed="64"/>
      </right>
      <top/>
      <bottom/>
      <diagonal/>
    </border>
    <border>
      <left style="medium">
        <color indexed="64"/>
      </left>
      <right/>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7" fillId="0" borderId="0"/>
    <xf numFmtId="43" fontId="1" fillId="0" borderId="0" applyFont="0" applyFill="0" applyBorder="0" applyAlignment="0" applyProtection="0"/>
    <xf numFmtId="0" fontId="47" fillId="0" borderId="0"/>
    <xf numFmtId="0" fontId="54" fillId="0" borderId="0"/>
  </cellStyleXfs>
  <cellXfs count="253">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164" fontId="0" fillId="0" borderId="0" xfId="1" applyFont="1" applyAlignment="1">
      <alignment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6" fillId="5" borderId="1" xfId="0" applyFont="1" applyFill="1" applyBorder="1" applyAlignment="1">
      <alignment horizontal="center" vertical="center" wrapText="1"/>
    </xf>
    <xf numFmtId="3" fontId="4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7"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2" fontId="0" fillId="0" borderId="1" xfId="0" applyNumberFormat="1" applyBorder="1" applyAlignment="1">
      <alignment vertical="center" wrapText="1"/>
    </xf>
    <xf numFmtId="0" fontId="0" fillId="0" borderId="0" xfId="0" applyAlignment="1">
      <alignment vertical="center"/>
    </xf>
    <xf numFmtId="0" fontId="2" fillId="8" borderId="9" xfId="0" applyFont="1" applyFill="1" applyBorder="1" applyAlignment="1">
      <alignment vertical="top" wrapText="1"/>
    </xf>
    <xf numFmtId="0" fontId="2" fillId="8" borderId="10" xfId="0" applyFont="1" applyFill="1" applyBorder="1" applyAlignment="1">
      <alignment vertical="top" wrapText="1"/>
    </xf>
    <xf numFmtId="0" fontId="2" fillId="8" borderId="1" xfId="0" applyFont="1" applyFill="1" applyBorder="1" applyAlignment="1">
      <alignment vertical="center" wrapText="1"/>
    </xf>
    <xf numFmtId="0" fontId="2" fillId="0" borderId="0" xfId="0" applyFont="1" applyAlignment="1">
      <alignment vertical="center" wrapText="1"/>
    </xf>
    <xf numFmtId="0" fontId="52" fillId="0" borderId="11" xfId="6" applyFont="1" applyBorder="1" applyAlignment="1">
      <alignment horizontal="center" vertical="center"/>
    </xf>
    <xf numFmtId="0" fontId="53" fillId="0" borderId="0" xfId="6" applyFont="1" applyAlignment="1">
      <alignment horizontal="center" vertical="center"/>
    </xf>
    <xf numFmtId="0" fontId="55" fillId="0" borderId="0" xfId="7" applyFont="1" applyAlignment="1">
      <alignment horizontal="center" vertical="center"/>
    </xf>
    <xf numFmtId="0" fontId="47" fillId="0" borderId="0" xfId="6" applyAlignment="1">
      <alignment horizontal="center" vertical="center"/>
    </xf>
    <xf numFmtId="0" fontId="53" fillId="0" borderId="0" xfId="6" applyFont="1" applyAlignment="1">
      <alignment horizontal="left" vertical="center" wrapText="1"/>
    </xf>
    <xf numFmtId="0" fontId="53" fillId="0" borderId="0" xfId="6" applyFont="1"/>
    <xf numFmtId="0" fontId="55" fillId="0" borderId="0" xfId="7" applyFont="1"/>
    <xf numFmtId="0" fontId="47" fillId="0" borderId="0" xfId="6"/>
    <xf numFmtId="0" fontId="56" fillId="0" borderId="0" xfId="0" applyFont="1" applyAlignment="1">
      <alignment horizontal="center" vertical="center"/>
    </xf>
    <xf numFmtId="170" fontId="53" fillId="0" borderId="0" xfId="6" applyNumberFormat="1" applyFont="1" applyAlignment="1">
      <alignment horizontal="center" vertical="center"/>
    </xf>
    <xf numFmtId="0" fontId="47" fillId="0" borderId="0" xfId="6" quotePrefix="1"/>
    <xf numFmtId="0" fontId="55" fillId="0" borderId="0" xfId="6" applyFont="1" applyAlignment="1">
      <alignment horizontal="center"/>
    </xf>
    <xf numFmtId="14" fontId="55" fillId="0" borderId="0" xfId="6" applyNumberFormat="1" applyFont="1" applyAlignment="1">
      <alignment horizontal="center"/>
    </xf>
    <xf numFmtId="0" fontId="53" fillId="0" borderId="0" xfId="6" applyFont="1" applyAlignment="1">
      <alignment vertical="center"/>
    </xf>
    <xf numFmtId="0" fontId="47" fillId="0" borderId="0" xfId="6" applyAlignment="1">
      <alignment horizontal="center"/>
    </xf>
    <xf numFmtId="0" fontId="53" fillId="0" borderId="1" xfId="7" applyFont="1" applyBorder="1" applyAlignment="1">
      <alignment horizontal="center" vertical="center" wrapText="1"/>
    </xf>
    <xf numFmtId="0" fontId="53" fillId="0" borderId="28" xfId="7" applyFont="1" applyBorder="1" applyAlignment="1">
      <alignment horizontal="center" vertical="center" wrapText="1"/>
    </xf>
    <xf numFmtId="0" fontId="57" fillId="0" borderId="21" xfId="7" applyFont="1" applyBorder="1" applyAlignment="1">
      <alignment horizontal="center" vertical="center" wrapText="1"/>
    </xf>
    <xf numFmtId="0" fontId="53" fillId="0" borderId="34" xfId="7" applyFont="1" applyBorder="1" applyAlignment="1">
      <alignment horizontal="center" vertical="center" wrapText="1"/>
    </xf>
    <xf numFmtId="0" fontId="53" fillId="0" borderId="35" xfId="7" applyFont="1" applyBorder="1" applyAlignment="1">
      <alignment horizontal="center" vertical="center" wrapText="1"/>
    </xf>
    <xf numFmtId="171" fontId="57" fillId="0" borderId="1" xfId="7" applyNumberFormat="1" applyFont="1" applyBorder="1" applyAlignment="1">
      <alignment horizontal="center" vertical="center" wrapText="1"/>
    </xf>
    <xf numFmtId="0" fontId="47" fillId="0" borderId="24" xfId="6" applyBorder="1"/>
    <xf numFmtId="0" fontId="55" fillId="0" borderId="25" xfId="7" applyFont="1" applyBorder="1"/>
    <xf numFmtId="0" fontId="55" fillId="0" borderId="36" xfId="7" applyFont="1" applyBorder="1" applyAlignment="1">
      <alignment horizontal="left" vertical="center" wrapText="1"/>
    </xf>
    <xf numFmtId="14" fontId="55" fillId="0" borderId="28" xfId="7" applyNumberFormat="1" applyFont="1" applyBorder="1" applyAlignment="1">
      <alignment horizontal="center" vertical="center" wrapText="1"/>
    </xf>
    <xf numFmtId="14" fontId="55" fillId="0" borderId="0" xfId="7" applyNumberFormat="1" applyFont="1" applyAlignment="1">
      <alignment horizontal="center" vertical="center" wrapText="1"/>
    </xf>
    <xf numFmtId="14" fontId="55" fillId="0" borderId="2" xfId="7" applyNumberFormat="1" applyFont="1" applyBorder="1" applyAlignment="1">
      <alignment horizontal="center" vertical="center" wrapText="1"/>
    </xf>
    <xf numFmtId="14" fontId="55" fillId="0" borderId="37" xfId="7" applyNumberFormat="1" applyFont="1" applyBorder="1" applyAlignment="1">
      <alignment horizontal="center" vertical="center" wrapText="1"/>
    </xf>
    <xf numFmtId="14" fontId="55" fillId="0" borderId="1" xfId="7" applyNumberFormat="1" applyFont="1" applyBorder="1" applyAlignment="1">
      <alignment horizontal="center" vertical="center" wrapText="1"/>
    </xf>
    <xf numFmtId="14" fontId="55" fillId="0" borderId="23" xfId="7" applyNumberFormat="1" applyFont="1" applyBorder="1" applyAlignment="1">
      <alignment horizontal="center" vertical="center" wrapText="1"/>
    </xf>
    <xf numFmtId="2" fontId="53" fillId="0" borderId="38" xfId="7" applyNumberFormat="1" applyFont="1" applyBorder="1" applyAlignment="1">
      <alignment horizontal="center" vertical="center" wrapText="1"/>
    </xf>
    <xf numFmtId="0" fontId="55" fillId="0" borderId="1" xfId="7" applyFont="1" applyBorder="1" applyAlignment="1">
      <alignment horizontal="center" vertical="center" wrapText="1"/>
    </xf>
    <xf numFmtId="0" fontId="55" fillId="0" borderId="25" xfId="7" applyFont="1" applyBorder="1" applyAlignment="1">
      <alignment horizontal="center" vertical="center" wrapText="1"/>
    </xf>
    <xf numFmtId="171" fontId="57" fillId="0" borderId="39" xfId="7" applyNumberFormat="1" applyFont="1" applyBorder="1" applyAlignment="1">
      <alignment horizontal="center" vertical="center" wrapText="1"/>
    </xf>
    <xf numFmtId="171" fontId="57" fillId="0" borderId="40" xfId="7" applyNumberFormat="1" applyFont="1" applyBorder="1" applyAlignment="1">
      <alignment horizontal="center" vertical="center" wrapText="1"/>
    </xf>
    <xf numFmtId="0" fontId="47" fillId="0" borderId="42" xfId="6" applyBorder="1" applyAlignment="1">
      <alignment horizontal="center" vertical="center" wrapText="1"/>
    </xf>
    <xf numFmtId="0" fontId="47" fillId="0" borderId="24" xfId="6" applyBorder="1" applyAlignment="1">
      <alignment wrapText="1"/>
    </xf>
    <xf numFmtId="14" fontId="55" fillId="0" borderId="43" xfId="7" applyNumberFormat="1" applyFont="1" applyBorder="1" applyAlignment="1">
      <alignment horizontal="center" vertical="center" wrapText="1"/>
    </xf>
    <xf numFmtId="14" fontId="53" fillId="9" borderId="10" xfId="7" applyNumberFormat="1" applyFont="1" applyFill="1" applyBorder="1" applyAlignment="1">
      <alignment horizontal="center" vertical="center" wrapText="1"/>
    </xf>
    <xf numFmtId="2" fontId="58" fillId="0" borderId="22" xfId="7" applyNumberFormat="1" applyFont="1" applyBorder="1" applyAlignment="1">
      <alignment horizontal="center" vertical="center" wrapText="1"/>
    </xf>
    <xf numFmtId="172" fontId="55" fillId="0" borderId="1" xfId="7" applyNumberFormat="1" applyFont="1" applyBorder="1" applyAlignment="1">
      <alignment horizontal="center" vertical="center" wrapText="1"/>
    </xf>
    <xf numFmtId="172" fontId="55" fillId="0" borderId="29" xfId="7" applyNumberFormat="1" applyFont="1" applyBorder="1" applyAlignment="1">
      <alignment horizontal="center" vertical="center" wrapText="1"/>
    </xf>
    <xf numFmtId="172" fontId="55" fillId="0" borderId="44" xfId="7" applyNumberFormat="1" applyFont="1" applyBorder="1" applyAlignment="1">
      <alignment horizontal="center" vertical="center" wrapText="1"/>
    </xf>
    <xf numFmtId="173" fontId="55" fillId="0" borderId="4" xfId="7" applyNumberFormat="1" applyFont="1" applyBorder="1" applyAlignment="1">
      <alignment horizontal="center" vertical="center" wrapText="1"/>
    </xf>
    <xf numFmtId="173" fontId="55" fillId="0" borderId="1" xfId="7" applyNumberFormat="1" applyFont="1" applyBorder="1" applyAlignment="1">
      <alignment horizontal="center" vertical="center" wrapText="1"/>
    </xf>
    <xf numFmtId="173" fontId="55" fillId="0" borderId="3" xfId="7" applyNumberFormat="1" applyFont="1" applyBorder="1" applyAlignment="1">
      <alignment horizontal="center" vertical="center" wrapText="1"/>
    </xf>
    <xf numFmtId="174" fontId="55" fillId="0" borderId="4" xfId="7" applyNumberFormat="1" applyFont="1" applyBorder="1" applyAlignment="1">
      <alignment vertical="center" wrapText="1"/>
    </xf>
    <xf numFmtId="2" fontId="55" fillId="7" borderId="1" xfId="7" applyNumberFormat="1" applyFont="1" applyFill="1" applyBorder="1" applyAlignment="1">
      <alignment horizontal="center" vertical="center" wrapText="1"/>
    </xf>
    <xf numFmtId="2" fontId="55" fillId="10" borderId="45" xfId="7" applyNumberFormat="1" applyFont="1" applyFill="1" applyBorder="1" applyAlignment="1">
      <alignment horizontal="center" vertical="center" wrapText="1"/>
    </xf>
    <xf numFmtId="2" fontId="54" fillId="0" borderId="1" xfId="7" applyNumberFormat="1" applyBorder="1" applyAlignment="1">
      <alignment vertical="center"/>
    </xf>
    <xf numFmtId="2" fontId="57" fillId="0" borderId="1" xfId="7" applyNumberFormat="1" applyFont="1" applyBorder="1" applyAlignment="1">
      <alignment vertical="center"/>
    </xf>
    <xf numFmtId="2" fontId="57" fillId="0" borderId="23" xfId="7" applyNumberFormat="1" applyFont="1" applyBorder="1" applyAlignment="1">
      <alignment vertical="center"/>
    </xf>
    <xf numFmtId="0" fontId="47" fillId="0" borderId="31" xfId="6" applyBorder="1" applyAlignment="1">
      <alignment wrapText="1"/>
    </xf>
    <xf numFmtId="14" fontId="55" fillId="0" borderId="46" xfId="7" applyNumberFormat="1" applyFont="1" applyBorder="1" applyAlignment="1">
      <alignment horizontal="center" vertical="center" wrapText="1"/>
    </xf>
    <xf numFmtId="14" fontId="55" fillId="0" borderId="39" xfId="7" applyNumberFormat="1" applyFont="1" applyBorder="1" applyAlignment="1">
      <alignment horizontal="center" vertical="center" wrapText="1"/>
    </xf>
    <xf numFmtId="2" fontId="55" fillId="0" borderId="40" xfId="7" applyNumberFormat="1" applyFont="1" applyBorder="1" applyAlignment="1">
      <alignment horizontal="center" vertical="center" wrapText="1"/>
    </xf>
    <xf numFmtId="2" fontId="55" fillId="0" borderId="47" xfId="7" applyNumberFormat="1" applyFont="1" applyBorder="1" applyAlignment="1">
      <alignment horizontal="center" vertical="center" wrapText="1"/>
    </xf>
    <xf numFmtId="2" fontId="55" fillId="0" borderId="48" xfId="7" applyNumberFormat="1" applyFont="1" applyBorder="1" applyAlignment="1">
      <alignment horizontal="center" vertical="center" wrapText="1"/>
    </xf>
    <xf numFmtId="2" fontId="55" fillId="0" borderId="39" xfId="7" applyNumberFormat="1" applyFont="1" applyBorder="1" applyAlignment="1">
      <alignment horizontal="center" vertical="center" wrapText="1"/>
    </xf>
    <xf numFmtId="172" fontId="55" fillId="0" borderId="47" xfId="7" applyNumberFormat="1" applyFont="1" applyBorder="1" applyAlignment="1">
      <alignment horizontal="center" vertical="center" wrapText="1"/>
    </xf>
    <xf numFmtId="172" fontId="55" fillId="0" borderId="40" xfId="7" applyNumberFormat="1" applyFont="1" applyBorder="1" applyAlignment="1">
      <alignment horizontal="center" vertical="center" wrapText="1"/>
    </xf>
    <xf numFmtId="172" fontId="55" fillId="0" borderId="49" xfId="7" applyNumberFormat="1" applyFont="1" applyBorder="1" applyAlignment="1">
      <alignment horizontal="center" vertical="center" wrapText="1"/>
    </xf>
    <xf numFmtId="2" fontId="55" fillId="0" borderId="27" xfId="7" applyNumberFormat="1" applyFont="1" applyBorder="1" applyAlignment="1">
      <alignment horizontal="center" vertical="center" wrapText="1"/>
    </xf>
    <xf numFmtId="2" fontId="55" fillId="0" borderId="50" xfId="7" applyNumberFormat="1" applyFont="1" applyBorder="1" applyAlignment="1">
      <alignment horizontal="center" vertical="center" wrapText="1"/>
    </xf>
    <xf numFmtId="2" fontId="55" fillId="0" borderId="51" xfId="7" applyNumberFormat="1" applyFont="1" applyBorder="1" applyAlignment="1">
      <alignment horizontal="center" vertical="center" wrapText="1"/>
    </xf>
    <xf numFmtId="2" fontId="55" fillId="0" borderId="52" xfId="7" applyNumberFormat="1" applyFont="1" applyBorder="1" applyAlignment="1">
      <alignment horizontal="center" vertical="center" wrapText="1"/>
    </xf>
    <xf numFmtId="175" fontId="55" fillId="0" borderId="53" xfId="7" applyNumberFormat="1" applyFont="1" applyBorder="1" applyAlignment="1">
      <alignment vertical="center" wrapText="1"/>
    </xf>
    <xf numFmtId="175" fontId="55" fillId="0" borderId="40" xfId="7" applyNumberFormat="1" applyFont="1" applyBorder="1" applyAlignment="1">
      <alignment vertical="center" wrapText="1"/>
    </xf>
    <xf numFmtId="175" fontId="55" fillId="0" borderId="47" xfId="7" applyNumberFormat="1" applyFont="1" applyBorder="1" applyAlignment="1">
      <alignment vertical="center" wrapText="1"/>
    </xf>
    <xf numFmtId="174" fontId="55" fillId="0" borderId="48" xfId="7" applyNumberFormat="1" applyFont="1" applyBorder="1" applyAlignment="1">
      <alignment horizontal="center" vertical="center" wrapText="1"/>
    </xf>
    <xf numFmtId="2" fontId="55" fillId="0" borderId="46" xfId="7" applyNumberFormat="1" applyFont="1" applyBorder="1" applyAlignment="1">
      <alignment horizontal="center" vertical="center" wrapText="1"/>
    </xf>
    <xf numFmtId="0" fontId="47" fillId="0" borderId="27" xfId="6" applyBorder="1"/>
    <xf numFmtId="0" fontId="47" fillId="0" borderId="54" xfId="6" applyBorder="1"/>
    <xf numFmtId="0" fontId="47" fillId="0" borderId="0" xfId="6" applyAlignment="1">
      <alignment wrapText="1"/>
    </xf>
    <xf numFmtId="0" fontId="52" fillId="0" borderId="0" xfId="6" applyFont="1"/>
    <xf numFmtId="2" fontId="47" fillId="0" borderId="0" xfId="6" applyNumberFormat="1"/>
    <xf numFmtId="3" fontId="0" fillId="0" borderId="0" xfId="0" applyNumberFormat="1" applyAlignment="1">
      <alignment wrapText="1"/>
    </xf>
    <xf numFmtId="1" fontId="13" fillId="0" borderId="1" xfId="0" applyNumberFormat="1" applyFont="1" applyBorder="1" applyAlignment="1">
      <alignment horizontal="center" vertical="center" wrapText="1"/>
    </xf>
    <xf numFmtId="164" fontId="0" fillId="0" borderId="0" xfId="0" applyNumberFormat="1"/>
    <xf numFmtId="0" fontId="2" fillId="0" borderId="0" xfId="0" applyFont="1" applyAlignment="1">
      <alignment horizontal="right"/>
    </xf>
    <xf numFmtId="164" fontId="2" fillId="0" borderId="0" xfId="1" applyFont="1"/>
    <xf numFmtId="2" fontId="2" fillId="0" borderId="0" xfId="0" applyNumberFormat="1" applyFont="1" applyAlignment="1">
      <alignment horizontal="center"/>
    </xf>
    <xf numFmtId="0" fontId="0" fillId="0" borderId="1" xfId="0" applyBorder="1" applyAlignment="1">
      <alignment vertical="center" wrapText="1"/>
    </xf>
    <xf numFmtId="0" fontId="51" fillId="0" borderId="1" xfId="0" applyFont="1" applyBorder="1" applyAlignment="1">
      <alignment horizontal="left" vertical="top" wrapText="1"/>
    </xf>
    <xf numFmtId="0" fontId="51" fillId="0" borderId="2" xfId="0" applyFont="1" applyBorder="1" applyAlignment="1">
      <alignment horizontal="left" vertical="top" wrapText="1"/>
    </xf>
    <xf numFmtId="0" fontId="51" fillId="0" borderId="3" xfId="0" applyFont="1" applyBorder="1" applyAlignment="1">
      <alignment horizontal="left" vertical="top" wrapText="1"/>
    </xf>
    <xf numFmtId="0" fontId="51" fillId="0" borderId="4" xfId="0" applyFont="1" applyBorder="1" applyAlignment="1">
      <alignment horizontal="left" vertical="top" wrapText="1"/>
    </xf>
    <xf numFmtId="0" fontId="51" fillId="0" borderId="2" xfId="0" applyFont="1" applyBorder="1" applyAlignment="1">
      <alignment horizontal="justify" vertical="top" wrapText="1"/>
    </xf>
    <xf numFmtId="0" fontId="51" fillId="0" borderId="3" xfId="0" applyFont="1" applyBorder="1" applyAlignment="1">
      <alignment horizontal="justify" vertical="top" wrapText="1"/>
    </xf>
    <xf numFmtId="0" fontId="51" fillId="0" borderId="4" xfId="0" applyFont="1" applyBorder="1" applyAlignment="1">
      <alignment horizontal="justify" vertical="top" wrapText="1"/>
    </xf>
    <xf numFmtId="0" fontId="50" fillId="0" borderId="6" xfId="0" applyFont="1" applyBorder="1" applyAlignment="1">
      <alignment horizontal="center"/>
    </xf>
    <xf numFmtId="0" fontId="50" fillId="0" borderId="7" xfId="0" applyFont="1" applyBorder="1" applyAlignment="1">
      <alignment horizontal="center"/>
    </xf>
    <xf numFmtId="0" fontId="50" fillId="0" borderId="8" xfId="0" applyFont="1" applyBorder="1" applyAlignment="1">
      <alignment horizontal="center"/>
    </xf>
    <xf numFmtId="0" fontId="51" fillId="0" borderId="1" xfId="0" applyFont="1" applyBorder="1" applyAlignment="1">
      <alignment horizontal="left" vertical="top"/>
    </xf>
    <xf numFmtId="0" fontId="51" fillId="0" borderId="1" xfId="0" quotePrefix="1" applyFont="1" applyBorder="1" applyAlignment="1">
      <alignment horizontal="left" vertical="top" wrapText="1"/>
    </xf>
    <xf numFmtId="0" fontId="45" fillId="5" borderId="2" xfId="0" applyFont="1" applyFill="1" applyBorder="1" applyAlignment="1">
      <alignment horizontal="center" vertical="center" wrapText="1"/>
    </xf>
    <xf numFmtId="0" fontId="45" fillId="5" borderId="3" xfId="0" applyFont="1" applyFill="1" applyBorder="1" applyAlignment="1">
      <alignment horizontal="center" vertical="center" wrapText="1"/>
    </xf>
    <xf numFmtId="0" fontId="45" fillId="5" borderId="4"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7" fillId="0" borderId="22" xfId="7" applyFont="1" applyBorder="1" applyAlignment="1">
      <alignment horizontal="center" vertical="center" wrapText="1"/>
    </xf>
    <xf numFmtId="0" fontId="57" fillId="0" borderId="28" xfId="7" applyFont="1" applyBorder="1" applyAlignment="1">
      <alignment horizontal="center" vertical="center" wrapText="1"/>
    </xf>
    <xf numFmtId="0" fontId="57" fillId="0" borderId="11" xfId="7" applyFont="1" applyBorder="1" applyAlignment="1">
      <alignment horizontal="center" vertical="center" wrapText="1"/>
    </xf>
    <xf numFmtId="2" fontId="53" fillId="0" borderId="20" xfId="7" applyNumberFormat="1" applyFont="1" applyBorder="1" applyAlignment="1">
      <alignment horizontal="center" vertical="center" wrapText="1"/>
    </xf>
    <xf numFmtId="0" fontId="53" fillId="0" borderId="21" xfId="7" applyFont="1" applyBorder="1" applyAlignment="1">
      <alignment horizontal="center" vertical="center" wrapText="1"/>
    </xf>
    <xf numFmtId="0" fontId="53" fillId="0" borderId="28" xfId="7" applyFont="1" applyBorder="1" applyAlignment="1">
      <alignment horizontal="center" vertical="center" wrapText="1"/>
    </xf>
    <xf numFmtId="0" fontId="53" fillId="0" borderId="11" xfId="7" applyFont="1" applyBorder="1" applyAlignment="1">
      <alignment horizontal="center" vertical="center" wrapText="1"/>
    </xf>
    <xf numFmtId="0" fontId="53" fillId="0" borderId="1" xfId="7" applyFont="1" applyBorder="1" applyAlignment="1">
      <alignment horizontal="center" vertical="center" wrapText="1"/>
    </xf>
    <xf numFmtId="0" fontId="53" fillId="0" borderId="16" xfId="7" applyFont="1" applyBorder="1" applyAlignment="1">
      <alignment horizontal="center" vertical="center" wrapText="1"/>
    </xf>
    <xf numFmtId="0" fontId="53" fillId="0" borderId="25" xfId="7" applyFont="1" applyBorder="1" applyAlignment="1">
      <alignment horizontal="center" vertical="center" wrapText="1"/>
    </xf>
    <xf numFmtId="0" fontId="53" fillId="0" borderId="32" xfId="7" applyFont="1" applyBorder="1" applyAlignment="1">
      <alignment horizontal="center" vertical="center" wrapText="1"/>
    </xf>
    <xf numFmtId="0" fontId="53" fillId="0" borderId="22" xfId="7" applyFont="1" applyBorder="1" applyAlignment="1">
      <alignment horizontal="center" vertical="center" wrapText="1"/>
    </xf>
    <xf numFmtId="0" fontId="53" fillId="0" borderId="2" xfId="7" applyFont="1" applyBorder="1" applyAlignment="1">
      <alignment horizontal="center" vertical="center" wrapText="1"/>
    </xf>
    <xf numFmtId="0" fontId="53" fillId="0" borderId="23" xfId="7" applyFont="1" applyBorder="1" applyAlignment="1">
      <alignment horizontal="center" vertical="center" wrapText="1"/>
    </xf>
    <xf numFmtId="14" fontId="52" fillId="8" borderId="12" xfId="6" applyNumberFormat="1" applyFont="1" applyFill="1" applyBorder="1" applyAlignment="1">
      <alignment horizontal="center" vertical="center"/>
    </xf>
    <xf numFmtId="0" fontId="52" fillId="8" borderId="5" xfId="6" applyFont="1" applyFill="1" applyBorder="1" applyAlignment="1">
      <alignment horizontal="center" vertical="center"/>
    </xf>
    <xf numFmtId="0" fontId="53" fillId="0" borderId="1" xfId="6" applyFont="1" applyBorder="1" applyAlignment="1">
      <alignment horizontal="center" vertical="center"/>
    </xf>
    <xf numFmtId="0" fontId="57" fillId="0" borderId="13" xfId="7" applyFont="1" applyBorder="1" applyAlignment="1">
      <alignment horizontal="center" vertical="center"/>
    </xf>
    <xf numFmtId="0" fontId="57" fillId="0" borderId="14" xfId="7" applyFont="1" applyBorder="1" applyAlignment="1">
      <alignment horizontal="center" vertical="center"/>
    </xf>
    <xf numFmtId="0" fontId="57" fillId="0" borderId="22" xfId="7" applyFont="1" applyBorder="1" applyAlignment="1">
      <alignment horizontal="center" vertical="center"/>
    </xf>
    <xf numFmtId="0" fontId="57" fillId="0" borderId="1" xfId="7" applyFont="1" applyBorder="1" applyAlignment="1">
      <alignment horizontal="center" vertical="center"/>
    </xf>
    <xf numFmtId="0" fontId="57" fillId="0" borderId="23" xfId="7" applyFont="1" applyBorder="1" applyAlignment="1">
      <alignment horizontal="center" vertical="center"/>
    </xf>
    <xf numFmtId="0" fontId="52" fillId="0" borderId="15" xfId="6" applyFont="1" applyBorder="1" applyAlignment="1">
      <alignment horizontal="center" vertical="center"/>
    </xf>
    <xf numFmtId="0" fontId="52" fillId="0" borderId="24" xfId="6" applyFont="1" applyBorder="1" applyAlignment="1">
      <alignment horizontal="center" vertical="center"/>
    </xf>
    <xf numFmtId="0" fontId="52" fillId="0" borderId="30" xfId="6" applyFont="1" applyBorder="1" applyAlignment="1">
      <alignment horizontal="center" vertical="center"/>
    </xf>
    <xf numFmtId="0" fontId="52" fillId="0" borderId="15" xfId="6" applyFont="1" applyBorder="1" applyAlignment="1">
      <alignment horizontal="center" vertical="center" wrapText="1"/>
    </xf>
    <xf numFmtId="0" fontId="52" fillId="0" borderId="24" xfId="6" applyFont="1" applyBorder="1" applyAlignment="1">
      <alignment horizontal="center" vertical="center" wrapText="1"/>
    </xf>
    <xf numFmtId="0" fontId="52" fillId="0" borderId="31" xfId="6" applyFont="1" applyBorder="1" applyAlignment="1">
      <alignment horizontal="center" vertical="center" wrapText="1"/>
    </xf>
    <xf numFmtId="0" fontId="53" fillId="0" borderId="17" xfId="7" applyFont="1" applyBorder="1" applyAlignment="1">
      <alignment horizontal="center" vertical="center" wrapText="1"/>
    </xf>
    <xf numFmtId="0" fontId="53" fillId="0" borderId="18" xfId="7" applyFont="1" applyBorder="1" applyAlignment="1">
      <alignment horizontal="center" vertical="center" wrapText="1"/>
    </xf>
    <xf numFmtId="0" fontId="53" fillId="0" borderId="19" xfId="7" applyFont="1" applyBorder="1" applyAlignment="1">
      <alignment horizontal="center" vertical="center" wrapText="1"/>
    </xf>
    <xf numFmtId="0" fontId="53" fillId="0" borderId="20" xfId="7" applyFont="1" applyBorder="1" applyAlignment="1">
      <alignment horizontal="center" vertical="center" wrapText="1"/>
    </xf>
    <xf numFmtId="0" fontId="53" fillId="0" borderId="27" xfId="7" applyFont="1" applyBorder="1" applyAlignment="1">
      <alignment horizontal="center" vertical="center" wrapText="1"/>
    </xf>
    <xf numFmtId="0" fontId="53" fillId="0" borderId="15" xfId="7" applyFont="1" applyBorder="1" applyAlignment="1">
      <alignment horizontal="center" vertical="center" wrapText="1"/>
    </xf>
    <xf numFmtId="0" fontId="53" fillId="0" borderId="24" xfId="7" applyFont="1" applyBorder="1" applyAlignment="1">
      <alignment horizontal="center" vertical="center" wrapText="1"/>
    </xf>
    <xf numFmtId="0" fontId="53" fillId="0" borderId="30" xfId="7" applyFont="1" applyBorder="1" applyAlignment="1">
      <alignment horizontal="center" vertical="center" wrapText="1"/>
    </xf>
    <xf numFmtId="0" fontId="53" fillId="0" borderId="10" xfId="7" applyFont="1" applyBorder="1" applyAlignment="1">
      <alignment horizontal="center" vertical="center" wrapText="1"/>
    </xf>
    <xf numFmtId="0" fontId="53" fillId="0" borderId="26" xfId="7" applyFont="1" applyBorder="1" applyAlignment="1">
      <alignment horizontal="center" vertical="center" wrapText="1"/>
    </xf>
    <xf numFmtId="0" fontId="53" fillId="0" borderId="33" xfId="7" applyFont="1" applyBorder="1" applyAlignment="1">
      <alignment horizontal="center" vertical="center" wrapText="1"/>
    </xf>
    <xf numFmtId="0" fontId="57" fillId="0" borderId="29" xfId="7" applyFont="1" applyBorder="1" applyAlignment="1">
      <alignment horizontal="center" vertical="center" wrapText="1"/>
    </xf>
    <xf numFmtId="0" fontId="57" fillId="0" borderId="35" xfId="7" applyFont="1" applyBorder="1" applyAlignment="1">
      <alignment horizontal="center" vertical="center" wrapText="1"/>
    </xf>
    <xf numFmtId="0" fontId="57" fillId="0" borderId="41" xfId="7" applyFont="1" applyBorder="1" applyAlignment="1">
      <alignment horizontal="center" vertical="center" wrapText="1"/>
    </xf>
  </cellXfs>
  <cellStyles count="8">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48557197-C956-4B0C-AC4C-A5EB7D496E80}"/>
    <cellStyle name="Normal 6 2" xfId="6" xr:uid="{1ECEAD03-4213-47B0-B0AE-25FDB4799898}"/>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activeCell="J3" sqref="J3"/>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1"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135</v>
      </c>
      <c r="C1" s="1" t="s">
        <v>1</v>
      </c>
      <c r="D1" s="1" t="s">
        <v>2</v>
      </c>
      <c r="E1" s="1" t="s">
        <v>136</v>
      </c>
      <c r="F1" s="58" t="s">
        <v>137</v>
      </c>
      <c r="G1" s="58" t="s">
        <v>138</v>
      </c>
      <c r="H1" s="58" t="s">
        <v>139</v>
      </c>
      <c r="I1" s="58" t="s">
        <v>140</v>
      </c>
      <c r="J1" s="53" t="s">
        <v>81</v>
      </c>
      <c r="K1" s="53" t="s">
        <v>141</v>
      </c>
      <c r="L1" s="53" t="s">
        <v>142</v>
      </c>
      <c r="M1" s="53" t="s">
        <v>143</v>
      </c>
      <c r="N1" s="52" t="s">
        <v>4</v>
      </c>
      <c r="O1" s="52" t="s">
        <v>144</v>
      </c>
      <c r="P1" s="52" t="s">
        <v>145</v>
      </c>
      <c r="Q1" s="52" t="s">
        <v>146</v>
      </c>
      <c r="R1" s="56" t="s">
        <v>147</v>
      </c>
      <c r="S1" s="56" t="s">
        <v>148</v>
      </c>
      <c r="T1" s="56" t="s">
        <v>149</v>
      </c>
      <c r="U1" s="56" t="s">
        <v>150</v>
      </c>
      <c r="V1" s="55" t="s">
        <v>6</v>
      </c>
      <c r="W1" s="55" t="s">
        <v>151</v>
      </c>
      <c r="X1" s="55" t="s">
        <v>152</v>
      </c>
      <c r="Y1" s="55" t="s">
        <v>153</v>
      </c>
      <c r="Z1" s="1" t="s">
        <v>154</v>
      </c>
      <c r="AA1" s="1" t="s">
        <v>155</v>
      </c>
      <c r="AB1" s="1" t="s">
        <v>156</v>
      </c>
      <c r="AC1" s="1" t="s">
        <v>157</v>
      </c>
      <c r="AD1" s="54" t="s">
        <v>8</v>
      </c>
      <c r="AE1" s="54" t="s">
        <v>158</v>
      </c>
      <c r="AF1" s="54" t="s">
        <v>159</v>
      </c>
      <c r="AG1" s="54" t="s">
        <v>160</v>
      </c>
      <c r="AH1" s="55" t="s">
        <v>9</v>
      </c>
      <c r="AI1" s="55" t="s">
        <v>161</v>
      </c>
      <c r="AJ1" s="55" t="s">
        <v>162</v>
      </c>
      <c r="AK1" s="55" t="s">
        <v>163</v>
      </c>
      <c r="AL1" s="1" t="s">
        <v>10</v>
      </c>
      <c r="AM1" s="1" t="s">
        <v>164</v>
      </c>
      <c r="AN1" s="1" t="s">
        <v>165</v>
      </c>
      <c r="AO1" s="1" t="s">
        <v>166</v>
      </c>
      <c r="AP1" s="57" t="s">
        <v>167</v>
      </c>
      <c r="AQ1" s="57" t="s">
        <v>168</v>
      </c>
      <c r="AR1" s="57" t="s">
        <v>169</v>
      </c>
      <c r="AS1" s="57" t="s">
        <v>170</v>
      </c>
      <c r="AT1" s="1" t="s">
        <v>49</v>
      </c>
      <c r="AU1" s="1" t="s">
        <v>171</v>
      </c>
      <c r="AV1" s="1" t="s">
        <v>172</v>
      </c>
      <c r="AW1" s="1" t="s">
        <v>173</v>
      </c>
      <c r="AX1" s="1" t="s">
        <v>174</v>
      </c>
      <c r="AY1" s="1" t="s">
        <v>175</v>
      </c>
      <c r="AZ1" s="1" t="s">
        <v>176</v>
      </c>
      <c r="BA1" s="1" t="s">
        <v>177</v>
      </c>
      <c r="BB1" s="1" t="s">
        <v>178</v>
      </c>
      <c r="BC1" s="1" t="s">
        <v>179</v>
      </c>
      <c r="BD1" s="1" t="s">
        <v>180</v>
      </c>
      <c r="BE1" s="1" t="s">
        <v>181</v>
      </c>
      <c r="BF1" s="1" t="s">
        <v>182</v>
      </c>
      <c r="BG1" s="1" t="s">
        <v>183</v>
      </c>
      <c r="BH1" s="1" t="s">
        <v>184</v>
      </c>
      <c r="BI1" s="1" t="s">
        <v>185</v>
      </c>
      <c r="BJ1" s="1" t="s">
        <v>186</v>
      </c>
      <c r="BK1" s="1" t="s">
        <v>187</v>
      </c>
      <c r="BL1" s="1" t="s">
        <v>188</v>
      </c>
      <c r="BM1" s="1" t="s">
        <v>189</v>
      </c>
      <c r="BN1" s="1" t="s">
        <v>190</v>
      </c>
      <c r="BO1" s="1" t="s">
        <v>191</v>
      </c>
      <c r="BP1" s="1" t="s">
        <v>192</v>
      </c>
      <c r="BQ1" s="1" t="s">
        <v>193</v>
      </c>
      <c r="BR1" s="1" t="s">
        <v>194</v>
      </c>
      <c r="BS1" s="1" t="s">
        <v>195</v>
      </c>
      <c r="BT1" s="1" t="s">
        <v>196</v>
      </c>
      <c r="BU1" s="1" t="s">
        <v>197</v>
      </c>
      <c r="BV1" s="1" t="s">
        <v>19</v>
      </c>
      <c r="BW1" s="1" t="s">
        <v>198</v>
      </c>
      <c r="BX1" s="1" t="s">
        <v>199</v>
      </c>
      <c r="BY1" s="1" t="s">
        <v>200</v>
      </c>
      <c r="BZ1" s="1" t="s">
        <v>201</v>
      </c>
      <c r="CA1" s="1" t="s">
        <v>202</v>
      </c>
      <c r="CB1" s="1" t="s">
        <v>203</v>
      </c>
      <c r="CC1" s="1" t="s">
        <v>204</v>
      </c>
      <c r="CD1" s="1" t="s">
        <v>22</v>
      </c>
      <c r="CE1" s="1" t="s">
        <v>205</v>
      </c>
      <c r="CF1" s="1" t="s">
        <v>24</v>
      </c>
      <c r="CG1" s="1" t="s">
        <v>206</v>
      </c>
      <c r="CH1" s="1" t="s">
        <v>207</v>
      </c>
      <c r="CI1" s="1" t="s">
        <v>27</v>
      </c>
      <c r="CJ1" s="1" t="s">
        <v>208</v>
      </c>
      <c r="CK1" s="1" t="s">
        <v>29</v>
      </c>
      <c r="CL1" s="1" t="s">
        <v>209</v>
      </c>
      <c r="CM1" s="1" t="s">
        <v>210</v>
      </c>
      <c r="CN1" s="1" t="s">
        <v>211</v>
      </c>
      <c r="CO1" s="1" t="s">
        <v>212</v>
      </c>
      <c r="CP1" s="1" t="s">
        <v>213</v>
      </c>
      <c r="CQ1" s="1" t="s">
        <v>214</v>
      </c>
      <c r="CR1" s="1" t="s">
        <v>34</v>
      </c>
      <c r="CS1" s="1" t="s">
        <v>215</v>
      </c>
      <c r="CT1" s="1" t="s">
        <v>216</v>
      </c>
      <c r="CU1" s="1" t="s">
        <v>37</v>
      </c>
      <c r="CV1" s="1" t="s">
        <v>38</v>
      </c>
      <c r="CW1" s="1" t="s">
        <v>217</v>
      </c>
      <c r="CX1" s="1" t="s">
        <v>91</v>
      </c>
      <c r="CY1" s="10" t="s">
        <v>92</v>
      </c>
      <c r="CZ1" s="10" t="s">
        <v>218</v>
      </c>
    </row>
    <row r="2" spans="1:104" s="10" customFormat="1" ht="45" x14ac:dyDescent="0.25">
      <c r="A2" s="6" t="s">
        <v>219</v>
      </c>
      <c r="B2" s="63"/>
      <c r="C2" s="1" t="s">
        <v>220</v>
      </c>
      <c r="D2" s="1" t="s">
        <v>221</v>
      </c>
      <c r="E2" s="1" t="s">
        <v>222</v>
      </c>
      <c r="F2" s="58"/>
      <c r="G2" s="58"/>
      <c r="H2" s="58">
        <v>0</v>
      </c>
      <c r="I2" s="58"/>
      <c r="J2" s="53" t="s">
        <v>223</v>
      </c>
      <c r="K2" s="53"/>
      <c r="L2" s="53">
        <v>222</v>
      </c>
      <c r="M2" s="53"/>
      <c r="N2" s="52"/>
      <c r="O2" s="52"/>
      <c r="P2" s="52">
        <v>0</v>
      </c>
      <c r="Q2" s="52"/>
      <c r="R2" s="56"/>
      <c r="S2" s="56"/>
      <c r="T2" s="56">
        <v>0</v>
      </c>
      <c r="U2" s="56"/>
      <c r="V2" s="55" t="s">
        <v>67</v>
      </c>
      <c r="W2" s="55"/>
      <c r="X2" s="55">
        <v>130</v>
      </c>
      <c r="Y2" s="55"/>
      <c r="Z2" s="1" t="s">
        <v>7</v>
      </c>
      <c r="AA2" s="1"/>
      <c r="AB2" s="1">
        <v>5</v>
      </c>
      <c r="AC2" s="1"/>
      <c r="AD2" s="54" t="s">
        <v>57</v>
      </c>
      <c r="AE2" s="54"/>
      <c r="AF2" s="54">
        <v>38</v>
      </c>
      <c r="AG2" s="54"/>
      <c r="AH2" s="55" t="s">
        <v>77</v>
      </c>
      <c r="AI2" s="55"/>
      <c r="AJ2" s="55">
        <v>492</v>
      </c>
      <c r="AK2" s="55"/>
      <c r="AL2" s="1" t="s">
        <v>60</v>
      </c>
      <c r="AM2" s="1"/>
      <c r="AN2" s="1">
        <v>166</v>
      </c>
      <c r="AO2" s="1"/>
      <c r="AP2" s="57"/>
      <c r="AQ2" s="57"/>
      <c r="AR2" s="57">
        <v>0</v>
      </c>
      <c r="AS2" s="57"/>
      <c r="AT2" s="1"/>
      <c r="AU2" s="1"/>
      <c r="AV2" s="1">
        <v>0</v>
      </c>
      <c r="AW2" s="1"/>
      <c r="AX2" s="1"/>
      <c r="AY2" s="1"/>
      <c r="AZ2" s="1">
        <v>0</v>
      </c>
      <c r="BA2" s="1"/>
      <c r="BB2" s="1"/>
      <c r="BC2" s="1"/>
      <c r="BD2" s="1">
        <v>0</v>
      </c>
      <c r="BE2" s="1"/>
      <c r="BF2" s="1"/>
      <c r="BG2" s="1"/>
      <c r="BH2" s="1">
        <v>0</v>
      </c>
      <c r="BI2" s="1"/>
      <c r="BJ2" s="1"/>
      <c r="BK2" s="1"/>
      <c r="BL2" s="1">
        <v>28</v>
      </c>
      <c r="BM2" s="70"/>
      <c r="BN2" s="1"/>
      <c r="BO2" s="1"/>
      <c r="BP2" s="1">
        <v>0</v>
      </c>
      <c r="BQ2" s="1"/>
      <c r="BR2" s="1"/>
      <c r="BS2" s="1"/>
      <c r="BT2" s="1">
        <v>0</v>
      </c>
      <c r="BU2" s="1"/>
      <c r="BV2" s="1"/>
      <c r="BW2" s="1"/>
      <c r="BX2" s="1">
        <v>0</v>
      </c>
      <c r="BY2" s="1"/>
      <c r="BZ2" s="1">
        <v>5448</v>
      </c>
      <c r="CA2" s="1">
        <v>5448</v>
      </c>
      <c r="CB2" s="60"/>
      <c r="CC2" s="1"/>
      <c r="CD2" s="60"/>
      <c r="CE2" s="1"/>
      <c r="CF2" s="60"/>
      <c r="CG2" s="1"/>
      <c r="CH2" s="1">
        <v>5448</v>
      </c>
      <c r="CI2" s="60"/>
      <c r="CJ2" s="1"/>
      <c r="CK2" s="60"/>
      <c r="CL2" s="1"/>
      <c r="CM2" s="1"/>
      <c r="CN2" s="1"/>
      <c r="CO2" s="1">
        <v>5448</v>
      </c>
      <c r="CP2" s="60"/>
      <c r="CQ2" s="1">
        <v>5448</v>
      </c>
      <c r="CR2" s="60">
        <v>0.18</v>
      </c>
      <c r="CS2" s="1">
        <v>980.64</v>
      </c>
      <c r="CT2" s="1">
        <v>6428.64</v>
      </c>
      <c r="CU2" s="59">
        <v>35</v>
      </c>
      <c r="CV2" s="59" t="s">
        <v>224</v>
      </c>
      <c r="CW2" s="59">
        <v>225002</v>
      </c>
      <c r="CX2" s="1" t="s">
        <v>225</v>
      </c>
      <c r="CY2" s="10" t="s">
        <v>226</v>
      </c>
      <c r="CZ2" s="10">
        <v>500</v>
      </c>
    </row>
    <row r="3" spans="1:104" s="10" customFormat="1" ht="45" x14ac:dyDescent="0.25">
      <c r="A3" s="6" t="s">
        <v>219</v>
      </c>
      <c r="B3" s="63"/>
      <c r="C3" s="1" t="s">
        <v>227</v>
      </c>
      <c r="D3" s="1" t="s">
        <v>228</v>
      </c>
      <c r="E3" s="1" t="s">
        <v>222</v>
      </c>
      <c r="F3" s="58"/>
      <c r="G3" s="58"/>
      <c r="H3" s="58">
        <v>0</v>
      </c>
      <c r="I3" s="58"/>
      <c r="J3" s="53" t="s">
        <v>223</v>
      </c>
      <c r="K3" s="53"/>
      <c r="L3" s="53">
        <v>266</v>
      </c>
      <c r="M3" s="53"/>
      <c r="N3" s="52"/>
      <c r="O3" s="52"/>
      <c r="P3" s="52">
        <v>0</v>
      </c>
      <c r="Q3" s="52"/>
      <c r="R3" s="56"/>
      <c r="S3" s="56"/>
      <c r="T3" s="56">
        <v>0</v>
      </c>
      <c r="U3" s="56"/>
      <c r="V3" s="55" t="s">
        <v>67</v>
      </c>
      <c r="W3" s="55"/>
      <c r="X3" s="55">
        <v>156</v>
      </c>
      <c r="Y3" s="55"/>
      <c r="Z3" s="1" t="s">
        <v>7</v>
      </c>
      <c r="AA3" s="1"/>
      <c r="AB3" s="1">
        <v>6</v>
      </c>
      <c r="AC3" s="1"/>
      <c r="AD3" s="54" t="s">
        <v>57</v>
      </c>
      <c r="AE3" s="54"/>
      <c r="AF3" s="54">
        <v>40</v>
      </c>
      <c r="AG3" s="54"/>
      <c r="AH3" s="55" t="s">
        <v>77</v>
      </c>
      <c r="AI3" s="55"/>
      <c r="AJ3" s="55">
        <v>508</v>
      </c>
      <c r="AK3" s="55"/>
      <c r="AL3" s="1" t="s">
        <v>60</v>
      </c>
      <c r="AM3" s="1"/>
      <c r="AN3" s="1">
        <v>170</v>
      </c>
      <c r="AO3" s="1"/>
      <c r="AP3" s="57"/>
      <c r="AQ3" s="57"/>
      <c r="AR3" s="57">
        <v>0</v>
      </c>
      <c r="AS3" s="57"/>
      <c r="AT3" s="1"/>
      <c r="AU3" s="1"/>
      <c r="AV3" s="1">
        <v>0</v>
      </c>
      <c r="AW3" s="1"/>
      <c r="AX3" s="1"/>
      <c r="AY3" s="1"/>
      <c r="AZ3" s="1">
        <v>0</v>
      </c>
      <c r="BA3" s="1"/>
      <c r="BB3" s="1"/>
      <c r="BC3" s="1"/>
      <c r="BD3" s="1">
        <v>0</v>
      </c>
      <c r="BE3" s="1"/>
      <c r="BF3" s="1"/>
      <c r="BG3" s="1"/>
      <c r="BH3" s="1">
        <v>0</v>
      </c>
      <c r="BI3" s="1"/>
      <c r="BJ3" s="1"/>
      <c r="BK3" s="1"/>
      <c r="BL3" s="1">
        <v>28</v>
      </c>
      <c r="BM3" s="70"/>
      <c r="BN3" s="1"/>
      <c r="BO3" s="1"/>
      <c r="BP3" s="1">
        <v>0</v>
      </c>
      <c r="BQ3" s="1"/>
      <c r="BR3" s="1"/>
      <c r="BS3" s="1"/>
      <c r="BT3" s="1">
        <v>0</v>
      </c>
      <c r="BU3" s="1"/>
      <c r="BV3" s="1"/>
      <c r="BW3" s="1"/>
      <c r="BX3" s="1">
        <v>0</v>
      </c>
      <c r="BY3" s="1"/>
      <c r="BZ3" s="1">
        <v>5448</v>
      </c>
      <c r="CA3" s="1">
        <v>5448</v>
      </c>
      <c r="CB3" s="60"/>
      <c r="CC3" s="1"/>
      <c r="CD3" s="60"/>
      <c r="CE3" s="1"/>
      <c r="CF3" s="60"/>
      <c r="CG3" s="1"/>
      <c r="CH3" s="1">
        <v>5448</v>
      </c>
      <c r="CI3" s="60"/>
      <c r="CJ3" s="1"/>
      <c r="CK3" s="60"/>
      <c r="CL3" s="1"/>
      <c r="CM3" s="1"/>
      <c r="CN3" s="1"/>
      <c r="CO3" s="1">
        <v>5448</v>
      </c>
      <c r="CP3" s="60"/>
      <c r="CQ3" s="1">
        <v>5448</v>
      </c>
      <c r="CR3" s="60">
        <v>0.18</v>
      </c>
      <c r="CS3" s="1">
        <v>980.64</v>
      </c>
      <c r="CT3" s="1">
        <v>6428.64</v>
      </c>
      <c r="CU3" s="59">
        <v>35</v>
      </c>
      <c r="CV3" s="59" t="s">
        <v>224</v>
      </c>
      <c r="CW3" s="59">
        <v>225002</v>
      </c>
      <c r="CX3" s="1" t="s">
        <v>225</v>
      </c>
      <c r="CY3" s="10" t="s">
        <v>226</v>
      </c>
      <c r="CZ3" s="10">
        <v>500</v>
      </c>
    </row>
    <row r="4" spans="1:104" s="10" customFormat="1" ht="45" x14ac:dyDescent="0.25">
      <c r="A4" s="6" t="s">
        <v>219</v>
      </c>
      <c r="B4" s="63"/>
      <c r="C4" s="1" t="s">
        <v>229</v>
      </c>
      <c r="D4" s="1" t="s">
        <v>230</v>
      </c>
      <c r="E4" s="1" t="s">
        <v>222</v>
      </c>
      <c r="F4" s="58"/>
      <c r="G4" s="58"/>
      <c r="H4" s="58">
        <v>0</v>
      </c>
      <c r="I4" s="58"/>
      <c r="J4" s="53" t="s">
        <v>223</v>
      </c>
      <c r="K4" s="53"/>
      <c r="L4" s="53">
        <v>44</v>
      </c>
      <c r="M4" s="53"/>
      <c r="N4" s="52"/>
      <c r="O4" s="52"/>
      <c r="P4" s="52">
        <v>0</v>
      </c>
      <c r="Q4" s="52"/>
      <c r="R4" s="56"/>
      <c r="S4" s="56"/>
      <c r="T4" s="56">
        <v>0</v>
      </c>
      <c r="U4" s="56"/>
      <c r="V4" s="55" t="s">
        <v>67</v>
      </c>
      <c r="W4" s="55"/>
      <c r="X4" s="55">
        <v>26</v>
      </c>
      <c r="Y4" s="55"/>
      <c r="Z4" s="1" t="s">
        <v>7</v>
      </c>
      <c r="AA4" s="1"/>
      <c r="AB4" s="1">
        <v>3</v>
      </c>
      <c r="AC4" s="1"/>
      <c r="AD4" s="54" t="s">
        <v>57</v>
      </c>
      <c r="AE4" s="54"/>
      <c r="AF4" s="54">
        <v>39</v>
      </c>
      <c r="AG4" s="54"/>
      <c r="AH4" s="55" t="s">
        <v>77</v>
      </c>
      <c r="AI4" s="55"/>
      <c r="AJ4" s="55">
        <v>251</v>
      </c>
      <c r="AK4" s="55"/>
      <c r="AL4" s="1" t="s">
        <v>60</v>
      </c>
      <c r="AM4" s="1"/>
      <c r="AN4" s="1">
        <v>93</v>
      </c>
      <c r="AO4" s="1"/>
      <c r="AP4" s="57"/>
      <c r="AQ4" s="57"/>
      <c r="AR4" s="57">
        <v>0</v>
      </c>
      <c r="AS4" s="57"/>
      <c r="AT4" s="1"/>
      <c r="AU4" s="1"/>
      <c r="AV4" s="1">
        <v>0</v>
      </c>
      <c r="AW4" s="1"/>
      <c r="AX4" s="1"/>
      <c r="AY4" s="1"/>
      <c r="AZ4" s="1">
        <v>0</v>
      </c>
      <c r="BA4" s="1"/>
      <c r="BB4" s="1"/>
      <c r="BC4" s="1"/>
      <c r="BD4" s="1">
        <v>0</v>
      </c>
      <c r="BE4" s="1"/>
      <c r="BF4" s="1"/>
      <c r="BG4" s="1"/>
      <c r="BH4" s="1">
        <v>0</v>
      </c>
      <c r="BI4" s="1"/>
      <c r="BJ4" s="1"/>
      <c r="BK4" s="1"/>
      <c r="BL4" s="1">
        <v>16</v>
      </c>
      <c r="BM4" s="70"/>
      <c r="BN4" s="1"/>
      <c r="BO4" s="1"/>
      <c r="BP4" s="1">
        <v>0</v>
      </c>
      <c r="BQ4" s="1"/>
      <c r="BR4" s="1"/>
      <c r="BS4" s="1"/>
      <c r="BT4" s="1">
        <v>0</v>
      </c>
      <c r="BU4" s="1"/>
      <c r="BV4" s="1"/>
      <c r="BW4" s="1"/>
      <c r="BX4" s="1">
        <v>0</v>
      </c>
      <c r="BY4" s="1"/>
      <c r="BZ4" s="1">
        <v>4260</v>
      </c>
      <c r="CA4" s="1">
        <v>4260</v>
      </c>
      <c r="CB4" s="60"/>
      <c r="CC4" s="1"/>
      <c r="CD4" s="60"/>
      <c r="CE4" s="1"/>
      <c r="CF4" s="60"/>
      <c r="CG4" s="1"/>
      <c r="CH4" s="1">
        <v>4260</v>
      </c>
      <c r="CI4" s="60"/>
      <c r="CJ4" s="1"/>
      <c r="CK4" s="60"/>
      <c r="CL4" s="1"/>
      <c r="CM4" s="1"/>
      <c r="CN4" s="1"/>
      <c r="CO4" s="1">
        <v>4260</v>
      </c>
      <c r="CP4" s="60"/>
      <c r="CQ4" s="1">
        <v>4260</v>
      </c>
      <c r="CR4" s="60">
        <v>0.18</v>
      </c>
      <c r="CS4" s="1">
        <v>766.8</v>
      </c>
      <c r="CT4" s="1">
        <v>5026.8</v>
      </c>
      <c r="CU4" s="59">
        <v>15</v>
      </c>
      <c r="CV4" s="59" t="s">
        <v>224</v>
      </c>
      <c r="CW4" s="59">
        <v>75402</v>
      </c>
      <c r="CX4" s="1" t="s">
        <v>231</v>
      </c>
      <c r="CY4" s="10" t="s">
        <v>232</v>
      </c>
      <c r="CZ4" s="10">
        <v>500</v>
      </c>
    </row>
    <row r="5" spans="1:104" s="10" customFormat="1" ht="45" x14ac:dyDescent="0.25">
      <c r="A5" s="6" t="s">
        <v>219</v>
      </c>
      <c r="B5" s="63"/>
      <c r="C5" s="1" t="s">
        <v>233</v>
      </c>
      <c r="D5" s="1" t="s">
        <v>234</v>
      </c>
      <c r="E5" s="1" t="s">
        <v>222</v>
      </c>
      <c r="F5" s="58"/>
      <c r="G5" s="58"/>
      <c r="H5" s="58">
        <v>0</v>
      </c>
      <c r="I5" s="58"/>
      <c r="J5" s="53" t="s">
        <v>223</v>
      </c>
      <c r="K5" s="53"/>
      <c r="L5" s="53">
        <v>89</v>
      </c>
      <c r="M5" s="53"/>
      <c r="N5" s="52"/>
      <c r="O5" s="52"/>
      <c r="P5" s="52">
        <v>0</v>
      </c>
      <c r="Q5" s="52"/>
      <c r="R5" s="56"/>
      <c r="S5" s="56"/>
      <c r="T5" s="56">
        <v>0</v>
      </c>
      <c r="U5" s="56"/>
      <c r="V5" s="55" t="s">
        <v>67</v>
      </c>
      <c r="W5" s="55"/>
      <c r="X5" s="55">
        <v>52</v>
      </c>
      <c r="Y5" s="55"/>
      <c r="Z5" s="1" t="s">
        <v>7</v>
      </c>
      <c r="AA5" s="1"/>
      <c r="AB5" s="1">
        <v>3</v>
      </c>
      <c r="AC5" s="1"/>
      <c r="AD5" s="54" t="s">
        <v>57</v>
      </c>
      <c r="AE5" s="54"/>
      <c r="AF5" s="54">
        <v>27</v>
      </c>
      <c r="AG5" s="54"/>
      <c r="AH5" s="55" t="s">
        <v>77</v>
      </c>
      <c r="AI5" s="55"/>
      <c r="AJ5" s="55">
        <v>289</v>
      </c>
      <c r="AK5" s="55"/>
      <c r="AL5" s="1" t="s">
        <v>60</v>
      </c>
      <c r="AM5" s="1"/>
      <c r="AN5" s="1">
        <v>104</v>
      </c>
      <c r="AO5" s="1"/>
      <c r="AP5" s="57"/>
      <c r="AQ5" s="57"/>
      <c r="AR5" s="57">
        <v>0</v>
      </c>
      <c r="AS5" s="57"/>
      <c r="AT5" s="1"/>
      <c r="AU5" s="1"/>
      <c r="AV5" s="1">
        <v>0</v>
      </c>
      <c r="AW5" s="1"/>
      <c r="AX5" s="1"/>
      <c r="AY5" s="1"/>
      <c r="AZ5" s="1">
        <v>0</v>
      </c>
      <c r="BA5" s="1"/>
      <c r="BB5" s="1"/>
      <c r="BC5" s="1"/>
      <c r="BD5" s="1">
        <v>0</v>
      </c>
      <c r="BE5" s="1"/>
      <c r="BF5" s="1"/>
      <c r="BG5" s="1"/>
      <c r="BH5" s="1">
        <v>0</v>
      </c>
      <c r="BI5" s="1"/>
      <c r="BJ5" s="1"/>
      <c r="BK5" s="1"/>
      <c r="BL5" s="1">
        <v>19</v>
      </c>
      <c r="BM5" s="1"/>
      <c r="BN5" s="1"/>
      <c r="BO5" s="1"/>
      <c r="BP5" s="1">
        <v>0</v>
      </c>
      <c r="BQ5" s="1"/>
      <c r="BR5" s="1"/>
      <c r="BS5" s="1"/>
      <c r="BT5" s="1">
        <v>0</v>
      </c>
      <c r="BU5" s="1"/>
      <c r="BV5" s="1"/>
      <c r="BW5" s="1"/>
      <c r="BX5" s="1">
        <v>0</v>
      </c>
      <c r="BY5" s="1"/>
      <c r="BZ5" s="1">
        <v>5170</v>
      </c>
      <c r="CA5" s="1">
        <v>5170</v>
      </c>
      <c r="CB5" s="60"/>
      <c r="CC5" s="1"/>
      <c r="CD5" s="60"/>
      <c r="CE5" s="1"/>
      <c r="CF5" s="60"/>
      <c r="CG5" s="1"/>
      <c r="CH5" s="1">
        <v>5170</v>
      </c>
      <c r="CI5" s="60"/>
      <c r="CJ5" s="1"/>
      <c r="CK5" s="60"/>
      <c r="CL5" s="1"/>
      <c r="CM5" s="1"/>
      <c r="CN5" s="1"/>
      <c r="CO5" s="1">
        <v>5170</v>
      </c>
      <c r="CP5" s="60"/>
      <c r="CQ5" s="1">
        <v>5170</v>
      </c>
      <c r="CR5" s="60">
        <v>0.18</v>
      </c>
      <c r="CS5" s="1">
        <v>930.6</v>
      </c>
      <c r="CT5" s="1">
        <v>6100.6</v>
      </c>
      <c r="CU5" s="59">
        <v>25</v>
      </c>
      <c r="CV5" s="59" t="s">
        <v>224</v>
      </c>
      <c r="CW5" s="59">
        <v>152515</v>
      </c>
      <c r="CX5" s="1" t="s">
        <v>235</v>
      </c>
      <c r="CY5" s="10" t="s">
        <v>236</v>
      </c>
      <c r="CZ5" s="10">
        <v>500</v>
      </c>
    </row>
    <row r="6" spans="1:104" s="10" customFormat="1" ht="18" customHeight="1" x14ac:dyDescent="0.25">
      <c r="A6" s="6"/>
      <c r="B6" s="63"/>
      <c r="C6" s="1"/>
      <c r="D6" s="1"/>
      <c r="E6" s="1"/>
      <c r="F6" s="58"/>
      <c r="G6" s="58"/>
      <c r="H6" s="58"/>
      <c r="I6" s="58"/>
      <c r="J6" s="53"/>
      <c r="K6" s="53"/>
      <c r="L6" s="53"/>
      <c r="M6" s="53"/>
      <c r="N6" s="52"/>
      <c r="O6" s="52"/>
      <c r="P6" s="52"/>
      <c r="Q6" s="52"/>
      <c r="R6" s="56"/>
      <c r="S6" s="56"/>
      <c r="T6" s="56"/>
      <c r="U6" s="56"/>
      <c r="V6" s="55"/>
      <c r="W6" s="55"/>
      <c r="X6" s="55"/>
      <c r="Y6" s="55"/>
      <c r="Z6" s="1"/>
      <c r="AA6" s="1"/>
      <c r="AB6" s="1"/>
      <c r="AC6" s="1"/>
      <c r="AD6" s="54"/>
      <c r="AE6" s="54"/>
      <c r="AF6" s="54"/>
      <c r="AG6" s="54"/>
      <c r="AH6" s="55"/>
      <c r="AI6" s="55"/>
      <c r="AJ6" s="55"/>
      <c r="AK6" s="55"/>
      <c r="AL6" s="1"/>
      <c r="AM6" s="1"/>
      <c r="AN6" s="1"/>
      <c r="AO6" s="1"/>
      <c r="AP6" s="57"/>
      <c r="AQ6" s="57"/>
      <c r="AR6" s="57"/>
      <c r="AS6" s="57"/>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60"/>
      <c r="CC6" s="1"/>
      <c r="CD6" s="60"/>
      <c r="CE6" s="1"/>
      <c r="CF6" s="60"/>
      <c r="CG6" s="1"/>
      <c r="CH6" s="1"/>
      <c r="CI6" s="60"/>
      <c r="CJ6" s="1"/>
      <c r="CK6" s="60"/>
      <c r="CL6" s="1"/>
      <c r="CM6" s="1"/>
      <c r="CN6" s="1"/>
      <c r="CO6" s="1"/>
      <c r="CP6" s="60"/>
      <c r="CQ6" s="1"/>
      <c r="CR6" s="1"/>
      <c r="CS6" s="1"/>
      <c r="CT6" s="1"/>
      <c r="CU6" s="59"/>
      <c r="CV6" s="59"/>
      <c r="CW6" s="59"/>
      <c r="CX6" s="1"/>
    </row>
    <row r="7" spans="1:104" s="10" customFormat="1" ht="18" customHeight="1" x14ac:dyDescent="0.25">
      <c r="A7" s="6"/>
      <c r="B7" s="63"/>
      <c r="C7" s="1"/>
      <c r="D7" s="1"/>
      <c r="E7" s="1"/>
      <c r="F7" s="58"/>
      <c r="G7" s="58"/>
      <c r="H7" s="58"/>
      <c r="I7" s="58"/>
      <c r="J7" s="53"/>
      <c r="K7" s="53"/>
      <c r="L7" s="53"/>
      <c r="M7" s="53"/>
      <c r="N7" s="52"/>
      <c r="O7" s="52"/>
      <c r="P7" s="52"/>
      <c r="Q7" s="52"/>
      <c r="R7" s="56"/>
      <c r="S7" s="56"/>
      <c r="T7" s="56"/>
      <c r="U7" s="56"/>
      <c r="V7" s="55"/>
      <c r="W7" s="55"/>
      <c r="X7" s="55"/>
      <c r="Y7" s="55"/>
      <c r="Z7" s="1"/>
      <c r="AA7" s="1"/>
      <c r="AB7" s="1"/>
      <c r="AC7" s="1"/>
      <c r="AD7" s="54"/>
      <c r="AE7" s="54"/>
      <c r="AF7" s="54"/>
      <c r="AG7" s="54"/>
      <c r="AH7" s="55"/>
      <c r="AI7" s="55"/>
      <c r="AJ7" s="55"/>
      <c r="AK7" s="55"/>
      <c r="AL7" s="1"/>
      <c r="AM7" s="1"/>
      <c r="AN7" s="1"/>
      <c r="AO7" s="1"/>
      <c r="AP7" s="57"/>
      <c r="AQ7" s="57"/>
      <c r="AR7" s="57"/>
      <c r="AS7" s="57"/>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60"/>
      <c r="CC7" s="1"/>
      <c r="CD7" s="60"/>
      <c r="CE7" s="1"/>
      <c r="CF7" s="60"/>
      <c r="CG7" s="1"/>
      <c r="CH7" s="1"/>
      <c r="CI7" s="60"/>
      <c r="CJ7" s="1"/>
      <c r="CK7" s="60"/>
      <c r="CL7" s="1"/>
      <c r="CM7" s="1"/>
      <c r="CN7" s="1"/>
      <c r="CO7" s="1"/>
      <c r="CP7" s="60"/>
      <c r="CQ7" s="1"/>
      <c r="CR7" s="1"/>
      <c r="CS7" s="1"/>
      <c r="CT7" s="1"/>
      <c r="CU7" s="59"/>
      <c r="CV7" s="59"/>
      <c r="CW7" s="59"/>
      <c r="CX7" s="1"/>
    </row>
    <row r="8" spans="1:104" s="10" customFormat="1" ht="18" customHeight="1" x14ac:dyDescent="0.25">
      <c r="A8" s="6"/>
      <c r="B8" s="63"/>
      <c r="C8" s="1"/>
      <c r="D8" s="1"/>
      <c r="E8" s="1"/>
      <c r="F8" s="58"/>
      <c r="G8" s="58"/>
      <c r="H8" s="58"/>
      <c r="I8" s="58"/>
      <c r="J8" s="53"/>
      <c r="K8" s="53"/>
      <c r="L8" s="53"/>
      <c r="M8" s="53"/>
      <c r="N8" s="52"/>
      <c r="O8" s="52"/>
      <c r="P8" s="52"/>
      <c r="Q8" s="52"/>
      <c r="R8" s="56"/>
      <c r="S8" s="56"/>
      <c r="T8" s="56"/>
      <c r="U8" s="56"/>
      <c r="V8" s="55"/>
      <c r="W8" s="55"/>
      <c r="X8" s="55"/>
      <c r="Y8" s="55"/>
      <c r="Z8" s="1"/>
      <c r="AA8" s="1"/>
      <c r="AB8" s="1"/>
      <c r="AC8" s="1"/>
      <c r="AD8" s="54"/>
      <c r="AE8" s="54"/>
      <c r="AF8" s="54"/>
      <c r="AG8" s="54"/>
      <c r="AH8" s="55"/>
      <c r="AI8" s="55"/>
      <c r="AJ8" s="55"/>
      <c r="AK8" s="55"/>
      <c r="AL8" s="1"/>
      <c r="AM8" s="1"/>
      <c r="AN8" s="1"/>
      <c r="AO8" s="1"/>
      <c r="AP8" s="57"/>
      <c r="AQ8" s="57"/>
      <c r="AR8" s="57"/>
      <c r="AS8" s="57"/>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60"/>
      <c r="CC8" s="1"/>
      <c r="CD8" s="60"/>
      <c r="CE8" s="1"/>
      <c r="CF8" s="60"/>
      <c r="CG8" s="1"/>
      <c r="CH8" s="1"/>
      <c r="CI8" s="60"/>
      <c r="CJ8" s="1"/>
      <c r="CK8" s="60"/>
      <c r="CL8" s="1"/>
      <c r="CM8" s="1"/>
      <c r="CN8" s="1"/>
      <c r="CO8" s="1"/>
      <c r="CP8" s="60"/>
      <c r="CQ8" s="1"/>
      <c r="CR8" s="1"/>
      <c r="CS8" s="1"/>
      <c r="CT8" s="1"/>
      <c r="CU8" s="59"/>
      <c r="CV8" s="59"/>
      <c r="CW8" s="59"/>
      <c r="CX8" s="1"/>
    </row>
    <row r="9" spans="1:104" s="10" customFormat="1" ht="18" customHeight="1" x14ac:dyDescent="0.25">
      <c r="A9" s="6"/>
      <c r="B9" s="63"/>
      <c r="C9" s="1"/>
      <c r="D9" s="1"/>
      <c r="E9" s="1"/>
      <c r="F9" s="58"/>
      <c r="G9" s="58"/>
      <c r="H9" s="58"/>
      <c r="I9" s="58"/>
      <c r="J9" s="53"/>
      <c r="K9" s="53"/>
      <c r="L9" s="53"/>
      <c r="M9" s="53"/>
      <c r="N9" s="52"/>
      <c r="O9" s="52"/>
      <c r="P9" s="52"/>
      <c r="Q9" s="52"/>
      <c r="R9" s="56"/>
      <c r="S9" s="56"/>
      <c r="T9" s="56"/>
      <c r="U9" s="56"/>
      <c r="V9" s="55"/>
      <c r="W9" s="55"/>
      <c r="X9" s="55"/>
      <c r="Y9" s="55"/>
      <c r="Z9" s="1"/>
      <c r="AA9" s="1"/>
      <c r="AB9" s="1"/>
      <c r="AC9" s="1"/>
      <c r="AD9" s="54"/>
      <c r="AE9" s="54"/>
      <c r="AF9" s="54"/>
      <c r="AG9" s="54"/>
      <c r="AH9" s="55"/>
      <c r="AI9" s="55"/>
      <c r="AJ9" s="55"/>
      <c r="AK9" s="55"/>
      <c r="AL9" s="1"/>
      <c r="AM9" s="1"/>
      <c r="AN9" s="1"/>
      <c r="AO9" s="1"/>
      <c r="AP9" s="57"/>
      <c r="AQ9" s="57"/>
      <c r="AR9" s="57"/>
      <c r="AS9" s="57"/>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60"/>
      <c r="CC9" s="1"/>
      <c r="CD9" s="60"/>
      <c r="CE9" s="1"/>
      <c r="CF9" s="60"/>
      <c r="CG9" s="1"/>
      <c r="CH9" s="1"/>
      <c r="CI9" s="60"/>
      <c r="CJ9" s="1"/>
      <c r="CK9" s="60"/>
      <c r="CL9" s="1"/>
      <c r="CM9" s="1"/>
      <c r="CN9" s="1"/>
      <c r="CO9" s="1"/>
      <c r="CP9" s="60"/>
      <c r="CQ9" s="1"/>
      <c r="CR9" s="1"/>
      <c r="CS9" s="1"/>
      <c r="CT9" s="1"/>
      <c r="CU9" s="59"/>
      <c r="CV9" s="59"/>
      <c r="CW9" s="59"/>
      <c r="CX9" s="1"/>
    </row>
    <row r="10" spans="1:104" s="10" customFormat="1" ht="18" customHeight="1" x14ac:dyDescent="0.25">
      <c r="A10" s="6"/>
      <c r="B10" s="63"/>
      <c r="C10" s="1"/>
      <c r="D10" s="1"/>
      <c r="E10" s="1"/>
      <c r="F10" s="58"/>
      <c r="G10" s="58"/>
      <c r="H10" s="58"/>
      <c r="I10" s="58"/>
      <c r="J10" s="53"/>
      <c r="K10" s="53"/>
      <c r="L10" s="53"/>
      <c r="M10" s="53"/>
      <c r="N10" s="52"/>
      <c r="O10" s="52"/>
      <c r="P10" s="52"/>
      <c r="Q10" s="52"/>
      <c r="R10" s="56"/>
      <c r="S10" s="56"/>
      <c r="T10" s="56"/>
      <c r="U10" s="56"/>
      <c r="V10" s="55"/>
      <c r="W10" s="55"/>
      <c r="X10" s="55"/>
      <c r="Y10" s="55"/>
      <c r="Z10" s="1"/>
      <c r="AA10" s="1"/>
      <c r="AB10" s="1"/>
      <c r="AC10" s="1"/>
      <c r="AD10" s="54"/>
      <c r="AE10" s="54"/>
      <c r="AF10" s="54"/>
      <c r="AG10" s="54"/>
      <c r="AH10" s="55"/>
      <c r="AI10" s="55"/>
      <c r="AJ10" s="55"/>
      <c r="AK10" s="55"/>
      <c r="AL10" s="1"/>
      <c r="AM10" s="1"/>
      <c r="AN10" s="1"/>
      <c r="AO10" s="1"/>
      <c r="AP10" s="57"/>
      <c r="AQ10" s="57"/>
      <c r="AR10" s="57"/>
      <c r="AS10" s="57"/>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60"/>
      <c r="CC10" s="1"/>
      <c r="CD10" s="60"/>
      <c r="CE10" s="1"/>
      <c r="CF10" s="60"/>
      <c r="CG10" s="1"/>
      <c r="CH10" s="1"/>
      <c r="CI10" s="60"/>
      <c r="CJ10" s="1"/>
      <c r="CK10" s="60"/>
      <c r="CL10" s="1"/>
      <c r="CM10" s="1"/>
      <c r="CN10" s="1"/>
      <c r="CO10" s="1"/>
      <c r="CP10" s="60"/>
      <c r="CQ10" s="1"/>
      <c r="CR10" s="1"/>
      <c r="CS10" s="1"/>
      <c r="CT10" s="1"/>
      <c r="CU10" s="59"/>
      <c r="CV10" s="59"/>
      <c r="CW10" s="59"/>
      <c r="CX10" s="1"/>
    </row>
    <row r="11" spans="1:104" s="10" customFormat="1" ht="18" customHeight="1" x14ac:dyDescent="0.25">
      <c r="A11" s="6"/>
      <c r="B11" s="63"/>
      <c r="C11" s="1"/>
      <c r="D11" s="1"/>
      <c r="E11" s="1"/>
      <c r="F11" s="58"/>
      <c r="G11" s="58"/>
      <c r="H11" s="58"/>
      <c r="I11" s="58"/>
      <c r="J11" s="53"/>
      <c r="K11" s="53"/>
      <c r="L11" s="53"/>
      <c r="M11" s="53"/>
      <c r="N11" s="52"/>
      <c r="O11" s="52"/>
      <c r="P11" s="52"/>
      <c r="Q11" s="52"/>
      <c r="R11" s="56"/>
      <c r="S11" s="56"/>
      <c r="T11" s="56"/>
      <c r="U11" s="56"/>
      <c r="V11" s="55"/>
      <c r="W11" s="55"/>
      <c r="X11" s="55"/>
      <c r="Y11" s="55"/>
      <c r="Z11" s="1"/>
      <c r="AA11" s="1"/>
      <c r="AB11" s="1"/>
      <c r="AC11" s="1"/>
      <c r="AD11" s="54"/>
      <c r="AE11" s="54"/>
      <c r="AF11" s="54"/>
      <c r="AG11" s="54"/>
      <c r="AH11" s="55"/>
      <c r="AI11" s="55"/>
      <c r="AJ11" s="55"/>
      <c r="AK11" s="55"/>
      <c r="AL11" s="1"/>
      <c r="AM11" s="1"/>
      <c r="AN11" s="1"/>
      <c r="AO11" s="1"/>
      <c r="AP11" s="57"/>
      <c r="AQ11" s="57"/>
      <c r="AR11" s="57"/>
      <c r="AS11" s="57"/>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60"/>
      <c r="CC11" s="1"/>
      <c r="CD11" s="60"/>
      <c r="CE11" s="1"/>
      <c r="CF11" s="60"/>
      <c r="CG11" s="1"/>
      <c r="CH11" s="1"/>
      <c r="CI11" s="60"/>
      <c r="CJ11" s="1"/>
      <c r="CK11" s="60"/>
      <c r="CL11" s="1"/>
      <c r="CM11" s="1"/>
      <c r="CN11" s="1"/>
      <c r="CO11" s="1"/>
      <c r="CP11" s="60"/>
      <c r="CQ11" s="1"/>
      <c r="CR11" s="1"/>
      <c r="CS11" s="1"/>
      <c r="CT11" s="1"/>
      <c r="CU11" s="59"/>
      <c r="CV11" s="59"/>
      <c r="CW11" s="59"/>
      <c r="CX11" s="1"/>
    </row>
    <row r="12" spans="1:104" s="10" customFormat="1" ht="18" customHeight="1" x14ac:dyDescent="0.25">
      <c r="A12" s="6"/>
      <c r="B12" s="63"/>
      <c r="C12" s="1"/>
      <c r="D12" s="1"/>
      <c r="E12" s="1"/>
      <c r="F12" s="58"/>
      <c r="G12" s="58"/>
      <c r="H12" s="58"/>
      <c r="I12" s="58"/>
      <c r="J12" s="53"/>
      <c r="K12" s="53"/>
      <c r="L12" s="53"/>
      <c r="M12" s="53"/>
      <c r="N12" s="52"/>
      <c r="O12" s="52"/>
      <c r="P12" s="52"/>
      <c r="Q12" s="52"/>
      <c r="R12" s="56"/>
      <c r="S12" s="56"/>
      <c r="T12" s="56"/>
      <c r="U12" s="56"/>
      <c r="V12" s="55"/>
      <c r="W12" s="55"/>
      <c r="X12" s="55"/>
      <c r="Y12" s="55"/>
      <c r="Z12" s="1"/>
      <c r="AA12" s="1"/>
      <c r="AB12" s="1"/>
      <c r="AC12" s="1"/>
      <c r="AD12" s="54"/>
      <c r="AE12" s="54"/>
      <c r="AF12" s="54"/>
      <c r="AG12" s="54"/>
      <c r="AH12" s="55"/>
      <c r="AI12" s="55"/>
      <c r="AJ12" s="55"/>
      <c r="AK12" s="55"/>
      <c r="AL12" s="1"/>
      <c r="AM12" s="1"/>
      <c r="AN12" s="1"/>
      <c r="AO12" s="1"/>
      <c r="AP12" s="57"/>
      <c r="AQ12" s="57"/>
      <c r="AR12" s="57"/>
      <c r="AS12" s="57"/>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60"/>
      <c r="CC12" s="1"/>
      <c r="CD12" s="60"/>
      <c r="CE12" s="1"/>
      <c r="CF12" s="60"/>
      <c r="CG12" s="1"/>
      <c r="CH12" s="1"/>
      <c r="CI12" s="60"/>
      <c r="CJ12" s="1"/>
      <c r="CK12" s="60"/>
      <c r="CL12" s="1"/>
      <c r="CM12" s="1"/>
      <c r="CN12" s="1"/>
      <c r="CO12" s="1"/>
      <c r="CP12" s="60"/>
      <c r="CQ12" s="1"/>
      <c r="CR12" s="1"/>
      <c r="CS12" s="1"/>
      <c r="CT12" s="1"/>
      <c r="CU12" s="59"/>
      <c r="CV12" s="59"/>
      <c r="CW12" s="59"/>
      <c r="CX12" s="1"/>
    </row>
    <row r="13" spans="1:104" s="10" customFormat="1" ht="18" customHeight="1" x14ac:dyDescent="0.25">
      <c r="A13" s="6"/>
      <c r="B13" s="63"/>
      <c r="C13" s="1"/>
      <c r="D13" s="1"/>
      <c r="E13" s="1"/>
      <c r="F13" s="58"/>
      <c r="G13" s="58"/>
      <c r="H13" s="58"/>
      <c r="I13" s="58"/>
      <c r="J13" s="53"/>
      <c r="K13" s="53"/>
      <c r="L13" s="53"/>
      <c r="M13" s="53"/>
      <c r="N13" s="52"/>
      <c r="O13" s="52"/>
      <c r="P13" s="52"/>
      <c r="Q13" s="52"/>
      <c r="R13" s="56"/>
      <c r="S13" s="56"/>
      <c r="T13" s="56"/>
      <c r="U13" s="56"/>
      <c r="V13" s="55"/>
      <c r="W13" s="55"/>
      <c r="X13" s="55"/>
      <c r="Y13" s="55"/>
      <c r="Z13" s="1"/>
      <c r="AA13" s="1"/>
      <c r="AB13" s="1"/>
      <c r="AC13" s="1"/>
      <c r="AD13" s="54"/>
      <c r="AE13" s="54"/>
      <c r="AF13" s="54"/>
      <c r="AG13" s="54"/>
      <c r="AH13" s="55"/>
      <c r="AI13" s="55"/>
      <c r="AJ13" s="55"/>
      <c r="AK13" s="55"/>
      <c r="AL13" s="1"/>
      <c r="AM13" s="1"/>
      <c r="AN13" s="1"/>
      <c r="AO13" s="1"/>
      <c r="AP13" s="57"/>
      <c r="AQ13" s="57"/>
      <c r="AR13" s="57"/>
      <c r="AS13" s="57"/>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60"/>
      <c r="CC13" s="1"/>
      <c r="CD13" s="60"/>
      <c r="CE13" s="1"/>
      <c r="CF13" s="60"/>
      <c r="CG13" s="1"/>
      <c r="CH13" s="1"/>
      <c r="CI13" s="60"/>
      <c r="CJ13" s="1"/>
      <c r="CK13" s="60"/>
      <c r="CL13" s="1"/>
      <c r="CM13" s="1"/>
      <c r="CN13" s="1"/>
      <c r="CO13" s="1"/>
      <c r="CP13" s="60"/>
      <c r="CQ13" s="1"/>
      <c r="CR13" s="1"/>
      <c r="CS13" s="1"/>
      <c r="CT13" s="1"/>
      <c r="CU13" s="59"/>
      <c r="CV13" s="59"/>
      <c r="CW13" s="59"/>
      <c r="CX13" s="1"/>
    </row>
    <row r="14" spans="1:104" s="10" customFormat="1" ht="18" customHeight="1" x14ac:dyDescent="0.25">
      <c r="A14" s="6"/>
      <c r="B14" s="6"/>
      <c r="C14" s="1"/>
      <c r="D14" s="1"/>
      <c r="E14" s="1"/>
      <c r="F14" s="58"/>
      <c r="G14" s="58"/>
      <c r="H14" s="58"/>
      <c r="I14" s="58"/>
      <c r="J14" s="53"/>
      <c r="K14" s="53"/>
      <c r="L14" s="53"/>
      <c r="M14" s="53"/>
      <c r="N14" s="52"/>
      <c r="O14" s="52"/>
      <c r="P14" s="52"/>
      <c r="Q14" s="52"/>
      <c r="R14" s="56"/>
      <c r="S14" s="56"/>
      <c r="T14" s="56"/>
      <c r="U14" s="56"/>
      <c r="V14" s="55"/>
      <c r="W14" s="55"/>
      <c r="X14" s="55"/>
      <c r="Y14" s="55"/>
      <c r="Z14" s="1"/>
      <c r="AA14" s="1"/>
      <c r="AB14" s="1"/>
      <c r="AC14" s="1"/>
      <c r="AD14" s="54"/>
      <c r="AE14" s="54"/>
      <c r="AF14" s="54"/>
      <c r="AG14" s="54"/>
      <c r="AH14" s="55"/>
      <c r="AI14" s="55"/>
      <c r="AJ14" s="55"/>
      <c r="AK14" s="55"/>
      <c r="AL14" s="1"/>
      <c r="AM14" s="1"/>
      <c r="AN14" s="1"/>
      <c r="AO14" s="1"/>
      <c r="AP14" s="57"/>
      <c r="AQ14" s="57"/>
      <c r="AR14" s="57"/>
      <c r="AS14" s="57"/>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9"/>
      <c r="CW14" s="59"/>
      <c r="CX14" s="1"/>
    </row>
    <row r="15" spans="1:104" s="10" customFormat="1" ht="18" customHeight="1" x14ac:dyDescent="0.25">
      <c r="A15" s="6"/>
      <c r="B15" s="6"/>
      <c r="C15" s="1"/>
      <c r="D15" s="1"/>
      <c r="E15" s="1"/>
      <c r="F15" s="58"/>
      <c r="G15" s="58"/>
      <c r="H15" s="58"/>
      <c r="I15" s="58"/>
      <c r="J15" s="53"/>
      <c r="K15" s="53"/>
      <c r="L15" s="53"/>
      <c r="M15" s="53"/>
      <c r="N15" s="52"/>
      <c r="O15" s="52"/>
      <c r="P15" s="52"/>
      <c r="Q15" s="52"/>
      <c r="R15" s="56"/>
      <c r="S15" s="56"/>
      <c r="T15" s="56"/>
      <c r="U15" s="56"/>
      <c r="V15" s="55"/>
      <c r="W15" s="55"/>
      <c r="X15" s="55"/>
      <c r="Y15" s="55"/>
      <c r="Z15" s="1"/>
      <c r="AA15" s="1"/>
      <c r="AB15" s="1"/>
      <c r="AC15" s="1"/>
      <c r="AD15" s="54"/>
      <c r="AE15" s="54"/>
      <c r="AF15" s="54"/>
      <c r="AG15" s="54"/>
      <c r="AH15" s="55"/>
      <c r="AI15" s="55"/>
      <c r="AJ15" s="55"/>
      <c r="AK15" s="55"/>
      <c r="AL15" s="1"/>
      <c r="AM15" s="1"/>
      <c r="AN15" s="1"/>
      <c r="AO15" s="1"/>
      <c r="AP15" s="57"/>
      <c r="AQ15" s="57"/>
      <c r="AR15" s="57"/>
      <c r="AS15" s="57"/>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9"/>
      <c r="CW15" s="59"/>
      <c r="CX15" s="1"/>
    </row>
    <row r="16" spans="1:104" s="10" customFormat="1" ht="18" customHeight="1" x14ac:dyDescent="0.25">
      <c r="A16" s="6"/>
      <c r="B16" s="6"/>
      <c r="C16" s="1"/>
      <c r="D16" s="1"/>
      <c r="E16" s="1"/>
      <c r="F16" s="58"/>
      <c r="G16" s="58"/>
      <c r="H16" s="58"/>
      <c r="I16" s="58"/>
      <c r="J16" s="53"/>
      <c r="K16" s="53"/>
      <c r="L16" s="53"/>
      <c r="M16" s="53"/>
      <c r="N16" s="52"/>
      <c r="O16" s="52"/>
      <c r="P16" s="52"/>
      <c r="Q16" s="52"/>
      <c r="R16" s="56"/>
      <c r="S16" s="56"/>
      <c r="T16" s="56"/>
      <c r="U16" s="56"/>
      <c r="V16" s="55"/>
      <c r="W16" s="55"/>
      <c r="X16" s="55"/>
      <c r="Y16" s="55"/>
      <c r="Z16" s="1"/>
      <c r="AA16" s="1"/>
      <c r="AB16" s="1"/>
      <c r="AC16" s="1"/>
      <c r="AD16" s="54"/>
      <c r="AE16" s="54"/>
      <c r="AF16" s="54"/>
      <c r="AG16" s="54"/>
      <c r="AH16" s="55"/>
      <c r="AI16" s="55"/>
      <c r="AJ16" s="55"/>
      <c r="AK16" s="55"/>
      <c r="AL16" s="1"/>
      <c r="AM16" s="1"/>
      <c r="AN16" s="1"/>
      <c r="AO16" s="1"/>
      <c r="AP16" s="57"/>
      <c r="AQ16" s="57"/>
      <c r="AR16" s="57"/>
      <c r="AS16" s="57"/>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9"/>
      <c r="CW16" s="59"/>
      <c r="CX16" s="1"/>
    </row>
    <row r="17" spans="1:102" s="10" customFormat="1" ht="18" customHeight="1" x14ac:dyDescent="0.25">
      <c r="A17" s="6"/>
      <c r="B17" s="6"/>
      <c r="C17" s="1"/>
      <c r="D17" s="1"/>
      <c r="E17" s="1"/>
      <c r="F17" s="58"/>
      <c r="G17" s="58"/>
      <c r="H17" s="58"/>
      <c r="I17" s="58"/>
      <c r="J17" s="53"/>
      <c r="K17" s="53"/>
      <c r="L17" s="53"/>
      <c r="M17" s="53"/>
      <c r="N17" s="52"/>
      <c r="O17" s="52"/>
      <c r="P17" s="52"/>
      <c r="Q17" s="52"/>
      <c r="R17" s="56"/>
      <c r="S17" s="56"/>
      <c r="T17" s="56"/>
      <c r="U17" s="56"/>
      <c r="V17" s="55"/>
      <c r="W17" s="55"/>
      <c r="X17" s="55"/>
      <c r="Y17" s="55"/>
      <c r="Z17" s="1"/>
      <c r="AA17" s="1"/>
      <c r="AB17" s="1"/>
      <c r="AC17" s="1"/>
      <c r="AD17" s="54"/>
      <c r="AE17" s="54"/>
      <c r="AF17" s="54"/>
      <c r="AG17" s="54"/>
      <c r="AH17" s="55"/>
      <c r="AI17" s="55"/>
      <c r="AJ17" s="55"/>
      <c r="AK17" s="55"/>
      <c r="AL17" s="1"/>
      <c r="AM17" s="1"/>
      <c r="AN17" s="1"/>
      <c r="AO17" s="1"/>
      <c r="AP17" s="57"/>
      <c r="AQ17" s="57"/>
      <c r="AR17" s="57"/>
      <c r="AS17" s="57"/>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9"/>
      <c r="CW17" s="59"/>
      <c r="CX17" s="1"/>
    </row>
    <row r="18" spans="1:102" s="10" customFormat="1" ht="18" customHeight="1" x14ac:dyDescent="0.25">
      <c r="A18" s="6"/>
      <c r="B18" s="6"/>
      <c r="C18" s="1"/>
      <c r="D18" s="1"/>
      <c r="E18" s="1"/>
      <c r="F18" s="58"/>
      <c r="G18" s="58"/>
      <c r="H18" s="58"/>
      <c r="I18" s="58"/>
      <c r="J18" s="53"/>
      <c r="K18" s="53"/>
      <c r="L18" s="53"/>
      <c r="M18" s="53"/>
      <c r="N18" s="52"/>
      <c r="O18" s="52"/>
      <c r="P18" s="52"/>
      <c r="Q18" s="52"/>
      <c r="R18" s="56"/>
      <c r="S18" s="56"/>
      <c r="T18" s="56"/>
      <c r="U18" s="56"/>
      <c r="V18" s="55"/>
      <c r="W18" s="55"/>
      <c r="X18" s="55"/>
      <c r="Y18" s="55"/>
      <c r="Z18" s="1"/>
      <c r="AA18" s="1"/>
      <c r="AB18" s="1"/>
      <c r="AC18" s="1"/>
      <c r="AD18" s="54"/>
      <c r="AE18" s="54"/>
      <c r="AF18" s="54"/>
      <c r="AG18" s="54"/>
      <c r="AH18" s="55"/>
      <c r="AI18" s="55"/>
      <c r="AJ18" s="55"/>
      <c r="AK18" s="55"/>
      <c r="AL18" s="1"/>
      <c r="AM18" s="1"/>
      <c r="AN18" s="1"/>
      <c r="AO18" s="1"/>
      <c r="AP18" s="57"/>
      <c r="AQ18" s="57"/>
      <c r="AR18" s="57"/>
      <c r="AS18" s="57"/>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9"/>
      <c r="CW18" s="59"/>
      <c r="CX18" s="1"/>
    </row>
    <row r="19" spans="1:102" s="10" customFormat="1" ht="18" customHeight="1" x14ac:dyDescent="0.25">
      <c r="A19" s="6"/>
      <c r="B19" s="6"/>
      <c r="C19" s="1"/>
      <c r="D19" s="1"/>
      <c r="E19" s="1"/>
      <c r="F19" s="58"/>
      <c r="G19" s="58"/>
      <c r="H19" s="58"/>
      <c r="I19" s="58"/>
      <c r="J19" s="53"/>
      <c r="K19" s="53"/>
      <c r="L19" s="53"/>
      <c r="M19" s="53"/>
      <c r="N19" s="52"/>
      <c r="O19" s="52"/>
      <c r="P19" s="52"/>
      <c r="Q19" s="52"/>
      <c r="R19" s="56"/>
      <c r="S19" s="56"/>
      <c r="T19" s="56"/>
      <c r="U19" s="56"/>
      <c r="V19" s="55"/>
      <c r="W19" s="55"/>
      <c r="X19" s="55"/>
      <c r="Y19" s="55"/>
      <c r="Z19" s="1"/>
      <c r="AA19" s="1"/>
      <c r="AB19" s="1"/>
      <c r="AC19" s="1"/>
      <c r="AD19" s="54"/>
      <c r="AE19" s="54"/>
      <c r="AF19" s="54"/>
      <c r="AG19" s="54"/>
      <c r="AH19" s="55"/>
      <c r="AI19" s="55"/>
      <c r="AJ19" s="55"/>
      <c r="AK19" s="55"/>
      <c r="AL19" s="1"/>
      <c r="AM19" s="1"/>
      <c r="AN19" s="1"/>
      <c r="AO19" s="1"/>
      <c r="AP19" s="57"/>
      <c r="AQ19" s="57"/>
      <c r="AR19" s="57"/>
      <c r="AS19" s="57"/>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9"/>
      <c r="CW19" s="59"/>
      <c r="CX19" s="1"/>
    </row>
    <row r="20" spans="1:102" s="10" customFormat="1" ht="18" customHeight="1" x14ac:dyDescent="0.25">
      <c r="A20" s="6"/>
      <c r="B20" s="6"/>
      <c r="C20" s="1"/>
      <c r="D20" s="1"/>
      <c r="E20" s="1"/>
      <c r="F20" s="58"/>
      <c r="G20" s="58"/>
      <c r="H20" s="58"/>
      <c r="I20" s="58"/>
      <c r="J20" s="53"/>
      <c r="K20" s="53"/>
      <c r="L20" s="53"/>
      <c r="M20" s="53"/>
      <c r="N20" s="52"/>
      <c r="O20" s="52"/>
      <c r="P20" s="52"/>
      <c r="Q20" s="52"/>
      <c r="R20" s="56"/>
      <c r="S20" s="56"/>
      <c r="T20" s="56"/>
      <c r="U20" s="56"/>
      <c r="V20" s="55"/>
      <c r="W20" s="55"/>
      <c r="X20" s="55"/>
      <c r="Y20" s="55"/>
      <c r="Z20" s="1"/>
      <c r="AA20" s="1"/>
      <c r="AB20" s="1"/>
      <c r="AC20" s="1"/>
      <c r="AD20" s="54"/>
      <c r="AE20" s="54"/>
      <c r="AF20" s="54"/>
      <c r="AG20" s="54"/>
      <c r="AH20" s="55"/>
      <c r="AI20" s="55"/>
      <c r="AJ20" s="55"/>
      <c r="AK20" s="55"/>
      <c r="AL20" s="1"/>
      <c r="AM20" s="1"/>
      <c r="AN20" s="1"/>
      <c r="AO20" s="1"/>
      <c r="AP20" s="57"/>
      <c r="AQ20" s="57"/>
      <c r="AR20" s="57"/>
      <c r="AS20" s="57"/>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9"/>
      <c r="CW20" s="59"/>
      <c r="CX20" s="1"/>
    </row>
    <row r="21" spans="1:102" s="10" customFormat="1" ht="18" customHeight="1" x14ac:dyDescent="0.25">
      <c r="A21" s="6"/>
      <c r="B21" s="6"/>
      <c r="C21" s="1"/>
      <c r="D21" s="1"/>
      <c r="E21" s="1"/>
      <c r="F21" s="58"/>
      <c r="G21" s="58"/>
      <c r="H21" s="58"/>
      <c r="I21" s="58"/>
      <c r="J21" s="53"/>
      <c r="K21" s="53"/>
      <c r="L21" s="53"/>
      <c r="M21" s="53"/>
      <c r="N21" s="52"/>
      <c r="O21" s="52"/>
      <c r="P21" s="52"/>
      <c r="Q21" s="52"/>
      <c r="R21" s="56"/>
      <c r="S21" s="56"/>
      <c r="T21" s="56"/>
      <c r="U21" s="56"/>
      <c r="V21" s="55"/>
      <c r="W21" s="55"/>
      <c r="X21" s="55"/>
      <c r="Y21" s="55"/>
      <c r="Z21" s="1"/>
      <c r="AA21" s="1"/>
      <c r="AB21" s="1"/>
      <c r="AC21" s="1"/>
      <c r="AD21" s="54"/>
      <c r="AE21" s="54"/>
      <c r="AF21" s="54"/>
      <c r="AG21" s="54"/>
      <c r="AH21" s="55"/>
      <c r="AI21" s="55"/>
      <c r="AJ21" s="55"/>
      <c r="AK21" s="55"/>
      <c r="AL21" s="1"/>
      <c r="AM21" s="1"/>
      <c r="AN21" s="1"/>
      <c r="AO21" s="1"/>
      <c r="AP21" s="57"/>
      <c r="AQ21" s="57"/>
      <c r="AR21" s="57"/>
      <c r="AS21" s="57"/>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9"/>
      <c r="CW21" s="59"/>
      <c r="CX21" s="1"/>
    </row>
    <row r="22" spans="1:102" s="10" customFormat="1" ht="18" customHeight="1" x14ac:dyDescent="0.25">
      <c r="A22" s="6"/>
      <c r="B22" s="6"/>
      <c r="C22" s="1"/>
      <c r="D22" s="1"/>
      <c r="E22" s="1"/>
      <c r="F22" s="58"/>
      <c r="G22" s="58"/>
      <c r="H22" s="58"/>
      <c r="I22" s="58"/>
      <c r="J22" s="53"/>
      <c r="K22" s="53"/>
      <c r="L22" s="53"/>
      <c r="M22" s="53"/>
      <c r="N22" s="52"/>
      <c r="O22" s="52"/>
      <c r="P22" s="52"/>
      <c r="Q22" s="52"/>
      <c r="R22" s="56"/>
      <c r="S22" s="56"/>
      <c r="T22" s="56"/>
      <c r="U22" s="56"/>
      <c r="V22" s="55"/>
      <c r="W22" s="55"/>
      <c r="X22" s="55"/>
      <c r="Y22" s="55"/>
      <c r="Z22" s="1"/>
      <c r="AA22" s="1"/>
      <c r="AB22" s="1"/>
      <c r="AC22" s="1"/>
      <c r="AD22" s="54"/>
      <c r="AE22" s="54"/>
      <c r="AF22" s="54"/>
      <c r="AG22" s="54"/>
      <c r="AH22" s="55"/>
      <c r="AI22" s="55"/>
      <c r="AJ22" s="55"/>
      <c r="AK22" s="55"/>
      <c r="AL22" s="1"/>
      <c r="AM22" s="1"/>
      <c r="AN22" s="1"/>
      <c r="AO22" s="1"/>
      <c r="AP22" s="57"/>
      <c r="AQ22" s="57"/>
      <c r="AR22" s="57"/>
      <c r="AS22" s="57"/>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9"/>
      <c r="CW22" s="59"/>
      <c r="CX22" s="1"/>
    </row>
    <row r="23" spans="1:102" s="10" customFormat="1" ht="18" customHeight="1" x14ac:dyDescent="0.25">
      <c r="A23" s="6"/>
      <c r="B23" s="6"/>
      <c r="C23" s="1"/>
      <c r="D23" s="1"/>
      <c r="E23" s="1"/>
      <c r="F23" s="58"/>
      <c r="G23" s="58"/>
      <c r="H23" s="58"/>
      <c r="I23" s="58"/>
      <c r="J23" s="53"/>
      <c r="K23" s="53"/>
      <c r="L23" s="53"/>
      <c r="M23" s="53"/>
      <c r="N23" s="52"/>
      <c r="O23" s="52"/>
      <c r="P23" s="52"/>
      <c r="Q23" s="52"/>
      <c r="R23" s="56"/>
      <c r="S23" s="56"/>
      <c r="T23" s="56"/>
      <c r="U23" s="56"/>
      <c r="V23" s="55"/>
      <c r="W23" s="55"/>
      <c r="X23" s="55"/>
      <c r="Y23" s="55"/>
      <c r="Z23" s="1"/>
      <c r="AA23" s="1"/>
      <c r="AB23" s="1"/>
      <c r="AC23" s="1"/>
      <c r="AD23" s="54"/>
      <c r="AE23" s="54"/>
      <c r="AF23" s="54"/>
      <c r="AG23" s="54"/>
      <c r="AH23" s="55"/>
      <c r="AI23" s="55"/>
      <c r="AJ23" s="55"/>
      <c r="AK23" s="55"/>
      <c r="AL23" s="1"/>
      <c r="AM23" s="1"/>
      <c r="AN23" s="1"/>
      <c r="AO23" s="1"/>
      <c r="AP23" s="57"/>
      <c r="AQ23" s="57"/>
      <c r="AR23" s="57"/>
      <c r="AS23" s="57"/>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9"/>
      <c r="CW23" s="59"/>
      <c r="CX23" s="1"/>
    </row>
    <row r="24" spans="1:102" s="10" customFormat="1" ht="18" customHeight="1" x14ac:dyDescent="0.25">
      <c r="A24" s="6"/>
      <c r="B24" s="6"/>
      <c r="C24" s="1"/>
      <c r="D24" s="1"/>
      <c r="E24" s="1"/>
      <c r="F24" s="58"/>
      <c r="G24" s="58"/>
      <c r="H24" s="58"/>
      <c r="I24" s="58"/>
      <c r="J24" s="53"/>
      <c r="K24" s="53"/>
      <c r="L24" s="53"/>
      <c r="M24" s="53"/>
      <c r="N24" s="52"/>
      <c r="O24" s="52"/>
      <c r="P24" s="52"/>
      <c r="Q24" s="52"/>
      <c r="R24" s="56"/>
      <c r="S24" s="56"/>
      <c r="T24" s="56"/>
      <c r="U24" s="56"/>
      <c r="V24" s="55"/>
      <c r="W24" s="55"/>
      <c r="X24" s="55"/>
      <c r="Y24" s="55"/>
      <c r="Z24" s="1"/>
      <c r="AA24" s="1"/>
      <c r="AB24" s="1"/>
      <c r="AC24" s="1"/>
      <c r="AD24" s="54"/>
      <c r="AE24" s="54"/>
      <c r="AF24" s="54"/>
      <c r="AG24" s="54"/>
      <c r="AH24" s="55"/>
      <c r="AI24" s="55"/>
      <c r="AJ24" s="55"/>
      <c r="AK24" s="55"/>
      <c r="AL24" s="1"/>
      <c r="AM24" s="1"/>
      <c r="AN24" s="1"/>
      <c r="AO24" s="1"/>
      <c r="AP24" s="57"/>
      <c r="AQ24" s="57"/>
      <c r="AR24" s="57"/>
      <c r="AS24" s="57"/>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9"/>
      <c r="CW24" s="59"/>
      <c r="CX24" s="1"/>
    </row>
    <row r="25" spans="1:102" s="10" customFormat="1" ht="18" customHeight="1" x14ac:dyDescent="0.25">
      <c r="A25" s="6"/>
      <c r="B25" s="6"/>
      <c r="C25" s="1"/>
      <c r="D25" s="1"/>
      <c r="E25" s="1"/>
      <c r="F25" s="58"/>
      <c r="G25" s="58"/>
      <c r="H25" s="58"/>
      <c r="I25" s="58"/>
      <c r="J25" s="53"/>
      <c r="K25" s="53"/>
      <c r="L25" s="53"/>
      <c r="M25" s="53"/>
      <c r="N25" s="52"/>
      <c r="O25" s="52"/>
      <c r="P25" s="52"/>
      <c r="Q25" s="52"/>
      <c r="R25" s="56"/>
      <c r="S25" s="56"/>
      <c r="T25" s="56"/>
      <c r="U25" s="56"/>
      <c r="V25" s="55"/>
      <c r="W25" s="55"/>
      <c r="X25" s="55"/>
      <c r="Y25" s="55"/>
      <c r="Z25" s="1"/>
      <c r="AA25" s="1"/>
      <c r="AB25" s="1"/>
      <c r="AC25" s="1"/>
      <c r="AD25" s="54"/>
      <c r="AE25" s="54"/>
      <c r="AF25" s="54"/>
      <c r="AG25" s="54"/>
      <c r="AH25" s="55"/>
      <c r="AI25" s="55"/>
      <c r="AJ25" s="55"/>
      <c r="AK25" s="55"/>
      <c r="AL25" s="1"/>
      <c r="AM25" s="1"/>
      <c r="AN25" s="1"/>
      <c r="AO25" s="1"/>
      <c r="AP25" s="57"/>
      <c r="AQ25" s="57"/>
      <c r="AR25" s="57"/>
      <c r="AS25" s="57"/>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9"/>
      <c r="CW25" s="59"/>
      <c r="CX25" s="1"/>
    </row>
    <row r="26" spans="1:102" s="10" customFormat="1" ht="18" customHeight="1" x14ac:dyDescent="0.25">
      <c r="A26" s="6"/>
      <c r="B26" s="6"/>
      <c r="C26" s="1"/>
      <c r="D26" s="1"/>
      <c r="E26" s="1"/>
      <c r="F26" s="58"/>
      <c r="G26" s="58"/>
      <c r="H26" s="58"/>
      <c r="I26" s="58"/>
      <c r="J26" s="53"/>
      <c r="K26" s="53"/>
      <c r="L26" s="53"/>
      <c r="M26" s="53"/>
      <c r="N26" s="52"/>
      <c r="O26" s="52"/>
      <c r="P26" s="52"/>
      <c r="Q26" s="52"/>
      <c r="R26" s="56"/>
      <c r="S26" s="56"/>
      <c r="T26" s="56"/>
      <c r="U26" s="56"/>
      <c r="V26" s="55"/>
      <c r="W26" s="55"/>
      <c r="X26" s="55"/>
      <c r="Y26" s="55"/>
      <c r="Z26" s="1"/>
      <c r="AA26" s="1"/>
      <c r="AB26" s="1"/>
      <c r="AC26" s="1"/>
      <c r="AD26" s="54"/>
      <c r="AE26" s="54"/>
      <c r="AF26" s="54"/>
      <c r="AG26" s="54"/>
      <c r="AH26" s="55"/>
      <c r="AI26" s="55"/>
      <c r="AJ26" s="55"/>
      <c r="AK26" s="55"/>
      <c r="AL26" s="1"/>
      <c r="AM26" s="1"/>
      <c r="AN26" s="1"/>
      <c r="AO26" s="1"/>
      <c r="AP26" s="57"/>
      <c r="AQ26" s="57"/>
      <c r="AR26" s="57"/>
      <c r="AS26" s="57"/>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9"/>
      <c r="CW26" s="59"/>
      <c r="CX26" s="1"/>
    </row>
    <row r="27" spans="1:102" s="10" customFormat="1" ht="18" customHeight="1" x14ac:dyDescent="0.25">
      <c r="A27" s="6"/>
      <c r="B27" s="6"/>
      <c r="C27" s="1"/>
      <c r="D27" s="1"/>
      <c r="E27" s="1"/>
      <c r="F27" s="58"/>
      <c r="G27" s="58"/>
      <c r="H27" s="58"/>
      <c r="I27" s="58"/>
      <c r="J27" s="53"/>
      <c r="K27" s="53"/>
      <c r="L27" s="53"/>
      <c r="M27" s="53"/>
      <c r="N27" s="52"/>
      <c r="O27" s="52"/>
      <c r="P27" s="52"/>
      <c r="Q27" s="52"/>
      <c r="R27" s="56"/>
      <c r="S27" s="56"/>
      <c r="T27" s="56"/>
      <c r="U27" s="56"/>
      <c r="V27" s="55"/>
      <c r="W27" s="55"/>
      <c r="X27" s="55"/>
      <c r="Y27" s="55"/>
      <c r="Z27" s="1"/>
      <c r="AA27" s="1"/>
      <c r="AB27" s="1"/>
      <c r="AC27" s="1"/>
      <c r="AD27" s="54"/>
      <c r="AE27" s="54"/>
      <c r="AF27" s="54"/>
      <c r="AG27" s="54"/>
      <c r="AH27" s="55"/>
      <c r="AI27" s="55"/>
      <c r="AJ27" s="55"/>
      <c r="AK27" s="55"/>
      <c r="AL27" s="1"/>
      <c r="AM27" s="1"/>
      <c r="AN27" s="1"/>
      <c r="AO27" s="1"/>
      <c r="AP27" s="57"/>
      <c r="AQ27" s="57"/>
      <c r="AR27" s="57"/>
      <c r="AS27" s="57"/>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9"/>
      <c r="CW27" s="59"/>
      <c r="CX27" s="1"/>
    </row>
    <row r="28" spans="1:102" s="10" customFormat="1" ht="18" customHeight="1" x14ac:dyDescent="0.25">
      <c r="A28" s="6"/>
      <c r="B28" s="6"/>
      <c r="C28" s="1"/>
      <c r="D28" s="1"/>
      <c r="E28" s="1"/>
      <c r="F28" s="58"/>
      <c r="G28" s="58"/>
      <c r="H28" s="58"/>
      <c r="I28" s="58"/>
      <c r="J28" s="53"/>
      <c r="K28" s="53"/>
      <c r="L28" s="53"/>
      <c r="M28" s="53"/>
      <c r="N28" s="52"/>
      <c r="O28" s="52"/>
      <c r="P28" s="52"/>
      <c r="Q28" s="52"/>
      <c r="R28" s="56"/>
      <c r="S28" s="56"/>
      <c r="T28" s="56"/>
      <c r="U28" s="56"/>
      <c r="V28" s="55"/>
      <c r="W28" s="55"/>
      <c r="X28" s="55"/>
      <c r="Y28" s="55"/>
      <c r="Z28" s="1"/>
      <c r="AA28" s="1"/>
      <c r="AB28" s="1"/>
      <c r="AC28" s="1"/>
      <c r="AD28" s="54"/>
      <c r="AE28" s="54"/>
      <c r="AF28" s="54"/>
      <c r="AG28" s="54"/>
      <c r="AH28" s="55"/>
      <c r="AI28" s="55"/>
      <c r="AJ28" s="55"/>
      <c r="AK28" s="55"/>
      <c r="AL28" s="1"/>
      <c r="AM28" s="1"/>
      <c r="AN28" s="1"/>
      <c r="AO28" s="1"/>
      <c r="AP28" s="57"/>
      <c r="AQ28" s="57"/>
      <c r="AR28" s="57"/>
      <c r="AS28" s="57"/>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9"/>
      <c r="CW28" s="59"/>
      <c r="CX28" s="1"/>
    </row>
    <row r="29" spans="1:102" s="10" customFormat="1" ht="18" customHeight="1" x14ac:dyDescent="0.25">
      <c r="A29" s="6"/>
      <c r="B29" s="6"/>
      <c r="C29" s="1"/>
      <c r="D29" s="1"/>
      <c r="E29" s="1"/>
      <c r="F29" s="58"/>
      <c r="G29" s="58"/>
      <c r="H29" s="58"/>
      <c r="I29" s="58"/>
      <c r="J29" s="53"/>
      <c r="K29" s="53"/>
      <c r="L29" s="53"/>
      <c r="M29" s="53"/>
      <c r="N29" s="52"/>
      <c r="O29" s="52"/>
      <c r="P29" s="52"/>
      <c r="Q29" s="52"/>
      <c r="R29" s="56"/>
      <c r="S29" s="56"/>
      <c r="T29" s="56"/>
      <c r="U29" s="56"/>
      <c r="V29" s="55"/>
      <c r="W29" s="55"/>
      <c r="X29" s="55"/>
      <c r="Y29" s="55"/>
      <c r="Z29" s="1"/>
      <c r="AA29" s="1"/>
      <c r="AB29" s="1"/>
      <c r="AC29" s="1"/>
      <c r="AD29" s="54"/>
      <c r="AE29" s="54"/>
      <c r="AF29" s="54"/>
      <c r="AG29" s="54"/>
      <c r="AH29" s="55"/>
      <c r="AI29" s="55"/>
      <c r="AJ29" s="55"/>
      <c r="AK29" s="55"/>
      <c r="AL29" s="1"/>
      <c r="AM29" s="1"/>
      <c r="AN29" s="1"/>
      <c r="AO29" s="1"/>
      <c r="AP29" s="57"/>
      <c r="AQ29" s="57"/>
      <c r="AR29" s="57"/>
      <c r="AS29" s="57"/>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9"/>
      <c r="CW29" s="59"/>
      <c r="CX29" s="1"/>
    </row>
    <row r="30" spans="1:102" s="10" customFormat="1" ht="18" customHeight="1" x14ac:dyDescent="0.25">
      <c r="A30" s="6"/>
      <c r="B30" s="6"/>
      <c r="C30" s="1"/>
      <c r="D30" s="1"/>
      <c r="E30" s="1"/>
      <c r="F30" s="58"/>
      <c r="G30" s="58"/>
      <c r="H30" s="58"/>
      <c r="I30" s="58"/>
      <c r="J30" s="53"/>
      <c r="K30" s="53"/>
      <c r="L30" s="53"/>
      <c r="M30" s="53"/>
      <c r="N30" s="52"/>
      <c r="O30" s="52"/>
      <c r="P30" s="52"/>
      <c r="Q30" s="52"/>
      <c r="R30" s="56"/>
      <c r="S30" s="56"/>
      <c r="T30" s="56"/>
      <c r="U30" s="56"/>
      <c r="V30" s="55"/>
      <c r="W30" s="55"/>
      <c r="X30" s="55"/>
      <c r="Y30" s="55"/>
      <c r="Z30" s="1"/>
      <c r="AA30" s="1"/>
      <c r="AB30" s="1"/>
      <c r="AC30" s="1"/>
      <c r="AD30" s="54"/>
      <c r="AE30" s="54"/>
      <c r="AF30" s="54"/>
      <c r="AG30" s="54"/>
      <c r="AH30" s="55"/>
      <c r="AI30" s="55"/>
      <c r="AJ30" s="55"/>
      <c r="AK30" s="55"/>
      <c r="AL30" s="1"/>
      <c r="AM30" s="1"/>
      <c r="AN30" s="1"/>
      <c r="AO30" s="1"/>
      <c r="AP30" s="57"/>
      <c r="AQ30" s="57"/>
      <c r="AR30" s="57"/>
      <c r="AS30" s="57"/>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9"/>
      <c r="CW30" s="59"/>
      <c r="CX30" s="1"/>
    </row>
    <row r="31" spans="1:102" s="10" customFormat="1" ht="18" customHeight="1" x14ac:dyDescent="0.25">
      <c r="A31" s="6"/>
      <c r="B31" s="6"/>
      <c r="C31" s="1"/>
      <c r="D31" s="1"/>
      <c r="E31" s="1"/>
      <c r="F31" s="58"/>
      <c r="G31" s="58"/>
      <c r="H31" s="58"/>
      <c r="I31" s="58"/>
      <c r="J31" s="53"/>
      <c r="K31" s="53"/>
      <c r="L31" s="53"/>
      <c r="M31" s="53"/>
      <c r="N31" s="52"/>
      <c r="O31" s="52"/>
      <c r="P31" s="52"/>
      <c r="Q31" s="52"/>
      <c r="R31" s="56"/>
      <c r="S31" s="56"/>
      <c r="T31" s="56"/>
      <c r="U31" s="56"/>
      <c r="V31" s="55"/>
      <c r="W31" s="55"/>
      <c r="X31" s="55"/>
      <c r="Y31" s="55"/>
      <c r="Z31" s="1"/>
      <c r="AA31" s="1"/>
      <c r="AB31" s="1"/>
      <c r="AC31" s="1"/>
      <c r="AD31" s="54"/>
      <c r="AE31" s="54"/>
      <c r="AF31" s="54"/>
      <c r="AG31" s="54"/>
      <c r="AH31" s="55"/>
      <c r="AI31" s="55"/>
      <c r="AJ31" s="55"/>
      <c r="AK31" s="55"/>
      <c r="AL31" s="1"/>
      <c r="AM31" s="1"/>
      <c r="AN31" s="1"/>
      <c r="AO31" s="1"/>
      <c r="AP31" s="57"/>
      <c r="AQ31" s="57"/>
      <c r="AR31" s="57"/>
      <c r="AS31" s="57"/>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9"/>
      <c r="CW31" s="59"/>
      <c r="CX31" s="1"/>
    </row>
    <row r="32" spans="1:102" s="10" customFormat="1" ht="18" customHeight="1" x14ac:dyDescent="0.25">
      <c r="A32" s="6"/>
      <c r="B32" s="6"/>
      <c r="C32" s="1"/>
      <c r="D32" s="1"/>
      <c r="E32" s="1"/>
      <c r="F32" s="58"/>
      <c r="G32" s="58"/>
      <c r="H32" s="58"/>
      <c r="I32" s="58"/>
      <c r="J32" s="53"/>
      <c r="K32" s="53"/>
      <c r="L32" s="53"/>
      <c r="M32" s="53"/>
      <c r="N32" s="52"/>
      <c r="O32" s="52"/>
      <c r="P32" s="52"/>
      <c r="Q32" s="52"/>
      <c r="R32" s="56"/>
      <c r="S32" s="56"/>
      <c r="T32" s="56"/>
      <c r="U32" s="56"/>
      <c r="V32" s="55"/>
      <c r="W32" s="55"/>
      <c r="X32" s="55"/>
      <c r="Y32" s="55"/>
      <c r="Z32" s="1"/>
      <c r="AA32" s="1"/>
      <c r="AB32" s="1"/>
      <c r="AC32" s="1"/>
      <c r="AD32" s="54"/>
      <c r="AE32" s="54"/>
      <c r="AF32" s="54"/>
      <c r="AG32" s="54"/>
      <c r="AH32" s="55"/>
      <c r="AI32" s="55"/>
      <c r="AJ32" s="55"/>
      <c r="AK32" s="55"/>
      <c r="AL32" s="1"/>
      <c r="AM32" s="1"/>
      <c r="AN32" s="1"/>
      <c r="AO32" s="1"/>
      <c r="AP32" s="57"/>
      <c r="AQ32" s="57"/>
      <c r="AR32" s="57"/>
      <c r="AS32" s="57"/>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9"/>
      <c r="CW32" s="59"/>
      <c r="CX32" s="1"/>
    </row>
    <row r="33" spans="1:102" s="10" customFormat="1" ht="18" customHeight="1" x14ac:dyDescent="0.25">
      <c r="A33" s="6"/>
      <c r="B33" s="6"/>
      <c r="C33" s="1"/>
      <c r="D33" s="1"/>
      <c r="E33" s="1"/>
      <c r="F33" s="58"/>
      <c r="G33" s="58"/>
      <c r="H33" s="58"/>
      <c r="I33" s="58"/>
      <c r="J33" s="53"/>
      <c r="K33" s="53"/>
      <c r="L33" s="53"/>
      <c r="M33" s="53"/>
      <c r="N33" s="52"/>
      <c r="O33" s="52"/>
      <c r="P33" s="52"/>
      <c r="Q33" s="52"/>
      <c r="R33" s="56"/>
      <c r="S33" s="56"/>
      <c r="T33" s="56"/>
      <c r="U33" s="56"/>
      <c r="V33" s="55"/>
      <c r="W33" s="55"/>
      <c r="X33" s="55"/>
      <c r="Y33" s="55"/>
      <c r="Z33" s="1"/>
      <c r="AA33" s="1"/>
      <c r="AB33" s="1"/>
      <c r="AC33" s="1"/>
      <c r="AD33" s="54"/>
      <c r="AE33" s="54"/>
      <c r="AF33" s="54"/>
      <c r="AG33" s="54"/>
      <c r="AH33" s="55"/>
      <c r="AI33" s="55"/>
      <c r="AJ33" s="55"/>
      <c r="AK33" s="55"/>
      <c r="AL33" s="1"/>
      <c r="AM33" s="1"/>
      <c r="AN33" s="1"/>
      <c r="AO33" s="1"/>
      <c r="AP33" s="57"/>
      <c r="AQ33" s="57"/>
      <c r="AR33" s="57"/>
      <c r="AS33" s="57"/>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9"/>
      <c r="CW33" s="59"/>
      <c r="CX33" s="1"/>
    </row>
    <row r="34" spans="1:102" s="10" customFormat="1" ht="18" customHeight="1" x14ac:dyDescent="0.25">
      <c r="A34" s="6"/>
      <c r="B34" s="6"/>
      <c r="C34" s="1"/>
      <c r="D34" s="1"/>
      <c r="E34" s="1"/>
      <c r="F34" s="58"/>
      <c r="G34" s="58"/>
      <c r="H34" s="58"/>
      <c r="I34" s="58"/>
      <c r="J34" s="53"/>
      <c r="K34" s="53"/>
      <c r="L34" s="53"/>
      <c r="M34" s="53"/>
      <c r="N34" s="52"/>
      <c r="O34" s="52"/>
      <c r="P34" s="52"/>
      <c r="Q34" s="52"/>
      <c r="R34" s="56"/>
      <c r="S34" s="56"/>
      <c r="T34" s="56"/>
      <c r="U34" s="56"/>
      <c r="V34" s="55"/>
      <c r="W34" s="55"/>
      <c r="X34" s="55"/>
      <c r="Y34" s="55"/>
      <c r="Z34" s="1"/>
      <c r="AA34" s="1"/>
      <c r="AB34" s="1"/>
      <c r="AC34" s="1"/>
      <c r="AD34" s="54"/>
      <c r="AE34" s="54"/>
      <c r="AF34" s="54"/>
      <c r="AG34" s="54"/>
      <c r="AH34" s="55"/>
      <c r="AI34" s="55"/>
      <c r="AJ34" s="55"/>
      <c r="AK34" s="55"/>
      <c r="AL34" s="1"/>
      <c r="AM34" s="1"/>
      <c r="AN34" s="1"/>
      <c r="AO34" s="1"/>
      <c r="AP34" s="57"/>
      <c r="AQ34" s="57"/>
      <c r="AR34" s="57"/>
      <c r="AS34" s="57"/>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9"/>
      <c r="CW34" s="59"/>
      <c r="CX34" s="1"/>
    </row>
    <row r="35" spans="1:102" s="10" customFormat="1" ht="18" customHeight="1" x14ac:dyDescent="0.25">
      <c r="A35" s="6"/>
      <c r="B35" s="6"/>
      <c r="C35" s="1"/>
      <c r="D35" s="1"/>
      <c r="E35" s="1"/>
      <c r="F35" s="58"/>
      <c r="G35" s="58"/>
      <c r="H35" s="58"/>
      <c r="I35" s="58"/>
      <c r="J35" s="53"/>
      <c r="K35" s="53"/>
      <c r="L35" s="53"/>
      <c r="M35" s="53"/>
      <c r="N35" s="52"/>
      <c r="O35" s="52"/>
      <c r="P35" s="52"/>
      <c r="Q35" s="52"/>
      <c r="R35" s="56"/>
      <c r="S35" s="56"/>
      <c r="T35" s="56"/>
      <c r="U35" s="56"/>
      <c r="V35" s="55"/>
      <c r="W35" s="55"/>
      <c r="X35" s="55"/>
      <c r="Y35" s="55"/>
      <c r="Z35" s="1"/>
      <c r="AA35" s="1"/>
      <c r="AB35" s="1"/>
      <c r="AC35" s="1"/>
      <c r="AD35" s="54"/>
      <c r="AE35" s="54"/>
      <c r="AF35" s="54"/>
      <c r="AG35" s="54"/>
      <c r="AH35" s="55"/>
      <c r="AI35" s="55"/>
      <c r="AJ35" s="55"/>
      <c r="AK35" s="55"/>
      <c r="AL35" s="1"/>
      <c r="AM35" s="1"/>
      <c r="AN35" s="1"/>
      <c r="AO35" s="1"/>
      <c r="AP35" s="57"/>
      <c r="AQ35" s="57"/>
      <c r="AR35" s="57"/>
      <c r="AS35" s="57"/>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9"/>
      <c r="CW35" s="59"/>
      <c r="CX35" s="1"/>
    </row>
    <row r="36" spans="1:102" s="10" customFormat="1" ht="18" customHeight="1" x14ac:dyDescent="0.25">
      <c r="A36" s="6"/>
      <c r="B36" s="6"/>
      <c r="C36" s="1"/>
      <c r="D36" s="1"/>
      <c r="E36" s="1"/>
      <c r="F36" s="58"/>
      <c r="G36" s="58"/>
      <c r="H36" s="58"/>
      <c r="I36" s="58"/>
      <c r="J36" s="53"/>
      <c r="K36" s="53"/>
      <c r="L36" s="53"/>
      <c r="M36" s="53"/>
      <c r="N36" s="52"/>
      <c r="O36" s="52"/>
      <c r="P36" s="52"/>
      <c r="Q36" s="52"/>
      <c r="R36" s="56"/>
      <c r="S36" s="56"/>
      <c r="T36" s="56"/>
      <c r="U36" s="56"/>
      <c r="V36" s="55"/>
      <c r="W36" s="55"/>
      <c r="X36" s="55"/>
      <c r="Y36" s="55"/>
      <c r="Z36" s="1"/>
      <c r="AA36" s="1"/>
      <c r="AB36" s="1"/>
      <c r="AC36" s="1"/>
      <c r="AD36" s="54"/>
      <c r="AE36" s="54"/>
      <c r="AF36" s="54"/>
      <c r="AG36" s="54"/>
      <c r="AH36" s="55"/>
      <c r="AI36" s="55"/>
      <c r="AJ36" s="55"/>
      <c r="AK36" s="55"/>
      <c r="AL36" s="1"/>
      <c r="AM36" s="1"/>
      <c r="AN36" s="1"/>
      <c r="AO36" s="1"/>
      <c r="AP36" s="57"/>
      <c r="AQ36" s="57"/>
      <c r="AR36" s="57"/>
      <c r="AS36" s="57"/>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9"/>
      <c r="CW36" s="59"/>
      <c r="CX36" s="1"/>
    </row>
    <row r="37" spans="1:102" s="10" customFormat="1" ht="18" customHeight="1" x14ac:dyDescent="0.25">
      <c r="A37" s="6"/>
      <c r="B37" s="6"/>
      <c r="C37" s="1"/>
      <c r="D37" s="1"/>
      <c r="E37" s="1"/>
      <c r="F37" s="58"/>
      <c r="G37" s="58"/>
      <c r="H37" s="58"/>
      <c r="I37" s="58"/>
      <c r="J37" s="53"/>
      <c r="K37" s="53"/>
      <c r="L37" s="53"/>
      <c r="M37" s="53"/>
      <c r="N37" s="52"/>
      <c r="O37" s="52"/>
      <c r="P37" s="52"/>
      <c r="Q37" s="52"/>
      <c r="R37" s="56"/>
      <c r="S37" s="56"/>
      <c r="T37" s="56"/>
      <c r="U37" s="56"/>
      <c r="V37" s="55"/>
      <c r="W37" s="55"/>
      <c r="X37" s="55"/>
      <c r="Y37" s="55"/>
      <c r="Z37" s="1"/>
      <c r="AA37" s="1"/>
      <c r="AB37" s="1"/>
      <c r="AC37" s="1"/>
      <c r="AD37" s="54"/>
      <c r="AE37" s="54"/>
      <c r="AF37" s="54"/>
      <c r="AG37" s="54"/>
      <c r="AH37" s="55"/>
      <c r="AI37" s="55"/>
      <c r="AJ37" s="55"/>
      <c r="AK37" s="55"/>
      <c r="AL37" s="1"/>
      <c r="AM37" s="1"/>
      <c r="AN37" s="1"/>
      <c r="AO37" s="1"/>
      <c r="AP37" s="57"/>
      <c r="AQ37" s="57"/>
      <c r="AR37" s="57"/>
      <c r="AS37" s="57"/>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9"/>
      <c r="CW37" s="59"/>
      <c r="CX37" s="1"/>
    </row>
    <row r="38" spans="1:102" s="10" customFormat="1" ht="18" customHeight="1" x14ac:dyDescent="0.25">
      <c r="A38" s="6"/>
      <c r="B38" s="6"/>
      <c r="C38" s="1"/>
      <c r="D38" s="1"/>
      <c r="E38" s="1"/>
      <c r="F38" s="58"/>
      <c r="G38" s="58"/>
      <c r="H38" s="58"/>
      <c r="I38" s="58"/>
      <c r="J38" s="53"/>
      <c r="K38" s="53"/>
      <c r="L38" s="53"/>
      <c r="M38" s="53"/>
      <c r="N38" s="52"/>
      <c r="O38" s="52"/>
      <c r="P38" s="52"/>
      <c r="Q38" s="52"/>
      <c r="R38" s="56"/>
      <c r="S38" s="56"/>
      <c r="T38" s="56"/>
      <c r="U38" s="56"/>
      <c r="V38" s="55"/>
      <c r="W38" s="55"/>
      <c r="X38" s="55"/>
      <c r="Y38" s="55"/>
      <c r="Z38" s="1"/>
      <c r="AA38" s="1"/>
      <c r="AB38" s="1"/>
      <c r="AC38" s="1"/>
      <c r="AD38" s="54"/>
      <c r="AE38" s="54"/>
      <c r="AF38" s="54"/>
      <c r="AG38" s="54"/>
      <c r="AH38" s="55"/>
      <c r="AI38" s="55"/>
      <c r="AJ38" s="55"/>
      <c r="AK38" s="55"/>
      <c r="AL38" s="1"/>
      <c r="AM38" s="1"/>
      <c r="AN38" s="1"/>
      <c r="AO38" s="1"/>
      <c r="AP38" s="57"/>
      <c r="AQ38" s="57"/>
      <c r="AR38" s="57"/>
      <c r="AS38" s="57"/>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9"/>
      <c r="CW38" s="59"/>
      <c r="CX38" s="1"/>
    </row>
    <row r="39" spans="1:102" s="10" customFormat="1" ht="18" customHeight="1" x14ac:dyDescent="0.25">
      <c r="A39" s="6"/>
      <c r="B39" s="6"/>
      <c r="C39" s="1"/>
      <c r="D39" s="1"/>
      <c r="E39" s="1"/>
      <c r="F39" s="58"/>
      <c r="G39" s="58"/>
      <c r="H39" s="58"/>
      <c r="I39" s="58"/>
      <c r="J39" s="53"/>
      <c r="K39" s="53"/>
      <c r="L39" s="53"/>
      <c r="M39" s="53"/>
      <c r="N39" s="52"/>
      <c r="O39" s="52"/>
      <c r="P39" s="52"/>
      <c r="Q39" s="52"/>
      <c r="R39" s="56"/>
      <c r="S39" s="56"/>
      <c r="T39" s="56"/>
      <c r="U39" s="56"/>
      <c r="V39" s="55"/>
      <c r="W39" s="55"/>
      <c r="X39" s="55"/>
      <c r="Y39" s="55"/>
      <c r="Z39" s="1"/>
      <c r="AA39" s="1"/>
      <c r="AB39" s="1"/>
      <c r="AC39" s="1"/>
      <c r="AD39" s="54"/>
      <c r="AE39" s="54"/>
      <c r="AF39" s="54"/>
      <c r="AG39" s="54"/>
      <c r="AH39" s="55"/>
      <c r="AI39" s="55"/>
      <c r="AJ39" s="55"/>
      <c r="AK39" s="55"/>
      <c r="AL39" s="1"/>
      <c r="AM39" s="1"/>
      <c r="AN39" s="1"/>
      <c r="AO39" s="1"/>
      <c r="AP39" s="57"/>
      <c r="AQ39" s="57"/>
      <c r="AR39" s="57"/>
      <c r="AS39" s="57"/>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9"/>
      <c r="CW39" s="59"/>
      <c r="CX39" s="1"/>
    </row>
    <row r="40" spans="1:102" s="10" customFormat="1" ht="18" customHeight="1" x14ac:dyDescent="0.25">
      <c r="A40" s="6"/>
      <c r="B40" s="6"/>
      <c r="C40" s="1"/>
      <c r="D40" s="1"/>
      <c r="E40" s="1"/>
      <c r="F40" s="58"/>
      <c r="G40" s="58"/>
      <c r="H40" s="58"/>
      <c r="I40" s="58"/>
      <c r="J40" s="53"/>
      <c r="K40" s="53"/>
      <c r="L40" s="53"/>
      <c r="M40" s="53"/>
      <c r="N40" s="52"/>
      <c r="O40" s="52"/>
      <c r="P40" s="52"/>
      <c r="Q40" s="52"/>
      <c r="R40" s="56"/>
      <c r="S40" s="56"/>
      <c r="T40" s="56"/>
      <c r="U40" s="56"/>
      <c r="V40" s="55"/>
      <c r="W40" s="55"/>
      <c r="X40" s="55"/>
      <c r="Y40" s="55"/>
      <c r="Z40" s="1"/>
      <c r="AA40" s="1"/>
      <c r="AB40" s="1"/>
      <c r="AC40" s="1"/>
      <c r="AD40" s="54"/>
      <c r="AE40" s="54"/>
      <c r="AF40" s="54"/>
      <c r="AG40" s="54"/>
      <c r="AH40" s="55"/>
      <c r="AI40" s="55"/>
      <c r="AJ40" s="55"/>
      <c r="AK40" s="55"/>
      <c r="AL40" s="1"/>
      <c r="AM40" s="1"/>
      <c r="AN40" s="1"/>
      <c r="AO40" s="1"/>
      <c r="AP40" s="57"/>
      <c r="AQ40" s="57"/>
      <c r="AR40" s="57"/>
      <c r="AS40" s="57"/>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9"/>
      <c r="CW40" s="59"/>
      <c r="CX40" s="1"/>
    </row>
    <row r="41" spans="1:102" s="10" customFormat="1" ht="18" customHeight="1" x14ac:dyDescent="0.25">
      <c r="A41" s="6"/>
      <c r="B41" s="6"/>
      <c r="C41" s="1"/>
      <c r="D41" s="1"/>
      <c r="E41" s="1"/>
      <c r="F41" s="58"/>
      <c r="G41" s="58"/>
      <c r="H41" s="58"/>
      <c r="I41" s="58"/>
      <c r="J41" s="53"/>
      <c r="K41" s="53"/>
      <c r="L41" s="53"/>
      <c r="M41" s="53"/>
      <c r="N41" s="52"/>
      <c r="O41" s="52"/>
      <c r="P41" s="52"/>
      <c r="Q41" s="52"/>
      <c r="R41" s="56"/>
      <c r="S41" s="56"/>
      <c r="T41" s="56"/>
      <c r="U41" s="56"/>
      <c r="V41" s="55"/>
      <c r="W41" s="55"/>
      <c r="X41" s="55"/>
      <c r="Y41" s="55"/>
      <c r="Z41" s="1"/>
      <c r="AA41" s="1"/>
      <c r="AB41" s="1"/>
      <c r="AC41" s="1"/>
      <c r="AD41" s="54"/>
      <c r="AE41" s="54"/>
      <c r="AF41" s="54"/>
      <c r="AG41" s="54"/>
      <c r="AH41" s="55"/>
      <c r="AI41" s="55"/>
      <c r="AJ41" s="55"/>
      <c r="AK41" s="55"/>
      <c r="AL41" s="1"/>
      <c r="AM41" s="1"/>
      <c r="AN41" s="1"/>
      <c r="AO41" s="1"/>
      <c r="AP41" s="57"/>
      <c r="AQ41" s="57"/>
      <c r="AR41" s="57"/>
      <c r="AS41" s="57"/>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9"/>
      <c r="CW41" s="59"/>
      <c r="CX41" s="1"/>
    </row>
    <row r="42" spans="1:102" s="10" customFormat="1" ht="18" customHeight="1" x14ac:dyDescent="0.25">
      <c r="A42" s="6"/>
      <c r="B42" s="6"/>
      <c r="C42" s="1"/>
      <c r="D42" s="1"/>
      <c r="E42" s="1"/>
      <c r="F42" s="58"/>
      <c r="G42" s="58"/>
      <c r="H42" s="58"/>
      <c r="I42" s="58"/>
      <c r="J42" s="53"/>
      <c r="K42" s="53"/>
      <c r="L42" s="53"/>
      <c r="M42" s="53"/>
      <c r="N42" s="52"/>
      <c r="O42" s="52"/>
      <c r="P42" s="52"/>
      <c r="Q42" s="52"/>
      <c r="R42" s="56"/>
      <c r="S42" s="56"/>
      <c r="T42" s="56"/>
      <c r="U42" s="56"/>
      <c r="V42" s="55"/>
      <c r="W42" s="55"/>
      <c r="X42" s="55"/>
      <c r="Y42" s="55"/>
      <c r="Z42" s="1"/>
      <c r="AA42" s="1"/>
      <c r="AB42" s="1"/>
      <c r="AC42" s="1"/>
      <c r="AD42" s="54"/>
      <c r="AE42" s="54"/>
      <c r="AF42" s="54"/>
      <c r="AG42" s="54"/>
      <c r="AH42" s="55"/>
      <c r="AI42" s="55"/>
      <c r="AJ42" s="55"/>
      <c r="AK42" s="55"/>
      <c r="AL42" s="1"/>
      <c r="AM42" s="1"/>
      <c r="AN42" s="1"/>
      <c r="AO42" s="1"/>
      <c r="AP42" s="57"/>
      <c r="AQ42" s="57"/>
      <c r="AR42" s="57"/>
      <c r="AS42" s="57"/>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9"/>
      <c r="CW42" s="59"/>
      <c r="CX42" s="1"/>
    </row>
    <row r="43" spans="1:102" s="10" customFormat="1" ht="18" customHeight="1" x14ac:dyDescent="0.25">
      <c r="A43" s="6"/>
      <c r="B43" s="6"/>
      <c r="C43" s="1"/>
      <c r="D43" s="1"/>
      <c r="E43" s="1"/>
      <c r="F43" s="58"/>
      <c r="G43" s="58"/>
      <c r="H43" s="58"/>
      <c r="I43" s="58"/>
      <c r="J43" s="53"/>
      <c r="K43" s="53"/>
      <c r="L43" s="53"/>
      <c r="M43" s="53"/>
      <c r="N43" s="52"/>
      <c r="O43" s="52"/>
      <c r="P43" s="52"/>
      <c r="Q43" s="52"/>
      <c r="R43" s="56"/>
      <c r="S43" s="56"/>
      <c r="T43" s="56"/>
      <c r="U43" s="56"/>
      <c r="V43" s="55"/>
      <c r="W43" s="55"/>
      <c r="X43" s="55"/>
      <c r="Y43" s="55"/>
      <c r="Z43" s="1"/>
      <c r="AA43" s="1"/>
      <c r="AB43" s="1"/>
      <c r="AC43" s="1"/>
      <c r="AD43" s="54"/>
      <c r="AE43" s="54"/>
      <c r="AF43" s="54"/>
      <c r="AG43" s="54"/>
      <c r="AH43" s="55"/>
      <c r="AI43" s="55"/>
      <c r="AJ43" s="55"/>
      <c r="AK43" s="55"/>
      <c r="AL43" s="1"/>
      <c r="AM43" s="1"/>
      <c r="AN43" s="1"/>
      <c r="AO43" s="1"/>
      <c r="AP43" s="57"/>
      <c r="AQ43" s="57"/>
      <c r="AR43" s="57"/>
      <c r="AS43" s="57"/>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9"/>
      <c r="CW43" s="59"/>
      <c r="CX43" s="1"/>
    </row>
    <row r="44" spans="1:102" s="10" customFormat="1" ht="18" customHeight="1" x14ac:dyDescent="0.25">
      <c r="A44" s="6"/>
      <c r="B44" s="6"/>
      <c r="C44" s="1"/>
      <c r="D44" s="1"/>
      <c r="E44" s="1"/>
      <c r="F44" s="58"/>
      <c r="G44" s="58"/>
      <c r="H44" s="58"/>
      <c r="I44" s="58"/>
      <c r="J44" s="53"/>
      <c r="K44" s="53"/>
      <c r="L44" s="53"/>
      <c r="M44" s="53"/>
      <c r="N44" s="52"/>
      <c r="O44" s="52"/>
      <c r="P44" s="52"/>
      <c r="Q44" s="52"/>
      <c r="R44" s="56"/>
      <c r="S44" s="56"/>
      <c r="T44" s="56"/>
      <c r="U44" s="56"/>
      <c r="V44" s="55"/>
      <c r="W44" s="55"/>
      <c r="X44" s="55"/>
      <c r="Y44" s="55"/>
      <c r="Z44" s="1"/>
      <c r="AA44" s="1"/>
      <c r="AB44" s="1"/>
      <c r="AC44" s="1"/>
      <c r="AD44" s="54"/>
      <c r="AE44" s="54"/>
      <c r="AF44" s="54"/>
      <c r="AG44" s="54"/>
      <c r="AH44" s="55"/>
      <c r="AI44" s="55"/>
      <c r="AJ44" s="55"/>
      <c r="AK44" s="55"/>
      <c r="AL44" s="1"/>
      <c r="AM44" s="1"/>
      <c r="AN44" s="1"/>
      <c r="AO44" s="1"/>
      <c r="AP44" s="57"/>
      <c r="AQ44" s="57"/>
      <c r="AR44" s="57"/>
      <c r="AS44" s="57"/>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9"/>
      <c r="CW44" s="59"/>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Z81"/>
  <sheetViews>
    <sheetView showZeros="0" tabSelected="1" topLeftCell="A34" zoomScale="85" zoomScaleNormal="85" workbookViewId="0">
      <selection activeCell="CO30" sqref="CO30"/>
    </sheetView>
  </sheetViews>
  <sheetFormatPr defaultRowHeight="15" x14ac:dyDescent="0.25"/>
  <cols>
    <col min="1" max="1" width="14.140625" bestFit="1" customWidth="1"/>
    <col min="2" max="2" width="16.28515625" style="62" bestFit="1" customWidth="1"/>
    <col min="3" max="3" width="10.28515625" bestFit="1" customWidth="1"/>
    <col min="4" max="4" width="37.5703125" bestFit="1" customWidth="1"/>
    <col min="5" max="5" width="13.7109375" style="2" bestFit="1" customWidth="1"/>
    <col min="6" max="6" width="10.5703125" customWidth="1"/>
    <col min="7" max="7" width="15.42578125" bestFit="1" customWidth="1"/>
    <col min="8" max="8" width="11.85546875" style="5" customWidth="1"/>
    <col min="9" max="9" width="10.28515625" bestFit="1" customWidth="1"/>
    <col min="10" max="10" width="13.140625" bestFit="1" customWidth="1"/>
    <col min="11" max="11" width="10.28515625" bestFit="1" customWidth="1"/>
    <col min="12" max="12" width="11.140625" customWidth="1"/>
    <col min="13" max="13" width="15.28515625" customWidth="1"/>
    <col min="14" max="15" width="7.85546875" style="15" hidden="1" customWidth="1"/>
    <col min="16" max="16" width="7.85546875" style="15" customWidth="1"/>
    <col min="17" max="37" width="7.85546875" style="15" hidden="1" customWidth="1"/>
    <col min="38" max="38" width="7.85546875" style="15" customWidth="1"/>
    <col min="39" max="42" width="7.85546875" style="15" hidden="1" customWidth="1"/>
    <col min="43" max="43" width="7.85546875" style="15" customWidth="1"/>
    <col min="44" max="44" width="7.85546875" style="15" hidden="1" customWidth="1"/>
    <col min="45" max="45" width="7.85546875" style="15" customWidth="1"/>
    <col min="46" max="61" width="7.85546875" style="15" hidden="1" customWidth="1"/>
    <col min="62" max="62" width="7.85546875" style="15" customWidth="1"/>
    <col min="63" max="66" width="7.85546875" style="15" hidden="1" customWidth="1"/>
    <col min="67" max="67" width="7.85546875" style="15" customWidth="1"/>
    <col min="68" max="84" width="7.85546875" style="15" hidden="1" customWidth="1"/>
    <col min="85" max="85" width="7.85546875" style="15" customWidth="1"/>
    <col min="86" max="86" width="11" style="15" customWidth="1"/>
    <col min="87" max="87" width="19.28515625" style="15" customWidth="1"/>
    <col min="88" max="88" width="9.4257812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04" ht="15.75" thickBot="1" x14ac:dyDescent="0.3">
      <c r="A1" s="99"/>
      <c r="B1" s="99"/>
      <c r="C1" s="99"/>
      <c r="D1" s="99"/>
      <c r="E1" s="99"/>
      <c r="F1" s="99"/>
      <c r="G1" s="99"/>
      <c r="H1" s="99"/>
      <c r="I1" s="99"/>
      <c r="J1" s="99"/>
      <c r="K1" s="99"/>
      <c r="L1" s="99"/>
      <c r="M1" s="99"/>
      <c r="N1" s="99"/>
      <c r="O1" s="99"/>
      <c r="P1" s="99"/>
      <c r="Q1" s="99"/>
      <c r="R1" s="99"/>
    </row>
    <row r="2" spans="1:104" ht="23.25" thickBot="1" x14ac:dyDescent="0.5">
      <c r="A2" s="194" t="s">
        <v>249</v>
      </c>
      <c r="B2" s="195"/>
      <c r="C2" s="195"/>
      <c r="D2" s="195"/>
      <c r="E2" s="195"/>
      <c r="F2" s="195"/>
      <c r="G2" s="195"/>
      <c r="H2" s="195"/>
      <c r="I2" s="195"/>
      <c r="J2" s="195"/>
      <c r="K2" s="195"/>
      <c r="L2" s="195"/>
      <c r="M2" s="195"/>
      <c r="N2" s="195"/>
      <c r="O2" s="195"/>
      <c r="P2" s="195"/>
      <c r="Q2" s="195"/>
      <c r="R2" s="196"/>
    </row>
    <row r="3" spans="1:104" ht="15.75" thickBot="1" x14ac:dyDescent="0.3">
      <c r="B3"/>
      <c r="E3"/>
      <c r="H3"/>
      <c r="N3"/>
      <c r="O3"/>
      <c r="P3"/>
      <c r="Q3"/>
      <c r="R3"/>
    </row>
    <row r="4" spans="1:104" ht="45.75" thickBot="1" x14ac:dyDescent="0.3">
      <c r="A4" s="100" t="s">
        <v>237</v>
      </c>
      <c r="B4" s="197" t="s">
        <v>282</v>
      </c>
      <c r="C4" s="197"/>
      <c r="D4" s="197"/>
      <c r="E4" s="197"/>
      <c r="F4" s="197"/>
      <c r="G4" s="197"/>
      <c r="H4" s="197"/>
      <c r="I4" s="197"/>
      <c r="J4" s="197"/>
      <c r="K4" s="197"/>
      <c r="L4" s="197"/>
      <c r="M4" s="197"/>
      <c r="N4" s="197"/>
      <c r="O4" s="197"/>
      <c r="P4" s="197"/>
      <c r="Q4" s="197"/>
      <c r="R4" s="197"/>
    </row>
    <row r="5" spans="1:104" ht="45" x14ac:dyDescent="0.25">
      <c r="A5" s="100" t="s">
        <v>238</v>
      </c>
      <c r="B5" s="187" t="s">
        <v>283</v>
      </c>
      <c r="C5" s="197"/>
      <c r="D5" s="197"/>
      <c r="E5" s="197"/>
      <c r="F5" s="197"/>
      <c r="G5" s="197"/>
      <c r="H5" s="197"/>
      <c r="I5" s="197"/>
      <c r="J5" s="197"/>
      <c r="K5" s="197"/>
      <c r="L5" s="197"/>
      <c r="M5" s="197"/>
      <c r="N5" s="197"/>
      <c r="O5" s="197"/>
      <c r="P5" s="197"/>
      <c r="Q5" s="197"/>
      <c r="R5" s="197"/>
    </row>
    <row r="6" spans="1:104" ht="45" x14ac:dyDescent="0.25">
      <c r="A6" s="101" t="s">
        <v>239</v>
      </c>
      <c r="B6" s="198" t="s">
        <v>284</v>
      </c>
      <c r="C6" s="197"/>
      <c r="D6" s="197"/>
      <c r="E6" s="197"/>
      <c r="F6" s="197"/>
      <c r="G6" s="197"/>
      <c r="H6" s="197"/>
      <c r="I6" s="197"/>
      <c r="J6" s="197"/>
      <c r="K6" s="197"/>
      <c r="L6" s="197"/>
      <c r="M6" s="197"/>
      <c r="N6" s="197"/>
      <c r="O6" s="197"/>
      <c r="P6" s="197"/>
      <c r="Q6" s="197"/>
      <c r="R6" s="197"/>
    </row>
    <row r="7" spans="1:104" ht="30" x14ac:dyDescent="0.25">
      <c r="A7" s="101" t="s">
        <v>240</v>
      </c>
      <c r="B7" s="187" t="s">
        <v>285</v>
      </c>
      <c r="C7" s="197"/>
      <c r="D7" s="197"/>
      <c r="E7" s="197"/>
      <c r="F7" s="197"/>
      <c r="G7" s="197"/>
      <c r="H7" s="197"/>
      <c r="I7" s="197"/>
      <c r="J7" s="197"/>
      <c r="K7" s="197"/>
      <c r="L7" s="197"/>
      <c r="M7" s="197"/>
      <c r="N7" s="197"/>
      <c r="O7" s="197"/>
      <c r="P7" s="197"/>
      <c r="Q7" s="197"/>
      <c r="R7" s="197"/>
    </row>
    <row r="8" spans="1:104" ht="30" customHeight="1" x14ac:dyDescent="0.25">
      <c r="A8" s="101" t="s">
        <v>241</v>
      </c>
      <c r="B8" s="187" t="s">
        <v>286</v>
      </c>
      <c r="C8" s="187"/>
      <c r="D8" s="187"/>
      <c r="E8" s="187"/>
      <c r="F8" s="187"/>
      <c r="G8" s="187"/>
      <c r="H8" s="187"/>
      <c r="I8" s="187"/>
      <c r="J8" s="187"/>
      <c r="K8" s="187"/>
      <c r="L8" s="187"/>
      <c r="M8" s="187"/>
      <c r="N8" s="187"/>
      <c r="O8" s="187"/>
      <c r="P8" s="187"/>
      <c r="Q8" s="187"/>
      <c r="R8" s="187"/>
    </row>
    <row r="9" spans="1:104" x14ac:dyDescent="0.25">
      <c r="A9" s="101" t="s">
        <v>242</v>
      </c>
      <c r="B9" s="188" t="s">
        <v>287</v>
      </c>
      <c r="C9" s="189"/>
      <c r="D9" s="189"/>
      <c r="E9" s="189"/>
      <c r="F9" s="189"/>
      <c r="G9" s="189"/>
      <c r="H9" s="189"/>
      <c r="I9" s="189"/>
      <c r="J9" s="189"/>
      <c r="K9" s="189"/>
      <c r="L9" s="189"/>
      <c r="M9" s="189"/>
      <c r="N9" s="189"/>
      <c r="O9" s="189"/>
      <c r="P9" s="189"/>
      <c r="Q9" s="189"/>
      <c r="R9" s="190"/>
    </row>
    <row r="10" spans="1:104" ht="68.25" customHeight="1" x14ac:dyDescent="0.25">
      <c r="A10" s="101" t="s">
        <v>243</v>
      </c>
      <c r="B10" s="191" t="s">
        <v>288</v>
      </c>
      <c r="C10" s="192"/>
      <c r="D10" s="192"/>
      <c r="E10" s="192"/>
      <c r="F10" s="192"/>
      <c r="G10" s="192"/>
      <c r="H10" s="192"/>
      <c r="I10" s="192"/>
      <c r="J10" s="192"/>
      <c r="K10" s="192"/>
      <c r="L10" s="192"/>
      <c r="M10" s="192"/>
      <c r="N10" s="192"/>
      <c r="O10" s="192"/>
      <c r="P10" s="192"/>
      <c r="Q10" s="192"/>
      <c r="R10" s="193"/>
    </row>
    <row r="11" spans="1:104" ht="30" x14ac:dyDescent="0.25">
      <c r="A11" s="102" t="s">
        <v>244</v>
      </c>
      <c r="B11" s="186" t="s">
        <v>245</v>
      </c>
      <c r="C11" s="186"/>
      <c r="D11" s="186"/>
      <c r="E11" s="186"/>
      <c r="F11" s="186"/>
      <c r="G11" s="186"/>
      <c r="H11" s="186"/>
      <c r="I11" s="186"/>
      <c r="J11" s="186"/>
      <c r="K11" s="186"/>
      <c r="L11" s="186"/>
      <c r="M11" s="186"/>
      <c r="N11" s="186"/>
      <c r="O11" s="186"/>
      <c r="P11" s="186"/>
      <c r="Q11" s="186"/>
      <c r="R11" s="186"/>
    </row>
    <row r="12" spans="1:104" ht="38.25" customHeight="1" x14ac:dyDescent="0.25">
      <c r="A12" s="102" t="s">
        <v>246</v>
      </c>
      <c r="B12" s="186" t="s">
        <v>247</v>
      </c>
      <c r="C12" s="186"/>
      <c r="D12" s="186"/>
      <c r="E12" s="186"/>
      <c r="F12" s="186"/>
      <c r="G12" s="186"/>
      <c r="H12" s="186"/>
      <c r="I12" s="186"/>
      <c r="J12" s="186"/>
      <c r="K12" s="186"/>
      <c r="L12" s="186"/>
      <c r="M12" s="186"/>
      <c r="N12" s="186"/>
      <c r="O12" s="186"/>
      <c r="P12" s="186"/>
      <c r="Q12" s="186"/>
      <c r="R12" s="186"/>
    </row>
    <row r="13" spans="1:104" ht="30" x14ac:dyDescent="0.25">
      <c r="A13" s="103" t="s">
        <v>248</v>
      </c>
      <c r="B13" s="186"/>
      <c r="C13" s="186"/>
      <c r="D13" s="186"/>
      <c r="E13" s="186"/>
      <c r="F13" s="186"/>
      <c r="G13" s="186"/>
      <c r="H13" s="186"/>
      <c r="I13" s="186"/>
      <c r="J13" s="186"/>
      <c r="K13" s="186"/>
      <c r="L13" s="186"/>
      <c r="M13" s="186"/>
      <c r="N13" s="186"/>
      <c r="O13" s="186"/>
      <c r="P13" s="186"/>
      <c r="Q13" s="186"/>
      <c r="R13" s="186"/>
    </row>
    <row r="15" spans="1:104" s="22" customFormat="1" ht="28.9" customHeight="1" x14ac:dyDescent="0.25">
      <c r="A15" s="88"/>
      <c r="B15" s="88"/>
      <c r="C15" s="89"/>
      <c r="D15" s="89"/>
      <c r="E15" s="26"/>
      <c r="H15" s="27"/>
      <c r="N15" s="206" t="s">
        <v>81</v>
      </c>
      <c r="O15" s="206"/>
      <c r="P15" s="206"/>
      <c r="Q15" s="206"/>
      <c r="R15" s="206"/>
      <c r="S15" s="206"/>
      <c r="T15" s="206"/>
      <c r="U15" s="206"/>
      <c r="V15" s="207" t="s">
        <v>4</v>
      </c>
      <c r="W15" s="207"/>
      <c r="X15" s="208" t="s">
        <v>3</v>
      </c>
      <c r="Y15" s="208"/>
      <c r="Z15" s="208"/>
      <c r="AA15" s="208"/>
      <c r="AB15" s="208"/>
      <c r="AC15" s="208"/>
      <c r="AD15" s="208"/>
      <c r="AE15" s="208"/>
      <c r="AF15" s="209" t="s">
        <v>5</v>
      </c>
      <c r="AG15" s="209"/>
      <c r="AH15" s="210" t="s">
        <v>6</v>
      </c>
      <c r="AI15" s="210"/>
      <c r="AJ15" s="210"/>
      <c r="AK15" s="210"/>
      <c r="AL15" s="210"/>
      <c r="AM15" s="210"/>
      <c r="AN15" s="210"/>
      <c r="AO15" s="210"/>
      <c r="AP15" s="210"/>
      <c r="AQ15" s="35" t="s">
        <v>7</v>
      </c>
      <c r="AR15" s="202" t="s">
        <v>8</v>
      </c>
      <c r="AS15" s="203"/>
      <c r="AT15" s="203"/>
      <c r="AU15" s="203"/>
      <c r="AV15" s="203"/>
      <c r="AW15" s="203"/>
      <c r="AX15" s="203"/>
      <c r="AY15" s="203"/>
      <c r="AZ15" s="203"/>
      <c r="BA15" s="204" t="s">
        <v>9</v>
      </c>
      <c r="BB15" s="204"/>
      <c r="BC15" s="204"/>
      <c r="BD15" s="204"/>
      <c r="BE15" s="204"/>
      <c r="BF15" s="204"/>
      <c r="BG15" s="204"/>
      <c r="BH15" s="204"/>
      <c r="BI15" s="204"/>
      <c r="BJ15" s="204"/>
      <c r="BK15" s="204"/>
      <c r="BL15" s="205" t="s">
        <v>10</v>
      </c>
      <c r="BM15" s="205"/>
      <c r="BN15" s="205"/>
      <c r="BO15" s="205"/>
      <c r="BP15" s="205"/>
      <c r="BQ15" s="205"/>
      <c r="BR15" s="205"/>
      <c r="BS15" s="205"/>
      <c r="BT15" s="205"/>
      <c r="BU15" s="205"/>
      <c r="BV15" s="205"/>
      <c r="BW15" s="205"/>
      <c r="BX15" s="39" t="s">
        <v>11</v>
      </c>
      <c r="BY15" s="42" t="s">
        <v>12</v>
      </c>
      <c r="BZ15" s="30" t="s">
        <v>13</v>
      </c>
      <c r="CA15" s="34" t="s">
        <v>14</v>
      </c>
      <c r="CB15" s="31" t="s">
        <v>15</v>
      </c>
      <c r="CC15" s="45" t="s">
        <v>16</v>
      </c>
      <c r="CD15" s="47" t="s">
        <v>17</v>
      </c>
      <c r="CE15" s="41" t="s">
        <v>18</v>
      </c>
      <c r="CF15" s="30" t="s">
        <v>19</v>
      </c>
      <c r="CG15" s="199" t="s">
        <v>83</v>
      </c>
      <c r="CH15" s="200"/>
      <c r="CI15" s="200"/>
      <c r="CJ15" s="201"/>
      <c r="CK15" s="65" t="s">
        <v>20</v>
      </c>
      <c r="CL15" s="23" t="s">
        <v>21</v>
      </c>
      <c r="CM15" s="24" t="s">
        <v>40</v>
      </c>
      <c r="CN15" s="23" t="s">
        <v>80</v>
      </c>
      <c r="CO15" s="25"/>
      <c r="CP15" s="26"/>
      <c r="CQ15" s="27"/>
      <c r="CR15" s="26"/>
      <c r="CS15" s="26"/>
      <c r="CT15" s="27"/>
      <c r="CV15" s="27"/>
      <c r="CZ15" s="22" t="s">
        <v>125</v>
      </c>
    </row>
    <row r="16" spans="1:104" s="11" customFormat="1" ht="89.25" x14ac:dyDescent="0.25">
      <c r="A16" s="80" t="s">
        <v>0</v>
      </c>
      <c r="B16" s="81" t="s">
        <v>84</v>
      </c>
      <c r="C16" s="80" t="s">
        <v>1</v>
      </c>
      <c r="D16" s="80" t="s">
        <v>2</v>
      </c>
      <c r="E16" s="3" t="s">
        <v>31</v>
      </c>
      <c r="F16" s="9" t="s">
        <v>32</v>
      </c>
      <c r="G16" s="9" t="s">
        <v>33</v>
      </c>
      <c r="H16" s="4" t="s">
        <v>34</v>
      </c>
      <c r="I16" s="9" t="s">
        <v>35</v>
      </c>
      <c r="J16" s="9" t="s">
        <v>36</v>
      </c>
      <c r="K16" s="9" t="s">
        <v>37</v>
      </c>
      <c r="L16" s="9" t="s">
        <v>38</v>
      </c>
      <c r="M16" s="9" t="s">
        <v>39</v>
      </c>
      <c r="N16" s="82" t="s">
        <v>41</v>
      </c>
      <c r="O16" s="82" t="s">
        <v>45</v>
      </c>
      <c r="P16" s="82" t="s">
        <v>223</v>
      </c>
      <c r="Q16" s="82" t="s">
        <v>122</v>
      </c>
      <c r="R16" s="82" t="s">
        <v>123</v>
      </c>
      <c r="S16" s="82" t="s">
        <v>124</v>
      </c>
      <c r="T16" s="82" t="s">
        <v>43</v>
      </c>
      <c r="U16" s="82" t="s">
        <v>44</v>
      </c>
      <c r="V16" s="82" t="s">
        <v>41</v>
      </c>
      <c r="W16" s="82" t="s">
        <v>45</v>
      </c>
      <c r="X16" s="83" t="s">
        <v>52</v>
      </c>
      <c r="Y16" s="83" t="s">
        <v>56</v>
      </c>
      <c r="Z16" s="83" t="s">
        <v>59</v>
      </c>
      <c r="AA16" s="83" t="s">
        <v>64</v>
      </c>
      <c r="AB16" s="83" t="s">
        <v>68</v>
      </c>
      <c r="AC16" s="83" t="s">
        <v>70</v>
      </c>
      <c r="AD16" s="83" t="s">
        <v>72</v>
      </c>
      <c r="AE16" s="83" t="s">
        <v>74</v>
      </c>
      <c r="AF16" s="83" t="s">
        <v>51</v>
      </c>
      <c r="AG16" s="83" t="s">
        <v>55</v>
      </c>
      <c r="AH16" s="83" t="s">
        <v>50</v>
      </c>
      <c r="AI16" s="83" t="s">
        <v>46</v>
      </c>
      <c r="AJ16" s="83" t="s">
        <v>58</v>
      </c>
      <c r="AK16" s="83" t="s">
        <v>63</v>
      </c>
      <c r="AL16" s="83" t="s">
        <v>67</v>
      </c>
      <c r="AM16" s="83" t="s">
        <v>86</v>
      </c>
      <c r="AN16" s="83" t="s">
        <v>87</v>
      </c>
      <c r="AO16" s="83" t="s">
        <v>85</v>
      </c>
      <c r="AP16" s="83" t="s">
        <v>93</v>
      </c>
      <c r="AQ16" s="84" t="s">
        <v>7</v>
      </c>
      <c r="AR16" s="83" t="s">
        <v>53</v>
      </c>
      <c r="AS16" s="83" t="s">
        <v>57</v>
      </c>
      <c r="AT16" s="83" t="s">
        <v>62</v>
      </c>
      <c r="AU16" s="83" t="s">
        <v>60</v>
      </c>
      <c r="AV16" s="83" t="s">
        <v>65</v>
      </c>
      <c r="AW16" s="83" t="s">
        <v>69</v>
      </c>
      <c r="AX16" s="83" t="s">
        <v>47</v>
      </c>
      <c r="AY16" s="83" t="s">
        <v>121</v>
      </c>
      <c r="AZ16" s="83" t="s">
        <v>73</v>
      </c>
      <c r="BA16" s="83" t="s">
        <v>54</v>
      </c>
      <c r="BB16" s="83" t="s">
        <v>42</v>
      </c>
      <c r="BC16" s="83" t="s">
        <v>61</v>
      </c>
      <c r="BD16" s="83" t="s">
        <v>66</v>
      </c>
      <c r="BE16" s="83" t="s">
        <v>88</v>
      </c>
      <c r="BF16" s="83" t="s">
        <v>71</v>
      </c>
      <c r="BG16" s="83" t="s">
        <v>48</v>
      </c>
      <c r="BH16" s="83" t="s">
        <v>75</v>
      </c>
      <c r="BI16" s="83" t="s">
        <v>76</v>
      </c>
      <c r="BJ16" s="83" t="s">
        <v>77</v>
      </c>
      <c r="BK16" s="83" t="s">
        <v>79</v>
      </c>
      <c r="BL16" s="83" t="s">
        <v>53</v>
      </c>
      <c r="BM16" s="83" t="s">
        <v>57</v>
      </c>
      <c r="BN16" s="83" t="s">
        <v>62</v>
      </c>
      <c r="BO16" s="83" t="s">
        <v>60</v>
      </c>
      <c r="BP16" s="83" t="s">
        <v>89</v>
      </c>
      <c r="BQ16" s="83" t="s">
        <v>94</v>
      </c>
      <c r="BR16" s="83" t="s">
        <v>90</v>
      </c>
      <c r="BS16" s="83" t="s">
        <v>65</v>
      </c>
      <c r="BT16" s="83" t="s">
        <v>47</v>
      </c>
      <c r="BU16" s="83" t="s">
        <v>121</v>
      </c>
      <c r="BV16" s="83" t="s">
        <v>73</v>
      </c>
      <c r="BW16" s="83" t="s">
        <v>78</v>
      </c>
      <c r="BX16" s="84" t="s">
        <v>11</v>
      </c>
      <c r="BY16" s="84" t="s">
        <v>49</v>
      </c>
      <c r="BZ16" s="85" t="s">
        <v>13</v>
      </c>
      <c r="CA16" s="86" t="s">
        <v>14</v>
      </c>
      <c r="CB16" s="85" t="s">
        <v>15</v>
      </c>
      <c r="CC16" s="85" t="s">
        <v>16</v>
      </c>
      <c r="CD16" s="85" t="s">
        <v>17</v>
      </c>
      <c r="CE16" s="86" t="s">
        <v>18</v>
      </c>
      <c r="CF16" s="85" t="s">
        <v>19</v>
      </c>
      <c r="CG16" s="69" t="s">
        <v>82</v>
      </c>
      <c r="CH16" s="69" t="s">
        <v>91</v>
      </c>
      <c r="CI16" s="69" t="s">
        <v>92</v>
      </c>
      <c r="CJ16" s="69" t="s">
        <v>95</v>
      </c>
      <c r="CK16" s="14"/>
      <c r="CL16" s="14"/>
      <c r="CM16" s="12"/>
      <c r="CN16" s="14"/>
      <c r="CO16" s="7" t="s">
        <v>22</v>
      </c>
      <c r="CP16" s="3" t="s">
        <v>23</v>
      </c>
      <c r="CQ16" s="4" t="s">
        <v>24</v>
      </c>
      <c r="CR16" s="3" t="s">
        <v>25</v>
      </c>
      <c r="CS16" s="3" t="s">
        <v>26</v>
      </c>
      <c r="CT16" s="4" t="s">
        <v>27</v>
      </c>
      <c r="CU16" s="9" t="s">
        <v>28</v>
      </c>
      <c r="CV16" s="4" t="s">
        <v>29</v>
      </c>
      <c r="CW16" s="9" t="s">
        <v>30</v>
      </c>
      <c r="CX16" s="4" t="s">
        <v>96</v>
      </c>
      <c r="CY16" s="9" t="s">
        <v>97</v>
      </c>
    </row>
    <row r="17" spans="1:103" s="14" customFormat="1" x14ac:dyDescent="0.25">
      <c r="A17" s="16"/>
      <c r="B17" s="61"/>
      <c r="C17" s="16"/>
      <c r="D17" s="16"/>
      <c r="E17" s="3"/>
      <c r="F17" s="77"/>
      <c r="G17" s="64"/>
      <c r="H17" s="3"/>
      <c r="I17" s="3"/>
      <c r="J17" s="3"/>
      <c r="K17" s="78"/>
      <c r="L17" s="3"/>
      <c r="M17" s="3"/>
      <c r="N17" s="17">
        <f>+IFERROR(VLOOKUP($N$16,Sheet1!J:L,2,0),0)</f>
        <v>0</v>
      </c>
      <c r="O17" s="17">
        <f>+IFERROR(VLOOKUP($O$16,Sheet1!J:L,2,0),0)</f>
        <v>0</v>
      </c>
      <c r="P17" s="17">
        <v>964</v>
      </c>
      <c r="Q17" s="17">
        <f>+IFERROR(VLOOKUP($Q$16,Sheet1!J:M,2,0),0)</f>
        <v>0</v>
      </c>
      <c r="R17" s="17">
        <f>+IFERROR(VLOOKUP($R$16,Sheet1!J:M,2,0),0)</f>
        <v>0</v>
      </c>
      <c r="S17" s="17">
        <f>+IFERROR(VLOOKUP($S$16,Sheet1!J:M,2,0),0)</f>
        <v>0</v>
      </c>
      <c r="T17" s="17">
        <f>+IFERROR(VLOOKUP($T$16,Sheet1!J:M,2,0),0)</f>
        <v>0</v>
      </c>
      <c r="U17" s="17">
        <f>+IFERROR(VLOOKUP($U$16,Sheet1!J:M,2,0),0)</f>
        <v>0</v>
      </c>
      <c r="V17" s="17">
        <f>+IFERROR(VLOOKUP($V$16,Sheet1!N:Q,2,0),0)</f>
        <v>0</v>
      </c>
      <c r="W17" s="17">
        <f>+IFERROR(VLOOKUP($W$16,Sheet1!N:O,2,0),0)</f>
        <v>0</v>
      </c>
      <c r="X17" s="18">
        <f>+IFERROR(VLOOKUP($X$16,Sheet1!F:I,2,0),0)</f>
        <v>0</v>
      </c>
      <c r="Y17" s="18">
        <f>+IFERROR(VLOOKUP($Y$16,Sheet1!F:I,2,0),0)</f>
        <v>0</v>
      </c>
      <c r="Z17" s="18">
        <f>+IFERROR(VLOOKUP($Z$16,Sheet1!F:I,2,0),0)</f>
        <v>0</v>
      </c>
      <c r="AA17" s="18">
        <f>+IFERROR(VLOOKUP($AA$16,Sheet1!F:I,2,0),0)</f>
        <v>0</v>
      </c>
      <c r="AB17" s="18">
        <f>+IFERROR(VLOOKUP($AB$16,Sheet1!F:I,2,0),0)</f>
        <v>0</v>
      </c>
      <c r="AC17" s="18">
        <f>+IFERROR(VLOOKUP($AC$16,Sheet1!F:I,2,0),0)</f>
        <v>0</v>
      </c>
      <c r="AD17" s="18">
        <f>+IFERROR(VLOOKUP($AD$16,Sheet1!F:I,2,0),0)</f>
        <v>0</v>
      </c>
      <c r="AE17" s="18">
        <f>+IFERROR(VLOOKUP($AE$16,Sheet1!F:I,2,0),0)</f>
        <v>0</v>
      </c>
      <c r="AF17" s="18">
        <f>+IFERROR(VLOOKUP($AF$16,Sheet1!R:U,2,0),0)</f>
        <v>0</v>
      </c>
      <c r="AG17" s="18">
        <f>+IFERROR(VLOOKUP($AG$16,Sheet1!R:U,2,0),0)</f>
        <v>0</v>
      </c>
      <c r="AH17" s="18">
        <f>+IFERROR(VLOOKUP($AH$16,Sheet1!V:Y,2,0),0)</f>
        <v>0</v>
      </c>
      <c r="AI17" s="18">
        <f>+IFERROR(VLOOKUP($AI$16,Sheet1!V:Y,2,0),0)</f>
        <v>0</v>
      </c>
      <c r="AJ17" s="18">
        <f>+IFERROR(VLOOKUP($AJ$16,Sheet1!V:Y,2,0),0)</f>
        <v>0</v>
      </c>
      <c r="AK17" s="18">
        <f>+IFERROR(VLOOKUP($AK$16,Sheet1!V:Y,2,0),0)</f>
        <v>0</v>
      </c>
      <c r="AL17" s="18">
        <v>97</v>
      </c>
      <c r="AM17" s="18">
        <f>+IFERROR(VLOOKUP($AM$16,Sheet1!V:Y,2,0),0)</f>
        <v>0</v>
      </c>
      <c r="AN17" s="18">
        <f>+IFERROR(VLOOKUP($AN$16,Sheet1!V:Y,2,0),0)</f>
        <v>0</v>
      </c>
      <c r="AO17" s="18">
        <f>+IFERROR(VLOOKUP($AO$16,Sheet1!V:Y,2,0),0)</f>
        <v>0</v>
      </c>
      <c r="AP17" s="18">
        <f>+IFERROR(VLOOKUP($AP$16,Sheet1!V:Y,2,0),0)</f>
        <v>0</v>
      </c>
      <c r="AQ17" s="19">
        <v>111</v>
      </c>
      <c r="AR17" s="18">
        <f>+IFERROR(VLOOKUP($AR$16,Sheet1!AD2:AG840,2,0),0)</f>
        <v>0</v>
      </c>
      <c r="AS17" s="18">
        <v>81</v>
      </c>
      <c r="AT17" s="18">
        <f>+IFERROR(VLOOKUP($AT$16,Sheet1!AD2:AG840,2,0),0)</f>
        <v>0</v>
      </c>
      <c r="AU17" s="18">
        <f>+IFERROR(VLOOKUP($AU$16,Sheet1!AD2:AG840,2,0),0)</f>
        <v>0</v>
      </c>
      <c r="AV17" s="18">
        <f>+IFERROR(VLOOKUP($AV$16,Sheet1!AD2:AG840,2,0),0)</f>
        <v>0</v>
      </c>
      <c r="AW17" s="18">
        <f>+IFERROR(VLOOKUP($AW$16,Sheet1!AD2:AG840,2,0),0)</f>
        <v>0</v>
      </c>
      <c r="AX17" s="18">
        <f>+IFERROR(VLOOKUP($AX$16,Sheet1!AD2:AG840,2,0),0)</f>
        <v>0</v>
      </c>
      <c r="AY17" s="18">
        <f>+IFERROR(VLOOKUP($AY$16,Sheet1!AD2:AG840,2,0),0)</f>
        <v>0</v>
      </c>
      <c r="AZ17" s="18">
        <f>+IFERROR(VLOOKUP($AZ$16,Sheet1!AD2:AG840,2,0),0)</f>
        <v>0</v>
      </c>
      <c r="BA17" s="18">
        <f>+IFERROR(VLOOKUP($BA$16,Sheet1!AH2:AK840,2,0),0)</f>
        <v>0</v>
      </c>
      <c r="BB17" s="18">
        <f>+IFERROR(VLOOKUP($BB$16,Sheet1!AH2:AK840,2,0),0)</f>
        <v>0</v>
      </c>
      <c r="BC17" s="18">
        <f>+IFERROR(VLOOKUP($BC$16,Sheet1!AH2:AK840,2,0),0)</f>
        <v>0</v>
      </c>
      <c r="BD17" s="18">
        <f>+IFERROR(VLOOKUP($BD$16,Sheet1!AH2:AK840,2,0),0)</f>
        <v>0</v>
      </c>
      <c r="BE17" s="18">
        <f>+IFERROR(VLOOKUP($BE$16,Sheet1!AH2:AK840,2,0),0)</f>
        <v>0</v>
      </c>
      <c r="BF17" s="18">
        <f>+IFERROR(VLOOKUP($BF$16,Sheet1!AH2:AK840,2,0),0)</f>
        <v>0</v>
      </c>
      <c r="BG17" s="18">
        <f>+IFERROR(VLOOKUP($BG$16,Sheet1!AH2:AK840,2,0),0)</f>
        <v>0</v>
      </c>
      <c r="BH17" s="18">
        <f>+IFERROR(VLOOKUP($BH$16,Sheet1!AH2:AK840,2,0),0)</f>
        <v>0</v>
      </c>
      <c r="BI17" s="18">
        <f>+IFERROR(VLOOKUP($BI$16,Sheet1!AH2:AK840,2,0),0)</f>
        <v>0</v>
      </c>
      <c r="BJ17" s="18">
        <v>79</v>
      </c>
      <c r="BK17" s="18">
        <f>+IFERROR(VLOOKUP($BK$16,Sheet1!AH2:AK840,2,0),0)</f>
        <v>0</v>
      </c>
      <c r="BL17" s="18">
        <f>+IFERROR(VLOOKUP($BL$16,Sheet1!AL2:AO840,2,0),0)</f>
        <v>0</v>
      </c>
      <c r="BM17" s="18">
        <f>+IFERROR(VLOOKUP($BM$16,Sheet1!AL2:AO840,2,0),0)</f>
        <v>0</v>
      </c>
      <c r="BN17" s="18">
        <f>+IFERROR(VLOOKUP($BN$16,Sheet1!AL2:AO840,2,0),0)</f>
        <v>0</v>
      </c>
      <c r="BO17" s="18">
        <v>81</v>
      </c>
      <c r="BP17" s="18">
        <f>+IFERROR(VLOOKUP($BP$16,Sheet1!AL2:AO840,2,0),0)</f>
        <v>0</v>
      </c>
      <c r="BQ17" s="18">
        <f>+IFERROR(VLOOKUP($BQ$16,Sheet1!AL2:AO840,2,0),0)</f>
        <v>0</v>
      </c>
      <c r="BR17" s="18">
        <f>+IFERROR(VLOOKUP($BR$16,Sheet1!AL2:AO840,2,0),0)</f>
        <v>0</v>
      </c>
      <c r="BS17" s="18">
        <f>+IFERROR(VLOOKUP($BS$16,Sheet1!AL2:AO840,2,0),0)</f>
        <v>0</v>
      </c>
      <c r="BT17" s="18">
        <f>+IFERROR(VLOOKUP($BT$16,Sheet1!AL2:AO840,2,0),0)</f>
        <v>0</v>
      </c>
      <c r="BU17" s="18">
        <f>+IFERROR(VLOOKUP($BU$16,Sheet1!AL2:AO840,2,0),0)</f>
        <v>0</v>
      </c>
      <c r="BV17" s="18">
        <f>+IFERROR(VLOOKUP($BV$16,Sheet1!AL2:AO840,2,0),0)</f>
        <v>0</v>
      </c>
      <c r="BW17" s="18">
        <f>+IFERROR(VLOOKUP($BW$16,Sheet1!AL2:AO840,2,0),0)</f>
        <v>0</v>
      </c>
      <c r="BX17" s="19">
        <f>+IFERROR(VLOOKUP($BX$16,Sheet1!AP2:AS840,2,0),0)</f>
        <v>0</v>
      </c>
      <c r="BY17" s="19">
        <f>+IFERROR(VLOOKUP($BY$16,Sheet1!AT2:AW840,2,0),0)</f>
        <v>0</v>
      </c>
      <c r="BZ17" s="20">
        <f>+IFERROR(VLOOKUP($BZ$16,Sheet1!AX2:BA840,2,0),0)</f>
        <v>0</v>
      </c>
      <c r="CA17" s="21">
        <f>+IFERROR(VLOOKUP($CA$16,Sheet1!BB2:BE840,2,0),0)</f>
        <v>0</v>
      </c>
      <c r="CB17" s="20">
        <f>+IFERROR(VLOOKUP($CB$16,Sheet1!BF2:BI840,2,0),0)</f>
        <v>0</v>
      </c>
      <c r="CC17" s="20">
        <f>+IFERROR(VLOOKUP($CC$16,Sheet1!BJ2:BM840,2,0),0)</f>
        <v>0</v>
      </c>
      <c r="CD17" s="20">
        <f>+IFERROR(VLOOKUP($CD$16,Sheet1!BN2:BQ840,2,0),0)</f>
        <v>0</v>
      </c>
      <c r="CE17" s="21">
        <f>+IFERROR(VLOOKUP($CE$16,Sheet1!BR2:BU840,2,0),0)</f>
        <v>0</v>
      </c>
      <c r="CF17" s="20">
        <f>+IFERROR(VLOOKUP($CF$16,Sheet1!BV2:BY840,2,0),0)</f>
        <v>0</v>
      </c>
      <c r="CG17" s="66"/>
      <c r="CH17" s="66"/>
      <c r="CI17" s="66"/>
      <c r="CJ17" s="66"/>
      <c r="CO17" s="3"/>
      <c r="CP17" s="3"/>
      <c r="CQ17" s="3"/>
      <c r="CR17" s="3"/>
      <c r="CS17" s="3"/>
      <c r="CT17" s="3"/>
      <c r="CU17" s="3"/>
      <c r="CV17" s="3"/>
      <c r="CW17" s="3"/>
      <c r="CX17" s="3"/>
      <c r="CY17" s="3"/>
    </row>
    <row r="18" spans="1:103" s="22" customFormat="1" ht="30" x14ac:dyDescent="0.25">
      <c r="A18" s="6" t="str">
        <f>Sheet1!A4</f>
        <v>ENQ-16531-25-26</v>
      </c>
      <c r="B18" s="87">
        <v>45839</v>
      </c>
      <c r="C18" s="6" t="str">
        <f>Sheet1!C4</f>
        <v>FA0200008</v>
      </c>
      <c r="D18" s="6" t="str">
        <f>Sheet1!D4</f>
        <v>2 CORE X 2.5 SQ. MM. CU/ARD - WIRE (PVC)</v>
      </c>
      <c r="E18" s="23">
        <f>CS18+CU18+CW18+CY18</f>
        <v>88225.309200000003</v>
      </c>
      <c r="F18" s="98">
        <f>ROUNDUP(M34,0)</f>
        <v>2967</v>
      </c>
      <c r="G18" s="28">
        <f>E18+F18</f>
        <v>91192.309200000003</v>
      </c>
      <c r="H18" s="29">
        <f>Sheet1!CR4</f>
        <v>0.18</v>
      </c>
      <c r="I18" s="28">
        <f>G18*H18</f>
        <v>16414.615656000002</v>
      </c>
      <c r="J18" s="28">
        <f>G18+I18</f>
        <v>107606.924856</v>
      </c>
      <c r="K18" s="79">
        <f>Sheet1!CU4</f>
        <v>15</v>
      </c>
      <c r="L18" s="76" t="str">
        <f>Sheet1!CV4</f>
        <v>KMS</v>
      </c>
      <c r="M18" s="23">
        <f>J18*K18</f>
        <v>1614103.8728399999</v>
      </c>
      <c r="N18" s="71">
        <f>+IFERROR(VLOOKUP($N$16,Sheet1!J4:L4,3,0),0)</f>
        <v>0</v>
      </c>
      <c r="O18" s="71">
        <f>+IFERROR(VLOOKUP($O$16,Sheet1!J4:L4,3,0),0)</f>
        <v>0</v>
      </c>
      <c r="P18" s="181">
        <f>+IFERROR(VLOOKUP($P$16,Sheet1!J4:M4,3,0),0)</f>
        <v>44</v>
      </c>
      <c r="Q18" s="71">
        <f>+IFERROR(VLOOKUP($Q$16,Sheet1!J4:M4,3,0),0)</f>
        <v>0</v>
      </c>
      <c r="R18" s="71">
        <f>+IFERROR(VLOOKUP($R$16,Sheet1!J4:M4,3,0),0)</f>
        <v>0</v>
      </c>
      <c r="S18" s="71">
        <f>+IFERROR(VLOOKUP($S$16,Sheet1!J4:M4,3,0),0)</f>
        <v>0</v>
      </c>
      <c r="T18" s="71">
        <f>+IFERROR(VLOOKUP($T$16,Sheet1!J4:M4,3,0),0)</f>
        <v>0</v>
      </c>
      <c r="U18" s="71">
        <f>+IFERROR(VLOOKUP($U$16,Sheet1!J4:M4,3,0),0)</f>
        <v>0</v>
      </c>
      <c r="V18" s="72">
        <f>+IFERROR(VLOOKUP($V$16,Sheet1!N4:Q4,3,0),0)</f>
        <v>0</v>
      </c>
      <c r="W18" s="72">
        <f>+IFERROR(VLOOKUP($W$16,Sheet1!N4:Q4,3,0),0)</f>
        <v>0</v>
      </c>
      <c r="X18" s="73">
        <f>+IFERROR(VLOOKUP($X$16,Sheet1!F4:I4,3,0),0)</f>
        <v>0</v>
      </c>
      <c r="Y18" s="73">
        <f>+IFERROR(VLOOKUP($Y$16,Sheet1!F4:I4,3,0),0)</f>
        <v>0</v>
      </c>
      <c r="Z18" s="73">
        <f>+IFERROR(VLOOKUP($Z$16,Sheet1!F4:I4,3,0),0)</f>
        <v>0</v>
      </c>
      <c r="AA18" s="73">
        <f>+IFERROR(VLOOKUP($AA$16,Sheet1!F4:I4,3,0),0)</f>
        <v>0</v>
      </c>
      <c r="AB18" s="73">
        <f>+IFERROR(VLOOKUP($AB$16,Sheet1!F4:I4,3,0),0)</f>
        <v>0</v>
      </c>
      <c r="AC18" s="73">
        <f>+IFERROR(VLOOKUP($AC$16,Sheet1!F4:I4,3,0),0)</f>
        <v>0</v>
      </c>
      <c r="AD18" s="73">
        <f>+IFERROR(VLOOKUP($AD$16,Sheet1!F4:I4,3,0),0)</f>
        <v>0</v>
      </c>
      <c r="AE18" s="73">
        <f>+IFERROR(VLOOKUP($AE$16,Sheet1!F4:I4,3,0),0)</f>
        <v>0</v>
      </c>
      <c r="AF18" s="74">
        <f>+IFERROR(VLOOKUP($AF$16,Sheet1!R4:U4,3,0),0)</f>
        <v>0</v>
      </c>
      <c r="AG18" s="32">
        <f>+IFERROR(VLOOKUP($AG$16,Sheet1!R4:U4,3,0),0)</f>
        <v>0</v>
      </c>
      <c r="AH18" s="75">
        <f>+IFERROR(VLOOKUP($AH$16,Sheet1!V4:Y4,3,0),0)</f>
        <v>0</v>
      </c>
      <c r="AI18" s="33">
        <f>+IFERROR(VLOOKUP($AI$16,Sheet1!V4:Y4,3,0),0)</f>
        <v>0</v>
      </c>
      <c r="AJ18" s="33">
        <f>+IFERROR(VLOOKUP($AJ$16,Sheet1!V4:Y4,3,0),0)</f>
        <v>0</v>
      </c>
      <c r="AK18" s="33">
        <f>+IFERROR(VLOOKUP($AK$16,Sheet1!V4:Y4,3,0),0)</f>
        <v>0</v>
      </c>
      <c r="AL18" s="33">
        <f>+IFERROR(VLOOKUP($AL$16,Sheet1!V4:Y4,3,0),0)</f>
        <v>26</v>
      </c>
      <c r="AM18" s="33">
        <f>+IFERROR(VLOOKUP($AM$16,Sheet1!V4:Y4,3,0),0)</f>
        <v>0</v>
      </c>
      <c r="AN18" s="33">
        <f>+IFERROR(VLOOKUP($AN$16,Sheet1!V4:Y4,3,0),0)</f>
        <v>0</v>
      </c>
      <c r="AO18" s="33">
        <f>+IFERROR(VLOOKUP($AO$16,Sheet1!V4:Y4,3,0),0)</f>
        <v>0</v>
      </c>
      <c r="AP18" s="33">
        <f>+IFERROR(VLOOKUP($AP$16,Sheet1!V4:Y4,3,0),0)</f>
        <v>0</v>
      </c>
      <c r="AQ18" s="36">
        <f>+IFERROR(VLOOKUP($AQ$16,Sheet1!Z4:AB4,3,0),0)</f>
        <v>3</v>
      </c>
      <c r="AR18" s="37">
        <f>+IFERROR(VLOOKUP($AR$16,Sheet1!AD4:AG4,3,0),0)</f>
        <v>0</v>
      </c>
      <c r="AS18" s="37">
        <f>+IFERROR(VLOOKUP($AS$16,Sheet1!AD4:AG4,3,0),0)</f>
        <v>39</v>
      </c>
      <c r="AT18" s="37">
        <f>+IFERROR(VLOOKUP($AT$16,Sheet1!AD4:AG4,3,0),0)</f>
        <v>0</v>
      </c>
      <c r="AU18" s="37">
        <f>+IFERROR(VLOOKUP($AU$16,Sheet1!AD4:AG4,3,0),0)</f>
        <v>0</v>
      </c>
      <c r="AV18" s="37">
        <f>+IFERROR(VLOOKUP($AV$16,Sheet1!AD4:AG4,3,0),0)</f>
        <v>0</v>
      </c>
      <c r="AW18" s="37">
        <f>+IFERROR(VLOOKUP($AW$16,Sheet1!AD4:AG4,3,0),0)</f>
        <v>0</v>
      </c>
      <c r="AX18" s="37">
        <f>+IFERROR(VLOOKUP($AX$16,Sheet1!AD4:AG4,3,0),0)</f>
        <v>0</v>
      </c>
      <c r="AY18" s="37">
        <f>+IFERROR(VLOOKUP($AY$16,Sheet1!AD4:AG4,3,0),0)</f>
        <v>0</v>
      </c>
      <c r="AZ18" s="37">
        <f>+IFERROR(VLOOKUP($AZ$16,Sheet1!AD4:AG4,3,0),0)</f>
        <v>0</v>
      </c>
      <c r="BA18" s="36">
        <f>+IFERROR(VLOOKUP($BA$16,Sheet1!AH4:AK4,3,0),0)</f>
        <v>0</v>
      </c>
      <c r="BB18" s="36">
        <f>+IFERROR(VLOOKUP($BB$16,Sheet1!AH4:AK4,3,0),0)</f>
        <v>0</v>
      </c>
      <c r="BC18" s="36">
        <f>+IFERROR(VLOOKUP($BC$16,Sheet1!AH4:AK4,3,0),0)</f>
        <v>0</v>
      </c>
      <c r="BD18" s="36">
        <f>+IFERROR(VLOOKUP($BD$16,Sheet1!AH4:AK4,3,0),0)</f>
        <v>0</v>
      </c>
      <c r="BE18" s="36">
        <f>+IFERROR(VLOOKUP($BE$16,Sheet1!AH4:AK4,3,0),0)</f>
        <v>0</v>
      </c>
      <c r="BF18" s="36">
        <f>+IFERROR(VLOOKUP($BF$16,Sheet1!AH4:AK4,3,0),0)</f>
        <v>0</v>
      </c>
      <c r="BG18" s="36">
        <f>+IFERROR(VLOOKUP($BG$16,Sheet1!AH4:AK4,3,0),0)</f>
        <v>0</v>
      </c>
      <c r="BH18" s="36">
        <f>+IFERROR(VLOOKUP($BH$16,Sheet1!AH4:AK4,3,0),0)</f>
        <v>0</v>
      </c>
      <c r="BI18" s="36">
        <f>+IFERROR(VLOOKUP($BI$16,Sheet1!AH4:AK4,3,0),0)</f>
        <v>0</v>
      </c>
      <c r="BJ18" s="36">
        <f>+IFERROR(VLOOKUP($BJ$16,Sheet1!AH4:AK4,3,0),0)</f>
        <v>251</v>
      </c>
      <c r="BK18" s="36">
        <f>+IFERROR(VLOOKUP($BK$16,Sheet1!AH4:AK4,3,0),0)</f>
        <v>0</v>
      </c>
      <c r="BL18" s="9">
        <f>+IFERROR(VLOOKUP($BL$16,Sheet1!AL4:AO4,3,0),0)</f>
        <v>0</v>
      </c>
      <c r="BM18" s="9">
        <f>+IFERROR(VLOOKUP($BM$16,Sheet1!AL4:AO4,3,0),0)</f>
        <v>0</v>
      </c>
      <c r="BN18" s="9">
        <f>+IFERROR(VLOOKUP($BN$16,Sheet1!AL4:AO4,3,0),0)</f>
        <v>0</v>
      </c>
      <c r="BO18" s="9">
        <f>+IFERROR(VLOOKUP($BO$16,Sheet1!AL4:AO4,3,0),0)</f>
        <v>93</v>
      </c>
      <c r="BP18" s="9">
        <f>+IFERROR(VLOOKUP($BP$16,Sheet1!AL4:AO4,3,0),0)</f>
        <v>0</v>
      </c>
      <c r="BQ18" s="9">
        <f>+IFERROR(VLOOKUP($BQ$16,Sheet1!AL4:AO4,3,0),0)</f>
        <v>0</v>
      </c>
      <c r="BR18" s="9">
        <f>+IFERROR(VLOOKUP($BR$16,Sheet1!AL4:AO4,3,0),0)</f>
        <v>0</v>
      </c>
      <c r="BS18" s="9">
        <f>+IFERROR(VLOOKUP($BS$16,Sheet1!AL4:AO4,3,0),0)</f>
        <v>0</v>
      </c>
      <c r="BT18" s="9">
        <f>+IFERROR(VLOOKUP($BT$16,Sheet1!AL4:AO4,3,0),0)</f>
        <v>0</v>
      </c>
      <c r="BU18" s="9">
        <f>+IFERROR(VLOOKUP($BU$16,Sheet1!AL4:AO4,3,0),0)</f>
        <v>0</v>
      </c>
      <c r="BV18" s="9">
        <f>+IFERROR(VLOOKUP($BV$16,Sheet1!AL4:AO4,3,0),0)</f>
        <v>0</v>
      </c>
      <c r="BW18" s="9">
        <f>+IFERROR(VLOOKUP($BW$16,Sheet1!AL4:AO4,3,0),0)</f>
        <v>0</v>
      </c>
      <c r="BX18" s="40">
        <f>+IFERROR(VLOOKUP($BX$16,Sheet1!AP4:AS4,3,0),0)</f>
        <v>0</v>
      </c>
      <c r="BY18" s="43">
        <f>+IFERROR(VLOOKUP($BY$16,Sheet1!AT4:AW4,3,0),0)</f>
        <v>0</v>
      </c>
      <c r="BZ18" s="44">
        <f>+IFERROR(VLOOKUP($BZ$16,Sheet1!AX4:BA4,3,0),0)</f>
        <v>0</v>
      </c>
      <c r="CA18" s="46">
        <f>+IFERROR(VLOOKUP($CA$16,Sheet1!BB4:BE4,3,0),0)</f>
        <v>0</v>
      </c>
      <c r="CB18" s="48">
        <f>+IFERROR(VLOOKUP($CB$16,Sheet1!BF4:BI4,3,0),0)</f>
        <v>0</v>
      </c>
      <c r="CC18" s="49">
        <f>+IFERROR(VLOOKUP($CC$16,Sheet1!BJ4:BM4,3,0),0)</f>
        <v>0</v>
      </c>
      <c r="CD18" s="50">
        <f>+IFERROR(VLOOKUP($CD$16,Sheet1!BN4:BQ4,3,0),0)</f>
        <v>0</v>
      </c>
      <c r="CE18" s="38">
        <f>+IFERROR(VLOOKUP($CE$16,Sheet1!BR4:BU4,3,0),0)</f>
        <v>0</v>
      </c>
      <c r="CF18" s="44">
        <f>+IFERROR(VLOOKUP($CF$16,Sheet1!BV4:BY4,3,0),0)</f>
        <v>0</v>
      </c>
      <c r="CG18" s="67" t="str">
        <f>Sheet1!E4</f>
        <v>WOOD</v>
      </c>
      <c r="CH18" s="68" t="str">
        <f>Sheet1!CX4</f>
        <v>MD0100003</v>
      </c>
      <c r="CI18" s="68" t="str">
        <f>Sheet1!CY4</f>
        <v>DRUM - 28 X 14 X 23 X 2</v>
      </c>
      <c r="CJ18" s="68">
        <f>Sheet1!CZ4</f>
        <v>500</v>
      </c>
      <c r="CK18" s="23">
        <f>Sheet1!BZ4</f>
        <v>4260</v>
      </c>
      <c r="CL18" s="23">
        <f>SUMPRODUCT($N$17:$CF$17,N18:CF18)+CK18</f>
        <v>80052</v>
      </c>
      <c r="CM18" s="24">
        <f>Sheet1!CB4</f>
        <v>0</v>
      </c>
      <c r="CN18" s="23">
        <f>CL18*CM18</f>
        <v>0</v>
      </c>
      <c r="CO18" s="95">
        <v>7.0000000000000007E-2</v>
      </c>
      <c r="CP18" s="23">
        <f>CL18*CO18</f>
        <v>5603.64</v>
      </c>
      <c r="CQ18" s="95">
        <v>0</v>
      </c>
      <c r="CR18" s="23">
        <f>CL18*CQ18</f>
        <v>0</v>
      </c>
      <c r="CS18" s="23">
        <f>CL18+CN18+CP18+CR18</f>
        <v>85655.64</v>
      </c>
      <c r="CT18" s="95">
        <v>0.02</v>
      </c>
      <c r="CU18" s="6">
        <f>CS18*CT18</f>
        <v>1713.1128000000001</v>
      </c>
      <c r="CV18" s="95">
        <v>0.01</v>
      </c>
      <c r="CW18" s="6">
        <f>CS18*CV18</f>
        <v>856.55640000000005</v>
      </c>
      <c r="CX18" s="95">
        <f>Sheet1!CM4</f>
        <v>0</v>
      </c>
      <c r="CY18" s="6">
        <f>CX18*CS18</f>
        <v>0</v>
      </c>
    </row>
    <row r="19" spans="1:103" s="22" customFormat="1" ht="30" x14ac:dyDescent="0.25">
      <c r="A19" s="6" t="str">
        <f>Sheet1!A5</f>
        <v>ENQ-16531-25-26</v>
      </c>
      <c r="B19" s="87">
        <v>45839</v>
      </c>
      <c r="C19" s="6" t="str">
        <f>Sheet1!C5</f>
        <v>FA0200011</v>
      </c>
      <c r="D19" s="6" t="str">
        <f>Sheet1!D5</f>
        <v>4 CORE X 2.5 SQ. MM. CU/ARD - WIRE (PVC)</v>
      </c>
      <c r="E19" s="23">
        <f>CS19+CU19+CW19+CY19</f>
        <v>143036.0485</v>
      </c>
      <c r="F19" s="98">
        <f t="shared" ref="F19:F21" si="0">ROUNDUP(M35,0)</f>
        <v>3560</v>
      </c>
      <c r="G19" s="28">
        <f>E19+F19</f>
        <v>146596.0485</v>
      </c>
      <c r="H19" s="29">
        <f>Sheet1!CR5</f>
        <v>0.18</v>
      </c>
      <c r="I19" s="28">
        <f>G19*H19</f>
        <v>26387.28873</v>
      </c>
      <c r="J19" s="28">
        <f>G19+I19</f>
        <v>172983.33723</v>
      </c>
      <c r="K19" s="79">
        <f>Sheet1!CU5</f>
        <v>25</v>
      </c>
      <c r="L19" s="76" t="str">
        <f>Sheet1!CV5</f>
        <v>KMS</v>
      </c>
      <c r="M19" s="23">
        <f>J19*K19</f>
        <v>4324583.4307500003</v>
      </c>
      <c r="N19" s="71">
        <f>+IFERROR(VLOOKUP($N$16,Sheet1!J5:L5,3,0),0)</f>
        <v>0</v>
      </c>
      <c r="O19" s="71">
        <f>+IFERROR(VLOOKUP($O$16,Sheet1!J5:L5,3,0),0)</f>
        <v>0</v>
      </c>
      <c r="P19" s="71">
        <f>+IFERROR(VLOOKUP($P$16,Sheet1!J5:M5,3,0),0)</f>
        <v>89</v>
      </c>
      <c r="Q19" s="71">
        <f>+IFERROR(VLOOKUP($Q$16,Sheet1!J5:M5,3,0),0)</f>
        <v>0</v>
      </c>
      <c r="R19" s="71">
        <f>+IFERROR(VLOOKUP($R$16,Sheet1!J5:M5,3,0),0)</f>
        <v>0</v>
      </c>
      <c r="S19" s="71">
        <f>+IFERROR(VLOOKUP($S$16,Sheet1!J5:M5,3,0),0)</f>
        <v>0</v>
      </c>
      <c r="T19" s="71">
        <f>+IFERROR(VLOOKUP($T$16,Sheet1!J5:M5,3,0),0)</f>
        <v>0</v>
      </c>
      <c r="U19" s="71">
        <f>+IFERROR(VLOOKUP($U$16,Sheet1!J5:M5,3,0),0)</f>
        <v>0</v>
      </c>
      <c r="V19" s="72">
        <f>+IFERROR(VLOOKUP($V$16,Sheet1!N5:Q5,3,0),0)</f>
        <v>0</v>
      </c>
      <c r="W19" s="72">
        <f>+IFERROR(VLOOKUP($W$16,Sheet1!N5:Q5,3,0),0)</f>
        <v>0</v>
      </c>
      <c r="X19" s="73">
        <f>+IFERROR(VLOOKUP($X$16,Sheet1!F5:I5,3,0),0)</f>
        <v>0</v>
      </c>
      <c r="Y19" s="73">
        <f>+IFERROR(VLOOKUP($Y$16,Sheet1!F5:I5,3,0),0)</f>
        <v>0</v>
      </c>
      <c r="Z19" s="73">
        <f>+IFERROR(VLOOKUP($Z$16,Sheet1!F5:I5,3,0),0)</f>
        <v>0</v>
      </c>
      <c r="AA19" s="73">
        <f>+IFERROR(VLOOKUP($AA$16,Sheet1!F5:I5,3,0),0)</f>
        <v>0</v>
      </c>
      <c r="AB19" s="73">
        <f>+IFERROR(VLOOKUP($AB$16,Sheet1!F5:I5,3,0),0)</f>
        <v>0</v>
      </c>
      <c r="AC19" s="73">
        <f>+IFERROR(VLOOKUP($AC$16,Sheet1!F5:I5,3,0),0)</f>
        <v>0</v>
      </c>
      <c r="AD19" s="73">
        <f>+IFERROR(VLOOKUP($AD$16,Sheet1!F5:I5,3,0),0)</f>
        <v>0</v>
      </c>
      <c r="AE19" s="73">
        <f>+IFERROR(VLOOKUP($AE$16,Sheet1!F5:I5,3,0),0)</f>
        <v>0</v>
      </c>
      <c r="AF19" s="74">
        <f>+IFERROR(VLOOKUP($AF$16,Sheet1!R5:U5,3,0),0)</f>
        <v>0</v>
      </c>
      <c r="AG19" s="32">
        <f>+IFERROR(VLOOKUP($AG$16,Sheet1!R5:U5,3,0),0)</f>
        <v>0</v>
      </c>
      <c r="AH19" s="75">
        <f>+IFERROR(VLOOKUP($AH$16,Sheet1!V5:Y5,3,0),0)</f>
        <v>0</v>
      </c>
      <c r="AI19" s="33">
        <f>+IFERROR(VLOOKUP($AI$16,Sheet1!V5:Y5,3,0),0)</f>
        <v>0</v>
      </c>
      <c r="AJ19" s="33">
        <f>+IFERROR(VLOOKUP($AJ$16,Sheet1!V5:Y5,3,0),0)</f>
        <v>0</v>
      </c>
      <c r="AK19" s="33">
        <f>+IFERROR(VLOOKUP($AK$16,Sheet1!V5:Y5,3,0),0)</f>
        <v>0</v>
      </c>
      <c r="AL19" s="33">
        <f>+IFERROR(VLOOKUP($AL$16,Sheet1!V5:Y5,3,0),0)</f>
        <v>52</v>
      </c>
      <c r="AM19" s="33">
        <f>+IFERROR(VLOOKUP($AM$16,Sheet1!V5:Y5,3,0),0)</f>
        <v>0</v>
      </c>
      <c r="AN19" s="33">
        <f>+IFERROR(VLOOKUP($AN$16,Sheet1!V5:Y5,3,0),0)</f>
        <v>0</v>
      </c>
      <c r="AO19" s="33">
        <f>+IFERROR(VLOOKUP($AO$16,Sheet1!V5:Y5,3,0),0)</f>
        <v>0</v>
      </c>
      <c r="AP19" s="33">
        <f>+IFERROR(VLOOKUP($AP$16,Sheet1!V5:Y5,3,0),0)</f>
        <v>0</v>
      </c>
      <c r="AQ19" s="36">
        <f>+IFERROR(VLOOKUP($AQ$16,Sheet1!Z5:AB5,3,0),0)</f>
        <v>3</v>
      </c>
      <c r="AR19" s="37">
        <f>+IFERROR(VLOOKUP($AR$16,Sheet1!AD5:AG5,3,0),0)</f>
        <v>0</v>
      </c>
      <c r="AS19" s="37">
        <f>+IFERROR(VLOOKUP($AS$16,Sheet1!AD5:AG5,3,0),0)</f>
        <v>27</v>
      </c>
      <c r="AT19" s="37">
        <f>+IFERROR(VLOOKUP($AT$16,Sheet1!AD5:AG5,3,0),0)</f>
        <v>0</v>
      </c>
      <c r="AU19" s="37">
        <f>+IFERROR(VLOOKUP($AU$16,Sheet1!AD5:AG5,3,0),0)</f>
        <v>0</v>
      </c>
      <c r="AV19" s="37">
        <f>+IFERROR(VLOOKUP($AV$16,Sheet1!AD5:AG5,3,0),0)</f>
        <v>0</v>
      </c>
      <c r="AW19" s="37">
        <f>+IFERROR(VLOOKUP($AW$16,Sheet1!AD5:AG5,3,0),0)</f>
        <v>0</v>
      </c>
      <c r="AX19" s="37">
        <f>+IFERROR(VLOOKUP($AX$16,Sheet1!AD5:AG5,3,0),0)</f>
        <v>0</v>
      </c>
      <c r="AY19" s="37">
        <f>+IFERROR(VLOOKUP($AY$16,Sheet1!AD5:AG5,3,0),0)</f>
        <v>0</v>
      </c>
      <c r="AZ19" s="37">
        <f>+IFERROR(VLOOKUP($AZ$16,Sheet1!AD5:AG5,3,0),0)</f>
        <v>0</v>
      </c>
      <c r="BA19" s="36">
        <f>+IFERROR(VLOOKUP($BA$16,Sheet1!AH5:AK5,3,0),0)</f>
        <v>0</v>
      </c>
      <c r="BB19" s="36">
        <f>+IFERROR(VLOOKUP($BB$16,Sheet1!AH5:AK5,3,0),0)</f>
        <v>0</v>
      </c>
      <c r="BC19" s="36">
        <f>+IFERROR(VLOOKUP($BC$16,Sheet1!AH5:AK5,3,0),0)</f>
        <v>0</v>
      </c>
      <c r="BD19" s="36">
        <f>+IFERROR(VLOOKUP($BD$16,Sheet1!AH5:AK5,3,0),0)</f>
        <v>0</v>
      </c>
      <c r="BE19" s="36">
        <f>+IFERROR(VLOOKUP($BE$16,Sheet1!AH5:AK5,3,0),0)</f>
        <v>0</v>
      </c>
      <c r="BF19" s="36">
        <f>+IFERROR(VLOOKUP($BF$16,Sheet1!AH5:AK5,3,0),0)</f>
        <v>0</v>
      </c>
      <c r="BG19" s="36">
        <f>+IFERROR(VLOOKUP($BG$16,Sheet1!AH5:AK5,3,0),0)</f>
        <v>0</v>
      </c>
      <c r="BH19" s="36">
        <f>+IFERROR(VLOOKUP($BH$16,Sheet1!AH5:AK5,3,0),0)</f>
        <v>0</v>
      </c>
      <c r="BI19" s="36">
        <f>+IFERROR(VLOOKUP($BI$16,Sheet1!AH5:AK5,3,0),0)</f>
        <v>0</v>
      </c>
      <c r="BJ19" s="36">
        <f>+IFERROR(VLOOKUP($BJ$16,Sheet1!AH5:AK5,3,0),0)</f>
        <v>289</v>
      </c>
      <c r="BK19" s="36">
        <f>+IFERROR(VLOOKUP($BK$16,Sheet1!AH5:AK5,3,0),0)</f>
        <v>0</v>
      </c>
      <c r="BL19" s="9">
        <f>+IFERROR(VLOOKUP($BL$16,Sheet1!AL5:AO5,3,0),0)</f>
        <v>0</v>
      </c>
      <c r="BM19" s="9">
        <f>+IFERROR(VLOOKUP($BM$16,Sheet1!AL5:AO5,3,0),0)</f>
        <v>0</v>
      </c>
      <c r="BN19" s="9">
        <f>+IFERROR(VLOOKUP($BN$16,Sheet1!AL5:AO5,3,0),0)</f>
        <v>0</v>
      </c>
      <c r="BO19" s="9">
        <f>+IFERROR(VLOOKUP($BO$16,Sheet1!AL5:AO5,3,0),0)</f>
        <v>104</v>
      </c>
      <c r="BP19" s="9">
        <f>+IFERROR(VLOOKUP($BP$16,Sheet1!AL5:AO5,3,0),0)</f>
        <v>0</v>
      </c>
      <c r="BQ19" s="9">
        <f>+IFERROR(VLOOKUP($BQ$16,Sheet1!AL5:AO5,3,0),0)</f>
        <v>0</v>
      </c>
      <c r="BR19" s="9">
        <f>+IFERROR(VLOOKUP($BR$16,Sheet1!AL5:AO5,3,0),0)</f>
        <v>0</v>
      </c>
      <c r="BS19" s="9">
        <f>+IFERROR(VLOOKUP($BS$16,Sheet1!AL5:AO5,3,0),0)</f>
        <v>0</v>
      </c>
      <c r="BT19" s="9">
        <f>+IFERROR(VLOOKUP($BT$16,Sheet1!AL5:AO5,3,0),0)</f>
        <v>0</v>
      </c>
      <c r="BU19" s="9">
        <f>+IFERROR(VLOOKUP($BU$16,Sheet1!AL5:AO5,3,0),0)</f>
        <v>0</v>
      </c>
      <c r="BV19" s="9">
        <f>+IFERROR(VLOOKUP($BV$16,Sheet1!AL5:AO5,3,0),0)</f>
        <v>0</v>
      </c>
      <c r="BW19" s="9">
        <f>+IFERROR(VLOOKUP($BW$16,Sheet1!AL5:AO5,3,0),0)</f>
        <v>0</v>
      </c>
      <c r="BX19" s="40">
        <f>+IFERROR(VLOOKUP($BX$16,Sheet1!AP5:AS5,3,0),0)</f>
        <v>0</v>
      </c>
      <c r="BY19" s="43">
        <f>+IFERROR(VLOOKUP($BY$16,Sheet1!AT5:AW5,3,0),0)</f>
        <v>0</v>
      </c>
      <c r="BZ19" s="44">
        <f>+IFERROR(VLOOKUP($BZ$16,Sheet1!AX5:BA5,3,0),0)</f>
        <v>0</v>
      </c>
      <c r="CA19" s="46">
        <f>+IFERROR(VLOOKUP($CA$16,Sheet1!BB5:BE5,3,0),0)</f>
        <v>0</v>
      </c>
      <c r="CB19" s="48">
        <f>+IFERROR(VLOOKUP($CB$16,Sheet1!BF5:BI5,3,0),0)</f>
        <v>0</v>
      </c>
      <c r="CC19" s="49">
        <f>+IFERROR(VLOOKUP($CC$16,Sheet1!BJ5:BM5,3,0),0)</f>
        <v>0</v>
      </c>
      <c r="CD19" s="50">
        <f>+IFERROR(VLOOKUP($CD$16,Sheet1!BN5:BQ5,3,0),0)</f>
        <v>0</v>
      </c>
      <c r="CE19" s="38">
        <f>+IFERROR(VLOOKUP($CE$16,Sheet1!BR5:BU5,3,0),0)</f>
        <v>0</v>
      </c>
      <c r="CF19" s="44">
        <f>+IFERROR(VLOOKUP($CF$16,Sheet1!BV5:BY5,3,0),0)</f>
        <v>0</v>
      </c>
      <c r="CG19" s="67" t="str">
        <f>Sheet1!E5</f>
        <v>WOOD</v>
      </c>
      <c r="CH19" s="68" t="str">
        <f>Sheet1!CX5</f>
        <v>MD0100005</v>
      </c>
      <c r="CI19" s="68" t="str">
        <f>Sheet1!CY5</f>
        <v>DRUM - 36 X 14 X 23 X 2</v>
      </c>
      <c r="CJ19" s="68">
        <f>Sheet1!CZ5</f>
        <v>500</v>
      </c>
      <c r="CK19" s="23">
        <f>Sheet1!BZ5</f>
        <v>5170</v>
      </c>
      <c r="CL19" s="23">
        <f>SUMPRODUCT($N$17:$CF$17,N19:CF19)+CK19</f>
        <v>129785</v>
      </c>
      <c r="CM19" s="24">
        <f>Sheet1!CB5</f>
        <v>0</v>
      </c>
      <c r="CN19" s="23">
        <f>CL19*CM19</f>
        <v>0</v>
      </c>
      <c r="CO19" s="95">
        <v>7.0000000000000007E-2</v>
      </c>
      <c r="CP19" s="23">
        <f>CL19*CO19</f>
        <v>9084.9500000000007</v>
      </c>
      <c r="CQ19" s="95">
        <v>0</v>
      </c>
      <c r="CR19" s="23">
        <f>CL19*CQ19</f>
        <v>0</v>
      </c>
      <c r="CS19" s="23">
        <f>CL19+CN19+CP19+CR19</f>
        <v>138869.95000000001</v>
      </c>
      <c r="CT19" s="95">
        <v>0.02</v>
      </c>
      <c r="CU19" s="6">
        <f>CS19*CT19</f>
        <v>2777.3990000000003</v>
      </c>
      <c r="CV19" s="95">
        <v>0.01</v>
      </c>
      <c r="CW19" s="6">
        <f>CS19*CV19</f>
        <v>1388.6995000000002</v>
      </c>
      <c r="CX19" s="95">
        <f>Sheet1!CM5</f>
        <v>0</v>
      </c>
      <c r="CY19" s="6">
        <f>CX19*CS19</f>
        <v>0</v>
      </c>
    </row>
    <row r="20" spans="1:103" s="22" customFormat="1" ht="30" x14ac:dyDescent="0.25">
      <c r="A20" s="6" t="str">
        <f>Sheet1!A2</f>
        <v>ENQ-16531-25-26</v>
      </c>
      <c r="B20" s="87">
        <v>45839</v>
      </c>
      <c r="C20" s="6" t="str">
        <f>Sheet1!C2</f>
        <v>FA0200002</v>
      </c>
      <c r="D20" s="6" t="str">
        <f>Sheet1!D2</f>
        <v>10 CORE X 2.5 SQ. MM. CU/ARD - WIRE (PVC)</v>
      </c>
      <c r="E20" s="23">
        <f>CS20+CU20+CW20+CY20</f>
        <v>317419.12730000005</v>
      </c>
      <c r="F20" s="98">
        <f t="shared" si="0"/>
        <v>3815</v>
      </c>
      <c r="G20" s="28">
        <f>E20+F20</f>
        <v>321234.12730000005</v>
      </c>
      <c r="H20" s="29">
        <f>Sheet1!CR2</f>
        <v>0.18</v>
      </c>
      <c r="I20" s="28">
        <f>G20*H20</f>
        <v>57822.142914000004</v>
      </c>
      <c r="J20" s="28">
        <f>G20+I20</f>
        <v>379056.27021400008</v>
      </c>
      <c r="K20" s="79">
        <f>Sheet1!CU2</f>
        <v>35</v>
      </c>
      <c r="L20" s="76" t="str">
        <f>Sheet1!CV2</f>
        <v>KMS</v>
      </c>
      <c r="M20" s="23">
        <f>J20*K20</f>
        <v>13266969.457490003</v>
      </c>
      <c r="N20" s="71">
        <f>+IFERROR(VLOOKUP($N$16,Sheet1!J2:L2,3,0),0)</f>
        <v>0</v>
      </c>
      <c r="O20" s="71">
        <f>+IFERROR(VLOOKUP($O$16,Sheet1!J2:L2,3,0),0)</f>
        <v>0</v>
      </c>
      <c r="P20" s="71">
        <f>+IFERROR(VLOOKUP($P$16,Sheet1!J2:M2,3,0),0)</f>
        <v>222</v>
      </c>
      <c r="Q20" s="71">
        <f>+IFERROR(VLOOKUP($Q$16,Sheet1!J2:M2,3,0),0)</f>
        <v>0</v>
      </c>
      <c r="R20" s="71">
        <f>+IFERROR(VLOOKUP($R$16,Sheet1!J2:M2,3,0),0)</f>
        <v>0</v>
      </c>
      <c r="S20" s="71">
        <f>+IFERROR(VLOOKUP($S$16,Sheet1!J2:M2,3,0),0)</f>
        <v>0</v>
      </c>
      <c r="T20" s="71">
        <f>+IFERROR(VLOOKUP($T$16,Sheet1!J2:M2,3,0),0)</f>
        <v>0</v>
      </c>
      <c r="U20" s="71">
        <f>+IFERROR(VLOOKUP($U$16,Sheet1!J2:M2,3,0),0)</f>
        <v>0</v>
      </c>
      <c r="V20" s="72">
        <f>+IFERROR(VLOOKUP($V$16,Sheet1!N2:Q2,3,0),0)</f>
        <v>0</v>
      </c>
      <c r="W20" s="72">
        <f>+IFERROR(VLOOKUP($W$16,Sheet1!N2:Q2,3,0),0)</f>
        <v>0</v>
      </c>
      <c r="X20" s="73">
        <f>+IFERROR(VLOOKUP($X$16,Sheet1!F2:I2,3,0),0)</f>
        <v>0</v>
      </c>
      <c r="Y20" s="73">
        <f>+IFERROR(VLOOKUP($Y$16,Sheet1!F2:I2,3,0),0)</f>
        <v>0</v>
      </c>
      <c r="Z20" s="73">
        <f>+IFERROR(VLOOKUP($Z$16,Sheet1!F2:I2,3,0),0)</f>
        <v>0</v>
      </c>
      <c r="AA20" s="73">
        <f>+IFERROR(VLOOKUP($AA$16,Sheet1!F2:I2,3,0),0)</f>
        <v>0</v>
      </c>
      <c r="AB20" s="73">
        <f>+IFERROR(VLOOKUP($AB$16,Sheet1!F2:I2,3,0),0)</f>
        <v>0</v>
      </c>
      <c r="AC20" s="73">
        <f>+IFERROR(VLOOKUP($AC$16,Sheet1!F2:I2,3,0),0)</f>
        <v>0</v>
      </c>
      <c r="AD20" s="73">
        <f>+IFERROR(VLOOKUP($AD$16,Sheet1!F2:I2,3,0),0)</f>
        <v>0</v>
      </c>
      <c r="AE20" s="73">
        <f>+IFERROR(VLOOKUP($AE$16,Sheet1!F2:I2,3,0),0)</f>
        <v>0</v>
      </c>
      <c r="AF20" s="74">
        <f>+IFERROR(VLOOKUP($AF$16,Sheet1!R2:U2,3,0),0)</f>
        <v>0</v>
      </c>
      <c r="AG20" s="32">
        <f>+IFERROR(VLOOKUP($AG$16,Sheet1!R2:U2,3,0),0)</f>
        <v>0</v>
      </c>
      <c r="AH20" s="75">
        <f>+IFERROR(VLOOKUP($AH$16,Sheet1!V2:Y2,3,0),0)</f>
        <v>0</v>
      </c>
      <c r="AI20" s="33">
        <f>+IFERROR(VLOOKUP($AI$16,Sheet1!V2:Y2,3,0),0)</f>
        <v>0</v>
      </c>
      <c r="AJ20" s="33">
        <f>+IFERROR(VLOOKUP($AJ$16,Sheet1!V2:Y2,3,0),0)</f>
        <v>0</v>
      </c>
      <c r="AK20" s="33">
        <f>+IFERROR(VLOOKUP($AK$16,Sheet1!V2:Y2,3,0),0)</f>
        <v>0</v>
      </c>
      <c r="AL20" s="33">
        <f>+IFERROR(VLOOKUP($AL$16,Sheet1!V2:Y2,3,0),0)</f>
        <v>130</v>
      </c>
      <c r="AM20" s="33">
        <f>+IFERROR(VLOOKUP($AM$16,Sheet1!V2:Y2,3,0),0)</f>
        <v>0</v>
      </c>
      <c r="AN20" s="33">
        <f>+IFERROR(VLOOKUP($AN$16,Sheet1!V2:Y2,3,0),0)</f>
        <v>0</v>
      </c>
      <c r="AO20" s="33">
        <f>+IFERROR(VLOOKUP($AO$16,Sheet1!V2:Y2,3,0),0)</f>
        <v>0</v>
      </c>
      <c r="AP20" s="33">
        <f>+IFERROR(VLOOKUP($AP$16,Sheet1!V2:Y2,3,0),0)</f>
        <v>0</v>
      </c>
      <c r="AQ20" s="36">
        <f>+IFERROR(VLOOKUP($AQ$16,Sheet1!Z2:AB2,3,0),0)</f>
        <v>5</v>
      </c>
      <c r="AR20" s="37">
        <f>+IFERROR(VLOOKUP($AR$16,Sheet1!AD2:AG2,3,0),0)</f>
        <v>0</v>
      </c>
      <c r="AS20" s="37">
        <f>+IFERROR(VLOOKUP($AS$16,Sheet1!AD2:AG2,3,0),0)</f>
        <v>38</v>
      </c>
      <c r="AT20" s="37">
        <f>+IFERROR(VLOOKUP($AT$16,Sheet1!AD2:AG2,3,0),0)</f>
        <v>0</v>
      </c>
      <c r="AU20" s="37">
        <f>+IFERROR(VLOOKUP($AU$16,Sheet1!AD2:AG2,3,0),0)</f>
        <v>0</v>
      </c>
      <c r="AV20" s="37">
        <f>+IFERROR(VLOOKUP($AV$16,Sheet1!AD2:AG2,3,0),0)</f>
        <v>0</v>
      </c>
      <c r="AW20" s="37">
        <f>+IFERROR(VLOOKUP($AW$16,Sheet1!AD2:AG2,3,0),0)</f>
        <v>0</v>
      </c>
      <c r="AX20" s="37">
        <f>+IFERROR(VLOOKUP($AX$16,Sheet1!AD2:AG2,3,0),0)</f>
        <v>0</v>
      </c>
      <c r="AY20" s="37">
        <f>+IFERROR(VLOOKUP($AY$16,Sheet1!AD2:AG2,3,0),0)</f>
        <v>0</v>
      </c>
      <c r="AZ20" s="37">
        <f>+IFERROR(VLOOKUP($AZ$16,Sheet1!AD2:AG2,3,0),0)</f>
        <v>0</v>
      </c>
      <c r="BA20" s="36">
        <f>+IFERROR(VLOOKUP($BA$16,Sheet1!AH2:AK2,3,0),0)</f>
        <v>0</v>
      </c>
      <c r="BB20" s="36">
        <f>+IFERROR(VLOOKUP($BB$16,Sheet1!AH2:AK2,3,0),0)</f>
        <v>0</v>
      </c>
      <c r="BC20" s="36">
        <f>+IFERROR(VLOOKUP($BC$16,Sheet1!AH2:AK2,3,0),0)</f>
        <v>0</v>
      </c>
      <c r="BD20" s="36">
        <f>+IFERROR(VLOOKUP($BD$16,Sheet1!AH2:AK2,3,0),0)</f>
        <v>0</v>
      </c>
      <c r="BE20" s="36">
        <f>+IFERROR(VLOOKUP($BE$16,Sheet1!AH2:AK2,3,0),0)</f>
        <v>0</v>
      </c>
      <c r="BF20" s="36">
        <f>+IFERROR(VLOOKUP($BF$16,Sheet1!AH2:AK2,3,0),0)</f>
        <v>0</v>
      </c>
      <c r="BG20" s="36">
        <f>+IFERROR(VLOOKUP($BG$16,Sheet1!AH2:AK2,3,0),0)</f>
        <v>0</v>
      </c>
      <c r="BH20" s="36">
        <f>+IFERROR(VLOOKUP($BH$16,Sheet1!AH2:AK2,3,0),0)</f>
        <v>0</v>
      </c>
      <c r="BI20" s="36">
        <f>+IFERROR(VLOOKUP($BI$16,Sheet1!AH2:AK2,3,0),0)</f>
        <v>0</v>
      </c>
      <c r="BJ20" s="36">
        <f>+IFERROR(VLOOKUP($BJ$16,Sheet1!AH2:AK2,3,0),0)</f>
        <v>492</v>
      </c>
      <c r="BK20" s="36">
        <f>+IFERROR(VLOOKUP($BK$16,Sheet1!AH2:AK2,3,0),0)</f>
        <v>0</v>
      </c>
      <c r="BL20" s="9">
        <f>+IFERROR(VLOOKUP($BL$16,Sheet1!AL2:AO2,3,0),0)</f>
        <v>0</v>
      </c>
      <c r="BM20" s="9">
        <f>+IFERROR(VLOOKUP($BM$16,Sheet1!AL2:AO2,3,0),0)</f>
        <v>0</v>
      </c>
      <c r="BN20" s="9">
        <f>+IFERROR(VLOOKUP($BN$16,Sheet1!AL2:AO2,3,0),0)</f>
        <v>0</v>
      </c>
      <c r="BO20" s="9">
        <f>+IFERROR(VLOOKUP($BO$16,Sheet1!AL2:AO2,3,0),0)</f>
        <v>166</v>
      </c>
      <c r="BP20" s="9">
        <f>+IFERROR(VLOOKUP($BP$16,Sheet1!AL2:AO2,3,0),0)</f>
        <v>0</v>
      </c>
      <c r="BQ20" s="9">
        <f>+IFERROR(VLOOKUP($BQ$16,Sheet1!AL2:AO2,3,0),0)</f>
        <v>0</v>
      </c>
      <c r="BR20" s="9">
        <f>+IFERROR(VLOOKUP($BR$16,Sheet1!AL2:AO2,3,0),0)</f>
        <v>0</v>
      </c>
      <c r="BS20" s="9">
        <f>+IFERROR(VLOOKUP($BS$16,Sheet1!AL2:AO2,3,0),0)</f>
        <v>0</v>
      </c>
      <c r="BT20" s="9">
        <f>+IFERROR(VLOOKUP($BT$16,Sheet1!AL2:AO2,3,0),0)</f>
        <v>0</v>
      </c>
      <c r="BU20" s="9">
        <f>+IFERROR(VLOOKUP($BU$16,Sheet1!AL2:AO2,3,0),0)</f>
        <v>0</v>
      </c>
      <c r="BV20" s="9">
        <f>+IFERROR(VLOOKUP($BV$16,Sheet1!AL2:AO2,3,0),0)</f>
        <v>0</v>
      </c>
      <c r="BW20" s="9">
        <f>+IFERROR(VLOOKUP($BW$16,Sheet1!AL2:AO2,3,0),0)</f>
        <v>0</v>
      </c>
      <c r="BX20" s="40">
        <f>+IFERROR(VLOOKUP($BX$16,Sheet1!AP2:AS2,3,0),0)</f>
        <v>0</v>
      </c>
      <c r="BY20" s="43">
        <f>+IFERROR(VLOOKUP($BY$16,Sheet1!AT2:AW2,3,0),0)</f>
        <v>0</v>
      </c>
      <c r="BZ20" s="44">
        <f>+IFERROR(VLOOKUP($BZ$16,Sheet1!AX2:BA2,3,0),0)</f>
        <v>0</v>
      </c>
      <c r="CA20" s="46">
        <f>+IFERROR(VLOOKUP($CA$16,Sheet1!BB2:BE2,3,0),0)</f>
        <v>0</v>
      </c>
      <c r="CB20" s="48">
        <f>+IFERROR(VLOOKUP($CB$16,Sheet1!BF2:BI2,3,0),0)</f>
        <v>0</v>
      </c>
      <c r="CC20" s="49">
        <f>+IFERROR(VLOOKUP($CC$16,Sheet1!BJ2:BM2,3,0),0)</f>
        <v>0</v>
      </c>
      <c r="CD20" s="50">
        <f>+IFERROR(VLOOKUP($CD$16,Sheet1!BN2:BQ2,3,0),0)</f>
        <v>0</v>
      </c>
      <c r="CE20" s="38">
        <f>+IFERROR(VLOOKUP($CE$16,Sheet1!BR2:BU2,3,0),0)</f>
        <v>0</v>
      </c>
      <c r="CF20" s="44">
        <f>+IFERROR(VLOOKUP($CF$16,Sheet1!BV2:BY2,3,0),0)</f>
        <v>0</v>
      </c>
      <c r="CG20" s="67" t="str">
        <f>Sheet1!E2</f>
        <v>WOOD</v>
      </c>
      <c r="CH20" s="68" t="str">
        <f>Sheet1!CX2</f>
        <v>MD0100066</v>
      </c>
      <c r="CI20" s="68" t="str">
        <f>Sheet1!CY2</f>
        <v>DRUM - 40 X 15 X 23 X 2</v>
      </c>
      <c r="CJ20" s="68">
        <f>Sheet1!CZ2</f>
        <v>500</v>
      </c>
      <c r="CK20" s="23">
        <f>Sheet1!BZ2</f>
        <v>5448</v>
      </c>
      <c r="CL20" s="23">
        <f>SUMPRODUCT($N$17:$CF$17,N20:CF20)+CK20</f>
        <v>288013</v>
      </c>
      <c r="CM20" s="24">
        <f>Sheet1!CB2</f>
        <v>0</v>
      </c>
      <c r="CN20" s="23">
        <f>CL20*CM20</f>
        <v>0</v>
      </c>
      <c r="CO20" s="95">
        <v>7.0000000000000007E-2</v>
      </c>
      <c r="CP20" s="23">
        <f>CL20*CO20</f>
        <v>20160.910000000003</v>
      </c>
      <c r="CQ20" s="95">
        <v>0</v>
      </c>
      <c r="CR20" s="23">
        <f>CL20*CQ20</f>
        <v>0</v>
      </c>
      <c r="CS20" s="23">
        <f>CL20+CN20+CP20+CR20</f>
        <v>308173.91000000003</v>
      </c>
      <c r="CT20" s="95">
        <v>0.02</v>
      </c>
      <c r="CU20" s="6">
        <f>CS20*CT20</f>
        <v>6163.4782000000005</v>
      </c>
      <c r="CV20" s="95">
        <v>0.01</v>
      </c>
      <c r="CW20" s="6">
        <f>CS20*CV20</f>
        <v>3081.7391000000002</v>
      </c>
      <c r="CX20" s="95">
        <f>Sheet1!CM2</f>
        <v>0</v>
      </c>
      <c r="CY20" s="6">
        <f>CX20*CS20</f>
        <v>0</v>
      </c>
    </row>
    <row r="21" spans="1:103" s="22" customFormat="1" ht="30" x14ac:dyDescent="0.25">
      <c r="A21" s="6" t="str">
        <f>Sheet1!A3</f>
        <v>ENQ-16531-25-26</v>
      </c>
      <c r="B21" s="87">
        <v>45839</v>
      </c>
      <c r="C21" s="6" t="str">
        <f>Sheet1!C3</f>
        <v>FA0200003</v>
      </c>
      <c r="D21" s="6" t="str">
        <f>Sheet1!D3</f>
        <v>12 CORE X 2.5 SQ. MM. CU/ARD - WIRE (PVC)</v>
      </c>
      <c r="E21" s="23">
        <f>CS21+CU21+CW21+CY21</f>
        <v>368996.3052</v>
      </c>
      <c r="F21" s="98">
        <f t="shared" si="0"/>
        <v>5086</v>
      </c>
      <c r="G21" s="28">
        <f>E21+F21</f>
        <v>374082.3052</v>
      </c>
      <c r="H21" s="29">
        <f>Sheet1!CR3</f>
        <v>0.18</v>
      </c>
      <c r="I21" s="28">
        <f>G21*H21</f>
        <v>67334.814935999995</v>
      </c>
      <c r="J21" s="28">
        <f>G21+I21</f>
        <v>441417.12013599998</v>
      </c>
      <c r="K21" s="79">
        <f>Sheet1!CU3</f>
        <v>35</v>
      </c>
      <c r="L21" s="76" t="str">
        <f>Sheet1!CV3</f>
        <v>KMS</v>
      </c>
      <c r="M21" s="23">
        <f>J21*K21</f>
        <v>15449599.20476</v>
      </c>
      <c r="N21" s="71">
        <f>+IFERROR(VLOOKUP($N$16,Sheet1!J3:L3,3,0),0)</f>
        <v>0</v>
      </c>
      <c r="O21" s="71">
        <f>+IFERROR(VLOOKUP($O$16,Sheet1!J3:L3,3,0),0)</f>
        <v>0</v>
      </c>
      <c r="P21" s="71">
        <f>+IFERROR(VLOOKUP($P$16,Sheet1!J3:M3,3,0),0)</f>
        <v>266</v>
      </c>
      <c r="Q21" s="71">
        <f>+IFERROR(VLOOKUP($Q$16,Sheet1!J3:M3,3,0),0)</f>
        <v>0</v>
      </c>
      <c r="R21" s="71">
        <f>+IFERROR(VLOOKUP($R$16,Sheet1!J3:M3,3,0),0)</f>
        <v>0</v>
      </c>
      <c r="S21" s="71">
        <f>+IFERROR(VLOOKUP($S$16,Sheet1!J3:M3,3,0),0)</f>
        <v>0</v>
      </c>
      <c r="T21" s="71">
        <f>+IFERROR(VLOOKUP($T$16,Sheet1!J3:M3,3,0),0)</f>
        <v>0</v>
      </c>
      <c r="U21" s="71">
        <f>+IFERROR(VLOOKUP($U$16,Sheet1!J3:M3,3,0),0)</f>
        <v>0</v>
      </c>
      <c r="V21" s="72">
        <f>+IFERROR(VLOOKUP($V$16,Sheet1!N3:Q3,3,0),0)</f>
        <v>0</v>
      </c>
      <c r="W21" s="72">
        <f>+IFERROR(VLOOKUP($W$16,Sheet1!N3:Q3,3,0),0)</f>
        <v>0</v>
      </c>
      <c r="X21" s="73">
        <f>+IFERROR(VLOOKUP($X$16,Sheet1!F3:I3,3,0),0)</f>
        <v>0</v>
      </c>
      <c r="Y21" s="73">
        <f>+IFERROR(VLOOKUP($Y$16,Sheet1!F3:I3,3,0),0)</f>
        <v>0</v>
      </c>
      <c r="Z21" s="73">
        <f>+IFERROR(VLOOKUP($Z$16,Sheet1!F3:I3,3,0),0)</f>
        <v>0</v>
      </c>
      <c r="AA21" s="73">
        <f>+IFERROR(VLOOKUP($AA$16,Sheet1!F3:I3,3,0),0)</f>
        <v>0</v>
      </c>
      <c r="AB21" s="73">
        <f>+IFERROR(VLOOKUP($AB$16,Sheet1!F3:I3,3,0),0)</f>
        <v>0</v>
      </c>
      <c r="AC21" s="73">
        <f>+IFERROR(VLOOKUP($AC$16,Sheet1!F3:I3,3,0),0)</f>
        <v>0</v>
      </c>
      <c r="AD21" s="73">
        <f>+IFERROR(VLOOKUP($AD$16,Sheet1!F3:I3,3,0),0)</f>
        <v>0</v>
      </c>
      <c r="AE21" s="73">
        <f>+IFERROR(VLOOKUP($AE$16,Sheet1!F3:I3,3,0),0)</f>
        <v>0</v>
      </c>
      <c r="AF21" s="74">
        <f>+IFERROR(VLOOKUP($AF$16,Sheet1!R3:U3,3,0),0)</f>
        <v>0</v>
      </c>
      <c r="AG21" s="32">
        <f>+IFERROR(VLOOKUP($AG$16,Sheet1!R3:U3,3,0),0)</f>
        <v>0</v>
      </c>
      <c r="AH21" s="75">
        <f>+IFERROR(VLOOKUP($AH$16,Sheet1!V3:Y3,3,0),0)</f>
        <v>0</v>
      </c>
      <c r="AI21" s="33">
        <f>+IFERROR(VLOOKUP($AI$16,Sheet1!V3:Y3,3,0),0)</f>
        <v>0</v>
      </c>
      <c r="AJ21" s="33">
        <f>+IFERROR(VLOOKUP($AJ$16,Sheet1!V3:Y3,3,0),0)</f>
        <v>0</v>
      </c>
      <c r="AK21" s="33">
        <f>+IFERROR(VLOOKUP($AK$16,Sheet1!V3:Y3,3,0),0)</f>
        <v>0</v>
      </c>
      <c r="AL21" s="33">
        <f>+IFERROR(VLOOKUP($AL$16,Sheet1!V3:Y3,3,0),0)</f>
        <v>156</v>
      </c>
      <c r="AM21" s="33">
        <f>+IFERROR(VLOOKUP($AM$16,Sheet1!V3:Y3,3,0),0)</f>
        <v>0</v>
      </c>
      <c r="AN21" s="33">
        <f>+IFERROR(VLOOKUP($AN$16,Sheet1!V3:Y3,3,0),0)</f>
        <v>0</v>
      </c>
      <c r="AO21" s="33">
        <f>+IFERROR(VLOOKUP($AO$16,Sheet1!V3:Y3,3,0),0)</f>
        <v>0</v>
      </c>
      <c r="AP21" s="33">
        <f>+IFERROR(VLOOKUP($AP$16,Sheet1!V3:Y3,3,0),0)</f>
        <v>0</v>
      </c>
      <c r="AQ21" s="36">
        <f>+IFERROR(VLOOKUP($AQ$16,Sheet1!Z3:AB3,3,0),0)</f>
        <v>6</v>
      </c>
      <c r="AR21" s="37">
        <f>+IFERROR(VLOOKUP($AR$16,Sheet1!AD3:AG3,3,0),0)</f>
        <v>0</v>
      </c>
      <c r="AS21" s="37">
        <f>+IFERROR(VLOOKUP($AS$16,Sheet1!AD3:AG3,3,0),0)</f>
        <v>40</v>
      </c>
      <c r="AT21" s="37">
        <f>+IFERROR(VLOOKUP($AT$16,Sheet1!AD3:AG3,3,0),0)</f>
        <v>0</v>
      </c>
      <c r="AU21" s="37">
        <f>+IFERROR(VLOOKUP($AU$16,Sheet1!AD3:AG3,3,0),0)</f>
        <v>0</v>
      </c>
      <c r="AV21" s="37">
        <f>+IFERROR(VLOOKUP($AV$16,Sheet1!AD3:AG3,3,0),0)</f>
        <v>0</v>
      </c>
      <c r="AW21" s="37">
        <f>+IFERROR(VLOOKUP($AW$16,Sheet1!AD3:AG3,3,0),0)</f>
        <v>0</v>
      </c>
      <c r="AX21" s="37">
        <f>+IFERROR(VLOOKUP($AX$16,Sheet1!AD3:AG3,3,0),0)</f>
        <v>0</v>
      </c>
      <c r="AY21" s="37">
        <f>+IFERROR(VLOOKUP($AY$16,Sheet1!AD3:AG3,3,0),0)</f>
        <v>0</v>
      </c>
      <c r="AZ21" s="37">
        <f>+IFERROR(VLOOKUP($AZ$16,Sheet1!AD3:AG3,3,0),0)</f>
        <v>0</v>
      </c>
      <c r="BA21" s="36">
        <f>+IFERROR(VLOOKUP($BA$16,Sheet1!AH3:AK3,3,0),0)</f>
        <v>0</v>
      </c>
      <c r="BB21" s="36">
        <f>+IFERROR(VLOOKUP($BB$16,Sheet1!AH3:AK3,3,0),0)</f>
        <v>0</v>
      </c>
      <c r="BC21" s="36">
        <f>+IFERROR(VLOOKUP($BC$16,Sheet1!AH3:AK3,3,0),0)</f>
        <v>0</v>
      </c>
      <c r="BD21" s="36">
        <f>+IFERROR(VLOOKUP($BD$16,Sheet1!AH3:AK3,3,0),0)</f>
        <v>0</v>
      </c>
      <c r="BE21" s="36">
        <f>+IFERROR(VLOOKUP($BE$16,Sheet1!AH3:AK3,3,0),0)</f>
        <v>0</v>
      </c>
      <c r="BF21" s="36">
        <f>+IFERROR(VLOOKUP($BF$16,Sheet1!AH3:AK3,3,0),0)</f>
        <v>0</v>
      </c>
      <c r="BG21" s="36">
        <f>+IFERROR(VLOOKUP($BG$16,Sheet1!AH3:AK3,3,0),0)</f>
        <v>0</v>
      </c>
      <c r="BH21" s="36">
        <f>+IFERROR(VLOOKUP($BH$16,Sheet1!AH3:AK3,3,0),0)</f>
        <v>0</v>
      </c>
      <c r="BI21" s="36">
        <f>+IFERROR(VLOOKUP($BI$16,Sheet1!AH3:AK3,3,0),0)</f>
        <v>0</v>
      </c>
      <c r="BJ21" s="36">
        <f>+IFERROR(VLOOKUP($BJ$16,Sheet1!AH3:AK3,3,0),0)</f>
        <v>508</v>
      </c>
      <c r="BK21" s="36">
        <f>+IFERROR(VLOOKUP($BK$16,Sheet1!AH3:AK3,3,0),0)</f>
        <v>0</v>
      </c>
      <c r="BL21" s="9">
        <f>+IFERROR(VLOOKUP($BL$16,Sheet1!AL3:AO3,3,0),0)</f>
        <v>0</v>
      </c>
      <c r="BM21" s="9">
        <f>+IFERROR(VLOOKUP($BM$16,Sheet1!AL3:AO3,3,0),0)</f>
        <v>0</v>
      </c>
      <c r="BN21" s="9">
        <f>+IFERROR(VLOOKUP($BN$16,Sheet1!AL3:AO3,3,0),0)</f>
        <v>0</v>
      </c>
      <c r="BO21" s="9">
        <f>+IFERROR(VLOOKUP($BO$16,Sheet1!AL3:AO3,3,0),0)</f>
        <v>170</v>
      </c>
      <c r="BP21" s="9">
        <f>+IFERROR(VLOOKUP($BP$16,Sheet1!AL3:AO3,3,0),0)</f>
        <v>0</v>
      </c>
      <c r="BQ21" s="9">
        <f>+IFERROR(VLOOKUP($BQ$16,Sheet1!AL3:AO3,3,0),0)</f>
        <v>0</v>
      </c>
      <c r="BR21" s="9">
        <f>+IFERROR(VLOOKUP($BR$16,Sheet1!AL3:AO3,3,0),0)</f>
        <v>0</v>
      </c>
      <c r="BS21" s="9">
        <f>+IFERROR(VLOOKUP($BS$16,Sheet1!AL3:AO3,3,0),0)</f>
        <v>0</v>
      </c>
      <c r="BT21" s="9">
        <f>+IFERROR(VLOOKUP($BT$16,Sheet1!AL3:AO3,3,0),0)</f>
        <v>0</v>
      </c>
      <c r="BU21" s="9">
        <f>+IFERROR(VLOOKUP($BU$16,Sheet1!AL3:AO3,3,0),0)</f>
        <v>0</v>
      </c>
      <c r="BV21" s="9">
        <f>+IFERROR(VLOOKUP($BV$16,Sheet1!AL3:AO3,3,0),0)</f>
        <v>0</v>
      </c>
      <c r="BW21" s="9">
        <f>+IFERROR(VLOOKUP($BW$16,Sheet1!AL3:AO3,3,0),0)</f>
        <v>0</v>
      </c>
      <c r="BX21" s="40">
        <f>+IFERROR(VLOOKUP($BX$16,Sheet1!AP3:AS3,3,0),0)</f>
        <v>0</v>
      </c>
      <c r="BY21" s="43">
        <f>+IFERROR(VLOOKUP($BY$16,Sheet1!AT3:AW3,3,0),0)</f>
        <v>0</v>
      </c>
      <c r="BZ21" s="44">
        <f>+IFERROR(VLOOKUP($BZ$16,Sheet1!AX3:BA3,3,0),0)</f>
        <v>0</v>
      </c>
      <c r="CA21" s="46">
        <f>+IFERROR(VLOOKUP($CA$16,Sheet1!BB3:BE3,3,0),0)</f>
        <v>0</v>
      </c>
      <c r="CB21" s="48">
        <f>+IFERROR(VLOOKUP($CB$16,Sheet1!BF3:BI3,3,0),0)</f>
        <v>0</v>
      </c>
      <c r="CC21" s="49">
        <f>+IFERROR(VLOOKUP($CC$16,Sheet1!BJ3:BM3,3,0),0)</f>
        <v>0</v>
      </c>
      <c r="CD21" s="50">
        <f>+IFERROR(VLOOKUP($CD$16,Sheet1!BN3:BQ3,3,0),0)</f>
        <v>0</v>
      </c>
      <c r="CE21" s="38">
        <f>+IFERROR(VLOOKUP($CE$16,Sheet1!BR3:BU3,3,0),0)</f>
        <v>0</v>
      </c>
      <c r="CF21" s="44">
        <f>+IFERROR(VLOOKUP($CF$16,Sheet1!BV3:BY3,3,0),0)</f>
        <v>0</v>
      </c>
      <c r="CG21" s="67" t="str">
        <f>Sheet1!E3</f>
        <v>WOOD</v>
      </c>
      <c r="CH21" s="68" t="str">
        <f>Sheet1!CX3</f>
        <v>MD0100066</v>
      </c>
      <c r="CI21" s="68" t="str">
        <f>Sheet1!CY3</f>
        <v>DRUM - 40 X 15 X 23 X 2</v>
      </c>
      <c r="CJ21" s="68">
        <f>Sheet1!CZ3</f>
        <v>500</v>
      </c>
      <c r="CK21" s="23">
        <f>Sheet1!BZ3</f>
        <v>5448</v>
      </c>
      <c r="CL21" s="23">
        <f>SUMPRODUCT($N$17:$CF$17,N21:CF21)+CK21</f>
        <v>334812</v>
      </c>
      <c r="CM21" s="24">
        <f>Sheet1!CB3</f>
        <v>0</v>
      </c>
      <c r="CN21" s="23">
        <f>CL21*CM21</f>
        <v>0</v>
      </c>
      <c r="CO21" s="95">
        <v>7.0000000000000007E-2</v>
      </c>
      <c r="CP21" s="23">
        <f>CL21*CO21</f>
        <v>23436.840000000004</v>
      </c>
      <c r="CQ21" s="95">
        <v>0</v>
      </c>
      <c r="CR21" s="23">
        <f>CL21*CQ21</f>
        <v>0</v>
      </c>
      <c r="CS21" s="23">
        <f>CL21+CN21+CP21+CR21</f>
        <v>358248.84</v>
      </c>
      <c r="CT21" s="95">
        <v>0.02</v>
      </c>
      <c r="CU21" s="6">
        <f>CS21*CT21</f>
        <v>7164.9768000000004</v>
      </c>
      <c r="CV21" s="95">
        <v>0.01</v>
      </c>
      <c r="CW21" s="6">
        <f>CS21*CV21</f>
        <v>3582.4884000000002</v>
      </c>
      <c r="CX21" s="95">
        <f>Sheet1!CM3</f>
        <v>0</v>
      </c>
      <c r="CY21" s="6">
        <f>CX21*CS21</f>
        <v>0</v>
      </c>
    </row>
    <row r="22" spans="1:103" s="22" customFormat="1" hidden="1" x14ac:dyDescent="0.25">
      <c r="A22" s="6">
        <f>Sheet1!A6</f>
        <v>0</v>
      </c>
      <c r="B22" s="87">
        <f>Sheet1!B6</f>
        <v>0</v>
      </c>
      <c r="C22" s="6">
        <f>Sheet1!C6</f>
        <v>0</v>
      </c>
      <c r="D22" s="6">
        <f>Sheet1!D6</f>
        <v>0</v>
      </c>
      <c r="E22" s="23">
        <f t="shared" ref="E22:E29" si="1">CS22+CU22+CW22+CY22</f>
        <v>0</v>
      </c>
      <c r="F22" s="98">
        <f>Sheet1!CP6</f>
        <v>0</v>
      </c>
      <c r="G22" s="28">
        <f t="shared" ref="G22:G29" si="2">E22+F22</f>
        <v>0</v>
      </c>
      <c r="H22" s="29">
        <f>Sheet1!CR6</f>
        <v>0</v>
      </c>
      <c r="I22" s="28">
        <f t="shared" ref="I22:I29" si="3">G22*H22</f>
        <v>0</v>
      </c>
      <c r="J22" s="28">
        <f t="shared" ref="J22:J29" si="4">G22+I22</f>
        <v>0</v>
      </c>
      <c r="K22" s="79">
        <f>Sheet1!CU6</f>
        <v>0</v>
      </c>
      <c r="L22" s="76">
        <f>Sheet1!CV6</f>
        <v>0</v>
      </c>
      <c r="M22" s="23">
        <f t="shared" ref="M22:M29" si="5">J22*K22</f>
        <v>0</v>
      </c>
      <c r="N22" s="71">
        <f>+IFERROR(VLOOKUP($N$16,Sheet1!J6:L6,3,0),0)</f>
        <v>0</v>
      </c>
      <c r="O22" s="71">
        <f>+IFERROR(VLOOKUP($O$16,Sheet1!J6:L6,3,0),0)</f>
        <v>0</v>
      </c>
      <c r="P22" s="71">
        <f>+IFERROR(VLOOKUP($P$16,Sheet1!J6:M6,3,0),0)</f>
        <v>0</v>
      </c>
      <c r="Q22" s="71">
        <f>+IFERROR(VLOOKUP($Q$16,Sheet1!J6:M6,3,0),0)</f>
        <v>0</v>
      </c>
      <c r="R22" s="71">
        <f>+IFERROR(VLOOKUP($R$16,Sheet1!J6:M6,3,0),0)</f>
        <v>0</v>
      </c>
      <c r="S22" s="71">
        <f>+IFERROR(VLOOKUP($S$16,Sheet1!J6:M6,3,0),0)</f>
        <v>0</v>
      </c>
      <c r="T22" s="71">
        <f>+IFERROR(VLOOKUP($T$16,Sheet1!J6:M6,3,0),0)</f>
        <v>0</v>
      </c>
      <c r="U22" s="71">
        <f>+IFERROR(VLOOKUP($U$16,Sheet1!J6:M6,3,0),0)</f>
        <v>0</v>
      </c>
      <c r="V22" s="72">
        <f>+IFERROR(VLOOKUP($V$16,Sheet1!N6:Q6,3,0),0)</f>
        <v>0</v>
      </c>
      <c r="W22" s="72">
        <f>+IFERROR(VLOOKUP($W$16,Sheet1!N6:Q6,3,0),0)</f>
        <v>0</v>
      </c>
      <c r="X22" s="73">
        <f>+IFERROR(VLOOKUP($X$16,Sheet1!F6:I6,3,0),0)</f>
        <v>0</v>
      </c>
      <c r="Y22" s="73">
        <f>+IFERROR(VLOOKUP($Y$16,Sheet1!F6:I6,3,0),0)</f>
        <v>0</v>
      </c>
      <c r="Z22" s="73">
        <f>+IFERROR(VLOOKUP($Z$16,Sheet1!F6:I6,3,0),0)</f>
        <v>0</v>
      </c>
      <c r="AA22" s="73">
        <f>+IFERROR(VLOOKUP($AA$16,Sheet1!F6:I6,3,0),0)</f>
        <v>0</v>
      </c>
      <c r="AB22" s="73">
        <f>+IFERROR(VLOOKUP($AB$16,Sheet1!F6:I6,3,0),0)</f>
        <v>0</v>
      </c>
      <c r="AC22" s="73">
        <f>+IFERROR(VLOOKUP($AC$16,Sheet1!F6:I6,3,0),0)</f>
        <v>0</v>
      </c>
      <c r="AD22" s="73">
        <f>+IFERROR(VLOOKUP($AD$16,Sheet1!F6:I6,3,0),0)</f>
        <v>0</v>
      </c>
      <c r="AE22" s="73">
        <f>+IFERROR(VLOOKUP($AE$16,Sheet1!F6:I6,3,0),0)</f>
        <v>0</v>
      </c>
      <c r="AF22" s="74">
        <f>+IFERROR(VLOOKUP($AF$16,Sheet1!R6:U6,3,0),0)</f>
        <v>0</v>
      </c>
      <c r="AG22" s="32">
        <f>+IFERROR(VLOOKUP($AG$16,Sheet1!R6:U6,3,0),0)</f>
        <v>0</v>
      </c>
      <c r="AH22" s="75">
        <f>+IFERROR(VLOOKUP($AH$16,Sheet1!V6:Y6,3,0),0)</f>
        <v>0</v>
      </c>
      <c r="AI22" s="33">
        <f>+IFERROR(VLOOKUP($AI$16,Sheet1!V6:Y6,3,0),0)</f>
        <v>0</v>
      </c>
      <c r="AJ22" s="33">
        <f>+IFERROR(VLOOKUP($AJ$16,Sheet1!V6:Y6,3,0),0)</f>
        <v>0</v>
      </c>
      <c r="AK22" s="33">
        <f>+IFERROR(VLOOKUP($AK$16,Sheet1!V6:Y6,3,0),0)</f>
        <v>0</v>
      </c>
      <c r="AL22" s="33">
        <f>+IFERROR(VLOOKUP($AL$16,Sheet1!V6:Y6,3,0),0)</f>
        <v>0</v>
      </c>
      <c r="AM22" s="33">
        <f>+IFERROR(VLOOKUP($AM$16,Sheet1!V6:Y6,3,0),0)</f>
        <v>0</v>
      </c>
      <c r="AN22" s="33">
        <f>+IFERROR(VLOOKUP($AN$16,Sheet1!V6:Y6,3,0),0)</f>
        <v>0</v>
      </c>
      <c r="AO22" s="33">
        <f>+IFERROR(VLOOKUP($AO$16,Sheet1!V6:Y6,3,0),0)</f>
        <v>0</v>
      </c>
      <c r="AP22" s="33">
        <f>+IFERROR(VLOOKUP($AP$16,Sheet1!V6:Y6,3,0),0)</f>
        <v>0</v>
      </c>
      <c r="AQ22" s="36">
        <f>+IFERROR(VLOOKUP($AQ$16,Sheet1!Z6:AB6,3,0),0)</f>
        <v>0</v>
      </c>
      <c r="AR22" s="37">
        <f>+IFERROR(VLOOKUP($AR$16,Sheet1!AD6:AG6,3,0),0)</f>
        <v>0</v>
      </c>
      <c r="AS22" s="37">
        <f>+IFERROR(VLOOKUP($AS$16,Sheet1!AD6:AG6,3,0),0)</f>
        <v>0</v>
      </c>
      <c r="AT22" s="37">
        <f>+IFERROR(VLOOKUP($AT$16,Sheet1!AD6:AG6,3,0),0)</f>
        <v>0</v>
      </c>
      <c r="AU22" s="37">
        <f>+IFERROR(VLOOKUP($AU$16,Sheet1!AD6:AG6,3,0),0)</f>
        <v>0</v>
      </c>
      <c r="AV22" s="37">
        <f>+IFERROR(VLOOKUP($AV$16,Sheet1!AD6:AG6,3,0),0)</f>
        <v>0</v>
      </c>
      <c r="AW22" s="37">
        <f>+IFERROR(VLOOKUP($AW$16,Sheet1!AD6:AG6,3,0),0)</f>
        <v>0</v>
      </c>
      <c r="AX22" s="37">
        <f>+IFERROR(VLOOKUP($AX$16,Sheet1!AD6:AG6,3,0),0)</f>
        <v>0</v>
      </c>
      <c r="AY22" s="37">
        <f>+IFERROR(VLOOKUP($AY$16,Sheet1!AD6:AG6,3,0),0)</f>
        <v>0</v>
      </c>
      <c r="AZ22" s="37">
        <f>+IFERROR(VLOOKUP($AZ$16,Sheet1!AD6:AG6,3,0),0)</f>
        <v>0</v>
      </c>
      <c r="BA22" s="36">
        <f>+IFERROR(VLOOKUP($BA$16,Sheet1!AH6:AK6,3,0),0)</f>
        <v>0</v>
      </c>
      <c r="BB22" s="36">
        <f>+IFERROR(VLOOKUP($BB$16,Sheet1!AH6:AK6,3,0),0)</f>
        <v>0</v>
      </c>
      <c r="BC22" s="36">
        <f>+IFERROR(VLOOKUP($BC$16,Sheet1!AH6:AK6,3,0),0)</f>
        <v>0</v>
      </c>
      <c r="BD22" s="36">
        <f>+IFERROR(VLOOKUP($BD$16,Sheet1!AH6:AK6,3,0),0)</f>
        <v>0</v>
      </c>
      <c r="BE22" s="36">
        <f>+IFERROR(VLOOKUP($BE$16,Sheet1!AH6:AK6,3,0),0)</f>
        <v>0</v>
      </c>
      <c r="BF22" s="36">
        <f>+IFERROR(VLOOKUP($BF$16,Sheet1!AH6:AK6,3,0),0)</f>
        <v>0</v>
      </c>
      <c r="BG22" s="36">
        <f>+IFERROR(VLOOKUP($BG$16,Sheet1!AH6:AK6,3,0),0)</f>
        <v>0</v>
      </c>
      <c r="BH22" s="36">
        <f>+IFERROR(VLOOKUP($BH$16,Sheet1!AH6:AK6,3,0),0)</f>
        <v>0</v>
      </c>
      <c r="BI22" s="36">
        <f>+IFERROR(VLOOKUP($BI$16,Sheet1!AH6:AK6,3,0),0)</f>
        <v>0</v>
      </c>
      <c r="BJ22" s="36">
        <f>+IFERROR(VLOOKUP($BJ$16,Sheet1!AH6:AK6,3,0),0)</f>
        <v>0</v>
      </c>
      <c r="BK22" s="36">
        <f>+IFERROR(VLOOKUP($BK$16,Sheet1!AH6:AK6,3,0),0)</f>
        <v>0</v>
      </c>
      <c r="BL22" s="9">
        <f>+IFERROR(VLOOKUP($BL$16,Sheet1!AL6:AO6,3,0),0)</f>
        <v>0</v>
      </c>
      <c r="BM22" s="9">
        <f>+IFERROR(VLOOKUP($BM$16,Sheet1!AL6:AO6,3,0),0)</f>
        <v>0</v>
      </c>
      <c r="BN22" s="9">
        <f>+IFERROR(VLOOKUP($BN$16,Sheet1!AL6:AO6,3,0),0)</f>
        <v>0</v>
      </c>
      <c r="BO22" s="9">
        <f>+IFERROR(VLOOKUP($BO$16,Sheet1!AL6:AO6,3,0),0)</f>
        <v>0</v>
      </c>
      <c r="BP22" s="9">
        <f>+IFERROR(VLOOKUP($BP$16,Sheet1!AL6:AO6,3,0),0)</f>
        <v>0</v>
      </c>
      <c r="BQ22" s="9">
        <f>+IFERROR(VLOOKUP($BQ$16,Sheet1!AL6:AO6,3,0),0)</f>
        <v>0</v>
      </c>
      <c r="BR22" s="9">
        <f>+IFERROR(VLOOKUP($BR$16,Sheet1!AL6:AO6,3,0),0)</f>
        <v>0</v>
      </c>
      <c r="BS22" s="9">
        <f>+IFERROR(VLOOKUP($BS$16,Sheet1!AL6:AO6,3,0),0)</f>
        <v>0</v>
      </c>
      <c r="BT22" s="9">
        <f>+IFERROR(VLOOKUP($BT$16,Sheet1!AL6:AO6,3,0),0)</f>
        <v>0</v>
      </c>
      <c r="BU22" s="9">
        <f>+IFERROR(VLOOKUP($BU$16,Sheet1!AL6:AO6,3,0),0)</f>
        <v>0</v>
      </c>
      <c r="BV22" s="9">
        <f>+IFERROR(VLOOKUP($BV$16,Sheet1!AL6:AO6,3,0),0)</f>
        <v>0</v>
      </c>
      <c r="BW22" s="9">
        <f>+IFERROR(VLOOKUP($BW$16,Sheet1!AL6:AO6,3,0),0)</f>
        <v>0</v>
      </c>
      <c r="BX22" s="40">
        <f>+IFERROR(VLOOKUP($BX$16,Sheet1!AP6:AS6,3,0),0)</f>
        <v>0</v>
      </c>
      <c r="BY22" s="43">
        <f>+IFERROR(VLOOKUP($BY$16,Sheet1!AT6:AW6,3,0),0)</f>
        <v>0</v>
      </c>
      <c r="BZ22" s="44">
        <f>+IFERROR(VLOOKUP($BZ$16,Sheet1!AX6:BA6,3,0),0)</f>
        <v>0</v>
      </c>
      <c r="CA22" s="46">
        <f>+IFERROR(VLOOKUP($CA$16,Sheet1!BB6:BE6,3,0),0)</f>
        <v>0</v>
      </c>
      <c r="CB22" s="48">
        <f>+IFERROR(VLOOKUP($CB$16,Sheet1!BF6:BI6,3,0),0)</f>
        <v>0</v>
      </c>
      <c r="CC22" s="49">
        <f>+IFERROR(VLOOKUP($CC$16,Sheet1!BJ6:BM6,3,0),0)</f>
        <v>0</v>
      </c>
      <c r="CD22" s="50">
        <f>+IFERROR(VLOOKUP($CD$16,Sheet1!BN6:BQ6,3,0),0)</f>
        <v>0</v>
      </c>
      <c r="CE22" s="38">
        <f>+IFERROR(VLOOKUP($CE$16,Sheet1!BR6:BU6,3,0),0)</f>
        <v>0</v>
      </c>
      <c r="CF22" s="44">
        <f>+IFERROR(VLOOKUP($CF$16,Sheet1!BV6:BY6,3,0),0)</f>
        <v>0</v>
      </c>
      <c r="CG22" s="67">
        <f>Sheet1!E6</f>
        <v>0</v>
      </c>
      <c r="CH22" s="68">
        <f>Sheet1!CX6</f>
        <v>0</v>
      </c>
      <c r="CI22" s="68">
        <f>Sheet1!CY6</f>
        <v>0</v>
      </c>
      <c r="CJ22" s="68">
        <f>Sheet1!CZ6</f>
        <v>0</v>
      </c>
      <c r="CK22" s="23">
        <f>Sheet1!BZ6</f>
        <v>0</v>
      </c>
      <c r="CL22" s="23">
        <f t="shared" ref="CL22:CL29" si="6">SUMPRODUCT($N$17:$CF$17,N22:CF22)+CK22</f>
        <v>0</v>
      </c>
      <c r="CM22" s="24">
        <f>Sheet1!CB6</f>
        <v>0</v>
      </c>
      <c r="CN22" s="23">
        <f t="shared" ref="CN22:CN29" si="7">CL22*CM22</f>
        <v>0</v>
      </c>
      <c r="CO22" s="95">
        <f>Sheet1!CD6</f>
        <v>0</v>
      </c>
      <c r="CP22" s="23">
        <f t="shared" ref="CP22:CP29" si="8">CL22*CO22</f>
        <v>0</v>
      </c>
      <c r="CQ22" s="95">
        <f>Sheet1!CF6</f>
        <v>0</v>
      </c>
      <c r="CR22" s="23">
        <f t="shared" ref="CR22:CR29" si="9">CL22*CQ22</f>
        <v>0</v>
      </c>
      <c r="CS22" s="23">
        <f t="shared" ref="CS22:CS29" si="10">CL22+CN22+CP22+CR22</f>
        <v>0</v>
      </c>
      <c r="CT22" s="95">
        <f>Sheet1!CI6</f>
        <v>0</v>
      </c>
      <c r="CU22" s="6">
        <f t="shared" ref="CU22:CU29" si="11">CS22*CT22</f>
        <v>0</v>
      </c>
      <c r="CV22" s="95">
        <f>Sheet1!CK6</f>
        <v>0</v>
      </c>
      <c r="CW22" s="6">
        <f t="shared" ref="CW22:CW29" si="12">CS22*CV22</f>
        <v>0</v>
      </c>
      <c r="CX22" s="95">
        <f>Sheet1!CM6</f>
        <v>0</v>
      </c>
      <c r="CY22" s="6">
        <f t="shared" ref="CY22:CY29" si="13">CX22*CS22</f>
        <v>0</v>
      </c>
    </row>
    <row r="23" spans="1:103" s="22" customFormat="1" hidden="1" x14ac:dyDescent="0.25">
      <c r="A23" s="6">
        <f>Sheet1!A7</f>
        <v>0</v>
      </c>
      <c r="B23" s="87">
        <f>Sheet1!B7</f>
        <v>0</v>
      </c>
      <c r="C23" s="6">
        <f>Sheet1!C7</f>
        <v>0</v>
      </c>
      <c r="D23" s="6">
        <f>Sheet1!D7</f>
        <v>0</v>
      </c>
      <c r="E23" s="23">
        <f t="shared" si="1"/>
        <v>0</v>
      </c>
      <c r="F23" s="98">
        <f>Sheet1!CP7</f>
        <v>0</v>
      </c>
      <c r="G23" s="28">
        <f t="shared" si="2"/>
        <v>0</v>
      </c>
      <c r="H23" s="29">
        <f>Sheet1!CR7</f>
        <v>0</v>
      </c>
      <c r="I23" s="28">
        <f t="shared" si="3"/>
        <v>0</v>
      </c>
      <c r="J23" s="28">
        <f t="shared" si="4"/>
        <v>0</v>
      </c>
      <c r="K23" s="79">
        <f>Sheet1!CU7</f>
        <v>0</v>
      </c>
      <c r="L23" s="76">
        <f>Sheet1!CV7</f>
        <v>0</v>
      </c>
      <c r="M23" s="23">
        <f t="shared" si="5"/>
        <v>0</v>
      </c>
      <c r="N23" s="71">
        <f>+IFERROR(VLOOKUP($N$16,Sheet1!J7:L7,3,0),0)</f>
        <v>0</v>
      </c>
      <c r="O23" s="71">
        <f>+IFERROR(VLOOKUP($O$16,Sheet1!J7:L7,3,0),0)</f>
        <v>0</v>
      </c>
      <c r="P23" s="71">
        <f>+IFERROR(VLOOKUP($P$16,Sheet1!J7:M7,3,0),0)</f>
        <v>0</v>
      </c>
      <c r="Q23" s="71">
        <f>+IFERROR(VLOOKUP($Q$16,Sheet1!J7:M7,3,0),0)</f>
        <v>0</v>
      </c>
      <c r="R23" s="71">
        <f>+IFERROR(VLOOKUP($R$16,Sheet1!J7:M7,3,0),0)</f>
        <v>0</v>
      </c>
      <c r="S23" s="71">
        <f>+IFERROR(VLOOKUP($S$16,Sheet1!J7:M7,3,0),0)</f>
        <v>0</v>
      </c>
      <c r="T23" s="71">
        <f>+IFERROR(VLOOKUP($T$16,Sheet1!J7:M7,3,0),0)</f>
        <v>0</v>
      </c>
      <c r="U23" s="71">
        <f>+IFERROR(VLOOKUP($U$16,Sheet1!J7:M7,3,0),0)</f>
        <v>0</v>
      </c>
      <c r="V23" s="72">
        <f>+IFERROR(VLOOKUP($V$16,Sheet1!N7:Q7,3,0),0)</f>
        <v>0</v>
      </c>
      <c r="W23" s="72">
        <f>+IFERROR(VLOOKUP($W$16,Sheet1!N7:Q7,3,0),0)</f>
        <v>0</v>
      </c>
      <c r="X23" s="73">
        <f>+IFERROR(VLOOKUP($X$16,Sheet1!F7:I7,3,0),0)</f>
        <v>0</v>
      </c>
      <c r="Y23" s="73">
        <f>+IFERROR(VLOOKUP($Y$16,Sheet1!F7:I7,3,0),0)</f>
        <v>0</v>
      </c>
      <c r="Z23" s="73">
        <f>+IFERROR(VLOOKUP($Z$16,Sheet1!F7:I7,3,0),0)</f>
        <v>0</v>
      </c>
      <c r="AA23" s="73">
        <f>+IFERROR(VLOOKUP($AA$16,Sheet1!F7:I7,3,0),0)</f>
        <v>0</v>
      </c>
      <c r="AB23" s="73">
        <f>+IFERROR(VLOOKUP($AB$16,Sheet1!F7:I7,3,0),0)</f>
        <v>0</v>
      </c>
      <c r="AC23" s="73">
        <f>+IFERROR(VLOOKUP($AC$16,Sheet1!F7:I7,3,0),0)</f>
        <v>0</v>
      </c>
      <c r="AD23" s="73">
        <f>+IFERROR(VLOOKUP($AD$16,Sheet1!F7:I7,3,0),0)</f>
        <v>0</v>
      </c>
      <c r="AE23" s="73">
        <f>+IFERROR(VLOOKUP($AE$16,Sheet1!F7:I7,3,0),0)</f>
        <v>0</v>
      </c>
      <c r="AF23" s="74">
        <f>+IFERROR(VLOOKUP($AF$16,Sheet1!R7:U7,3,0),0)</f>
        <v>0</v>
      </c>
      <c r="AG23" s="32">
        <f>+IFERROR(VLOOKUP($AG$16,Sheet1!R7:U7,3,0),0)</f>
        <v>0</v>
      </c>
      <c r="AH23" s="75">
        <f>+IFERROR(VLOOKUP($AH$16,Sheet1!V7:Y7,3,0),0)</f>
        <v>0</v>
      </c>
      <c r="AI23" s="33">
        <f>+IFERROR(VLOOKUP($AI$16,Sheet1!V7:Y7,3,0),0)</f>
        <v>0</v>
      </c>
      <c r="AJ23" s="33">
        <f>+IFERROR(VLOOKUP($AJ$16,Sheet1!V7:Y7,3,0),0)</f>
        <v>0</v>
      </c>
      <c r="AK23" s="33">
        <f>+IFERROR(VLOOKUP($AK$16,Sheet1!V7:Y7,3,0),0)</f>
        <v>0</v>
      </c>
      <c r="AL23" s="33">
        <f>+IFERROR(VLOOKUP($AL$16,Sheet1!V7:Y7,3,0),0)</f>
        <v>0</v>
      </c>
      <c r="AM23" s="33">
        <f>+IFERROR(VLOOKUP($AM$16,Sheet1!V7:Y7,3,0),0)</f>
        <v>0</v>
      </c>
      <c r="AN23" s="33">
        <f>+IFERROR(VLOOKUP($AN$16,Sheet1!V7:Y7,3,0),0)</f>
        <v>0</v>
      </c>
      <c r="AO23" s="33">
        <f>+IFERROR(VLOOKUP($AO$16,Sheet1!V7:Y7,3,0),0)</f>
        <v>0</v>
      </c>
      <c r="AP23" s="33">
        <f>+IFERROR(VLOOKUP($AP$16,Sheet1!V7:Y7,3,0),0)</f>
        <v>0</v>
      </c>
      <c r="AQ23" s="36">
        <f>+IFERROR(VLOOKUP($AQ$16,Sheet1!Z7:AB7,3,0),0)</f>
        <v>0</v>
      </c>
      <c r="AR23" s="37">
        <f>+IFERROR(VLOOKUP($AR$16,Sheet1!AD7:AG7,3,0),0)</f>
        <v>0</v>
      </c>
      <c r="AS23" s="37">
        <f>+IFERROR(VLOOKUP($AS$16,Sheet1!AD7:AG7,3,0),0)</f>
        <v>0</v>
      </c>
      <c r="AT23" s="37">
        <f>+IFERROR(VLOOKUP($AT$16,Sheet1!AD7:AG7,3,0),0)</f>
        <v>0</v>
      </c>
      <c r="AU23" s="37">
        <f>+IFERROR(VLOOKUP($AU$16,Sheet1!AD7:AG7,3,0),0)</f>
        <v>0</v>
      </c>
      <c r="AV23" s="37">
        <f>+IFERROR(VLOOKUP($AV$16,Sheet1!AD7:AG7,3,0),0)</f>
        <v>0</v>
      </c>
      <c r="AW23" s="37">
        <f>+IFERROR(VLOOKUP($AW$16,Sheet1!AD7:AG7,3,0),0)</f>
        <v>0</v>
      </c>
      <c r="AX23" s="37">
        <f>+IFERROR(VLOOKUP($AX$16,Sheet1!AD7:AG7,3,0),0)</f>
        <v>0</v>
      </c>
      <c r="AY23" s="37">
        <f>+IFERROR(VLOOKUP($AY$16,Sheet1!AD7:AG7,3,0),0)</f>
        <v>0</v>
      </c>
      <c r="AZ23" s="37">
        <f>+IFERROR(VLOOKUP($AZ$16,Sheet1!AD7:AG7,3,0),0)</f>
        <v>0</v>
      </c>
      <c r="BA23" s="36">
        <f>+IFERROR(VLOOKUP($BA$16,Sheet1!AH7:AK7,3,0),0)</f>
        <v>0</v>
      </c>
      <c r="BB23" s="36">
        <f>+IFERROR(VLOOKUP($BB$16,Sheet1!AH7:AK7,3,0),0)</f>
        <v>0</v>
      </c>
      <c r="BC23" s="36">
        <f>+IFERROR(VLOOKUP($BC$16,Sheet1!AH7:AK7,3,0),0)</f>
        <v>0</v>
      </c>
      <c r="BD23" s="36">
        <f>+IFERROR(VLOOKUP($BD$16,Sheet1!AH7:AK7,3,0),0)</f>
        <v>0</v>
      </c>
      <c r="BE23" s="36">
        <f>+IFERROR(VLOOKUP($BE$16,Sheet1!AH7:AK7,3,0),0)</f>
        <v>0</v>
      </c>
      <c r="BF23" s="36">
        <f>+IFERROR(VLOOKUP($BF$16,Sheet1!AH7:AK7,3,0),0)</f>
        <v>0</v>
      </c>
      <c r="BG23" s="36">
        <f>+IFERROR(VLOOKUP($BG$16,Sheet1!AH7:AK7,3,0),0)</f>
        <v>0</v>
      </c>
      <c r="BH23" s="36">
        <f>+IFERROR(VLOOKUP($BH$16,Sheet1!AH7:AK7,3,0),0)</f>
        <v>0</v>
      </c>
      <c r="BI23" s="36">
        <f>+IFERROR(VLOOKUP($BI$16,Sheet1!AH7:AK7,3,0),0)</f>
        <v>0</v>
      </c>
      <c r="BJ23" s="36">
        <f>+IFERROR(VLOOKUP($BJ$16,Sheet1!AH7:AK7,3,0),0)</f>
        <v>0</v>
      </c>
      <c r="BK23" s="36">
        <f>+IFERROR(VLOOKUP($BK$16,Sheet1!AH7:AK7,3,0),0)</f>
        <v>0</v>
      </c>
      <c r="BL23" s="9">
        <f>+IFERROR(VLOOKUP($BL$16,Sheet1!AL7:AO7,3,0),0)</f>
        <v>0</v>
      </c>
      <c r="BM23" s="9">
        <f>+IFERROR(VLOOKUP($BM$16,Sheet1!AL7:AO7,3,0),0)</f>
        <v>0</v>
      </c>
      <c r="BN23" s="9">
        <f>+IFERROR(VLOOKUP($BN$16,Sheet1!AL7:AO7,3,0),0)</f>
        <v>0</v>
      </c>
      <c r="BO23" s="9">
        <f>+IFERROR(VLOOKUP($BO$16,Sheet1!AL7:AO7,3,0),0)</f>
        <v>0</v>
      </c>
      <c r="BP23" s="9">
        <f>+IFERROR(VLOOKUP($BP$16,Sheet1!AL7:AO7,3,0),0)</f>
        <v>0</v>
      </c>
      <c r="BQ23" s="9">
        <f>+IFERROR(VLOOKUP($BQ$16,Sheet1!AL7:AO7,3,0),0)</f>
        <v>0</v>
      </c>
      <c r="BR23" s="9">
        <f>+IFERROR(VLOOKUP($BR$16,Sheet1!AL7:AO7,3,0),0)</f>
        <v>0</v>
      </c>
      <c r="BS23" s="9">
        <f>+IFERROR(VLOOKUP($BS$16,Sheet1!AL7:AO7,3,0),0)</f>
        <v>0</v>
      </c>
      <c r="BT23" s="9">
        <f>+IFERROR(VLOOKUP($BT$16,Sheet1!AL7:AO7,3,0),0)</f>
        <v>0</v>
      </c>
      <c r="BU23" s="9">
        <f>+IFERROR(VLOOKUP($BU$16,Sheet1!AL7:AO7,3,0),0)</f>
        <v>0</v>
      </c>
      <c r="BV23" s="9">
        <f>+IFERROR(VLOOKUP($BV$16,Sheet1!AL7:AO7,3,0),0)</f>
        <v>0</v>
      </c>
      <c r="BW23" s="9">
        <f>+IFERROR(VLOOKUP($BW$16,Sheet1!AL7:AO7,3,0),0)</f>
        <v>0</v>
      </c>
      <c r="BX23" s="40">
        <f>+IFERROR(VLOOKUP($BX$16,Sheet1!AP7:AS7,3,0),0)</f>
        <v>0</v>
      </c>
      <c r="BY23" s="43">
        <f>+IFERROR(VLOOKUP($BY$16,Sheet1!AT7:AW7,3,0),0)</f>
        <v>0</v>
      </c>
      <c r="BZ23" s="44">
        <f>+IFERROR(VLOOKUP($BZ$16,Sheet1!AX7:BA7,3,0),0)</f>
        <v>0</v>
      </c>
      <c r="CA23" s="46">
        <f>+IFERROR(VLOOKUP($CA$16,Sheet1!BB7:BE7,3,0),0)</f>
        <v>0</v>
      </c>
      <c r="CB23" s="48">
        <f>+IFERROR(VLOOKUP($CB$16,Sheet1!BF7:BI7,3,0),0)</f>
        <v>0</v>
      </c>
      <c r="CC23" s="49">
        <f>+IFERROR(VLOOKUP($CC$16,Sheet1!BJ7:BM7,3,0),0)</f>
        <v>0</v>
      </c>
      <c r="CD23" s="50">
        <f>+IFERROR(VLOOKUP($CD$16,Sheet1!BN7:BQ7,3,0),0)</f>
        <v>0</v>
      </c>
      <c r="CE23" s="38">
        <f>+IFERROR(VLOOKUP($CE$16,Sheet1!BR7:BU7,3,0),0)</f>
        <v>0</v>
      </c>
      <c r="CF23" s="44">
        <f>+IFERROR(VLOOKUP($CF$16,Sheet1!BV7:BY7,3,0),0)</f>
        <v>0</v>
      </c>
      <c r="CG23" s="67">
        <f>Sheet1!E7</f>
        <v>0</v>
      </c>
      <c r="CH23" s="68">
        <f>Sheet1!CX7</f>
        <v>0</v>
      </c>
      <c r="CI23" s="68">
        <f>Sheet1!CY7</f>
        <v>0</v>
      </c>
      <c r="CJ23" s="68">
        <f>Sheet1!CZ7</f>
        <v>0</v>
      </c>
      <c r="CK23" s="23">
        <f>Sheet1!BZ7</f>
        <v>0</v>
      </c>
      <c r="CL23" s="23">
        <f t="shared" si="6"/>
        <v>0</v>
      </c>
      <c r="CM23" s="24">
        <f>Sheet1!CB7</f>
        <v>0</v>
      </c>
      <c r="CN23" s="23">
        <f t="shared" si="7"/>
        <v>0</v>
      </c>
      <c r="CO23" s="95">
        <f>Sheet1!CD7</f>
        <v>0</v>
      </c>
      <c r="CP23" s="23">
        <f t="shared" si="8"/>
        <v>0</v>
      </c>
      <c r="CQ23" s="95">
        <f>Sheet1!CF7</f>
        <v>0</v>
      </c>
      <c r="CR23" s="23">
        <f t="shared" si="9"/>
        <v>0</v>
      </c>
      <c r="CS23" s="23">
        <f t="shared" si="10"/>
        <v>0</v>
      </c>
      <c r="CT23" s="95">
        <f>Sheet1!CI7</f>
        <v>0</v>
      </c>
      <c r="CU23" s="6">
        <f t="shared" si="11"/>
        <v>0</v>
      </c>
      <c r="CV23" s="95">
        <f>Sheet1!CK7</f>
        <v>0</v>
      </c>
      <c r="CW23" s="6">
        <f t="shared" si="12"/>
        <v>0</v>
      </c>
      <c r="CX23" s="95">
        <f>Sheet1!CM7</f>
        <v>0</v>
      </c>
      <c r="CY23" s="6">
        <f t="shared" si="13"/>
        <v>0</v>
      </c>
    </row>
    <row r="24" spans="1:103" s="22" customFormat="1" hidden="1" x14ac:dyDescent="0.25">
      <c r="A24" s="6">
        <f>Sheet1!A8</f>
        <v>0</v>
      </c>
      <c r="B24" s="87">
        <f>Sheet1!B8</f>
        <v>0</v>
      </c>
      <c r="C24" s="6">
        <f>Sheet1!C8</f>
        <v>0</v>
      </c>
      <c r="D24" s="6">
        <f>Sheet1!D8</f>
        <v>0</v>
      </c>
      <c r="E24" s="23">
        <f t="shared" si="1"/>
        <v>0</v>
      </c>
      <c r="F24" s="98">
        <f>Sheet1!CP8</f>
        <v>0</v>
      </c>
      <c r="G24" s="28">
        <f t="shared" si="2"/>
        <v>0</v>
      </c>
      <c r="H24" s="29">
        <f>Sheet1!CR8</f>
        <v>0</v>
      </c>
      <c r="I24" s="28">
        <f t="shared" si="3"/>
        <v>0</v>
      </c>
      <c r="J24" s="28">
        <f t="shared" si="4"/>
        <v>0</v>
      </c>
      <c r="K24" s="79">
        <f>Sheet1!CU8</f>
        <v>0</v>
      </c>
      <c r="L24" s="76">
        <f>Sheet1!CV8</f>
        <v>0</v>
      </c>
      <c r="M24" s="23">
        <f t="shared" si="5"/>
        <v>0</v>
      </c>
      <c r="N24" s="71">
        <f>+IFERROR(VLOOKUP($N$16,Sheet1!J8:L8,3,0),0)</f>
        <v>0</v>
      </c>
      <c r="O24" s="71">
        <f>+IFERROR(VLOOKUP($O$16,Sheet1!J8:L8,3,0),0)</f>
        <v>0</v>
      </c>
      <c r="P24" s="71">
        <f>+IFERROR(VLOOKUP($P$16,Sheet1!J8:M8,3,0),0)</f>
        <v>0</v>
      </c>
      <c r="Q24" s="71">
        <f>+IFERROR(VLOOKUP($Q$16,Sheet1!J8:M8,3,0),0)</f>
        <v>0</v>
      </c>
      <c r="R24" s="71">
        <f>+IFERROR(VLOOKUP($R$16,Sheet1!J8:M8,3,0),0)</f>
        <v>0</v>
      </c>
      <c r="S24" s="71">
        <f>+IFERROR(VLOOKUP($S$16,Sheet1!J8:M8,3,0),0)</f>
        <v>0</v>
      </c>
      <c r="T24" s="71">
        <f>+IFERROR(VLOOKUP($T$16,Sheet1!J8:M8,3,0),0)</f>
        <v>0</v>
      </c>
      <c r="U24" s="71">
        <f>+IFERROR(VLOOKUP($U$16,Sheet1!J8:M8,3,0),0)</f>
        <v>0</v>
      </c>
      <c r="V24" s="72">
        <f>+IFERROR(VLOOKUP($V$16,Sheet1!N8:Q8,3,0),0)</f>
        <v>0</v>
      </c>
      <c r="W24" s="72">
        <f>+IFERROR(VLOOKUP($W$16,Sheet1!N8:Q8,3,0),0)</f>
        <v>0</v>
      </c>
      <c r="X24" s="73">
        <f>+IFERROR(VLOOKUP($X$16,Sheet1!F8:I8,3,0),0)</f>
        <v>0</v>
      </c>
      <c r="Y24" s="73">
        <f>+IFERROR(VLOOKUP($Y$16,Sheet1!F8:I8,3,0),0)</f>
        <v>0</v>
      </c>
      <c r="Z24" s="73">
        <f>+IFERROR(VLOOKUP($Z$16,Sheet1!F8:I8,3,0),0)</f>
        <v>0</v>
      </c>
      <c r="AA24" s="73">
        <f>+IFERROR(VLOOKUP($AA$16,Sheet1!F8:I8,3,0),0)</f>
        <v>0</v>
      </c>
      <c r="AB24" s="73">
        <f>+IFERROR(VLOOKUP($AB$16,Sheet1!F8:I8,3,0),0)</f>
        <v>0</v>
      </c>
      <c r="AC24" s="73">
        <f>+IFERROR(VLOOKUP($AC$16,Sheet1!F8:I8,3,0),0)</f>
        <v>0</v>
      </c>
      <c r="AD24" s="73">
        <f>+IFERROR(VLOOKUP($AD$16,Sheet1!F8:I8,3,0),0)</f>
        <v>0</v>
      </c>
      <c r="AE24" s="73">
        <f>+IFERROR(VLOOKUP($AE$16,Sheet1!F8:I8,3,0),0)</f>
        <v>0</v>
      </c>
      <c r="AF24" s="74">
        <f>+IFERROR(VLOOKUP($AF$16,Sheet1!R8:U8,3,0),0)</f>
        <v>0</v>
      </c>
      <c r="AG24" s="32">
        <f>+IFERROR(VLOOKUP($AG$16,Sheet1!R8:U8,3,0),0)</f>
        <v>0</v>
      </c>
      <c r="AH24" s="75">
        <f>+IFERROR(VLOOKUP($AH$16,Sheet1!V8:Y8,3,0),0)</f>
        <v>0</v>
      </c>
      <c r="AI24" s="33">
        <f>+IFERROR(VLOOKUP($AI$16,Sheet1!V8:Y8,3,0),0)</f>
        <v>0</v>
      </c>
      <c r="AJ24" s="33">
        <f>+IFERROR(VLOOKUP($AJ$16,Sheet1!V8:Y8,3,0),0)</f>
        <v>0</v>
      </c>
      <c r="AK24" s="33">
        <f>+IFERROR(VLOOKUP($AK$16,Sheet1!V8:Y8,3,0),0)</f>
        <v>0</v>
      </c>
      <c r="AL24" s="33">
        <f>+IFERROR(VLOOKUP($AL$16,Sheet1!V8:Y8,3,0),0)</f>
        <v>0</v>
      </c>
      <c r="AM24" s="33">
        <f>+IFERROR(VLOOKUP($AM$16,Sheet1!V8:Y8,3,0),0)</f>
        <v>0</v>
      </c>
      <c r="AN24" s="33">
        <f>+IFERROR(VLOOKUP($AN$16,Sheet1!V8:Y8,3,0),0)</f>
        <v>0</v>
      </c>
      <c r="AO24" s="33">
        <f>+IFERROR(VLOOKUP($AO$16,Sheet1!V8:Y8,3,0),0)</f>
        <v>0</v>
      </c>
      <c r="AP24" s="33">
        <f>+IFERROR(VLOOKUP($AP$16,Sheet1!V8:Y8,3,0),0)</f>
        <v>0</v>
      </c>
      <c r="AQ24" s="36">
        <f>+IFERROR(VLOOKUP($AQ$16,Sheet1!Z8:AB8,3,0),0)</f>
        <v>0</v>
      </c>
      <c r="AR24" s="37">
        <f>+IFERROR(VLOOKUP($AR$16,Sheet1!AD8:AG8,3,0),0)</f>
        <v>0</v>
      </c>
      <c r="AS24" s="37">
        <f>+IFERROR(VLOOKUP($AS$16,Sheet1!AD8:AG8,3,0),0)</f>
        <v>0</v>
      </c>
      <c r="AT24" s="37">
        <f>+IFERROR(VLOOKUP($AT$16,Sheet1!AD8:AG8,3,0),0)</f>
        <v>0</v>
      </c>
      <c r="AU24" s="37">
        <f>+IFERROR(VLOOKUP($AU$16,Sheet1!AD8:AG8,3,0),0)</f>
        <v>0</v>
      </c>
      <c r="AV24" s="37">
        <f>+IFERROR(VLOOKUP($AV$16,Sheet1!AD8:AG8,3,0),0)</f>
        <v>0</v>
      </c>
      <c r="AW24" s="37">
        <f>+IFERROR(VLOOKUP($AW$16,Sheet1!AD8:AG8,3,0),0)</f>
        <v>0</v>
      </c>
      <c r="AX24" s="37">
        <f>+IFERROR(VLOOKUP($AX$16,Sheet1!AD8:AG8,3,0),0)</f>
        <v>0</v>
      </c>
      <c r="AY24" s="37">
        <f>+IFERROR(VLOOKUP($AY$16,Sheet1!AD8:AG8,3,0),0)</f>
        <v>0</v>
      </c>
      <c r="AZ24" s="37">
        <f>+IFERROR(VLOOKUP($AZ$16,Sheet1!AD8:AG8,3,0),0)</f>
        <v>0</v>
      </c>
      <c r="BA24" s="36">
        <f>+IFERROR(VLOOKUP($BA$16,Sheet1!AH8:AK8,3,0),0)</f>
        <v>0</v>
      </c>
      <c r="BB24" s="36">
        <f>+IFERROR(VLOOKUP($BB$16,Sheet1!AH8:AK8,3,0),0)</f>
        <v>0</v>
      </c>
      <c r="BC24" s="36">
        <f>+IFERROR(VLOOKUP($BC$16,Sheet1!AH8:AK8,3,0),0)</f>
        <v>0</v>
      </c>
      <c r="BD24" s="36">
        <f>+IFERROR(VLOOKUP($BD$16,Sheet1!AH8:AK8,3,0),0)</f>
        <v>0</v>
      </c>
      <c r="BE24" s="36">
        <f>+IFERROR(VLOOKUP($BE$16,Sheet1!AH8:AK8,3,0),0)</f>
        <v>0</v>
      </c>
      <c r="BF24" s="36">
        <f>+IFERROR(VLOOKUP($BF$16,Sheet1!AH8:AK8,3,0),0)</f>
        <v>0</v>
      </c>
      <c r="BG24" s="36">
        <f>+IFERROR(VLOOKUP($BG$16,Sheet1!AH8:AK8,3,0),0)</f>
        <v>0</v>
      </c>
      <c r="BH24" s="36">
        <f>+IFERROR(VLOOKUP($BH$16,Sheet1!AH8:AK8,3,0),0)</f>
        <v>0</v>
      </c>
      <c r="BI24" s="36">
        <f>+IFERROR(VLOOKUP($BI$16,Sheet1!AH8:AK8,3,0),0)</f>
        <v>0</v>
      </c>
      <c r="BJ24" s="36">
        <f>+IFERROR(VLOOKUP($BJ$16,Sheet1!AH8:AK8,3,0),0)</f>
        <v>0</v>
      </c>
      <c r="BK24" s="36">
        <f>+IFERROR(VLOOKUP($BK$16,Sheet1!AH8:AK8,3,0),0)</f>
        <v>0</v>
      </c>
      <c r="BL24" s="9">
        <f>+IFERROR(VLOOKUP($BL$16,Sheet1!AL8:AO8,3,0),0)</f>
        <v>0</v>
      </c>
      <c r="BM24" s="9">
        <f>+IFERROR(VLOOKUP($BM$16,Sheet1!AL8:AO8,3,0),0)</f>
        <v>0</v>
      </c>
      <c r="BN24" s="9">
        <f>+IFERROR(VLOOKUP($BN$16,Sheet1!AL8:AO8,3,0),0)</f>
        <v>0</v>
      </c>
      <c r="BO24" s="9">
        <f>+IFERROR(VLOOKUP($BO$16,Sheet1!AL8:AO8,3,0),0)</f>
        <v>0</v>
      </c>
      <c r="BP24" s="9">
        <f>+IFERROR(VLOOKUP($BP$16,Sheet1!AL8:AO8,3,0),0)</f>
        <v>0</v>
      </c>
      <c r="BQ24" s="9">
        <f>+IFERROR(VLOOKUP($BQ$16,Sheet1!AL8:AO8,3,0),0)</f>
        <v>0</v>
      </c>
      <c r="BR24" s="9">
        <f>+IFERROR(VLOOKUP($BR$16,Sheet1!AL8:AO8,3,0),0)</f>
        <v>0</v>
      </c>
      <c r="BS24" s="9">
        <f>+IFERROR(VLOOKUP($BS$16,Sheet1!AL8:AO8,3,0),0)</f>
        <v>0</v>
      </c>
      <c r="BT24" s="9">
        <f>+IFERROR(VLOOKUP($BT$16,Sheet1!AL8:AO8,3,0),0)</f>
        <v>0</v>
      </c>
      <c r="BU24" s="9">
        <f>+IFERROR(VLOOKUP($BU$16,Sheet1!AL8:AO8,3,0),0)</f>
        <v>0</v>
      </c>
      <c r="BV24" s="9">
        <f>+IFERROR(VLOOKUP($BV$16,Sheet1!AL8:AO8,3,0),0)</f>
        <v>0</v>
      </c>
      <c r="BW24" s="9">
        <f>+IFERROR(VLOOKUP($BW$16,Sheet1!AL8:AO8,3,0),0)</f>
        <v>0</v>
      </c>
      <c r="BX24" s="40">
        <f>+IFERROR(VLOOKUP($BX$16,Sheet1!AP8:AS8,3,0),0)</f>
        <v>0</v>
      </c>
      <c r="BY24" s="43">
        <f>+IFERROR(VLOOKUP($BY$16,Sheet1!AT8:AW8,3,0),0)</f>
        <v>0</v>
      </c>
      <c r="BZ24" s="44">
        <f>+IFERROR(VLOOKUP($BZ$16,Sheet1!AX8:BA8,3,0),0)</f>
        <v>0</v>
      </c>
      <c r="CA24" s="46">
        <f>+IFERROR(VLOOKUP($CA$16,Sheet1!BB8:BE8,3,0),0)</f>
        <v>0</v>
      </c>
      <c r="CB24" s="48">
        <f>+IFERROR(VLOOKUP($CB$16,Sheet1!BF8:BI8,3,0),0)</f>
        <v>0</v>
      </c>
      <c r="CC24" s="49">
        <f>+IFERROR(VLOOKUP($CC$16,Sheet1!BJ8:BM8,3,0),0)</f>
        <v>0</v>
      </c>
      <c r="CD24" s="50">
        <f>+IFERROR(VLOOKUP($CD$16,Sheet1!BN8:BQ8,3,0),0)</f>
        <v>0</v>
      </c>
      <c r="CE24" s="38">
        <f>+IFERROR(VLOOKUP($CE$16,Sheet1!BR8:BU8,3,0),0)</f>
        <v>0</v>
      </c>
      <c r="CF24" s="44">
        <f>+IFERROR(VLOOKUP($CF$16,Sheet1!BV8:BY8,3,0),0)</f>
        <v>0</v>
      </c>
      <c r="CG24" s="67">
        <f>Sheet1!E8</f>
        <v>0</v>
      </c>
      <c r="CH24" s="68">
        <f>Sheet1!CX8</f>
        <v>0</v>
      </c>
      <c r="CI24" s="68">
        <f>Sheet1!CY8</f>
        <v>0</v>
      </c>
      <c r="CJ24" s="68">
        <f>Sheet1!CZ8</f>
        <v>0</v>
      </c>
      <c r="CK24" s="23">
        <f>Sheet1!BZ8</f>
        <v>0</v>
      </c>
      <c r="CL24" s="23">
        <f t="shared" si="6"/>
        <v>0</v>
      </c>
      <c r="CM24" s="24">
        <f>Sheet1!CB8</f>
        <v>0</v>
      </c>
      <c r="CN24" s="23">
        <f t="shared" si="7"/>
        <v>0</v>
      </c>
      <c r="CO24" s="95">
        <f>Sheet1!CD8</f>
        <v>0</v>
      </c>
      <c r="CP24" s="23">
        <f t="shared" si="8"/>
        <v>0</v>
      </c>
      <c r="CQ24" s="95">
        <f>Sheet1!CF8</f>
        <v>0</v>
      </c>
      <c r="CR24" s="23">
        <f t="shared" si="9"/>
        <v>0</v>
      </c>
      <c r="CS24" s="23">
        <f t="shared" si="10"/>
        <v>0</v>
      </c>
      <c r="CT24" s="95">
        <f>Sheet1!CI8</f>
        <v>0</v>
      </c>
      <c r="CU24" s="6">
        <f t="shared" si="11"/>
        <v>0</v>
      </c>
      <c r="CV24" s="95">
        <f>Sheet1!CK8</f>
        <v>0</v>
      </c>
      <c r="CW24" s="6">
        <f t="shared" si="12"/>
        <v>0</v>
      </c>
      <c r="CX24" s="95">
        <f>Sheet1!CM8</f>
        <v>0</v>
      </c>
      <c r="CY24" s="6">
        <f t="shared" si="13"/>
        <v>0</v>
      </c>
    </row>
    <row r="25" spans="1:103" s="22" customFormat="1" hidden="1" x14ac:dyDescent="0.25">
      <c r="A25" s="6">
        <f>Sheet1!A9</f>
        <v>0</v>
      </c>
      <c r="B25" s="87">
        <f>Sheet1!B9</f>
        <v>0</v>
      </c>
      <c r="C25" s="6">
        <f>Sheet1!C9</f>
        <v>0</v>
      </c>
      <c r="D25" s="6">
        <f>Sheet1!D9</f>
        <v>0</v>
      </c>
      <c r="E25" s="23">
        <f t="shared" si="1"/>
        <v>0</v>
      </c>
      <c r="F25" s="98">
        <f>Sheet1!CP9</f>
        <v>0</v>
      </c>
      <c r="G25" s="28">
        <f t="shared" si="2"/>
        <v>0</v>
      </c>
      <c r="H25" s="29">
        <f>Sheet1!CR9</f>
        <v>0</v>
      </c>
      <c r="I25" s="28">
        <f t="shared" si="3"/>
        <v>0</v>
      </c>
      <c r="J25" s="28">
        <f t="shared" si="4"/>
        <v>0</v>
      </c>
      <c r="K25" s="79">
        <f>Sheet1!CU9</f>
        <v>0</v>
      </c>
      <c r="L25" s="76">
        <f>Sheet1!CV9</f>
        <v>0</v>
      </c>
      <c r="M25" s="23">
        <f t="shared" si="5"/>
        <v>0</v>
      </c>
      <c r="N25" s="71">
        <f>+IFERROR(VLOOKUP($N$16,Sheet1!J9:L9,3,0),0)</f>
        <v>0</v>
      </c>
      <c r="O25" s="71">
        <f>+IFERROR(VLOOKUP($O$16,Sheet1!J9:L9,3,0),0)</f>
        <v>0</v>
      </c>
      <c r="P25" s="71">
        <f>+IFERROR(VLOOKUP($P$16,Sheet1!J9:M9,3,0),0)</f>
        <v>0</v>
      </c>
      <c r="Q25" s="71">
        <f>+IFERROR(VLOOKUP($Q$16,Sheet1!J9:M9,3,0),0)</f>
        <v>0</v>
      </c>
      <c r="R25" s="71">
        <f>+IFERROR(VLOOKUP($R$16,Sheet1!J9:M9,3,0),0)</f>
        <v>0</v>
      </c>
      <c r="S25" s="71">
        <f>+IFERROR(VLOOKUP($S$16,Sheet1!J9:M9,3,0),0)</f>
        <v>0</v>
      </c>
      <c r="T25" s="71">
        <f>+IFERROR(VLOOKUP($T$16,Sheet1!J9:M9,3,0),0)</f>
        <v>0</v>
      </c>
      <c r="U25" s="71">
        <f>+IFERROR(VLOOKUP($U$16,Sheet1!J9:M9,3,0),0)</f>
        <v>0</v>
      </c>
      <c r="V25" s="72">
        <f>+IFERROR(VLOOKUP($V$16,Sheet1!N9:Q9,3,0),0)</f>
        <v>0</v>
      </c>
      <c r="W25" s="72">
        <f>+IFERROR(VLOOKUP($W$16,Sheet1!N9:Q9,3,0),0)</f>
        <v>0</v>
      </c>
      <c r="X25" s="73">
        <f>+IFERROR(VLOOKUP($X$16,Sheet1!F9:I9,3,0),0)</f>
        <v>0</v>
      </c>
      <c r="Y25" s="73">
        <f>+IFERROR(VLOOKUP($Y$16,Sheet1!F9:I9,3,0),0)</f>
        <v>0</v>
      </c>
      <c r="Z25" s="73">
        <f>+IFERROR(VLOOKUP($Z$16,Sheet1!F9:I9,3,0),0)</f>
        <v>0</v>
      </c>
      <c r="AA25" s="73">
        <f>+IFERROR(VLOOKUP($AA$16,Sheet1!F9:I9,3,0),0)</f>
        <v>0</v>
      </c>
      <c r="AB25" s="73">
        <f>+IFERROR(VLOOKUP($AB$16,Sheet1!F9:I9,3,0),0)</f>
        <v>0</v>
      </c>
      <c r="AC25" s="73">
        <f>+IFERROR(VLOOKUP($AC$16,Sheet1!F9:I9,3,0),0)</f>
        <v>0</v>
      </c>
      <c r="AD25" s="73">
        <f>+IFERROR(VLOOKUP($AD$16,Sheet1!F9:I9,3,0),0)</f>
        <v>0</v>
      </c>
      <c r="AE25" s="73">
        <f>+IFERROR(VLOOKUP($AE$16,Sheet1!F9:I9,3,0),0)</f>
        <v>0</v>
      </c>
      <c r="AF25" s="74">
        <f>+IFERROR(VLOOKUP($AF$16,Sheet1!R9:U9,3,0),0)</f>
        <v>0</v>
      </c>
      <c r="AG25" s="32">
        <f>+IFERROR(VLOOKUP($AG$16,Sheet1!R9:U9,3,0),0)</f>
        <v>0</v>
      </c>
      <c r="AH25" s="75">
        <f>+IFERROR(VLOOKUP($AH$16,Sheet1!V9:Y9,3,0),0)</f>
        <v>0</v>
      </c>
      <c r="AI25" s="33">
        <f>+IFERROR(VLOOKUP($AI$16,Sheet1!V9:Y9,3,0),0)</f>
        <v>0</v>
      </c>
      <c r="AJ25" s="33">
        <f>+IFERROR(VLOOKUP($AJ$16,Sheet1!V9:Y9,3,0),0)</f>
        <v>0</v>
      </c>
      <c r="AK25" s="33">
        <f>+IFERROR(VLOOKUP($AK$16,Sheet1!V9:Y9,3,0),0)</f>
        <v>0</v>
      </c>
      <c r="AL25" s="33">
        <f>+IFERROR(VLOOKUP($AL$16,Sheet1!V9:Y9,3,0),0)</f>
        <v>0</v>
      </c>
      <c r="AM25" s="33">
        <f>+IFERROR(VLOOKUP($AM$16,Sheet1!V9:Y9,3,0),0)</f>
        <v>0</v>
      </c>
      <c r="AN25" s="33">
        <f>+IFERROR(VLOOKUP($AN$16,Sheet1!V9:Y9,3,0),0)</f>
        <v>0</v>
      </c>
      <c r="AO25" s="33">
        <f>+IFERROR(VLOOKUP($AO$16,Sheet1!V9:Y9,3,0),0)</f>
        <v>0</v>
      </c>
      <c r="AP25" s="33">
        <f>+IFERROR(VLOOKUP($AP$16,Sheet1!V9:Y9,3,0),0)</f>
        <v>0</v>
      </c>
      <c r="AQ25" s="36">
        <f>+IFERROR(VLOOKUP($AQ$16,Sheet1!Z9:AB9,3,0),0)</f>
        <v>0</v>
      </c>
      <c r="AR25" s="37">
        <f>+IFERROR(VLOOKUP($AR$16,Sheet1!AD9:AG9,3,0),0)</f>
        <v>0</v>
      </c>
      <c r="AS25" s="37">
        <f>+IFERROR(VLOOKUP($AS$16,Sheet1!AD9:AG9,3,0),0)</f>
        <v>0</v>
      </c>
      <c r="AT25" s="37">
        <f>+IFERROR(VLOOKUP($AT$16,Sheet1!AD9:AG9,3,0),0)</f>
        <v>0</v>
      </c>
      <c r="AU25" s="37">
        <f>+IFERROR(VLOOKUP($AU$16,Sheet1!AD9:AG9,3,0),0)</f>
        <v>0</v>
      </c>
      <c r="AV25" s="37">
        <f>+IFERROR(VLOOKUP($AV$16,Sheet1!AD9:AG9,3,0),0)</f>
        <v>0</v>
      </c>
      <c r="AW25" s="37">
        <f>+IFERROR(VLOOKUP($AW$16,Sheet1!AD9:AG9,3,0),0)</f>
        <v>0</v>
      </c>
      <c r="AX25" s="37">
        <f>+IFERROR(VLOOKUP($AX$16,Sheet1!AD9:AG9,3,0),0)</f>
        <v>0</v>
      </c>
      <c r="AY25" s="37">
        <f>+IFERROR(VLOOKUP($AY$16,Sheet1!AD9:AG9,3,0),0)</f>
        <v>0</v>
      </c>
      <c r="AZ25" s="37">
        <f>+IFERROR(VLOOKUP($AZ$16,Sheet1!AD9:AG9,3,0),0)</f>
        <v>0</v>
      </c>
      <c r="BA25" s="36">
        <f>+IFERROR(VLOOKUP($BA$16,Sheet1!AH9:AK9,3,0),0)</f>
        <v>0</v>
      </c>
      <c r="BB25" s="36">
        <f>+IFERROR(VLOOKUP($BB$16,Sheet1!AH9:AK9,3,0),0)</f>
        <v>0</v>
      </c>
      <c r="BC25" s="36">
        <f>+IFERROR(VLOOKUP($BC$16,Sheet1!AH9:AK9,3,0),0)</f>
        <v>0</v>
      </c>
      <c r="BD25" s="36">
        <f>+IFERROR(VLOOKUP($BD$16,Sheet1!AH9:AK9,3,0),0)</f>
        <v>0</v>
      </c>
      <c r="BE25" s="36">
        <f>+IFERROR(VLOOKUP($BE$16,Sheet1!AH9:AK9,3,0),0)</f>
        <v>0</v>
      </c>
      <c r="BF25" s="36">
        <f>+IFERROR(VLOOKUP($BF$16,Sheet1!AH9:AK9,3,0),0)</f>
        <v>0</v>
      </c>
      <c r="BG25" s="36">
        <f>+IFERROR(VLOOKUP($BG$16,Sheet1!AH9:AK9,3,0),0)</f>
        <v>0</v>
      </c>
      <c r="BH25" s="36">
        <f>+IFERROR(VLOOKUP($BH$16,Sheet1!AH9:AK9,3,0),0)</f>
        <v>0</v>
      </c>
      <c r="BI25" s="36">
        <f>+IFERROR(VLOOKUP($BI$16,Sheet1!AH9:AK9,3,0),0)</f>
        <v>0</v>
      </c>
      <c r="BJ25" s="36">
        <f>+IFERROR(VLOOKUP($BJ$16,Sheet1!AH9:AK9,3,0),0)</f>
        <v>0</v>
      </c>
      <c r="BK25" s="36">
        <f>+IFERROR(VLOOKUP($BK$16,Sheet1!AH9:AK9,3,0),0)</f>
        <v>0</v>
      </c>
      <c r="BL25" s="9">
        <f>+IFERROR(VLOOKUP($BL$16,Sheet1!AL9:AO9,3,0),0)</f>
        <v>0</v>
      </c>
      <c r="BM25" s="9">
        <f>+IFERROR(VLOOKUP($BM$16,Sheet1!AL9:AO9,3,0),0)</f>
        <v>0</v>
      </c>
      <c r="BN25" s="9">
        <f>+IFERROR(VLOOKUP($BN$16,Sheet1!AL9:AO9,3,0),0)</f>
        <v>0</v>
      </c>
      <c r="BO25" s="9">
        <f>+IFERROR(VLOOKUP($BO$16,Sheet1!AL9:AO9,3,0),0)</f>
        <v>0</v>
      </c>
      <c r="BP25" s="9">
        <f>+IFERROR(VLOOKUP($BP$16,Sheet1!AL9:AO9,3,0),0)</f>
        <v>0</v>
      </c>
      <c r="BQ25" s="9">
        <f>+IFERROR(VLOOKUP($BQ$16,Sheet1!AL9:AO9,3,0),0)</f>
        <v>0</v>
      </c>
      <c r="BR25" s="9">
        <f>+IFERROR(VLOOKUP($BR$16,Sheet1!AL9:AO9,3,0),0)</f>
        <v>0</v>
      </c>
      <c r="BS25" s="9">
        <f>+IFERROR(VLOOKUP($BS$16,Sheet1!AL9:AO9,3,0),0)</f>
        <v>0</v>
      </c>
      <c r="BT25" s="9">
        <f>+IFERROR(VLOOKUP($BT$16,Sheet1!AL9:AO9,3,0),0)</f>
        <v>0</v>
      </c>
      <c r="BU25" s="9">
        <f>+IFERROR(VLOOKUP($BU$16,Sheet1!AL9:AO9,3,0),0)</f>
        <v>0</v>
      </c>
      <c r="BV25" s="9">
        <f>+IFERROR(VLOOKUP($BV$16,Sheet1!AL9:AO9,3,0),0)</f>
        <v>0</v>
      </c>
      <c r="BW25" s="9">
        <f>+IFERROR(VLOOKUP($BW$16,Sheet1!AL9:AO9,3,0),0)</f>
        <v>0</v>
      </c>
      <c r="BX25" s="40">
        <f>+IFERROR(VLOOKUP($BX$16,Sheet1!AP9:AS9,3,0),0)</f>
        <v>0</v>
      </c>
      <c r="BY25" s="43">
        <f>+IFERROR(VLOOKUP($BY$16,Sheet1!AT9:AW9,3,0),0)</f>
        <v>0</v>
      </c>
      <c r="BZ25" s="44">
        <f>+IFERROR(VLOOKUP($BZ$16,Sheet1!AX9:BA9,3,0),0)</f>
        <v>0</v>
      </c>
      <c r="CA25" s="46">
        <f>+IFERROR(VLOOKUP($CA$16,Sheet1!BB9:BE9,3,0),0)</f>
        <v>0</v>
      </c>
      <c r="CB25" s="48">
        <f>+IFERROR(VLOOKUP($CB$16,Sheet1!BF9:BI9,3,0),0)</f>
        <v>0</v>
      </c>
      <c r="CC25" s="49">
        <f>+IFERROR(VLOOKUP($CC$16,Sheet1!BJ9:BM9,3,0),0)</f>
        <v>0</v>
      </c>
      <c r="CD25" s="50">
        <f>+IFERROR(VLOOKUP($CD$16,Sheet1!BN9:BQ9,3,0),0)</f>
        <v>0</v>
      </c>
      <c r="CE25" s="38">
        <f>+IFERROR(VLOOKUP($CE$16,Sheet1!BR9:BU9,3,0),0)</f>
        <v>0</v>
      </c>
      <c r="CF25" s="44">
        <f>+IFERROR(VLOOKUP($CF$16,Sheet1!BV9:BY9,3,0),0)</f>
        <v>0</v>
      </c>
      <c r="CG25" s="67">
        <f>Sheet1!E9</f>
        <v>0</v>
      </c>
      <c r="CH25" s="68">
        <f>Sheet1!CX9</f>
        <v>0</v>
      </c>
      <c r="CI25" s="68">
        <f>Sheet1!CY9</f>
        <v>0</v>
      </c>
      <c r="CJ25" s="68">
        <f>Sheet1!CZ9</f>
        <v>0</v>
      </c>
      <c r="CK25" s="23">
        <f>Sheet1!BZ9</f>
        <v>0</v>
      </c>
      <c r="CL25" s="23">
        <f t="shared" si="6"/>
        <v>0</v>
      </c>
      <c r="CM25" s="24">
        <f>Sheet1!CB9</f>
        <v>0</v>
      </c>
      <c r="CN25" s="23">
        <f t="shared" si="7"/>
        <v>0</v>
      </c>
      <c r="CO25" s="95">
        <f>Sheet1!CD9</f>
        <v>0</v>
      </c>
      <c r="CP25" s="23">
        <f t="shared" si="8"/>
        <v>0</v>
      </c>
      <c r="CQ25" s="95">
        <f>Sheet1!CF9</f>
        <v>0</v>
      </c>
      <c r="CR25" s="23">
        <f t="shared" si="9"/>
        <v>0</v>
      </c>
      <c r="CS25" s="23">
        <f t="shared" si="10"/>
        <v>0</v>
      </c>
      <c r="CT25" s="95">
        <f>Sheet1!CI9</f>
        <v>0</v>
      </c>
      <c r="CU25" s="6">
        <f t="shared" si="11"/>
        <v>0</v>
      </c>
      <c r="CV25" s="95">
        <f>Sheet1!CK9</f>
        <v>0</v>
      </c>
      <c r="CW25" s="6">
        <f t="shared" si="12"/>
        <v>0</v>
      </c>
      <c r="CX25" s="95">
        <f>Sheet1!CM9</f>
        <v>0</v>
      </c>
      <c r="CY25" s="6">
        <f t="shared" si="13"/>
        <v>0</v>
      </c>
    </row>
    <row r="26" spans="1:103" s="22" customFormat="1" hidden="1" x14ac:dyDescent="0.25">
      <c r="A26" s="6">
        <f>Sheet1!A10</f>
        <v>0</v>
      </c>
      <c r="B26" s="87">
        <f>Sheet1!B10</f>
        <v>0</v>
      </c>
      <c r="C26" s="6">
        <f>Sheet1!C10</f>
        <v>0</v>
      </c>
      <c r="D26" s="6">
        <f>Sheet1!D10</f>
        <v>0</v>
      </c>
      <c r="E26" s="23">
        <f t="shared" si="1"/>
        <v>0</v>
      </c>
      <c r="F26" s="98">
        <f>Sheet1!CP10</f>
        <v>0</v>
      </c>
      <c r="G26" s="28">
        <f t="shared" si="2"/>
        <v>0</v>
      </c>
      <c r="H26" s="29">
        <f>Sheet1!CR10</f>
        <v>0</v>
      </c>
      <c r="I26" s="28">
        <f t="shared" si="3"/>
        <v>0</v>
      </c>
      <c r="J26" s="28">
        <f t="shared" si="4"/>
        <v>0</v>
      </c>
      <c r="K26" s="79">
        <f>Sheet1!CU10</f>
        <v>0</v>
      </c>
      <c r="L26" s="76">
        <f>Sheet1!CV10</f>
        <v>0</v>
      </c>
      <c r="M26" s="23">
        <f t="shared" si="5"/>
        <v>0</v>
      </c>
      <c r="N26" s="71">
        <f>+IFERROR(VLOOKUP($N$16,Sheet1!J10:L10,3,0),0)</f>
        <v>0</v>
      </c>
      <c r="O26" s="71">
        <f>+IFERROR(VLOOKUP($O$16,Sheet1!J10:L10,3,0),0)</f>
        <v>0</v>
      </c>
      <c r="P26" s="71">
        <f>+IFERROR(VLOOKUP($P$16,Sheet1!J10:M10,3,0),0)</f>
        <v>0</v>
      </c>
      <c r="Q26" s="71">
        <f>+IFERROR(VLOOKUP($Q$16,Sheet1!J10:M10,3,0),0)</f>
        <v>0</v>
      </c>
      <c r="R26" s="71">
        <f>+IFERROR(VLOOKUP($R$16,Sheet1!J10:M10,3,0),0)</f>
        <v>0</v>
      </c>
      <c r="S26" s="71">
        <f>+IFERROR(VLOOKUP($S$16,Sheet1!J10:M10,3,0),0)</f>
        <v>0</v>
      </c>
      <c r="T26" s="71">
        <f>+IFERROR(VLOOKUP($T$16,Sheet1!J10:M10,3,0),0)</f>
        <v>0</v>
      </c>
      <c r="U26" s="71">
        <f>+IFERROR(VLOOKUP($U$16,Sheet1!J10:M10,3,0),0)</f>
        <v>0</v>
      </c>
      <c r="V26" s="72">
        <f>+IFERROR(VLOOKUP($V$16,Sheet1!N10:Q10,3,0),0)</f>
        <v>0</v>
      </c>
      <c r="W26" s="72">
        <f>+IFERROR(VLOOKUP($W$16,Sheet1!N10:Q10,3,0),0)</f>
        <v>0</v>
      </c>
      <c r="X26" s="73">
        <f>+IFERROR(VLOOKUP($X$16,Sheet1!F10:I10,3,0),0)</f>
        <v>0</v>
      </c>
      <c r="Y26" s="73">
        <f>+IFERROR(VLOOKUP($Y$16,Sheet1!F10:I10,3,0),0)</f>
        <v>0</v>
      </c>
      <c r="Z26" s="73">
        <f>+IFERROR(VLOOKUP($Z$16,Sheet1!F10:I10,3,0),0)</f>
        <v>0</v>
      </c>
      <c r="AA26" s="73">
        <f>+IFERROR(VLOOKUP($AA$16,Sheet1!F10:I10,3,0),0)</f>
        <v>0</v>
      </c>
      <c r="AB26" s="73">
        <f>+IFERROR(VLOOKUP($AB$16,Sheet1!F10:I10,3,0),0)</f>
        <v>0</v>
      </c>
      <c r="AC26" s="73">
        <f>+IFERROR(VLOOKUP($AC$16,Sheet1!F10:I10,3,0),0)</f>
        <v>0</v>
      </c>
      <c r="AD26" s="73">
        <f>+IFERROR(VLOOKUP($AD$16,Sheet1!F10:I10,3,0),0)</f>
        <v>0</v>
      </c>
      <c r="AE26" s="73">
        <f>+IFERROR(VLOOKUP($AE$16,Sheet1!F10:I10,3,0),0)</f>
        <v>0</v>
      </c>
      <c r="AF26" s="74">
        <f>+IFERROR(VLOOKUP($AF$16,Sheet1!R10:U10,3,0),0)</f>
        <v>0</v>
      </c>
      <c r="AG26" s="32">
        <f>+IFERROR(VLOOKUP($AG$16,Sheet1!R10:U10,3,0),0)</f>
        <v>0</v>
      </c>
      <c r="AH26" s="75">
        <f>+IFERROR(VLOOKUP($AH$16,Sheet1!V10:Y10,3,0),0)</f>
        <v>0</v>
      </c>
      <c r="AI26" s="33">
        <f>+IFERROR(VLOOKUP($AI$16,Sheet1!V10:Y10,3,0),0)</f>
        <v>0</v>
      </c>
      <c r="AJ26" s="33">
        <f>+IFERROR(VLOOKUP($AJ$16,Sheet1!V10:Y10,3,0),0)</f>
        <v>0</v>
      </c>
      <c r="AK26" s="33">
        <f>+IFERROR(VLOOKUP($AK$16,Sheet1!V10:Y10,3,0),0)</f>
        <v>0</v>
      </c>
      <c r="AL26" s="33">
        <f>+IFERROR(VLOOKUP($AL$16,Sheet1!V10:Y10,3,0),0)</f>
        <v>0</v>
      </c>
      <c r="AM26" s="33">
        <f>+IFERROR(VLOOKUP($AM$16,Sheet1!V10:Y10,3,0),0)</f>
        <v>0</v>
      </c>
      <c r="AN26" s="33">
        <f>+IFERROR(VLOOKUP($AN$16,Sheet1!V10:Y10,3,0),0)</f>
        <v>0</v>
      </c>
      <c r="AO26" s="33">
        <f>+IFERROR(VLOOKUP($AO$16,Sheet1!V10:Y10,3,0),0)</f>
        <v>0</v>
      </c>
      <c r="AP26" s="33">
        <f>+IFERROR(VLOOKUP($AP$16,Sheet1!V10:Y10,3,0),0)</f>
        <v>0</v>
      </c>
      <c r="AQ26" s="36">
        <f>+IFERROR(VLOOKUP($AQ$16,Sheet1!Z10:AB10,3,0),0)</f>
        <v>0</v>
      </c>
      <c r="AR26" s="37">
        <f>+IFERROR(VLOOKUP($AR$16,Sheet1!AD10:AG10,3,0),0)</f>
        <v>0</v>
      </c>
      <c r="AS26" s="37">
        <f>+IFERROR(VLOOKUP($AS$16,Sheet1!AD10:AG10,3,0),0)</f>
        <v>0</v>
      </c>
      <c r="AT26" s="37">
        <f>+IFERROR(VLOOKUP($AT$16,Sheet1!AD10:AG10,3,0),0)</f>
        <v>0</v>
      </c>
      <c r="AU26" s="37">
        <f>+IFERROR(VLOOKUP($AU$16,Sheet1!AD10:AG10,3,0),0)</f>
        <v>0</v>
      </c>
      <c r="AV26" s="37">
        <f>+IFERROR(VLOOKUP($AV$16,Sheet1!AD10:AG10,3,0),0)</f>
        <v>0</v>
      </c>
      <c r="AW26" s="37">
        <f>+IFERROR(VLOOKUP($AW$16,Sheet1!AD10:AG10,3,0),0)</f>
        <v>0</v>
      </c>
      <c r="AX26" s="37">
        <f>+IFERROR(VLOOKUP($AX$16,Sheet1!AD10:AG10,3,0),0)</f>
        <v>0</v>
      </c>
      <c r="AY26" s="37">
        <f>+IFERROR(VLOOKUP($AY$16,Sheet1!AD10:AG10,3,0),0)</f>
        <v>0</v>
      </c>
      <c r="AZ26" s="37">
        <f>+IFERROR(VLOOKUP($AZ$16,Sheet1!AD10:AG10,3,0),0)</f>
        <v>0</v>
      </c>
      <c r="BA26" s="36">
        <f>+IFERROR(VLOOKUP($BA$16,Sheet1!AH10:AK10,3,0),0)</f>
        <v>0</v>
      </c>
      <c r="BB26" s="36">
        <f>+IFERROR(VLOOKUP($BB$16,Sheet1!AH10:AK10,3,0),0)</f>
        <v>0</v>
      </c>
      <c r="BC26" s="36">
        <f>+IFERROR(VLOOKUP($BC$16,Sheet1!AH10:AK10,3,0),0)</f>
        <v>0</v>
      </c>
      <c r="BD26" s="36">
        <f>+IFERROR(VLOOKUP($BD$16,Sheet1!AH10:AK10,3,0),0)</f>
        <v>0</v>
      </c>
      <c r="BE26" s="36">
        <f>+IFERROR(VLOOKUP($BE$16,Sheet1!AH10:AK10,3,0),0)</f>
        <v>0</v>
      </c>
      <c r="BF26" s="36">
        <f>+IFERROR(VLOOKUP($BF$16,Sheet1!AH10:AK10,3,0),0)</f>
        <v>0</v>
      </c>
      <c r="BG26" s="36">
        <f>+IFERROR(VLOOKUP($BG$16,Sheet1!AH10:AK10,3,0),0)</f>
        <v>0</v>
      </c>
      <c r="BH26" s="36">
        <f>+IFERROR(VLOOKUP($BH$16,Sheet1!AH10:AK10,3,0),0)</f>
        <v>0</v>
      </c>
      <c r="BI26" s="36">
        <f>+IFERROR(VLOOKUP($BI$16,Sheet1!AH10:AK10,3,0),0)</f>
        <v>0</v>
      </c>
      <c r="BJ26" s="36">
        <f>+IFERROR(VLOOKUP($BJ$16,Sheet1!AH10:AK10,3,0),0)</f>
        <v>0</v>
      </c>
      <c r="BK26" s="36">
        <f>+IFERROR(VLOOKUP($BK$16,Sheet1!AH10:AK10,3,0),0)</f>
        <v>0</v>
      </c>
      <c r="BL26" s="9">
        <f>+IFERROR(VLOOKUP($BL$16,Sheet1!AL10:AO10,3,0),0)</f>
        <v>0</v>
      </c>
      <c r="BM26" s="9">
        <f>+IFERROR(VLOOKUP($BM$16,Sheet1!AL10:AO10,3,0),0)</f>
        <v>0</v>
      </c>
      <c r="BN26" s="9">
        <f>+IFERROR(VLOOKUP($BN$16,Sheet1!AL10:AO10,3,0),0)</f>
        <v>0</v>
      </c>
      <c r="BO26" s="9">
        <f>+IFERROR(VLOOKUP($BO$16,Sheet1!AL10:AO10,3,0),0)</f>
        <v>0</v>
      </c>
      <c r="BP26" s="9">
        <f>+IFERROR(VLOOKUP($BP$16,Sheet1!AL10:AO10,3,0),0)</f>
        <v>0</v>
      </c>
      <c r="BQ26" s="9">
        <f>+IFERROR(VLOOKUP($BQ$16,Sheet1!AL10:AO10,3,0),0)</f>
        <v>0</v>
      </c>
      <c r="BR26" s="9">
        <f>+IFERROR(VLOOKUP($BR$16,Sheet1!AL10:AO10,3,0),0)</f>
        <v>0</v>
      </c>
      <c r="BS26" s="9">
        <f>+IFERROR(VLOOKUP($BS$16,Sheet1!AL10:AO10,3,0),0)</f>
        <v>0</v>
      </c>
      <c r="BT26" s="9">
        <f>+IFERROR(VLOOKUP($BT$16,Sheet1!AL10:AO10,3,0),0)</f>
        <v>0</v>
      </c>
      <c r="BU26" s="9">
        <f>+IFERROR(VLOOKUP($BU$16,Sheet1!AL10:AO10,3,0),0)</f>
        <v>0</v>
      </c>
      <c r="BV26" s="9">
        <f>+IFERROR(VLOOKUP($BV$16,Sheet1!AL10:AO10,3,0),0)</f>
        <v>0</v>
      </c>
      <c r="BW26" s="9">
        <f>+IFERROR(VLOOKUP($BW$16,Sheet1!AL10:AO10,3,0),0)</f>
        <v>0</v>
      </c>
      <c r="BX26" s="40">
        <f>+IFERROR(VLOOKUP($BX$16,Sheet1!AP10:AS10,3,0),0)</f>
        <v>0</v>
      </c>
      <c r="BY26" s="43">
        <f>+IFERROR(VLOOKUP($BY$16,Sheet1!AT10:AW10,3,0),0)</f>
        <v>0</v>
      </c>
      <c r="BZ26" s="44">
        <f>+IFERROR(VLOOKUP($BZ$16,Sheet1!AX10:BA10,3,0),0)</f>
        <v>0</v>
      </c>
      <c r="CA26" s="46">
        <f>+IFERROR(VLOOKUP($CA$16,Sheet1!BB10:BE10,3,0),0)</f>
        <v>0</v>
      </c>
      <c r="CB26" s="48">
        <f>+IFERROR(VLOOKUP($CB$16,Sheet1!BF10:BI10,3,0),0)</f>
        <v>0</v>
      </c>
      <c r="CC26" s="49">
        <f>+IFERROR(VLOOKUP($CC$16,Sheet1!BJ10:BM10,3,0),0)</f>
        <v>0</v>
      </c>
      <c r="CD26" s="50">
        <f>+IFERROR(VLOOKUP($CD$16,Sheet1!BN10:BQ10,3,0),0)</f>
        <v>0</v>
      </c>
      <c r="CE26" s="38">
        <f>+IFERROR(VLOOKUP($CE$16,Sheet1!BR10:BU10,3,0),0)</f>
        <v>0</v>
      </c>
      <c r="CF26" s="44">
        <f>+IFERROR(VLOOKUP($CF$16,Sheet1!BV10:BY10,3,0),0)</f>
        <v>0</v>
      </c>
      <c r="CG26" s="67">
        <f>Sheet1!E10</f>
        <v>0</v>
      </c>
      <c r="CH26" s="68">
        <f>Sheet1!CX10</f>
        <v>0</v>
      </c>
      <c r="CI26" s="68">
        <f>Sheet1!CY10</f>
        <v>0</v>
      </c>
      <c r="CJ26" s="68">
        <f>Sheet1!CZ10</f>
        <v>0</v>
      </c>
      <c r="CK26" s="23">
        <f>Sheet1!BZ10</f>
        <v>0</v>
      </c>
      <c r="CL26" s="23">
        <f t="shared" si="6"/>
        <v>0</v>
      </c>
      <c r="CM26" s="24">
        <f>Sheet1!CB10</f>
        <v>0</v>
      </c>
      <c r="CN26" s="23">
        <f t="shared" si="7"/>
        <v>0</v>
      </c>
      <c r="CO26" s="95">
        <f>Sheet1!CD10</f>
        <v>0</v>
      </c>
      <c r="CP26" s="23">
        <f t="shared" si="8"/>
        <v>0</v>
      </c>
      <c r="CQ26" s="95">
        <f>Sheet1!CF10</f>
        <v>0</v>
      </c>
      <c r="CR26" s="23">
        <f t="shared" si="9"/>
        <v>0</v>
      </c>
      <c r="CS26" s="23">
        <f t="shared" si="10"/>
        <v>0</v>
      </c>
      <c r="CT26" s="95">
        <f>Sheet1!CI10</f>
        <v>0</v>
      </c>
      <c r="CU26" s="6">
        <f t="shared" si="11"/>
        <v>0</v>
      </c>
      <c r="CV26" s="95">
        <f>Sheet1!CK10</f>
        <v>0</v>
      </c>
      <c r="CW26" s="6">
        <f t="shared" si="12"/>
        <v>0</v>
      </c>
      <c r="CX26" s="95">
        <f>Sheet1!CM10</f>
        <v>0</v>
      </c>
      <c r="CY26" s="6">
        <f t="shared" si="13"/>
        <v>0</v>
      </c>
    </row>
    <row r="27" spans="1:103" s="22" customFormat="1" hidden="1" x14ac:dyDescent="0.25">
      <c r="A27" s="6">
        <f>Sheet1!A11</f>
        <v>0</v>
      </c>
      <c r="B27" s="87">
        <f>Sheet1!B11</f>
        <v>0</v>
      </c>
      <c r="C27" s="6">
        <f>Sheet1!C11</f>
        <v>0</v>
      </c>
      <c r="D27" s="6">
        <f>Sheet1!D11</f>
        <v>0</v>
      </c>
      <c r="E27" s="23">
        <f t="shared" si="1"/>
        <v>0</v>
      </c>
      <c r="F27" s="98">
        <f>Sheet1!CP11</f>
        <v>0</v>
      </c>
      <c r="G27" s="28">
        <f t="shared" si="2"/>
        <v>0</v>
      </c>
      <c r="H27" s="29">
        <f>Sheet1!CR11</f>
        <v>0</v>
      </c>
      <c r="I27" s="28">
        <f t="shared" si="3"/>
        <v>0</v>
      </c>
      <c r="J27" s="28">
        <f t="shared" si="4"/>
        <v>0</v>
      </c>
      <c r="K27" s="79">
        <f>Sheet1!CU11</f>
        <v>0</v>
      </c>
      <c r="L27" s="76">
        <f>Sheet1!CV11</f>
        <v>0</v>
      </c>
      <c r="M27" s="23">
        <f t="shared" si="5"/>
        <v>0</v>
      </c>
      <c r="N27" s="71">
        <f>+IFERROR(VLOOKUP($N$16,Sheet1!J11:L11,3,0),0)</f>
        <v>0</v>
      </c>
      <c r="O27" s="71">
        <f>+IFERROR(VLOOKUP($O$16,Sheet1!J11:L11,3,0),0)</f>
        <v>0</v>
      </c>
      <c r="P27" s="71">
        <f>+IFERROR(VLOOKUP($P$16,Sheet1!J11:M11,3,0),0)</f>
        <v>0</v>
      </c>
      <c r="Q27" s="71">
        <f>+IFERROR(VLOOKUP($Q$16,Sheet1!J11:M11,3,0),0)</f>
        <v>0</v>
      </c>
      <c r="R27" s="71">
        <f>+IFERROR(VLOOKUP($R$16,Sheet1!J11:M11,3,0),0)</f>
        <v>0</v>
      </c>
      <c r="S27" s="71">
        <f>+IFERROR(VLOOKUP($S$16,Sheet1!J11:M11,3,0),0)</f>
        <v>0</v>
      </c>
      <c r="T27" s="71">
        <f>+IFERROR(VLOOKUP($T$16,Sheet1!J11:M11,3,0),0)</f>
        <v>0</v>
      </c>
      <c r="U27" s="71">
        <f>+IFERROR(VLOOKUP($U$16,Sheet1!J11:M11,3,0),0)</f>
        <v>0</v>
      </c>
      <c r="V27" s="72">
        <f>+IFERROR(VLOOKUP($V$16,Sheet1!N11:Q11,3,0),0)</f>
        <v>0</v>
      </c>
      <c r="W27" s="72">
        <f>+IFERROR(VLOOKUP($W$16,Sheet1!N11:Q11,3,0),0)</f>
        <v>0</v>
      </c>
      <c r="X27" s="73">
        <f>+IFERROR(VLOOKUP($X$16,Sheet1!F11:I11,3,0),0)</f>
        <v>0</v>
      </c>
      <c r="Y27" s="73">
        <f>+IFERROR(VLOOKUP($Y$16,Sheet1!F11:I11,3,0),0)</f>
        <v>0</v>
      </c>
      <c r="Z27" s="73">
        <f>+IFERROR(VLOOKUP($Z$16,Sheet1!F11:I11,3,0),0)</f>
        <v>0</v>
      </c>
      <c r="AA27" s="73">
        <f>+IFERROR(VLOOKUP($AA$16,Sheet1!F11:I11,3,0),0)</f>
        <v>0</v>
      </c>
      <c r="AB27" s="73">
        <f>+IFERROR(VLOOKUP($AB$16,Sheet1!F11:I11,3,0),0)</f>
        <v>0</v>
      </c>
      <c r="AC27" s="73">
        <f>+IFERROR(VLOOKUP($AC$16,Sheet1!F11:I11,3,0),0)</f>
        <v>0</v>
      </c>
      <c r="AD27" s="73">
        <f>+IFERROR(VLOOKUP($AD$16,Sheet1!F11:I11,3,0),0)</f>
        <v>0</v>
      </c>
      <c r="AE27" s="73">
        <f>+IFERROR(VLOOKUP($AE$16,Sheet1!F11:I11,3,0),0)</f>
        <v>0</v>
      </c>
      <c r="AF27" s="74">
        <f>+IFERROR(VLOOKUP($AF$16,Sheet1!R11:U11,3,0),0)</f>
        <v>0</v>
      </c>
      <c r="AG27" s="32">
        <f>+IFERROR(VLOOKUP($AG$16,Sheet1!R11:U11,3,0),0)</f>
        <v>0</v>
      </c>
      <c r="AH27" s="75">
        <f>+IFERROR(VLOOKUP($AH$16,Sheet1!V11:Y11,3,0),0)</f>
        <v>0</v>
      </c>
      <c r="AI27" s="33">
        <f>+IFERROR(VLOOKUP($AI$16,Sheet1!V11:Y11,3,0),0)</f>
        <v>0</v>
      </c>
      <c r="AJ27" s="33">
        <f>+IFERROR(VLOOKUP($AJ$16,Sheet1!V11:Y11,3,0),0)</f>
        <v>0</v>
      </c>
      <c r="AK27" s="33">
        <f>+IFERROR(VLOOKUP($AK$16,Sheet1!V11:Y11,3,0),0)</f>
        <v>0</v>
      </c>
      <c r="AL27" s="33">
        <f>+IFERROR(VLOOKUP($AL$16,Sheet1!V11:Y11,3,0),0)</f>
        <v>0</v>
      </c>
      <c r="AM27" s="33">
        <f>+IFERROR(VLOOKUP($AM$16,Sheet1!V11:Y11,3,0),0)</f>
        <v>0</v>
      </c>
      <c r="AN27" s="33">
        <f>+IFERROR(VLOOKUP($AN$16,Sheet1!V11:Y11,3,0),0)</f>
        <v>0</v>
      </c>
      <c r="AO27" s="33">
        <f>+IFERROR(VLOOKUP($AO$16,Sheet1!V11:Y11,3,0),0)</f>
        <v>0</v>
      </c>
      <c r="AP27" s="33">
        <f>+IFERROR(VLOOKUP($AP$16,Sheet1!V11:Y11,3,0),0)</f>
        <v>0</v>
      </c>
      <c r="AQ27" s="36">
        <f>+IFERROR(VLOOKUP($AQ$16,Sheet1!Z11:AB11,3,0),0)</f>
        <v>0</v>
      </c>
      <c r="AR27" s="37">
        <f>+IFERROR(VLOOKUP($AR$16,Sheet1!AD11:AG11,3,0),0)</f>
        <v>0</v>
      </c>
      <c r="AS27" s="37">
        <f>+IFERROR(VLOOKUP($AS$16,Sheet1!AD11:AG11,3,0),0)</f>
        <v>0</v>
      </c>
      <c r="AT27" s="37">
        <f>+IFERROR(VLOOKUP($AT$16,Sheet1!AD11:AG11,3,0),0)</f>
        <v>0</v>
      </c>
      <c r="AU27" s="37">
        <f>+IFERROR(VLOOKUP($AU$16,Sheet1!AD11:AG11,3,0),0)</f>
        <v>0</v>
      </c>
      <c r="AV27" s="37">
        <f>+IFERROR(VLOOKUP($AV$16,Sheet1!AD11:AG11,3,0),0)</f>
        <v>0</v>
      </c>
      <c r="AW27" s="37">
        <f>+IFERROR(VLOOKUP($AW$16,Sheet1!AD11:AG11,3,0),0)</f>
        <v>0</v>
      </c>
      <c r="AX27" s="37">
        <f>+IFERROR(VLOOKUP($AX$16,Sheet1!AD11:AG11,3,0),0)</f>
        <v>0</v>
      </c>
      <c r="AY27" s="37">
        <f>+IFERROR(VLOOKUP($AY$16,Sheet1!AD11:AG11,3,0),0)</f>
        <v>0</v>
      </c>
      <c r="AZ27" s="37">
        <f>+IFERROR(VLOOKUP($AZ$16,Sheet1!AD11:AG11,3,0),0)</f>
        <v>0</v>
      </c>
      <c r="BA27" s="36">
        <f>+IFERROR(VLOOKUP($BA$16,Sheet1!AH11:AK11,3,0),0)</f>
        <v>0</v>
      </c>
      <c r="BB27" s="36">
        <f>+IFERROR(VLOOKUP($BB$16,Sheet1!AH11:AK11,3,0),0)</f>
        <v>0</v>
      </c>
      <c r="BC27" s="36">
        <f>+IFERROR(VLOOKUP($BC$16,Sheet1!AH11:AK11,3,0),0)</f>
        <v>0</v>
      </c>
      <c r="BD27" s="36">
        <f>+IFERROR(VLOOKUP($BD$16,Sheet1!AH11:AK11,3,0),0)</f>
        <v>0</v>
      </c>
      <c r="BE27" s="36">
        <f>+IFERROR(VLOOKUP($BE$16,Sheet1!AH11:AK11,3,0),0)</f>
        <v>0</v>
      </c>
      <c r="BF27" s="36">
        <f>+IFERROR(VLOOKUP($BF$16,Sheet1!AH11:AK11,3,0),0)</f>
        <v>0</v>
      </c>
      <c r="BG27" s="36">
        <f>+IFERROR(VLOOKUP($BG$16,Sheet1!AH11:AK11,3,0),0)</f>
        <v>0</v>
      </c>
      <c r="BH27" s="36">
        <f>+IFERROR(VLOOKUP($BH$16,Sheet1!AH11:AK11,3,0),0)</f>
        <v>0</v>
      </c>
      <c r="BI27" s="36">
        <f>+IFERROR(VLOOKUP($BI$16,Sheet1!AH11:AK11,3,0),0)</f>
        <v>0</v>
      </c>
      <c r="BJ27" s="36">
        <f>+IFERROR(VLOOKUP($BJ$16,Sheet1!AH11:AK11,3,0),0)</f>
        <v>0</v>
      </c>
      <c r="BK27" s="36">
        <f>+IFERROR(VLOOKUP($BK$16,Sheet1!AH11:AK11,3,0),0)</f>
        <v>0</v>
      </c>
      <c r="BL27" s="9">
        <f>+IFERROR(VLOOKUP($BL$16,Sheet1!AL11:AO11,3,0),0)</f>
        <v>0</v>
      </c>
      <c r="BM27" s="9">
        <f>+IFERROR(VLOOKUP($BM$16,Sheet1!AL11:AO11,3,0),0)</f>
        <v>0</v>
      </c>
      <c r="BN27" s="9">
        <f>+IFERROR(VLOOKUP($BN$16,Sheet1!AL11:AO11,3,0),0)</f>
        <v>0</v>
      </c>
      <c r="BO27" s="9">
        <f>+IFERROR(VLOOKUP($BO$16,Sheet1!AL11:AO11,3,0),0)</f>
        <v>0</v>
      </c>
      <c r="BP27" s="9">
        <f>+IFERROR(VLOOKUP($BP$16,Sheet1!AL11:AO11,3,0),0)</f>
        <v>0</v>
      </c>
      <c r="BQ27" s="9">
        <f>+IFERROR(VLOOKUP($BQ$16,Sheet1!AL11:AO11,3,0),0)</f>
        <v>0</v>
      </c>
      <c r="BR27" s="9">
        <f>+IFERROR(VLOOKUP($BR$16,Sheet1!AL11:AO11,3,0),0)</f>
        <v>0</v>
      </c>
      <c r="BS27" s="9">
        <f>+IFERROR(VLOOKUP($BS$16,Sheet1!AL11:AO11,3,0),0)</f>
        <v>0</v>
      </c>
      <c r="BT27" s="9">
        <f>+IFERROR(VLOOKUP($BT$16,Sheet1!AL11:AO11,3,0),0)</f>
        <v>0</v>
      </c>
      <c r="BU27" s="9">
        <f>+IFERROR(VLOOKUP($BU$16,Sheet1!AL11:AO11,3,0),0)</f>
        <v>0</v>
      </c>
      <c r="BV27" s="9">
        <f>+IFERROR(VLOOKUP($BV$16,Sheet1!AL11:AO11,3,0),0)</f>
        <v>0</v>
      </c>
      <c r="BW27" s="9">
        <f>+IFERROR(VLOOKUP($BW$16,Sheet1!AL11:AO11,3,0),0)</f>
        <v>0</v>
      </c>
      <c r="BX27" s="40">
        <f>+IFERROR(VLOOKUP($BX$16,Sheet1!AP11:AS11,3,0),0)</f>
        <v>0</v>
      </c>
      <c r="BY27" s="43">
        <f>+IFERROR(VLOOKUP($BY$16,Sheet1!AT11:AW11,3,0),0)</f>
        <v>0</v>
      </c>
      <c r="BZ27" s="44">
        <f>+IFERROR(VLOOKUP($BZ$16,Sheet1!AX11:BA11,3,0),0)</f>
        <v>0</v>
      </c>
      <c r="CA27" s="46">
        <f>+IFERROR(VLOOKUP($CA$16,Sheet1!BB11:BE11,3,0),0)</f>
        <v>0</v>
      </c>
      <c r="CB27" s="48">
        <f>+IFERROR(VLOOKUP($CB$16,Sheet1!BF11:BI11,3,0),0)</f>
        <v>0</v>
      </c>
      <c r="CC27" s="49">
        <f>+IFERROR(VLOOKUP($CC$16,Sheet1!BJ11:BM11,3,0),0)</f>
        <v>0</v>
      </c>
      <c r="CD27" s="50">
        <f>+IFERROR(VLOOKUP($CD$16,Sheet1!BN11:BQ11,3,0),0)</f>
        <v>0</v>
      </c>
      <c r="CE27" s="38">
        <f>+IFERROR(VLOOKUP($CE$16,Sheet1!BR11:BU11,3,0),0)</f>
        <v>0</v>
      </c>
      <c r="CF27" s="44">
        <f>+IFERROR(VLOOKUP($CF$16,Sheet1!BV11:BY11,3,0),0)</f>
        <v>0</v>
      </c>
      <c r="CG27" s="67">
        <f>Sheet1!E11</f>
        <v>0</v>
      </c>
      <c r="CH27" s="68">
        <f>Sheet1!CX11</f>
        <v>0</v>
      </c>
      <c r="CI27" s="68">
        <f>Sheet1!CY11</f>
        <v>0</v>
      </c>
      <c r="CJ27" s="68">
        <f>Sheet1!CZ11</f>
        <v>0</v>
      </c>
      <c r="CK27" s="23">
        <f>Sheet1!BZ11</f>
        <v>0</v>
      </c>
      <c r="CL27" s="23">
        <f t="shared" si="6"/>
        <v>0</v>
      </c>
      <c r="CM27" s="24">
        <f>Sheet1!CB11</f>
        <v>0</v>
      </c>
      <c r="CN27" s="23">
        <f t="shared" si="7"/>
        <v>0</v>
      </c>
      <c r="CO27" s="95">
        <f>Sheet1!CD11</f>
        <v>0</v>
      </c>
      <c r="CP27" s="23">
        <f t="shared" si="8"/>
        <v>0</v>
      </c>
      <c r="CQ27" s="95">
        <f>Sheet1!CF11</f>
        <v>0</v>
      </c>
      <c r="CR27" s="23">
        <f t="shared" si="9"/>
        <v>0</v>
      </c>
      <c r="CS27" s="23">
        <f t="shared" si="10"/>
        <v>0</v>
      </c>
      <c r="CT27" s="95">
        <f>Sheet1!CI11</f>
        <v>0</v>
      </c>
      <c r="CU27" s="6">
        <f t="shared" si="11"/>
        <v>0</v>
      </c>
      <c r="CV27" s="95">
        <f>Sheet1!CK11</f>
        <v>0</v>
      </c>
      <c r="CW27" s="6">
        <f t="shared" si="12"/>
        <v>0</v>
      </c>
      <c r="CX27" s="95">
        <f>Sheet1!CM11</f>
        <v>0</v>
      </c>
      <c r="CY27" s="6">
        <f t="shared" si="13"/>
        <v>0</v>
      </c>
    </row>
    <row r="28" spans="1:103" s="22" customFormat="1" hidden="1" x14ac:dyDescent="0.25">
      <c r="A28" s="6">
        <f>Sheet1!A12</f>
        <v>0</v>
      </c>
      <c r="B28" s="87">
        <f>Sheet1!B12</f>
        <v>0</v>
      </c>
      <c r="C28" s="6">
        <f>Sheet1!C12</f>
        <v>0</v>
      </c>
      <c r="D28" s="6">
        <f>Sheet1!D12</f>
        <v>0</v>
      </c>
      <c r="E28" s="23">
        <f t="shared" si="1"/>
        <v>0</v>
      </c>
      <c r="F28" s="98">
        <f>Sheet1!CP12</f>
        <v>0</v>
      </c>
      <c r="G28" s="28">
        <f t="shared" si="2"/>
        <v>0</v>
      </c>
      <c r="H28" s="29">
        <f>Sheet1!CR12</f>
        <v>0</v>
      </c>
      <c r="I28" s="28">
        <f t="shared" si="3"/>
        <v>0</v>
      </c>
      <c r="J28" s="28">
        <f t="shared" si="4"/>
        <v>0</v>
      </c>
      <c r="K28" s="79">
        <f>Sheet1!CU12</f>
        <v>0</v>
      </c>
      <c r="L28" s="76">
        <f>Sheet1!CV12</f>
        <v>0</v>
      </c>
      <c r="M28" s="23">
        <f t="shared" si="5"/>
        <v>0</v>
      </c>
      <c r="N28" s="71">
        <f>+IFERROR(VLOOKUP($N$16,Sheet1!J12:L12,3,0),0)</f>
        <v>0</v>
      </c>
      <c r="O28" s="71">
        <f>+IFERROR(VLOOKUP($O$16,Sheet1!J12:L12,3,0),0)</f>
        <v>0</v>
      </c>
      <c r="P28" s="71">
        <f>+IFERROR(VLOOKUP($P$16,Sheet1!J12:M12,3,0),0)</f>
        <v>0</v>
      </c>
      <c r="Q28" s="71">
        <f>+IFERROR(VLOOKUP($Q$16,Sheet1!J12:M12,3,0),0)</f>
        <v>0</v>
      </c>
      <c r="R28" s="71">
        <f>+IFERROR(VLOOKUP($R$16,Sheet1!J12:M12,3,0),0)</f>
        <v>0</v>
      </c>
      <c r="S28" s="71">
        <f>+IFERROR(VLOOKUP($S$16,Sheet1!J12:M12,3,0),0)</f>
        <v>0</v>
      </c>
      <c r="T28" s="71">
        <f>+IFERROR(VLOOKUP($T$16,Sheet1!J12:M12,3,0),0)</f>
        <v>0</v>
      </c>
      <c r="U28" s="71">
        <f>+IFERROR(VLOOKUP($U$16,Sheet1!J12:M12,3,0),0)</f>
        <v>0</v>
      </c>
      <c r="V28" s="72">
        <f>+IFERROR(VLOOKUP($V$16,Sheet1!N12:Q12,3,0),0)</f>
        <v>0</v>
      </c>
      <c r="W28" s="72">
        <f>+IFERROR(VLOOKUP($W$16,Sheet1!N12:Q12,3,0),0)</f>
        <v>0</v>
      </c>
      <c r="X28" s="73">
        <f>+IFERROR(VLOOKUP($X$16,Sheet1!F12:I12,3,0),0)</f>
        <v>0</v>
      </c>
      <c r="Y28" s="73">
        <f>+IFERROR(VLOOKUP($Y$16,Sheet1!F12:I12,3,0),0)</f>
        <v>0</v>
      </c>
      <c r="Z28" s="73">
        <f>+IFERROR(VLOOKUP($Z$16,Sheet1!F12:I12,3,0),0)</f>
        <v>0</v>
      </c>
      <c r="AA28" s="73">
        <f>+IFERROR(VLOOKUP($AA$16,Sheet1!F12:I12,3,0),0)</f>
        <v>0</v>
      </c>
      <c r="AB28" s="73">
        <f>+IFERROR(VLOOKUP($AB$16,Sheet1!F12:I12,3,0),0)</f>
        <v>0</v>
      </c>
      <c r="AC28" s="73">
        <f>+IFERROR(VLOOKUP($AC$16,Sheet1!F12:I12,3,0),0)</f>
        <v>0</v>
      </c>
      <c r="AD28" s="73">
        <f>+IFERROR(VLOOKUP($AD$16,Sheet1!F12:I12,3,0),0)</f>
        <v>0</v>
      </c>
      <c r="AE28" s="73">
        <f>+IFERROR(VLOOKUP($AE$16,Sheet1!F12:I12,3,0),0)</f>
        <v>0</v>
      </c>
      <c r="AF28" s="74">
        <f>+IFERROR(VLOOKUP($AF$16,Sheet1!R12:U12,3,0),0)</f>
        <v>0</v>
      </c>
      <c r="AG28" s="32">
        <f>+IFERROR(VLOOKUP($AG$16,Sheet1!R12:U12,3,0),0)</f>
        <v>0</v>
      </c>
      <c r="AH28" s="75">
        <f>+IFERROR(VLOOKUP($AH$16,Sheet1!V12:Y12,3,0),0)</f>
        <v>0</v>
      </c>
      <c r="AI28" s="33">
        <f>+IFERROR(VLOOKUP($AI$16,Sheet1!V12:Y12,3,0),0)</f>
        <v>0</v>
      </c>
      <c r="AJ28" s="33">
        <f>+IFERROR(VLOOKUP($AJ$16,Sheet1!V12:Y12,3,0),0)</f>
        <v>0</v>
      </c>
      <c r="AK28" s="33">
        <f>+IFERROR(VLOOKUP($AK$16,Sheet1!V12:Y12,3,0),0)</f>
        <v>0</v>
      </c>
      <c r="AL28" s="33">
        <f>+IFERROR(VLOOKUP($AL$16,Sheet1!V12:Y12,3,0),0)</f>
        <v>0</v>
      </c>
      <c r="AM28" s="33">
        <f>+IFERROR(VLOOKUP($AM$16,Sheet1!V12:Y12,3,0),0)</f>
        <v>0</v>
      </c>
      <c r="AN28" s="33">
        <f>+IFERROR(VLOOKUP($AN$16,Sheet1!V12:Y12,3,0),0)</f>
        <v>0</v>
      </c>
      <c r="AO28" s="33">
        <f>+IFERROR(VLOOKUP($AO$16,Sheet1!V12:Y12,3,0),0)</f>
        <v>0</v>
      </c>
      <c r="AP28" s="33">
        <f>+IFERROR(VLOOKUP($AP$16,Sheet1!V12:Y12,3,0),0)</f>
        <v>0</v>
      </c>
      <c r="AQ28" s="36">
        <f>+IFERROR(VLOOKUP($AQ$16,Sheet1!Z12:AB12,3,0),0)</f>
        <v>0</v>
      </c>
      <c r="AR28" s="37">
        <f>+IFERROR(VLOOKUP($AR$16,Sheet1!AD12:AG12,3,0),0)</f>
        <v>0</v>
      </c>
      <c r="AS28" s="37">
        <f>+IFERROR(VLOOKUP($AS$16,Sheet1!AD12:AG12,3,0),0)</f>
        <v>0</v>
      </c>
      <c r="AT28" s="37">
        <f>+IFERROR(VLOOKUP($AT$16,Sheet1!AD12:AG12,3,0),0)</f>
        <v>0</v>
      </c>
      <c r="AU28" s="37">
        <f>+IFERROR(VLOOKUP($AU$16,Sheet1!AD12:AG12,3,0),0)</f>
        <v>0</v>
      </c>
      <c r="AV28" s="37">
        <f>+IFERROR(VLOOKUP($AV$16,Sheet1!AD12:AG12,3,0),0)</f>
        <v>0</v>
      </c>
      <c r="AW28" s="37">
        <f>+IFERROR(VLOOKUP($AW$16,Sheet1!AD12:AG12,3,0),0)</f>
        <v>0</v>
      </c>
      <c r="AX28" s="37">
        <f>+IFERROR(VLOOKUP($AX$16,Sheet1!AD12:AG12,3,0),0)</f>
        <v>0</v>
      </c>
      <c r="AY28" s="37">
        <f>+IFERROR(VLOOKUP($AY$16,Sheet1!AD12:AG12,3,0),0)</f>
        <v>0</v>
      </c>
      <c r="AZ28" s="37">
        <f>+IFERROR(VLOOKUP($AZ$16,Sheet1!AD12:AG12,3,0),0)</f>
        <v>0</v>
      </c>
      <c r="BA28" s="36">
        <f>+IFERROR(VLOOKUP($BA$16,Sheet1!AH12:AK12,3,0),0)</f>
        <v>0</v>
      </c>
      <c r="BB28" s="36">
        <f>+IFERROR(VLOOKUP($BB$16,Sheet1!AH12:AK12,3,0),0)</f>
        <v>0</v>
      </c>
      <c r="BC28" s="36">
        <f>+IFERROR(VLOOKUP($BC$16,Sheet1!AH12:AK12,3,0),0)</f>
        <v>0</v>
      </c>
      <c r="BD28" s="36">
        <f>+IFERROR(VLOOKUP($BD$16,Sheet1!AH12:AK12,3,0),0)</f>
        <v>0</v>
      </c>
      <c r="BE28" s="36">
        <f>+IFERROR(VLOOKUP($BE$16,Sheet1!AH12:AK12,3,0),0)</f>
        <v>0</v>
      </c>
      <c r="BF28" s="36">
        <f>+IFERROR(VLOOKUP($BF$16,Sheet1!AH12:AK12,3,0),0)</f>
        <v>0</v>
      </c>
      <c r="BG28" s="36">
        <f>+IFERROR(VLOOKUP($BG$16,Sheet1!AH12:AK12,3,0),0)</f>
        <v>0</v>
      </c>
      <c r="BH28" s="36">
        <f>+IFERROR(VLOOKUP($BH$16,Sheet1!AH12:AK12,3,0),0)</f>
        <v>0</v>
      </c>
      <c r="BI28" s="36">
        <f>+IFERROR(VLOOKUP($BI$16,Sheet1!AH12:AK12,3,0),0)</f>
        <v>0</v>
      </c>
      <c r="BJ28" s="36">
        <f>+IFERROR(VLOOKUP($BJ$16,Sheet1!AH12:AK12,3,0),0)</f>
        <v>0</v>
      </c>
      <c r="BK28" s="36">
        <f>+IFERROR(VLOOKUP($BK$16,Sheet1!AH12:AK12,3,0),0)</f>
        <v>0</v>
      </c>
      <c r="BL28" s="9">
        <f>+IFERROR(VLOOKUP($BL$16,Sheet1!AL12:AO12,3,0),0)</f>
        <v>0</v>
      </c>
      <c r="BM28" s="9">
        <f>+IFERROR(VLOOKUP($BM$16,Sheet1!AL12:AO12,3,0),0)</f>
        <v>0</v>
      </c>
      <c r="BN28" s="9">
        <f>+IFERROR(VLOOKUP($BN$16,Sheet1!AL12:AO12,3,0),0)</f>
        <v>0</v>
      </c>
      <c r="BO28" s="9">
        <f>+IFERROR(VLOOKUP($BO$16,Sheet1!AL12:AO12,3,0),0)</f>
        <v>0</v>
      </c>
      <c r="BP28" s="9">
        <f>+IFERROR(VLOOKUP($BP$16,Sheet1!AL12:AO12,3,0),0)</f>
        <v>0</v>
      </c>
      <c r="BQ28" s="9">
        <f>+IFERROR(VLOOKUP($BQ$16,Sheet1!AL12:AO12,3,0),0)</f>
        <v>0</v>
      </c>
      <c r="BR28" s="9">
        <f>+IFERROR(VLOOKUP($BR$16,Sheet1!AL12:AO12,3,0),0)</f>
        <v>0</v>
      </c>
      <c r="BS28" s="9">
        <f>+IFERROR(VLOOKUP($BS$16,Sheet1!AL12:AO12,3,0),0)</f>
        <v>0</v>
      </c>
      <c r="BT28" s="9">
        <f>+IFERROR(VLOOKUP($BT$16,Sheet1!AL12:AO12,3,0),0)</f>
        <v>0</v>
      </c>
      <c r="BU28" s="9">
        <f>+IFERROR(VLOOKUP($BU$16,Sheet1!AL12:AO12,3,0),0)</f>
        <v>0</v>
      </c>
      <c r="BV28" s="9">
        <f>+IFERROR(VLOOKUP($BV$16,Sheet1!AL12:AO12,3,0),0)</f>
        <v>0</v>
      </c>
      <c r="BW28" s="9">
        <f>+IFERROR(VLOOKUP($BW$16,Sheet1!AL12:AO12,3,0),0)</f>
        <v>0</v>
      </c>
      <c r="BX28" s="40">
        <f>+IFERROR(VLOOKUP($BX$16,Sheet1!AP12:AS12,3,0),0)</f>
        <v>0</v>
      </c>
      <c r="BY28" s="43">
        <f>+IFERROR(VLOOKUP($BY$16,Sheet1!AT12:AW12,3,0),0)</f>
        <v>0</v>
      </c>
      <c r="BZ28" s="44">
        <f>+IFERROR(VLOOKUP($BZ$16,Sheet1!AX12:BA12,3,0),0)</f>
        <v>0</v>
      </c>
      <c r="CA28" s="46">
        <f>+IFERROR(VLOOKUP($CA$16,Sheet1!BB12:BE12,3,0),0)</f>
        <v>0</v>
      </c>
      <c r="CB28" s="48">
        <f>+IFERROR(VLOOKUP($CB$16,Sheet1!BF12:BI12,3,0),0)</f>
        <v>0</v>
      </c>
      <c r="CC28" s="49">
        <f>+IFERROR(VLOOKUP($CC$16,Sheet1!BJ12:BM12,3,0),0)</f>
        <v>0</v>
      </c>
      <c r="CD28" s="50">
        <f>+IFERROR(VLOOKUP($CD$16,Sheet1!BN12:BQ12,3,0),0)</f>
        <v>0</v>
      </c>
      <c r="CE28" s="38">
        <f>+IFERROR(VLOOKUP($CE$16,Sheet1!BR12:BU12,3,0),0)</f>
        <v>0</v>
      </c>
      <c r="CF28" s="44">
        <f>+IFERROR(VLOOKUP($CF$16,Sheet1!BV12:BY12,3,0),0)</f>
        <v>0</v>
      </c>
      <c r="CG28" s="67">
        <f>Sheet1!E12</f>
        <v>0</v>
      </c>
      <c r="CH28" s="68">
        <f>Sheet1!CX12</f>
        <v>0</v>
      </c>
      <c r="CI28" s="68">
        <f>Sheet1!CY12</f>
        <v>0</v>
      </c>
      <c r="CJ28" s="68">
        <f>Sheet1!CZ12</f>
        <v>0</v>
      </c>
      <c r="CK28" s="23">
        <f>Sheet1!BZ12</f>
        <v>0</v>
      </c>
      <c r="CL28" s="23">
        <f t="shared" si="6"/>
        <v>0</v>
      </c>
      <c r="CM28" s="24">
        <f>Sheet1!CB12</f>
        <v>0</v>
      </c>
      <c r="CN28" s="23">
        <f t="shared" si="7"/>
        <v>0</v>
      </c>
      <c r="CO28" s="95">
        <f>Sheet1!CD12</f>
        <v>0</v>
      </c>
      <c r="CP28" s="23">
        <f t="shared" si="8"/>
        <v>0</v>
      </c>
      <c r="CQ28" s="95">
        <f>Sheet1!CF12</f>
        <v>0</v>
      </c>
      <c r="CR28" s="23">
        <f t="shared" si="9"/>
        <v>0</v>
      </c>
      <c r="CS28" s="23">
        <f t="shared" si="10"/>
        <v>0</v>
      </c>
      <c r="CT28" s="95">
        <f>Sheet1!CI12</f>
        <v>0</v>
      </c>
      <c r="CU28" s="6">
        <f t="shared" si="11"/>
        <v>0</v>
      </c>
      <c r="CV28" s="95">
        <f>Sheet1!CK12</f>
        <v>0</v>
      </c>
      <c r="CW28" s="6">
        <f t="shared" si="12"/>
        <v>0</v>
      </c>
      <c r="CX28" s="95">
        <f>Sheet1!CM12</f>
        <v>0</v>
      </c>
      <c r="CY28" s="6">
        <f t="shared" si="13"/>
        <v>0</v>
      </c>
    </row>
    <row r="29" spans="1:103" s="22" customFormat="1" hidden="1" x14ac:dyDescent="0.25">
      <c r="A29" s="6">
        <f>Sheet1!A13</f>
        <v>0</v>
      </c>
      <c r="B29" s="87">
        <f>Sheet1!B13</f>
        <v>0</v>
      </c>
      <c r="C29" s="6">
        <f>Sheet1!C13</f>
        <v>0</v>
      </c>
      <c r="D29" s="6">
        <f>Sheet1!D13</f>
        <v>0</v>
      </c>
      <c r="E29" s="23">
        <f t="shared" si="1"/>
        <v>0</v>
      </c>
      <c r="F29" s="98">
        <f>Sheet1!CP13</f>
        <v>0</v>
      </c>
      <c r="G29" s="28">
        <f t="shared" si="2"/>
        <v>0</v>
      </c>
      <c r="H29" s="29">
        <f>Sheet1!CR13</f>
        <v>0</v>
      </c>
      <c r="I29" s="28">
        <f t="shared" si="3"/>
        <v>0</v>
      </c>
      <c r="J29" s="28">
        <f t="shared" si="4"/>
        <v>0</v>
      </c>
      <c r="K29" s="79">
        <f>Sheet1!CU13</f>
        <v>0</v>
      </c>
      <c r="L29" s="76">
        <f>Sheet1!CV13</f>
        <v>0</v>
      </c>
      <c r="M29" s="23">
        <f t="shared" si="5"/>
        <v>0</v>
      </c>
      <c r="N29" s="71">
        <f>+IFERROR(VLOOKUP($N$16,Sheet1!J13:L13,3,0),0)</f>
        <v>0</v>
      </c>
      <c r="O29" s="71">
        <f>+IFERROR(VLOOKUP($O$16,Sheet1!J13:L13,3,0),0)</f>
        <v>0</v>
      </c>
      <c r="P29" s="71">
        <f>+IFERROR(VLOOKUP($P$16,Sheet1!J13:M13,3,0),0)</f>
        <v>0</v>
      </c>
      <c r="Q29" s="71">
        <f>+IFERROR(VLOOKUP($Q$16,Sheet1!J13:M13,3,0),0)</f>
        <v>0</v>
      </c>
      <c r="R29" s="71">
        <f>+IFERROR(VLOOKUP($R$16,Sheet1!J13:M13,3,0),0)</f>
        <v>0</v>
      </c>
      <c r="S29" s="71">
        <f>+IFERROR(VLOOKUP($S$16,Sheet1!J13:M13,3,0),0)</f>
        <v>0</v>
      </c>
      <c r="T29" s="71">
        <f>+IFERROR(VLOOKUP($T$16,Sheet1!J13:M13,3,0),0)</f>
        <v>0</v>
      </c>
      <c r="U29" s="71">
        <f>+IFERROR(VLOOKUP($U$16,Sheet1!J13:M13,3,0),0)</f>
        <v>0</v>
      </c>
      <c r="V29" s="72">
        <f>+IFERROR(VLOOKUP($V$16,Sheet1!N13:Q13,3,0),0)</f>
        <v>0</v>
      </c>
      <c r="W29" s="72">
        <f>+IFERROR(VLOOKUP($W$16,Sheet1!N13:Q13,3,0),0)</f>
        <v>0</v>
      </c>
      <c r="X29" s="73">
        <f>+IFERROR(VLOOKUP($X$16,Sheet1!F13:I13,3,0),0)</f>
        <v>0</v>
      </c>
      <c r="Y29" s="73">
        <f>+IFERROR(VLOOKUP($Y$16,Sheet1!F13:I13,3,0),0)</f>
        <v>0</v>
      </c>
      <c r="Z29" s="73">
        <f>+IFERROR(VLOOKUP($Z$16,Sheet1!F13:I13,3,0),0)</f>
        <v>0</v>
      </c>
      <c r="AA29" s="73">
        <f>+IFERROR(VLOOKUP($AA$16,Sheet1!F13:I13,3,0),0)</f>
        <v>0</v>
      </c>
      <c r="AB29" s="73">
        <f>+IFERROR(VLOOKUP($AB$16,Sheet1!F13:I13,3,0),0)</f>
        <v>0</v>
      </c>
      <c r="AC29" s="73">
        <f>+IFERROR(VLOOKUP($AC$16,Sheet1!F13:I13,3,0),0)</f>
        <v>0</v>
      </c>
      <c r="AD29" s="73">
        <f>+IFERROR(VLOOKUP($AD$16,Sheet1!F13:I13,3,0),0)</f>
        <v>0</v>
      </c>
      <c r="AE29" s="73">
        <f>+IFERROR(VLOOKUP($AE$16,Sheet1!F13:I13,3,0),0)</f>
        <v>0</v>
      </c>
      <c r="AF29" s="74">
        <f>+IFERROR(VLOOKUP($AF$16,Sheet1!R13:U13,3,0),0)</f>
        <v>0</v>
      </c>
      <c r="AG29" s="32">
        <f>+IFERROR(VLOOKUP($AG$16,Sheet1!R13:U13,3,0),0)</f>
        <v>0</v>
      </c>
      <c r="AH29" s="75">
        <f>+IFERROR(VLOOKUP($AH$16,Sheet1!V13:Y13,3,0),0)</f>
        <v>0</v>
      </c>
      <c r="AI29" s="33">
        <f>+IFERROR(VLOOKUP($AI$16,Sheet1!V13:Y13,3,0),0)</f>
        <v>0</v>
      </c>
      <c r="AJ29" s="33">
        <f>+IFERROR(VLOOKUP($AJ$16,Sheet1!V13:Y13,3,0),0)</f>
        <v>0</v>
      </c>
      <c r="AK29" s="33">
        <f>+IFERROR(VLOOKUP($AK$16,Sheet1!V13:Y13,3,0),0)</f>
        <v>0</v>
      </c>
      <c r="AL29" s="33">
        <f>+IFERROR(VLOOKUP($AL$16,Sheet1!V13:Y13,3,0),0)</f>
        <v>0</v>
      </c>
      <c r="AM29" s="33">
        <f>+IFERROR(VLOOKUP($AM$16,Sheet1!V13:Y13,3,0),0)</f>
        <v>0</v>
      </c>
      <c r="AN29" s="33">
        <f>+IFERROR(VLOOKUP($AN$16,Sheet1!V13:Y13,3,0),0)</f>
        <v>0</v>
      </c>
      <c r="AO29" s="33">
        <f>+IFERROR(VLOOKUP($AO$16,Sheet1!V13:Y13,3,0),0)</f>
        <v>0</v>
      </c>
      <c r="AP29" s="33">
        <f>+IFERROR(VLOOKUP($AP$16,Sheet1!V13:Y13,3,0),0)</f>
        <v>0</v>
      </c>
      <c r="AQ29" s="36">
        <f>+IFERROR(VLOOKUP($AQ$16,Sheet1!Z13:AB13,3,0),0)</f>
        <v>0</v>
      </c>
      <c r="AR29" s="37">
        <f>+IFERROR(VLOOKUP($AR$16,Sheet1!AD13:AG13,3,0),0)</f>
        <v>0</v>
      </c>
      <c r="AS29" s="37">
        <f>+IFERROR(VLOOKUP($AS$16,Sheet1!AD13:AG13,3,0),0)</f>
        <v>0</v>
      </c>
      <c r="AT29" s="37">
        <f>+IFERROR(VLOOKUP($AT$16,Sheet1!AD13:AG13,3,0),0)</f>
        <v>0</v>
      </c>
      <c r="AU29" s="37">
        <f>+IFERROR(VLOOKUP($AU$16,Sheet1!AD13:AG13,3,0),0)</f>
        <v>0</v>
      </c>
      <c r="AV29" s="37">
        <f>+IFERROR(VLOOKUP($AV$16,Sheet1!AD13:AG13,3,0),0)</f>
        <v>0</v>
      </c>
      <c r="AW29" s="37">
        <f>+IFERROR(VLOOKUP($AW$16,Sheet1!AD13:AG13,3,0),0)</f>
        <v>0</v>
      </c>
      <c r="AX29" s="37">
        <f>+IFERROR(VLOOKUP($AX$16,Sheet1!AD13:AG13,3,0),0)</f>
        <v>0</v>
      </c>
      <c r="AY29" s="37">
        <f>+IFERROR(VLOOKUP($AY$16,Sheet1!AD13:AG13,3,0),0)</f>
        <v>0</v>
      </c>
      <c r="AZ29" s="37">
        <f>+IFERROR(VLOOKUP($AZ$16,Sheet1!AD13:AG13,3,0),0)</f>
        <v>0</v>
      </c>
      <c r="BA29" s="36">
        <f>+IFERROR(VLOOKUP($BA$16,Sheet1!AH13:AK13,3,0),0)</f>
        <v>0</v>
      </c>
      <c r="BB29" s="36">
        <f>+IFERROR(VLOOKUP($BB$16,Sheet1!AH13:AK13,3,0),0)</f>
        <v>0</v>
      </c>
      <c r="BC29" s="36">
        <f>+IFERROR(VLOOKUP($BC$16,Sheet1!AH13:AK13,3,0),0)</f>
        <v>0</v>
      </c>
      <c r="BD29" s="36">
        <f>+IFERROR(VLOOKUP($BD$16,Sheet1!AH13:AK13,3,0),0)</f>
        <v>0</v>
      </c>
      <c r="BE29" s="36">
        <f>+IFERROR(VLOOKUP($BE$16,Sheet1!AH13:AK13,3,0),0)</f>
        <v>0</v>
      </c>
      <c r="BF29" s="36">
        <f>+IFERROR(VLOOKUP($BF$16,Sheet1!AH13:AK13,3,0),0)</f>
        <v>0</v>
      </c>
      <c r="BG29" s="36">
        <f>+IFERROR(VLOOKUP($BG$16,Sheet1!AH13:AK13,3,0),0)</f>
        <v>0</v>
      </c>
      <c r="BH29" s="36">
        <f>+IFERROR(VLOOKUP($BH$16,Sheet1!AH13:AK13,3,0),0)</f>
        <v>0</v>
      </c>
      <c r="BI29" s="36">
        <f>+IFERROR(VLOOKUP($BI$16,Sheet1!AH13:AK13,3,0),0)</f>
        <v>0</v>
      </c>
      <c r="BJ29" s="36">
        <f>+IFERROR(VLOOKUP($BJ$16,Sheet1!AH13:AK13,3,0),0)</f>
        <v>0</v>
      </c>
      <c r="BK29" s="36">
        <f>+IFERROR(VLOOKUP($BK$16,Sheet1!AH13:AK13,3,0),0)</f>
        <v>0</v>
      </c>
      <c r="BL29" s="9">
        <f>+IFERROR(VLOOKUP($BL$16,Sheet1!AL13:AO13,3,0),0)</f>
        <v>0</v>
      </c>
      <c r="BM29" s="9">
        <f>+IFERROR(VLOOKUP($BM$16,Sheet1!AL13:AO13,3,0),0)</f>
        <v>0</v>
      </c>
      <c r="BN29" s="9">
        <f>+IFERROR(VLOOKUP($BN$16,Sheet1!AL13:AO13,3,0),0)</f>
        <v>0</v>
      </c>
      <c r="BO29" s="9">
        <f>+IFERROR(VLOOKUP($BO$16,Sheet1!AL13:AO13,3,0),0)</f>
        <v>0</v>
      </c>
      <c r="BP29" s="9">
        <f>+IFERROR(VLOOKUP($BP$16,Sheet1!AL13:AO13,3,0),0)</f>
        <v>0</v>
      </c>
      <c r="BQ29" s="9">
        <f>+IFERROR(VLOOKUP($BQ$16,Sheet1!AL13:AO13,3,0),0)</f>
        <v>0</v>
      </c>
      <c r="BR29" s="9">
        <f>+IFERROR(VLOOKUP($BR$16,Sheet1!AL13:AO13,3,0),0)</f>
        <v>0</v>
      </c>
      <c r="BS29" s="9">
        <f>+IFERROR(VLOOKUP($BS$16,Sheet1!AL13:AO13,3,0),0)</f>
        <v>0</v>
      </c>
      <c r="BT29" s="9">
        <f>+IFERROR(VLOOKUP($BT$16,Sheet1!AL13:AO13,3,0),0)</f>
        <v>0</v>
      </c>
      <c r="BU29" s="9">
        <f>+IFERROR(VLOOKUP($BU$16,Sheet1!AL13:AO13,3,0),0)</f>
        <v>0</v>
      </c>
      <c r="BV29" s="9">
        <f>+IFERROR(VLOOKUP($BV$16,Sheet1!AL13:AO13,3,0),0)</f>
        <v>0</v>
      </c>
      <c r="BW29" s="9">
        <f>+IFERROR(VLOOKUP($BW$16,Sheet1!AL13:AO13,3,0),0)</f>
        <v>0</v>
      </c>
      <c r="BX29" s="40">
        <f>+IFERROR(VLOOKUP($BX$16,Sheet1!AP13:AS13,3,0),0)</f>
        <v>0</v>
      </c>
      <c r="BY29" s="43">
        <f>+IFERROR(VLOOKUP($BY$16,Sheet1!AT13:AW13,3,0),0)</f>
        <v>0</v>
      </c>
      <c r="BZ29" s="44">
        <f>+IFERROR(VLOOKUP($BZ$16,Sheet1!AX13:BA13,3,0),0)</f>
        <v>0</v>
      </c>
      <c r="CA29" s="46">
        <f>+IFERROR(VLOOKUP($CA$16,Sheet1!BB13:BE13,3,0),0)</f>
        <v>0</v>
      </c>
      <c r="CB29" s="48">
        <f>+IFERROR(VLOOKUP($CB$16,Sheet1!BF13:BI13,3,0),0)</f>
        <v>0</v>
      </c>
      <c r="CC29" s="49">
        <f>+IFERROR(VLOOKUP($CC$16,Sheet1!BJ13:BM13,3,0),0)</f>
        <v>0</v>
      </c>
      <c r="CD29" s="50">
        <f>+IFERROR(VLOOKUP($CD$16,Sheet1!BN13:BQ13,3,0),0)</f>
        <v>0</v>
      </c>
      <c r="CE29" s="38">
        <f>+IFERROR(VLOOKUP($CE$16,Sheet1!BR13:BU13,3,0),0)</f>
        <v>0</v>
      </c>
      <c r="CF29" s="44">
        <f>+IFERROR(VLOOKUP($CF$16,Sheet1!BV13:BY13,3,0),0)</f>
        <v>0</v>
      </c>
      <c r="CG29" s="67">
        <f>Sheet1!E13</f>
        <v>0</v>
      </c>
      <c r="CH29" s="68">
        <f>Sheet1!CX13</f>
        <v>0</v>
      </c>
      <c r="CI29" s="68">
        <f>Sheet1!CY13</f>
        <v>0</v>
      </c>
      <c r="CJ29" s="68">
        <f>Sheet1!CZ13</f>
        <v>0</v>
      </c>
      <c r="CK29" s="23">
        <f>Sheet1!BZ13</f>
        <v>0</v>
      </c>
      <c r="CL29" s="23">
        <f t="shared" si="6"/>
        <v>0</v>
      </c>
      <c r="CM29" s="24">
        <f>Sheet1!CB13</f>
        <v>0</v>
      </c>
      <c r="CN29" s="23">
        <f t="shared" si="7"/>
        <v>0</v>
      </c>
      <c r="CO29" s="95">
        <f>Sheet1!CD13</f>
        <v>0</v>
      </c>
      <c r="CP29" s="23">
        <f t="shared" si="8"/>
        <v>0</v>
      </c>
      <c r="CQ29" s="95">
        <f>Sheet1!CF13</f>
        <v>0</v>
      </c>
      <c r="CR29" s="23">
        <f t="shared" si="9"/>
        <v>0</v>
      </c>
      <c r="CS29" s="23">
        <f t="shared" si="10"/>
        <v>0</v>
      </c>
      <c r="CT29" s="95">
        <f>Sheet1!CI13</f>
        <v>0</v>
      </c>
      <c r="CU29" s="6">
        <f t="shared" si="11"/>
        <v>0</v>
      </c>
      <c r="CV29" s="95">
        <f>Sheet1!CK13</f>
        <v>0</v>
      </c>
      <c r="CW29" s="6">
        <f t="shared" si="12"/>
        <v>0</v>
      </c>
      <c r="CX29" s="95">
        <f>Sheet1!CM13</f>
        <v>0</v>
      </c>
      <c r="CY29" s="6">
        <f t="shared" si="13"/>
        <v>0</v>
      </c>
    </row>
    <row r="30" spans="1:103" x14ac:dyDescent="0.25">
      <c r="M30" s="182">
        <f>SUM(M18:M29)</f>
        <v>34655255.965840004</v>
      </c>
    </row>
    <row r="33" spans="4:62" ht="60" x14ac:dyDescent="0.25">
      <c r="E33" s="1" t="s">
        <v>126</v>
      </c>
      <c r="F33" s="1" t="s">
        <v>127</v>
      </c>
      <c r="G33" s="90" t="s">
        <v>128</v>
      </c>
      <c r="H33" s="1" t="s">
        <v>129</v>
      </c>
      <c r="I33" s="1" t="s">
        <v>130</v>
      </c>
      <c r="J33" s="1" t="s">
        <v>131</v>
      </c>
      <c r="K33" s="1" t="s">
        <v>132</v>
      </c>
      <c r="L33" s="1" t="s">
        <v>133</v>
      </c>
      <c r="M33" s="91" t="s">
        <v>134</v>
      </c>
      <c r="AL33" s="15" t="s">
        <v>290</v>
      </c>
      <c r="AQ33" s="15" t="s">
        <v>291</v>
      </c>
      <c r="AS33" s="15" t="s">
        <v>292</v>
      </c>
      <c r="BJ33" s="15" t="s">
        <v>293</v>
      </c>
    </row>
    <row r="34" spans="4:62" ht="30" x14ac:dyDescent="0.25">
      <c r="D34" s="15" t="str">
        <f>D18</f>
        <v>2 CORE X 2.5 SQ. MM. CU/ARD - WIRE (PVC)</v>
      </c>
      <c r="E34" s="92">
        <f>K18</f>
        <v>15</v>
      </c>
      <c r="F34" s="93">
        <f>CJ18/1000</f>
        <v>0.5</v>
      </c>
      <c r="G34" s="90" t="s">
        <v>289</v>
      </c>
      <c r="H34" s="94">
        <v>44500</v>
      </c>
      <c r="I34" s="93">
        <v>48</v>
      </c>
      <c r="J34" s="90">
        <f>F34*I34</f>
        <v>24</v>
      </c>
      <c r="K34" s="90">
        <f>ROUNDUP((E34/J34),0)</f>
        <v>1</v>
      </c>
      <c r="L34" s="90">
        <f>H34*K34</f>
        <v>44500</v>
      </c>
      <c r="M34" s="96">
        <f>L34/E34</f>
        <v>2966.6666666666665</v>
      </c>
      <c r="P34" s="180" t="str">
        <f>CH18</f>
        <v>MD0100003</v>
      </c>
      <c r="AL34" s="15">
        <f>SUM(P18:BO18)</f>
        <v>456</v>
      </c>
      <c r="AQ34" s="15">
        <f>60+15</f>
        <v>75</v>
      </c>
      <c r="AS34" s="15">
        <f>((AL34*F34)+AQ34)</f>
        <v>303</v>
      </c>
      <c r="BJ34" s="15">
        <f>AS34*I34</f>
        <v>14544</v>
      </c>
    </row>
    <row r="35" spans="4:62" ht="30" x14ac:dyDescent="0.25">
      <c r="D35" s="15" t="str">
        <f t="shared" ref="D35:D37" si="14">D19</f>
        <v>4 CORE X 2.5 SQ. MM. CU/ARD - WIRE (PVC)</v>
      </c>
      <c r="E35" s="92">
        <f t="shared" ref="E35:E37" si="15">K19</f>
        <v>25</v>
      </c>
      <c r="F35" s="93">
        <f t="shared" ref="F35:F37" si="16">CJ19/1000</f>
        <v>0.5</v>
      </c>
      <c r="G35" s="90" t="s">
        <v>289</v>
      </c>
      <c r="H35" s="94">
        <v>44500</v>
      </c>
      <c r="I35" s="93">
        <v>36</v>
      </c>
      <c r="J35" s="90">
        <f t="shared" ref="J35:J37" si="17">F35*I35</f>
        <v>18</v>
      </c>
      <c r="K35" s="90">
        <f t="shared" ref="K35:K37" si="18">ROUNDUP((E35/J35),0)</f>
        <v>2</v>
      </c>
      <c r="L35" s="90">
        <f t="shared" ref="L35:L37" si="19">H35*K35</f>
        <v>89000</v>
      </c>
      <c r="M35" s="96">
        <f t="shared" ref="M35:M37" si="20">L35/E35</f>
        <v>3560</v>
      </c>
      <c r="P35" s="180" t="str">
        <f t="shared" ref="P35:P37" si="21">CH19</f>
        <v>MD0100005</v>
      </c>
      <c r="AL35" s="15">
        <f t="shared" ref="AL35:AL37" si="22">SUM(P19:BO19)</f>
        <v>564</v>
      </c>
      <c r="AQ35" s="15">
        <f>65+20</f>
        <v>85</v>
      </c>
      <c r="AS35" s="15">
        <f t="shared" ref="AS35:AS37" si="23">((AL35*F35)+AQ35)</f>
        <v>367</v>
      </c>
      <c r="BJ35" s="15">
        <f t="shared" ref="BJ35:BJ37" si="24">AS35*I35</f>
        <v>13212</v>
      </c>
    </row>
    <row r="36" spans="4:62" ht="30" x14ac:dyDescent="0.25">
      <c r="D36" s="15" t="str">
        <f t="shared" si="14"/>
        <v>10 CORE X 2.5 SQ. MM. CU/ARD - WIRE (PVC)</v>
      </c>
      <c r="E36" s="92">
        <f t="shared" si="15"/>
        <v>35</v>
      </c>
      <c r="F36" s="93">
        <f t="shared" si="16"/>
        <v>0.5</v>
      </c>
      <c r="G36" s="90" t="s">
        <v>289</v>
      </c>
      <c r="H36" s="94">
        <v>44500</v>
      </c>
      <c r="I36" s="93">
        <v>24</v>
      </c>
      <c r="J36" s="90">
        <f t="shared" si="17"/>
        <v>12</v>
      </c>
      <c r="K36" s="90">
        <f t="shared" si="18"/>
        <v>3</v>
      </c>
      <c r="L36" s="90">
        <f t="shared" si="19"/>
        <v>133500</v>
      </c>
      <c r="M36" s="96">
        <f t="shared" si="20"/>
        <v>3814.2857142857142</v>
      </c>
      <c r="P36" s="180" t="str">
        <f t="shared" si="21"/>
        <v>MD0100066</v>
      </c>
      <c r="AL36" s="15">
        <f t="shared" si="22"/>
        <v>1053</v>
      </c>
      <c r="AQ36" s="15">
        <f>72+25</f>
        <v>97</v>
      </c>
      <c r="AS36" s="15">
        <f t="shared" si="23"/>
        <v>623.5</v>
      </c>
      <c r="BJ36" s="15">
        <f t="shared" si="24"/>
        <v>14964</v>
      </c>
    </row>
    <row r="37" spans="4:62" ht="30" x14ac:dyDescent="0.25">
      <c r="D37" s="15" t="str">
        <f t="shared" si="14"/>
        <v>12 CORE X 2.5 SQ. MM. CU/ARD - WIRE (PVC)</v>
      </c>
      <c r="E37" s="92">
        <f t="shared" si="15"/>
        <v>35</v>
      </c>
      <c r="F37" s="93">
        <f t="shared" si="16"/>
        <v>0.5</v>
      </c>
      <c r="G37" s="90" t="s">
        <v>289</v>
      </c>
      <c r="H37" s="94">
        <v>44500</v>
      </c>
      <c r="I37" s="93">
        <v>22</v>
      </c>
      <c r="J37" s="90">
        <f t="shared" si="17"/>
        <v>11</v>
      </c>
      <c r="K37" s="90">
        <f t="shared" si="18"/>
        <v>4</v>
      </c>
      <c r="L37" s="90">
        <f t="shared" si="19"/>
        <v>178000</v>
      </c>
      <c r="M37" s="96">
        <f t="shared" si="20"/>
        <v>5085.7142857142853</v>
      </c>
      <c r="P37" s="180" t="str">
        <f t="shared" si="21"/>
        <v>MD0100066</v>
      </c>
      <c r="AL37" s="15">
        <f t="shared" si="22"/>
        <v>1146</v>
      </c>
      <c r="AQ37" s="15">
        <f>72+25</f>
        <v>97</v>
      </c>
      <c r="AS37" s="15">
        <f t="shared" si="23"/>
        <v>670</v>
      </c>
      <c r="BJ37" s="15">
        <f t="shared" si="24"/>
        <v>14740</v>
      </c>
    </row>
    <row r="38" spans="4:62" x14ac:dyDescent="0.25">
      <c r="M38" s="97"/>
    </row>
    <row r="39" spans="4:62" x14ac:dyDescent="0.25">
      <c r="M39" s="97"/>
    </row>
    <row r="40" spans="4:62" x14ac:dyDescent="0.25">
      <c r="L40" s="183" t="s">
        <v>295</v>
      </c>
      <c r="M40" s="184">
        <v>28621519.5</v>
      </c>
    </row>
    <row r="41" spans="4:62" x14ac:dyDescent="0.25">
      <c r="L41" s="183" t="s">
        <v>294</v>
      </c>
      <c r="M41" s="184">
        <f>M30</f>
        <v>34655255.965840004</v>
      </c>
    </row>
    <row r="42" spans="4:62" x14ac:dyDescent="0.25">
      <c r="L42" s="183" t="s">
        <v>296</v>
      </c>
      <c r="M42" s="185">
        <f>((M41-M40)/M41)*100</f>
        <v>17.41073986522423</v>
      </c>
    </row>
    <row r="43" spans="4:62" x14ac:dyDescent="0.25">
      <c r="M43" s="97"/>
    </row>
    <row r="44" spans="4:62" x14ac:dyDescent="0.25">
      <c r="M44" s="97"/>
    </row>
    <row r="45" spans="4:62" x14ac:dyDescent="0.25">
      <c r="M45" s="97"/>
    </row>
    <row r="46" spans="4:62" x14ac:dyDescent="0.25">
      <c r="M46" s="97"/>
    </row>
    <row r="47" spans="4:62" x14ac:dyDescent="0.25">
      <c r="M47" s="97"/>
    </row>
    <row r="48" spans="4:62" x14ac:dyDescent="0.25">
      <c r="M48" s="97"/>
    </row>
    <row r="49" spans="13:13" x14ac:dyDescent="0.25">
      <c r="M49" s="97"/>
    </row>
    <row r="50" spans="13:13" x14ac:dyDescent="0.25">
      <c r="M50" s="97"/>
    </row>
    <row r="51" spans="13:13" x14ac:dyDescent="0.25">
      <c r="M51" s="97"/>
    </row>
    <row r="52" spans="13:13" x14ac:dyDescent="0.25">
      <c r="M52" s="97"/>
    </row>
    <row r="53" spans="13:13" x14ac:dyDescent="0.25">
      <c r="M53" s="97"/>
    </row>
    <row r="54" spans="13:13" x14ac:dyDescent="0.25">
      <c r="M54" s="97"/>
    </row>
    <row r="55" spans="13:13" x14ac:dyDescent="0.25">
      <c r="M55" s="97"/>
    </row>
    <row r="56" spans="13:13" x14ac:dyDescent="0.25">
      <c r="M56" s="97"/>
    </row>
    <row r="57" spans="13:13" x14ac:dyDescent="0.25">
      <c r="M57" s="97"/>
    </row>
    <row r="58" spans="13:13" x14ac:dyDescent="0.25">
      <c r="M58" s="97"/>
    </row>
    <row r="59" spans="13:13" x14ac:dyDescent="0.25">
      <c r="M59" s="97"/>
    </row>
    <row r="60" spans="13:13" x14ac:dyDescent="0.25">
      <c r="M60" s="97"/>
    </row>
    <row r="61" spans="13:13" x14ac:dyDescent="0.25">
      <c r="M61" s="97"/>
    </row>
    <row r="62" spans="13:13" x14ac:dyDescent="0.25">
      <c r="M62" s="97"/>
    </row>
    <row r="63" spans="13:13" x14ac:dyDescent="0.25">
      <c r="M63" s="97"/>
    </row>
    <row r="64" spans="13:13" x14ac:dyDescent="0.25">
      <c r="M64" s="97"/>
    </row>
    <row r="65" spans="13:13" x14ac:dyDescent="0.25">
      <c r="M65" s="97"/>
    </row>
    <row r="66" spans="13:13" x14ac:dyDescent="0.25">
      <c r="M66" s="97"/>
    </row>
    <row r="67" spans="13:13" x14ac:dyDescent="0.25">
      <c r="M67" s="97"/>
    </row>
    <row r="68" spans="13:13" x14ac:dyDescent="0.25">
      <c r="M68" s="97"/>
    </row>
    <row r="69" spans="13:13" x14ac:dyDescent="0.25">
      <c r="M69" s="97"/>
    </row>
    <row r="70" spans="13:13" x14ac:dyDescent="0.25">
      <c r="M70" s="97"/>
    </row>
    <row r="71" spans="13:13" x14ac:dyDescent="0.25">
      <c r="M71" s="97"/>
    </row>
    <row r="72" spans="13:13" x14ac:dyDescent="0.25">
      <c r="M72" s="97"/>
    </row>
    <row r="73" spans="13:13" x14ac:dyDescent="0.25">
      <c r="M73" s="97"/>
    </row>
    <row r="74" spans="13:13" x14ac:dyDescent="0.25">
      <c r="M74" s="97"/>
    </row>
    <row r="75" spans="13:13" x14ac:dyDescent="0.25">
      <c r="M75" s="97"/>
    </row>
    <row r="76" spans="13:13" x14ac:dyDescent="0.25">
      <c r="M76" s="97"/>
    </row>
    <row r="77" spans="13:13" x14ac:dyDescent="0.25">
      <c r="M77" s="97"/>
    </row>
    <row r="78" spans="13:13" x14ac:dyDescent="0.25">
      <c r="M78" s="97"/>
    </row>
    <row r="79" spans="13:13" x14ac:dyDescent="0.25">
      <c r="M79" s="97"/>
    </row>
    <row r="80" spans="13:13" x14ac:dyDescent="0.25">
      <c r="M80" s="97"/>
    </row>
    <row r="81" spans="13:13" x14ac:dyDescent="0.25">
      <c r="M81" s="97"/>
    </row>
  </sheetData>
  <sortState xmlns:xlrd2="http://schemas.microsoft.com/office/spreadsheetml/2017/richdata2" ref="A18:CY21">
    <sortCondition ref="F18:F21"/>
  </sortState>
  <mergeCells count="20">
    <mergeCell ref="CG15:CJ15"/>
    <mergeCell ref="AR15:AZ15"/>
    <mergeCell ref="BA15:BK15"/>
    <mergeCell ref="BL15:BW15"/>
    <mergeCell ref="N15:U15"/>
    <mergeCell ref="V15:W15"/>
    <mergeCell ref="X15:AE15"/>
    <mergeCell ref="AF15:AG15"/>
    <mergeCell ref="AH15:AP15"/>
    <mergeCell ref="A2:R2"/>
    <mergeCell ref="B4:R4"/>
    <mergeCell ref="B5:R5"/>
    <mergeCell ref="B6:R6"/>
    <mergeCell ref="B7:R7"/>
    <mergeCell ref="B13:R13"/>
    <mergeCell ref="B8:R8"/>
    <mergeCell ref="B9:R9"/>
    <mergeCell ref="B10:R10"/>
    <mergeCell ref="B11:R11"/>
    <mergeCell ref="B12:R1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6C6D7-C938-4B10-A01A-E945CB2B3452}">
  <sheetPr>
    <tabColor rgb="FFFF0000"/>
    <pageSetUpPr fitToPage="1"/>
  </sheetPr>
  <dimension ref="A1:AI21"/>
  <sheetViews>
    <sheetView showZeros="0" topLeftCell="A5" zoomScaleNormal="100" workbookViewId="0">
      <selection activeCell="I10" sqref="I10"/>
    </sheetView>
  </sheetViews>
  <sheetFormatPr defaultRowHeight="12.75" x14ac:dyDescent="0.2"/>
  <cols>
    <col min="1" max="1" width="54.140625" style="111" bestFit="1" customWidth="1"/>
    <col min="2" max="2" width="8.7109375" style="111" customWidth="1"/>
    <col min="3" max="4" width="12.42578125" style="111" customWidth="1"/>
    <col min="5" max="5" width="11.42578125" style="111" customWidth="1"/>
    <col min="6" max="7" width="9.42578125" style="111" customWidth="1"/>
    <col min="8" max="8" width="10.7109375" style="111" bestFit="1" customWidth="1"/>
    <col min="9" max="11" width="9.140625" style="111" customWidth="1"/>
    <col min="12" max="12" width="8.7109375" style="111" customWidth="1"/>
    <col min="13" max="14" width="7.42578125" style="111" customWidth="1"/>
    <col min="15" max="15" width="10.42578125" style="111" bestFit="1" customWidth="1"/>
    <col min="16" max="16" width="12" style="111" customWidth="1"/>
    <col min="17" max="17" width="12" style="111" bestFit="1" customWidth="1"/>
    <col min="18" max="18" width="11" style="111" customWidth="1"/>
    <col min="19" max="19" width="11" style="111" bestFit="1" customWidth="1"/>
    <col min="20" max="20" width="14.42578125" style="111" bestFit="1" customWidth="1"/>
    <col min="21" max="21" width="7.5703125" style="111" customWidth="1"/>
    <col min="22" max="26" width="9.5703125" style="111" customWidth="1"/>
    <col min="27" max="27" width="10.5703125" style="111" bestFit="1" customWidth="1"/>
    <col min="28" max="28" width="9.5703125" style="111" bestFit="1" customWidth="1"/>
    <col min="29" max="30" width="11.140625" style="111" bestFit="1" customWidth="1"/>
    <col min="31" max="32" width="9.140625" style="111"/>
    <col min="33" max="33" width="8" style="111" customWidth="1"/>
    <col min="34" max="34" width="7.85546875" style="111" customWidth="1"/>
    <col min="35" max="248" width="9.140625" style="111"/>
    <col min="249" max="249" width="54.140625" style="111" bestFit="1" customWidth="1"/>
    <col min="250" max="250" width="14.7109375" style="111" customWidth="1"/>
    <col min="251" max="251" width="10.140625" style="111" customWidth="1"/>
    <col min="252" max="252" width="10.42578125" style="111" bestFit="1" customWidth="1"/>
    <col min="253" max="254" width="9.42578125" style="111" bestFit="1" customWidth="1"/>
    <col min="255" max="256" width="9.42578125" style="111" customWidth="1"/>
    <col min="257" max="257" width="10.140625" style="111" bestFit="1" customWidth="1"/>
    <col min="258" max="261" width="9.140625" style="111"/>
    <col min="262" max="262" width="7.28515625" style="111" customWidth="1"/>
    <col min="263" max="265" width="7.42578125" style="111" customWidth="1"/>
    <col min="266" max="266" width="10.42578125" style="111" bestFit="1" customWidth="1"/>
    <col min="267" max="267" width="12" style="111" bestFit="1" customWidth="1"/>
    <col min="268" max="268" width="11" style="111" bestFit="1" customWidth="1"/>
    <col min="269" max="270" width="11" style="111" customWidth="1"/>
    <col min="271" max="271" width="10" style="111" bestFit="1" customWidth="1"/>
    <col min="272" max="272" width="14.42578125" style="111" bestFit="1" customWidth="1"/>
    <col min="273" max="283" width="0" style="111" hidden="1" customWidth="1"/>
    <col min="284" max="504" width="9.140625" style="111"/>
    <col min="505" max="505" width="54.140625" style="111" bestFit="1" customWidth="1"/>
    <col min="506" max="506" width="14.7109375" style="111" customWidth="1"/>
    <col min="507" max="507" width="10.140625" style="111" customWidth="1"/>
    <col min="508" max="508" width="10.42578125" style="111" bestFit="1" customWidth="1"/>
    <col min="509" max="510" width="9.42578125" style="111" bestFit="1" customWidth="1"/>
    <col min="511" max="512" width="9.42578125" style="111" customWidth="1"/>
    <col min="513" max="513" width="10.140625" style="111" bestFit="1" customWidth="1"/>
    <col min="514" max="517" width="9.140625" style="111"/>
    <col min="518" max="518" width="7.28515625" style="111" customWidth="1"/>
    <col min="519" max="521" width="7.42578125" style="111" customWidth="1"/>
    <col min="522" max="522" width="10.42578125" style="111" bestFit="1" customWidth="1"/>
    <col min="523" max="523" width="12" style="111" bestFit="1" customWidth="1"/>
    <col min="524" max="524" width="11" style="111" bestFit="1" customWidth="1"/>
    <col min="525" max="526" width="11" style="111" customWidth="1"/>
    <col min="527" max="527" width="10" style="111" bestFit="1" customWidth="1"/>
    <col min="528" max="528" width="14.42578125" style="111" bestFit="1" customWidth="1"/>
    <col min="529" max="539" width="0" style="111" hidden="1" customWidth="1"/>
    <col min="540" max="760" width="9.140625" style="111"/>
    <col min="761" max="761" width="54.140625" style="111" bestFit="1" customWidth="1"/>
    <col min="762" max="762" width="14.7109375" style="111" customWidth="1"/>
    <col min="763" max="763" width="10.140625" style="111" customWidth="1"/>
    <col min="764" max="764" width="10.42578125" style="111" bestFit="1" customWidth="1"/>
    <col min="765" max="766" width="9.42578125" style="111" bestFit="1" customWidth="1"/>
    <col min="767" max="768" width="9.42578125" style="111" customWidth="1"/>
    <col min="769" max="769" width="10.140625" style="111" bestFit="1" customWidth="1"/>
    <col min="770" max="773" width="9.140625" style="111"/>
    <col min="774" max="774" width="7.28515625" style="111" customWidth="1"/>
    <col min="775" max="777" width="7.42578125" style="111" customWidth="1"/>
    <col min="778" max="778" width="10.42578125" style="111" bestFit="1" customWidth="1"/>
    <col min="779" max="779" width="12" style="111" bestFit="1" customWidth="1"/>
    <col min="780" max="780" width="11" style="111" bestFit="1" customWidth="1"/>
    <col min="781" max="782" width="11" style="111" customWidth="1"/>
    <col min="783" max="783" width="10" style="111" bestFit="1" customWidth="1"/>
    <col min="784" max="784" width="14.42578125" style="111" bestFit="1" customWidth="1"/>
    <col min="785" max="795" width="0" style="111" hidden="1" customWidth="1"/>
    <col min="796" max="1016" width="9.140625" style="111"/>
    <col min="1017" max="1017" width="54.140625" style="111" bestFit="1" customWidth="1"/>
    <col min="1018" max="1018" width="14.7109375" style="111" customWidth="1"/>
    <col min="1019" max="1019" width="10.140625" style="111" customWidth="1"/>
    <col min="1020" max="1020" width="10.42578125" style="111" bestFit="1" customWidth="1"/>
    <col min="1021" max="1022" width="9.42578125" style="111" bestFit="1" customWidth="1"/>
    <col min="1023" max="1024" width="9.42578125" style="111" customWidth="1"/>
    <col min="1025" max="1025" width="10.140625" style="111" bestFit="1" customWidth="1"/>
    <col min="1026" max="1029" width="9.140625" style="111"/>
    <col min="1030" max="1030" width="7.28515625" style="111" customWidth="1"/>
    <col min="1031" max="1033" width="7.42578125" style="111" customWidth="1"/>
    <col min="1034" max="1034" width="10.42578125" style="111" bestFit="1" customWidth="1"/>
    <col min="1035" max="1035" width="12" style="111" bestFit="1" customWidth="1"/>
    <col min="1036" max="1036" width="11" style="111" bestFit="1" customWidth="1"/>
    <col min="1037" max="1038" width="11" style="111" customWidth="1"/>
    <col min="1039" max="1039" width="10" style="111" bestFit="1" customWidth="1"/>
    <col min="1040" max="1040" width="14.42578125" style="111" bestFit="1" customWidth="1"/>
    <col min="1041" max="1051" width="0" style="111" hidden="1" customWidth="1"/>
    <col min="1052" max="1272" width="9.140625" style="111"/>
    <col min="1273" max="1273" width="54.140625" style="111" bestFit="1" customWidth="1"/>
    <col min="1274" max="1274" width="14.7109375" style="111" customWidth="1"/>
    <col min="1275" max="1275" width="10.140625" style="111" customWidth="1"/>
    <col min="1276" max="1276" width="10.42578125" style="111" bestFit="1" customWidth="1"/>
    <col min="1277" max="1278" width="9.42578125" style="111" bestFit="1" customWidth="1"/>
    <col min="1279" max="1280" width="9.42578125" style="111" customWidth="1"/>
    <col min="1281" max="1281" width="10.140625" style="111" bestFit="1" customWidth="1"/>
    <col min="1282" max="1285" width="9.140625" style="111"/>
    <col min="1286" max="1286" width="7.28515625" style="111" customWidth="1"/>
    <col min="1287" max="1289" width="7.42578125" style="111" customWidth="1"/>
    <col min="1290" max="1290" width="10.42578125" style="111" bestFit="1" customWidth="1"/>
    <col min="1291" max="1291" width="12" style="111" bestFit="1" customWidth="1"/>
    <col min="1292" max="1292" width="11" style="111" bestFit="1" customWidth="1"/>
    <col min="1293" max="1294" width="11" style="111" customWidth="1"/>
    <col min="1295" max="1295" width="10" style="111" bestFit="1" customWidth="1"/>
    <col min="1296" max="1296" width="14.42578125" style="111" bestFit="1" customWidth="1"/>
    <col min="1297" max="1307" width="0" style="111" hidden="1" customWidth="1"/>
    <col min="1308" max="1528" width="9.140625" style="111"/>
    <col min="1529" max="1529" width="54.140625" style="111" bestFit="1" customWidth="1"/>
    <col min="1530" max="1530" width="14.7109375" style="111" customWidth="1"/>
    <col min="1531" max="1531" width="10.140625" style="111" customWidth="1"/>
    <col min="1532" max="1532" width="10.42578125" style="111" bestFit="1" customWidth="1"/>
    <col min="1533" max="1534" width="9.42578125" style="111" bestFit="1" customWidth="1"/>
    <col min="1535" max="1536" width="9.42578125" style="111" customWidth="1"/>
    <col min="1537" max="1537" width="10.140625" style="111" bestFit="1" customWidth="1"/>
    <col min="1538" max="1541" width="9.140625" style="111"/>
    <col min="1542" max="1542" width="7.28515625" style="111" customWidth="1"/>
    <col min="1543" max="1545" width="7.42578125" style="111" customWidth="1"/>
    <col min="1546" max="1546" width="10.42578125" style="111" bestFit="1" customWidth="1"/>
    <col min="1547" max="1547" width="12" style="111" bestFit="1" customWidth="1"/>
    <col min="1548" max="1548" width="11" style="111" bestFit="1" customWidth="1"/>
    <col min="1549" max="1550" width="11" style="111" customWidth="1"/>
    <col min="1551" max="1551" width="10" style="111" bestFit="1" customWidth="1"/>
    <col min="1552" max="1552" width="14.42578125" style="111" bestFit="1" customWidth="1"/>
    <col min="1553" max="1563" width="0" style="111" hidden="1" customWidth="1"/>
    <col min="1564" max="1784" width="9.140625" style="111"/>
    <col min="1785" max="1785" width="54.140625" style="111" bestFit="1" customWidth="1"/>
    <col min="1786" max="1786" width="14.7109375" style="111" customWidth="1"/>
    <col min="1787" max="1787" width="10.140625" style="111" customWidth="1"/>
    <col min="1788" max="1788" width="10.42578125" style="111" bestFit="1" customWidth="1"/>
    <col min="1789" max="1790" width="9.42578125" style="111" bestFit="1" customWidth="1"/>
    <col min="1791" max="1792" width="9.42578125" style="111" customWidth="1"/>
    <col min="1793" max="1793" width="10.140625" style="111" bestFit="1" customWidth="1"/>
    <col min="1794" max="1797" width="9.140625" style="111"/>
    <col min="1798" max="1798" width="7.28515625" style="111" customWidth="1"/>
    <col min="1799" max="1801" width="7.42578125" style="111" customWidth="1"/>
    <col min="1802" max="1802" width="10.42578125" style="111" bestFit="1" customWidth="1"/>
    <col min="1803" max="1803" width="12" style="111" bestFit="1" customWidth="1"/>
    <col min="1804" max="1804" width="11" style="111" bestFit="1" customWidth="1"/>
    <col min="1805" max="1806" width="11" style="111" customWidth="1"/>
    <col min="1807" max="1807" width="10" style="111" bestFit="1" customWidth="1"/>
    <col min="1808" max="1808" width="14.42578125" style="111" bestFit="1" customWidth="1"/>
    <col min="1809" max="1819" width="0" style="111" hidden="1" customWidth="1"/>
    <col min="1820" max="2040" width="9.140625" style="111"/>
    <col min="2041" max="2041" width="54.140625" style="111" bestFit="1" customWidth="1"/>
    <col min="2042" max="2042" width="14.7109375" style="111" customWidth="1"/>
    <col min="2043" max="2043" width="10.140625" style="111" customWidth="1"/>
    <col min="2044" max="2044" width="10.42578125" style="111" bestFit="1" customWidth="1"/>
    <col min="2045" max="2046" width="9.42578125" style="111" bestFit="1" customWidth="1"/>
    <col min="2047" max="2048" width="9.42578125" style="111" customWidth="1"/>
    <col min="2049" max="2049" width="10.140625" style="111" bestFit="1" customWidth="1"/>
    <col min="2050" max="2053" width="9.140625" style="111"/>
    <col min="2054" max="2054" width="7.28515625" style="111" customWidth="1"/>
    <col min="2055" max="2057" width="7.42578125" style="111" customWidth="1"/>
    <col min="2058" max="2058" width="10.42578125" style="111" bestFit="1" customWidth="1"/>
    <col min="2059" max="2059" width="12" style="111" bestFit="1" customWidth="1"/>
    <col min="2060" max="2060" width="11" style="111" bestFit="1" customWidth="1"/>
    <col min="2061" max="2062" width="11" style="111" customWidth="1"/>
    <col min="2063" max="2063" width="10" style="111" bestFit="1" customWidth="1"/>
    <col min="2064" max="2064" width="14.42578125" style="111" bestFit="1" customWidth="1"/>
    <col min="2065" max="2075" width="0" style="111" hidden="1" customWidth="1"/>
    <col min="2076" max="2296" width="9.140625" style="111"/>
    <col min="2297" max="2297" width="54.140625" style="111" bestFit="1" customWidth="1"/>
    <col min="2298" max="2298" width="14.7109375" style="111" customWidth="1"/>
    <col min="2299" max="2299" width="10.140625" style="111" customWidth="1"/>
    <col min="2300" max="2300" width="10.42578125" style="111" bestFit="1" customWidth="1"/>
    <col min="2301" max="2302" width="9.42578125" style="111" bestFit="1" customWidth="1"/>
    <col min="2303" max="2304" width="9.42578125" style="111" customWidth="1"/>
    <col min="2305" max="2305" width="10.140625" style="111" bestFit="1" customWidth="1"/>
    <col min="2306" max="2309" width="9.140625" style="111"/>
    <col min="2310" max="2310" width="7.28515625" style="111" customWidth="1"/>
    <col min="2311" max="2313" width="7.42578125" style="111" customWidth="1"/>
    <col min="2314" max="2314" width="10.42578125" style="111" bestFit="1" customWidth="1"/>
    <col min="2315" max="2315" width="12" style="111" bestFit="1" customWidth="1"/>
    <col min="2316" max="2316" width="11" style="111" bestFit="1" customWidth="1"/>
    <col min="2317" max="2318" width="11" style="111" customWidth="1"/>
    <col min="2319" max="2319" width="10" style="111" bestFit="1" customWidth="1"/>
    <col min="2320" max="2320" width="14.42578125" style="111" bestFit="1" customWidth="1"/>
    <col min="2321" max="2331" width="0" style="111" hidden="1" customWidth="1"/>
    <col min="2332" max="2552" width="9.140625" style="111"/>
    <col min="2553" max="2553" width="54.140625" style="111" bestFit="1" customWidth="1"/>
    <col min="2554" max="2554" width="14.7109375" style="111" customWidth="1"/>
    <col min="2555" max="2555" width="10.140625" style="111" customWidth="1"/>
    <col min="2556" max="2556" width="10.42578125" style="111" bestFit="1" customWidth="1"/>
    <col min="2557" max="2558" width="9.42578125" style="111" bestFit="1" customWidth="1"/>
    <col min="2559" max="2560" width="9.42578125" style="111" customWidth="1"/>
    <col min="2561" max="2561" width="10.140625" style="111" bestFit="1" customWidth="1"/>
    <col min="2562" max="2565" width="9.140625" style="111"/>
    <col min="2566" max="2566" width="7.28515625" style="111" customWidth="1"/>
    <col min="2567" max="2569" width="7.42578125" style="111" customWidth="1"/>
    <col min="2570" max="2570" width="10.42578125" style="111" bestFit="1" customWidth="1"/>
    <col min="2571" max="2571" width="12" style="111" bestFit="1" customWidth="1"/>
    <col min="2572" max="2572" width="11" style="111" bestFit="1" customWidth="1"/>
    <col min="2573" max="2574" width="11" style="111" customWidth="1"/>
    <col min="2575" max="2575" width="10" style="111" bestFit="1" customWidth="1"/>
    <col min="2576" max="2576" width="14.42578125" style="111" bestFit="1" customWidth="1"/>
    <col min="2577" max="2587" width="0" style="111" hidden="1" customWidth="1"/>
    <col min="2588" max="2808" width="9.140625" style="111"/>
    <col min="2809" max="2809" width="54.140625" style="111" bestFit="1" customWidth="1"/>
    <col min="2810" max="2810" width="14.7109375" style="111" customWidth="1"/>
    <col min="2811" max="2811" width="10.140625" style="111" customWidth="1"/>
    <col min="2812" max="2812" width="10.42578125" style="111" bestFit="1" customWidth="1"/>
    <col min="2813" max="2814" width="9.42578125" style="111" bestFit="1" customWidth="1"/>
    <col min="2815" max="2816" width="9.42578125" style="111" customWidth="1"/>
    <col min="2817" max="2817" width="10.140625" style="111" bestFit="1" customWidth="1"/>
    <col min="2818" max="2821" width="9.140625" style="111"/>
    <col min="2822" max="2822" width="7.28515625" style="111" customWidth="1"/>
    <col min="2823" max="2825" width="7.42578125" style="111" customWidth="1"/>
    <col min="2826" max="2826" width="10.42578125" style="111" bestFit="1" customWidth="1"/>
    <col min="2827" max="2827" width="12" style="111" bestFit="1" customWidth="1"/>
    <col min="2828" max="2828" width="11" style="111" bestFit="1" customWidth="1"/>
    <col min="2829" max="2830" width="11" style="111" customWidth="1"/>
    <col min="2831" max="2831" width="10" style="111" bestFit="1" customWidth="1"/>
    <col min="2832" max="2832" width="14.42578125" style="111" bestFit="1" customWidth="1"/>
    <col min="2833" max="2843" width="0" style="111" hidden="1" customWidth="1"/>
    <col min="2844" max="3064" width="9.140625" style="111"/>
    <col min="3065" max="3065" width="54.140625" style="111" bestFit="1" customWidth="1"/>
    <col min="3066" max="3066" width="14.7109375" style="111" customWidth="1"/>
    <col min="3067" max="3067" width="10.140625" style="111" customWidth="1"/>
    <col min="3068" max="3068" width="10.42578125" style="111" bestFit="1" customWidth="1"/>
    <col min="3069" max="3070" width="9.42578125" style="111" bestFit="1" customWidth="1"/>
    <col min="3071" max="3072" width="9.42578125" style="111" customWidth="1"/>
    <col min="3073" max="3073" width="10.140625" style="111" bestFit="1" customWidth="1"/>
    <col min="3074" max="3077" width="9.140625" style="111"/>
    <col min="3078" max="3078" width="7.28515625" style="111" customWidth="1"/>
    <col min="3079" max="3081" width="7.42578125" style="111" customWidth="1"/>
    <col min="3082" max="3082" width="10.42578125" style="111" bestFit="1" customWidth="1"/>
    <col min="3083" max="3083" width="12" style="111" bestFit="1" customWidth="1"/>
    <col min="3084" max="3084" width="11" style="111" bestFit="1" customWidth="1"/>
    <col min="3085" max="3086" width="11" style="111" customWidth="1"/>
    <col min="3087" max="3087" width="10" style="111" bestFit="1" customWidth="1"/>
    <col min="3088" max="3088" width="14.42578125" style="111" bestFit="1" customWidth="1"/>
    <col min="3089" max="3099" width="0" style="111" hidden="1" customWidth="1"/>
    <col min="3100" max="3320" width="9.140625" style="111"/>
    <col min="3321" max="3321" width="54.140625" style="111" bestFit="1" customWidth="1"/>
    <col min="3322" max="3322" width="14.7109375" style="111" customWidth="1"/>
    <col min="3323" max="3323" width="10.140625" style="111" customWidth="1"/>
    <col min="3324" max="3324" width="10.42578125" style="111" bestFit="1" customWidth="1"/>
    <col min="3325" max="3326" width="9.42578125" style="111" bestFit="1" customWidth="1"/>
    <col min="3327" max="3328" width="9.42578125" style="111" customWidth="1"/>
    <col min="3329" max="3329" width="10.140625" style="111" bestFit="1" customWidth="1"/>
    <col min="3330" max="3333" width="9.140625" style="111"/>
    <col min="3334" max="3334" width="7.28515625" style="111" customWidth="1"/>
    <col min="3335" max="3337" width="7.42578125" style="111" customWidth="1"/>
    <col min="3338" max="3338" width="10.42578125" style="111" bestFit="1" customWidth="1"/>
    <col min="3339" max="3339" width="12" style="111" bestFit="1" customWidth="1"/>
    <col min="3340" max="3340" width="11" style="111" bestFit="1" customWidth="1"/>
    <col min="3341" max="3342" width="11" style="111" customWidth="1"/>
    <col min="3343" max="3343" width="10" style="111" bestFit="1" customWidth="1"/>
    <col min="3344" max="3344" width="14.42578125" style="111" bestFit="1" customWidth="1"/>
    <col min="3345" max="3355" width="0" style="111" hidden="1" customWidth="1"/>
    <col min="3356" max="3576" width="9.140625" style="111"/>
    <col min="3577" max="3577" width="54.140625" style="111" bestFit="1" customWidth="1"/>
    <col min="3578" max="3578" width="14.7109375" style="111" customWidth="1"/>
    <col min="3579" max="3579" width="10.140625" style="111" customWidth="1"/>
    <col min="3580" max="3580" width="10.42578125" style="111" bestFit="1" customWidth="1"/>
    <col min="3581" max="3582" width="9.42578125" style="111" bestFit="1" customWidth="1"/>
    <col min="3583" max="3584" width="9.42578125" style="111" customWidth="1"/>
    <col min="3585" max="3585" width="10.140625" style="111" bestFit="1" customWidth="1"/>
    <col min="3586" max="3589" width="9.140625" style="111"/>
    <col min="3590" max="3590" width="7.28515625" style="111" customWidth="1"/>
    <col min="3591" max="3593" width="7.42578125" style="111" customWidth="1"/>
    <col min="3594" max="3594" width="10.42578125" style="111" bestFit="1" customWidth="1"/>
    <col min="3595" max="3595" width="12" style="111" bestFit="1" customWidth="1"/>
    <col min="3596" max="3596" width="11" style="111" bestFit="1" customWidth="1"/>
    <col min="3597" max="3598" width="11" style="111" customWidth="1"/>
    <col min="3599" max="3599" width="10" style="111" bestFit="1" customWidth="1"/>
    <col min="3600" max="3600" width="14.42578125" style="111" bestFit="1" customWidth="1"/>
    <col min="3601" max="3611" width="0" style="111" hidden="1" customWidth="1"/>
    <col min="3612" max="3832" width="9.140625" style="111"/>
    <col min="3833" max="3833" width="54.140625" style="111" bestFit="1" customWidth="1"/>
    <col min="3834" max="3834" width="14.7109375" style="111" customWidth="1"/>
    <col min="3835" max="3835" width="10.140625" style="111" customWidth="1"/>
    <col min="3836" max="3836" width="10.42578125" style="111" bestFit="1" customWidth="1"/>
    <col min="3837" max="3838" width="9.42578125" style="111" bestFit="1" customWidth="1"/>
    <col min="3839" max="3840" width="9.42578125" style="111" customWidth="1"/>
    <col min="3841" max="3841" width="10.140625" style="111" bestFit="1" customWidth="1"/>
    <col min="3842" max="3845" width="9.140625" style="111"/>
    <col min="3846" max="3846" width="7.28515625" style="111" customWidth="1"/>
    <col min="3847" max="3849" width="7.42578125" style="111" customWidth="1"/>
    <col min="3850" max="3850" width="10.42578125" style="111" bestFit="1" customWidth="1"/>
    <col min="3851" max="3851" width="12" style="111" bestFit="1" customWidth="1"/>
    <col min="3852" max="3852" width="11" style="111" bestFit="1" customWidth="1"/>
    <col min="3853" max="3854" width="11" style="111" customWidth="1"/>
    <col min="3855" max="3855" width="10" style="111" bestFit="1" customWidth="1"/>
    <col min="3856" max="3856" width="14.42578125" style="111" bestFit="1" customWidth="1"/>
    <col min="3857" max="3867" width="0" style="111" hidden="1" customWidth="1"/>
    <col min="3868" max="4088" width="9.140625" style="111"/>
    <col min="4089" max="4089" width="54.140625" style="111" bestFit="1" customWidth="1"/>
    <col min="4090" max="4090" width="14.7109375" style="111" customWidth="1"/>
    <col min="4091" max="4091" width="10.140625" style="111" customWidth="1"/>
    <col min="4092" max="4092" width="10.42578125" style="111" bestFit="1" customWidth="1"/>
    <col min="4093" max="4094" width="9.42578125" style="111" bestFit="1" customWidth="1"/>
    <col min="4095" max="4096" width="9.42578125" style="111" customWidth="1"/>
    <col min="4097" max="4097" width="10.140625" style="111" bestFit="1" customWidth="1"/>
    <col min="4098" max="4101" width="9.140625" style="111"/>
    <col min="4102" max="4102" width="7.28515625" style="111" customWidth="1"/>
    <col min="4103" max="4105" width="7.42578125" style="111" customWidth="1"/>
    <col min="4106" max="4106" width="10.42578125" style="111" bestFit="1" customWidth="1"/>
    <col min="4107" max="4107" width="12" style="111" bestFit="1" customWidth="1"/>
    <col min="4108" max="4108" width="11" style="111" bestFit="1" customWidth="1"/>
    <col min="4109" max="4110" width="11" style="111" customWidth="1"/>
    <col min="4111" max="4111" width="10" style="111" bestFit="1" customWidth="1"/>
    <col min="4112" max="4112" width="14.42578125" style="111" bestFit="1" customWidth="1"/>
    <col min="4113" max="4123" width="0" style="111" hidden="1" customWidth="1"/>
    <col min="4124" max="4344" width="9.140625" style="111"/>
    <col min="4345" max="4345" width="54.140625" style="111" bestFit="1" customWidth="1"/>
    <col min="4346" max="4346" width="14.7109375" style="111" customWidth="1"/>
    <col min="4347" max="4347" width="10.140625" style="111" customWidth="1"/>
    <col min="4348" max="4348" width="10.42578125" style="111" bestFit="1" customWidth="1"/>
    <col min="4349" max="4350" width="9.42578125" style="111" bestFit="1" customWidth="1"/>
    <col min="4351" max="4352" width="9.42578125" style="111" customWidth="1"/>
    <col min="4353" max="4353" width="10.140625" style="111" bestFit="1" customWidth="1"/>
    <col min="4354" max="4357" width="9.140625" style="111"/>
    <col min="4358" max="4358" width="7.28515625" style="111" customWidth="1"/>
    <col min="4359" max="4361" width="7.42578125" style="111" customWidth="1"/>
    <col min="4362" max="4362" width="10.42578125" style="111" bestFit="1" customWidth="1"/>
    <col min="4363" max="4363" width="12" style="111" bestFit="1" customWidth="1"/>
    <col min="4364" max="4364" width="11" style="111" bestFit="1" customWidth="1"/>
    <col min="4365" max="4366" width="11" style="111" customWidth="1"/>
    <col min="4367" max="4367" width="10" style="111" bestFit="1" customWidth="1"/>
    <col min="4368" max="4368" width="14.42578125" style="111" bestFit="1" customWidth="1"/>
    <col min="4369" max="4379" width="0" style="111" hidden="1" customWidth="1"/>
    <col min="4380" max="4600" width="9.140625" style="111"/>
    <col min="4601" max="4601" width="54.140625" style="111" bestFit="1" customWidth="1"/>
    <col min="4602" max="4602" width="14.7109375" style="111" customWidth="1"/>
    <col min="4603" max="4603" width="10.140625" style="111" customWidth="1"/>
    <col min="4604" max="4604" width="10.42578125" style="111" bestFit="1" customWidth="1"/>
    <col min="4605" max="4606" width="9.42578125" style="111" bestFit="1" customWidth="1"/>
    <col min="4607" max="4608" width="9.42578125" style="111" customWidth="1"/>
    <col min="4609" max="4609" width="10.140625" style="111" bestFit="1" customWidth="1"/>
    <col min="4610" max="4613" width="9.140625" style="111"/>
    <col min="4614" max="4614" width="7.28515625" style="111" customWidth="1"/>
    <col min="4615" max="4617" width="7.42578125" style="111" customWidth="1"/>
    <col min="4618" max="4618" width="10.42578125" style="111" bestFit="1" customWidth="1"/>
    <col min="4619" max="4619" width="12" style="111" bestFit="1" customWidth="1"/>
    <col min="4620" max="4620" width="11" style="111" bestFit="1" customWidth="1"/>
    <col min="4621" max="4622" width="11" style="111" customWidth="1"/>
    <col min="4623" max="4623" width="10" style="111" bestFit="1" customWidth="1"/>
    <col min="4624" max="4624" width="14.42578125" style="111" bestFit="1" customWidth="1"/>
    <col min="4625" max="4635" width="0" style="111" hidden="1" customWidth="1"/>
    <col min="4636" max="4856" width="9.140625" style="111"/>
    <col min="4857" max="4857" width="54.140625" style="111" bestFit="1" customWidth="1"/>
    <col min="4858" max="4858" width="14.7109375" style="111" customWidth="1"/>
    <col min="4859" max="4859" width="10.140625" style="111" customWidth="1"/>
    <col min="4860" max="4860" width="10.42578125" style="111" bestFit="1" customWidth="1"/>
    <col min="4861" max="4862" width="9.42578125" style="111" bestFit="1" customWidth="1"/>
    <col min="4863" max="4864" width="9.42578125" style="111" customWidth="1"/>
    <col min="4865" max="4865" width="10.140625" style="111" bestFit="1" customWidth="1"/>
    <col min="4866" max="4869" width="9.140625" style="111"/>
    <col min="4870" max="4870" width="7.28515625" style="111" customWidth="1"/>
    <col min="4871" max="4873" width="7.42578125" style="111" customWidth="1"/>
    <col min="4874" max="4874" width="10.42578125" style="111" bestFit="1" customWidth="1"/>
    <col min="4875" max="4875" width="12" style="111" bestFit="1" customWidth="1"/>
    <col min="4876" max="4876" width="11" style="111" bestFit="1" customWidth="1"/>
    <col min="4877" max="4878" width="11" style="111" customWidth="1"/>
    <col min="4879" max="4879" width="10" style="111" bestFit="1" customWidth="1"/>
    <col min="4880" max="4880" width="14.42578125" style="111" bestFit="1" customWidth="1"/>
    <col min="4881" max="4891" width="0" style="111" hidden="1" customWidth="1"/>
    <col min="4892" max="5112" width="9.140625" style="111"/>
    <col min="5113" max="5113" width="54.140625" style="111" bestFit="1" customWidth="1"/>
    <col min="5114" max="5114" width="14.7109375" style="111" customWidth="1"/>
    <col min="5115" max="5115" width="10.140625" style="111" customWidth="1"/>
    <col min="5116" max="5116" width="10.42578125" style="111" bestFit="1" customWidth="1"/>
    <col min="5117" max="5118" width="9.42578125" style="111" bestFit="1" customWidth="1"/>
    <col min="5119" max="5120" width="9.42578125" style="111" customWidth="1"/>
    <col min="5121" max="5121" width="10.140625" style="111" bestFit="1" customWidth="1"/>
    <col min="5122" max="5125" width="9.140625" style="111"/>
    <col min="5126" max="5126" width="7.28515625" style="111" customWidth="1"/>
    <col min="5127" max="5129" width="7.42578125" style="111" customWidth="1"/>
    <col min="5130" max="5130" width="10.42578125" style="111" bestFit="1" customWidth="1"/>
    <col min="5131" max="5131" width="12" style="111" bestFit="1" customWidth="1"/>
    <col min="5132" max="5132" width="11" style="111" bestFit="1" customWidth="1"/>
    <col min="5133" max="5134" width="11" style="111" customWidth="1"/>
    <col min="5135" max="5135" width="10" style="111" bestFit="1" customWidth="1"/>
    <col min="5136" max="5136" width="14.42578125" style="111" bestFit="1" customWidth="1"/>
    <col min="5137" max="5147" width="0" style="111" hidden="1" customWidth="1"/>
    <col min="5148" max="5368" width="9.140625" style="111"/>
    <col min="5369" max="5369" width="54.140625" style="111" bestFit="1" customWidth="1"/>
    <col min="5370" max="5370" width="14.7109375" style="111" customWidth="1"/>
    <col min="5371" max="5371" width="10.140625" style="111" customWidth="1"/>
    <col min="5372" max="5372" width="10.42578125" style="111" bestFit="1" customWidth="1"/>
    <col min="5373" max="5374" width="9.42578125" style="111" bestFit="1" customWidth="1"/>
    <col min="5375" max="5376" width="9.42578125" style="111" customWidth="1"/>
    <col min="5377" max="5377" width="10.140625" style="111" bestFit="1" customWidth="1"/>
    <col min="5378" max="5381" width="9.140625" style="111"/>
    <col min="5382" max="5382" width="7.28515625" style="111" customWidth="1"/>
    <col min="5383" max="5385" width="7.42578125" style="111" customWidth="1"/>
    <col min="5386" max="5386" width="10.42578125" style="111" bestFit="1" customWidth="1"/>
    <col min="5387" max="5387" width="12" style="111" bestFit="1" customWidth="1"/>
    <col min="5388" max="5388" width="11" style="111" bestFit="1" customWidth="1"/>
    <col min="5389" max="5390" width="11" style="111" customWidth="1"/>
    <col min="5391" max="5391" width="10" style="111" bestFit="1" customWidth="1"/>
    <col min="5392" max="5392" width="14.42578125" style="111" bestFit="1" customWidth="1"/>
    <col min="5393" max="5403" width="0" style="111" hidden="1" customWidth="1"/>
    <col min="5404" max="5624" width="9.140625" style="111"/>
    <col min="5625" max="5625" width="54.140625" style="111" bestFit="1" customWidth="1"/>
    <col min="5626" max="5626" width="14.7109375" style="111" customWidth="1"/>
    <col min="5627" max="5627" width="10.140625" style="111" customWidth="1"/>
    <col min="5628" max="5628" width="10.42578125" style="111" bestFit="1" customWidth="1"/>
    <col min="5629" max="5630" width="9.42578125" style="111" bestFit="1" customWidth="1"/>
    <col min="5631" max="5632" width="9.42578125" style="111" customWidth="1"/>
    <col min="5633" max="5633" width="10.140625" style="111" bestFit="1" customWidth="1"/>
    <col min="5634" max="5637" width="9.140625" style="111"/>
    <col min="5638" max="5638" width="7.28515625" style="111" customWidth="1"/>
    <col min="5639" max="5641" width="7.42578125" style="111" customWidth="1"/>
    <col min="5642" max="5642" width="10.42578125" style="111" bestFit="1" customWidth="1"/>
    <col min="5643" max="5643" width="12" style="111" bestFit="1" customWidth="1"/>
    <col min="5644" max="5644" width="11" style="111" bestFit="1" customWidth="1"/>
    <col min="5645" max="5646" width="11" style="111" customWidth="1"/>
    <col min="5647" max="5647" width="10" style="111" bestFit="1" customWidth="1"/>
    <col min="5648" max="5648" width="14.42578125" style="111" bestFit="1" customWidth="1"/>
    <col min="5649" max="5659" width="0" style="111" hidden="1" customWidth="1"/>
    <col min="5660" max="5880" width="9.140625" style="111"/>
    <col min="5881" max="5881" width="54.140625" style="111" bestFit="1" customWidth="1"/>
    <col min="5882" max="5882" width="14.7109375" style="111" customWidth="1"/>
    <col min="5883" max="5883" width="10.140625" style="111" customWidth="1"/>
    <col min="5884" max="5884" width="10.42578125" style="111" bestFit="1" customWidth="1"/>
    <col min="5885" max="5886" width="9.42578125" style="111" bestFit="1" customWidth="1"/>
    <col min="5887" max="5888" width="9.42578125" style="111" customWidth="1"/>
    <col min="5889" max="5889" width="10.140625" style="111" bestFit="1" customWidth="1"/>
    <col min="5890" max="5893" width="9.140625" style="111"/>
    <col min="5894" max="5894" width="7.28515625" style="111" customWidth="1"/>
    <col min="5895" max="5897" width="7.42578125" style="111" customWidth="1"/>
    <col min="5898" max="5898" width="10.42578125" style="111" bestFit="1" customWidth="1"/>
    <col min="5899" max="5899" width="12" style="111" bestFit="1" customWidth="1"/>
    <col min="5900" max="5900" width="11" style="111" bestFit="1" customWidth="1"/>
    <col min="5901" max="5902" width="11" style="111" customWidth="1"/>
    <col min="5903" max="5903" width="10" style="111" bestFit="1" customWidth="1"/>
    <col min="5904" max="5904" width="14.42578125" style="111" bestFit="1" customWidth="1"/>
    <col min="5905" max="5915" width="0" style="111" hidden="1" customWidth="1"/>
    <col min="5916" max="6136" width="9.140625" style="111"/>
    <col min="6137" max="6137" width="54.140625" style="111" bestFit="1" customWidth="1"/>
    <col min="6138" max="6138" width="14.7109375" style="111" customWidth="1"/>
    <col min="6139" max="6139" width="10.140625" style="111" customWidth="1"/>
    <col min="6140" max="6140" width="10.42578125" style="111" bestFit="1" customWidth="1"/>
    <col min="6141" max="6142" width="9.42578125" style="111" bestFit="1" customWidth="1"/>
    <col min="6143" max="6144" width="9.42578125" style="111" customWidth="1"/>
    <col min="6145" max="6145" width="10.140625" style="111" bestFit="1" customWidth="1"/>
    <col min="6146" max="6149" width="9.140625" style="111"/>
    <col min="6150" max="6150" width="7.28515625" style="111" customWidth="1"/>
    <col min="6151" max="6153" width="7.42578125" style="111" customWidth="1"/>
    <col min="6154" max="6154" width="10.42578125" style="111" bestFit="1" customWidth="1"/>
    <col min="6155" max="6155" width="12" style="111" bestFit="1" customWidth="1"/>
    <col min="6156" max="6156" width="11" style="111" bestFit="1" customWidth="1"/>
    <col min="6157" max="6158" width="11" style="111" customWidth="1"/>
    <col min="6159" max="6159" width="10" style="111" bestFit="1" customWidth="1"/>
    <col min="6160" max="6160" width="14.42578125" style="111" bestFit="1" customWidth="1"/>
    <col min="6161" max="6171" width="0" style="111" hidden="1" customWidth="1"/>
    <col min="6172" max="6392" width="9.140625" style="111"/>
    <col min="6393" max="6393" width="54.140625" style="111" bestFit="1" customWidth="1"/>
    <col min="6394" max="6394" width="14.7109375" style="111" customWidth="1"/>
    <col min="6395" max="6395" width="10.140625" style="111" customWidth="1"/>
    <col min="6396" max="6396" width="10.42578125" style="111" bestFit="1" customWidth="1"/>
    <col min="6397" max="6398" width="9.42578125" style="111" bestFit="1" customWidth="1"/>
    <col min="6399" max="6400" width="9.42578125" style="111" customWidth="1"/>
    <col min="6401" max="6401" width="10.140625" style="111" bestFit="1" customWidth="1"/>
    <col min="6402" max="6405" width="9.140625" style="111"/>
    <col min="6406" max="6406" width="7.28515625" style="111" customWidth="1"/>
    <col min="6407" max="6409" width="7.42578125" style="111" customWidth="1"/>
    <col min="6410" max="6410" width="10.42578125" style="111" bestFit="1" customWidth="1"/>
    <col min="6411" max="6411" width="12" style="111" bestFit="1" customWidth="1"/>
    <col min="6412" max="6412" width="11" style="111" bestFit="1" customWidth="1"/>
    <col min="6413" max="6414" width="11" style="111" customWidth="1"/>
    <col min="6415" max="6415" width="10" style="111" bestFit="1" customWidth="1"/>
    <col min="6416" max="6416" width="14.42578125" style="111" bestFit="1" customWidth="1"/>
    <col min="6417" max="6427" width="0" style="111" hidden="1" customWidth="1"/>
    <col min="6428" max="6648" width="9.140625" style="111"/>
    <col min="6649" max="6649" width="54.140625" style="111" bestFit="1" customWidth="1"/>
    <col min="6650" max="6650" width="14.7109375" style="111" customWidth="1"/>
    <col min="6651" max="6651" width="10.140625" style="111" customWidth="1"/>
    <col min="6652" max="6652" width="10.42578125" style="111" bestFit="1" customWidth="1"/>
    <col min="6653" max="6654" width="9.42578125" style="111" bestFit="1" customWidth="1"/>
    <col min="6655" max="6656" width="9.42578125" style="111" customWidth="1"/>
    <col min="6657" max="6657" width="10.140625" style="111" bestFit="1" customWidth="1"/>
    <col min="6658" max="6661" width="9.140625" style="111"/>
    <col min="6662" max="6662" width="7.28515625" style="111" customWidth="1"/>
    <col min="6663" max="6665" width="7.42578125" style="111" customWidth="1"/>
    <col min="6666" max="6666" width="10.42578125" style="111" bestFit="1" customWidth="1"/>
    <col min="6667" max="6667" width="12" style="111" bestFit="1" customWidth="1"/>
    <col min="6668" max="6668" width="11" style="111" bestFit="1" customWidth="1"/>
    <col min="6669" max="6670" width="11" style="111" customWidth="1"/>
    <col min="6671" max="6671" width="10" style="111" bestFit="1" customWidth="1"/>
    <col min="6672" max="6672" width="14.42578125" style="111" bestFit="1" customWidth="1"/>
    <col min="6673" max="6683" width="0" style="111" hidden="1" customWidth="1"/>
    <col min="6684" max="6904" width="9.140625" style="111"/>
    <col min="6905" max="6905" width="54.140625" style="111" bestFit="1" customWidth="1"/>
    <col min="6906" max="6906" width="14.7109375" style="111" customWidth="1"/>
    <col min="6907" max="6907" width="10.140625" style="111" customWidth="1"/>
    <col min="6908" max="6908" width="10.42578125" style="111" bestFit="1" customWidth="1"/>
    <col min="6909" max="6910" width="9.42578125" style="111" bestFit="1" customWidth="1"/>
    <col min="6911" max="6912" width="9.42578125" style="111" customWidth="1"/>
    <col min="6913" max="6913" width="10.140625" style="111" bestFit="1" customWidth="1"/>
    <col min="6914" max="6917" width="9.140625" style="111"/>
    <col min="6918" max="6918" width="7.28515625" style="111" customWidth="1"/>
    <col min="6919" max="6921" width="7.42578125" style="111" customWidth="1"/>
    <col min="6922" max="6922" width="10.42578125" style="111" bestFit="1" customWidth="1"/>
    <col min="6923" max="6923" width="12" style="111" bestFit="1" customWidth="1"/>
    <col min="6924" max="6924" width="11" style="111" bestFit="1" customWidth="1"/>
    <col min="6925" max="6926" width="11" style="111" customWidth="1"/>
    <col min="6927" max="6927" width="10" style="111" bestFit="1" customWidth="1"/>
    <col min="6928" max="6928" width="14.42578125" style="111" bestFit="1" customWidth="1"/>
    <col min="6929" max="6939" width="0" style="111" hidden="1" customWidth="1"/>
    <col min="6940" max="7160" width="9.140625" style="111"/>
    <col min="7161" max="7161" width="54.140625" style="111" bestFit="1" customWidth="1"/>
    <col min="7162" max="7162" width="14.7109375" style="111" customWidth="1"/>
    <col min="7163" max="7163" width="10.140625" style="111" customWidth="1"/>
    <col min="7164" max="7164" width="10.42578125" style="111" bestFit="1" customWidth="1"/>
    <col min="7165" max="7166" width="9.42578125" style="111" bestFit="1" customWidth="1"/>
    <col min="7167" max="7168" width="9.42578125" style="111" customWidth="1"/>
    <col min="7169" max="7169" width="10.140625" style="111" bestFit="1" customWidth="1"/>
    <col min="7170" max="7173" width="9.140625" style="111"/>
    <col min="7174" max="7174" width="7.28515625" style="111" customWidth="1"/>
    <col min="7175" max="7177" width="7.42578125" style="111" customWidth="1"/>
    <col min="7178" max="7178" width="10.42578125" style="111" bestFit="1" customWidth="1"/>
    <col min="7179" max="7179" width="12" style="111" bestFit="1" customWidth="1"/>
    <col min="7180" max="7180" width="11" style="111" bestFit="1" customWidth="1"/>
    <col min="7181" max="7182" width="11" style="111" customWidth="1"/>
    <col min="7183" max="7183" width="10" style="111" bestFit="1" customWidth="1"/>
    <col min="7184" max="7184" width="14.42578125" style="111" bestFit="1" customWidth="1"/>
    <col min="7185" max="7195" width="0" style="111" hidden="1" customWidth="1"/>
    <col min="7196" max="7416" width="9.140625" style="111"/>
    <col min="7417" max="7417" width="54.140625" style="111" bestFit="1" customWidth="1"/>
    <col min="7418" max="7418" width="14.7109375" style="111" customWidth="1"/>
    <col min="7419" max="7419" width="10.140625" style="111" customWidth="1"/>
    <col min="7420" max="7420" width="10.42578125" style="111" bestFit="1" customWidth="1"/>
    <col min="7421" max="7422" width="9.42578125" style="111" bestFit="1" customWidth="1"/>
    <col min="7423" max="7424" width="9.42578125" style="111" customWidth="1"/>
    <col min="7425" max="7425" width="10.140625" style="111" bestFit="1" customWidth="1"/>
    <col min="7426" max="7429" width="9.140625" style="111"/>
    <col min="7430" max="7430" width="7.28515625" style="111" customWidth="1"/>
    <col min="7431" max="7433" width="7.42578125" style="111" customWidth="1"/>
    <col min="7434" max="7434" width="10.42578125" style="111" bestFit="1" customWidth="1"/>
    <col min="7435" max="7435" width="12" style="111" bestFit="1" customWidth="1"/>
    <col min="7436" max="7436" width="11" style="111" bestFit="1" customWidth="1"/>
    <col min="7437" max="7438" width="11" style="111" customWidth="1"/>
    <col min="7439" max="7439" width="10" style="111" bestFit="1" customWidth="1"/>
    <col min="7440" max="7440" width="14.42578125" style="111" bestFit="1" customWidth="1"/>
    <col min="7441" max="7451" width="0" style="111" hidden="1" customWidth="1"/>
    <col min="7452" max="7672" width="9.140625" style="111"/>
    <col min="7673" max="7673" width="54.140625" style="111" bestFit="1" customWidth="1"/>
    <col min="7674" max="7674" width="14.7109375" style="111" customWidth="1"/>
    <col min="7675" max="7675" width="10.140625" style="111" customWidth="1"/>
    <col min="7676" max="7676" width="10.42578125" style="111" bestFit="1" customWidth="1"/>
    <col min="7677" max="7678" width="9.42578125" style="111" bestFit="1" customWidth="1"/>
    <col min="7679" max="7680" width="9.42578125" style="111" customWidth="1"/>
    <col min="7681" max="7681" width="10.140625" style="111" bestFit="1" customWidth="1"/>
    <col min="7682" max="7685" width="9.140625" style="111"/>
    <col min="7686" max="7686" width="7.28515625" style="111" customWidth="1"/>
    <col min="7687" max="7689" width="7.42578125" style="111" customWidth="1"/>
    <col min="7690" max="7690" width="10.42578125" style="111" bestFit="1" customWidth="1"/>
    <col min="7691" max="7691" width="12" style="111" bestFit="1" customWidth="1"/>
    <col min="7692" max="7692" width="11" style="111" bestFit="1" customWidth="1"/>
    <col min="7693" max="7694" width="11" style="111" customWidth="1"/>
    <col min="7695" max="7695" width="10" style="111" bestFit="1" customWidth="1"/>
    <col min="7696" max="7696" width="14.42578125" style="111" bestFit="1" customWidth="1"/>
    <col min="7697" max="7707" width="0" style="111" hidden="1" customWidth="1"/>
    <col min="7708" max="7928" width="9.140625" style="111"/>
    <col min="7929" max="7929" width="54.140625" style="111" bestFit="1" customWidth="1"/>
    <col min="7930" max="7930" width="14.7109375" style="111" customWidth="1"/>
    <col min="7931" max="7931" width="10.140625" style="111" customWidth="1"/>
    <col min="7932" max="7932" width="10.42578125" style="111" bestFit="1" customWidth="1"/>
    <col min="7933" max="7934" width="9.42578125" style="111" bestFit="1" customWidth="1"/>
    <col min="7935" max="7936" width="9.42578125" style="111" customWidth="1"/>
    <col min="7937" max="7937" width="10.140625" style="111" bestFit="1" customWidth="1"/>
    <col min="7938" max="7941" width="9.140625" style="111"/>
    <col min="7942" max="7942" width="7.28515625" style="111" customWidth="1"/>
    <col min="7943" max="7945" width="7.42578125" style="111" customWidth="1"/>
    <col min="7946" max="7946" width="10.42578125" style="111" bestFit="1" customWidth="1"/>
    <col min="7947" max="7947" width="12" style="111" bestFit="1" customWidth="1"/>
    <col min="7948" max="7948" width="11" style="111" bestFit="1" customWidth="1"/>
    <col min="7949" max="7950" width="11" style="111" customWidth="1"/>
    <col min="7951" max="7951" width="10" style="111" bestFit="1" customWidth="1"/>
    <col min="7952" max="7952" width="14.42578125" style="111" bestFit="1" customWidth="1"/>
    <col min="7953" max="7963" width="0" style="111" hidden="1" customWidth="1"/>
    <col min="7964" max="8184" width="9.140625" style="111"/>
    <col min="8185" max="8185" width="54.140625" style="111" bestFit="1" customWidth="1"/>
    <col min="8186" max="8186" width="14.7109375" style="111" customWidth="1"/>
    <col min="8187" max="8187" width="10.140625" style="111" customWidth="1"/>
    <col min="8188" max="8188" width="10.42578125" style="111" bestFit="1" customWidth="1"/>
    <col min="8189" max="8190" width="9.42578125" style="111" bestFit="1" customWidth="1"/>
    <col min="8191" max="8192" width="9.42578125" style="111" customWidth="1"/>
    <col min="8193" max="8193" width="10.140625" style="111" bestFit="1" customWidth="1"/>
    <col min="8194" max="8197" width="9.140625" style="111"/>
    <col min="8198" max="8198" width="7.28515625" style="111" customWidth="1"/>
    <col min="8199" max="8201" width="7.42578125" style="111" customWidth="1"/>
    <col min="8202" max="8202" width="10.42578125" style="111" bestFit="1" customWidth="1"/>
    <col min="8203" max="8203" width="12" style="111" bestFit="1" customWidth="1"/>
    <col min="8204" max="8204" width="11" style="111" bestFit="1" customWidth="1"/>
    <col min="8205" max="8206" width="11" style="111" customWidth="1"/>
    <col min="8207" max="8207" width="10" style="111" bestFit="1" customWidth="1"/>
    <col min="8208" max="8208" width="14.42578125" style="111" bestFit="1" customWidth="1"/>
    <col min="8209" max="8219" width="0" style="111" hidden="1" customWidth="1"/>
    <col min="8220" max="8440" width="9.140625" style="111"/>
    <col min="8441" max="8441" width="54.140625" style="111" bestFit="1" customWidth="1"/>
    <col min="8442" max="8442" width="14.7109375" style="111" customWidth="1"/>
    <col min="8443" max="8443" width="10.140625" style="111" customWidth="1"/>
    <col min="8444" max="8444" width="10.42578125" style="111" bestFit="1" customWidth="1"/>
    <col min="8445" max="8446" width="9.42578125" style="111" bestFit="1" customWidth="1"/>
    <col min="8447" max="8448" width="9.42578125" style="111" customWidth="1"/>
    <col min="8449" max="8449" width="10.140625" style="111" bestFit="1" customWidth="1"/>
    <col min="8450" max="8453" width="9.140625" style="111"/>
    <col min="8454" max="8454" width="7.28515625" style="111" customWidth="1"/>
    <col min="8455" max="8457" width="7.42578125" style="111" customWidth="1"/>
    <col min="8458" max="8458" width="10.42578125" style="111" bestFit="1" customWidth="1"/>
    <col min="8459" max="8459" width="12" style="111" bestFit="1" customWidth="1"/>
    <col min="8460" max="8460" width="11" style="111" bestFit="1" customWidth="1"/>
    <col min="8461" max="8462" width="11" style="111" customWidth="1"/>
    <col min="8463" max="8463" width="10" style="111" bestFit="1" customWidth="1"/>
    <col min="8464" max="8464" width="14.42578125" style="111" bestFit="1" customWidth="1"/>
    <col min="8465" max="8475" width="0" style="111" hidden="1" customWidth="1"/>
    <col min="8476" max="8696" width="9.140625" style="111"/>
    <col min="8697" max="8697" width="54.140625" style="111" bestFit="1" customWidth="1"/>
    <col min="8698" max="8698" width="14.7109375" style="111" customWidth="1"/>
    <col min="8699" max="8699" width="10.140625" style="111" customWidth="1"/>
    <col min="8700" max="8700" width="10.42578125" style="111" bestFit="1" customWidth="1"/>
    <col min="8701" max="8702" width="9.42578125" style="111" bestFit="1" customWidth="1"/>
    <col min="8703" max="8704" width="9.42578125" style="111" customWidth="1"/>
    <col min="8705" max="8705" width="10.140625" style="111" bestFit="1" customWidth="1"/>
    <col min="8706" max="8709" width="9.140625" style="111"/>
    <col min="8710" max="8710" width="7.28515625" style="111" customWidth="1"/>
    <col min="8711" max="8713" width="7.42578125" style="111" customWidth="1"/>
    <col min="8714" max="8714" width="10.42578125" style="111" bestFit="1" customWidth="1"/>
    <col min="8715" max="8715" width="12" style="111" bestFit="1" customWidth="1"/>
    <col min="8716" max="8716" width="11" style="111" bestFit="1" customWidth="1"/>
    <col min="8717" max="8718" width="11" style="111" customWidth="1"/>
    <col min="8719" max="8719" width="10" style="111" bestFit="1" customWidth="1"/>
    <col min="8720" max="8720" width="14.42578125" style="111" bestFit="1" customWidth="1"/>
    <col min="8721" max="8731" width="0" style="111" hidden="1" customWidth="1"/>
    <col min="8732" max="8952" width="9.140625" style="111"/>
    <col min="8953" max="8953" width="54.140625" style="111" bestFit="1" customWidth="1"/>
    <col min="8954" max="8954" width="14.7109375" style="111" customWidth="1"/>
    <col min="8955" max="8955" width="10.140625" style="111" customWidth="1"/>
    <col min="8956" max="8956" width="10.42578125" style="111" bestFit="1" customWidth="1"/>
    <col min="8957" max="8958" width="9.42578125" style="111" bestFit="1" customWidth="1"/>
    <col min="8959" max="8960" width="9.42578125" style="111" customWidth="1"/>
    <col min="8961" max="8961" width="10.140625" style="111" bestFit="1" customWidth="1"/>
    <col min="8962" max="8965" width="9.140625" style="111"/>
    <col min="8966" max="8966" width="7.28515625" style="111" customWidth="1"/>
    <col min="8967" max="8969" width="7.42578125" style="111" customWidth="1"/>
    <col min="8970" max="8970" width="10.42578125" style="111" bestFit="1" customWidth="1"/>
    <col min="8971" max="8971" width="12" style="111" bestFit="1" customWidth="1"/>
    <col min="8972" max="8972" width="11" style="111" bestFit="1" customWidth="1"/>
    <col min="8973" max="8974" width="11" style="111" customWidth="1"/>
    <col min="8975" max="8975" width="10" style="111" bestFit="1" customWidth="1"/>
    <col min="8976" max="8976" width="14.42578125" style="111" bestFit="1" customWidth="1"/>
    <col min="8977" max="8987" width="0" style="111" hidden="1" customWidth="1"/>
    <col min="8988" max="9208" width="9.140625" style="111"/>
    <col min="9209" max="9209" width="54.140625" style="111" bestFit="1" customWidth="1"/>
    <col min="9210" max="9210" width="14.7109375" style="111" customWidth="1"/>
    <col min="9211" max="9211" width="10.140625" style="111" customWidth="1"/>
    <col min="9212" max="9212" width="10.42578125" style="111" bestFit="1" customWidth="1"/>
    <col min="9213" max="9214" width="9.42578125" style="111" bestFit="1" customWidth="1"/>
    <col min="9215" max="9216" width="9.42578125" style="111" customWidth="1"/>
    <col min="9217" max="9217" width="10.140625" style="111" bestFit="1" customWidth="1"/>
    <col min="9218" max="9221" width="9.140625" style="111"/>
    <col min="9222" max="9222" width="7.28515625" style="111" customWidth="1"/>
    <col min="9223" max="9225" width="7.42578125" style="111" customWidth="1"/>
    <col min="9226" max="9226" width="10.42578125" style="111" bestFit="1" customWidth="1"/>
    <col min="9227" max="9227" width="12" style="111" bestFit="1" customWidth="1"/>
    <col min="9228" max="9228" width="11" style="111" bestFit="1" customWidth="1"/>
    <col min="9229" max="9230" width="11" style="111" customWidth="1"/>
    <col min="9231" max="9231" width="10" style="111" bestFit="1" customWidth="1"/>
    <col min="9232" max="9232" width="14.42578125" style="111" bestFit="1" customWidth="1"/>
    <col min="9233" max="9243" width="0" style="111" hidden="1" customWidth="1"/>
    <col min="9244" max="9464" width="9.140625" style="111"/>
    <col min="9465" max="9465" width="54.140625" style="111" bestFit="1" customWidth="1"/>
    <col min="9466" max="9466" width="14.7109375" style="111" customWidth="1"/>
    <col min="9467" max="9467" width="10.140625" style="111" customWidth="1"/>
    <col min="9468" max="9468" width="10.42578125" style="111" bestFit="1" customWidth="1"/>
    <col min="9469" max="9470" width="9.42578125" style="111" bestFit="1" customWidth="1"/>
    <col min="9471" max="9472" width="9.42578125" style="111" customWidth="1"/>
    <col min="9473" max="9473" width="10.140625" style="111" bestFit="1" customWidth="1"/>
    <col min="9474" max="9477" width="9.140625" style="111"/>
    <col min="9478" max="9478" width="7.28515625" style="111" customWidth="1"/>
    <col min="9479" max="9481" width="7.42578125" style="111" customWidth="1"/>
    <col min="9482" max="9482" width="10.42578125" style="111" bestFit="1" customWidth="1"/>
    <col min="9483" max="9483" width="12" style="111" bestFit="1" customWidth="1"/>
    <col min="9484" max="9484" width="11" style="111" bestFit="1" customWidth="1"/>
    <col min="9485" max="9486" width="11" style="111" customWidth="1"/>
    <col min="9487" max="9487" width="10" style="111" bestFit="1" customWidth="1"/>
    <col min="9488" max="9488" width="14.42578125" style="111" bestFit="1" customWidth="1"/>
    <col min="9489" max="9499" width="0" style="111" hidden="1" customWidth="1"/>
    <col min="9500" max="9720" width="9.140625" style="111"/>
    <col min="9721" max="9721" width="54.140625" style="111" bestFit="1" customWidth="1"/>
    <col min="9722" max="9722" width="14.7109375" style="111" customWidth="1"/>
    <col min="9723" max="9723" width="10.140625" style="111" customWidth="1"/>
    <col min="9724" max="9724" width="10.42578125" style="111" bestFit="1" customWidth="1"/>
    <col min="9725" max="9726" width="9.42578125" style="111" bestFit="1" customWidth="1"/>
    <col min="9727" max="9728" width="9.42578125" style="111" customWidth="1"/>
    <col min="9729" max="9729" width="10.140625" style="111" bestFit="1" customWidth="1"/>
    <col min="9730" max="9733" width="9.140625" style="111"/>
    <col min="9734" max="9734" width="7.28515625" style="111" customWidth="1"/>
    <col min="9735" max="9737" width="7.42578125" style="111" customWidth="1"/>
    <col min="9738" max="9738" width="10.42578125" style="111" bestFit="1" customWidth="1"/>
    <col min="9739" max="9739" width="12" style="111" bestFit="1" customWidth="1"/>
    <col min="9740" max="9740" width="11" style="111" bestFit="1" customWidth="1"/>
    <col min="9741" max="9742" width="11" style="111" customWidth="1"/>
    <col min="9743" max="9743" width="10" style="111" bestFit="1" customWidth="1"/>
    <col min="9744" max="9744" width="14.42578125" style="111" bestFit="1" customWidth="1"/>
    <col min="9745" max="9755" width="0" style="111" hidden="1" customWidth="1"/>
    <col min="9756" max="9976" width="9.140625" style="111"/>
    <col min="9977" max="9977" width="54.140625" style="111" bestFit="1" customWidth="1"/>
    <col min="9978" max="9978" width="14.7109375" style="111" customWidth="1"/>
    <col min="9979" max="9979" width="10.140625" style="111" customWidth="1"/>
    <col min="9980" max="9980" width="10.42578125" style="111" bestFit="1" customWidth="1"/>
    <col min="9981" max="9982" width="9.42578125" style="111" bestFit="1" customWidth="1"/>
    <col min="9983" max="9984" width="9.42578125" style="111" customWidth="1"/>
    <col min="9985" max="9985" width="10.140625" style="111" bestFit="1" customWidth="1"/>
    <col min="9986" max="9989" width="9.140625" style="111"/>
    <col min="9990" max="9990" width="7.28515625" style="111" customWidth="1"/>
    <col min="9991" max="9993" width="7.42578125" style="111" customWidth="1"/>
    <col min="9994" max="9994" width="10.42578125" style="111" bestFit="1" customWidth="1"/>
    <col min="9995" max="9995" width="12" style="111" bestFit="1" customWidth="1"/>
    <col min="9996" max="9996" width="11" style="111" bestFit="1" customWidth="1"/>
    <col min="9997" max="9998" width="11" style="111" customWidth="1"/>
    <col min="9999" max="9999" width="10" style="111" bestFit="1" customWidth="1"/>
    <col min="10000" max="10000" width="14.42578125" style="111" bestFit="1" customWidth="1"/>
    <col min="10001" max="10011" width="0" style="111" hidden="1" customWidth="1"/>
    <col min="10012" max="10232" width="9.140625" style="111"/>
    <col min="10233" max="10233" width="54.140625" style="111" bestFit="1" customWidth="1"/>
    <col min="10234" max="10234" width="14.7109375" style="111" customWidth="1"/>
    <col min="10235" max="10235" width="10.140625" style="111" customWidth="1"/>
    <col min="10236" max="10236" width="10.42578125" style="111" bestFit="1" customWidth="1"/>
    <col min="10237" max="10238" width="9.42578125" style="111" bestFit="1" customWidth="1"/>
    <col min="10239" max="10240" width="9.42578125" style="111" customWidth="1"/>
    <col min="10241" max="10241" width="10.140625" style="111" bestFit="1" customWidth="1"/>
    <col min="10242" max="10245" width="9.140625" style="111"/>
    <col min="10246" max="10246" width="7.28515625" style="111" customWidth="1"/>
    <col min="10247" max="10249" width="7.42578125" style="111" customWidth="1"/>
    <col min="10250" max="10250" width="10.42578125" style="111" bestFit="1" customWidth="1"/>
    <col min="10251" max="10251" width="12" style="111" bestFit="1" customWidth="1"/>
    <col min="10252" max="10252" width="11" style="111" bestFit="1" customWidth="1"/>
    <col min="10253" max="10254" width="11" style="111" customWidth="1"/>
    <col min="10255" max="10255" width="10" style="111" bestFit="1" customWidth="1"/>
    <col min="10256" max="10256" width="14.42578125" style="111" bestFit="1" customWidth="1"/>
    <col min="10257" max="10267" width="0" style="111" hidden="1" customWidth="1"/>
    <col min="10268" max="10488" width="9.140625" style="111"/>
    <col min="10489" max="10489" width="54.140625" style="111" bestFit="1" customWidth="1"/>
    <col min="10490" max="10490" width="14.7109375" style="111" customWidth="1"/>
    <col min="10491" max="10491" width="10.140625" style="111" customWidth="1"/>
    <col min="10492" max="10492" width="10.42578125" style="111" bestFit="1" customWidth="1"/>
    <col min="10493" max="10494" width="9.42578125" style="111" bestFit="1" customWidth="1"/>
    <col min="10495" max="10496" width="9.42578125" style="111" customWidth="1"/>
    <col min="10497" max="10497" width="10.140625" style="111" bestFit="1" customWidth="1"/>
    <col min="10498" max="10501" width="9.140625" style="111"/>
    <col min="10502" max="10502" width="7.28515625" style="111" customWidth="1"/>
    <col min="10503" max="10505" width="7.42578125" style="111" customWidth="1"/>
    <col min="10506" max="10506" width="10.42578125" style="111" bestFit="1" customWidth="1"/>
    <col min="10507" max="10507" width="12" style="111" bestFit="1" customWidth="1"/>
    <col min="10508" max="10508" width="11" style="111" bestFit="1" customWidth="1"/>
    <col min="10509" max="10510" width="11" style="111" customWidth="1"/>
    <col min="10511" max="10511" width="10" style="111" bestFit="1" customWidth="1"/>
    <col min="10512" max="10512" width="14.42578125" style="111" bestFit="1" customWidth="1"/>
    <col min="10513" max="10523" width="0" style="111" hidden="1" customWidth="1"/>
    <col min="10524" max="10744" width="9.140625" style="111"/>
    <col min="10745" max="10745" width="54.140625" style="111" bestFit="1" customWidth="1"/>
    <col min="10746" max="10746" width="14.7109375" style="111" customWidth="1"/>
    <col min="10747" max="10747" width="10.140625" style="111" customWidth="1"/>
    <col min="10748" max="10748" width="10.42578125" style="111" bestFit="1" customWidth="1"/>
    <col min="10749" max="10750" width="9.42578125" style="111" bestFit="1" customWidth="1"/>
    <col min="10751" max="10752" width="9.42578125" style="111" customWidth="1"/>
    <col min="10753" max="10753" width="10.140625" style="111" bestFit="1" customWidth="1"/>
    <col min="10754" max="10757" width="9.140625" style="111"/>
    <col min="10758" max="10758" width="7.28515625" style="111" customWidth="1"/>
    <col min="10759" max="10761" width="7.42578125" style="111" customWidth="1"/>
    <col min="10762" max="10762" width="10.42578125" style="111" bestFit="1" customWidth="1"/>
    <col min="10763" max="10763" width="12" style="111" bestFit="1" customWidth="1"/>
    <col min="10764" max="10764" width="11" style="111" bestFit="1" customWidth="1"/>
    <col min="10765" max="10766" width="11" style="111" customWidth="1"/>
    <col min="10767" max="10767" width="10" style="111" bestFit="1" customWidth="1"/>
    <col min="10768" max="10768" width="14.42578125" style="111" bestFit="1" customWidth="1"/>
    <col min="10769" max="10779" width="0" style="111" hidden="1" customWidth="1"/>
    <col min="10780" max="11000" width="9.140625" style="111"/>
    <col min="11001" max="11001" width="54.140625" style="111" bestFit="1" customWidth="1"/>
    <col min="11002" max="11002" width="14.7109375" style="111" customWidth="1"/>
    <col min="11003" max="11003" width="10.140625" style="111" customWidth="1"/>
    <col min="11004" max="11004" width="10.42578125" style="111" bestFit="1" customWidth="1"/>
    <col min="11005" max="11006" width="9.42578125" style="111" bestFit="1" customWidth="1"/>
    <col min="11007" max="11008" width="9.42578125" style="111" customWidth="1"/>
    <col min="11009" max="11009" width="10.140625" style="111" bestFit="1" customWidth="1"/>
    <col min="11010" max="11013" width="9.140625" style="111"/>
    <col min="11014" max="11014" width="7.28515625" style="111" customWidth="1"/>
    <col min="11015" max="11017" width="7.42578125" style="111" customWidth="1"/>
    <col min="11018" max="11018" width="10.42578125" style="111" bestFit="1" customWidth="1"/>
    <col min="11019" max="11019" width="12" style="111" bestFit="1" customWidth="1"/>
    <col min="11020" max="11020" width="11" style="111" bestFit="1" customWidth="1"/>
    <col min="11021" max="11022" width="11" style="111" customWidth="1"/>
    <col min="11023" max="11023" width="10" style="111" bestFit="1" customWidth="1"/>
    <col min="11024" max="11024" width="14.42578125" style="111" bestFit="1" customWidth="1"/>
    <col min="11025" max="11035" width="0" style="111" hidden="1" customWidth="1"/>
    <col min="11036" max="11256" width="9.140625" style="111"/>
    <col min="11257" max="11257" width="54.140625" style="111" bestFit="1" customWidth="1"/>
    <col min="11258" max="11258" width="14.7109375" style="111" customWidth="1"/>
    <col min="11259" max="11259" width="10.140625" style="111" customWidth="1"/>
    <col min="11260" max="11260" width="10.42578125" style="111" bestFit="1" customWidth="1"/>
    <col min="11261" max="11262" width="9.42578125" style="111" bestFit="1" customWidth="1"/>
    <col min="11263" max="11264" width="9.42578125" style="111" customWidth="1"/>
    <col min="11265" max="11265" width="10.140625" style="111" bestFit="1" customWidth="1"/>
    <col min="11266" max="11269" width="9.140625" style="111"/>
    <col min="11270" max="11270" width="7.28515625" style="111" customWidth="1"/>
    <col min="11271" max="11273" width="7.42578125" style="111" customWidth="1"/>
    <col min="11274" max="11274" width="10.42578125" style="111" bestFit="1" customWidth="1"/>
    <col min="11275" max="11275" width="12" style="111" bestFit="1" customWidth="1"/>
    <col min="11276" max="11276" width="11" style="111" bestFit="1" customWidth="1"/>
    <col min="11277" max="11278" width="11" style="111" customWidth="1"/>
    <col min="11279" max="11279" width="10" style="111" bestFit="1" customWidth="1"/>
    <col min="11280" max="11280" width="14.42578125" style="111" bestFit="1" customWidth="1"/>
    <col min="11281" max="11291" width="0" style="111" hidden="1" customWidth="1"/>
    <col min="11292" max="11512" width="9.140625" style="111"/>
    <col min="11513" max="11513" width="54.140625" style="111" bestFit="1" customWidth="1"/>
    <col min="11514" max="11514" width="14.7109375" style="111" customWidth="1"/>
    <col min="11515" max="11515" width="10.140625" style="111" customWidth="1"/>
    <col min="11516" max="11516" width="10.42578125" style="111" bestFit="1" customWidth="1"/>
    <col min="11517" max="11518" width="9.42578125" style="111" bestFit="1" customWidth="1"/>
    <col min="11519" max="11520" width="9.42578125" style="111" customWidth="1"/>
    <col min="11521" max="11521" width="10.140625" style="111" bestFit="1" customWidth="1"/>
    <col min="11522" max="11525" width="9.140625" style="111"/>
    <col min="11526" max="11526" width="7.28515625" style="111" customWidth="1"/>
    <col min="11527" max="11529" width="7.42578125" style="111" customWidth="1"/>
    <col min="11530" max="11530" width="10.42578125" style="111" bestFit="1" customWidth="1"/>
    <col min="11531" max="11531" width="12" style="111" bestFit="1" customWidth="1"/>
    <col min="11532" max="11532" width="11" style="111" bestFit="1" customWidth="1"/>
    <col min="11533" max="11534" width="11" style="111" customWidth="1"/>
    <col min="11535" max="11535" width="10" style="111" bestFit="1" customWidth="1"/>
    <col min="11536" max="11536" width="14.42578125" style="111" bestFit="1" customWidth="1"/>
    <col min="11537" max="11547" width="0" style="111" hidden="1" customWidth="1"/>
    <col min="11548" max="11768" width="9.140625" style="111"/>
    <col min="11769" max="11769" width="54.140625" style="111" bestFit="1" customWidth="1"/>
    <col min="11770" max="11770" width="14.7109375" style="111" customWidth="1"/>
    <col min="11771" max="11771" width="10.140625" style="111" customWidth="1"/>
    <col min="11772" max="11772" width="10.42578125" style="111" bestFit="1" customWidth="1"/>
    <col min="11773" max="11774" width="9.42578125" style="111" bestFit="1" customWidth="1"/>
    <col min="11775" max="11776" width="9.42578125" style="111" customWidth="1"/>
    <col min="11777" max="11777" width="10.140625" style="111" bestFit="1" customWidth="1"/>
    <col min="11778" max="11781" width="9.140625" style="111"/>
    <col min="11782" max="11782" width="7.28515625" style="111" customWidth="1"/>
    <col min="11783" max="11785" width="7.42578125" style="111" customWidth="1"/>
    <col min="11786" max="11786" width="10.42578125" style="111" bestFit="1" customWidth="1"/>
    <col min="11787" max="11787" width="12" style="111" bestFit="1" customWidth="1"/>
    <col min="11788" max="11788" width="11" style="111" bestFit="1" customWidth="1"/>
    <col min="11789" max="11790" width="11" style="111" customWidth="1"/>
    <col min="11791" max="11791" width="10" style="111" bestFit="1" customWidth="1"/>
    <col min="11792" max="11792" width="14.42578125" style="111" bestFit="1" customWidth="1"/>
    <col min="11793" max="11803" width="0" style="111" hidden="1" customWidth="1"/>
    <col min="11804" max="12024" width="9.140625" style="111"/>
    <col min="12025" max="12025" width="54.140625" style="111" bestFit="1" customWidth="1"/>
    <col min="12026" max="12026" width="14.7109375" style="111" customWidth="1"/>
    <col min="12027" max="12027" width="10.140625" style="111" customWidth="1"/>
    <col min="12028" max="12028" width="10.42578125" style="111" bestFit="1" customWidth="1"/>
    <col min="12029" max="12030" width="9.42578125" style="111" bestFit="1" customWidth="1"/>
    <col min="12031" max="12032" width="9.42578125" style="111" customWidth="1"/>
    <col min="12033" max="12033" width="10.140625" style="111" bestFit="1" customWidth="1"/>
    <col min="12034" max="12037" width="9.140625" style="111"/>
    <col min="12038" max="12038" width="7.28515625" style="111" customWidth="1"/>
    <col min="12039" max="12041" width="7.42578125" style="111" customWidth="1"/>
    <col min="12042" max="12042" width="10.42578125" style="111" bestFit="1" customWidth="1"/>
    <col min="12043" max="12043" width="12" style="111" bestFit="1" customWidth="1"/>
    <col min="12044" max="12044" width="11" style="111" bestFit="1" customWidth="1"/>
    <col min="12045" max="12046" width="11" style="111" customWidth="1"/>
    <col min="12047" max="12047" width="10" style="111" bestFit="1" customWidth="1"/>
    <col min="12048" max="12048" width="14.42578125" style="111" bestFit="1" customWidth="1"/>
    <col min="12049" max="12059" width="0" style="111" hidden="1" customWidth="1"/>
    <col min="12060" max="12280" width="9.140625" style="111"/>
    <col min="12281" max="12281" width="54.140625" style="111" bestFit="1" customWidth="1"/>
    <col min="12282" max="12282" width="14.7109375" style="111" customWidth="1"/>
    <col min="12283" max="12283" width="10.140625" style="111" customWidth="1"/>
    <col min="12284" max="12284" width="10.42578125" style="111" bestFit="1" customWidth="1"/>
    <col min="12285" max="12286" width="9.42578125" style="111" bestFit="1" customWidth="1"/>
    <col min="12287" max="12288" width="9.42578125" style="111" customWidth="1"/>
    <col min="12289" max="12289" width="10.140625" style="111" bestFit="1" customWidth="1"/>
    <col min="12290" max="12293" width="9.140625" style="111"/>
    <col min="12294" max="12294" width="7.28515625" style="111" customWidth="1"/>
    <col min="12295" max="12297" width="7.42578125" style="111" customWidth="1"/>
    <col min="12298" max="12298" width="10.42578125" style="111" bestFit="1" customWidth="1"/>
    <col min="12299" max="12299" width="12" style="111" bestFit="1" customWidth="1"/>
    <col min="12300" max="12300" width="11" style="111" bestFit="1" customWidth="1"/>
    <col min="12301" max="12302" width="11" style="111" customWidth="1"/>
    <col min="12303" max="12303" width="10" style="111" bestFit="1" customWidth="1"/>
    <col min="12304" max="12304" width="14.42578125" style="111" bestFit="1" customWidth="1"/>
    <col min="12305" max="12315" width="0" style="111" hidden="1" customWidth="1"/>
    <col min="12316" max="12536" width="9.140625" style="111"/>
    <col min="12537" max="12537" width="54.140625" style="111" bestFit="1" customWidth="1"/>
    <col min="12538" max="12538" width="14.7109375" style="111" customWidth="1"/>
    <col min="12539" max="12539" width="10.140625" style="111" customWidth="1"/>
    <col min="12540" max="12540" width="10.42578125" style="111" bestFit="1" customWidth="1"/>
    <col min="12541" max="12542" width="9.42578125" style="111" bestFit="1" customWidth="1"/>
    <col min="12543" max="12544" width="9.42578125" style="111" customWidth="1"/>
    <col min="12545" max="12545" width="10.140625" style="111" bestFit="1" customWidth="1"/>
    <col min="12546" max="12549" width="9.140625" style="111"/>
    <col min="12550" max="12550" width="7.28515625" style="111" customWidth="1"/>
    <col min="12551" max="12553" width="7.42578125" style="111" customWidth="1"/>
    <col min="12554" max="12554" width="10.42578125" style="111" bestFit="1" customWidth="1"/>
    <col min="12555" max="12555" width="12" style="111" bestFit="1" customWidth="1"/>
    <col min="12556" max="12556" width="11" style="111" bestFit="1" customWidth="1"/>
    <col min="12557" max="12558" width="11" style="111" customWidth="1"/>
    <col min="12559" max="12559" width="10" style="111" bestFit="1" customWidth="1"/>
    <col min="12560" max="12560" width="14.42578125" style="111" bestFit="1" customWidth="1"/>
    <col min="12561" max="12571" width="0" style="111" hidden="1" customWidth="1"/>
    <col min="12572" max="12792" width="9.140625" style="111"/>
    <col min="12793" max="12793" width="54.140625" style="111" bestFit="1" customWidth="1"/>
    <col min="12794" max="12794" width="14.7109375" style="111" customWidth="1"/>
    <col min="12795" max="12795" width="10.140625" style="111" customWidth="1"/>
    <col min="12796" max="12796" width="10.42578125" style="111" bestFit="1" customWidth="1"/>
    <col min="12797" max="12798" width="9.42578125" style="111" bestFit="1" customWidth="1"/>
    <col min="12799" max="12800" width="9.42578125" style="111" customWidth="1"/>
    <col min="12801" max="12801" width="10.140625" style="111" bestFit="1" customWidth="1"/>
    <col min="12802" max="12805" width="9.140625" style="111"/>
    <col min="12806" max="12806" width="7.28515625" style="111" customWidth="1"/>
    <col min="12807" max="12809" width="7.42578125" style="111" customWidth="1"/>
    <col min="12810" max="12810" width="10.42578125" style="111" bestFit="1" customWidth="1"/>
    <col min="12811" max="12811" width="12" style="111" bestFit="1" customWidth="1"/>
    <col min="12812" max="12812" width="11" style="111" bestFit="1" customWidth="1"/>
    <col min="12813" max="12814" width="11" style="111" customWidth="1"/>
    <col min="12815" max="12815" width="10" style="111" bestFit="1" customWidth="1"/>
    <col min="12816" max="12816" width="14.42578125" style="111" bestFit="1" customWidth="1"/>
    <col min="12817" max="12827" width="0" style="111" hidden="1" customWidth="1"/>
    <col min="12828" max="13048" width="9.140625" style="111"/>
    <col min="13049" max="13049" width="54.140625" style="111" bestFit="1" customWidth="1"/>
    <col min="13050" max="13050" width="14.7109375" style="111" customWidth="1"/>
    <col min="13051" max="13051" width="10.140625" style="111" customWidth="1"/>
    <col min="13052" max="13052" width="10.42578125" style="111" bestFit="1" customWidth="1"/>
    <col min="13053" max="13054" width="9.42578125" style="111" bestFit="1" customWidth="1"/>
    <col min="13055" max="13056" width="9.42578125" style="111" customWidth="1"/>
    <col min="13057" max="13057" width="10.140625" style="111" bestFit="1" customWidth="1"/>
    <col min="13058" max="13061" width="9.140625" style="111"/>
    <col min="13062" max="13062" width="7.28515625" style="111" customWidth="1"/>
    <col min="13063" max="13065" width="7.42578125" style="111" customWidth="1"/>
    <col min="13066" max="13066" width="10.42578125" style="111" bestFit="1" customWidth="1"/>
    <col min="13067" max="13067" width="12" style="111" bestFit="1" customWidth="1"/>
    <col min="13068" max="13068" width="11" style="111" bestFit="1" customWidth="1"/>
    <col min="13069" max="13070" width="11" style="111" customWidth="1"/>
    <col min="13071" max="13071" width="10" style="111" bestFit="1" customWidth="1"/>
    <col min="13072" max="13072" width="14.42578125" style="111" bestFit="1" customWidth="1"/>
    <col min="13073" max="13083" width="0" style="111" hidden="1" customWidth="1"/>
    <col min="13084" max="13304" width="9.140625" style="111"/>
    <col min="13305" max="13305" width="54.140625" style="111" bestFit="1" customWidth="1"/>
    <col min="13306" max="13306" width="14.7109375" style="111" customWidth="1"/>
    <col min="13307" max="13307" width="10.140625" style="111" customWidth="1"/>
    <col min="13308" max="13308" width="10.42578125" style="111" bestFit="1" customWidth="1"/>
    <col min="13309" max="13310" width="9.42578125" style="111" bestFit="1" customWidth="1"/>
    <col min="13311" max="13312" width="9.42578125" style="111" customWidth="1"/>
    <col min="13313" max="13313" width="10.140625" style="111" bestFit="1" customWidth="1"/>
    <col min="13314" max="13317" width="9.140625" style="111"/>
    <col min="13318" max="13318" width="7.28515625" style="111" customWidth="1"/>
    <col min="13319" max="13321" width="7.42578125" style="111" customWidth="1"/>
    <col min="13322" max="13322" width="10.42578125" style="111" bestFit="1" customWidth="1"/>
    <col min="13323" max="13323" width="12" style="111" bestFit="1" customWidth="1"/>
    <col min="13324" max="13324" width="11" style="111" bestFit="1" customWidth="1"/>
    <col min="13325" max="13326" width="11" style="111" customWidth="1"/>
    <col min="13327" max="13327" width="10" style="111" bestFit="1" customWidth="1"/>
    <col min="13328" max="13328" width="14.42578125" style="111" bestFit="1" customWidth="1"/>
    <col min="13329" max="13339" width="0" style="111" hidden="1" customWidth="1"/>
    <col min="13340" max="13560" width="9.140625" style="111"/>
    <col min="13561" max="13561" width="54.140625" style="111" bestFit="1" customWidth="1"/>
    <col min="13562" max="13562" width="14.7109375" style="111" customWidth="1"/>
    <col min="13563" max="13563" width="10.140625" style="111" customWidth="1"/>
    <col min="13564" max="13564" width="10.42578125" style="111" bestFit="1" customWidth="1"/>
    <col min="13565" max="13566" width="9.42578125" style="111" bestFit="1" customWidth="1"/>
    <col min="13567" max="13568" width="9.42578125" style="111" customWidth="1"/>
    <col min="13569" max="13569" width="10.140625" style="111" bestFit="1" customWidth="1"/>
    <col min="13570" max="13573" width="9.140625" style="111"/>
    <col min="13574" max="13574" width="7.28515625" style="111" customWidth="1"/>
    <col min="13575" max="13577" width="7.42578125" style="111" customWidth="1"/>
    <col min="13578" max="13578" width="10.42578125" style="111" bestFit="1" customWidth="1"/>
    <col min="13579" max="13579" width="12" style="111" bestFit="1" customWidth="1"/>
    <col min="13580" max="13580" width="11" style="111" bestFit="1" customWidth="1"/>
    <col min="13581" max="13582" width="11" style="111" customWidth="1"/>
    <col min="13583" max="13583" width="10" style="111" bestFit="1" customWidth="1"/>
    <col min="13584" max="13584" width="14.42578125" style="111" bestFit="1" customWidth="1"/>
    <col min="13585" max="13595" width="0" style="111" hidden="1" customWidth="1"/>
    <col min="13596" max="13816" width="9.140625" style="111"/>
    <col min="13817" max="13817" width="54.140625" style="111" bestFit="1" customWidth="1"/>
    <col min="13818" max="13818" width="14.7109375" style="111" customWidth="1"/>
    <col min="13819" max="13819" width="10.140625" style="111" customWidth="1"/>
    <col min="13820" max="13820" width="10.42578125" style="111" bestFit="1" customWidth="1"/>
    <col min="13821" max="13822" width="9.42578125" style="111" bestFit="1" customWidth="1"/>
    <col min="13823" max="13824" width="9.42578125" style="111" customWidth="1"/>
    <col min="13825" max="13825" width="10.140625" style="111" bestFit="1" customWidth="1"/>
    <col min="13826" max="13829" width="9.140625" style="111"/>
    <col min="13830" max="13830" width="7.28515625" style="111" customWidth="1"/>
    <col min="13831" max="13833" width="7.42578125" style="111" customWidth="1"/>
    <col min="13834" max="13834" width="10.42578125" style="111" bestFit="1" customWidth="1"/>
    <col min="13835" max="13835" width="12" style="111" bestFit="1" customWidth="1"/>
    <col min="13836" max="13836" width="11" style="111" bestFit="1" customWidth="1"/>
    <col min="13837" max="13838" width="11" style="111" customWidth="1"/>
    <col min="13839" max="13839" width="10" style="111" bestFit="1" customWidth="1"/>
    <col min="13840" max="13840" width="14.42578125" style="111" bestFit="1" customWidth="1"/>
    <col min="13841" max="13851" width="0" style="111" hidden="1" customWidth="1"/>
    <col min="13852" max="14072" width="9.140625" style="111"/>
    <col min="14073" max="14073" width="54.140625" style="111" bestFit="1" customWidth="1"/>
    <col min="14074" max="14074" width="14.7109375" style="111" customWidth="1"/>
    <col min="14075" max="14075" width="10.140625" style="111" customWidth="1"/>
    <col min="14076" max="14076" width="10.42578125" style="111" bestFit="1" customWidth="1"/>
    <col min="14077" max="14078" width="9.42578125" style="111" bestFit="1" customWidth="1"/>
    <col min="14079" max="14080" width="9.42578125" style="111" customWidth="1"/>
    <col min="14081" max="14081" width="10.140625" style="111" bestFit="1" customWidth="1"/>
    <col min="14082" max="14085" width="9.140625" style="111"/>
    <col min="14086" max="14086" width="7.28515625" style="111" customWidth="1"/>
    <col min="14087" max="14089" width="7.42578125" style="111" customWidth="1"/>
    <col min="14090" max="14090" width="10.42578125" style="111" bestFit="1" customWidth="1"/>
    <col min="14091" max="14091" width="12" style="111" bestFit="1" customWidth="1"/>
    <col min="14092" max="14092" width="11" style="111" bestFit="1" customWidth="1"/>
    <col min="14093" max="14094" width="11" style="111" customWidth="1"/>
    <col min="14095" max="14095" width="10" style="111" bestFit="1" customWidth="1"/>
    <col min="14096" max="14096" width="14.42578125" style="111" bestFit="1" customWidth="1"/>
    <col min="14097" max="14107" width="0" style="111" hidden="1" customWidth="1"/>
    <col min="14108" max="14328" width="9.140625" style="111"/>
    <col min="14329" max="14329" width="54.140625" style="111" bestFit="1" customWidth="1"/>
    <col min="14330" max="14330" width="14.7109375" style="111" customWidth="1"/>
    <col min="14331" max="14331" width="10.140625" style="111" customWidth="1"/>
    <col min="14332" max="14332" width="10.42578125" style="111" bestFit="1" customWidth="1"/>
    <col min="14333" max="14334" width="9.42578125" style="111" bestFit="1" customWidth="1"/>
    <col min="14335" max="14336" width="9.42578125" style="111" customWidth="1"/>
    <col min="14337" max="14337" width="10.140625" style="111" bestFit="1" customWidth="1"/>
    <col min="14338" max="14341" width="9.140625" style="111"/>
    <col min="14342" max="14342" width="7.28515625" style="111" customWidth="1"/>
    <col min="14343" max="14345" width="7.42578125" style="111" customWidth="1"/>
    <col min="14346" max="14346" width="10.42578125" style="111" bestFit="1" customWidth="1"/>
    <col min="14347" max="14347" width="12" style="111" bestFit="1" customWidth="1"/>
    <col min="14348" max="14348" width="11" style="111" bestFit="1" customWidth="1"/>
    <col min="14349" max="14350" width="11" style="111" customWidth="1"/>
    <col min="14351" max="14351" width="10" style="111" bestFit="1" customWidth="1"/>
    <col min="14352" max="14352" width="14.42578125" style="111" bestFit="1" customWidth="1"/>
    <col min="14353" max="14363" width="0" style="111" hidden="1" customWidth="1"/>
    <col min="14364" max="14584" width="9.140625" style="111"/>
    <col min="14585" max="14585" width="54.140625" style="111" bestFit="1" customWidth="1"/>
    <col min="14586" max="14586" width="14.7109375" style="111" customWidth="1"/>
    <col min="14587" max="14587" width="10.140625" style="111" customWidth="1"/>
    <col min="14588" max="14588" width="10.42578125" style="111" bestFit="1" customWidth="1"/>
    <col min="14589" max="14590" width="9.42578125" style="111" bestFit="1" customWidth="1"/>
    <col min="14591" max="14592" width="9.42578125" style="111" customWidth="1"/>
    <col min="14593" max="14593" width="10.140625" style="111" bestFit="1" customWidth="1"/>
    <col min="14594" max="14597" width="9.140625" style="111"/>
    <col min="14598" max="14598" width="7.28515625" style="111" customWidth="1"/>
    <col min="14599" max="14601" width="7.42578125" style="111" customWidth="1"/>
    <col min="14602" max="14602" width="10.42578125" style="111" bestFit="1" customWidth="1"/>
    <col min="14603" max="14603" width="12" style="111" bestFit="1" customWidth="1"/>
    <col min="14604" max="14604" width="11" style="111" bestFit="1" customWidth="1"/>
    <col min="14605" max="14606" width="11" style="111" customWidth="1"/>
    <col min="14607" max="14607" width="10" style="111" bestFit="1" customWidth="1"/>
    <col min="14608" max="14608" width="14.42578125" style="111" bestFit="1" customWidth="1"/>
    <col min="14609" max="14619" width="0" style="111" hidden="1" customWidth="1"/>
    <col min="14620" max="14840" width="9.140625" style="111"/>
    <col min="14841" max="14841" width="54.140625" style="111" bestFit="1" customWidth="1"/>
    <col min="14842" max="14842" width="14.7109375" style="111" customWidth="1"/>
    <col min="14843" max="14843" width="10.140625" style="111" customWidth="1"/>
    <col min="14844" max="14844" width="10.42578125" style="111" bestFit="1" customWidth="1"/>
    <col min="14845" max="14846" width="9.42578125" style="111" bestFit="1" customWidth="1"/>
    <col min="14847" max="14848" width="9.42578125" style="111" customWidth="1"/>
    <col min="14849" max="14849" width="10.140625" style="111" bestFit="1" customWidth="1"/>
    <col min="14850" max="14853" width="9.140625" style="111"/>
    <col min="14854" max="14854" width="7.28515625" style="111" customWidth="1"/>
    <col min="14855" max="14857" width="7.42578125" style="111" customWidth="1"/>
    <col min="14858" max="14858" width="10.42578125" style="111" bestFit="1" customWidth="1"/>
    <col min="14859" max="14859" width="12" style="111" bestFit="1" customWidth="1"/>
    <col min="14860" max="14860" width="11" style="111" bestFit="1" customWidth="1"/>
    <col min="14861" max="14862" width="11" style="111" customWidth="1"/>
    <col min="14863" max="14863" width="10" style="111" bestFit="1" customWidth="1"/>
    <col min="14864" max="14864" width="14.42578125" style="111" bestFit="1" customWidth="1"/>
    <col min="14865" max="14875" width="0" style="111" hidden="1" customWidth="1"/>
    <col min="14876" max="15096" width="9.140625" style="111"/>
    <col min="15097" max="15097" width="54.140625" style="111" bestFit="1" customWidth="1"/>
    <col min="15098" max="15098" width="14.7109375" style="111" customWidth="1"/>
    <col min="15099" max="15099" width="10.140625" style="111" customWidth="1"/>
    <col min="15100" max="15100" width="10.42578125" style="111" bestFit="1" customWidth="1"/>
    <col min="15101" max="15102" width="9.42578125" style="111" bestFit="1" customWidth="1"/>
    <col min="15103" max="15104" width="9.42578125" style="111" customWidth="1"/>
    <col min="15105" max="15105" width="10.140625" style="111" bestFit="1" customWidth="1"/>
    <col min="15106" max="15109" width="9.140625" style="111"/>
    <col min="15110" max="15110" width="7.28515625" style="111" customWidth="1"/>
    <col min="15111" max="15113" width="7.42578125" style="111" customWidth="1"/>
    <col min="15114" max="15114" width="10.42578125" style="111" bestFit="1" customWidth="1"/>
    <col min="15115" max="15115" width="12" style="111" bestFit="1" customWidth="1"/>
    <col min="15116" max="15116" width="11" style="111" bestFit="1" customWidth="1"/>
    <col min="15117" max="15118" width="11" style="111" customWidth="1"/>
    <col min="15119" max="15119" width="10" style="111" bestFit="1" customWidth="1"/>
    <col min="15120" max="15120" width="14.42578125" style="111" bestFit="1" customWidth="1"/>
    <col min="15121" max="15131" width="0" style="111" hidden="1" customWidth="1"/>
    <col min="15132" max="15352" width="9.140625" style="111"/>
    <col min="15353" max="15353" width="54.140625" style="111" bestFit="1" customWidth="1"/>
    <col min="15354" max="15354" width="14.7109375" style="111" customWidth="1"/>
    <col min="15355" max="15355" width="10.140625" style="111" customWidth="1"/>
    <col min="15356" max="15356" width="10.42578125" style="111" bestFit="1" customWidth="1"/>
    <col min="15357" max="15358" width="9.42578125" style="111" bestFit="1" customWidth="1"/>
    <col min="15359" max="15360" width="9.42578125" style="111" customWidth="1"/>
    <col min="15361" max="15361" width="10.140625" style="111" bestFit="1" customWidth="1"/>
    <col min="15362" max="15365" width="9.140625" style="111"/>
    <col min="15366" max="15366" width="7.28515625" style="111" customWidth="1"/>
    <col min="15367" max="15369" width="7.42578125" style="111" customWidth="1"/>
    <col min="15370" max="15370" width="10.42578125" style="111" bestFit="1" customWidth="1"/>
    <col min="15371" max="15371" width="12" style="111" bestFit="1" customWidth="1"/>
    <col min="15372" max="15372" width="11" style="111" bestFit="1" customWidth="1"/>
    <col min="15373" max="15374" width="11" style="111" customWidth="1"/>
    <col min="15375" max="15375" width="10" style="111" bestFit="1" customWidth="1"/>
    <col min="15376" max="15376" width="14.42578125" style="111" bestFit="1" customWidth="1"/>
    <col min="15377" max="15387" width="0" style="111" hidden="1" customWidth="1"/>
    <col min="15388" max="15608" width="9.140625" style="111"/>
    <col min="15609" max="15609" width="54.140625" style="111" bestFit="1" customWidth="1"/>
    <col min="15610" max="15610" width="14.7109375" style="111" customWidth="1"/>
    <col min="15611" max="15611" width="10.140625" style="111" customWidth="1"/>
    <col min="15612" max="15612" width="10.42578125" style="111" bestFit="1" customWidth="1"/>
    <col min="15613" max="15614" width="9.42578125" style="111" bestFit="1" customWidth="1"/>
    <col min="15615" max="15616" width="9.42578125" style="111" customWidth="1"/>
    <col min="15617" max="15617" width="10.140625" style="111" bestFit="1" customWidth="1"/>
    <col min="15618" max="15621" width="9.140625" style="111"/>
    <col min="15622" max="15622" width="7.28515625" style="111" customWidth="1"/>
    <col min="15623" max="15625" width="7.42578125" style="111" customWidth="1"/>
    <col min="15626" max="15626" width="10.42578125" style="111" bestFit="1" customWidth="1"/>
    <col min="15627" max="15627" width="12" style="111" bestFit="1" customWidth="1"/>
    <col min="15628" max="15628" width="11" style="111" bestFit="1" customWidth="1"/>
    <col min="15629" max="15630" width="11" style="111" customWidth="1"/>
    <col min="15631" max="15631" width="10" style="111" bestFit="1" customWidth="1"/>
    <col min="15632" max="15632" width="14.42578125" style="111" bestFit="1" customWidth="1"/>
    <col min="15633" max="15643" width="0" style="111" hidden="1" customWidth="1"/>
    <col min="15644" max="15864" width="9.140625" style="111"/>
    <col min="15865" max="15865" width="54.140625" style="111" bestFit="1" customWidth="1"/>
    <col min="15866" max="15866" width="14.7109375" style="111" customWidth="1"/>
    <col min="15867" max="15867" width="10.140625" style="111" customWidth="1"/>
    <col min="15868" max="15868" width="10.42578125" style="111" bestFit="1" customWidth="1"/>
    <col min="15869" max="15870" width="9.42578125" style="111" bestFit="1" customWidth="1"/>
    <col min="15871" max="15872" width="9.42578125" style="111" customWidth="1"/>
    <col min="15873" max="15873" width="10.140625" style="111" bestFit="1" customWidth="1"/>
    <col min="15874" max="15877" width="9.140625" style="111"/>
    <col min="15878" max="15878" width="7.28515625" style="111" customWidth="1"/>
    <col min="15879" max="15881" width="7.42578125" style="111" customWidth="1"/>
    <col min="15882" max="15882" width="10.42578125" style="111" bestFit="1" customWidth="1"/>
    <col min="15883" max="15883" width="12" style="111" bestFit="1" customWidth="1"/>
    <col min="15884" max="15884" width="11" style="111" bestFit="1" customWidth="1"/>
    <col min="15885" max="15886" width="11" style="111" customWidth="1"/>
    <col min="15887" max="15887" width="10" style="111" bestFit="1" customWidth="1"/>
    <col min="15888" max="15888" width="14.42578125" style="111" bestFit="1" customWidth="1"/>
    <col min="15889" max="15899" width="0" style="111" hidden="1" customWidth="1"/>
    <col min="15900" max="16120" width="9.140625" style="111"/>
    <col min="16121" max="16121" width="54.140625" style="111" bestFit="1" customWidth="1"/>
    <col min="16122" max="16122" width="14.7109375" style="111" customWidth="1"/>
    <col min="16123" max="16123" width="10.140625" style="111" customWidth="1"/>
    <col min="16124" max="16124" width="10.42578125" style="111" bestFit="1" customWidth="1"/>
    <col min="16125" max="16126" width="9.42578125" style="111" bestFit="1" customWidth="1"/>
    <col min="16127" max="16128" width="9.42578125" style="111" customWidth="1"/>
    <col min="16129" max="16129" width="10.140625" style="111" bestFit="1" customWidth="1"/>
    <col min="16130" max="16133" width="9.140625" style="111"/>
    <col min="16134" max="16134" width="7.28515625" style="111" customWidth="1"/>
    <col min="16135" max="16137" width="7.42578125" style="111" customWidth="1"/>
    <col min="16138" max="16138" width="10.42578125" style="111" bestFit="1" customWidth="1"/>
    <col min="16139" max="16139" width="12" style="111" bestFit="1" customWidth="1"/>
    <col min="16140" max="16140" width="11" style="111" bestFit="1" customWidth="1"/>
    <col min="16141" max="16142" width="11" style="111" customWidth="1"/>
    <col min="16143" max="16143" width="10" style="111" bestFit="1" customWidth="1"/>
    <col min="16144" max="16144" width="14.42578125" style="111" bestFit="1" customWidth="1"/>
    <col min="16145" max="16155" width="0" style="111" hidden="1" customWidth="1"/>
    <col min="16156" max="16384" width="9.140625" style="111"/>
  </cols>
  <sheetData>
    <row r="1" spans="1:35" s="107" customFormat="1" ht="45.75" customHeight="1" x14ac:dyDescent="0.25">
      <c r="A1" s="104" t="s">
        <v>135</v>
      </c>
      <c r="B1" s="225">
        <v>45839</v>
      </c>
      <c r="C1" s="226"/>
      <c r="D1" s="226"/>
      <c r="E1" s="226"/>
      <c r="F1" s="226"/>
      <c r="G1" s="226"/>
      <c r="H1" s="226"/>
      <c r="I1" s="226"/>
      <c r="J1" s="105"/>
      <c r="K1" s="105"/>
      <c r="L1" s="105"/>
      <c r="M1" s="105"/>
      <c r="N1" s="105"/>
      <c r="O1" s="105"/>
      <c r="P1" s="105"/>
      <c r="Q1" s="105"/>
      <c r="R1" s="105"/>
      <c r="S1" s="106"/>
      <c r="T1" s="106"/>
    </row>
    <row r="2" spans="1:35" ht="28.5" customHeight="1" x14ac:dyDescent="0.2">
      <c r="A2" s="227" t="s">
        <v>250</v>
      </c>
      <c r="B2" s="227"/>
      <c r="C2" s="227"/>
      <c r="D2" s="227"/>
      <c r="E2" s="227"/>
      <c r="F2" s="227"/>
      <c r="G2" s="227"/>
      <c r="H2" s="227"/>
      <c r="I2" s="227"/>
      <c r="J2" s="108"/>
      <c r="K2" s="108"/>
      <c r="L2" s="109"/>
      <c r="M2" s="109"/>
      <c r="N2" s="109"/>
      <c r="O2" s="109"/>
      <c r="P2" s="109"/>
      <c r="Q2" s="109"/>
      <c r="R2" s="109"/>
      <c r="S2" s="110"/>
      <c r="T2" s="110"/>
    </row>
    <row r="3" spans="1:35" s="107" customFormat="1" ht="31.5" customHeight="1" thickBot="1" x14ac:dyDescent="0.3">
      <c r="A3" s="112"/>
      <c r="B3" s="113"/>
      <c r="C3" s="105"/>
      <c r="D3" s="105"/>
      <c r="E3" s="105"/>
      <c r="F3" s="105"/>
      <c r="G3" s="105"/>
      <c r="H3" s="105"/>
      <c r="I3" s="105"/>
      <c r="J3" s="105"/>
      <c r="K3" s="105"/>
      <c r="L3" s="105"/>
      <c r="M3" s="105"/>
      <c r="N3" s="105"/>
      <c r="O3" s="105"/>
      <c r="P3" s="105"/>
      <c r="Q3" s="105"/>
      <c r="R3" s="105"/>
    </row>
    <row r="4" spans="1:35" ht="13.5" thickBot="1" x14ac:dyDescent="0.25">
      <c r="A4" s="114" t="s">
        <v>251</v>
      </c>
      <c r="C4" s="115"/>
      <c r="D4" s="116"/>
      <c r="E4" s="117"/>
      <c r="F4" s="117"/>
      <c r="G4" s="117"/>
      <c r="H4" s="117"/>
      <c r="I4" s="117"/>
      <c r="J4" s="105"/>
      <c r="K4" s="105"/>
      <c r="L4" s="117"/>
      <c r="M4" s="117"/>
      <c r="N4" s="117"/>
      <c r="O4" s="117"/>
      <c r="P4" s="117"/>
      <c r="Q4" s="117"/>
      <c r="R4" s="117"/>
      <c r="S4" s="118"/>
      <c r="T4" s="118"/>
      <c r="U4" s="228"/>
      <c r="V4" s="228"/>
      <c r="W4" s="228"/>
      <c r="X4" s="228"/>
      <c r="Y4" s="228"/>
      <c r="Z4" s="228"/>
      <c r="AA4" s="228"/>
      <c r="AB4" s="228"/>
      <c r="AC4" s="228"/>
      <c r="AD4" s="228"/>
      <c r="AE4" s="228"/>
      <c r="AF4" s="228"/>
      <c r="AG4" s="228"/>
      <c r="AH4" s="228"/>
      <c r="AI4" s="229"/>
    </row>
    <row r="5" spans="1:35" ht="26.25" customHeight="1" thickBot="1" x14ac:dyDescent="0.25">
      <c r="A5" s="233" t="s">
        <v>252</v>
      </c>
      <c r="B5" s="236" t="s">
        <v>253</v>
      </c>
      <c r="C5" s="219"/>
      <c r="D5" s="239" t="s">
        <v>254</v>
      </c>
      <c r="E5" s="240"/>
      <c r="F5" s="240"/>
      <c r="G5" s="240"/>
      <c r="H5" s="239" t="s">
        <v>84</v>
      </c>
      <c r="I5" s="240"/>
      <c r="J5" s="240"/>
      <c r="K5" s="241"/>
      <c r="L5" s="242"/>
      <c r="M5" s="242"/>
      <c r="N5" s="242"/>
      <c r="O5" s="244" t="s">
        <v>255</v>
      </c>
      <c r="P5" s="215" t="s">
        <v>256</v>
      </c>
      <c r="Q5" s="215" t="s">
        <v>257</v>
      </c>
      <c r="R5" s="215" t="s">
        <v>258</v>
      </c>
      <c r="S5" s="218" t="s">
        <v>259</v>
      </c>
      <c r="T5" s="219" t="s">
        <v>260</v>
      </c>
      <c r="U5" s="230"/>
      <c r="V5" s="230"/>
      <c r="W5" s="230"/>
      <c r="X5" s="230"/>
      <c r="Y5" s="230"/>
      <c r="Z5" s="230"/>
      <c r="AA5" s="231"/>
      <c r="AB5" s="231"/>
      <c r="AC5" s="231"/>
      <c r="AD5" s="231"/>
      <c r="AE5" s="231"/>
      <c r="AF5" s="231"/>
      <c r="AG5" s="231"/>
      <c r="AH5" s="231"/>
      <c r="AI5" s="232"/>
    </row>
    <row r="6" spans="1:35" ht="38.25" customHeight="1" thickBot="1" x14ac:dyDescent="0.25">
      <c r="A6" s="234"/>
      <c r="B6" s="237"/>
      <c r="C6" s="220"/>
      <c r="D6" s="247" t="s">
        <v>261</v>
      </c>
      <c r="E6" s="218" t="s">
        <v>262</v>
      </c>
      <c r="F6" s="223" t="s">
        <v>263</v>
      </c>
      <c r="G6" s="223" t="s">
        <v>264</v>
      </c>
      <c r="H6" s="248" t="s">
        <v>261</v>
      </c>
      <c r="I6" s="222" t="s">
        <v>265</v>
      </c>
      <c r="J6" s="223" t="s">
        <v>266</v>
      </c>
      <c r="K6" s="224" t="s">
        <v>267</v>
      </c>
      <c r="L6" s="243"/>
      <c r="M6" s="243"/>
      <c r="N6" s="243"/>
      <c r="O6" s="245"/>
      <c r="P6" s="216"/>
      <c r="Q6" s="216"/>
      <c r="R6" s="216"/>
      <c r="S6" s="218"/>
      <c r="T6" s="220"/>
      <c r="U6" s="121" t="str">
        <f>'AUTO CALCULATION SHEET (2)'!P16</f>
        <v>Tinned Copper</v>
      </c>
      <c r="V6" s="121" t="str">
        <f>'AUTO CALCULATION SHEET (2)'!AL16</f>
        <v>Type C PVC (HR)</v>
      </c>
      <c r="W6" s="121" t="str">
        <f>'AUTO CALCULATION SHEET (2)'!AQ16</f>
        <v>POLY TAPE</v>
      </c>
      <c r="X6" s="121" t="str">
        <f>'AUTO CALCULATION SHEET (2)'!AS16</f>
        <v>FR PVC Type ST-2</v>
      </c>
      <c r="Y6" s="121" t="str">
        <f>'AUTO CALCULATION SHEET (2)'!BJ16</f>
        <v>Galvanised Steel Round Wire</v>
      </c>
      <c r="Z6" s="121" t="str">
        <f>'AUTO CALCULATION SHEET (2)'!BO16</f>
        <v>FRLSH PVC Type ST-2</v>
      </c>
      <c r="AA6" s="211" t="s">
        <v>268</v>
      </c>
      <c r="AB6" s="211" t="s">
        <v>269</v>
      </c>
      <c r="AC6" s="211" t="s">
        <v>270</v>
      </c>
      <c r="AD6" s="211" t="s">
        <v>271</v>
      </c>
      <c r="AE6" s="211" t="s">
        <v>272</v>
      </c>
      <c r="AF6" s="211" t="s">
        <v>273</v>
      </c>
      <c r="AG6" s="211" t="s">
        <v>274</v>
      </c>
      <c r="AH6" s="211" t="s">
        <v>275</v>
      </c>
      <c r="AI6" s="250" t="s">
        <v>276</v>
      </c>
    </row>
    <row r="7" spans="1:35" ht="30.75" customHeight="1" thickBot="1" x14ac:dyDescent="0.25">
      <c r="A7" s="235"/>
      <c r="B7" s="238"/>
      <c r="C7" s="221"/>
      <c r="D7" s="247"/>
      <c r="E7" s="218"/>
      <c r="F7" s="223"/>
      <c r="G7" s="223"/>
      <c r="H7" s="249"/>
      <c r="I7" s="217"/>
      <c r="J7" s="223"/>
      <c r="K7" s="224"/>
      <c r="L7" s="122" t="s">
        <v>277</v>
      </c>
      <c r="M7" s="120" t="s">
        <v>278</v>
      </c>
      <c r="N7" s="123" t="s">
        <v>279</v>
      </c>
      <c r="O7" s="246"/>
      <c r="P7" s="217"/>
      <c r="Q7" s="217"/>
      <c r="R7" s="217"/>
      <c r="S7" s="218"/>
      <c r="T7" s="221"/>
      <c r="U7" s="124">
        <v>958</v>
      </c>
      <c r="V7" s="124">
        <v>98</v>
      </c>
      <c r="W7" s="124">
        <v>108</v>
      </c>
      <c r="X7" s="124">
        <v>82</v>
      </c>
      <c r="Y7" s="124">
        <v>78</v>
      </c>
      <c r="Z7" s="124">
        <v>82</v>
      </c>
      <c r="AA7" s="212"/>
      <c r="AB7" s="212"/>
      <c r="AC7" s="212"/>
      <c r="AD7" s="212"/>
      <c r="AE7" s="212"/>
      <c r="AF7" s="212"/>
      <c r="AG7" s="212"/>
      <c r="AH7" s="212"/>
      <c r="AI7" s="251"/>
    </row>
    <row r="8" spans="1:35" ht="25.5" customHeight="1" thickBot="1" x14ac:dyDescent="0.25">
      <c r="A8" s="125"/>
      <c r="B8" s="125"/>
      <c r="C8" s="126"/>
      <c r="D8" s="127"/>
      <c r="E8" s="128"/>
      <c r="F8" s="129"/>
      <c r="G8" s="130"/>
      <c r="H8" s="131"/>
      <c r="I8" s="129"/>
      <c r="J8" s="132"/>
      <c r="K8" s="133"/>
      <c r="L8" s="214"/>
      <c r="M8" s="214"/>
      <c r="N8" s="214"/>
      <c r="O8" s="134"/>
      <c r="P8" s="122"/>
      <c r="Q8" s="119"/>
      <c r="R8" s="119"/>
      <c r="S8" s="135"/>
      <c r="T8" s="136"/>
      <c r="U8" s="137" t="s">
        <v>280</v>
      </c>
      <c r="V8" s="138" t="s">
        <v>280</v>
      </c>
      <c r="W8" s="138" t="s">
        <v>280</v>
      </c>
      <c r="X8" s="138" t="s">
        <v>280</v>
      </c>
      <c r="Y8" s="138" t="s">
        <v>280</v>
      </c>
      <c r="Z8" s="138" t="s">
        <v>280</v>
      </c>
      <c r="AA8" s="213"/>
      <c r="AB8" s="213"/>
      <c r="AC8" s="213"/>
      <c r="AD8" s="213"/>
      <c r="AE8" s="213"/>
      <c r="AF8" s="213"/>
      <c r="AG8" s="213"/>
      <c r="AH8" s="213"/>
      <c r="AI8" s="252"/>
    </row>
    <row r="9" spans="1:35" x14ac:dyDescent="0.2">
      <c r="A9" s="139" t="str">
        <f>'AUTO CALCULATION SHEET (2)'!D18</f>
        <v>2 CORE X 2.5 SQ. MM. CU/ARD - WIRE (PVC)</v>
      </c>
      <c r="B9" s="140"/>
      <c r="C9" s="141" t="s">
        <v>281</v>
      </c>
      <c r="D9" s="142"/>
      <c r="E9" s="143"/>
      <c r="F9" s="144"/>
      <c r="G9" s="145"/>
      <c r="H9" s="142">
        <f t="shared" ref="H9:H12" si="0">$B$1</f>
        <v>45839</v>
      </c>
      <c r="I9" s="146"/>
      <c r="J9" s="144"/>
      <c r="K9" s="145"/>
      <c r="L9" s="147">
        <v>4.7E-2</v>
      </c>
      <c r="M9" s="148">
        <v>0.13900000000000001</v>
      </c>
      <c r="N9" s="149">
        <v>0.27700000000000002</v>
      </c>
      <c r="O9" s="134">
        <f>'AUTO CALCULATION SHEET (2)'!E18</f>
        <v>88225.309200000003</v>
      </c>
      <c r="P9" s="150">
        <f>L9*(E9-I9)</f>
        <v>0</v>
      </c>
      <c r="Q9" s="148">
        <f t="shared" ref="Q9:R12" si="1">(M9*(F9-J9))</f>
        <v>0</v>
      </c>
      <c r="R9" s="148">
        <f t="shared" si="1"/>
        <v>0</v>
      </c>
      <c r="S9" s="151">
        <f>+P9+Q9+R9</f>
        <v>0</v>
      </c>
      <c r="T9" s="152">
        <f>O9+S9</f>
        <v>88225.309200000003</v>
      </c>
      <c r="U9" s="153">
        <f>'AUTO CALCULATION SHEET (2)'!P18</f>
        <v>44</v>
      </c>
      <c r="V9" s="153">
        <f>'AUTO CALCULATION SHEET (2)'!AL18</f>
        <v>26</v>
      </c>
      <c r="W9" s="153">
        <f>'AUTO CALCULATION SHEET (2)'!AQ18</f>
        <v>3</v>
      </c>
      <c r="X9" s="153">
        <f>'AUTO CALCULATION SHEET (2)'!AS18</f>
        <v>39</v>
      </c>
      <c r="Y9" s="153">
        <f>'AUTO CALCULATION SHEET (2)'!BJ18</f>
        <v>251</v>
      </c>
      <c r="Z9" s="153">
        <f>'AUTO CALCULATION SHEET (2)'!BO18</f>
        <v>93</v>
      </c>
      <c r="AA9" s="154">
        <f>SUMPRODUCT(U9:Z9,$U$7:Z$7)</f>
        <v>75426</v>
      </c>
      <c r="AB9" s="153">
        <f>'AUTO CALCULATION SHEET (2)'!CK18</f>
        <v>4260</v>
      </c>
      <c r="AC9" s="154">
        <f>AA9+AB9</f>
        <v>79686</v>
      </c>
      <c r="AD9" s="153">
        <f>T9-AC9</f>
        <v>8539.3092000000033</v>
      </c>
      <c r="AE9" s="154">
        <f>ROUND((AD9/AC9)*100,2)</f>
        <v>10.72</v>
      </c>
      <c r="AF9" s="153"/>
      <c r="AG9" s="153">
        <v>2</v>
      </c>
      <c r="AH9" s="153">
        <v>2</v>
      </c>
      <c r="AI9" s="155">
        <f t="shared" ref="AI9:AI12" si="2">AE9-AF9-AG9-AH9</f>
        <v>6.7200000000000006</v>
      </c>
    </row>
    <row r="10" spans="1:35" x14ac:dyDescent="0.2">
      <c r="A10" s="139" t="str">
        <f>'AUTO CALCULATION SHEET (2)'!D19</f>
        <v>4 CORE X 2.5 SQ. MM. CU/ARD - WIRE (PVC)</v>
      </c>
      <c r="B10" s="140"/>
      <c r="C10" s="141" t="s">
        <v>281</v>
      </c>
      <c r="D10" s="142"/>
      <c r="E10" s="143"/>
      <c r="F10" s="144"/>
      <c r="G10" s="145"/>
      <c r="H10" s="142">
        <f t="shared" si="0"/>
        <v>45839</v>
      </c>
      <c r="I10" s="146"/>
      <c r="J10" s="144"/>
      <c r="K10" s="145"/>
      <c r="L10" s="147">
        <v>9.4E-2</v>
      </c>
      <c r="M10" s="148">
        <v>0.17899999999999999</v>
      </c>
      <c r="N10" s="149">
        <v>0.314</v>
      </c>
      <c r="O10" s="134">
        <f>'AUTO CALCULATION SHEET (2)'!E19</f>
        <v>143036.0485</v>
      </c>
      <c r="P10" s="150">
        <f>L10*(E10-I10)</f>
        <v>0</v>
      </c>
      <c r="Q10" s="148">
        <f t="shared" si="1"/>
        <v>0</v>
      </c>
      <c r="R10" s="148">
        <f t="shared" si="1"/>
        <v>0</v>
      </c>
      <c r="S10" s="151">
        <f>+P10+Q10+R10</f>
        <v>0</v>
      </c>
      <c r="T10" s="152">
        <f>O10+S10</f>
        <v>143036.0485</v>
      </c>
      <c r="U10" s="153">
        <f>'AUTO CALCULATION SHEET (2)'!P19</f>
        <v>89</v>
      </c>
      <c r="V10" s="153">
        <f>'AUTO CALCULATION SHEET (2)'!AL19</f>
        <v>52</v>
      </c>
      <c r="W10" s="153">
        <f>'AUTO CALCULATION SHEET (2)'!AQ19</f>
        <v>3</v>
      </c>
      <c r="X10" s="153">
        <f>'AUTO CALCULATION SHEET (2)'!AS19</f>
        <v>27</v>
      </c>
      <c r="Y10" s="153">
        <f>'AUTO CALCULATION SHEET (2)'!BJ19</f>
        <v>289</v>
      </c>
      <c r="Z10" s="153">
        <f>'AUTO CALCULATION SHEET (2)'!BO19</f>
        <v>104</v>
      </c>
      <c r="AA10" s="154">
        <f>SUMPRODUCT(U10:Z10,$U$7:Z$7)</f>
        <v>123966</v>
      </c>
      <c r="AB10" s="153">
        <f>'AUTO CALCULATION SHEET (2)'!CK19</f>
        <v>5170</v>
      </c>
      <c r="AC10" s="154">
        <f>AA10+AB10</f>
        <v>129136</v>
      </c>
      <c r="AD10" s="153">
        <f>T10-AC10</f>
        <v>13900.048500000004</v>
      </c>
      <c r="AE10" s="154">
        <f>ROUND((AD10/AC10)*100,2)</f>
        <v>10.76</v>
      </c>
      <c r="AF10" s="153"/>
      <c r="AG10" s="153">
        <v>2</v>
      </c>
      <c r="AH10" s="153">
        <v>2</v>
      </c>
      <c r="AI10" s="155">
        <f t="shared" si="2"/>
        <v>6.76</v>
      </c>
    </row>
    <row r="11" spans="1:35" x14ac:dyDescent="0.2">
      <c r="A11" s="139" t="str">
        <f>'AUTO CALCULATION SHEET (2)'!D20</f>
        <v>10 CORE X 2.5 SQ. MM. CU/ARD - WIRE (PVC)</v>
      </c>
      <c r="B11" s="140"/>
      <c r="C11" s="141" t="s">
        <v>281</v>
      </c>
      <c r="D11" s="142"/>
      <c r="E11" s="143"/>
      <c r="F11" s="144"/>
      <c r="G11" s="145"/>
      <c r="H11" s="142">
        <f t="shared" si="0"/>
        <v>45839</v>
      </c>
      <c r="I11" s="146"/>
      <c r="J11" s="144"/>
      <c r="K11" s="145"/>
      <c r="L11" s="147">
        <v>0.23499999999999999</v>
      </c>
      <c r="M11" s="148">
        <v>0.33700000000000002</v>
      </c>
      <c r="N11" s="149">
        <v>0.53500000000000003</v>
      </c>
      <c r="O11" s="134">
        <f>'AUTO CALCULATION SHEET (2)'!E20</f>
        <v>317419.12730000005</v>
      </c>
      <c r="P11" s="150">
        <f>L11*(E11-I11)</f>
        <v>0</v>
      </c>
      <c r="Q11" s="148">
        <f t="shared" si="1"/>
        <v>0</v>
      </c>
      <c r="R11" s="148">
        <f t="shared" si="1"/>
        <v>0</v>
      </c>
      <c r="S11" s="151">
        <f>+P11+Q11+R11</f>
        <v>0</v>
      </c>
      <c r="T11" s="152">
        <f>O11+S11</f>
        <v>317419.12730000005</v>
      </c>
      <c r="U11" s="153">
        <f>'AUTO CALCULATION SHEET (2)'!P20</f>
        <v>222</v>
      </c>
      <c r="V11" s="153">
        <f>'AUTO CALCULATION SHEET (2)'!AL20</f>
        <v>130</v>
      </c>
      <c r="W11" s="153">
        <f>'AUTO CALCULATION SHEET (2)'!AQ20</f>
        <v>5</v>
      </c>
      <c r="X11" s="153">
        <f>'AUTO CALCULATION SHEET (2)'!AS20</f>
        <v>38</v>
      </c>
      <c r="Y11" s="153">
        <f>'AUTO CALCULATION SHEET (2)'!BJ20</f>
        <v>492</v>
      </c>
      <c r="Z11" s="153">
        <f>'AUTO CALCULATION SHEET (2)'!BO20</f>
        <v>166</v>
      </c>
      <c r="AA11" s="154">
        <f>SUMPRODUCT(U11:Z11,$U$7:Z$7)</f>
        <v>281060</v>
      </c>
      <c r="AB11" s="153">
        <f>'AUTO CALCULATION SHEET (2)'!CK20</f>
        <v>5448</v>
      </c>
      <c r="AC11" s="154">
        <f>AA11+AB11</f>
        <v>286508</v>
      </c>
      <c r="AD11" s="153">
        <f>T11-AC11</f>
        <v>30911.127300000051</v>
      </c>
      <c r="AE11" s="154">
        <f>ROUND((AD11/AC11)*100,2)</f>
        <v>10.79</v>
      </c>
      <c r="AF11" s="153"/>
      <c r="AG11" s="153">
        <v>2</v>
      </c>
      <c r="AH11" s="153">
        <v>2</v>
      </c>
      <c r="AI11" s="155">
        <f t="shared" si="2"/>
        <v>6.7899999999999991</v>
      </c>
    </row>
    <row r="12" spans="1:35" x14ac:dyDescent="0.2">
      <c r="A12" s="139" t="str">
        <f>'AUTO CALCULATION SHEET (2)'!D21</f>
        <v>12 CORE X 2.5 SQ. MM. CU/ARD - WIRE (PVC)</v>
      </c>
      <c r="B12" s="140"/>
      <c r="C12" s="141" t="s">
        <v>281</v>
      </c>
      <c r="D12" s="142"/>
      <c r="E12" s="143"/>
      <c r="F12" s="144"/>
      <c r="G12" s="145"/>
      <c r="H12" s="142">
        <f t="shared" si="0"/>
        <v>45839</v>
      </c>
      <c r="I12" s="146"/>
      <c r="J12" s="144"/>
      <c r="K12" s="145"/>
      <c r="L12" s="147">
        <v>0.28199999999999997</v>
      </c>
      <c r="M12" s="148">
        <v>0.371</v>
      </c>
      <c r="N12" s="149">
        <v>0.57199999999999995</v>
      </c>
      <c r="O12" s="134">
        <f>'AUTO CALCULATION SHEET (2)'!E21</f>
        <v>368996.3052</v>
      </c>
      <c r="P12" s="150">
        <f>L12*(E12-I12)</f>
        <v>0</v>
      </c>
      <c r="Q12" s="148">
        <f t="shared" si="1"/>
        <v>0</v>
      </c>
      <c r="R12" s="148">
        <f t="shared" si="1"/>
        <v>0</v>
      </c>
      <c r="S12" s="151">
        <f>+P12+Q12+R12</f>
        <v>0</v>
      </c>
      <c r="T12" s="152">
        <f>O12+S12</f>
        <v>368996.3052</v>
      </c>
      <c r="U12" s="153">
        <f>'AUTO CALCULATION SHEET (2)'!P21</f>
        <v>266</v>
      </c>
      <c r="V12" s="153">
        <f>'AUTO CALCULATION SHEET (2)'!AL21</f>
        <v>156</v>
      </c>
      <c r="W12" s="153">
        <f>'AUTO CALCULATION SHEET (2)'!AQ21</f>
        <v>6</v>
      </c>
      <c r="X12" s="153">
        <f>'AUTO CALCULATION SHEET (2)'!AS21</f>
        <v>40</v>
      </c>
      <c r="Y12" s="153">
        <f>'AUTO CALCULATION SHEET (2)'!BJ21</f>
        <v>508</v>
      </c>
      <c r="Z12" s="153">
        <f>'AUTO CALCULATION SHEET (2)'!BO21</f>
        <v>170</v>
      </c>
      <c r="AA12" s="154">
        <f>SUMPRODUCT(U12:Z12,$U$7:Z$7)</f>
        <v>327608</v>
      </c>
      <c r="AB12" s="153">
        <f>'AUTO CALCULATION SHEET (2)'!CK21</f>
        <v>5448</v>
      </c>
      <c r="AC12" s="154">
        <f>AA12+AB12</f>
        <v>333056</v>
      </c>
      <c r="AD12" s="153">
        <f>T12-AC12</f>
        <v>35940.305200000003</v>
      </c>
      <c r="AE12" s="154">
        <f>ROUND((AD12/AC12)*100,2)</f>
        <v>10.79</v>
      </c>
      <c r="AF12" s="153"/>
      <c r="AG12" s="153">
        <v>2</v>
      </c>
      <c r="AH12" s="153">
        <v>2</v>
      </c>
      <c r="AI12" s="155">
        <f t="shared" si="2"/>
        <v>6.7899999999999991</v>
      </c>
    </row>
    <row r="13" spans="1:35" s="177" customFormat="1" ht="31.5" customHeight="1" thickBot="1" x14ac:dyDescent="0.25">
      <c r="A13" s="156"/>
      <c r="B13" s="156"/>
      <c r="C13" s="157"/>
      <c r="D13" s="158"/>
      <c r="E13" s="159"/>
      <c r="F13" s="160"/>
      <c r="G13" s="161"/>
      <c r="H13" s="162"/>
      <c r="I13" s="163"/>
      <c r="J13" s="164"/>
      <c r="K13" s="165"/>
      <c r="L13" s="166"/>
      <c r="M13" s="167"/>
      <c r="N13" s="168"/>
      <c r="O13" s="169"/>
      <c r="P13" s="170"/>
      <c r="Q13" s="171"/>
      <c r="R13" s="172"/>
      <c r="S13" s="173"/>
      <c r="T13" s="174"/>
      <c r="U13" s="175"/>
      <c r="V13" s="175"/>
      <c r="W13" s="175"/>
      <c r="X13" s="175"/>
      <c r="Y13" s="175"/>
      <c r="Z13" s="175"/>
      <c r="AA13" s="175"/>
      <c r="AB13" s="175"/>
      <c r="AC13" s="175"/>
      <c r="AD13" s="175"/>
      <c r="AE13" s="175"/>
      <c r="AF13" s="175"/>
      <c r="AG13" s="175"/>
      <c r="AH13" s="175"/>
      <c r="AI13" s="176"/>
    </row>
    <row r="14" spans="1:35" s="177" customFormat="1" x14ac:dyDescent="0.2">
      <c r="A14" s="111"/>
      <c r="B14" s="111"/>
      <c r="C14" s="111"/>
      <c r="D14" s="111"/>
      <c r="E14" s="178"/>
      <c r="F14" s="111"/>
      <c r="G14" s="111"/>
      <c r="H14" s="111"/>
      <c r="I14" s="111"/>
    </row>
    <row r="19" spans="18:18" x14ac:dyDescent="0.2">
      <c r="R19" s="179"/>
    </row>
    <row r="20" spans="18:18" x14ac:dyDescent="0.2">
      <c r="R20" s="179"/>
    </row>
    <row r="21" spans="18:18" x14ac:dyDescent="0.2">
      <c r="R21" s="179"/>
    </row>
  </sheetData>
  <mergeCells count="33">
    <mergeCell ref="B1:I1"/>
    <mergeCell ref="A2:I2"/>
    <mergeCell ref="U4:AI5"/>
    <mergeCell ref="A5:A7"/>
    <mergeCell ref="B5:B7"/>
    <mergeCell ref="C5:C7"/>
    <mergeCell ref="D5:G5"/>
    <mergeCell ref="H5:K5"/>
    <mergeCell ref="L5:N6"/>
    <mergeCell ref="O5:O7"/>
    <mergeCell ref="D6:D7"/>
    <mergeCell ref="E6:E7"/>
    <mergeCell ref="F6:F7"/>
    <mergeCell ref="G6:G7"/>
    <mergeCell ref="H6:H7"/>
    <mergeCell ref="AI6:AI8"/>
    <mergeCell ref="I6:I7"/>
    <mergeCell ref="J6:J7"/>
    <mergeCell ref="K6:K7"/>
    <mergeCell ref="AA6:AA8"/>
    <mergeCell ref="AB6:AB8"/>
    <mergeCell ref="AC6:AC8"/>
    <mergeCell ref="L8:N8"/>
    <mergeCell ref="P5:P7"/>
    <mergeCell ref="Q5:Q7"/>
    <mergeCell ref="R5:R7"/>
    <mergeCell ref="S5:S7"/>
    <mergeCell ref="T5:T7"/>
    <mergeCell ref="AD6:AD8"/>
    <mergeCell ref="AE6:AE8"/>
    <mergeCell ref="AF6:AF8"/>
    <mergeCell ref="AG6:AG8"/>
    <mergeCell ref="AH6:AH8"/>
  </mergeCells>
  <pageMargins left="0.56000000000000005" right="0.17" top="0.75" bottom="0.75" header="0.3" footer="0.3"/>
  <pageSetup paperSize="5" scale="2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98</v>
      </c>
    </row>
    <row r="2" spans="1:1" x14ac:dyDescent="0.25">
      <c r="A2" t="s">
        <v>99</v>
      </c>
    </row>
    <row r="4" spans="1:1" x14ac:dyDescent="0.25">
      <c r="A4" t="s">
        <v>100</v>
      </c>
    </row>
    <row r="5" spans="1:1" x14ac:dyDescent="0.25">
      <c r="A5" t="s">
        <v>101</v>
      </c>
    </row>
    <row r="6" spans="1:1" x14ac:dyDescent="0.25">
      <c r="A6" t="s">
        <v>102</v>
      </c>
    </row>
    <row r="8" spans="1:1" x14ac:dyDescent="0.25">
      <c r="A8" t="s">
        <v>108</v>
      </c>
    </row>
    <row r="9" spans="1:1" x14ac:dyDescent="0.25">
      <c r="A9" t="s">
        <v>103</v>
      </c>
    </row>
    <row r="10" spans="1:1" x14ac:dyDescent="0.25">
      <c r="A10" t="s">
        <v>104</v>
      </c>
    </row>
    <row r="11" spans="1:1" x14ac:dyDescent="0.25">
      <c r="A11" t="s">
        <v>105</v>
      </c>
    </row>
    <row r="12" spans="1:1" x14ac:dyDescent="0.25">
      <c r="A12" t="s">
        <v>106</v>
      </c>
    </row>
    <row r="13" spans="1:1" x14ac:dyDescent="0.25">
      <c r="A13" t="s">
        <v>107</v>
      </c>
    </row>
    <row r="14" spans="1:1" x14ac:dyDescent="0.25">
      <c r="A14" t="s">
        <v>109</v>
      </c>
    </row>
    <row r="15" spans="1:1" x14ac:dyDescent="0.25">
      <c r="A15" t="s">
        <v>110</v>
      </c>
    </row>
    <row r="16" spans="1:1" x14ac:dyDescent="0.25">
      <c r="A16" t="s">
        <v>111</v>
      </c>
    </row>
    <row r="17" spans="1:1" x14ac:dyDescent="0.25">
      <c r="A17" t="s">
        <v>112</v>
      </c>
    </row>
    <row r="18" spans="1:1" x14ac:dyDescent="0.25">
      <c r="A18" t="s">
        <v>113</v>
      </c>
    </row>
    <row r="19" spans="1:1" x14ac:dyDescent="0.25">
      <c r="A19" t="s">
        <v>119</v>
      </c>
    </row>
    <row r="20" spans="1:1" ht="15.75" customHeight="1" x14ac:dyDescent="0.25">
      <c r="A20" t="s">
        <v>120</v>
      </c>
    </row>
    <row r="21" spans="1:1" ht="15.75" customHeight="1" x14ac:dyDescent="0.25"/>
    <row r="22" spans="1:1" x14ac:dyDescent="0.25">
      <c r="A22" t="s">
        <v>114</v>
      </c>
    </row>
    <row r="23" spans="1:1" x14ac:dyDescent="0.25">
      <c r="A23" t="s">
        <v>115</v>
      </c>
    </row>
    <row r="25" spans="1:1" x14ac:dyDescent="0.25">
      <c r="A25" t="s">
        <v>116</v>
      </c>
    </row>
    <row r="26" spans="1:1" x14ac:dyDescent="0.25">
      <c r="A26" t="s">
        <v>117</v>
      </c>
    </row>
    <row r="27" spans="1:1" x14ac:dyDescent="0.25">
      <c r="A27" t="s">
        <v>118</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PV AUTO CALCULATION SHEET</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2025-08-01T05:02:56Z</dcterms:modified>
</cp:coreProperties>
</file>