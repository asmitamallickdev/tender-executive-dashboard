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02_FEBRUARY 2024\TPCODL-550-CONDUCTOR-12173\"/>
    </mc:Choice>
  </mc:AlternateContent>
  <xr:revisionPtr revIDLastSave="0" documentId="13_ncr:1_{26CBE7AB-9A64-4645-BF08-F26615770331}"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4" i="4" l="1"/>
  <c r="K45" i="4"/>
  <c r="K46" i="4"/>
  <c r="K47" i="4"/>
  <c r="K48" i="4"/>
  <c r="K49" i="4"/>
  <c r="K50" i="4"/>
  <c r="K51" i="4"/>
  <c r="K43" i="4"/>
  <c r="I51" i="4"/>
  <c r="I49" i="4"/>
  <c r="I48" i="4"/>
  <c r="I47" i="4"/>
  <c r="I46" i="4"/>
  <c r="I45" i="4"/>
  <c r="I44" i="4"/>
  <c r="I43" i="4"/>
  <c r="J51" i="4"/>
  <c r="J50" i="4"/>
  <c r="J49" i="4"/>
  <c r="J48" i="4"/>
  <c r="J47" i="4"/>
  <c r="J46" i="4"/>
  <c r="J45" i="4"/>
  <c r="J44" i="4"/>
  <c r="J43" i="4"/>
  <c r="I50" i="4"/>
  <c r="G48" i="4"/>
  <c r="G47" i="4"/>
  <c r="G46" i="4"/>
  <c r="G45" i="4"/>
  <c r="G44" i="4"/>
  <c r="G43" i="4"/>
  <c r="F44" i="4"/>
  <c r="F45" i="4"/>
  <c r="F46" i="4"/>
  <c r="F47" i="4"/>
  <c r="F48" i="4"/>
  <c r="F49" i="4"/>
  <c r="F50" i="4"/>
  <c r="F51" i="4"/>
  <c r="E44" i="4"/>
  <c r="E45" i="4"/>
  <c r="E46" i="4"/>
  <c r="E47" i="4"/>
  <c r="E48" i="4"/>
  <c r="E49" i="4"/>
  <c r="E50" i="4"/>
  <c r="E51" i="4"/>
  <c r="F43" i="4"/>
  <c r="E43" i="4"/>
  <c r="A44" i="4"/>
  <c r="B44" i="4"/>
  <c r="C44" i="4"/>
  <c r="D44" i="4"/>
  <c r="A45" i="4"/>
  <c r="B45" i="4"/>
  <c r="C45" i="4"/>
  <c r="D45" i="4"/>
  <c r="A46" i="4"/>
  <c r="B46" i="4"/>
  <c r="C46" i="4"/>
  <c r="D46" i="4"/>
  <c r="A47" i="4"/>
  <c r="B47" i="4"/>
  <c r="C47" i="4"/>
  <c r="D47" i="4"/>
  <c r="A48" i="4"/>
  <c r="B48" i="4"/>
  <c r="C48" i="4"/>
  <c r="D48" i="4"/>
  <c r="A49" i="4"/>
  <c r="B49" i="4"/>
  <c r="C49" i="4"/>
  <c r="D49" i="4"/>
  <c r="A50" i="4"/>
  <c r="B50" i="4"/>
  <c r="C50" i="4"/>
  <c r="D50" i="4"/>
  <c r="A51" i="4"/>
  <c r="B51" i="4"/>
  <c r="C51" i="4"/>
  <c r="D51" i="4"/>
  <c r="D43" i="4"/>
  <c r="C43" i="4"/>
  <c r="B43" i="4"/>
  <c r="A43" i="4"/>
  <c r="G51" i="4"/>
  <c r="G50" i="4"/>
  <c r="G49" i="4"/>
  <c r="M43" i="4" l="1"/>
  <c r="M45" i="4"/>
  <c r="M47" i="4"/>
  <c r="M49" i="4"/>
  <c r="M51" i="4"/>
  <c r="M44" i="4"/>
  <c r="M46" i="4"/>
  <c r="M48" i="4"/>
  <c r="M50" i="4"/>
  <c r="E31" i="4" l="1"/>
  <c r="E32" i="4"/>
  <c r="E33" i="4"/>
  <c r="E34" i="4"/>
  <c r="E35" i="4"/>
  <c r="E36" i="4"/>
  <c r="E37" i="4"/>
  <c r="E38" i="4"/>
  <c r="E30" i="4"/>
  <c r="F31" i="4" l="1"/>
  <c r="F32" i="4"/>
  <c r="F33" i="4"/>
  <c r="F34" i="4"/>
  <c r="J34" i="4" s="1"/>
  <c r="K34" i="4" s="1"/>
  <c r="M34" i="4" s="1"/>
  <c r="L34" i="4" s="1"/>
  <c r="F35" i="4"/>
  <c r="F36" i="4"/>
  <c r="F37" i="4"/>
  <c r="J37" i="4" s="1"/>
  <c r="K37" i="4" s="1"/>
  <c r="M37" i="4" s="1"/>
  <c r="L37" i="4" s="1"/>
  <c r="F38" i="4"/>
  <c r="J38" i="4" s="1"/>
  <c r="K38" i="4" s="1"/>
  <c r="M38" i="4" s="1"/>
  <c r="L38" i="4" s="1"/>
  <c r="F30" i="4"/>
  <c r="J30" i="4" s="1"/>
  <c r="K30" i="4" s="1"/>
  <c r="M30" i="4" s="1"/>
  <c r="L30" i="4" s="1"/>
  <c r="J31" i="4"/>
  <c r="K31" i="4" s="1"/>
  <c r="M31" i="4" s="1"/>
  <c r="L31" i="4" s="1"/>
  <c r="J32" i="4"/>
  <c r="K32" i="4" s="1"/>
  <c r="M32" i="4" s="1"/>
  <c r="L32" i="4" s="1"/>
  <c r="J33" i="4"/>
  <c r="K33" i="4" s="1"/>
  <c r="M33" i="4" s="1"/>
  <c r="L33" i="4" s="1"/>
  <c r="J35" i="4"/>
  <c r="K35" i="4" s="1"/>
  <c r="M35" i="4" s="1"/>
  <c r="L35" i="4" s="1"/>
  <c r="J36" i="4"/>
  <c r="K36" i="4" s="1"/>
  <c r="M36" i="4" s="1"/>
  <c r="L36" i="4" s="1"/>
  <c r="F27" i="4" l="1"/>
  <c r="F24" i="4"/>
  <c r="F23" i="4"/>
  <c r="F22" i="4"/>
  <c r="F20" i="4"/>
  <c r="F26" i="4"/>
  <c r="F25" i="4"/>
  <c r="F19" i="4"/>
  <c r="F21" i="4"/>
  <c r="O18" i="4"/>
  <c r="BZ26" i="4"/>
  <c r="BZ25" i="4"/>
  <c r="BZ24" i="4"/>
  <c r="BZ23" i="4"/>
  <c r="BZ22" i="4"/>
  <c r="BZ21" i="4"/>
  <c r="BZ20" i="4"/>
  <c r="BZ19" i="4"/>
  <c r="BY25" i="4"/>
  <c r="BY23" i="4"/>
  <c r="BY26" i="4"/>
  <c r="BY19" i="4"/>
  <c r="BY24" i="4"/>
  <c r="BY20" i="4"/>
  <c r="BY22" i="4"/>
  <c r="BY21" i="4"/>
  <c r="BY27" i="4"/>
  <c r="BY17" i="4"/>
  <c r="A25" i="4"/>
  <c r="C25" i="4"/>
  <c r="D25" i="4"/>
  <c r="D36" i="4" s="1"/>
  <c r="K25" i="4"/>
  <c r="L25"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BF25" i="4"/>
  <c r="BG25" i="4"/>
  <c r="BH25" i="4"/>
  <c r="BI25" i="4"/>
  <c r="BJ25" i="4"/>
  <c r="BK25" i="4"/>
  <c r="BL25" i="4"/>
  <c r="BM25" i="4"/>
  <c r="BN25" i="4"/>
  <c r="BO25" i="4"/>
  <c r="BP25" i="4"/>
  <c r="BQ25" i="4"/>
  <c r="BR25" i="4"/>
  <c r="BS25" i="4"/>
  <c r="BT25" i="4"/>
  <c r="BU25" i="4"/>
  <c r="BV25" i="4"/>
  <c r="CB25" i="4"/>
  <c r="A23" i="4"/>
  <c r="C23" i="4"/>
  <c r="D23" i="4"/>
  <c r="D34" i="4" s="1"/>
  <c r="K23" i="4"/>
  <c r="L23" i="4"/>
  <c r="N23" i="4"/>
  <c r="P23" i="4"/>
  <c r="Q23" i="4"/>
  <c r="R23" i="4"/>
  <c r="S23" i="4"/>
  <c r="T23" i="4"/>
  <c r="U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L23" i="4"/>
  <c r="BM23" i="4"/>
  <c r="BN23" i="4"/>
  <c r="BO23" i="4"/>
  <c r="BP23" i="4"/>
  <c r="BQ23" i="4"/>
  <c r="BR23" i="4"/>
  <c r="BS23" i="4"/>
  <c r="BT23" i="4"/>
  <c r="BU23" i="4"/>
  <c r="BV23" i="4"/>
  <c r="CB23" i="4"/>
  <c r="A26" i="4"/>
  <c r="C26" i="4"/>
  <c r="D26" i="4"/>
  <c r="D37" i="4" s="1"/>
  <c r="K26" i="4"/>
  <c r="L26" i="4"/>
  <c r="O26" i="4"/>
  <c r="P26" i="4"/>
  <c r="Q26" i="4"/>
  <c r="R26" i="4"/>
  <c r="S26" i="4"/>
  <c r="T26" i="4"/>
  <c r="U26" i="4"/>
  <c r="V26" i="4"/>
  <c r="W26" i="4"/>
  <c r="X26" i="4"/>
  <c r="Y26" i="4"/>
  <c r="Z26" i="4"/>
  <c r="AA26" i="4"/>
  <c r="AB26" i="4"/>
  <c r="AC26" i="4"/>
  <c r="AD26" i="4"/>
  <c r="AE26" i="4"/>
  <c r="AF26" i="4"/>
  <c r="AG26" i="4"/>
  <c r="AH26" i="4"/>
  <c r="AI26" i="4"/>
  <c r="AJ26" i="4"/>
  <c r="AK26" i="4"/>
  <c r="AL26" i="4"/>
  <c r="AM26" i="4"/>
  <c r="AN26" i="4"/>
  <c r="AO26" i="4"/>
  <c r="AP26" i="4"/>
  <c r="AQ26" i="4"/>
  <c r="AR26" i="4"/>
  <c r="AS26" i="4"/>
  <c r="AT26" i="4"/>
  <c r="AU26" i="4"/>
  <c r="AV26" i="4"/>
  <c r="AW26" i="4"/>
  <c r="AX26" i="4"/>
  <c r="AY26" i="4"/>
  <c r="AZ26" i="4"/>
  <c r="BA26" i="4"/>
  <c r="BB26" i="4"/>
  <c r="BC26" i="4"/>
  <c r="BD26" i="4"/>
  <c r="BE26" i="4"/>
  <c r="BF26" i="4"/>
  <c r="BG26" i="4"/>
  <c r="BH26" i="4"/>
  <c r="BI26" i="4"/>
  <c r="BJ26" i="4"/>
  <c r="BK26" i="4"/>
  <c r="BL26" i="4"/>
  <c r="BM26" i="4"/>
  <c r="BN26" i="4"/>
  <c r="BO26" i="4"/>
  <c r="BP26" i="4"/>
  <c r="BQ26" i="4"/>
  <c r="BR26" i="4"/>
  <c r="BS26" i="4"/>
  <c r="BT26" i="4"/>
  <c r="BU26" i="4"/>
  <c r="BV26" i="4"/>
  <c r="CB26" i="4"/>
  <c r="A19" i="4"/>
  <c r="C19" i="4"/>
  <c r="D19" i="4"/>
  <c r="D30" i="4" s="1"/>
  <c r="K19" i="4"/>
  <c r="L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CB19" i="4"/>
  <c r="A24" i="4"/>
  <c r="C24" i="4"/>
  <c r="D24" i="4"/>
  <c r="D35" i="4" s="1"/>
  <c r="K24" i="4"/>
  <c r="L24" i="4"/>
  <c r="N24" i="4"/>
  <c r="O24" i="4"/>
  <c r="P24" i="4"/>
  <c r="Q24" i="4"/>
  <c r="R24" i="4"/>
  <c r="S24" i="4"/>
  <c r="T24" i="4"/>
  <c r="U24" i="4"/>
  <c r="V24" i="4"/>
  <c r="W24" i="4"/>
  <c r="X24" i="4"/>
  <c r="Y24" i="4"/>
  <c r="Z24" i="4"/>
  <c r="AA24" i="4"/>
  <c r="AB24" i="4"/>
  <c r="AC24" i="4"/>
  <c r="AD24" i="4"/>
  <c r="AE24" i="4"/>
  <c r="AF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BF24" i="4"/>
  <c r="BG24" i="4"/>
  <c r="BH24" i="4"/>
  <c r="BI24" i="4"/>
  <c r="BJ24" i="4"/>
  <c r="BK24" i="4"/>
  <c r="BL24" i="4"/>
  <c r="BM24" i="4"/>
  <c r="BN24" i="4"/>
  <c r="BO24" i="4"/>
  <c r="BP24" i="4"/>
  <c r="BQ24" i="4"/>
  <c r="BR24" i="4"/>
  <c r="BS24" i="4"/>
  <c r="BT24" i="4"/>
  <c r="BU24" i="4"/>
  <c r="BV24" i="4"/>
  <c r="CB24" i="4"/>
  <c r="A20" i="4"/>
  <c r="C20" i="4"/>
  <c r="D20" i="4"/>
  <c r="D31" i="4" s="1"/>
  <c r="K20" i="4"/>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CB20" i="4"/>
  <c r="A22" i="4"/>
  <c r="C22" i="4"/>
  <c r="D22" i="4"/>
  <c r="D33" i="4" s="1"/>
  <c r="K22" i="4"/>
  <c r="L22"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CB22" i="4"/>
  <c r="A21" i="4"/>
  <c r="C21" i="4"/>
  <c r="D21" i="4"/>
  <c r="D32" i="4" s="1"/>
  <c r="K21" i="4"/>
  <c r="L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CB21" i="4"/>
  <c r="BX27" i="4" l="1"/>
  <c r="BW27" i="4"/>
  <c r="BX17" i="4"/>
  <c r="BW17" i="4"/>
  <c r="BV27" i="4"/>
  <c r="BV17" i="4"/>
  <c r="B17" i="4"/>
  <c r="T18" i="4" l="1"/>
  <c r="S18" i="4"/>
  <c r="AB27" i="4" l="1"/>
  <c r="AA27" i="4"/>
  <c r="Z27" i="4"/>
  <c r="Y27" i="4"/>
  <c r="X27" i="4"/>
  <c r="W27" i="4"/>
  <c r="V27" i="4"/>
  <c r="U27" i="4"/>
  <c r="T27" i="4"/>
  <c r="S27" i="4"/>
  <c r="BU27" i="4"/>
  <c r="BT27" i="4"/>
  <c r="BS27" i="4"/>
  <c r="BR27" i="4"/>
  <c r="BQ27" i="4"/>
  <c r="BP27" i="4"/>
  <c r="BO27" i="4"/>
  <c r="BN27" i="4"/>
  <c r="BS18" i="4"/>
  <c r="BT18" i="4"/>
  <c r="BU18" i="4"/>
  <c r="BR18" i="4"/>
  <c r="BQ18" i="4"/>
  <c r="BP18" i="4"/>
  <c r="BN18" i="4"/>
  <c r="BO18" i="4"/>
  <c r="BM18" i="4"/>
  <c r="BM27" i="4"/>
  <c r="BL27" i="4"/>
  <c r="BK27" i="4"/>
  <c r="BJ27" i="4"/>
  <c r="BI27" i="4"/>
  <c r="BH27" i="4"/>
  <c r="BG27" i="4"/>
  <c r="BF27" i="4"/>
  <c r="BE27" i="4"/>
  <c r="BD27" i="4"/>
  <c r="BC27" i="4"/>
  <c r="BL18" i="4"/>
  <c r="BK18" i="4"/>
  <c r="BJ18" i="4"/>
  <c r="BI18" i="4"/>
  <c r="BH18" i="4"/>
  <c r="BG18" i="4"/>
  <c r="BF18" i="4"/>
  <c r="BE18" i="4"/>
  <c r="BD18" i="4"/>
  <c r="BC18" i="4"/>
  <c r="BB27" i="4"/>
  <c r="BA27" i="4"/>
  <c r="AZ27" i="4"/>
  <c r="AY27" i="4"/>
  <c r="AX27" i="4"/>
  <c r="AW27" i="4"/>
  <c r="AV27" i="4"/>
  <c r="AU27" i="4"/>
  <c r="AT27" i="4"/>
  <c r="AS27" i="4"/>
  <c r="BB18" i="4"/>
  <c r="BA18" i="4"/>
  <c r="AZ18" i="4"/>
  <c r="AY18" i="4"/>
  <c r="AX18" i="4"/>
  <c r="AW18" i="4"/>
  <c r="AV18" i="4"/>
  <c r="AU18" i="4"/>
  <c r="AT18" i="4"/>
  <c r="AR18" i="4"/>
  <c r="AR27" i="4"/>
  <c r="AQ27" i="4"/>
  <c r="AP27" i="4"/>
  <c r="AO27" i="4"/>
  <c r="AN27" i="4"/>
  <c r="AM27" i="4"/>
  <c r="AL27" i="4"/>
  <c r="AQ18" i="4"/>
  <c r="AP18" i="4"/>
  <c r="AO18" i="4"/>
  <c r="AN18" i="4"/>
  <c r="AM18" i="4"/>
  <c r="AL18" i="4"/>
  <c r="AK18" i="4"/>
  <c r="AK27" i="4"/>
  <c r="AJ27" i="4"/>
  <c r="AI27" i="4"/>
  <c r="AH27" i="4"/>
  <c r="AG27" i="4"/>
  <c r="AF27" i="4"/>
  <c r="AE27" i="4"/>
  <c r="AJ18" i="4"/>
  <c r="AI18" i="4"/>
  <c r="AH18" i="4"/>
  <c r="AE18" i="4"/>
  <c r="AG18" i="4"/>
  <c r="AF18" i="4"/>
  <c r="AD18" i="4"/>
  <c r="AD27" i="4"/>
  <c r="AC27" i="4"/>
  <c r="AC18" i="4"/>
  <c r="AB18" i="4" l="1"/>
  <c r="AA18" i="4"/>
  <c r="Z18" i="4"/>
  <c r="Y18" i="4"/>
  <c r="X18" i="4"/>
  <c r="W18" i="4"/>
  <c r="V18" i="4"/>
  <c r="U18" i="4"/>
  <c r="R18" i="4" l="1"/>
  <c r="Q18" i="4"/>
  <c r="P18" i="4"/>
  <c r="N27" i="4"/>
  <c r="R27" i="4"/>
  <c r="Q27" i="4"/>
  <c r="P27" i="4"/>
  <c r="O27" i="4"/>
  <c r="N16" i="4"/>
  <c r="L27" i="4"/>
  <c r="K27" i="4"/>
  <c r="CB27" i="4"/>
  <c r="BZ27" i="4"/>
  <c r="D27" i="4"/>
  <c r="D38" i="4" s="1"/>
  <c r="C27" i="4"/>
  <c r="A27" i="4"/>
  <c r="CA26" i="4" l="1"/>
  <c r="CA24" i="4"/>
  <c r="CA20" i="4"/>
  <c r="CA21" i="4"/>
  <c r="CA19" i="4"/>
  <c r="CA22" i="4"/>
  <c r="CA23" i="4"/>
  <c r="CA25" i="4"/>
  <c r="CA27" i="4"/>
  <c r="CE25" i="4" l="1"/>
  <c r="CG25" i="4"/>
  <c r="CC25" i="4"/>
  <c r="CG20" i="4"/>
  <c r="CE20" i="4"/>
  <c r="CC20" i="4"/>
  <c r="CC23" i="4"/>
  <c r="CG23" i="4"/>
  <c r="CE23" i="4"/>
  <c r="CC22" i="4"/>
  <c r="CE22" i="4"/>
  <c r="CG22" i="4"/>
  <c r="CE24" i="4"/>
  <c r="CC24" i="4"/>
  <c r="CG24" i="4"/>
  <c r="CC19" i="4"/>
  <c r="CG19" i="4"/>
  <c r="CE19" i="4"/>
  <c r="CC26" i="4"/>
  <c r="CG26" i="4"/>
  <c r="CE26" i="4"/>
  <c r="CG21" i="4"/>
  <c r="CE21" i="4"/>
  <c r="CC21" i="4"/>
  <c r="CC27" i="4"/>
  <c r="CE27" i="4"/>
  <c r="CG27" i="4"/>
  <c r="CH25" i="4" l="1"/>
  <c r="CL25" i="4" s="1"/>
  <c r="CH22" i="4"/>
  <c r="CL22" i="4" s="1"/>
  <c r="CH20" i="4"/>
  <c r="CJ20" i="4" s="1"/>
  <c r="CH19" i="4"/>
  <c r="CH26" i="4"/>
  <c r="CH21" i="4"/>
  <c r="CH24" i="4"/>
  <c r="CH23" i="4"/>
  <c r="CH27" i="4"/>
  <c r="CJ25" i="4" l="1"/>
  <c r="CJ22" i="4"/>
  <c r="E22" i="4" s="1"/>
  <c r="G22" i="4" s="1"/>
  <c r="I22" i="4" s="1"/>
  <c r="J22" i="4" s="1"/>
  <c r="M22" i="4" s="1"/>
  <c r="CL20" i="4"/>
  <c r="E20" i="4" s="1"/>
  <c r="G20" i="4" s="1"/>
  <c r="I20" i="4" s="1"/>
  <c r="J20" i="4" s="1"/>
  <c r="M20" i="4" s="1"/>
  <c r="E25" i="4"/>
  <c r="G25" i="4" s="1"/>
  <c r="I25" i="4" s="1"/>
  <c r="J25" i="4" s="1"/>
  <c r="M25" i="4" s="1"/>
  <c r="CJ23" i="4"/>
  <c r="CL23" i="4"/>
  <c r="CL24" i="4"/>
  <c r="CJ24" i="4"/>
  <c r="CJ21" i="4"/>
  <c r="CL21" i="4"/>
  <c r="CL19" i="4"/>
  <c r="CJ19" i="4"/>
  <c r="CJ26" i="4"/>
  <c r="CL26" i="4"/>
  <c r="CJ27" i="4"/>
  <c r="CL27" i="4"/>
  <c r="E24" i="4" l="1"/>
  <c r="G24" i="4" s="1"/>
  <c r="I24" i="4" s="1"/>
  <c r="J24" i="4" s="1"/>
  <c r="M24" i="4" s="1"/>
  <c r="E23" i="4"/>
  <c r="G23" i="4" s="1"/>
  <c r="I23" i="4" s="1"/>
  <c r="J23" i="4" s="1"/>
  <c r="M23" i="4" s="1"/>
  <c r="E21" i="4"/>
  <c r="G21" i="4" s="1"/>
  <c r="I21" i="4" s="1"/>
  <c r="J21" i="4" s="1"/>
  <c r="M21" i="4" s="1"/>
  <c r="E19" i="4"/>
  <c r="G19" i="4" s="1"/>
  <c r="I19" i="4" s="1"/>
  <c r="J19" i="4" s="1"/>
  <c r="M19" i="4" s="1"/>
  <c r="E26" i="4"/>
  <c r="G26" i="4" s="1"/>
  <c r="I26" i="4" s="1"/>
  <c r="J26" i="4" s="1"/>
  <c r="M26" i="4" s="1"/>
  <c r="E27" i="4"/>
  <c r="G27" i="4" l="1"/>
  <c r="I27" i="4" s="1"/>
  <c r="J27" i="4" s="1"/>
  <c r="M2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9" authorId="0" shapeId="0" xr:uid="{5DEAECB3-6C21-41DC-8AEC-37F05E6BB6D4}">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<sst xmlns="http://schemas.openxmlformats.org/spreadsheetml/2006/main" count="356" uniqueCount="229">
  <si>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</si>
  <si>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</si>
  <si>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</si>
  <si>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</si>
  <si>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</si>
  <si>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</si>
  <si>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</si>
  <si>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</si>
  <si>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</si>
  <si>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</si>
  <si>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</si>
  <si>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</si>
  <si>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</si>
  <si>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</si>
  <si>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</si>
  <si>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</si>
  <si>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</si>
  <si>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</si>
  <si>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</si>
  <si>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</si>
  <si>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</si>
  <si>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</si>
  <si>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</si>
  <si>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</si>
  <si>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</si>
  <si>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</si>
  <si>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</si>
  <si>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</si>
  <si>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</si>
  <si>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</si>
  <si>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</si>
  <si>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</si>
  <si>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</si>
  <si>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</si>
  <si>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</si>
  <si>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</si>
  <si>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</si>
  <si>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</si>
  <si>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</si>
  <si>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</si>
  <si>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</si>
  <si>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</si>
  <si>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</si>
  <si>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</si>
  <si>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</si>
  <si>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</si>
  <si>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</si>
  <si>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</si>
  <si>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</si>
  <si>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</si>
  <si>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</si>
  <si>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</si>
  <si>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</si>
  <si>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</si>
  <si>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</si>
  <si>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</si>
  <si>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</si>
  <si>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</si>
  <si>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</si>
  <si>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</si>
  <si>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</si>
  <si>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</si>
  <si>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</si>
  <si>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</si>
  <si>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</si>
  <si>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</si>
  <si>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</si>
  <si>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</si>
  <si>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</si>
  <si>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</si>
  <si>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</si>
  <si>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</si>
  <si>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</si>
  <si>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</si>
  <si>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</si>
  <si>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</si>
  <si>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</si>
  <si>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</si>
  <si>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</si>
  <si>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</si>
  <si>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</si>
  <si>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</si>
  <si>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</si>
  <si>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</si>
  <si>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</si>
  <si>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</si>
  <si>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</si>
  <si>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</si>
  <si>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</si>
  <si>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</si>
  <si>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</si>
  <si>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</si>
  <si>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</si>
  <si>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</si>
  <si>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</si>
  <si>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</si>
  <si>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</si>
  <si>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</si>
  <si>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</si>
  <si>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</si>
  <si>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</si>
  <si>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</si>
  <si>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</si>
  <si>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</si>
  <si>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</si>
  <si>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</si>
  <si>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</si>
  <si>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</si>
  <si>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</si>
  <si>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</si>
  <si>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</si>
  <si>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</si>
  <si>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</si>
  <si>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</si>
  <si>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</si>
  <si>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</si>
  <si>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</si>
  <si>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</si>
  <si>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</si>
  <si>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</si>
  <si>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</si>
  <si>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</si>
  <si>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</si>
  <si>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</si>
  <si>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</si>
  <si>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</si>
  <si>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</si>
  <si>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</si>
  <si>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</si>
  <si>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</si>
  <si>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</si>
  <si>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</si>
  <si>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</si>
  <si>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</si>
  <si>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</si>
  <si>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</si>
  <si>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</si>
  <si>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</si>
  <si>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</si>
  <si>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 xml:space="preserve">TPCODL  TPNODL  TPSODL  TPWODL 
(TATA Power and Odisha Government Joint Venture) </t>
  </si>
  <si>
    <t xml:space="preserve"> TPCODL / CCG / 23-24 / 1000000550</t>
  </si>
  <si>
    <t>Rate Contract - Supply of Conductor at TPCODL, TPNODL &amp; TPSODL for One Year</t>
  </si>
  <si>
    <t xml:space="preserve">05/02/24 [15:00 Hrs.] </t>
  </si>
  <si>
    <t>CCG reserves the right to conduct the reverse auction for the products/ services being asked for in the tender. The terms and conditions for such reverse auction events shall be as per the Acceptance Form attached as Annexure VI of this document.</t>
  </si>
  <si>
    <t xml:space="preserve">Price will be fixed and firm during the contractual period. </t>
  </si>
  <si>
    <t>Delivery period shall be 60 days from date of receipt of release order / CAT-A issuance, whichever is later.</t>
  </si>
  <si>
    <t>100% payment within 60 days of submission of error-free Invoice complete in all respects. However, for MSME the payment cycle shall be 45 days.</t>
  </si>
  <si>
    <t xml:space="preserve">Supplier shall ensure that all material covered by this specification shall be prepared for rail/road transport (local equipment) and be packed in such a manner as to protect it from damage in transit. Standard Length of both the conductors is 2000 Mtrs (2 Lengths per drum). The bidder shall provide instructions regarding handling and storage precautions to be taken at site. </t>
  </si>
  <si>
    <t>Bids shall remain valid for 180 days from the due date of submission of the bid. Notwithstanding clause above, CCG may solicit the Bidder’s consent to an extension of the Period of Bid Validity. The request and responses thereto shall be made in writing.</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</si>
  <si>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</si>
  <si>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</si>
  <si>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</si>
  <si>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</si>
  <si>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</si>
  <si>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</si>
  <si>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</si>
  <si>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</si>
  <si>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</si>
  <si>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</si>
  <si>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</si>
  <si>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</si>
  <si>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</si>
  <si>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</si>
  <si>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</si>
  <si>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</si>
  <si>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</si>
  <si>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</si>
  <si>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</si>
  <si>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ENQ-12173-22-23</t>
  </si>
  <si>
    <t>FC6100001</t>
  </si>
  <si>
    <t>ACSR : ZEBRA CONDUCTOR - 420 SQ. MM. (54/7/3.18)</t>
  </si>
  <si>
    <t>WOOD</t>
  </si>
  <si>
    <t>KMS</t>
  </si>
  <si>
    <t>MD0100062</t>
  </si>
  <si>
    <t>DRUM - 74 X 24 X 32 X 3</t>
  </si>
  <si>
    <t>FC0700007</t>
  </si>
  <si>
    <t>ACSR : RABBIT CONDUCTOR - 50 SQ. MM. (6/1/3.35)</t>
  </si>
  <si>
    <t>MD0100073</t>
  </si>
  <si>
    <t>DRUM - 48 X 14 X 26 X 2.25</t>
  </si>
  <si>
    <t>FC1900034</t>
  </si>
  <si>
    <t>AAAC : 394.5 MCM (CANTON) - 200 SQ. MM. CONDUCTOR (19/3.66)</t>
  </si>
  <si>
    <t>Alumimium Alloy</t>
  </si>
  <si>
    <t>MD0100108</t>
  </si>
  <si>
    <t>DRUM - 60 X 22 X 22 X 2.5 (LOMBU)</t>
  </si>
  <si>
    <t>FC0700009</t>
  </si>
  <si>
    <t>ACSR : RACCOON CONDUCTOR - 80 SQ. MM. (6/1/4.09)</t>
  </si>
  <si>
    <t>MD0100015</t>
  </si>
  <si>
    <t>DRUM - 48 X 20 X 28 X 2.25 - RDSO</t>
  </si>
  <si>
    <t>FC0700003</t>
  </si>
  <si>
    <t>AAAC : RABBIT CONDUCTOR - 55 SQ. MM. (7/3.15)</t>
  </si>
  <si>
    <t>MD0100085</t>
  </si>
  <si>
    <t>DRUM - 43 X 15 X 28 X 2.25</t>
  </si>
  <si>
    <t>FC3700001</t>
  </si>
  <si>
    <t>AAAC : PANTHER CONDUCTOR - 232 SQ. MM. (19/3.94)</t>
  </si>
  <si>
    <t>MD0100061</t>
  </si>
  <si>
    <t>DRUM - 56 X 24 X 32 X 3</t>
  </si>
  <si>
    <t>FC0700012</t>
  </si>
  <si>
    <t>AAAC : RACOON CONDUCTOR - 80 SQ. MM. (7/3.81)</t>
  </si>
  <si>
    <t>FC1900004</t>
  </si>
  <si>
    <t>AAAC : COYOTE CONDUCTOR (19/3.15)</t>
  </si>
  <si>
    <t>FC0700002</t>
  </si>
  <si>
    <t>AAAC : DOG CONDUCTOR - 100 SQ. MM. (7/4.26)</t>
  </si>
  <si>
    <t>MD0100037</t>
  </si>
  <si>
    <t>DRUM - 44 X 18 X 28 X 2.5 - RDSO</t>
  </si>
  <si>
    <t>1065 X 600 X 710</t>
  </si>
  <si>
    <t>MD0100013</t>
  </si>
  <si>
    <t>1475 X 600 X 710</t>
  </si>
  <si>
    <t>MD0100082</t>
  </si>
  <si>
    <t>1220 X 600 X 710</t>
  </si>
  <si>
    <t>1195 X 600 X 710</t>
  </si>
  <si>
    <t>1370 X 600 X 710</t>
  </si>
  <si>
    <t>MD0100019</t>
  </si>
  <si>
    <t>1345 X 600 X 710</t>
  </si>
  <si>
    <t>MD0100060</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</si>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</sst>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7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3" fontId="0" fillId="0" borderId="0" xfId="0" applyNumberFormat="1"/>
    <xf numFmtId="0" fontId="2" fillId="6"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7" borderId="1" xfId="7" applyFont="1" applyFill="1" applyBorder="1" applyAlignment="1">
      <alignment horizontal="center" vertical="center"/>
    </xf>
    <xf numFmtId="43" fontId="0" fillId="0" borderId="1" xfId="0" applyNumberFormat="1" applyBorder="1" applyAlignment="1">
      <alignment wrapText="1"/>
    </xf>
    <xf numFmtId="0" fontId="9" fillId="0" borderId="7" xfId="0" applyFont="1" applyBorder="1" applyAlignment="1">
      <alignment horizontal="center" wrapText="1"/>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3" fillId="6" borderId="1" xfId="0" applyFont="1" applyFill="1" applyBorder="1" applyAlignment="1">
      <alignment horizontal="center" vertical="center" wrapText="1"/>
    </xf>
    <xf numFmtId="164" fontId="2" fillId="0" borderId="1" xfId="0" applyNumberFormat="1" applyFont="1" applyBorder="1" applyAlignment="1">
      <alignment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10"/>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135</v>
      </c>
      <c r="C1" t="s">
        <v>1</v>
      </c>
      <c r="D1" t="s">
        <v>2</v>
      </c>
      <c r="E1" t="s">
        <v>136</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167</v>
      </c>
    </row>
    <row r="2" spans="1:102" x14ac:dyDescent="0.25">
      <c r="A2" t="s">
        <v>168</v>
      </c>
      <c r="B2" s="52">
        <v>45315</v>
      </c>
      <c r="C2" t="s">
        <v>169</v>
      </c>
      <c r="D2" t="s">
        <v>170</v>
      </c>
      <c r="E2" t="s">
        <v>171</v>
      </c>
      <c r="J2" t="s">
        <v>80</v>
      </c>
      <c r="K2">
        <v>215</v>
      </c>
      <c r="L2">
        <v>1186</v>
      </c>
      <c r="M2">
        <v>254990</v>
      </c>
      <c r="P2">
        <v>0</v>
      </c>
      <c r="T2">
        <v>0</v>
      </c>
      <c r="X2">
        <v>0</v>
      </c>
      <c r="AB2">
        <v>0</v>
      </c>
      <c r="AF2">
        <v>0</v>
      </c>
      <c r="AH2" t="s">
        <v>94</v>
      </c>
      <c r="AI2">
        <v>71</v>
      </c>
      <c r="AJ2">
        <v>436</v>
      </c>
      <c r="AK2">
        <v>30956</v>
      </c>
      <c r="AN2">
        <v>0</v>
      </c>
      <c r="AR2">
        <v>0</v>
      </c>
      <c r="AV2">
        <v>0</v>
      </c>
      <c r="AZ2">
        <v>0</v>
      </c>
      <c r="BD2">
        <v>0</v>
      </c>
      <c r="BH2">
        <v>0</v>
      </c>
      <c r="BL2">
        <v>0</v>
      </c>
      <c r="BP2">
        <v>0</v>
      </c>
      <c r="BT2">
        <v>0</v>
      </c>
      <c r="BX2">
        <v>0</v>
      </c>
      <c r="BZ2">
        <v>8645</v>
      </c>
      <c r="CA2">
        <v>294591</v>
      </c>
      <c r="CH2">
        <v>294591</v>
      </c>
      <c r="CM2">
        <v>294591</v>
      </c>
      <c r="CO2">
        <v>294591</v>
      </c>
      <c r="CR2">
        <v>294591</v>
      </c>
      <c r="CS2">
        <v>10</v>
      </c>
      <c r="CT2" t="s">
        <v>172</v>
      </c>
      <c r="CU2" s="53">
        <v>2945910</v>
      </c>
      <c r="CV2" t="s">
        <v>173</v>
      </c>
      <c r="CW2" t="s">
        <v>174</v>
      </c>
      <c r="CX2">
        <v>2000</v>
      </c>
    </row>
    <row r="3" spans="1:102" x14ac:dyDescent="0.25">
      <c r="A3" t="s">
        <v>168</v>
      </c>
      <c r="B3" s="52">
        <v>45315</v>
      </c>
      <c r="C3" t="s">
        <v>175</v>
      </c>
      <c r="D3" t="s">
        <v>176</v>
      </c>
      <c r="E3" t="s">
        <v>171</v>
      </c>
      <c r="J3" t="s">
        <v>80</v>
      </c>
      <c r="K3">
        <v>215</v>
      </c>
      <c r="L3">
        <v>145</v>
      </c>
      <c r="M3">
        <v>31175</v>
      </c>
      <c r="P3">
        <v>0</v>
      </c>
      <c r="T3">
        <v>0</v>
      </c>
      <c r="X3">
        <v>0</v>
      </c>
      <c r="AB3">
        <v>0</v>
      </c>
      <c r="AF3">
        <v>0</v>
      </c>
      <c r="AH3" t="s">
        <v>94</v>
      </c>
      <c r="AI3">
        <v>71</v>
      </c>
      <c r="AJ3">
        <v>69</v>
      </c>
      <c r="AK3">
        <v>4899</v>
      </c>
      <c r="AN3">
        <v>0</v>
      </c>
      <c r="AR3">
        <v>0</v>
      </c>
      <c r="AV3">
        <v>0</v>
      </c>
      <c r="AZ3">
        <v>0</v>
      </c>
      <c r="BD3">
        <v>0</v>
      </c>
      <c r="BH3">
        <v>0</v>
      </c>
      <c r="BL3">
        <v>0</v>
      </c>
      <c r="BP3">
        <v>0</v>
      </c>
      <c r="BT3">
        <v>0</v>
      </c>
      <c r="BX3">
        <v>0</v>
      </c>
      <c r="BZ3">
        <v>550.26</v>
      </c>
      <c r="CA3">
        <v>36624.26</v>
      </c>
      <c r="CH3">
        <v>36624.26</v>
      </c>
      <c r="CM3">
        <v>36624.26</v>
      </c>
      <c r="CO3">
        <v>36624.26</v>
      </c>
      <c r="CR3">
        <v>36624.26</v>
      </c>
      <c r="CS3">
        <v>25</v>
      </c>
      <c r="CT3" t="s">
        <v>172</v>
      </c>
      <c r="CU3" s="53">
        <v>915607</v>
      </c>
      <c r="CV3" t="s">
        <v>177</v>
      </c>
      <c r="CW3" t="s">
        <v>178</v>
      </c>
      <c r="CX3">
        <v>6000</v>
      </c>
    </row>
    <row r="4" spans="1:102" x14ac:dyDescent="0.25">
      <c r="A4" t="s">
        <v>168</v>
      </c>
      <c r="B4" s="52">
        <v>45315</v>
      </c>
      <c r="C4" t="s">
        <v>179</v>
      </c>
      <c r="D4" t="s">
        <v>180</v>
      </c>
      <c r="E4" t="s">
        <v>171</v>
      </c>
      <c r="J4" t="s">
        <v>181</v>
      </c>
      <c r="K4">
        <v>222</v>
      </c>
      <c r="L4">
        <v>552</v>
      </c>
      <c r="M4">
        <v>122544</v>
      </c>
      <c r="P4">
        <v>0</v>
      </c>
      <c r="T4">
        <v>0</v>
      </c>
      <c r="X4">
        <v>0</v>
      </c>
      <c r="AB4">
        <v>0</v>
      </c>
      <c r="AF4">
        <v>0</v>
      </c>
      <c r="AJ4">
        <v>0</v>
      </c>
      <c r="AN4">
        <v>0</v>
      </c>
      <c r="AR4">
        <v>0</v>
      </c>
      <c r="AV4">
        <v>0</v>
      </c>
      <c r="AZ4">
        <v>0</v>
      </c>
      <c r="BD4">
        <v>0</v>
      </c>
      <c r="BH4">
        <v>0</v>
      </c>
      <c r="BL4">
        <v>0</v>
      </c>
      <c r="BP4">
        <v>0</v>
      </c>
      <c r="BT4">
        <v>0</v>
      </c>
      <c r="BX4">
        <v>0</v>
      </c>
      <c r="BZ4">
        <v>3940.71</v>
      </c>
      <c r="CA4">
        <v>126484.71</v>
      </c>
      <c r="CH4">
        <v>126484.71</v>
      </c>
      <c r="CM4">
        <v>126484.71</v>
      </c>
      <c r="CO4">
        <v>126484.71</v>
      </c>
      <c r="CR4">
        <v>126484.71</v>
      </c>
      <c r="CS4">
        <v>25</v>
      </c>
      <c r="CT4" t="s">
        <v>172</v>
      </c>
      <c r="CU4" s="53">
        <v>3162118</v>
      </c>
      <c r="CV4" t="s">
        <v>182</v>
      </c>
      <c r="CW4" t="s">
        <v>183</v>
      </c>
      <c r="CX4">
        <v>2000</v>
      </c>
    </row>
    <row r="5" spans="1:102" x14ac:dyDescent="0.25">
      <c r="A5" t="s">
        <v>168</v>
      </c>
      <c r="B5" s="52">
        <v>45315</v>
      </c>
      <c r="C5" t="s">
        <v>184</v>
      </c>
      <c r="D5" t="s">
        <v>185</v>
      </c>
      <c r="E5" t="s">
        <v>171</v>
      </c>
      <c r="J5" t="s">
        <v>80</v>
      </c>
      <c r="K5">
        <v>215</v>
      </c>
      <c r="L5">
        <v>216</v>
      </c>
      <c r="M5">
        <v>46440</v>
      </c>
      <c r="P5">
        <v>0</v>
      </c>
      <c r="T5">
        <v>0</v>
      </c>
      <c r="X5">
        <v>0</v>
      </c>
      <c r="AB5">
        <v>0</v>
      </c>
      <c r="AF5">
        <v>0</v>
      </c>
      <c r="AH5" t="s">
        <v>94</v>
      </c>
      <c r="AI5">
        <v>71</v>
      </c>
      <c r="AJ5">
        <v>103</v>
      </c>
      <c r="AK5">
        <v>7313</v>
      </c>
      <c r="AN5">
        <v>0</v>
      </c>
      <c r="AR5">
        <v>0</v>
      </c>
      <c r="AV5">
        <v>0</v>
      </c>
      <c r="AZ5">
        <v>0</v>
      </c>
      <c r="BD5">
        <v>0</v>
      </c>
      <c r="BH5">
        <v>0</v>
      </c>
      <c r="BL5">
        <v>0</v>
      </c>
      <c r="BP5">
        <v>0</v>
      </c>
      <c r="BT5">
        <v>0</v>
      </c>
      <c r="BX5">
        <v>0</v>
      </c>
      <c r="BZ5">
        <v>914.64</v>
      </c>
      <c r="CA5">
        <v>54667.64</v>
      </c>
      <c r="CH5">
        <v>54667.64</v>
      </c>
      <c r="CM5">
        <v>54667.64</v>
      </c>
      <c r="CO5">
        <v>54667.64</v>
      </c>
      <c r="CR5">
        <v>54667.64</v>
      </c>
      <c r="CS5">
        <v>41.176000000000002</v>
      </c>
      <c r="CT5" t="s">
        <v>172</v>
      </c>
      <c r="CU5" s="53">
        <v>2250995</v>
      </c>
      <c r="CV5" t="s">
        <v>186</v>
      </c>
      <c r="CW5" t="s">
        <v>187</v>
      </c>
      <c r="CX5">
        <v>4000</v>
      </c>
    </row>
    <row r="6" spans="1:102" x14ac:dyDescent="0.25">
      <c r="A6" t="s">
        <v>168</v>
      </c>
      <c r="B6" s="52">
        <v>45315</v>
      </c>
      <c r="C6" t="s">
        <v>188</v>
      </c>
      <c r="D6" t="s">
        <v>189</v>
      </c>
      <c r="E6" t="s">
        <v>171</v>
      </c>
      <c r="J6" t="s">
        <v>181</v>
      </c>
      <c r="K6">
        <v>222</v>
      </c>
      <c r="L6">
        <v>150</v>
      </c>
      <c r="M6">
        <v>33300</v>
      </c>
      <c r="P6">
        <v>0</v>
      </c>
      <c r="T6">
        <v>0</v>
      </c>
      <c r="X6">
        <v>0</v>
      </c>
      <c r="AB6">
        <v>0</v>
      </c>
      <c r="AF6">
        <v>0</v>
      </c>
      <c r="AJ6">
        <v>0</v>
      </c>
      <c r="AN6">
        <v>0</v>
      </c>
      <c r="AR6">
        <v>0</v>
      </c>
      <c r="AV6">
        <v>0</v>
      </c>
      <c r="AZ6">
        <v>0</v>
      </c>
      <c r="BD6">
        <v>0</v>
      </c>
      <c r="BH6">
        <v>0</v>
      </c>
      <c r="BL6">
        <v>0</v>
      </c>
      <c r="BP6">
        <v>0</v>
      </c>
      <c r="BT6">
        <v>0</v>
      </c>
      <c r="BX6">
        <v>0</v>
      </c>
      <c r="BZ6">
        <v>814.47</v>
      </c>
      <c r="CA6">
        <v>34114.47</v>
      </c>
      <c r="CH6">
        <v>34114.47</v>
      </c>
      <c r="CM6">
        <v>34114.47</v>
      </c>
      <c r="CO6">
        <v>34114.47</v>
      </c>
      <c r="CR6">
        <v>34114.47</v>
      </c>
      <c r="CS6">
        <v>390</v>
      </c>
      <c r="CT6" t="s">
        <v>172</v>
      </c>
      <c r="CU6" s="53">
        <v>13304643</v>
      </c>
      <c r="CV6" t="s">
        <v>190</v>
      </c>
      <c r="CW6" t="s">
        <v>191</v>
      </c>
      <c r="CX6">
        <v>4000</v>
      </c>
    </row>
    <row r="7" spans="1:102" x14ac:dyDescent="0.25">
      <c r="A7" t="s">
        <v>168</v>
      </c>
      <c r="B7" s="52">
        <v>45315</v>
      </c>
      <c r="C7" t="s">
        <v>192</v>
      </c>
      <c r="D7" t="s">
        <v>193</v>
      </c>
      <c r="E7" t="s">
        <v>171</v>
      </c>
      <c r="J7" t="s">
        <v>181</v>
      </c>
      <c r="K7">
        <v>222</v>
      </c>
      <c r="L7">
        <v>636.66999999999996</v>
      </c>
      <c r="M7">
        <v>141340.74</v>
      </c>
      <c r="P7">
        <v>0</v>
      </c>
      <c r="T7">
        <v>0</v>
      </c>
      <c r="X7">
        <v>0</v>
      </c>
      <c r="AB7">
        <v>0</v>
      </c>
      <c r="AF7">
        <v>0</v>
      </c>
      <c r="AJ7">
        <v>0</v>
      </c>
      <c r="AN7">
        <v>0</v>
      </c>
      <c r="AR7">
        <v>0</v>
      </c>
      <c r="AV7">
        <v>0</v>
      </c>
      <c r="AZ7">
        <v>0</v>
      </c>
      <c r="BD7">
        <v>0</v>
      </c>
      <c r="BH7">
        <v>0</v>
      </c>
      <c r="BL7">
        <v>0</v>
      </c>
      <c r="BP7">
        <v>0</v>
      </c>
      <c r="BT7">
        <v>0</v>
      </c>
      <c r="BX7">
        <v>0</v>
      </c>
      <c r="BZ7">
        <v>3428.44</v>
      </c>
      <c r="CA7">
        <v>144769.18</v>
      </c>
      <c r="CH7">
        <v>144769.18</v>
      </c>
      <c r="CM7">
        <v>144769.18</v>
      </c>
      <c r="CO7">
        <v>144769.18</v>
      </c>
      <c r="CR7">
        <v>144769.18</v>
      </c>
      <c r="CS7">
        <v>565.94000000000005</v>
      </c>
      <c r="CT7" t="s">
        <v>172</v>
      </c>
      <c r="CU7" s="53">
        <v>81930670</v>
      </c>
      <c r="CV7" t="s">
        <v>194</v>
      </c>
      <c r="CW7" t="s">
        <v>195</v>
      </c>
      <c r="CX7">
        <v>2000</v>
      </c>
    </row>
    <row r="8" spans="1:102" x14ac:dyDescent="0.25">
      <c r="A8" t="s">
        <v>168</v>
      </c>
      <c r="B8" s="52">
        <v>45315</v>
      </c>
      <c r="C8" t="s">
        <v>196</v>
      </c>
      <c r="D8" t="s">
        <v>197</v>
      </c>
      <c r="E8" t="s">
        <v>171</v>
      </c>
      <c r="J8" t="s">
        <v>181</v>
      </c>
      <c r="K8">
        <v>222</v>
      </c>
      <c r="L8">
        <v>218.26</v>
      </c>
      <c r="M8">
        <v>48453.72</v>
      </c>
      <c r="P8">
        <v>0</v>
      </c>
      <c r="T8">
        <v>0</v>
      </c>
      <c r="X8">
        <v>0</v>
      </c>
      <c r="AB8">
        <v>0</v>
      </c>
      <c r="AF8">
        <v>0</v>
      </c>
      <c r="AJ8">
        <v>0</v>
      </c>
      <c r="AN8">
        <v>0</v>
      </c>
      <c r="AR8">
        <v>0</v>
      </c>
      <c r="AV8">
        <v>0</v>
      </c>
      <c r="AZ8">
        <v>0</v>
      </c>
      <c r="BD8">
        <v>0</v>
      </c>
      <c r="BH8">
        <v>0</v>
      </c>
      <c r="BL8">
        <v>0</v>
      </c>
      <c r="BP8">
        <v>0</v>
      </c>
      <c r="BT8">
        <v>0</v>
      </c>
      <c r="BX8">
        <v>0</v>
      </c>
      <c r="BZ8">
        <v>914.64</v>
      </c>
      <c r="CA8">
        <v>49368.36</v>
      </c>
      <c r="CH8">
        <v>49368.36</v>
      </c>
      <c r="CM8">
        <v>49368.36</v>
      </c>
      <c r="CO8">
        <v>49368.36</v>
      </c>
      <c r="CR8">
        <v>49368.36</v>
      </c>
      <c r="CS8">
        <v>753.58199999999999</v>
      </c>
      <c r="CT8" t="s">
        <v>172</v>
      </c>
      <c r="CU8" s="53">
        <v>37203107</v>
      </c>
      <c r="CV8" t="s">
        <v>186</v>
      </c>
      <c r="CW8" t="s">
        <v>187</v>
      </c>
      <c r="CX8">
        <v>4000</v>
      </c>
    </row>
    <row r="9" spans="1:102" x14ac:dyDescent="0.25">
      <c r="A9" t="s">
        <v>168</v>
      </c>
      <c r="B9" s="52">
        <v>45315</v>
      </c>
      <c r="C9" t="s">
        <v>198</v>
      </c>
      <c r="D9" t="s">
        <v>199</v>
      </c>
      <c r="E9" t="s">
        <v>171</v>
      </c>
      <c r="J9" t="s">
        <v>181</v>
      </c>
      <c r="K9">
        <v>222</v>
      </c>
      <c r="L9">
        <v>406.91</v>
      </c>
      <c r="M9">
        <v>90334.02</v>
      </c>
      <c r="P9">
        <v>0</v>
      </c>
      <c r="T9">
        <v>0</v>
      </c>
      <c r="X9">
        <v>0</v>
      </c>
      <c r="AB9">
        <v>0</v>
      </c>
      <c r="AF9">
        <v>0</v>
      </c>
      <c r="AJ9">
        <v>0</v>
      </c>
      <c r="AN9">
        <v>0</v>
      </c>
      <c r="AR9">
        <v>0</v>
      </c>
      <c r="AV9">
        <v>0</v>
      </c>
      <c r="AZ9">
        <v>0</v>
      </c>
      <c r="BD9">
        <v>0</v>
      </c>
      <c r="BH9">
        <v>0</v>
      </c>
      <c r="BL9">
        <v>0</v>
      </c>
      <c r="BP9">
        <v>0</v>
      </c>
      <c r="BT9">
        <v>0</v>
      </c>
      <c r="BX9">
        <v>0</v>
      </c>
      <c r="BZ9">
        <v>1829.27</v>
      </c>
      <c r="CA9">
        <v>92163.29</v>
      </c>
      <c r="CH9">
        <v>92163.29</v>
      </c>
      <c r="CM9">
        <v>92163.29</v>
      </c>
      <c r="CO9">
        <v>92163.29</v>
      </c>
      <c r="CR9">
        <v>92163.29</v>
      </c>
      <c r="CS9">
        <v>767.60799999999995</v>
      </c>
      <c r="CT9" t="s">
        <v>172</v>
      </c>
      <c r="CU9" s="53">
        <v>70745279</v>
      </c>
      <c r="CV9" t="s">
        <v>186</v>
      </c>
      <c r="CW9" t="s">
        <v>187</v>
      </c>
      <c r="CX9">
        <v>2000</v>
      </c>
    </row>
    <row r="10" spans="1:102" x14ac:dyDescent="0.25">
      <c r="A10" t="s">
        <v>168</v>
      </c>
      <c r="B10" s="52">
        <v>45315</v>
      </c>
      <c r="C10" t="s">
        <v>200</v>
      </c>
      <c r="D10" t="s">
        <v>201</v>
      </c>
      <c r="E10" t="s">
        <v>171</v>
      </c>
      <c r="J10" t="s">
        <v>181</v>
      </c>
      <c r="K10">
        <v>222</v>
      </c>
      <c r="L10">
        <v>272.86</v>
      </c>
      <c r="M10">
        <v>60574.92</v>
      </c>
      <c r="P10">
        <v>0</v>
      </c>
      <c r="T10">
        <v>0</v>
      </c>
      <c r="X10">
        <v>0</v>
      </c>
      <c r="AB10">
        <v>0</v>
      </c>
      <c r="AF10">
        <v>0</v>
      </c>
      <c r="AJ10">
        <v>0</v>
      </c>
      <c r="AN10">
        <v>0</v>
      </c>
      <c r="AR10">
        <v>0</v>
      </c>
      <c r="AV10">
        <v>0</v>
      </c>
      <c r="AZ10">
        <v>0</v>
      </c>
      <c r="BD10">
        <v>0</v>
      </c>
      <c r="BH10">
        <v>0</v>
      </c>
      <c r="BL10">
        <v>0</v>
      </c>
      <c r="BP10">
        <v>0</v>
      </c>
      <c r="BT10">
        <v>0</v>
      </c>
      <c r="BX10">
        <v>0</v>
      </c>
      <c r="BZ10">
        <v>1837.15</v>
      </c>
      <c r="CA10">
        <v>62412.07</v>
      </c>
      <c r="CH10">
        <v>62412.07</v>
      </c>
      <c r="CM10">
        <v>62412.07</v>
      </c>
      <c r="CO10">
        <v>62412.07</v>
      </c>
      <c r="CR10">
        <v>62412.07</v>
      </c>
      <c r="CS10">
        <v>2032.944</v>
      </c>
      <c r="CT10" t="s">
        <v>172</v>
      </c>
      <c r="CU10" s="53">
        <v>126880243</v>
      </c>
      <c r="CV10" t="s">
        <v>202</v>
      </c>
      <c r="CW10" t="s">
        <v>203</v>
      </c>
      <c r="CX10">
        <v>2000</v>
      </c>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4"/>
      <c r="CC11" s="1"/>
      <c r="CD11" s="14"/>
      <c r="CE11" s="1"/>
      <c r="CF11" s="14"/>
      <c r="CG11" s="1"/>
      <c r="CH11" s="1"/>
      <c r="CI11" s="14"/>
      <c r="CJ11" s="1"/>
      <c r="CK11" s="14"/>
      <c r="CL11" s="1"/>
      <c r="CM11" s="3"/>
      <c r="CN11" s="1"/>
      <c r="CO11" s="1"/>
      <c r="CP11" s="14"/>
      <c r="CQ11" s="1"/>
      <c r="CR11" s="1"/>
      <c r="CS11" s="1"/>
      <c r="CT11" s="1"/>
      <c r="CU11" s="15"/>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4"/>
      <c r="CC12" s="1"/>
      <c r="CD12" s="14"/>
      <c r="CE12" s="1"/>
      <c r="CF12" s="14"/>
      <c r="CG12" s="1"/>
      <c r="CH12" s="1"/>
      <c r="CI12" s="14"/>
      <c r="CJ12" s="1"/>
      <c r="CK12" s="14"/>
      <c r="CL12" s="1"/>
      <c r="CM12" s="3"/>
      <c r="CN12" s="1"/>
      <c r="CO12" s="1"/>
      <c r="CP12" s="14"/>
      <c r="CQ12" s="1"/>
      <c r="CR12" s="1"/>
      <c r="CS12" s="1"/>
      <c r="CT12" s="1"/>
      <c r="CU12" s="15"/>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4"/>
      <c r="CC13" s="1"/>
      <c r="CD13" s="14"/>
      <c r="CE13" s="1"/>
      <c r="CF13" s="14"/>
      <c r="CG13" s="1"/>
      <c r="CH13" s="1"/>
      <c r="CI13" s="14"/>
      <c r="CJ13" s="1"/>
      <c r="CK13" s="14"/>
      <c r="CL13" s="1"/>
      <c r="CM13" s="3"/>
      <c r="CN13" s="1"/>
      <c r="CO13" s="1"/>
      <c r="CP13" s="14"/>
      <c r="CQ13" s="1"/>
      <c r="CR13" s="1"/>
      <c r="CS13" s="1"/>
      <c r="CT13" s="1"/>
      <c r="CU13" s="15"/>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2"/>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4"/>
      <c r="CC14" s="1"/>
      <c r="CD14" s="14"/>
      <c r="CE14" s="1"/>
      <c r="CF14" s="14"/>
      <c r="CG14" s="1"/>
      <c r="CH14" s="1"/>
      <c r="CI14" s="14"/>
      <c r="CJ14" s="1"/>
      <c r="CK14" s="14"/>
      <c r="CL14" s="1"/>
      <c r="CM14" s="3"/>
      <c r="CN14" s="1"/>
      <c r="CO14" s="1"/>
      <c r="CP14" s="14"/>
      <c r="CQ14" s="1"/>
      <c r="CR14" s="1"/>
      <c r="CS14" s="1"/>
      <c r="CT14" s="1"/>
      <c r="CU14" s="15"/>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4"/>
      <c r="CC15" s="1"/>
      <c r="CD15" s="14"/>
      <c r="CE15" s="1"/>
      <c r="CF15" s="14"/>
      <c r="CG15" s="1"/>
      <c r="CH15" s="1"/>
      <c r="CI15" s="14"/>
      <c r="CJ15" s="1"/>
      <c r="CK15" s="14"/>
      <c r="CL15" s="1"/>
      <c r="CM15" s="3"/>
      <c r="CN15" s="1"/>
      <c r="CO15" s="1"/>
      <c r="CP15" s="14"/>
      <c r="CQ15" s="1"/>
      <c r="CR15" s="1"/>
      <c r="CS15" s="1"/>
      <c r="CT15" s="1"/>
      <c r="CU15" s="15"/>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4"/>
      <c r="CC16" s="1"/>
      <c r="CD16" s="14"/>
      <c r="CE16" s="1"/>
      <c r="CF16" s="14"/>
      <c r="CG16" s="1"/>
      <c r="CH16" s="1"/>
      <c r="CI16" s="14"/>
      <c r="CJ16" s="1"/>
      <c r="CK16" s="14"/>
      <c r="CL16" s="1"/>
      <c r="CM16" s="3"/>
      <c r="CN16" s="1"/>
      <c r="CO16" s="1"/>
      <c r="CP16" s="14"/>
      <c r="CQ16" s="1"/>
      <c r="CR16" s="1"/>
      <c r="CS16" s="1"/>
      <c r="CT16" s="1"/>
      <c r="CU16" s="15"/>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4"/>
      <c r="CC17" s="1"/>
      <c r="CD17" s="14"/>
      <c r="CE17" s="1"/>
      <c r="CF17" s="14"/>
      <c r="CG17" s="1"/>
      <c r="CH17" s="1"/>
      <c r="CI17" s="14"/>
      <c r="CJ17" s="1"/>
      <c r="CK17" s="14"/>
      <c r="CL17" s="1"/>
      <c r="CM17" s="3"/>
      <c r="CN17" s="1"/>
      <c r="CO17" s="1"/>
      <c r="CP17" s="14"/>
      <c r="CQ17" s="1"/>
      <c r="CR17" s="1"/>
      <c r="CS17" s="1"/>
      <c r="CT17" s="1"/>
      <c r="CU17" s="15"/>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51"/>
  <sheetViews>
    <sheetView tabSelected="1" workbookViewId="0">
      <selection activeCell="C37" sqref="C37"/>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customWidth="1"/>
    <col min="6" max="6" width="9.140625" customWidth="1"/>
    <col min="7" max="7" width="13.85546875" customWidth="1"/>
    <col min="8" max="8" width="10.5703125" style="8" customWidth="1"/>
    <col min="9" max="9" width="12.28515625" customWidth="1"/>
    <col min="10" max="10" width="13.85546875" customWidth="1"/>
    <col min="11" max="11" width="12.5703125" bestFit="1" customWidth="1"/>
    <col min="13" max="13" width="15.28515625" bestFit="1" customWidth="1"/>
    <col min="14" max="14" width="7.42578125" style="28" bestFit="1" customWidth="1"/>
    <col min="15" max="15" width="7.85546875" style="28" customWidth="1"/>
    <col min="16" max="44" width="7.85546875" style="28" hidden="1" customWidth="1"/>
    <col min="45" max="45" width="7.85546875" style="28" customWidth="1"/>
    <col min="46" max="73" width="7.85546875" style="28" hidden="1" customWidth="1"/>
    <col min="74" max="74" width="7.85546875" style="28" customWidth="1"/>
    <col min="75" max="75" width="10.7109375" style="28" bestFit="1" customWidth="1"/>
    <col min="76" max="76" width="11.42578125" style="28" customWidth="1"/>
    <col min="77" max="77" width="12.140625" style="28" customWidth="1"/>
    <col min="78" max="78" width="9.85546875" style="4" bestFit="1" customWidth="1"/>
    <col min="79" max="79" width="13.85546875" style="4" bestFit="1" customWidth="1"/>
    <col min="80" max="80" width="9.140625" style="26" hidden="1" customWidth="1"/>
    <col min="81" max="81" width="9.140625" style="4" hidden="1" customWidth="1"/>
    <col min="82" max="82" width="9.140625" style="12"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2" customFormat="1" ht="15.75" thickBot="1" x14ac:dyDescent="0.3"/>
    <row r="2" spans="1:89" s="42" customFormat="1" ht="52.5" customHeight="1" thickBot="1" x14ac:dyDescent="0.5">
      <c r="A2" s="61" t="s">
        <v>139</v>
      </c>
      <c r="B2" s="62"/>
      <c r="C2" s="62"/>
      <c r="D2" s="62"/>
      <c r="E2" s="62"/>
      <c r="F2" s="62"/>
      <c r="G2" s="62"/>
      <c r="H2" s="62"/>
      <c r="I2" s="62"/>
      <c r="J2" s="62"/>
      <c r="K2" s="62"/>
      <c r="L2" s="62"/>
      <c r="M2" s="62"/>
      <c r="N2" s="62"/>
      <c r="O2" s="62"/>
      <c r="P2" s="62"/>
      <c r="Q2" s="62"/>
      <c r="R2" s="63"/>
      <c r="S2" s="45"/>
      <c r="T2" s="45"/>
    </row>
    <row r="3" spans="1:89" s="42" customFormat="1" ht="15.75" thickBot="1" x14ac:dyDescent="0.3">
      <c r="A3"/>
      <c r="B3"/>
      <c r="C3"/>
      <c r="D3"/>
      <c r="E3"/>
      <c r="F3"/>
      <c r="G3"/>
      <c r="H3"/>
      <c r="I3"/>
      <c r="J3"/>
      <c r="K3"/>
      <c r="L3"/>
      <c r="M3"/>
      <c r="N3"/>
      <c r="O3"/>
      <c r="P3"/>
      <c r="Q3"/>
      <c r="R3"/>
      <c r="S3"/>
    </row>
    <row r="4" spans="1:89" s="42" customFormat="1" ht="51.75" customHeight="1" thickBot="1" x14ac:dyDescent="0.3">
      <c r="A4" s="43" t="s">
        <v>125</v>
      </c>
      <c r="B4" s="71" t="s">
        <v>140</v>
      </c>
      <c r="C4" s="71"/>
      <c r="D4" s="71"/>
      <c r="E4" s="71"/>
      <c r="F4" s="71"/>
      <c r="G4" s="71"/>
      <c r="H4" s="71"/>
      <c r="I4" s="71"/>
      <c r="J4" s="71"/>
      <c r="K4" s="71"/>
      <c r="L4" s="71"/>
      <c r="M4" s="71"/>
      <c r="N4" s="71"/>
      <c r="O4" s="71"/>
      <c r="P4" s="71"/>
      <c r="Q4" s="71"/>
      <c r="R4" s="71"/>
      <c r="S4"/>
    </row>
    <row r="5" spans="1:89" s="42" customFormat="1" ht="34.5" customHeight="1" x14ac:dyDescent="0.25">
      <c r="A5" s="43" t="s">
        <v>126</v>
      </c>
      <c r="B5" s="71" t="s">
        <v>141</v>
      </c>
      <c r="C5" s="71"/>
      <c r="D5" s="71"/>
      <c r="E5" s="71"/>
      <c r="F5" s="71"/>
      <c r="G5" s="71"/>
      <c r="H5" s="71"/>
      <c r="I5" s="71"/>
      <c r="J5" s="71"/>
      <c r="K5" s="71"/>
      <c r="L5" s="71"/>
      <c r="M5" s="71"/>
      <c r="N5" s="71"/>
      <c r="O5" s="71"/>
      <c r="P5" s="71"/>
      <c r="Q5" s="71"/>
      <c r="R5" s="71"/>
      <c r="S5"/>
    </row>
    <row r="6" spans="1:89" s="42" customFormat="1" ht="48" customHeight="1" x14ac:dyDescent="0.25">
      <c r="A6" s="44" t="s">
        <v>127</v>
      </c>
      <c r="B6" s="72" t="s">
        <v>142</v>
      </c>
      <c r="C6" s="71"/>
      <c r="D6" s="71"/>
      <c r="E6" s="71"/>
      <c r="F6" s="71"/>
      <c r="G6" s="71"/>
      <c r="H6" s="71"/>
      <c r="I6" s="71"/>
      <c r="J6" s="71"/>
      <c r="K6" s="71"/>
      <c r="L6" s="71"/>
      <c r="M6" s="71"/>
      <c r="N6" s="71"/>
      <c r="O6" s="71"/>
      <c r="P6" s="71"/>
      <c r="Q6" s="71"/>
      <c r="R6" s="71"/>
      <c r="S6"/>
    </row>
    <row r="7" spans="1:89" s="42" customFormat="1" ht="30" x14ac:dyDescent="0.25">
      <c r="A7" s="44" t="s">
        <v>124</v>
      </c>
      <c r="B7" s="72" t="s">
        <v>143</v>
      </c>
      <c r="C7" s="71"/>
      <c r="D7" s="71"/>
      <c r="E7" s="71"/>
      <c r="F7" s="71"/>
      <c r="G7" s="71"/>
      <c r="H7" s="71"/>
      <c r="I7" s="71"/>
      <c r="J7" s="71"/>
      <c r="K7" s="71"/>
      <c r="L7" s="71"/>
      <c r="M7" s="71"/>
      <c r="N7" s="71"/>
      <c r="O7" s="71"/>
      <c r="P7" s="71"/>
      <c r="Q7" s="71"/>
      <c r="R7" s="71"/>
      <c r="S7"/>
    </row>
    <row r="8" spans="1:89" s="42" customFormat="1" ht="28.5" customHeight="1" x14ac:dyDescent="0.25">
      <c r="A8" s="44" t="s">
        <v>128</v>
      </c>
      <c r="B8" s="72" t="s">
        <v>144</v>
      </c>
      <c r="C8" s="72"/>
      <c r="D8" s="72"/>
      <c r="E8" s="72"/>
      <c r="F8" s="72"/>
      <c r="G8" s="72"/>
      <c r="H8" s="72"/>
      <c r="I8" s="72"/>
      <c r="J8" s="72"/>
      <c r="K8" s="72"/>
      <c r="L8" s="72"/>
      <c r="M8" s="72"/>
      <c r="N8" s="72"/>
      <c r="O8" s="72"/>
      <c r="P8" s="72"/>
      <c r="Q8" s="72"/>
      <c r="R8" s="72"/>
      <c r="S8"/>
    </row>
    <row r="9" spans="1:89" s="42" customFormat="1" ht="39.75" customHeight="1" x14ac:dyDescent="0.25">
      <c r="A9" s="44" t="s">
        <v>129</v>
      </c>
      <c r="B9" s="73" t="s">
        <v>148</v>
      </c>
      <c r="C9" s="74"/>
      <c r="D9" s="74"/>
      <c r="E9" s="74"/>
      <c r="F9" s="74"/>
      <c r="G9" s="74"/>
      <c r="H9" s="74"/>
      <c r="I9" s="74"/>
      <c r="J9" s="74"/>
      <c r="K9" s="74"/>
      <c r="L9" s="74"/>
      <c r="M9" s="74"/>
      <c r="N9" s="74"/>
      <c r="O9" s="74"/>
      <c r="P9" s="74"/>
      <c r="Q9" s="74"/>
      <c r="R9" s="75"/>
    </row>
    <row r="10" spans="1:89" s="42" customFormat="1" ht="37.5" customHeight="1" x14ac:dyDescent="0.25">
      <c r="A10" s="44" t="s">
        <v>130</v>
      </c>
      <c r="B10" s="72" t="s">
        <v>145</v>
      </c>
      <c r="C10" s="72"/>
      <c r="D10" s="72"/>
      <c r="E10" s="72"/>
      <c r="F10" s="72"/>
      <c r="G10" s="72"/>
      <c r="H10" s="72"/>
      <c r="I10" s="72"/>
      <c r="J10" s="72"/>
      <c r="K10" s="72"/>
      <c r="L10" s="72"/>
      <c r="M10" s="72"/>
      <c r="N10" s="72"/>
      <c r="O10" s="72"/>
      <c r="P10" s="72"/>
      <c r="Q10" s="72"/>
      <c r="R10" s="72"/>
      <c r="S10"/>
    </row>
    <row r="11" spans="1:89" s="42" customFormat="1" ht="36.75" customHeight="1" x14ac:dyDescent="0.25">
      <c r="A11" s="44" t="s">
        <v>131</v>
      </c>
      <c r="B11" s="67" t="s">
        <v>146</v>
      </c>
      <c r="C11" s="68"/>
      <c r="D11" s="68"/>
      <c r="E11" s="68"/>
      <c r="F11" s="68"/>
      <c r="G11" s="68"/>
      <c r="H11" s="68"/>
      <c r="I11" s="68"/>
      <c r="J11" s="68"/>
      <c r="K11" s="68"/>
      <c r="L11" s="68"/>
      <c r="M11" s="68"/>
      <c r="N11" s="68"/>
      <c r="O11" s="68"/>
      <c r="P11" s="68"/>
      <c r="Q11" s="68"/>
      <c r="R11" s="69"/>
      <c r="S11"/>
    </row>
    <row r="12" spans="1:89" s="42" customFormat="1" ht="30" x14ac:dyDescent="0.25">
      <c r="A12" s="47" t="s">
        <v>132</v>
      </c>
      <c r="B12" s="70" t="s">
        <v>147</v>
      </c>
      <c r="C12" s="70"/>
      <c r="D12" s="70"/>
      <c r="E12" s="70"/>
      <c r="F12" s="70"/>
      <c r="G12" s="70"/>
      <c r="H12" s="70"/>
      <c r="I12" s="70"/>
      <c r="J12" s="70"/>
      <c r="K12" s="70"/>
      <c r="L12" s="70"/>
      <c r="M12" s="70"/>
      <c r="N12" s="70"/>
      <c r="O12" s="70"/>
      <c r="P12" s="70"/>
      <c r="Q12" s="70"/>
      <c r="R12" s="70"/>
    </row>
    <row r="13" spans="1:89" s="42" customFormat="1" ht="34.5" customHeight="1" x14ac:dyDescent="0.25">
      <c r="A13" s="47" t="s">
        <v>133</v>
      </c>
      <c r="B13" s="70"/>
      <c r="C13" s="70"/>
      <c r="D13" s="70"/>
      <c r="E13" s="70"/>
      <c r="F13" s="70"/>
      <c r="G13" s="70"/>
      <c r="H13" s="70"/>
      <c r="I13" s="70"/>
      <c r="J13" s="70"/>
      <c r="K13" s="70"/>
      <c r="L13" s="70"/>
      <c r="M13" s="70"/>
      <c r="N13" s="70"/>
      <c r="O13" s="70"/>
      <c r="P13" s="70"/>
      <c r="Q13" s="70"/>
      <c r="R13" s="70"/>
    </row>
    <row r="14" spans="1:89" s="42" customFormat="1" ht="30" x14ac:dyDescent="0.25">
      <c r="A14" s="48" t="s">
        <v>134</v>
      </c>
      <c r="B14" s="70"/>
      <c r="C14" s="70"/>
      <c r="D14" s="70"/>
      <c r="E14" s="70"/>
      <c r="F14" s="70"/>
      <c r="G14" s="70"/>
      <c r="H14" s="70"/>
      <c r="I14" s="70"/>
      <c r="J14" s="70"/>
      <c r="K14" s="70"/>
      <c r="L14" s="70"/>
      <c r="M14" s="70"/>
      <c r="N14" s="70"/>
      <c r="O14" s="70"/>
      <c r="P14" s="70"/>
      <c r="Q14" s="70"/>
      <c r="R14" s="70"/>
    </row>
    <row r="16" spans="1:89" s="35" customFormat="1" ht="28.9" customHeight="1" x14ac:dyDescent="0.25">
      <c r="E16" s="40"/>
      <c r="H16" s="41"/>
      <c r="N16" s="66" t="str">
        <f>Sheet1!J1</f>
        <v>Conductor</v>
      </c>
      <c r="O16" s="66"/>
      <c r="P16" s="66"/>
      <c r="Q16" s="66"/>
      <c r="R16" s="66"/>
      <c r="S16" s="66" t="s">
        <v>9</v>
      </c>
      <c r="T16" s="66"/>
      <c r="U16" s="66" t="s">
        <v>3</v>
      </c>
      <c r="V16" s="66"/>
      <c r="W16" s="66"/>
      <c r="X16" s="66"/>
      <c r="Y16" s="66"/>
      <c r="Z16" s="66"/>
      <c r="AA16" s="66"/>
      <c r="AB16" s="66"/>
      <c r="AC16" s="66" t="s">
        <v>12</v>
      </c>
      <c r="AD16" s="66"/>
      <c r="AE16" s="66" t="s">
        <v>15</v>
      </c>
      <c r="AF16" s="66"/>
      <c r="AG16" s="66"/>
      <c r="AH16" s="66"/>
      <c r="AI16" s="66"/>
      <c r="AJ16" s="66"/>
      <c r="AK16" s="10" t="s">
        <v>18</v>
      </c>
      <c r="AL16" s="64" t="s">
        <v>21</v>
      </c>
      <c r="AM16" s="65"/>
      <c r="AN16" s="65"/>
      <c r="AO16" s="65"/>
      <c r="AP16" s="65"/>
      <c r="AQ16" s="65"/>
      <c r="AR16" s="65"/>
      <c r="AS16" s="66" t="s">
        <v>24</v>
      </c>
      <c r="AT16" s="66"/>
      <c r="AU16" s="66"/>
      <c r="AV16" s="66"/>
      <c r="AW16" s="66"/>
      <c r="AX16" s="66"/>
      <c r="AY16" s="66"/>
      <c r="AZ16" s="66"/>
      <c r="BA16" s="66"/>
      <c r="BB16" s="66"/>
      <c r="BC16" s="66" t="s">
        <v>27</v>
      </c>
      <c r="BD16" s="66"/>
      <c r="BE16" s="66"/>
      <c r="BF16" s="66"/>
      <c r="BG16" s="66"/>
      <c r="BH16" s="66"/>
      <c r="BI16" s="66"/>
      <c r="BJ16" s="66"/>
      <c r="BK16" s="66"/>
      <c r="BL16" s="66"/>
      <c r="BM16" s="36" t="s">
        <v>30</v>
      </c>
      <c r="BN16" s="10" t="s">
        <v>33</v>
      </c>
      <c r="BO16" s="10" t="s">
        <v>36</v>
      </c>
      <c r="BP16" s="10" t="s">
        <v>39</v>
      </c>
      <c r="BQ16" s="10" t="s">
        <v>42</v>
      </c>
      <c r="BR16" s="10" t="s">
        <v>45</v>
      </c>
      <c r="BS16" s="10" t="s">
        <v>48</v>
      </c>
      <c r="BT16" s="10" t="s">
        <v>51</v>
      </c>
      <c r="BU16" s="10" t="s">
        <v>54</v>
      </c>
      <c r="BV16" s="10"/>
      <c r="BW16" s="10"/>
      <c r="BX16" s="10"/>
      <c r="BY16" s="10"/>
      <c r="BZ16" s="37" t="s">
        <v>57</v>
      </c>
      <c r="CA16" s="37" t="s">
        <v>58</v>
      </c>
      <c r="CB16" s="38" t="s">
        <v>79</v>
      </c>
      <c r="CC16" s="37" t="s">
        <v>123</v>
      </c>
      <c r="CD16" s="39"/>
      <c r="CE16" s="40"/>
      <c r="CF16" s="41"/>
      <c r="CG16" s="40"/>
      <c r="CH16" s="40"/>
      <c r="CI16" s="41"/>
      <c r="CK16" s="41"/>
    </row>
    <row r="17" spans="1:90" s="17" customFormat="1" ht="89.25" x14ac:dyDescent="0.25">
      <c r="A17" s="20" t="s">
        <v>0</v>
      </c>
      <c r="B17" s="20" t="str">
        <f>Sheet1!B1</f>
        <v>Base Date</v>
      </c>
      <c r="C17" s="20" t="s">
        <v>1</v>
      </c>
      <c r="D17" s="20" t="s">
        <v>2</v>
      </c>
      <c r="E17" s="5" t="s">
        <v>70</v>
      </c>
      <c r="F17" s="13" t="s">
        <v>71</v>
      </c>
      <c r="G17" s="13" t="s">
        <v>72</v>
      </c>
      <c r="H17" s="6" t="s">
        <v>73</v>
      </c>
      <c r="I17" s="13" t="s">
        <v>74</v>
      </c>
      <c r="J17" s="13" t="s">
        <v>75</v>
      </c>
      <c r="K17" s="13" t="s">
        <v>76</v>
      </c>
      <c r="L17" s="13" t="s">
        <v>77</v>
      </c>
      <c r="M17" s="13" t="s">
        <v>78</v>
      </c>
      <c r="N17" s="21" t="s">
        <v>80</v>
      </c>
      <c r="O17" s="21" t="s">
        <v>85</v>
      </c>
      <c r="P17" s="21" t="s">
        <v>82</v>
      </c>
      <c r="Q17" s="21" t="s">
        <v>83</v>
      </c>
      <c r="R17" s="21" t="s">
        <v>84</v>
      </c>
      <c r="S17" s="21" t="s">
        <v>80</v>
      </c>
      <c r="T17" s="21" t="s">
        <v>85</v>
      </c>
      <c r="U17" s="22" t="s">
        <v>92</v>
      </c>
      <c r="V17" s="22" t="s">
        <v>96</v>
      </c>
      <c r="W17" s="22" t="s">
        <v>99</v>
      </c>
      <c r="X17" s="22" t="s">
        <v>104</v>
      </c>
      <c r="Y17" s="22" t="s">
        <v>108</v>
      </c>
      <c r="Z17" s="22" t="s">
        <v>112</v>
      </c>
      <c r="AA17" s="22" t="s">
        <v>115</v>
      </c>
      <c r="AB17" s="22" t="s">
        <v>117</v>
      </c>
      <c r="AC17" s="22" t="s">
        <v>91</v>
      </c>
      <c r="AD17" s="22" t="s">
        <v>95</v>
      </c>
      <c r="AE17" s="22" t="s">
        <v>90</v>
      </c>
      <c r="AF17" s="22" t="s">
        <v>86</v>
      </c>
      <c r="AG17" s="22" t="s">
        <v>98</v>
      </c>
      <c r="AH17" s="22" t="s">
        <v>103</v>
      </c>
      <c r="AI17" s="22" t="s">
        <v>107</v>
      </c>
      <c r="AJ17" s="22" t="s">
        <v>111</v>
      </c>
      <c r="AK17" s="18" t="s">
        <v>18</v>
      </c>
      <c r="AL17" s="22" t="s">
        <v>93</v>
      </c>
      <c r="AM17" s="22" t="s">
        <v>97</v>
      </c>
      <c r="AN17" s="22" t="s">
        <v>100</v>
      </c>
      <c r="AO17" s="22" t="s">
        <v>105</v>
      </c>
      <c r="AP17" s="22" t="s">
        <v>109</v>
      </c>
      <c r="AQ17" s="22" t="s">
        <v>87</v>
      </c>
      <c r="AR17" s="22" t="s">
        <v>116</v>
      </c>
      <c r="AS17" s="22" t="s">
        <v>94</v>
      </c>
      <c r="AT17" s="22" t="s">
        <v>81</v>
      </c>
      <c r="AU17" s="22" t="s">
        <v>101</v>
      </c>
      <c r="AV17" s="22" t="s">
        <v>106</v>
      </c>
      <c r="AW17" s="22" t="s">
        <v>113</v>
      </c>
      <c r="AX17" s="22" t="s">
        <v>88</v>
      </c>
      <c r="AY17" s="22" t="s">
        <v>118</v>
      </c>
      <c r="AZ17" s="22" t="s">
        <v>119</v>
      </c>
      <c r="BA17" s="22" t="s">
        <v>120</v>
      </c>
      <c r="BB17" s="22" t="s">
        <v>122</v>
      </c>
      <c r="BC17" s="22" t="s">
        <v>93</v>
      </c>
      <c r="BD17" s="22" t="s">
        <v>97</v>
      </c>
      <c r="BE17" s="22" t="s">
        <v>102</v>
      </c>
      <c r="BF17" s="22" t="s">
        <v>100</v>
      </c>
      <c r="BG17" s="22" t="s">
        <v>110</v>
      </c>
      <c r="BH17" s="22" t="s">
        <v>114</v>
      </c>
      <c r="BI17" s="22" t="s">
        <v>105</v>
      </c>
      <c r="BJ17" s="22" t="s">
        <v>87</v>
      </c>
      <c r="BK17" s="22" t="s">
        <v>116</v>
      </c>
      <c r="BL17" s="22" t="s">
        <v>121</v>
      </c>
      <c r="BM17" s="18" t="s">
        <v>30</v>
      </c>
      <c r="BN17" s="18" t="s">
        <v>89</v>
      </c>
      <c r="BO17" s="19" t="s">
        <v>36</v>
      </c>
      <c r="BP17" s="23" t="s">
        <v>39</v>
      </c>
      <c r="BQ17" s="19" t="s">
        <v>42</v>
      </c>
      <c r="BR17" s="19" t="s">
        <v>45</v>
      </c>
      <c r="BS17" s="19" t="s">
        <v>48</v>
      </c>
      <c r="BT17" s="23" t="s">
        <v>51</v>
      </c>
      <c r="BU17" s="19" t="s">
        <v>54</v>
      </c>
      <c r="BV17" s="19" t="str">
        <f>Sheet1!E1</f>
        <v>PROPOSE DRUM TYPE</v>
      </c>
      <c r="BW17" s="51" t="str">
        <f>Sheet1!CV1</f>
        <v>DRUM CODE</v>
      </c>
      <c r="BX17" s="51" t="str">
        <f>Sheet1!CW1</f>
        <v>DRUM SIZE (FxbXtx Ft)</v>
      </c>
      <c r="BY17" s="51" t="str">
        <f>Sheet1!CX1</f>
        <v xml:space="preserve">PARTY STANDARD LENGTH (MTR) </v>
      </c>
      <c r="BZ17" s="27"/>
      <c r="CA17" s="27"/>
      <c r="CB17" s="24"/>
      <c r="CC17" s="27"/>
      <c r="CD17" s="11" t="s">
        <v>61</v>
      </c>
      <c r="CE17" s="5" t="s">
        <v>62</v>
      </c>
      <c r="CF17" s="6" t="s">
        <v>63</v>
      </c>
      <c r="CG17" s="5" t="s">
        <v>64</v>
      </c>
      <c r="CH17" s="5" t="s">
        <v>65</v>
      </c>
      <c r="CI17" s="6" t="s">
        <v>66</v>
      </c>
      <c r="CJ17" s="13" t="s">
        <v>67</v>
      </c>
      <c r="CK17" s="6" t="s">
        <v>68</v>
      </c>
      <c r="CL17" s="13" t="s">
        <v>69</v>
      </c>
    </row>
    <row r="18" spans="1:90" s="27" customFormat="1" x14ac:dyDescent="0.25">
      <c r="A18" s="29"/>
      <c r="B18" s="29"/>
      <c r="C18" s="29"/>
      <c r="D18" s="29"/>
      <c r="E18" s="5"/>
      <c r="F18" s="5"/>
      <c r="G18" s="5"/>
      <c r="H18" s="5"/>
      <c r="I18" s="5"/>
      <c r="J18" s="5"/>
      <c r="K18" s="5"/>
      <c r="L18" s="5"/>
      <c r="M18" s="5"/>
      <c r="N18" s="30">
        <v>217</v>
      </c>
      <c r="O18" s="30">
        <f>N18+7</f>
        <v>224</v>
      </c>
      <c r="P18" s="30">
        <f>+IFERROR(VLOOKUP($P$17,Sheet1!J:M,2,0),0)</f>
        <v>0</v>
      </c>
      <c r="Q18" s="30">
        <f>+IFERROR(VLOOKUP($Q$17,Sheet1!J:M,2,0),0)</f>
        <v>0</v>
      </c>
      <c r="R18" s="30">
        <f>+IFERROR(VLOOKUP($R$17,Sheet1!J:M,2,0),0)</f>
        <v>0</v>
      </c>
      <c r="S18" s="30">
        <f>+IFERROR(VLOOKUP($S$17,Sheet1!N:Q,2,0),0)</f>
        <v>0</v>
      </c>
      <c r="T18" s="30">
        <f>+IFERROR(VLOOKUP($T$17,Sheet1!N:O,2,0),0)</f>
        <v>0</v>
      </c>
      <c r="U18" s="31">
        <f>+IFERROR(VLOOKUP($U$17,Sheet1!F:I,2,0),0)</f>
        <v>0</v>
      </c>
      <c r="V18" s="31">
        <f>+IFERROR(VLOOKUP($V$17,Sheet1!F:I,2,0),0)</f>
        <v>0</v>
      </c>
      <c r="W18" s="31">
        <f>+IFERROR(VLOOKUP($W$17,Sheet1!F:I,2,0),0)</f>
        <v>0</v>
      </c>
      <c r="X18" s="31">
        <f>+IFERROR(VLOOKUP($X$17,Sheet1!F:I,2,0),0)</f>
        <v>0</v>
      </c>
      <c r="Y18" s="31">
        <f>+IFERROR(VLOOKUP($Y$17,Sheet1!F:I,2,0),0)</f>
        <v>0</v>
      </c>
      <c r="Z18" s="31">
        <f>+IFERROR(VLOOKUP($Z$17,Sheet1!F:I,2,0),0)</f>
        <v>0</v>
      </c>
      <c r="AA18" s="31">
        <f>+IFERROR(VLOOKUP($AA$17,Sheet1!F:I,2,0),0)</f>
        <v>0</v>
      </c>
      <c r="AB18" s="31">
        <f>+IFERROR(VLOOKUP($AB$17,Sheet1!F:I,2,0),0)</f>
        <v>0</v>
      </c>
      <c r="AC18" s="31">
        <f>+IFERROR(VLOOKUP($AC$17,Sheet1!R:U,2,0),0)</f>
        <v>0</v>
      </c>
      <c r="AD18" s="31">
        <f>+IFERROR(VLOOKUP($AD$17,Sheet1!R:U,2,0),0)</f>
        <v>0</v>
      </c>
      <c r="AE18" s="31">
        <f>+IFERROR(VLOOKUP($AE$17,Sheet1!V:Y,2,0),0)</f>
        <v>0</v>
      </c>
      <c r="AF18" s="31">
        <f>+IFERROR(VLOOKUP($AF$17,Sheet1!V:Y,2,0),0)</f>
        <v>0</v>
      </c>
      <c r="AG18" s="31">
        <f>+IFERROR(VLOOKUP($AG$17,Sheet1!V:Y,2,0),0)</f>
        <v>0</v>
      </c>
      <c r="AH18" s="31">
        <f>+IFERROR(VLOOKUP($AH$17,Sheet1!V:Y,2,0),0)</f>
        <v>0</v>
      </c>
      <c r="AI18" s="31">
        <f>+IFERROR(VLOOKUP($AI$17,Sheet1!V:Y,2,0),0)</f>
        <v>0</v>
      </c>
      <c r="AJ18" s="31">
        <f>+IFERROR(VLOOKUP($AJ$17,Sheet1!V:Y,2,0),0)</f>
        <v>0</v>
      </c>
      <c r="AK18" s="32">
        <f>+IFERROR(VLOOKUP($AK$17,Sheet1!Z2:AA840,2,0),0)</f>
        <v>0</v>
      </c>
      <c r="AL18" s="31">
        <f>+IFERROR(VLOOKUP($AL$17,Sheet1!AD2:AG840,2,0),0)</f>
        <v>0</v>
      </c>
      <c r="AM18" s="31">
        <f>+IFERROR(VLOOKUP($AM$17,Sheet1!AD2:AG840,2,0),0)</f>
        <v>0</v>
      </c>
      <c r="AN18" s="31">
        <f>+IFERROR(VLOOKUP($AN$17,Sheet1!AD2:AG840,2,0),0)</f>
        <v>0</v>
      </c>
      <c r="AO18" s="31">
        <f>+IFERROR(VLOOKUP($AO$17,Sheet1!AD2:AG840,2,0),0)</f>
        <v>0</v>
      </c>
      <c r="AP18" s="31">
        <f>+IFERROR(VLOOKUP($AP$17,Sheet1!AD2:AG840,2,0),0)</f>
        <v>0</v>
      </c>
      <c r="AQ18" s="31">
        <f>+IFERROR(VLOOKUP($AQ$17,Sheet1!AD2:AG840,2,0),0)</f>
        <v>0</v>
      </c>
      <c r="AR18" s="31">
        <f>+IFERROR(VLOOKUP($AR$17,Sheet1!AD2:AG840,2,0),0)</f>
        <v>0</v>
      </c>
      <c r="AS18" s="31">
        <v>71</v>
      </c>
      <c r="AT18" s="31">
        <f>+IFERROR(VLOOKUP($AT$17,Sheet1!AH2:AK840,2,0),0)</f>
        <v>0</v>
      </c>
      <c r="AU18" s="31">
        <f>+IFERROR(VLOOKUP($AU$17,Sheet1!AH2:AK840,2,0),0)</f>
        <v>0</v>
      </c>
      <c r="AV18" s="31">
        <f>+IFERROR(VLOOKUP($AV$17,Sheet1!AH2:AK840,2,0),0)</f>
        <v>0</v>
      </c>
      <c r="AW18" s="31">
        <f>+IFERROR(VLOOKUP($AW$17,Sheet1!AH2:AK840,2,0),0)</f>
        <v>0</v>
      </c>
      <c r="AX18" s="31">
        <f>+IFERROR(VLOOKUP($AX$17,Sheet1!AH2:AK840,2,0),0)</f>
        <v>0</v>
      </c>
      <c r="AY18" s="31">
        <f>+IFERROR(VLOOKUP($AY$17,Sheet1!AH2:AK840,2,0),0)</f>
        <v>0</v>
      </c>
      <c r="AZ18" s="31">
        <f>+IFERROR(VLOOKUP($AZ$17,Sheet1!AH2:AK840,2,0),0)</f>
        <v>0</v>
      </c>
      <c r="BA18" s="31">
        <f>+IFERROR(VLOOKUP($BA$17,Sheet1!AH2:AK840,2,0),0)</f>
        <v>0</v>
      </c>
      <c r="BB18" s="31">
        <f>+IFERROR(VLOOKUP($BB$17,Sheet1!AH2:AK840,2,0),0)</f>
        <v>0</v>
      </c>
      <c r="BC18" s="31">
        <f>+IFERROR(VLOOKUP($BC$17,Sheet1!AL2:AO840,2,0),0)</f>
        <v>0</v>
      </c>
      <c r="BD18" s="31">
        <f>+IFERROR(VLOOKUP($BD$17,Sheet1!AL2:AO840,2,0),0)</f>
        <v>0</v>
      </c>
      <c r="BE18" s="31">
        <f>+IFERROR(VLOOKUP($BE$17,Sheet1!AL2:AO840,2,0),0)</f>
        <v>0</v>
      </c>
      <c r="BF18" s="31">
        <f>+IFERROR(VLOOKUP($BF$17,Sheet1!AL2:AO840,2,0),0)</f>
        <v>0</v>
      </c>
      <c r="BG18" s="31">
        <f>+IFERROR(VLOOKUP($BG$17,Sheet1!AL2:AO840,2,0),0)</f>
        <v>0</v>
      </c>
      <c r="BH18" s="31">
        <f>+IFERROR(VLOOKUP($BH$17,Sheet1!AL2:AO840,2,0),0)</f>
        <v>0</v>
      </c>
      <c r="BI18" s="31">
        <f>+IFERROR(VLOOKUP($BI$17,Sheet1!AL2:AO840,2,0),0)</f>
        <v>0</v>
      </c>
      <c r="BJ18" s="31">
        <f>+IFERROR(VLOOKUP($BJ$17,Sheet1!AL2:AO840,2,0),0)</f>
        <v>0</v>
      </c>
      <c r="BK18" s="31">
        <f>+IFERROR(VLOOKUP($BK$17,Sheet1!AL2:AO840,2,0),0)</f>
        <v>0</v>
      </c>
      <c r="BL18" s="31">
        <f>+IFERROR(VLOOKUP($BL$17,Sheet1!AL2:AO840,2,0),0)</f>
        <v>0</v>
      </c>
      <c r="BM18" s="32">
        <f>+IFERROR(VLOOKUP($BM$17,Sheet1!AP2:AS840,2,0),0)</f>
        <v>0</v>
      </c>
      <c r="BN18" s="32">
        <f>+IFERROR(VLOOKUP($BN$17,Sheet1!AT2:AW840,2,0),0)</f>
        <v>0</v>
      </c>
      <c r="BO18" s="33">
        <f>+IFERROR(VLOOKUP($BO$17,Sheet1!AX2:BA840,2,0),0)</f>
        <v>0</v>
      </c>
      <c r="BP18" s="34">
        <f>+IFERROR(VLOOKUP($BP$17,Sheet1!BB2:BE840,2,0),0)</f>
        <v>0</v>
      </c>
      <c r="BQ18" s="33">
        <f>+IFERROR(VLOOKUP($BQ$17,Sheet1!BF2:BI840,2,0),0)</f>
        <v>0</v>
      </c>
      <c r="BR18" s="33">
        <f>+IFERROR(VLOOKUP($BR$17,Sheet1!BJ2:BM840,2,0),0)</f>
        <v>0</v>
      </c>
      <c r="BS18" s="33">
        <f>+IFERROR(VLOOKUP($BS$17,Sheet1!BN2:BQ840,2,0),0)</f>
        <v>0</v>
      </c>
      <c r="BT18" s="34">
        <f>+IFERROR(VLOOKUP($BT$17,Sheet1!BR2:BU840,2,0),0)</f>
        <v>0</v>
      </c>
      <c r="BU18" s="33">
        <f>+IFERROR(VLOOKUP($BU$17,Sheet1!BV2:BY840,2,0),0)</f>
        <v>0</v>
      </c>
      <c r="BV18" s="50"/>
      <c r="BW18" s="50"/>
      <c r="BX18" s="50"/>
      <c r="BY18" s="50"/>
      <c r="CD18" s="5"/>
      <c r="CE18" s="5"/>
      <c r="CF18" s="5"/>
      <c r="CG18" s="5"/>
      <c r="CH18" s="5"/>
      <c r="CI18" s="5"/>
      <c r="CJ18" s="5"/>
      <c r="CK18" s="5"/>
      <c r="CL18" s="5"/>
    </row>
    <row r="19" spans="1:90" ht="30" x14ac:dyDescent="0.25">
      <c r="A19" s="1" t="str">
        <f>Sheet1!A6</f>
        <v>ENQ-12173-22-23</v>
      </c>
      <c r="B19" s="49">
        <v>45321</v>
      </c>
      <c r="C19" s="1" t="str">
        <f>Sheet1!C6</f>
        <v>FC0700003</v>
      </c>
      <c r="D19" s="1" t="str">
        <f>Sheet1!D6</f>
        <v>AAAC : RABBIT CONDUCTOR - 55 SQ. MM. (7/3.15)</v>
      </c>
      <c r="E19" s="3">
        <f t="shared" ref="E19:E27" si="0">CH19+CJ19+CL19</f>
        <v>39840.441200000001</v>
      </c>
      <c r="F19" s="60">
        <f>ROUNDUP(M30,0)</f>
        <v>347</v>
      </c>
      <c r="G19" s="9">
        <f t="shared" ref="G19:G27" si="1">E19+F19</f>
        <v>40187.441200000001</v>
      </c>
      <c r="H19" s="7">
        <v>0.18</v>
      </c>
      <c r="I19" s="9">
        <f t="shared" ref="I19:I27" si="2">G19*H19</f>
        <v>7233.7394160000003</v>
      </c>
      <c r="J19" s="9">
        <f t="shared" ref="J19:J27" si="3">G19+I19</f>
        <v>47421.180615999998</v>
      </c>
      <c r="K19" s="1">
        <f>Sheet1!CS6</f>
        <v>390</v>
      </c>
      <c r="L19" s="1" t="str">
        <f>Sheet1!CT6</f>
        <v>KMS</v>
      </c>
      <c r="M19" s="3">
        <f t="shared" ref="M19:M27" si="4">J19*K19</f>
        <v>18494260.440239999</v>
      </c>
      <c r="N19" s="2">
        <f>+IFERROR(VLOOKUP($N$17,Sheet1!J6:L6,3,0),0)</f>
        <v>0</v>
      </c>
      <c r="O19" s="2">
        <f>+IFERROR(VLOOKUP($O$17,Sheet1!J6:L6,3,0),0)</f>
        <v>150</v>
      </c>
      <c r="P19" s="2">
        <f>+IFERROR(VLOOKUP($P$17,Sheet1!J6:M6,3,0),0)</f>
        <v>0</v>
      </c>
      <c r="Q19" s="2">
        <f>+IFERROR(VLOOKUP($Q$17,Sheet1!J6:M6,3,0),0)</f>
        <v>0</v>
      </c>
      <c r="R19" s="2">
        <f>+IFERROR(VLOOKUP($R$17,Sheet1!J6:M6,3,0),0)</f>
        <v>0</v>
      </c>
      <c r="S19" s="2">
        <f>+IFERROR(VLOOKUP($S$17,Sheet1!N6:Q6,3,0),0)</f>
        <v>0</v>
      </c>
      <c r="T19" s="2">
        <f>+IFERROR(VLOOKUP($T$17,Sheet1!N6:Q6,3,0),0)</f>
        <v>0</v>
      </c>
      <c r="U19" s="2">
        <f>+IFERROR(VLOOKUP($U$17,Sheet1!F6:I6,3,0),0)</f>
        <v>0</v>
      </c>
      <c r="V19" s="2">
        <f>+IFERROR(VLOOKUP($V$17,Sheet1!F6:I6,3,0),0)</f>
        <v>0</v>
      </c>
      <c r="W19" s="2">
        <f>+IFERROR(VLOOKUP($W$17,Sheet1!F6:I6,3,0),0)</f>
        <v>0</v>
      </c>
      <c r="X19" s="2">
        <f>+IFERROR(VLOOKUP($X$17,Sheet1!F6:I6,3,0),0)</f>
        <v>0</v>
      </c>
      <c r="Y19" s="2">
        <f>+IFERROR(VLOOKUP($Y$17,Sheet1!F6:I6,3,0),0)</f>
        <v>0</v>
      </c>
      <c r="Z19" s="2">
        <f>+IFERROR(VLOOKUP($Z$17,Sheet1!F6:I6,3,0),0)</f>
        <v>0</v>
      </c>
      <c r="AA19" s="2">
        <f>+IFERROR(VLOOKUP($AA$17,Sheet1!F6:I6,3,0),0)</f>
        <v>0</v>
      </c>
      <c r="AB19" s="2">
        <f>+IFERROR(VLOOKUP($AB$17,Sheet1!F6:I6,3,0),0)</f>
        <v>0</v>
      </c>
      <c r="AC19" s="2">
        <f>+IFERROR(VLOOKUP($AC$17,Sheet1!R6:U6,3,0),0)</f>
        <v>0</v>
      </c>
      <c r="AD19" s="13">
        <f>+IFERROR(VLOOKUP($AD$17,Sheet1!R6:U6,2,0),0)</f>
        <v>0</v>
      </c>
      <c r="AE19" s="2">
        <f>+IFERROR(VLOOKUP($AE$17,Sheet1!V6:Y6,3,0),0)</f>
        <v>0</v>
      </c>
      <c r="AF19" s="13">
        <f>+IFERROR(VLOOKUP($AF$17,Sheet1!V6:Y6,3,0),0)</f>
        <v>0</v>
      </c>
      <c r="AG19" s="13">
        <f>+IFERROR(VLOOKUP($AG$17,Sheet1!V6:Y6,3,0),0)</f>
        <v>0</v>
      </c>
      <c r="AH19" s="13">
        <f>+IFERROR(VLOOKUP($AH$17,Sheet1!V6:Y6,3,0),0)</f>
        <v>0</v>
      </c>
      <c r="AI19" s="13">
        <f>+IFERROR(VLOOKUP($AI$17,Sheet1!V6:Y6,3,0),0)</f>
        <v>0</v>
      </c>
      <c r="AJ19" s="13">
        <f>+IFERROR(VLOOKUP($AJ$17,Sheet1!V6:Y6,3,0),0)</f>
        <v>0</v>
      </c>
      <c r="AK19" s="13">
        <f>+IFERROR(VLOOKUP($AK$17,Sheet1!Z6:AB6,3,0),0)</f>
        <v>0</v>
      </c>
      <c r="AL19" s="13">
        <f>+IFERROR(VLOOKUP($AL$17,Sheet1!AD6:AG6,3,0),0)</f>
        <v>0</v>
      </c>
      <c r="AM19" s="13">
        <f>+IFERROR(VLOOKUP($AM$17,Sheet1!AD6:AG6,3,0),0)</f>
        <v>0</v>
      </c>
      <c r="AN19" s="13">
        <f>+IFERROR(VLOOKUP($AN$17,Sheet1!AD6:AG6,3,0),0)</f>
        <v>0</v>
      </c>
      <c r="AO19" s="13">
        <f>+IFERROR(VLOOKUP($AO$17,Sheet1!AD6:AG6,3,0),0)</f>
        <v>0</v>
      </c>
      <c r="AP19" s="13">
        <f>+IFERROR(VLOOKUP($AP$17,Sheet1!AD6:AG6,3,0),0)</f>
        <v>0</v>
      </c>
      <c r="AQ19" s="13">
        <f>+IFERROR(VLOOKUP($AQ$17,Sheet1!AD6:AG6,3,0),0)</f>
        <v>0</v>
      </c>
      <c r="AR19" s="13">
        <f>+IFERROR(VLOOKUP($AR$17,Sheet1!AD6:AG6,3,0),0)</f>
        <v>0</v>
      </c>
      <c r="AS19" s="13">
        <f>+IFERROR(VLOOKUP($AS$17,Sheet1!AH6:AK6,3,0),0)</f>
        <v>0</v>
      </c>
      <c r="AT19" s="13">
        <f>+IFERROR(VLOOKUP($AT$17,Sheet1!AH6:AK6,3,0),0)</f>
        <v>0</v>
      </c>
      <c r="AU19" s="13">
        <f>+IFERROR(VLOOKUP($AU$17,Sheet1!AH6:AK6,3,0),0)</f>
        <v>0</v>
      </c>
      <c r="AV19" s="13">
        <f>+IFERROR(VLOOKUP($AV$17,Sheet1!AH6:AK6,3,0),0)</f>
        <v>0</v>
      </c>
      <c r="AW19" s="13">
        <f>+IFERROR(VLOOKUP($AW$17,Sheet1!AH6:AK6,3,0),0)</f>
        <v>0</v>
      </c>
      <c r="AX19" s="13">
        <f>+IFERROR(VLOOKUP($AX$17,Sheet1!AH6:AK6,3,0),0)</f>
        <v>0</v>
      </c>
      <c r="AY19" s="13">
        <f>+IFERROR(VLOOKUP($AY$17,Sheet1!AH6:AK6,3,0),0)</f>
        <v>0</v>
      </c>
      <c r="AZ19" s="13">
        <f>+IFERROR(VLOOKUP($AZ$17,Sheet1!AH6:AK6,3,0),0)</f>
        <v>0</v>
      </c>
      <c r="BA19" s="13">
        <f>+IFERROR(VLOOKUP($BA$17,Sheet1!AH6:AK6,3,0),0)</f>
        <v>0</v>
      </c>
      <c r="BB19" s="13">
        <f>+IFERROR(VLOOKUP($BB$17,Sheet1!AH6:AK6,3,0),0)</f>
        <v>0</v>
      </c>
      <c r="BC19" s="13">
        <f>+IFERROR(VLOOKUP($BC$17,Sheet1!AL6:AO6,3,0),0)</f>
        <v>0</v>
      </c>
      <c r="BD19" s="13">
        <f>+IFERROR(VLOOKUP($BD$17,Sheet1!AL6:AO6,3,0),0)</f>
        <v>0</v>
      </c>
      <c r="BE19" s="13">
        <f>+IFERROR(VLOOKUP($BE$17,Sheet1!AL6:AO6,3,0),0)</f>
        <v>0</v>
      </c>
      <c r="BF19" s="13">
        <f>+IFERROR(VLOOKUP($BF$17,Sheet1!AL6:AO6,3,0),0)</f>
        <v>0</v>
      </c>
      <c r="BG19" s="13">
        <f>+IFERROR(VLOOKUP($BG$17,Sheet1!AL6:AO6,3,0),0)</f>
        <v>0</v>
      </c>
      <c r="BH19" s="13">
        <f>+IFERROR(VLOOKUP($BH$17,Sheet1!AL6:AO6,3,0),0)</f>
        <v>0</v>
      </c>
      <c r="BI19" s="13">
        <f>+IFERROR(VLOOKUP($BI$17,Sheet1!AL6:AO6,3,0),0)</f>
        <v>0</v>
      </c>
      <c r="BJ19" s="13">
        <f>+IFERROR(VLOOKUP($BJ$17,Sheet1!AL6:AO6,3,0),0)</f>
        <v>0</v>
      </c>
      <c r="BK19" s="13">
        <f>+IFERROR(VLOOKUP($BK$17,Sheet1!AL6:AO6,3,0),0)</f>
        <v>0</v>
      </c>
      <c r="BL19" s="13">
        <f>+IFERROR(VLOOKUP($BL$17,Sheet1!AL6:AO6,3,0),0)</f>
        <v>0</v>
      </c>
      <c r="BM19" s="13">
        <f>+IFERROR(VLOOKUP($BM$17,Sheet1!AP6:AS6,3,0),0)</f>
        <v>0</v>
      </c>
      <c r="BN19" s="13">
        <f>+IFERROR(VLOOKUP($BN$17,Sheet1!AT6:AW6,3,0),0)</f>
        <v>0</v>
      </c>
      <c r="BO19" s="13">
        <f>+IFERROR(VLOOKUP($BO$17,Sheet1!AX6:BA6,3,0),0)</f>
        <v>0</v>
      </c>
      <c r="BP19" s="13">
        <f>+IFERROR(VLOOKUP($BP$17,Sheet1!BB6:BE6,3,0),0)</f>
        <v>0</v>
      </c>
      <c r="BQ19" s="13">
        <f>+IFERROR(VLOOKUP($BQ$17,Sheet1!BF6:BI6,3,0),0)</f>
        <v>0</v>
      </c>
      <c r="BR19" s="13">
        <f>+IFERROR(VLOOKUP($BR$17,Sheet1!BJ6:BM6,3,0),0)</f>
        <v>0</v>
      </c>
      <c r="BS19" s="13">
        <f>+IFERROR(VLOOKUP($BS$17,Sheet1!BN6:BQ6,3,0),0)</f>
        <v>0</v>
      </c>
      <c r="BT19" s="13">
        <f>+IFERROR(VLOOKUP($BT$17,Sheet1!BR6:BU6,3,0),0)</f>
        <v>0</v>
      </c>
      <c r="BU19" s="13">
        <f>+IFERROR(VLOOKUP($BU$17,Sheet1!BV6:BY6,3,0),0)</f>
        <v>0</v>
      </c>
      <c r="BV19" s="76" t="str">
        <f>Sheet1!E6</f>
        <v>WOOD</v>
      </c>
      <c r="BW19" s="76" t="s">
        <v>205</v>
      </c>
      <c r="BX19" s="13" t="s">
        <v>209</v>
      </c>
      <c r="BY19" s="76">
        <f>Sheet1!CX6</f>
        <v>4000</v>
      </c>
      <c r="BZ19" s="3">
        <f>3743/4</f>
        <v>935.75</v>
      </c>
      <c r="CA19" s="3">
        <f t="shared" ref="CA19:CA27" si="5">SUMPRODUCT($N$18:$BU$18,N19:BU19)+BZ19</f>
        <v>34535.75</v>
      </c>
      <c r="CB19" s="25">
        <f>Sheet1!CB6</f>
        <v>0</v>
      </c>
      <c r="CC19" s="3">
        <f t="shared" ref="CC19:CC27" si="6">CA19*CB19</f>
        <v>0</v>
      </c>
      <c r="CD19" s="46">
        <v>0.12</v>
      </c>
      <c r="CE19" s="3">
        <f t="shared" ref="CE19:CE27" si="7">CA19*CD19</f>
        <v>4144.29</v>
      </c>
      <c r="CF19" s="46">
        <v>0</v>
      </c>
      <c r="CG19" s="3">
        <f t="shared" ref="CG19:CG27" si="8">CA19*CF19</f>
        <v>0</v>
      </c>
      <c r="CH19" s="3">
        <f t="shared" ref="CH19:CH27" si="9">CA19+CC19+CE19+CG19</f>
        <v>38680.04</v>
      </c>
      <c r="CI19" s="46">
        <v>0.02</v>
      </c>
      <c r="CJ19" s="1">
        <f t="shared" ref="CJ19:CJ27" si="10">CH19*CI19</f>
        <v>773.60080000000005</v>
      </c>
      <c r="CK19" s="46">
        <v>0.01</v>
      </c>
      <c r="CL19" s="1">
        <f t="shared" ref="CL19:CL27" si="11">CH19*CK19</f>
        <v>386.80040000000002</v>
      </c>
    </row>
    <row r="20" spans="1:90" ht="30" x14ac:dyDescent="0.25">
      <c r="A20" s="1" t="str">
        <f>Sheet1!A8</f>
        <v>ENQ-12173-22-23</v>
      </c>
      <c r="B20" s="49">
        <v>45321</v>
      </c>
      <c r="C20" s="1" t="str">
        <f>Sheet1!C8</f>
        <v>FC0700012</v>
      </c>
      <c r="D20" s="1" t="str">
        <f>Sheet1!D8</f>
        <v>AAAC : RACOON CONDUCTOR - 80 SQ. MM. (7/3.81)</v>
      </c>
      <c r="E20" s="3">
        <f t="shared" si="0"/>
        <v>57479.262063999995</v>
      </c>
      <c r="F20" s="60">
        <f t="shared" ref="F20:F27" si="12">ROUNDUP(M31,0)</f>
        <v>538</v>
      </c>
      <c r="G20" s="9">
        <f t="shared" si="1"/>
        <v>58017.262063999995</v>
      </c>
      <c r="H20" s="7">
        <v>0.18</v>
      </c>
      <c r="I20" s="9">
        <f t="shared" si="2"/>
        <v>10443.10717152</v>
      </c>
      <c r="J20" s="9">
        <f t="shared" si="3"/>
        <v>68460.369235519989</v>
      </c>
      <c r="K20" s="1">
        <f>Sheet1!CS8</f>
        <v>753.58199999999999</v>
      </c>
      <c r="L20" s="1" t="str">
        <f>Sheet1!CT8</f>
        <v>KMS</v>
      </c>
      <c r="M20" s="3">
        <f t="shared" si="4"/>
        <v>51590501.969241627</v>
      </c>
      <c r="N20" s="2">
        <f>+IFERROR(VLOOKUP($N$17,Sheet1!J8:L8,3,0),0)</f>
        <v>0</v>
      </c>
      <c r="O20" s="2">
        <f>+IFERROR(VLOOKUP($O$17,Sheet1!J8:L8,3,0),0)</f>
        <v>218.26</v>
      </c>
      <c r="P20" s="2">
        <f>+IFERROR(VLOOKUP($P$17,Sheet1!J8:M8,3,0),0)</f>
        <v>0</v>
      </c>
      <c r="Q20" s="2">
        <f>+IFERROR(VLOOKUP($Q$17,Sheet1!J8:M8,3,0),0)</f>
        <v>0</v>
      </c>
      <c r="R20" s="2">
        <f>+IFERROR(VLOOKUP($R$17,Sheet1!J8:M8,3,0),0)</f>
        <v>0</v>
      </c>
      <c r="S20" s="2">
        <f>+IFERROR(VLOOKUP($S$17,Sheet1!N8:Q8,3,0),0)</f>
        <v>0</v>
      </c>
      <c r="T20" s="2">
        <f>+IFERROR(VLOOKUP($T$17,Sheet1!N8:Q8,3,0),0)</f>
        <v>0</v>
      </c>
      <c r="U20" s="2">
        <f>+IFERROR(VLOOKUP($U$17,Sheet1!F8:I8,3,0),0)</f>
        <v>0</v>
      </c>
      <c r="V20" s="2">
        <f>+IFERROR(VLOOKUP($V$17,Sheet1!F8:I8,3,0),0)</f>
        <v>0</v>
      </c>
      <c r="W20" s="2">
        <f>+IFERROR(VLOOKUP($W$17,Sheet1!F8:I8,3,0),0)</f>
        <v>0</v>
      </c>
      <c r="X20" s="2">
        <f>+IFERROR(VLOOKUP($X$17,Sheet1!F8:I8,3,0),0)</f>
        <v>0</v>
      </c>
      <c r="Y20" s="2">
        <f>+IFERROR(VLOOKUP($Y$17,Sheet1!F8:I8,3,0),0)</f>
        <v>0</v>
      </c>
      <c r="Z20" s="2">
        <f>+IFERROR(VLOOKUP($Z$17,Sheet1!F8:I8,3,0),0)</f>
        <v>0</v>
      </c>
      <c r="AA20" s="2">
        <f>+IFERROR(VLOOKUP($AA$17,Sheet1!F8:I8,3,0),0)</f>
        <v>0</v>
      </c>
      <c r="AB20" s="2">
        <f>+IFERROR(VLOOKUP($AB$17,Sheet1!F8:I8,3,0),0)</f>
        <v>0</v>
      </c>
      <c r="AC20" s="2">
        <f>+IFERROR(VLOOKUP($AC$17,Sheet1!R8:U8,3,0),0)</f>
        <v>0</v>
      </c>
      <c r="AD20" s="13">
        <f>+IFERROR(VLOOKUP($AD$17,Sheet1!R8:U8,2,0),0)</f>
        <v>0</v>
      </c>
      <c r="AE20" s="2">
        <f>+IFERROR(VLOOKUP($AE$17,Sheet1!V8:Y8,3,0),0)</f>
        <v>0</v>
      </c>
      <c r="AF20" s="13">
        <f>+IFERROR(VLOOKUP($AF$17,Sheet1!V8:Y8,3,0),0)</f>
        <v>0</v>
      </c>
      <c r="AG20" s="13">
        <f>+IFERROR(VLOOKUP($AG$17,Sheet1!V8:Y8,3,0),0)</f>
        <v>0</v>
      </c>
      <c r="AH20" s="13">
        <f>+IFERROR(VLOOKUP($AH$17,Sheet1!V8:Y8,3,0),0)</f>
        <v>0</v>
      </c>
      <c r="AI20" s="13">
        <f>+IFERROR(VLOOKUP($AI$17,Sheet1!V8:Y8,3,0),0)</f>
        <v>0</v>
      </c>
      <c r="AJ20" s="13">
        <f>+IFERROR(VLOOKUP($AJ$17,Sheet1!V8:Y8,3,0),0)</f>
        <v>0</v>
      </c>
      <c r="AK20" s="13">
        <f>+IFERROR(VLOOKUP($AK$17,Sheet1!Z8:AB8,3,0),0)</f>
        <v>0</v>
      </c>
      <c r="AL20" s="13">
        <f>+IFERROR(VLOOKUP($AL$17,Sheet1!AD8:AG8,3,0),0)</f>
        <v>0</v>
      </c>
      <c r="AM20" s="13">
        <f>+IFERROR(VLOOKUP($AM$17,Sheet1!AD8:AG8,3,0),0)</f>
        <v>0</v>
      </c>
      <c r="AN20" s="13">
        <f>+IFERROR(VLOOKUP($AN$17,Sheet1!AD8:AG8,3,0),0)</f>
        <v>0</v>
      </c>
      <c r="AO20" s="13">
        <f>+IFERROR(VLOOKUP($AO$17,Sheet1!AD8:AG8,3,0),0)</f>
        <v>0</v>
      </c>
      <c r="AP20" s="13">
        <f>+IFERROR(VLOOKUP($AP$17,Sheet1!AD8:AG8,3,0),0)</f>
        <v>0</v>
      </c>
      <c r="AQ20" s="13">
        <f>+IFERROR(VLOOKUP($AQ$17,Sheet1!AD8:AG8,3,0),0)</f>
        <v>0</v>
      </c>
      <c r="AR20" s="13">
        <f>+IFERROR(VLOOKUP($AR$17,Sheet1!AD8:AG8,3,0),0)</f>
        <v>0</v>
      </c>
      <c r="AS20" s="13">
        <f>+IFERROR(VLOOKUP($AS$17,Sheet1!AH8:AK8,3,0),0)</f>
        <v>0</v>
      </c>
      <c r="AT20" s="13">
        <f>+IFERROR(VLOOKUP($AT$17,Sheet1!AH8:AK8,3,0),0)</f>
        <v>0</v>
      </c>
      <c r="AU20" s="13">
        <f>+IFERROR(VLOOKUP($AU$17,Sheet1!AH8:AK8,3,0),0)</f>
        <v>0</v>
      </c>
      <c r="AV20" s="13">
        <f>+IFERROR(VLOOKUP($AV$17,Sheet1!AH8:AK8,3,0),0)</f>
        <v>0</v>
      </c>
      <c r="AW20" s="13">
        <f>+IFERROR(VLOOKUP($AW$17,Sheet1!AH8:AK8,3,0),0)</f>
        <v>0</v>
      </c>
      <c r="AX20" s="13">
        <f>+IFERROR(VLOOKUP($AX$17,Sheet1!AH8:AK8,3,0),0)</f>
        <v>0</v>
      </c>
      <c r="AY20" s="13">
        <f>+IFERROR(VLOOKUP($AY$17,Sheet1!AH8:AK8,3,0),0)</f>
        <v>0</v>
      </c>
      <c r="AZ20" s="13">
        <f>+IFERROR(VLOOKUP($AZ$17,Sheet1!AH8:AK8,3,0),0)</f>
        <v>0</v>
      </c>
      <c r="BA20" s="13">
        <f>+IFERROR(VLOOKUP($BA$17,Sheet1!AH8:AK8,3,0),0)</f>
        <v>0</v>
      </c>
      <c r="BB20" s="13">
        <f>+IFERROR(VLOOKUP($BB$17,Sheet1!AH8:AK8,3,0),0)</f>
        <v>0</v>
      </c>
      <c r="BC20" s="13">
        <f>+IFERROR(VLOOKUP($BC$17,Sheet1!AL8:AO8,3,0),0)</f>
        <v>0</v>
      </c>
      <c r="BD20" s="13">
        <f>+IFERROR(VLOOKUP($BD$17,Sheet1!AL8:AO8,3,0),0)</f>
        <v>0</v>
      </c>
      <c r="BE20" s="13">
        <f>+IFERROR(VLOOKUP($BE$17,Sheet1!AL8:AO8,3,0),0)</f>
        <v>0</v>
      </c>
      <c r="BF20" s="13">
        <f>+IFERROR(VLOOKUP($BF$17,Sheet1!AL8:AO8,3,0),0)</f>
        <v>0</v>
      </c>
      <c r="BG20" s="13">
        <f>+IFERROR(VLOOKUP($BG$17,Sheet1!AL8:AO8,3,0),0)</f>
        <v>0</v>
      </c>
      <c r="BH20" s="13">
        <f>+IFERROR(VLOOKUP($BH$17,Sheet1!AL8:AO8,3,0),0)</f>
        <v>0</v>
      </c>
      <c r="BI20" s="13">
        <f>+IFERROR(VLOOKUP($BI$17,Sheet1!AL8:AO8,3,0),0)</f>
        <v>0</v>
      </c>
      <c r="BJ20" s="13">
        <f>+IFERROR(VLOOKUP($BJ$17,Sheet1!AL8:AO8,3,0),0)</f>
        <v>0</v>
      </c>
      <c r="BK20" s="13">
        <f>+IFERROR(VLOOKUP($BK$17,Sheet1!AL8:AO8,3,0),0)</f>
        <v>0</v>
      </c>
      <c r="BL20" s="13">
        <f>+IFERROR(VLOOKUP($BL$17,Sheet1!AL8:AO8,3,0),0)</f>
        <v>0</v>
      </c>
      <c r="BM20" s="13">
        <f>+IFERROR(VLOOKUP($BM$17,Sheet1!AP8:AS8,3,0),0)</f>
        <v>0</v>
      </c>
      <c r="BN20" s="13">
        <f>+IFERROR(VLOOKUP($BN$17,Sheet1!AT8:AW8,3,0),0)</f>
        <v>0</v>
      </c>
      <c r="BO20" s="13">
        <f>+IFERROR(VLOOKUP($BO$17,Sheet1!AX8:BA8,3,0),0)</f>
        <v>0</v>
      </c>
      <c r="BP20" s="13">
        <f>+IFERROR(VLOOKUP($BP$17,Sheet1!BB8:BE8,3,0),0)</f>
        <v>0</v>
      </c>
      <c r="BQ20" s="13">
        <f>+IFERROR(VLOOKUP($BQ$17,Sheet1!BF8:BI8,3,0),0)</f>
        <v>0</v>
      </c>
      <c r="BR20" s="13">
        <f>+IFERROR(VLOOKUP($BR$17,Sheet1!BJ8:BM8,3,0),0)</f>
        <v>0</v>
      </c>
      <c r="BS20" s="13">
        <f>+IFERROR(VLOOKUP($BS$17,Sheet1!BN8:BQ8,3,0),0)</f>
        <v>0</v>
      </c>
      <c r="BT20" s="13">
        <f>+IFERROR(VLOOKUP($BT$17,Sheet1!BR8:BU8,3,0),0)</f>
        <v>0</v>
      </c>
      <c r="BU20" s="13">
        <f>+IFERROR(VLOOKUP($BU$17,Sheet1!BV8:BY8,3,0),0)</f>
        <v>0</v>
      </c>
      <c r="BV20" s="76" t="str">
        <f>Sheet1!E8</f>
        <v>WOOD</v>
      </c>
      <c r="BW20" s="76" t="s">
        <v>205</v>
      </c>
      <c r="BX20" s="13" t="s">
        <v>208</v>
      </c>
      <c r="BY20" s="76">
        <f>Sheet1!CX8</f>
        <v>4000</v>
      </c>
      <c r="BZ20" s="3">
        <f>3743/4</f>
        <v>935.75</v>
      </c>
      <c r="CA20" s="3">
        <f t="shared" si="5"/>
        <v>49825.99</v>
      </c>
      <c r="CB20" s="25">
        <f>Sheet1!CB8</f>
        <v>0</v>
      </c>
      <c r="CC20" s="3">
        <f t="shared" si="6"/>
        <v>0</v>
      </c>
      <c r="CD20" s="46">
        <v>0.12</v>
      </c>
      <c r="CE20" s="3">
        <f t="shared" si="7"/>
        <v>5979.1187999999993</v>
      </c>
      <c r="CF20" s="46">
        <v>0</v>
      </c>
      <c r="CG20" s="3">
        <f t="shared" si="8"/>
        <v>0</v>
      </c>
      <c r="CH20" s="3">
        <f t="shared" si="9"/>
        <v>55805.108799999995</v>
      </c>
      <c r="CI20" s="46">
        <v>0.02</v>
      </c>
      <c r="CJ20" s="1">
        <f t="shared" si="10"/>
        <v>1116.1021759999999</v>
      </c>
      <c r="CK20" s="46">
        <v>0.01</v>
      </c>
      <c r="CL20" s="1">
        <f t="shared" si="11"/>
        <v>558.05108799999994</v>
      </c>
    </row>
    <row r="21" spans="1:90" ht="30" x14ac:dyDescent="0.25">
      <c r="A21" s="1" t="str">
        <f>Sheet1!A10</f>
        <v>ENQ-12173-22-23</v>
      </c>
      <c r="B21" s="49">
        <v>45321</v>
      </c>
      <c r="C21" s="1" t="str">
        <f>Sheet1!C10</f>
        <v>FC0700002</v>
      </c>
      <c r="D21" s="1" t="str">
        <f>Sheet1!D10</f>
        <v>AAAC : DOG CONDUCTOR - 100 SQ. MM. (7/4.26)</v>
      </c>
      <c r="E21" s="3">
        <f t="shared" si="0"/>
        <v>72667.732704000009</v>
      </c>
      <c r="F21" s="60">
        <f t="shared" si="12"/>
        <v>598</v>
      </c>
      <c r="G21" s="9">
        <f t="shared" si="1"/>
        <v>73265.732704000009</v>
      </c>
      <c r="H21" s="7">
        <v>0.18</v>
      </c>
      <c r="I21" s="9">
        <f t="shared" si="2"/>
        <v>13187.831886720001</v>
      </c>
      <c r="J21" s="9">
        <f t="shared" si="3"/>
        <v>86453.564590720009</v>
      </c>
      <c r="K21" s="1">
        <f>Sheet1!CS10</f>
        <v>2032.944</v>
      </c>
      <c r="L21" s="1" t="str">
        <f>Sheet1!CT10</f>
        <v>KMS</v>
      </c>
      <c r="M21" s="3">
        <f t="shared" si="4"/>
        <v>175755255.4133167</v>
      </c>
      <c r="N21" s="2">
        <f>+IFERROR(VLOOKUP($N$17,Sheet1!J10:L10,3,0),0)</f>
        <v>0</v>
      </c>
      <c r="O21" s="2">
        <f>+IFERROR(VLOOKUP($O$17,Sheet1!J10:L10,3,0),0)</f>
        <v>272.86</v>
      </c>
      <c r="P21" s="2">
        <f>+IFERROR(VLOOKUP($P$17,Sheet1!J10:M10,3,0),0)</f>
        <v>0</v>
      </c>
      <c r="Q21" s="2">
        <f>+IFERROR(VLOOKUP($Q$17,Sheet1!J10:M10,3,0),0)</f>
        <v>0</v>
      </c>
      <c r="R21" s="2">
        <f>+IFERROR(VLOOKUP($R$17,Sheet1!J10:M10,3,0),0)</f>
        <v>0</v>
      </c>
      <c r="S21" s="2">
        <f>+IFERROR(VLOOKUP($S$17,Sheet1!N10:Q10,3,0),0)</f>
        <v>0</v>
      </c>
      <c r="T21" s="2">
        <f>+IFERROR(VLOOKUP($T$17,Sheet1!N10:Q10,3,0),0)</f>
        <v>0</v>
      </c>
      <c r="U21" s="2">
        <f>+IFERROR(VLOOKUP($U$17,Sheet1!F10:I10,3,0),0)</f>
        <v>0</v>
      </c>
      <c r="V21" s="2">
        <f>+IFERROR(VLOOKUP($V$17,Sheet1!F10:I10,3,0),0)</f>
        <v>0</v>
      </c>
      <c r="W21" s="2">
        <f>+IFERROR(VLOOKUP($W$17,Sheet1!F10:I10,3,0),0)</f>
        <v>0</v>
      </c>
      <c r="X21" s="2">
        <f>+IFERROR(VLOOKUP($X$17,Sheet1!F10:I10,3,0),0)</f>
        <v>0</v>
      </c>
      <c r="Y21" s="2">
        <f>+IFERROR(VLOOKUP($Y$17,Sheet1!F10:I10,3,0),0)</f>
        <v>0</v>
      </c>
      <c r="Z21" s="2">
        <f>+IFERROR(VLOOKUP($Z$17,Sheet1!F10:I10,3,0),0)</f>
        <v>0</v>
      </c>
      <c r="AA21" s="2">
        <f>+IFERROR(VLOOKUP($AA$17,Sheet1!F10:I10,3,0),0)</f>
        <v>0</v>
      </c>
      <c r="AB21" s="2">
        <f>+IFERROR(VLOOKUP($AB$17,Sheet1!F10:I10,3,0),0)</f>
        <v>0</v>
      </c>
      <c r="AC21" s="2">
        <f>+IFERROR(VLOOKUP($AC$17,Sheet1!R10:U10,3,0),0)</f>
        <v>0</v>
      </c>
      <c r="AD21" s="13">
        <f>+IFERROR(VLOOKUP($AD$17,Sheet1!R10:U10,2,0),0)</f>
        <v>0</v>
      </c>
      <c r="AE21" s="2">
        <f>+IFERROR(VLOOKUP($AE$17,Sheet1!V10:Y10,3,0),0)</f>
        <v>0</v>
      </c>
      <c r="AF21" s="13">
        <f>+IFERROR(VLOOKUP($AF$17,Sheet1!V10:Y10,3,0),0)</f>
        <v>0</v>
      </c>
      <c r="AG21" s="13">
        <f>+IFERROR(VLOOKUP($AG$17,Sheet1!V10:Y10,3,0),0)</f>
        <v>0</v>
      </c>
      <c r="AH21" s="13">
        <f>+IFERROR(VLOOKUP($AH$17,Sheet1!V10:Y10,3,0),0)</f>
        <v>0</v>
      </c>
      <c r="AI21" s="13">
        <f>+IFERROR(VLOOKUP($AI$17,Sheet1!V10:Y10,3,0),0)</f>
        <v>0</v>
      </c>
      <c r="AJ21" s="13">
        <f>+IFERROR(VLOOKUP($AJ$17,Sheet1!V10:Y10,3,0),0)</f>
        <v>0</v>
      </c>
      <c r="AK21" s="13">
        <f>+IFERROR(VLOOKUP($AK$17,Sheet1!Z10:AB10,3,0),0)</f>
        <v>0</v>
      </c>
      <c r="AL21" s="13">
        <f>+IFERROR(VLOOKUP($AL$17,Sheet1!AD10:AG10,3,0),0)</f>
        <v>0</v>
      </c>
      <c r="AM21" s="13">
        <f>+IFERROR(VLOOKUP($AM$17,Sheet1!AD10:AG10,3,0),0)</f>
        <v>0</v>
      </c>
      <c r="AN21" s="13">
        <f>+IFERROR(VLOOKUP($AN$17,Sheet1!AD10:AG10,3,0),0)</f>
        <v>0</v>
      </c>
      <c r="AO21" s="13">
        <f>+IFERROR(VLOOKUP($AO$17,Sheet1!AD10:AG10,3,0),0)</f>
        <v>0</v>
      </c>
      <c r="AP21" s="13">
        <f>+IFERROR(VLOOKUP($AP$17,Sheet1!AD10:AG10,3,0),0)</f>
        <v>0</v>
      </c>
      <c r="AQ21" s="13">
        <f>+IFERROR(VLOOKUP($AQ$17,Sheet1!AD10:AG10,3,0),0)</f>
        <v>0</v>
      </c>
      <c r="AR21" s="13">
        <f>+IFERROR(VLOOKUP($AR$17,Sheet1!AD10:AG10,3,0),0)</f>
        <v>0</v>
      </c>
      <c r="AS21" s="13">
        <f>+IFERROR(VLOOKUP($AS$17,Sheet1!AH10:AK10,3,0),0)</f>
        <v>0</v>
      </c>
      <c r="AT21" s="13">
        <f>+IFERROR(VLOOKUP($AT$17,Sheet1!AH10:AK10,3,0),0)</f>
        <v>0</v>
      </c>
      <c r="AU21" s="13">
        <f>+IFERROR(VLOOKUP($AU$17,Sheet1!AH10:AK10,3,0),0)</f>
        <v>0</v>
      </c>
      <c r="AV21" s="13">
        <f>+IFERROR(VLOOKUP($AV$17,Sheet1!AH10:AK10,3,0),0)</f>
        <v>0</v>
      </c>
      <c r="AW21" s="13">
        <f>+IFERROR(VLOOKUP($AW$17,Sheet1!AH10:AK10,3,0),0)</f>
        <v>0</v>
      </c>
      <c r="AX21" s="13">
        <f>+IFERROR(VLOOKUP($AX$17,Sheet1!AH10:AK10,3,0),0)</f>
        <v>0</v>
      </c>
      <c r="AY21" s="13">
        <f>+IFERROR(VLOOKUP($AY$17,Sheet1!AH10:AK10,3,0),0)</f>
        <v>0</v>
      </c>
      <c r="AZ21" s="13">
        <f>+IFERROR(VLOOKUP($AZ$17,Sheet1!AH10:AK10,3,0),0)</f>
        <v>0</v>
      </c>
      <c r="BA21" s="13">
        <f>+IFERROR(VLOOKUP($BA$17,Sheet1!AH10:AK10,3,0),0)</f>
        <v>0</v>
      </c>
      <c r="BB21" s="13">
        <f>+IFERROR(VLOOKUP($BB$17,Sheet1!AH10:AK10,3,0),0)</f>
        <v>0</v>
      </c>
      <c r="BC21" s="13">
        <f>+IFERROR(VLOOKUP($BC$17,Sheet1!AL10:AO10,3,0),0)</f>
        <v>0</v>
      </c>
      <c r="BD21" s="13">
        <f>+IFERROR(VLOOKUP($BD$17,Sheet1!AL10:AO10,3,0),0)</f>
        <v>0</v>
      </c>
      <c r="BE21" s="13">
        <f>+IFERROR(VLOOKUP($BE$17,Sheet1!AL10:AO10,3,0),0)</f>
        <v>0</v>
      </c>
      <c r="BF21" s="13">
        <f>+IFERROR(VLOOKUP($BF$17,Sheet1!AL10:AO10,3,0),0)</f>
        <v>0</v>
      </c>
      <c r="BG21" s="13">
        <f>+IFERROR(VLOOKUP($BG$17,Sheet1!AL10:AO10,3,0),0)</f>
        <v>0</v>
      </c>
      <c r="BH21" s="13">
        <f>+IFERROR(VLOOKUP($BH$17,Sheet1!AL10:AO10,3,0),0)</f>
        <v>0</v>
      </c>
      <c r="BI21" s="13">
        <f>+IFERROR(VLOOKUP($BI$17,Sheet1!AL10:AO10,3,0),0)</f>
        <v>0</v>
      </c>
      <c r="BJ21" s="13">
        <f>+IFERROR(VLOOKUP($BJ$17,Sheet1!AL10:AO10,3,0),0)</f>
        <v>0</v>
      </c>
      <c r="BK21" s="13">
        <f>+IFERROR(VLOOKUP($BK$17,Sheet1!AL10:AO10,3,0),0)</f>
        <v>0</v>
      </c>
      <c r="BL21" s="13">
        <f>+IFERROR(VLOOKUP($BL$17,Sheet1!AL10:AO10,3,0),0)</f>
        <v>0</v>
      </c>
      <c r="BM21" s="13">
        <f>+IFERROR(VLOOKUP($BM$17,Sheet1!AP10:AS10,3,0),0)</f>
        <v>0</v>
      </c>
      <c r="BN21" s="13">
        <f>+IFERROR(VLOOKUP($BN$17,Sheet1!AT10:AW10,3,0),0)</f>
        <v>0</v>
      </c>
      <c r="BO21" s="13">
        <f>+IFERROR(VLOOKUP($BO$17,Sheet1!AX10:BA10,3,0),0)</f>
        <v>0</v>
      </c>
      <c r="BP21" s="13">
        <f>+IFERROR(VLOOKUP($BP$17,Sheet1!BB10:BE10,3,0),0)</f>
        <v>0</v>
      </c>
      <c r="BQ21" s="13">
        <f>+IFERROR(VLOOKUP($BQ$17,Sheet1!BF10:BI10,3,0),0)</f>
        <v>0</v>
      </c>
      <c r="BR21" s="13">
        <f>+IFERROR(VLOOKUP($BR$17,Sheet1!BJ10:BM10,3,0),0)</f>
        <v>0</v>
      </c>
      <c r="BS21" s="13">
        <f>+IFERROR(VLOOKUP($BS$17,Sheet1!BN10:BQ10,3,0),0)</f>
        <v>0</v>
      </c>
      <c r="BT21" s="13">
        <f>+IFERROR(VLOOKUP($BT$17,Sheet1!BR10:BU10,3,0),0)</f>
        <v>0</v>
      </c>
      <c r="BU21" s="13">
        <f>+IFERROR(VLOOKUP($BU$17,Sheet1!BV10:BY10,3,0),0)</f>
        <v>0</v>
      </c>
      <c r="BV21" s="76" t="str">
        <f>Sheet1!E10</f>
        <v>WOOD</v>
      </c>
      <c r="BW21" s="76" t="s">
        <v>205</v>
      </c>
      <c r="BX21" s="13" t="s">
        <v>204</v>
      </c>
      <c r="BY21" s="76">
        <f>Sheet1!CX10</f>
        <v>2000</v>
      </c>
      <c r="BZ21" s="3">
        <f>3743/2</f>
        <v>1871.5</v>
      </c>
      <c r="CA21" s="3">
        <f t="shared" si="5"/>
        <v>62992.14</v>
      </c>
      <c r="CB21" s="25">
        <f>Sheet1!CB10</f>
        <v>0</v>
      </c>
      <c r="CC21" s="3">
        <f t="shared" si="6"/>
        <v>0</v>
      </c>
      <c r="CD21" s="46">
        <v>0.12</v>
      </c>
      <c r="CE21" s="3">
        <f t="shared" si="7"/>
        <v>7559.0567999999994</v>
      </c>
      <c r="CF21" s="46">
        <v>0</v>
      </c>
      <c r="CG21" s="3">
        <f t="shared" si="8"/>
        <v>0</v>
      </c>
      <c r="CH21" s="3">
        <f t="shared" si="9"/>
        <v>70551.196800000005</v>
      </c>
      <c r="CI21" s="46">
        <v>0.02</v>
      </c>
      <c r="CJ21" s="1">
        <f t="shared" si="10"/>
        <v>1411.023936</v>
      </c>
      <c r="CK21" s="46">
        <v>0.01</v>
      </c>
      <c r="CL21" s="1">
        <f t="shared" si="11"/>
        <v>705.51196800000002</v>
      </c>
    </row>
    <row r="22" spans="1:90" ht="30" x14ac:dyDescent="0.25">
      <c r="A22" s="1" t="str">
        <f>Sheet1!A9</f>
        <v>ENQ-12173-22-23</v>
      </c>
      <c r="B22" s="49">
        <v>45321</v>
      </c>
      <c r="C22" s="1" t="str">
        <f>Sheet1!C9</f>
        <v>FC1900004</v>
      </c>
      <c r="D22" s="1" t="str">
        <f>Sheet1!D9</f>
        <v>AAAC : COYOTE CONDUCTOR (19/3.15)</v>
      </c>
      <c r="E22" s="3">
        <f t="shared" si="0"/>
        <v>107307.11062400001</v>
      </c>
      <c r="F22" s="60">
        <f t="shared" si="12"/>
        <v>810</v>
      </c>
      <c r="G22" s="9">
        <f t="shared" si="1"/>
        <v>108117.11062400001</v>
      </c>
      <c r="H22" s="7">
        <v>0.18</v>
      </c>
      <c r="I22" s="9">
        <f t="shared" si="2"/>
        <v>19461.079912320001</v>
      </c>
      <c r="J22" s="9">
        <f t="shared" si="3"/>
        <v>127578.19053632001</v>
      </c>
      <c r="K22" s="1">
        <f>Sheet1!CS9</f>
        <v>767.60799999999995</v>
      </c>
      <c r="L22" s="1" t="str">
        <f>Sheet1!CT9</f>
        <v>KMS</v>
      </c>
      <c r="M22" s="3">
        <f t="shared" si="4"/>
        <v>97930039.681203514</v>
      </c>
      <c r="N22" s="2">
        <f>+IFERROR(VLOOKUP($N$17,Sheet1!J9:L9,3,0),0)</f>
        <v>0</v>
      </c>
      <c r="O22" s="2">
        <f>+IFERROR(VLOOKUP($O$17,Sheet1!J9:L9,3,0),0)</f>
        <v>406.91</v>
      </c>
      <c r="P22" s="2">
        <f>+IFERROR(VLOOKUP($P$17,Sheet1!J9:M9,3,0),0)</f>
        <v>0</v>
      </c>
      <c r="Q22" s="2">
        <f>+IFERROR(VLOOKUP($Q$17,Sheet1!J9:M9,3,0),0)</f>
        <v>0</v>
      </c>
      <c r="R22" s="2">
        <f>+IFERROR(VLOOKUP($R$17,Sheet1!J9:M9,3,0),0)</f>
        <v>0</v>
      </c>
      <c r="S22" s="2">
        <f>+IFERROR(VLOOKUP($S$17,Sheet1!N9:Q9,3,0),0)</f>
        <v>0</v>
      </c>
      <c r="T22" s="2">
        <f>+IFERROR(VLOOKUP($T$17,Sheet1!N9:Q9,3,0),0)</f>
        <v>0</v>
      </c>
      <c r="U22" s="2">
        <f>+IFERROR(VLOOKUP($U$17,Sheet1!F9:I9,3,0),0)</f>
        <v>0</v>
      </c>
      <c r="V22" s="2">
        <f>+IFERROR(VLOOKUP($V$17,Sheet1!F9:I9,3,0),0)</f>
        <v>0</v>
      </c>
      <c r="W22" s="2">
        <f>+IFERROR(VLOOKUP($W$17,Sheet1!F9:I9,3,0),0)</f>
        <v>0</v>
      </c>
      <c r="X22" s="2">
        <f>+IFERROR(VLOOKUP($X$17,Sheet1!F9:I9,3,0),0)</f>
        <v>0</v>
      </c>
      <c r="Y22" s="2">
        <f>+IFERROR(VLOOKUP($Y$17,Sheet1!F9:I9,3,0),0)</f>
        <v>0</v>
      </c>
      <c r="Z22" s="2">
        <f>+IFERROR(VLOOKUP($Z$17,Sheet1!F9:I9,3,0),0)</f>
        <v>0</v>
      </c>
      <c r="AA22" s="2">
        <f>+IFERROR(VLOOKUP($AA$17,Sheet1!F9:I9,3,0),0)</f>
        <v>0</v>
      </c>
      <c r="AB22" s="2">
        <f>+IFERROR(VLOOKUP($AB$17,Sheet1!F9:I9,3,0),0)</f>
        <v>0</v>
      </c>
      <c r="AC22" s="2">
        <f>+IFERROR(VLOOKUP($AC$17,Sheet1!R9:U9,3,0),0)</f>
        <v>0</v>
      </c>
      <c r="AD22" s="13">
        <f>+IFERROR(VLOOKUP($AD$17,Sheet1!R9:U9,2,0),0)</f>
        <v>0</v>
      </c>
      <c r="AE22" s="2">
        <f>+IFERROR(VLOOKUP($AE$17,Sheet1!V9:Y9,3,0),0)</f>
        <v>0</v>
      </c>
      <c r="AF22" s="13">
        <f>+IFERROR(VLOOKUP($AF$17,Sheet1!V9:Y9,3,0),0)</f>
        <v>0</v>
      </c>
      <c r="AG22" s="13">
        <f>+IFERROR(VLOOKUP($AG$17,Sheet1!V9:Y9,3,0),0)</f>
        <v>0</v>
      </c>
      <c r="AH22" s="13">
        <f>+IFERROR(VLOOKUP($AH$17,Sheet1!V9:Y9,3,0),0)</f>
        <v>0</v>
      </c>
      <c r="AI22" s="13">
        <f>+IFERROR(VLOOKUP($AI$17,Sheet1!V9:Y9,3,0),0)</f>
        <v>0</v>
      </c>
      <c r="AJ22" s="13">
        <f>+IFERROR(VLOOKUP($AJ$17,Sheet1!V9:Y9,3,0),0)</f>
        <v>0</v>
      </c>
      <c r="AK22" s="13">
        <f>+IFERROR(VLOOKUP($AK$17,Sheet1!Z9:AB9,3,0),0)</f>
        <v>0</v>
      </c>
      <c r="AL22" s="13">
        <f>+IFERROR(VLOOKUP($AL$17,Sheet1!AD9:AG9,3,0),0)</f>
        <v>0</v>
      </c>
      <c r="AM22" s="13">
        <f>+IFERROR(VLOOKUP($AM$17,Sheet1!AD9:AG9,3,0),0)</f>
        <v>0</v>
      </c>
      <c r="AN22" s="13">
        <f>+IFERROR(VLOOKUP($AN$17,Sheet1!AD9:AG9,3,0),0)</f>
        <v>0</v>
      </c>
      <c r="AO22" s="13">
        <f>+IFERROR(VLOOKUP($AO$17,Sheet1!AD9:AG9,3,0),0)</f>
        <v>0</v>
      </c>
      <c r="AP22" s="13">
        <f>+IFERROR(VLOOKUP($AP$17,Sheet1!AD9:AG9,3,0),0)</f>
        <v>0</v>
      </c>
      <c r="AQ22" s="13">
        <f>+IFERROR(VLOOKUP($AQ$17,Sheet1!AD9:AG9,3,0),0)</f>
        <v>0</v>
      </c>
      <c r="AR22" s="13">
        <f>+IFERROR(VLOOKUP($AR$17,Sheet1!AD9:AG9,3,0),0)</f>
        <v>0</v>
      </c>
      <c r="AS22" s="13">
        <f>+IFERROR(VLOOKUP($AS$17,Sheet1!AH9:AK9,3,0),0)</f>
        <v>0</v>
      </c>
      <c r="AT22" s="13">
        <f>+IFERROR(VLOOKUP($AT$17,Sheet1!AH9:AK9,3,0),0)</f>
        <v>0</v>
      </c>
      <c r="AU22" s="13">
        <f>+IFERROR(VLOOKUP($AU$17,Sheet1!AH9:AK9,3,0),0)</f>
        <v>0</v>
      </c>
      <c r="AV22" s="13">
        <f>+IFERROR(VLOOKUP($AV$17,Sheet1!AH9:AK9,3,0),0)</f>
        <v>0</v>
      </c>
      <c r="AW22" s="13">
        <f>+IFERROR(VLOOKUP($AW$17,Sheet1!AH9:AK9,3,0),0)</f>
        <v>0</v>
      </c>
      <c r="AX22" s="13">
        <f>+IFERROR(VLOOKUP($AX$17,Sheet1!AH9:AK9,3,0),0)</f>
        <v>0</v>
      </c>
      <c r="AY22" s="13">
        <f>+IFERROR(VLOOKUP($AY$17,Sheet1!AH9:AK9,3,0),0)</f>
        <v>0</v>
      </c>
      <c r="AZ22" s="13">
        <f>+IFERROR(VLOOKUP($AZ$17,Sheet1!AH9:AK9,3,0),0)</f>
        <v>0</v>
      </c>
      <c r="BA22" s="13">
        <f>+IFERROR(VLOOKUP($BA$17,Sheet1!AH9:AK9,3,0),0)</f>
        <v>0</v>
      </c>
      <c r="BB22" s="13">
        <f>+IFERROR(VLOOKUP($BB$17,Sheet1!AH9:AK9,3,0),0)</f>
        <v>0</v>
      </c>
      <c r="BC22" s="13">
        <f>+IFERROR(VLOOKUP($BC$17,Sheet1!AL9:AO9,3,0),0)</f>
        <v>0</v>
      </c>
      <c r="BD22" s="13">
        <f>+IFERROR(VLOOKUP($BD$17,Sheet1!AL9:AO9,3,0),0)</f>
        <v>0</v>
      </c>
      <c r="BE22" s="13">
        <f>+IFERROR(VLOOKUP($BE$17,Sheet1!AL9:AO9,3,0),0)</f>
        <v>0</v>
      </c>
      <c r="BF22" s="13">
        <f>+IFERROR(VLOOKUP($BF$17,Sheet1!AL9:AO9,3,0),0)</f>
        <v>0</v>
      </c>
      <c r="BG22" s="13">
        <f>+IFERROR(VLOOKUP($BG$17,Sheet1!AL9:AO9,3,0),0)</f>
        <v>0</v>
      </c>
      <c r="BH22" s="13">
        <f>+IFERROR(VLOOKUP($BH$17,Sheet1!AL9:AO9,3,0),0)</f>
        <v>0</v>
      </c>
      <c r="BI22" s="13">
        <f>+IFERROR(VLOOKUP($BI$17,Sheet1!AL9:AO9,3,0),0)</f>
        <v>0</v>
      </c>
      <c r="BJ22" s="13">
        <f>+IFERROR(VLOOKUP($BJ$17,Sheet1!AL9:AO9,3,0),0)</f>
        <v>0</v>
      </c>
      <c r="BK22" s="13">
        <f>+IFERROR(VLOOKUP($BK$17,Sheet1!AL9:AO9,3,0),0)</f>
        <v>0</v>
      </c>
      <c r="BL22" s="13">
        <f>+IFERROR(VLOOKUP($BL$17,Sheet1!AL9:AO9,3,0),0)</f>
        <v>0</v>
      </c>
      <c r="BM22" s="13">
        <f>+IFERROR(VLOOKUP($BM$17,Sheet1!AP9:AS9,3,0),0)</f>
        <v>0</v>
      </c>
      <c r="BN22" s="13">
        <f>+IFERROR(VLOOKUP($BN$17,Sheet1!AT9:AW9,3,0),0)</f>
        <v>0</v>
      </c>
      <c r="BO22" s="13">
        <f>+IFERROR(VLOOKUP($BO$17,Sheet1!AX9:BA9,3,0),0)</f>
        <v>0</v>
      </c>
      <c r="BP22" s="13">
        <f>+IFERROR(VLOOKUP($BP$17,Sheet1!BB9:BE9,3,0),0)</f>
        <v>0</v>
      </c>
      <c r="BQ22" s="13">
        <f>+IFERROR(VLOOKUP($BQ$17,Sheet1!BF9:BI9,3,0),0)</f>
        <v>0</v>
      </c>
      <c r="BR22" s="13">
        <f>+IFERROR(VLOOKUP($BR$17,Sheet1!BJ9:BM9,3,0),0)</f>
        <v>0</v>
      </c>
      <c r="BS22" s="13">
        <f>+IFERROR(VLOOKUP($BS$17,Sheet1!BN9:BQ9,3,0),0)</f>
        <v>0</v>
      </c>
      <c r="BT22" s="13">
        <f>+IFERROR(VLOOKUP($BT$17,Sheet1!BR9:BU9,3,0),0)</f>
        <v>0</v>
      </c>
      <c r="BU22" s="13">
        <f>+IFERROR(VLOOKUP($BU$17,Sheet1!BV9:BY9,3,0),0)</f>
        <v>0</v>
      </c>
      <c r="BV22" s="76" t="str">
        <f>Sheet1!E9</f>
        <v>WOOD</v>
      </c>
      <c r="BW22" s="76" t="s">
        <v>205</v>
      </c>
      <c r="BX22" s="13" t="s">
        <v>208</v>
      </c>
      <c r="BY22" s="76">
        <f>Sheet1!CX9</f>
        <v>2000</v>
      </c>
      <c r="BZ22" s="3">
        <f>3743/2</f>
        <v>1871.5</v>
      </c>
      <c r="CA22" s="3">
        <f t="shared" si="5"/>
        <v>93019.340000000011</v>
      </c>
      <c r="CB22" s="25">
        <f>Sheet1!CB9</f>
        <v>0</v>
      </c>
      <c r="CC22" s="3">
        <f t="shared" si="6"/>
        <v>0</v>
      </c>
      <c r="CD22" s="46">
        <v>0.12</v>
      </c>
      <c r="CE22" s="3">
        <f t="shared" si="7"/>
        <v>11162.320800000001</v>
      </c>
      <c r="CF22" s="46">
        <v>0</v>
      </c>
      <c r="CG22" s="3">
        <f t="shared" si="8"/>
        <v>0</v>
      </c>
      <c r="CH22" s="3">
        <f t="shared" si="9"/>
        <v>104181.66080000001</v>
      </c>
      <c r="CI22" s="46">
        <v>0.02</v>
      </c>
      <c r="CJ22" s="1">
        <f t="shared" si="10"/>
        <v>2083.6332160000002</v>
      </c>
      <c r="CK22" s="46">
        <v>0.01</v>
      </c>
      <c r="CL22" s="1">
        <f t="shared" si="11"/>
        <v>1041.8166080000001</v>
      </c>
    </row>
    <row r="23" spans="1:90" ht="45" x14ac:dyDescent="0.25">
      <c r="A23" s="1" t="str">
        <f>Sheet1!A4</f>
        <v>ENQ-12173-22-23</v>
      </c>
      <c r="B23" s="49">
        <v>45321</v>
      </c>
      <c r="C23" s="1" t="str">
        <f>Sheet1!C4</f>
        <v>FC1900034</v>
      </c>
      <c r="D23" s="1" t="str">
        <f>Sheet1!D4</f>
        <v>AAAC : 394.5 MCM (CANTON) - 200 SQ. MM. CONDUCTOR (19/3.66)</v>
      </c>
      <c r="E23" s="3">
        <f t="shared" si="0"/>
        <v>145802.92719999998</v>
      </c>
      <c r="F23" s="60">
        <f t="shared" si="12"/>
        <v>2160</v>
      </c>
      <c r="G23" s="9">
        <f t="shared" si="1"/>
        <v>147962.92719999998</v>
      </c>
      <c r="H23" s="7">
        <v>0.18</v>
      </c>
      <c r="I23" s="9">
        <f t="shared" si="2"/>
        <v>26633.326895999995</v>
      </c>
      <c r="J23" s="9">
        <f t="shared" si="3"/>
        <v>174596.25409599996</v>
      </c>
      <c r="K23" s="1">
        <f>Sheet1!CS4</f>
        <v>25</v>
      </c>
      <c r="L23" s="1" t="str">
        <f>Sheet1!CT4</f>
        <v>KMS</v>
      </c>
      <c r="M23" s="3">
        <f t="shared" si="4"/>
        <v>4364906.3523999993</v>
      </c>
      <c r="N23" s="2">
        <f>+IFERROR(VLOOKUP($N$17,Sheet1!J4:L4,3,0),0)</f>
        <v>0</v>
      </c>
      <c r="O23" s="54">
        <v>550</v>
      </c>
      <c r="P23" s="2">
        <f>+IFERROR(VLOOKUP($P$17,Sheet1!J4:M4,3,0),0)</f>
        <v>0</v>
      </c>
      <c r="Q23" s="2">
        <f>+IFERROR(VLOOKUP($Q$17,Sheet1!J4:M4,3,0),0)</f>
        <v>0</v>
      </c>
      <c r="R23" s="2">
        <f>+IFERROR(VLOOKUP($R$17,Sheet1!J4:M4,3,0),0)</f>
        <v>0</v>
      </c>
      <c r="S23" s="2">
        <f>+IFERROR(VLOOKUP($S$17,Sheet1!N4:Q4,3,0),0)</f>
        <v>0</v>
      </c>
      <c r="T23" s="2">
        <f>+IFERROR(VLOOKUP($T$17,Sheet1!N4:Q4,3,0),0)</f>
        <v>0</v>
      </c>
      <c r="U23" s="2">
        <f>+IFERROR(VLOOKUP($U$17,Sheet1!F4:I4,3,0),0)</f>
        <v>0</v>
      </c>
      <c r="V23" s="2">
        <f>+IFERROR(VLOOKUP($V$17,Sheet1!F4:I4,3,0),0)</f>
        <v>0</v>
      </c>
      <c r="W23" s="2">
        <f>+IFERROR(VLOOKUP($W$17,Sheet1!F4:I4,3,0),0)</f>
        <v>0</v>
      </c>
      <c r="X23" s="2">
        <f>+IFERROR(VLOOKUP($X$17,Sheet1!F4:I4,3,0),0)</f>
        <v>0</v>
      </c>
      <c r="Y23" s="2">
        <f>+IFERROR(VLOOKUP($Y$17,Sheet1!F4:I4,3,0),0)</f>
        <v>0</v>
      </c>
      <c r="Z23" s="2">
        <f>+IFERROR(VLOOKUP($Z$17,Sheet1!F4:I4,3,0),0)</f>
        <v>0</v>
      </c>
      <c r="AA23" s="2">
        <f>+IFERROR(VLOOKUP($AA$17,Sheet1!F4:I4,3,0),0)</f>
        <v>0</v>
      </c>
      <c r="AB23" s="2">
        <f>+IFERROR(VLOOKUP($AB$17,Sheet1!F4:I4,3,0),0)</f>
        <v>0</v>
      </c>
      <c r="AC23" s="2">
        <f>+IFERROR(VLOOKUP($AC$17,Sheet1!R4:U4,3,0),0)</f>
        <v>0</v>
      </c>
      <c r="AD23" s="13">
        <f>+IFERROR(VLOOKUP($AD$17,Sheet1!R4:U4,2,0),0)</f>
        <v>0</v>
      </c>
      <c r="AE23" s="2">
        <f>+IFERROR(VLOOKUP($AE$17,Sheet1!V4:Y4,3,0),0)</f>
        <v>0</v>
      </c>
      <c r="AF23" s="13">
        <f>+IFERROR(VLOOKUP($AF$17,Sheet1!V4:Y4,3,0),0)</f>
        <v>0</v>
      </c>
      <c r="AG23" s="13">
        <f>+IFERROR(VLOOKUP($AG$17,Sheet1!V4:Y4,3,0),0)</f>
        <v>0</v>
      </c>
      <c r="AH23" s="13">
        <f>+IFERROR(VLOOKUP($AH$17,Sheet1!V4:Y4,3,0),0)</f>
        <v>0</v>
      </c>
      <c r="AI23" s="13">
        <f>+IFERROR(VLOOKUP($AI$17,Sheet1!V4:Y4,3,0),0)</f>
        <v>0</v>
      </c>
      <c r="AJ23" s="13">
        <f>+IFERROR(VLOOKUP($AJ$17,Sheet1!V4:Y4,3,0),0)</f>
        <v>0</v>
      </c>
      <c r="AK23" s="13">
        <f>+IFERROR(VLOOKUP($AK$17,Sheet1!Z4:AB4,3,0),0)</f>
        <v>0</v>
      </c>
      <c r="AL23" s="13">
        <f>+IFERROR(VLOOKUP($AL$17,Sheet1!AD4:AG4,3,0),0)</f>
        <v>0</v>
      </c>
      <c r="AM23" s="13">
        <f>+IFERROR(VLOOKUP($AM$17,Sheet1!AD4:AG4,3,0),0)</f>
        <v>0</v>
      </c>
      <c r="AN23" s="13">
        <f>+IFERROR(VLOOKUP($AN$17,Sheet1!AD4:AG4,3,0),0)</f>
        <v>0</v>
      </c>
      <c r="AO23" s="13">
        <f>+IFERROR(VLOOKUP($AO$17,Sheet1!AD4:AG4,3,0),0)</f>
        <v>0</v>
      </c>
      <c r="AP23" s="13">
        <f>+IFERROR(VLOOKUP($AP$17,Sheet1!AD4:AG4,3,0),0)</f>
        <v>0</v>
      </c>
      <c r="AQ23" s="13">
        <f>+IFERROR(VLOOKUP($AQ$17,Sheet1!AD4:AG4,3,0),0)</f>
        <v>0</v>
      </c>
      <c r="AR23" s="13">
        <f>+IFERROR(VLOOKUP($AR$17,Sheet1!AD4:AG4,3,0),0)</f>
        <v>0</v>
      </c>
      <c r="AS23" s="13">
        <f>+IFERROR(VLOOKUP($AS$17,Sheet1!AH4:AK4,3,0),0)</f>
        <v>0</v>
      </c>
      <c r="AT23" s="13">
        <f>+IFERROR(VLOOKUP($AT$17,Sheet1!AH4:AK4,3,0),0)</f>
        <v>0</v>
      </c>
      <c r="AU23" s="13">
        <f>+IFERROR(VLOOKUP($AU$17,Sheet1!AH4:AK4,3,0),0)</f>
        <v>0</v>
      </c>
      <c r="AV23" s="13">
        <f>+IFERROR(VLOOKUP($AV$17,Sheet1!AH4:AK4,3,0),0)</f>
        <v>0</v>
      </c>
      <c r="AW23" s="13">
        <f>+IFERROR(VLOOKUP($AW$17,Sheet1!AH4:AK4,3,0),0)</f>
        <v>0</v>
      </c>
      <c r="AX23" s="13">
        <f>+IFERROR(VLOOKUP($AX$17,Sheet1!AH4:AK4,3,0),0)</f>
        <v>0</v>
      </c>
      <c r="AY23" s="13">
        <f>+IFERROR(VLOOKUP($AY$17,Sheet1!AH4:AK4,3,0),0)</f>
        <v>0</v>
      </c>
      <c r="AZ23" s="13">
        <f>+IFERROR(VLOOKUP($AZ$17,Sheet1!AH4:AK4,3,0),0)</f>
        <v>0</v>
      </c>
      <c r="BA23" s="13">
        <f>+IFERROR(VLOOKUP($BA$17,Sheet1!AH4:AK4,3,0),0)</f>
        <v>0</v>
      </c>
      <c r="BB23" s="13">
        <f>+IFERROR(VLOOKUP($BB$17,Sheet1!AH4:AK4,3,0),0)</f>
        <v>0</v>
      </c>
      <c r="BC23" s="13">
        <f>+IFERROR(VLOOKUP($BC$17,Sheet1!AL4:AO4,3,0),0)</f>
        <v>0</v>
      </c>
      <c r="BD23" s="13">
        <f>+IFERROR(VLOOKUP($BD$17,Sheet1!AL4:AO4,3,0),0)</f>
        <v>0</v>
      </c>
      <c r="BE23" s="13">
        <f>+IFERROR(VLOOKUP($BE$17,Sheet1!AL4:AO4,3,0),0)</f>
        <v>0</v>
      </c>
      <c r="BF23" s="13">
        <f>+IFERROR(VLOOKUP($BF$17,Sheet1!AL4:AO4,3,0),0)</f>
        <v>0</v>
      </c>
      <c r="BG23" s="13">
        <f>+IFERROR(VLOOKUP($BG$17,Sheet1!AL4:AO4,3,0),0)</f>
        <v>0</v>
      </c>
      <c r="BH23" s="13">
        <f>+IFERROR(VLOOKUP($BH$17,Sheet1!AL4:AO4,3,0),0)</f>
        <v>0</v>
      </c>
      <c r="BI23" s="13">
        <f>+IFERROR(VLOOKUP($BI$17,Sheet1!AL4:AO4,3,0),0)</f>
        <v>0</v>
      </c>
      <c r="BJ23" s="13">
        <f>+IFERROR(VLOOKUP($BJ$17,Sheet1!AL4:AO4,3,0),0)</f>
        <v>0</v>
      </c>
      <c r="BK23" s="13">
        <f>+IFERROR(VLOOKUP($BK$17,Sheet1!AL4:AO4,3,0),0)</f>
        <v>0</v>
      </c>
      <c r="BL23" s="13">
        <f>+IFERROR(VLOOKUP($BL$17,Sheet1!AL4:AO4,3,0),0)</f>
        <v>0</v>
      </c>
      <c r="BM23" s="13">
        <f>+IFERROR(VLOOKUP($BM$17,Sheet1!AP4:AS4,3,0),0)</f>
        <v>0</v>
      </c>
      <c r="BN23" s="13">
        <f>+IFERROR(VLOOKUP($BN$17,Sheet1!AT4:AW4,3,0),0)</f>
        <v>0</v>
      </c>
      <c r="BO23" s="13">
        <f>+IFERROR(VLOOKUP($BO$17,Sheet1!AX4:BA4,3,0),0)</f>
        <v>0</v>
      </c>
      <c r="BP23" s="13">
        <f>+IFERROR(VLOOKUP($BP$17,Sheet1!BB4:BE4,3,0),0)</f>
        <v>0</v>
      </c>
      <c r="BQ23" s="13">
        <f>+IFERROR(VLOOKUP($BQ$17,Sheet1!BF4:BI4,3,0),0)</f>
        <v>0</v>
      </c>
      <c r="BR23" s="13">
        <f>+IFERROR(VLOOKUP($BR$17,Sheet1!BJ4:BM4,3,0),0)</f>
        <v>0</v>
      </c>
      <c r="BS23" s="13">
        <f>+IFERROR(VLOOKUP($BS$17,Sheet1!BN4:BQ4,3,0),0)</f>
        <v>0</v>
      </c>
      <c r="BT23" s="13">
        <f>+IFERROR(VLOOKUP($BT$17,Sheet1!BR4:BU4,3,0),0)</f>
        <v>0</v>
      </c>
      <c r="BU23" s="13">
        <f>+IFERROR(VLOOKUP($BU$17,Sheet1!BV4:BY4,3,0),0)</f>
        <v>0</v>
      </c>
      <c r="BV23" s="76" t="str">
        <f>Sheet1!E4</f>
        <v>WOOD</v>
      </c>
      <c r="BW23" s="76" t="s">
        <v>211</v>
      </c>
      <c r="BX23" s="13" t="s">
        <v>210</v>
      </c>
      <c r="BY23" s="76">
        <f>Sheet1!CX4</f>
        <v>2000</v>
      </c>
      <c r="BZ23" s="3">
        <f>6379/2</f>
        <v>3189.5</v>
      </c>
      <c r="CA23" s="3">
        <f t="shared" si="5"/>
        <v>126389.5</v>
      </c>
      <c r="CB23" s="25">
        <f>Sheet1!CB4</f>
        <v>0</v>
      </c>
      <c r="CC23" s="3">
        <f t="shared" si="6"/>
        <v>0</v>
      </c>
      <c r="CD23" s="46">
        <v>0.12</v>
      </c>
      <c r="CE23" s="3">
        <f t="shared" si="7"/>
        <v>15166.74</v>
      </c>
      <c r="CF23" s="46">
        <v>0</v>
      </c>
      <c r="CG23" s="3">
        <f t="shared" si="8"/>
        <v>0</v>
      </c>
      <c r="CH23" s="3">
        <f t="shared" si="9"/>
        <v>141556.24</v>
      </c>
      <c r="CI23" s="46">
        <v>0.02</v>
      </c>
      <c r="CJ23" s="1">
        <f t="shared" si="10"/>
        <v>2831.1248000000001</v>
      </c>
      <c r="CK23" s="46">
        <v>0.01</v>
      </c>
      <c r="CL23" s="1">
        <f t="shared" si="11"/>
        <v>1415.5624</v>
      </c>
    </row>
    <row r="24" spans="1:90" ht="30" x14ac:dyDescent="0.25">
      <c r="A24" s="1" t="str">
        <f>Sheet1!A7</f>
        <v>ENQ-12173-22-23</v>
      </c>
      <c r="B24" s="49">
        <v>45321</v>
      </c>
      <c r="C24" s="1" t="str">
        <f>Sheet1!C7</f>
        <v>FC3700001</v>
      </c>
      <c r="D24" s="1" t="str">
        <f>Sheet1!D7</f>
        <v>AAAC : PANTHER CONDUCTOR - 232 SQ. MM. (19/3.94)</v>
      </c>
      <c r="E24" s="3">
        <f t="shared" si="0"/>
        <v>168912.51148799999</v>
      </c>
      <c r="F24" s="60">
        <f t="shared" si="12"/>
        <v>1384</v>
      </c>
      <c r="G24" s="9">
        <f t="shared" si="1"/>
        <v>170296.51148799999</v>
      </c>
      <c r="H24" s="7">
        <v>0.18</v>
      </c>
      <c r="I24" s="9">
        <f t="shared" si="2"/>
        <v>30653.372067839999</v>
      </c>
      <c r="J24" s="9">
        <f t="shared" si="3"/>
        <v>200949.88355584</v>
      </c>
      <c r="K24" s="1">
        <f>Sheet1!CS7</f>
        <v>565.94000000000005</v>
      </c>
      <c r="L24" s="1" t="str">
        <f>Sheet1!CT7</f>
        <v>KMS</v>
      </c>
      <c r="M24" s="3">
        <f t="shared" si="4"/>
        <v>113725577.0995921</v>
      </c>
      <c r="N24" s="2">
        <f>+IFERROR(VLOOKUP($N$17,Sheet1!J7:L7,3,0),0)</f>
        <v>0</v>
      </c>
      <c r="O24" s="2">
        <f>+IFERROR(VLOOKUP($O$17,Sheet1!J7:L7,3,0),0)</f>
        <v>636.66999999999996</v>
      </c>
      <c r="P24" s="2">
        <f>+IFERROR(VLOOKUP($P$17,Sheet1!J7:M7,3,0),0)</f>
        <v>0</v>
      </c>
      <c r="Q24" s="2">
        <f>+IFERROR(VLOOKUP($Q$17,Sheet1!J7:M7,3,0),0)</f>
        <v>0</v>
      </c>
      <c r="R24" s="2">
        <f>+IFERROR(VLOOKUP($R$17,Sheet1!J7:M7,3,0),0)</f>
        <v>0</v>
      </c>
      <c r="S24" s="2">
        <f>+IFERROR(VLOOKUP($S$17,Sheet1!N7:Q7,3,0),0)</f>
        <v>0</v>
      </c>
      <c r="T24" s="2">
        <f>+IFERROR(VLOOKUP($T$17,Sheet1!N7:Q7,3,0),0)</f>
        <v>0</v>
      </c>
      <c r="U24" s="2">
        <f>+IFERROR(VLOOKUP($U$17,Sheet1!F7:I7,3,0),0)</f>
        <v>0</v>
      </c>
      <c r="V24" s="2">
        <f>+IFERROR(VLOOKUP($V$17,Sheet1!F7:I7,3,0),0)</f>
        <v>0</v>
      </c>
      <c r="W24" s="2">
        <f>+IFERROR(VLOOKUP($W$17,Sheet1!F7:I7,3,0),0)</f>
        <v>0</v>
      </c>
      <c r="X24" s="2">
        <f>+IFERROR(VLOOKUP($X$17,Sheet1!F7:I7,3,0),0)</f>
        <v>0</v>
      </c>
      <c r="Y24" s="2">
        <f>+IFERROR(VLOOKUP($Y$17,Sheet1!F7:I7,3,0),0)</f>
        <v>0</v>
      </c>
      <c r="Z24" s="2">
        <f>+IFERROR(VLOOKUP($Z$17,Sheet1!F7:I7,3,0),0)</f>
        <v>0</v>
      </c>
      <c r="AA24" s="2">
        <f>+IFERROR(VLOOKUP($AA$17,Sheet1!F7:I7,3,0),0)</f>
        <v>0</v>
      </c>
      <c r="AB24" s="2">
        <f>+IFERROR(VLOOKUP($AB$17,Sheet1!F7:I7,3,0),0)</f>
        <v>0</v>
      </c>
      <c r="AC24" s="2">
        <f>+IFERROR(VLOOKUP($AC$17,Sheet1!R7:U7,3,0),0)</f>
        <v>0</v>
      </c>
      <c r="AD24" s="13">
        <f>+IFERROR(VLOOKUP($AD$17,Sheet1!R7:U7,2,0),0)</f>
        <v>0</v>
      </c>
      <c r="AE24" s="2">
        <f>+IFERROR(VLOOKUP($AE$17,Sheet1!V7:Y7,3,0),0)</f>
        <v>0</v>
      </c>
      <c r="AF24" s="13">
        <f>+IFERROR(VLOOKUP($AF$17,Sheet1!V7:Y7,3,0),0)</f>
        <v>0</v>
      </c>
      <c r="AG24" s="13">
        <f>+IFERROR(VLOOKUP($AG$17,Sheet1!V7:Y7,3,0),0)</f>
        <v>0</v>
      </c>
      <c r="AH24" s="13">
        <f>+IFERROR(VLOOKUP($AH$17,Sheet1!V7:Y7,3,0),0)</f>
        <v>0</v>
      </c>
      <c r="AI24" s="13">
        <f>+IFERROR(VLOOKUP($AI$17,Sheet1!V7:Y7,3,0),0)</f>
        <v>0</v>
      </c>
      <c r="AJ24" s="13">
        <f>+IFERROR(VLOOKUP($AJ$17,Sheet1!V7:Y7,3,0),0)</f>
        <v>0</v>
      </c>
      <c r="AK24" s="13">
        <f>+IFERROR(VLOOKUP($AK$17,Sheet1!Z7:AB7,3,0),0)</f>
        <v>0</v>
      </c>
      <c r="AL24" s="13">
        <f>+IFERROR(VLOOKUP($AL$17,Sheet1!AD7:AG7,3,0),0)</f>
        <v>0</v>
      </c>
      <c r="AM24" s="13">
        <f>+IFERROR(VLOOKUP($AM$17,Sheet1!AD7:AG7,3,0),0)</f>
        <v>0</v>
      </c>
      <c r="AN24" s="13">
        <f>+IFERROR(VLOOKUP($AN$17,Sheet1!AD7:AG7,3,0),0)</f>
        <v>0</v>
      </c>
      <c r="AO24" s="13">
        <f>+IFERROR(VLOOKUP($AO$17,Sheet1!AD7:AG7,3,0),0)</f>
        <v>0</v>
      </c>
      <c r="AP24" s="13">
        <f>+IFERROR(VLOOKUP($AP$17,Sheet1!AD7:AG7,3,0),0)</f>
        <v>0</v>
      </c>
      <c r="AQ24" s="13">
        <f>+IFERROR(VLOOKUP($AQ$17,Sheet1!AD7:AG7,3,0),0)</f>
        <v>0</v>
      </c>
      <c r="AR24" s="13">
        <f>+IFERROR(VLOOKUP($AR$17,Sheet1!AD7:AG7,3,0),0)</f>
        <v>0</v>
      </c>
      <c r="AS24" s="13">
        <f>+IFERROR(VLOOKUP($AS$17,Sheet1!AH7:AK7,3,0),0)</f>
        <v>0</v>
      </c>
      <c r="AT24" s="13">
        <f>+IFERROR(VLOOKUP($AT$17,Sheet1!AH7:AK7,3,0),0)</f>
        <v>0</v>
      </c>
      <c r="AU24" s="13">
        <f>+IFERROR(VLOOKUP($AU$17,Sheet1!AH7:AK7,3,0),0)</f>
        <v>0</v>
      </c>
      <c r="AV24" s="13">
        <f>+IFERROR(VLOOKUP($AV$17,Sheet1!AH7:AK7,3,0),0)</f>
        <v>0</v>
      </c>
      <c r="AW24" s="13">
        <f>+IFERROR(VLOOKUP($AW$17,Sheet1!AH7:AK7,3,0),0)</f>
        <v>0</v>
      </c>
      <c r="AX24" s="13">
        <f>+IFERROR(VLOOKUP($AX$17,Sheet1!AH7:AK7,3,0),0)</f>
        <v>0</v>
      </c>
      <c r="AY24" s="13">
        <f>+IFERROR(VLOOKUP($AY$17,Sheet1!AH7:AK7,3,0),0)</f>
        <v>0</v>
      </c>
      <c r="AZ24" s="13">
        <f>+IFERROR(VLOOKUP($AZ$17,Sheet1!AH7:AK7,3,0),0)</f>
        <v>0</v>
      </c>
      <c r="BA24" s="13">
        <f>+IFERROR(VLOOKUP($BA$17,Sheet1!AH7:AK7,3,0),0)</f>
        <v>0</v>
      </c>
      <c r="BB24" s="13">
        <f>+IFERROR(VLOOKUP($BB$17,Sheet1!AH7:AK7,3,0),0)</f>
        <v>0</v>
      </c>
      <c r="BC24" s="13">
        <f>+IFERROR(VLOOKUP($BC$17,Sheet1!AL7:AO7,3,0),0)</f>
        <v>0</v>
      </c>
      <c r="BD24" s="13">
        <f>+IFERROR(VLOOKUP($BD$17,Sheet1!AL7:AO7,3,0),0)</f>
        <v>0</v>
      </c>
      <c r="BE24" s="13">
        <f>+IFERROR(VLOOKUP($BE$17,Sheet1!AL7:AO7,3,0),0)</f>
        <v>0</v>
      </c>
      <c r="BF24" s="13">
        <f>+IFERROR(VLOOKUP($BF$17,Sheet1!AL7:AO7,3,0),0)</f>
        <v>0</v>
      </c>
      <c r="BG24" s="13">
        <f>+IFERROR(VLOOKUP($BG$17,Sheet1!AL7:AO7,3,0),0)</f>
        <v>0</v>
      </c>
      <c r="BH24" s="13">
        <f>+IFERROR(VLOOKUP($BH$17,Sheet1!AL7:AO7,3,0),0)</f>
        <v>0</v>
      </c>
      <c r="BI24" s="13">
        <f>+IFERROR(VLOOKUP($BI$17,Sheet1!AL7:AO7,3,0),0)</f>
        <v>0</v>
      </c>
      <c r="BJ24" s="13">
        <f>+IFERROR(VLOOKUP($BJ$17,Sheet1!AL7:AO7,3,0),0)</f>
        <v>0</v>
      </c>
      <c r="BK24" s="13">
        <f>+IFERROR(VLOOKUP($BK$17,Sheet1!AL7:AO7,3,0),0)</f>
        <v>0</v>
      </c>
      <c r="BL24" s="13">
        <f>+IFERROR(VLOOKUP($BL$17,Sheet1!AL7:AO7,3,0),0)</f>
        <v>0</v>
      </c>
      <c r="BM24" s="13">
        <f>+IFERROR(VLOOKUP($BM$17,Sheet1!AP7:AS7,3,0),0)</f>
        <v>0</v>
      </c>
      <c r="BN24" s="13">
        <f>+IFERROR(VLOOKUP($BN$17,Sheet1!AT7:AW7,3,0),0)</f>
        <v>0</v>
      </c>
      <c r="BO24" s="13">
        <f>+IFERROR(VLOOKUP($BO$17,Sheet1!AX7:BA7,3,0),0)</f>
        <v>0</v>
      </c>
      <c r="BP24" s="13">
        <f>+IFERROR(VLOOKUP($BP$17,Sheet1!BB7:BE7,3,0),0)</f>
        <v>0</v>
      </c>
      <c r="BQ24" s="13">
        <f>+IFERROR(VLOOKUP($BQ$17,Sheet1!BF7:BI7,3,0),0)</f>
        <v>0</v>
      </c>
      <c r="BR24" s="13">
        <f>+IFERROR(VLOOKUP($BR$17,Sheet1!BJ7:BM7,3,0),0)</f>
        <v>0</v>
      </c>
      <c r="BS24" s="13">
        <f>+IFERROR(VLOOKUP($BS$17,Sheet1!BN7:BQ7,3,0),0)</f>
        <v>0</v>
      </c>
      <c r="BT24" s="13">
        <f>+IFERROR(VLOOKUP($BT$17,Sheet1!BR7:BU7,3,0),0)</f>
        <v>0</v>
      </c>
      <c r="BU24" s="13">
        <f>+IFERROR(VLOOKUP($BU$17,Sheet1!BV7:BY7,3,0),0)</f>
        <v>0</v>
      </c>
      <c r="BV24" s="76" t="str">
        <f>Sheet1!E7</f>
        <v>WOOD</v>
      </c>
      <c r="BW24" s="76" t="s">
        <v>207</v>
      </c>
      <c r="BX24" s="13" t="s">
        <v>206</v>
      </c>
      <c r="BY24" s="76">
        <f>Sheet1!CX7</f>
        <v>2000</v>
      </c>
      <c r="BZ24" s="3">
        <f>7616/2</f>
        <v>3808</v>
      </c>
      <c r="CA24" s="3">
        <f t="shared" si="5"/>
        <v>146422.07999999999</v>
      </c>
      <c r="CB24" s="25">
        <f>Sheet1!CB7</f>
        <v>0</v>
      </c>
      <c r="CC24" s="3">
        <f t="shared" si="6"/>
        <v>0</v>
      </c>
      <c r="CD24" s="46">
        <v>0.12</v>
      </c>
      <c r="CE24" s="3">
        <f t="shared" si="7"/>
        <v>17570.649599999997</v>
      </c>
      <c r="CF24" s="46">
        <v>0</v>
      </c>
      <c r="CG24" s="3">
        <f t="shared" si="8"/>
        <v>0</v>
      </c>
      <c r="CH24" s="3">
        <f t="shared" si="9"/>
        <v>163992.72959999999</v>
      </c>
      <c r="CI24" s="46">
        <v>0.02</v>
      </c>
      <c r="CJ24" s="1">
        <f t="shared" si="10"/>
        <v>3279.8545919999997</v>
      </c>
      <c r="CK24" s="46">
        <v>0.01</v>
      </c>
      <c r="CL24" s="1">
        <f t="shared" si="11"/>
        <v>1639.9272959999998</v>
      </c>
    </row>
    <row r="25" spans="1:90" ht="30" x14ac:dyDescent="0.25">
      <c r="A25" s="1" t="str">
        <f>Sheet1!A3</f>
        <v>ENQ-12173-22-23</v>
      </c>
      <c r="B25" s="49">
        <v>45321</v>
      </c>
      <c r="C25" s="1" t="str">
        <f>Sheet1!C3</f>
        <v>FC0700007</v>
      </c>
      <c r="D25" s="1" t="str">
        <f>Sheet1!D3</f>
        <v>ACSR : RABBIT CONDUCTOR - 50 SQ. MM. (6/1/3.35)</v>
      </c>
      <c r="E25" s="3">
        <f t="shared" si="0"/>
        <v>43139.448799999998</v>
      </c>
      <c r="F25" s="60">
        <f t="shared" si="12"/>
        <v>1080</v>
      </c>
      <c r="G25" s="9">
        <f t="shared" si="1"/>
        <v>44219.448799999998</v>
      </c>
      <c r="H25" s="7">
        <v>0.18</v>
      </c>
      <c r="I25" s="9">
        <f t="shared" si="2"/>
        <v>7959.5007839999998</v>
      </c>
      <c r="J25" s="9">
        <f t="shared" si="3"/>
        <v>52178.949584000002</v>
      </c>
      <c r="K25" s="1">
        <f>Sheet1!CS3</f>
        <v>25</v>
      </c>
      <c r="L25" s="1" t="str">
        <f>Sheet1!CT3</f>
        <v>KMS</v>
      </c>
      <c r="M25" s="3">
        <f t="shared" si="4"/>
        <v>1304473.7396</v>
      </c>
      <c r="N25" s="2">
        <f>+IFERROR(VLOOKUP($N$17,Sheet1!J3:L3,3,0),0)</f>
        <v>145</v>
      </c>
      <c r="O25" s="2">
        <f>+IFERROR(VLOOKUP($O$17,Sheet1!J3:L3,3,0),0)</f>
        <v>0</v>
      </c>
      <c r="P25" s="2">
        <f>+IFERROR(VLOOKUP($P$17,Sheet1!J3:M3,3,0),0)</f>
        <v>0</v>
      </c>
      <c r="Q25" s="2">
        <f>+IFERROR(VLOOKUP($Q$17,Sheet1!J3:M3,3,0),0)</f>
        <v>0</v>
      </c>
      <c r="R25" s="2">
        <f>+IFERROR(VLOOKUP($R$17,Sheet1!J3:M3,3,0),0)</f>
        <v>0</v>
      </c>
      <c r="S25" s="2">
        <f>+IFERROR(VLOOKUP($S$17,Sheet1!N3:Q3,3,0),0)</f>
        <v>0</v>
      </c>
      <c r="T25" s="2">
        <f>+IFERROR(VLOOKUP($T$17,Sheet1!N3:Q3,3,0),0)</f>
        <v>0</v>
      </c>
      <c r="U25" s="2">
        <f>+IFERROR(VLOOKUP($U$17,Sheet1!F3:I3,3,0),0)</f>
        <v>0</v>
      </c>
      <c r="V25" s="2">
        <f>+IFERROR(VLOOKUP($V$17,Sheet1!F3:I3,3,0),0)</f>
        <v>0</v>
      </c>
      <c r="W25" s="2">
        <f>+IFERROR(VLOOKUP($W$17,Sheet1!F3:I3,3,0),0)</f>
        <v>0</v>
      </c>
      <c r="X25" s="2">
        <f>+IFERROR(VLOOKUP($X$17,Sheet1!F3:I3,3,0),0)</f>
        <v>0</v>
      </c>
      <c r="Y25" s="2">
        <f>+IFERROR(VLOOKUP($Y$17,Sheet1!F3:I3,3,0),0)</f>
        <v>0</v>
      </c>
      <c r="Z25" s="2">
        <f>+IFERROR(VLOOKUP($Z$17,Sheet1!F3:I3,3,0),0)</f>
        <v>0</v>
      </c>
      <c r="AA25" s="2">
        <f>+IFERROR(VLOOKUP($AA$17,Sheet1!F3:I3,3,0),0)</f>
        <v>0</v>
      </c>
      <c r="AB25" s="2">
        <f>+IFERROR(VLOOKUP($AB$17,Sheet1!F3:I3,3,0),0)</f>
        <v>0</v>
      </c>
      <c r="AC25" s="2">
        <f>+IFERROR(VLOOKUP($AC$17,Sheet1!R3:U3,3,0),0)</f>
        <v>0</v>
      </c>
      <c r="AD25" s="13">
        <f>+IFERROR(VLOOKUP($AD$17,Sheet1!R3:U3,2,0),0)</f>
        <v>0</v>
      </c>
      <c r="AE25" s="2">
        <f>+IFERROR(VLOOKUP($AE$17,Sheet1!V3:Y3,3,0),0)</f>
        <v>0</v>
      </c>
      <c r="AF25" s="13">
        <f>+IFERROR(VLOOKUP($AF$17,Sheet1!V3:Y3,3,0),0)</f>
        <v>0</v>
      </c>
      <c r="AG25" s="13">
        <f>+IFERROR(VLOOKUP($AG$17,Sheet1!V3:Y3,3,0),0)</f>
        <v>0</v>
      </c>
      <c r="AH25" s="13">
        <f>+IFERROR(VLOOKUP($AH$17,Sheet1!V3:Y3,3,0),0)</f>
        <v>0</v>
      </c>
      <c r="AI25" s="13">
        <f>+IFERROR(VLOOKUP($AI$17,Sheet1!V3:Y3,3,0),0)</f>
        <v>0</v>
      </c>
      <c r="AJ25" s="13">
        <f>+IFERROR(VLOOKUP($AJ$17,Sheet1!V3:Y3,3,0),0)</f>
        <v>0</v>
      </c>
      <c r="AK25" s="13">
        <f>+IFERROR(VLOOKUP($AK$17,Sheet1!Z3:AB3,3,0),0)</f>
        <v>0</v>
      </c>
      <c r="AL25" s="13">
        <f>+IFERROR(VLOOKUP($AL$17,Sheet1!AD3:AG3,3,0),0)</f>
        <v>0</v>
      </c>
      <c r="AM25" s="13">
        <f>+IFERROR(VLOOKUP($AM$17,Sheet1!AD3:AG3,3,0),0)</f>
        <v>0</v>
      </c>
      <c r="AN25" s="13">
        <f>+IFERROR(VLOOKUP($AN$17,Sheet1!AD3:AG3,3,0),0)</f>
        <v>0</v>
      </c>
      <c r="AO25" s="13">
        <f>+IFERROR(VLOOKUP($AO$17,Sheet1!AD3:AG3,3,0),0)</f>
        <v>0</v>
      </c>
      <c r="AP25" s="13">
        <f>+IFERROR(VLOOKUP($AP$17,Sheet1!AD3:AG3,3,0),0)</f>
        <v>0</v>
      </c>
      <c r="AQ25" s="13">
        <f>+IFERROR(VLOOKUP($AQ$17,Sheet1!AD3:AG3,3,0),0)</f>
        <v>0</v>
      </c>
      <c r="AR25" s="13">
        <f>+IFERROR(VLOOKUP($AR$17,Sheet1!AD3:AG3,3,0),0)</f>
        <v>0</v>
      </c>
      <c r="AS25" s="13">
        <f>+IFERROR(VLOOKUP($AS$17,Sheet1!AH3:AK3,3,0),0)</f>
        <v>69</v>
      </c>
      <c r="AT25" s="13">
        <f>+IFERROR(VLOOKUP($AT$17,Sheet1!AH3:AK3,3,0),0)</f>
        <v>0</v>
      </c>
      <c r="AU25" s="13">
        <f>+IFERROR(VLOOKUP($AU$17,Sheet1!AH3:AK3,3,0),0)</f>
        <v>0</v>
      </c>
      <c r="AV25" s="13">
        <f>+IFERROR(VLOOKUP($AV$17,Sheet1!AH3:AK3,3,0),0)</f>
        <v>0</v>
      </c>
      <c r="AW25" s="13">
        <f>+IFERROR(VLOOKUP($AW$17,Sheet1!AH3:AK3,3,0),0)</f>
        <v>0</v>
      </c>
      <c r="AX25" s="13">
        <f>+IFERROR(VLOOKUP($AX$17,Sheet1!AH3:AK3,3,0),0)</f>
        <v>0</v>
      </c>
      <c r="AY25" s="13">
        <f>+IFERROR(VLOOKUP($AY$17,Sheet1!AH3:AK3,3,0),0)</f>
        <v>0</v>
      </c>
      <c r="AZ25" s="13">
        <f>+IFERROR(VLOOKUP($AZ$17,Sheet1!AH3:AK3,3,0),0)</f>
        <v>0</v>
      </c>
      <c r="BA25" s="13">
        <f>+IFERROR(VLOOKUP($BA$17,Sheet1!AH3:AK3,3,0),0)</f>
        <v>0</v>
      </c>
      <c r="BB25" s="13">
        <f>+IFERROR(VLOOKUP($BB$17,Sheet1!AH3:AK3,3,0),0)</f>
        <v>0</v>
      </c>
      <c r="BC25" s="13">
        <f>+IFERROR(VLOOKUP($BC$17,Sheet1!AL3:AO3,3,0),0)</f>
        <v>0</v>
      </c>
      <c r="BD25" s="13">
        <f>+IFERROR(VLOOKUP($BD$17,Sheet1!AL3:AO3,3,0),0)</f>
        <v>0</v>
      </c>
      <c r="BE25" s="13">
        <f>+IFERROR(VLOOKUP($BE$17,Sheet1!AL3:AO3,3,0),0)</f>
        <v>0</v>
      </c>
      <c r="BF25" s="13">
        <f>+IFERROR(VLOOKUP($BF$17,Sheet1!AL3:AO3,3,0),0)</f>
        <v>0</v>
      </c>
      <c r="BG25" s="13">
        <f>+IFERROR(VLOOKUP($BG$17,Sheet1!AL3:AO3,3,0),0)</f>
        <v>0</v>
      </c>
      <c r="BH25" s="13">
        <f>+IFERROR(VLOOKUP($BH$17,Sheet1!AL3:AO3,3,0),0)</f>
        <v>0</v>
      </c>
      <c r="BI25" s="13">
        <f>+IFERROR(VLOOKUP($BI$17,Sheet1!AL3:AO3,3,0),0)</f>
        <v>0</v>
      </c>
      <c r="BJ25" s="13">
        <f>+IFERROR(VLOOKUP($BJ$17,Sheet1!AL3:AO3,3,0),0)</f>
        <v>0</v>
      </c>
      <c r="BK25" s="13">
        <f>+IFERROR(VLOOKUP($BK$17,Sheet1!AL3:AO3,3,0),0)</f>
        <v>0</v>
      </c>
      <c r="BL25" s="13">
        <f>+IFERROR(VLOOKUP($BL$17,Sheet1!AL3:AO3,3,0),0)</f>
        <v>0</v>
      </c>
      <c r="BM25" s="13">
        <f>+IFERROR(VLOOKUP($BM$17,Sheet1!AP3:AS3,3,0),0)</f>
        <v>0</v>
      </c>
      <c r="BN25" s="13">
        <f>+IFERROR(VLOOKUP($BN$17,Sheet1!AT3:AW3,3,0),0)</f>
        <v>0</v>
      </c>
      <c r="BO25" s="13">
        <f>+IFERROR(VLOOKUP($BO$17,Sheet1!AX3:BA3,3,0),0)</f>
        <v>0</v>
      </c>
      <c r="BP25" s="13">
        <f>+IFERROR(VLOOKUP($BP$17,Sheet1!BB3:BE3,3,0),0)</f>
        <v>0</v>
      </c>
      <c r="BQ25" s="13">
        <f>+IFERROR(VLOOKUP($BQ$17,Sheet1!BF3:BI3,3,0),0)</f>
        <v>0</v>
      </c>
      <c r="BR25" s="13">
        <f>+IFERROR(VLOOKUP($BR$17,Sheet1!BJ3:BM3,3,0),0)</f>
        <v>0</v>
      </c>
      <c r="BS25" s="13">
        <f>+IFERROR(VLOOKUP($BS$17,Sheet1!BN3:BQ3,3,0),0)</f>
        <v>0</v>
      </c>
      <c r="BT25" s="13">
        <f>+IFERROR(VLOOKUP($BT$17,Sheet1!BR3:BU3,3,0),0)</f>
        <v>0</v>
      </c>
      <c r="BU25" s="13">
        <f>+IFERROR(VLOOKUP($BU$17,Sheet1!BV3:BY3,3,0),0)</f>
        <v>0</v>
      </c>
      <c r="BV25" s="76" t="str">
        <f>Sheet1!E3</f>
        <v>WOOD</v>
      </c>
      <c r="BW25" s="76" t="s">
        <v>213</v>
      </c>
      <c r="BX25" s="13" t="s">
        <v>212</v>
      </c>
      <c r="BY25" s="76">
        <f>Sheet1!CX3</f>
        <v>6000</v>
      </c>
      <c r="BZ25" s="3">
        <f>6189/6</f>
        <v>1031.5</v>
      </c>
      <c r="CA25" s="3">
        <f t="shared" si="5"/>
        <v>37395.5</v>
      </c>
      <c r="CB25" s="25">
        <f>Sheet1!CB3</f>
        <v>0</v>
      </c>
      <c r="CC25" s="3">
        <f t="shared" si="6"/>
        <v>0</v>
      </c>
      <c r="CD25" s="46">
        <v>0.12</v>
      </c>
      <c r="CE25" s="3">
        <f t="shared" si="7"/>
        <v>4487.46</v>
      </c>
      <c r="CF25" s="46">
        <v>0</v>
      </c>
      <c r="CG25" s="3">
        <f t="shared" si="8"/>
        <v>0</v>
      </c>
      <c r="CH25" s="3">
        <f t="shared" si="9"/>
        <v>41882.959999999999</v>
      </c>
      <c r="CI25" s="46">
        <v>0.02</v>
      </c>
      <c r="CJ25" s="1">
        <f t="shared" si="10"/>
        <v>837.65920000000006</v>
      </c>
      <c r="CK25" s="46">
        <v>0.01</v>
      </c>
      <c r="CL25" s="1">
        <f t="shared" si="11"/>
        <v>418.82960000000003</v>
      </c>
    </row>
    <row r="26" spans="1:90" ht="30" x14ac:dyDescent="0.25">
      <c r="A26" s="1" t="str">
        <f>Sheet1!A5</f>
        <v>ENQ-12173-22-23</v>
      </c>
      <c r="B26" s="49">
        <v>45321</v>
      </c>
      <c r="C26" s="1" t="str">
        <f>Sheet1!C5</f>
        <v>FC0700009</v>
      </c>
      <c r="D26" s="1" t="str">
        <f>Sheet1!D5</f>
        <v>ACSR : RACCOON CONDUCTOR - 80 SQ. MM. (6/1/4.09)</v>
      </c>
      <c r="E26" s="3">
        <f t="shared" si="0"/>
        <v>65043.717199999999</v>
      </c>
      <c r="F26" s="60">
        <f t="shared" si="12"/>
        <v>656</v>
      </c>
      <c r="G26" s="9">
        <f t="shared" si="1"/>
        <v>65699.717199999999</v>
      </c>
      <c r="H26" s="7">
        <v>0.18</v>
      </c>
      <c r="I26" s="9">
        <f t="shared" si="2"/>
        <v>11825.949096</v>
      </c>
      <c r="J26" s="9">
        <f t="shared" si="3"/>
        <v>77525.666295999996</v>
      </c>
      <c r="K26" s="1">
        <f>Sheet1!CS5</f>
        <v>41.176000000000002</v>
      </c>
      <c r="L26" s="1" t="str">
        <f>Sheet1!CT5</f>
        <v>KMS</v>
      </c>
      <c r="M26" s="3">
        <f t="shared" si="4"/>
        <v>3192196.8354040962</v>
      </c>
      <c r="N26" s="54">
        <v>219</v>
      </c>
      <c r="O26" s="2">
        <f>+IFERROR(VLOOKUP($O$17,Sheet1!J5:L5,3,0),0)</f>
        <v>0</v>
      </c>
      <c r="P26" s="2">
        <f>+IFERROR(VLOOKUP($P$17,Sheet1!J5:M5,3,0),0)</f>
        <v>0</v>
      </c>
      <c r="Q26" s="2">
        <f>+IFERROR(VLOOKUP($Q$17,Sheet1!J5:M5,3,0),0)</f>
        <v>0</v>
      </c>
      <c r="R26" s="2">
        <f>+IFERROR(VLOOKUP($R$17,Sheet1!J5:M5,3,0),0)</f>
        <v>0</v>
      </c>
      <c r="S26" s="2">
        <f>+IFERROR(VLOOKUP($S$17,Sheet1!N5:Q5,3,0),0)</f>
        <v>0</v>
      </c>
      <c r="T26" s="2">
        <f>+IFERROR(VLOOKUP($T$17,Sheet1!N5:Q5,3,0),0)</f>
        <v>0</v>
      </c>
      <c r="U26" s="2">
        <f>+IFERROR(VLOOKUP($U$17,Sheet1!F5:I5,3,0),0)</f>
        <v>0</v>
      </c>
      <c r="V26" s="2">
        <f>+IFERROR(VLOOKUP($V$17,Sheet1!F5:I5,3,0),0)</f>
        <v>0</v>
      </c>
      <c r="W26" s="2">
        <f>+IFERROR(VLOOKUP($W$17,Sheet1!F5:I5,3,0),0)</f>
        <v>0</v>
      </c>
      <c r="X26" s="2">
        <f>+IFERROR(VLOOKUP($X$17,Sheet1!F5:I5,3,0),0)</f>
        <v>0</v>
      </c>
      <c r="Y26" s="2">
        <f>+IFERROR(VLOOKUP($Y$17,Sheet1!F5:I5,3,0),0)</f>
        <v>0</v>
      </c>
      <c r="Z26" s="2">
        <f>+IFERROR(VLOOKUP($Z$17,Sheet1!F5:I5,3,0),0)</f>
        <v>0</v>
      </c>
      <c r="AA26" s="2">
        <f>+IFERROR(VLOOKUP($AA$17,Sheet1!F5:I5,3,0),0)</f>
        <v>0</v>
      </c>
      <c r="AB26" s="2">
        <f>+IFERROR(VLOOKUP($AB$17,Sheet1!F5:I5,3,0),0)</f>
        <v>0</v>
      </c>
      <c r="AC26" s="2">
        <f>+IFERROR(VLOOKUP($AC$17,Sheet1!R5:U5,3,0),0)</f>
        <v>0</v>
      </c>
      <c r="AD26" s="13">
        <f>+IFERROR(VLOOKUP($AD$17,Sheet1!R5:U5,2,0),0)</f>
        <v>0</v>
      </c>
      <c r="AE26" s="2">
        <f>+IFERROR(VLOOKUP($AE$17,Sheet1!V5:Y5,3,0),0)</f>
        <v>0</v>
      </c>
      <c r="AF26" s="13">
        <f>+IFERROR(VLOOKUP($AF$17,Sheet1!V5:Y5,3,0),0)</f>
        <v>0</v>
      </c>
      <c r="AG26" s="13">
        <f>+IFERROR(VLOOKUP($AG$17,Sheet1!V5:Y5,3,0),0)</f>
        <v>0</v>
      </c>
      <c r="AH26" s="13">
        <f>+IFERROR(VLOOKUP($AH$17,Sheet1!V5:Y5,3,0),0)</f>
        <v>0</v>
      </c>
      <c r="AI26" s="13">
        <f>+IFERROR(VLOOKUP($AI$17,Sheet1!V5:Y5,3,0),0)</f>
        <v>0</v>
      </c>
      <c r="AJ26" s="13">
        <f>+IFERROR(VLOOKUP($AJ$17,Sheet1!V5:Y5,3,0),0)</f>
        <v>0</v>
      </c>
      <c r="AK26" s="13">
        <f>+IFERROR(VLOOKUP($AK$17,Sheet1!Z5:AB5,3,0),0)</f>
        <v>0</v>
      </c>
      <c r="AL26" s="13">
        <f>+IFERROR(VLOOKUP($AL$17,Sheet1!AD5:AG5,3,0),0)</f>
        <v>0</v>
      </c>
      <c r="AM26" s="13">
        <f>+IFERROR(VLOOKUP($AM$17,Sheet1!AD5:AG5,3,0),0)</f>
        <v>0</v>
      </c>
      <c r="AN26" s="13">
        <f>+IFERROR(VLOOKUP($AN$17,Sheet1!AD5:AG5,3,0),0)</f>
        <v>0</v>
      </c>
      <c r="AO26" s="13">
        <f>+IFERROR(VLOOKUP($AO$17,Sheet1!AD5:AG5,3,0),0)</f>
        <v>0</v>
      </c>
      <c r="AP26" s="13">
        <f>+IFERROR(VLOOKUP($AP$17,Sheet1!AD5:AG5,3,0),0)</f>
        <v>0</v>
      </c>
      <c r="AQ26" s="13">
        <f>+IFERROR(VLOOKUP($AQ$17,Sheet1!AD5:AG5,3,0),0)</f>
        <v>0</v>
      </c>
      <c r="AR26" s="13">
        <f>+IFERROR(VLOOKUP($AR$17,Sheet1!AD5:AG5,3,0),0)</f>
        <v>0</v>
      </c>
      <c r="AS26" s="76">
        <f>+IFERROR(VLOOKUP($AS$17,Sheet1!AH5:AK5,3,0),0)</f>
        <v>103</v>
      </c>
      <c r="AT26" s="13">
        <f>+IFERROR(VLOOKUP($AT$17,Sheet1!AH5:AK5,3,0),0)</f>
        <v>0</v>
      </c>
      <c r="AU26" s="13">
        <f>+IFERROR(VLOOKUP($AU$17,Sheet1!AH5:AK5,3,0),0)</f>
        <v>0</v>
      </c>
      <c r="AV26" s="13">
        <f>+IFERROR(VLOOKUP($AV$17,Sheet1!AH5:AK5,3,0),0)</f>
        <v>0</v>
      </c>
      <c r="AW26" s="13">
        <f>+IFERROR(VLOOKUP($AW$17,Sheet1!AH5:AK5,3,0),0)</f>
        <v>0</v>
      </c>
      <c r="AX26" s="13">
        <f>+IFERROR(VLOOKUP($AX$17,Sheet1!AH5:AK5,3,0),0)</f>
        <v>0</v>
      </c>
      <c r="AY26" s="13">
        <f>+IFERROR(VLOOKUP($AY$17,Sheet1!AH5:AK5,3,0),0)</f>
        <v>0</v>
      </c>
      <c r="AZ26" s="13">
        <f>+IFERROR(VLOOKUP($AZ$17,Sheet1!AH5:AK5,3,0),0)</f>
        <v>0</v>
      </c>
      <c r="BA26" s="13">
        <f>+IFERROR(VLOOKUP($BA$17,Sheet1!AH5:AK5,3,0),0)</f>
        <v>0</v>
      </c>
      <c r="BB26" s="13">
        <f>+IFERROR(VLOOKUP($BB$17,Sheet1!AH5:AK5,3,0),0)</f>
        <v>0</v>
      </c>
      <c r="BC26" s="13">
        <f>+IFERROR(VLOOKUP($BC$17,Sheet1!AL5:AO5,3,0),0)</f>
        <v>0</v>
      </c>
      <c r="BD26" s="13">
        <f>+IFERROR(VLOOKUP($BD$17,Sheet1!AL5:AO5,3,0),0)</f>
        <v>0</v>
      </c>
      <c r="BE26" s="13">
        <f>+IFERROR(VLOOKUP($BE$17,Sheet1!AL5:AO5,3,0),0)</f>
        <v>0</v>
      </c>
      <c r="BF26" s="13">
        <f>+IFERROR(VLOOKUP($BF$17,Sheet1!AL5:AO5,3,0),0)</f>
        <v>0</v>
      </c>
      <c r="BG26" s="13">
        <f>+IFERROR(VLOOKUP($BG$17,Sheet1!AL5:AO5,3,0),0)</f>
        <v>0</v>
      </c>
      <c r="BH26" s="13">
        <f>+IFERROR(VLOOKUP($BH$17,Sheet1!AL5:AO5,3,0),0)</f>
        <v>0</v>
      </c>
      <c r="BI26" s="13">
        <f>+IFERROR(VLOOKUP($BI$17,Sheet1!AL5:AO5,3,0),0)</f>
        <v>0</v>
      </c>
      <c r="BJ26" s="13">
        <f>+IFERROR(VLOOKUP($BJ$17,Sheet1!AL5:AO5,3,0),0)</f>
        <v>0</v>
      </c>
      <c r="BK26" s="13">
        <f>+IFERROR(VLOOKUP($BK$17,Sheet1!AL5:AO5,3,0),0)</f>
        <v>0</v>
      </c>
      <c r="BL26" s="13">
        <f>+IFERROR(VLOOKUP($BL$17,Sheet1!AL5:AO5,3,0),0)</f>
        <v>0</v>
      </c>
      <c r="BM26" s="13">
        <f>+IFERROR(VLOOKUP($BM$17,Sheet1!AP5:AS5,3,0),0)</f>
        <v>0</v>
      </c>
      <c r="BN26" s="13">
        <f>+IFERROR(VLOOKUP($BN$17,Sheet1!AT5:AW5,3,0),0)</f>
        <v>0</v>
      </c>
      <c r="BO26" s="13">
        <f>+IFERROR(VLOOKUP($BO$17,Sheet1!AX5:BA5,3,0),0)</f>
        <v>0</v>
      </c>
      <c r="BP26" s="13">
        <f>+IFERROR(VLOOKUP($BP$17,Sheet1!BB5:BE5,3,0),0)</f>
        <v>0</v>
      </c>
      <c r="BQ26" s="13">
        <f>+IFERROR(VLOOKUP($BQ$17,Sheet1!BF5:BI5,3,0),0)</f>
        <v>0</v>
      </c>
      <c r="BR26" s="13">
        <f>+IFERROR(VLOOKUP($BR$17,Sheet1!BJ5:BM5,3,0),0)</f>
        <v>0</v>
      </c>
      <c r="BS26" s="13">
        <f>+IFERROR(VLOOKUP($BS$17,Sheet1!BN5:BQ5,3,0),0)</f>
        <v>0</v>
      </c>
      <c r="BT26" s="13">
        <f>+IFERROR(VLOOKUP($BT$17,Sheet1!BR5:BU5,3,0),0)</f>
        <v>0</v>
      </c>
      <c r="BU26" s="13">
        <f>+IFERROR(VLOOKUP($BU$17,Sheet1!BV5:BY5,3,0),0)</f>
        <v>0</v>
      </c>
      <c r="BV26" s="76" t="str">
        <f>Sheet1!E5</f>
        <v>WOOD</v>
      </c>
      <c r="BW26" s="76" t="s">
        <v>213</v>
      </c>
      <c r="BX26" s="13" t="s">
        <v>212</v>
      </c>
      <c r="BY26" s="76">
        <f>Sheet1!CX5</f>
        <v>4000</v>
      </c>
      <c r="BZ26" s="3">
        <f>6189/4</f>
        <v>1547.25</v>
      </c>
      <c r="CA26" s="3">
        <f t="shared" si="5"/>
        <v>56383.25</v>
      </c>
      <c r="CB26" s="25">
        <f>Sheet1!CB5</f>
        <v>0</v>
      </c>
      <c r="CC26" s="3">
        <f t="shared" si="6"/>
        <v>0</v>
      </c>
      <c r="CD26" s="46">
        <v>0.12</v>
      </c>
      <c r="CE26" s="3">
        <f t="shared" si="7"/>
        <v>6765.99</v>
      </c>
      <c r="CF26" s="46">
        <v>0</v>
      </c>
      <c r="CG26" s="3">
        <f t="shared" si="8"/>
        <v>0</v>
      </c>
      <c r="CH26" s="3">
        <f t="shared" si="9"/>
        <v>63149.24</v>
      </c>
      <c r="CI26" s="46">
        <v>0.02</v>
      </c>
      <c r="CJ26" s="1">
        <f t="shared" si="10"/>
        <v>1262.9848</v>
      </c>
      <c r="CK26" s="46">
        <v>0.01</v>
      </c>
      <c r="CL26" s="1">
        <f t="shared" si="11"/>
        <v>631.49239999999998</v>
      </c>
    </row>
    <row r="27" spans="1:90" ht="30" x14ac:dyDescent="0.25">
      <c r="A27" s="1" t="str">
        <f>Sheet1!A2</f>
        <v>ENQ-12173-22-23</v>
      </c>
      <c r="B27" s="49">
        <v>45321</v>
      </c>
      <c r="C27" s="1" t="str">
        <f>Sheet1!C2</f>
        <v>FC6100001</v>
      </c>
      <c r="D27" s="1" t="str">
        <f>Sheet1!D2</f>
        <v>ACSR : ZEBRA CONDUCTOR - 420 SQ. MM. (54/7/3.18)</v>
      </c>
      <c r="E27" s="3">
        <f t="shared" si="0"/>
        <v>342576.51679999998</v>
      </c>
      <c r="F27" s="60">
        <f t="shared" si="12"/>
        <v>5400</v>
      </c>
      <c r="G27" s="9">
        <f t="shared" si="1"/>
        <v>347976.51679999998</v>
      </c>
      <c r="H27" s="7">
        <v>0.18</v>
      </c>
      <c r="I27" s="9">
        <f t="shared" si="2"/>
        <v>62635.773023999995</v>
      </c>
      <c r="J27" s="9">
        <f t="shared" si="3"/>
        <v>410612.28982399998</v>
      </c>
      <c r="K27" s="1">
        <f>Sheet1!CS2</f>
        <v>10</v>
      </c>
      <c r="L27" s="1" t="str">
        <f>Sheet1!CT2</f>
        <v>KMS</v>
      </c>
      <c r="M27" s="3">
        <f t="shared" si="4"/>
        <v>4106122.89824</v>
      </c>
      <c r="N27" s="2">
        <f>+IFERROR(VLOOKUP($N$17,Sheet1!J2:L2,3,0),0)</f>
        <v>1186</v>
      </c>
      <c r="O27" s="2">
        <f>+IFERROR(VLOOKUP($O$17,Sheet1!J2:L2,3,0),0)</f>
        <v>0</v>
      </c>
      <c r="P27" s="2">
        <f>+IFERROR(VLOOKUP($P$17,Sheet1!J2:M2,3,0),0)</f>
        <v>0</v>
      </c>
      <c r="Q27" s="2">
        <f>+IFERROR(VLOOKUP($Q$17,Sheet1!J2:M2,3,0),0)</f>
        <v>0</v>
      </c>
      <c r="R27" s="2">
        <f>+IFERROR(VLOOKUP($R$17,Sheet1!J2:M2,3,0),0)</f>
        <v>0</v>
      </c>
      <c r="S27" s="2">
        <f>+IFERROR(VLOOKUP($S$17,Sheet1!N2:Q2,3,0),0)</f>
        <v>0</v>
      </c>
      <c r="T27" s="2">
        <f>+IFERROR(VLOOKUP($T$17,Sheet1!N2:Q2,3,0),0)</f>
        <v>0</v>
      </c>
      <c r="U27" s="2">
        <f>+IFERROR(VLOOKUP($U$17,Sheet1!F2:I2,3,0),0)</f>
        <v>0</v>
      </c>
      <c r="V27" s="2">
        <f>+IFERROR(VLOOKUP($V$17,Sheet1!F2:I2,3,0),0)</f>
        <v>0</v>
      </c>
      <c r="W27" s="2">
        <f>+IFERROR(VLOOKUP($W$17,Sheet1!F2:I2,3,0),0)</f>
        <v>0</v>
      </c>
      <c r="X27" s="2">
        <f>+IFERROR(VLOOKUP($X$17,Sheet1!F2:I2,3,0),0)</f>
        <v>0</v>
      </c>
      <c r="Y27" s="2">
        <f>+IFERROR(VLOOKUP($Y$17,Sheet1!F2:I2,3,0),0)</f>
        <v>0</v>
      </c>
      <c r="Z27" s="2">
        <f>+IFERROR(VLOOKUP($Z$17,Sheet1!F2:I2,3,0),0)</f>
        <v>0</v>
      </c>
      <c r="AA27" s="2">
        <f>+IFERROR(VLOOKUP($AA$17,Sheet1!F2:I2,3,0),0)</f>
        <v>0</v>
      </c>
      <c r="AB27" s="2">
        <f>+IFERROR(VLOOKUP($AB$17,Sheet1!F2:I2,3,0),0)</f>
        <v>0</v>
      </c>
      <c r="AC27" s="2">
        <f>+IFERROR(VLOOKUP($AC$17,Sheet1!R2:U2,3,0),0)</f>
        <v>0</v>
      </c>
      <c r="AD27" s="13">
        <f>+IFERROR(VLOOKUP($AD$17,Sheet1!R2:U2,2,0),0)</f>
        <v>0</v>
      </c>
      <c r="AE27" s="2">
        <f>+IFERROR(VLOOKUP($AE$17,Sheet1!V2:Y2,3,0),0)</f>
        <v>0</v>
      </c>
      <c r="AF27" s="13">
        <f>+IFERROR(VLOOKUP($AF$17,Sheet1!V2:Y2,3,0),0)</f>
        <v>0</v>
      </c>
      <c r="AG27" s="13">
        <f>+IFERROR(VLOOKUP($AG$17,Sheet1!V2:Y2,3,0),0)</f>
        <v>0</v>
      </c>
      <c r="AH27" s="13">
        <f>+IFERROR(VLOOKUP($AH$17,Sheet1!V2:Y2,3,0),0)</f>
        <v>0</v>
      </c>
      <c r="AI27" s="13">
        <f>+IFERROR(VLOOKUP($AI$17,Sheet1!V2:Y2,3,0),0)</f>
        <v>0</v>
      </c>
      <c r="AJ27" s="13">
        <f>+IFERROR(VLOOKUP($AJ$17,Sheet1!V2:Y2,3,0),0)</f>
        <v>0</v>
      </c>
      <c r="AK27" s="13">
        <f>+IFERROR(VLOOKUP($AK$17,Sheet1!Z2:AB2,3,0),0)</f>
        <v>0</v>
      </c>
      <c r="AL27" s="13">
        <f>+IFERROR(VLOOKUP($AL$17,Sheet1!AD2:AG2,3,0),0)</f>
        <v>0</v>
      </c>
      <c r="AM27" s="13">
        <f>+IFERROR(VLOOKUP($AM$17,Sheet1!AD2:AG2,3,0),0)</f>
        <v>0</v>
      </c>
      <c r="AN27" s="13">
        <f>+IFERROR(VLOOKUP($AN$17,Sheet1!AD2:AG2,3,0),0)</f>
        <v>0</v>
      </c>
      <c r="AO27" s="13">
        <f>+IFERROR(VLOOKUP($AO$17,Sheet1!AD2:AG2,3,0),0)</f>
        <v>0</v>
      </c>
      <c r="AP27" s="13">
        <f>+IFERROR(VLOOKUP($AP$17,Sheet1!AD2:AG2,3,0),0)</f>
        <v>0</v>
      </c>
      <c r="AQ27" s="13">
        <f>+IFERROR(VLOOKUP($AQ$17,Sheet1!AD2:AG2,3,0),0)</f>
        <v>0</v>
      </c>
      <c r="AR27" s="13">
        <f>+IFERROR(VLOOKUP($AR$17,Sheet1!AD2:AG2,3,0),0)</f>
        <v>0</v>
      </c>
      <c r="AS27" s="13">
        <f>+IFERROR(VLOOKUP($AS$17,Sheet1!AH2:AK2,3,0),0)</f>
        <v>436</v>
      </c>
      <c r="AT27" s="13">
        <f>+IFERROR(VLOOKUP($AT$17,Sheet1!AH2:AK2,3,0),0)</f>
        <v>0</v>
      </c>
      <c r="AU27" s="13">
        <f>+IFERROR(VLOOKUP($AU$17,Sheet1!AH2:AK2,3,0),0)</f>
        <v>0</v>
      </c>
      <c r="AV27" s="13">
        <f>+IFERROR(VLOOKUP($AV$17,Sheet1!AH2:AK2,3,0),0)</f>
        <v>0</v>
      </c>
      <c r="AW27" s="13">
        <f>+IFERROR(VLOOKUP($AW$17,Sheet1!AH2:AK2,3,0),0)</f>
        <v>0</v>
      </c>
      <c r="AX27" s="13">
        <f>+IFERROR(VLOOKUP($AX$17,Sheet1!AH2:AK2,3,0),0)</f>
        <v>0</v>
      </c>
      <c r="AY27" s="13">
        <f>+IFERROR(VLOOKUP($AY$17,Sheet1!AH2:AK2,3,0),0)</f>
        <v>0</v>
      </c>
      <c r="AZ27" s="13">
        <f>+IFERROR(VLOOKUP($AZ$17,Sheet1!AH2:AK2,3,0),0)</f>
        <v>0</v>
      </c>
      <c r="BA27" s="13">
        <f>+IFERROR(VLOOKUP($BA$17,Sheet1!AH2:AK2,3,0),0)</f>
        <v>0</v>
      </c>
      <c r="BB27" s="13">
        <f>+IFERROR(VLOOKUP($BB$17,Sheet1!AH2:AK2,3,0),0)</f>
        <v>0</v>
      </c>
      <c r="BC27" s="13">
        <f>+IFERROR(VLOOKUP($BC$17,Sheet1!AL2:AO2,3,0),0)</f>
        <v>0</v>
      </c>
      <c r="BD27" s="13">
        <f>+IFERROR(VLOOKUP($BD$17,Sheet1!AL2:AO2,3,0),0)</f>
        <v>0</v>
      </c>
      <c r="BE27" s="13">
        <f>+IFERROR(VLOOKUP($BE$17,Sheet1!AL2:AO2,3,0),0)</f>
        <v>0</v>
      </c>
      <c r="BF27" s="13">
        <f>+IFERROR(VLOOKUP($BF$17,Sheet1!AL2:AO2,3,0),0)</f>
        <v>0</v>
      </c>
      <c r="BG27" s="13">
        <f>+IFERROR(VLOOKUP($BG$17,Sheet1!AL2:AO2,3,0),0)</f>
        <v>0</v>
      </c>
      <c r="BH27" s="13">
        <f>+IFERROR(VLOOKUP($BH$17,Sheet1!AL2:AO2,3,0),0)</f>
        <v>0</v>
      </c>
      <c r="BI27" s="13">
        <f>+IFERROR(VLOOKUP($BI$17,Sheet1!AL2:AO2,3,0),0)</f>
        <v>0</v>
      </c>
      <c r="BJ27" s="13">
        <f>+IFERROR(VLOOKUP($BJ$17,Sheet1!AL2:AO2,3,0),0)</f>
        <v>0</v>
      </c>
      <c r="BK27" s="13">
        <f>+IFERROR(VLOOKUP($BK$17,Sheet1!AL2:AO2,3,0),0)</f>
        <v>0</v>
      </c>
      <c r="BL27" s="13">
        <f>+IFERROR(VLOOKUP($BL$17,Sheet1!AL2:AO2,3,0),0)</f>
        <v>0</v>
      </c>
      <c r="BM27" s="13">
        <f>+IFERROR(VLOOKUP($BM$17,Sheet1!AP2:AS2,3,0),0)</f>
        <v>0</v>
      </c>
      <c r="BN27" s="13">
        <f>+IFERROR(VLOOKUP($BN$17,Sheet1!AT2:AW2,3,0),0)</f>
        <v>0</v>
      </c>
      <c r="BO27" s="13">
        <f>+IFERROR(VLOOKUP($BO$17,Sheet1!AX2:BA2,3,0),0)</f>
        <v>0</v>
      </c>
      <c r="BP27" s="13">
        <f>+IFERROR(VLOOKUP($BP$17,Sheet1!BB2:BE2,3,0),0)</f>
        <v>0</v>
      </c>
      <c r="BQ27" s="13">
        <f>+IFERROR(VLOOKUP($BQ$17,Sheet1!BF2:BI2,3,0),0)</f>
        <v>0</v>
      </c>
      <c r="BR27" s="13">
        <f>+IFERROR(VLOOKUP($BR$17,Sheet1!BJ2:BM2,3,0),0)</f>
        <v>0</v>
      </c>
      <c r="BS27" s="13">
        <f>+IFERROR(VLOOKUP($BS$17,Sheet1!BN2:BQ2,3,0),0)</f>
        <v>0</v>
      </c>
      <c r="BT27" s="13">
        <f>+IFERROR(VLOOKUP($BT$17,Sheet1!BR2:BU2,3,0),0)</f>
        <v>0</v>
      </c>
      <c r="BU27" s="13">
        <f>+IFERROR(VLOOKUP($BU$17,Sheet1!BV2:BY2,3,0),0)</f>
        <v>0</v>
      </c>
      <c r="BV27" s="76" t="str">
        <f>Sheet1!E2</f>
        <v>WOOD</v>
      </c>
      <c r="BW27" s="76" t="str">
        <f>Sheet1!CV2</f>
        <v>MD0100062</v>
      </c>
      <c r="BX27" s="13" t="str">
        <f>Sheet1!CW2</f>
        <v>DRUM - 74 X 24 X 32 X 3</v>
      </c>
      <c r="BY27" s="76">
        <f>Sheet1!CX2</f>
        <v>2000</v>
      </c>
      <c r="BZ27" s="3">
        <f>Sheet1!BZ2</f>
        <v>8645</v>
      </c>
      <c r="CA27" s="3">
        <f t="shared" si="5"/>
        <v>296963</v>
      </c>
      <c r="CB27" s="25">
        <f>Sheet1!CB2</f>
        <v>0</v>
      </c>
      <c r="CC27" s="3">
        <f t="shared" si="6"/>
        <v>0</v>
      </c>
      <c r="CD27" s="46">
        <v>0.12</v>
      </c>
      <c r="CE27" s="3">
        <f t="shared" si="7"/>
        <v>35635.56</v>
      </c>
      <c r="CF27" s="46">
        <v>0</v>
      </c>
      <c r="CG27" s="3">
        <f t="shared" si="8"/>
        <v>0</v>
      </c>
      <c r="CH27" s="3">
        <f t="shared" si="9"/>
        <v>332598.56</v>
      </c>
      <c r="CI27" s="46">
        <v>0.02</v>
      </c>
      <c r="CJ27" s="1">
        <f t="shared" si="10"/>
        <v>6651.9712</v>
      </c>
      <c r="CK27" s="46">
        <v>0.01</v>
      </c>
      <c r="CL27" s="1">
        <f t="shared" si="11"/>
        <v>3325.9856</v>
      </c>
    </row>
    <row r="29" spans="1:90" ht="30" x14ac:dyDescent="0.25">
      <c r="E29" s="2" t="s">
        <v>214</v>
      </c>
      <c r="F29" s="2" t="s">
        <v>215</v>
      </c>
      <c r="G29" s="55" t="s">
        <v>216</v>
      </c>
      <c r="H29" s="2" t="s">
        <v>217</v>
      </c>
      <c r="I29" s="2" t="s">
        <v>218</v>
      </c>
      <c r="J29" s="2" t="s">
        <v>219</v>
      </c>
      <c r="K29" s="2" t="s">
        <v>220</v>
      </c>
      <c r="L29" s="55" t="s">
        <v>221</v>
      </c>
      <c r="M29" s="56" t="s">
        <v>222</v>
      </c>
    </row>
    <row r="30" spans="1:90" ht="30" x14ac:dyDescent="0.25">
      <c r="D30" s="28" t="str">
        <f>D19</f>
        <v>AAAC : RABBIT CONDUCTOR - 55 SQ. MM. (7/3.15)</v>
      </c>
      <c r="E30" s="55">
        <f>K19</f>
        <v>390</v>
      </c>
      <c r="F30" s="57">
        <f>BY19/1000</f>
        <v>4</v>
      </c>
      <c r="G30" s="55" t="s">
        <v>223</v>
      </c>
      <c r="H30" s="58">
        <v>27000</v>
      </c>
      <c r="I30" s="57">
        <v>22</v>
      </c>
      <c r="J30" s="55">
        <f>F30*I30</f>
        <v>88</v>
      </c>
      <c r="K30" s="55">
        <f>ROUNDUP((E30/J30),0)</f>
        <v>5</v>
      </c>
      <c r="L30" s="55">
        <f>M30*E30</f>
        <v>135000</v>
      </c>
      <c r="M30" s="59">
        <f>(H30*K30)/E30</f>
        <v>346.15384615384613</v>
      </c>
    </row>
    <row r="31" spans="1:90" ht="30" x14ac:dyDescent="0.25">
      <c r="D31" s="28" t="str">
        <f t="shared" ref="D31:D38" si="13">D20</f>
        <v>AAAC : RACOON CONDUCTOR - 80 SQ. MM. (7/3.81)</v>
      </c>
      <c r="E31" s="55">
        <f t="shared" ref="E31:E38" si="14">K20</f>
        <v>753.58199999999999</v>
      </c>
      <c r="F31" s="57">
        <f t="shared" ref="F31:F38" si="15">BY20/1000</f>
        <v>4</v>
      </c>
      <c r="G31" s="55" t="s">
        <v>223</v>
      </c>
      <c r="H31" s="58">
        <v>27000</v>
      </c>
      <c r="I31" s="57">
        <v>13</v>
      </c>
      <c r="J31" s="55">
        <f t="shared" ref="J31:J38" si="16">F31*I31</f>
        <v>52</v>
      </c>
      <c r="K31" s="55">
        <f t="shared" ref="K31:K38" si="17">ROUNDUP((E31/J31),0)</f>
        <v>15</v>
      </c>
      <c r="L31" s="55">
        <f t="shared" ref="L31:L38" si="18">M31*E31</f>
        <v>405000</v>
      </c>
      <c r="M31" s="59">
        <f t="shared" ref="M31:M38" si="19">(H31*K31)/E31</f>
        <v>537.43321894631242</v>
      </c>
    </row>
    <row r="32" spans="1:90" ht="30" x14ac:dyDescent="0.25">
      <c r="D32" s="28" t="str">
        <f t="shared" si="13"/>
        <v>AAAC : DOG CONDUCTOR - 100 SQ. MM. (7/4.26)</v>
      </c>
      <c r="E32" s="55">
        <f t="shared" si="14"/>
        <v>2032.944</v>
      </c>
      <c r="F32" s="57">
        <f t="shared" si="15"/>
        <v>2</v>
      </c>
      <c r="G32" s="55" t="s">
        <v>223</v>
      </c>
      <c r="H32" s="58">
        <v>27000</v>
      </c>
      <c r="I32" s="57">
        <v>23</v>
      </c>
      <c r="J32" s="55">
        <f t="shared" si="16"/>
        <v>46</v>
      </c>
      <c r="K32" s="55">
        <f t="shared" si="17"/>
        <v>45</v>
      </c>
      <c r="L32" s="55">
        <f t="shared" si="18"/>
        <v>1215000</v>
      </c>
      <c r="M32" s="59">
        <f t="shared" si="19"/>
        <v>597.65541992302792</v>
      </c>
    </row>
    <row r="33" spans="1:13" ht="30" x14ac:dyDescent="0.25">
      <c r="D33" s="28" t="str">
        <f t="shared" si="13"/>
        <v>AAAC : COYOTE CONDUCTOR (19/3.15)</v>
      </c>
      <c r="E33" s="55">
        <f t="shared" si="14"/>
        <v>767.60799999999995</v>
      </c>
      <c r="F33" s="57">
        <f t="shared" si="15"/>
        <v>2</v>
      </c>
      <c r="G33" s="55" t="s">
        <v>223</v>
      </c>
      <c r="H33" s="58">
        <v>27000</v>
      </c>
      <c r="I33" s="57">
        <v>17</v>
      </c>
      <c r="J33" s="55">
        <f t="shared" si="16"/>
        <v>34</v>
      </c>
      <c r="K33" s="55">
        <f t="shared" si="17"/>
        <v>23</v>
      </c>
      <c r="L33" s="55">
        <f t="shared" si="18"/>
        <v>621000</v>
      </c>
      <c r="M33" s="59">
        <f t="shared" si="19"/>
        <v>809.00668049316846</v>
      </c>
    </row>
    <row r="34" spans="1:13" ht="45" x14ac:dyDescent="0.25">
      <c r="D34" s="28" t="str">
        <f t="shared" si="13"/>
        <v>AAAC : 394.5 MCM (CANTON) - 200 SQ. MM. CONDUCTOR (19/3.66)</v>
      </c>
      <c r="E34" s="55">
        <f t="shared" si="14"/>
        <v>25</v>
      </c>
      <c r="F34" s="57">
        <f t="shared" si="15"/>
        <v>2</v>
      </c>
      <c r="G34" s="55" t="s">
        <v>223</v>
      </c>
      <c r="H34" s="58">
        <v>27000</v>
      </c>
      <c r="I34" s="57">
        <v>12</v>
      </c>
      <c r="J34" s="55">
        <f t="shared" si="16"/>
        <v>24</v>
      </c>
      <c r="K34" s="55">
        <f t="shared" si="17"/>
        <v>2</v>
      </c>
      <c r="L34" s="55">
        <f t="shared" si="18"/>
        <v>54000</v>
      </c>
      <c r="M34" s="59">
        <f t="shared" si="19"/>
        <v>2160</v>
      </c>
    </row>
    <row r="35" spans="1:13" ht="30" x14ac:dyDescent="0.25">
      <c r="D35" s="28" t="str">
        <f t="shared" si="13"/>
        <v>AAAC : PANTHER CONDUCTOR - 232 SQ. MM. (19/3.94)</v>
      </c>
      <c r="E35" s="55">
        <f t="shared" si="14"/>
        <v>565.94000000000005</v>
      </c>
      <c r="F35" s="57">
        <f t="shared" si="15"/>
        <v>2</v>
      </c>
      <c r="G35" s="55" t="s">
        <v>223</v>
      </c>
      <c r="H35" s="58">
        <v>27000</v>
      </c>
      <c r="I35" s="57">
        <v>10</v>
      </c>
      <c r="J35" s="55">
        <f t="shared" si="16"/>
        <v>20</v>
      </c>
      <c r="K35" s="55">
        <f t="shared" si="17"/>
        <v>29</v>
      </c>
      <c r="L35" s="55">
        <f t="shared" si="18"/>
        <v>783000</v>
      </c>
      <c r="M35" s="59">
        <f t="shared" si="19"/>
        <v>1383.538891048521</v>
      </c>
    </row>
    <row r="36" spans="1:13" ht="30" x14ac:dyDescent="0.25">
      <c r="D36" s="28" t="str">
        <f t="shared" si="13"/>
        <v>ACSR : RABBIT CONDUCTOR - 50 SQ. MM. (6/1/3.35)</v>
      </c>
      <c r="E36" s="55">
        <f t="shared" si="14"/>
        <v>25</v>
      </c>
      <c r="F36" s="57">
        <f t="shared" si="15"/>
        <v>6</v>
      </c>
      <c r="G36" s="55" t="s">
        <v>223</v>
      </c>
      <c r="H36" s="58">
        <v>27000</v>
      </c>
      <c r="I36" s="57">
        <v>9</v>
      </c>
      <c r="J36" s="55">
        <f t="shared" si="16"/>
        <v>54</v>
      </c>
      <c r="K36" s="55">
        <f t="shared" si="17"/>
        <v>1</v>
      </c>
      <c r="L36" s="55">
        <f t="shared" si="18"/>
        <v>27000</v>
      </c>
      <c r="M36" s="59">
        <f t="shared" si="19"/>
        <v>1080</v>
      </c>
    </row>
    <row r="37" spans="1:13" ht="30" x14ac:dyDescent="0.25">
      <c r="D37" s="28" t="str">
        <f t="shared" si="13"/>
        <v>ACSR : RACCOON CONDUCTOR - 80 SQ. MM. (6/1/4.09)</v>
      </c>
      <c r="E37" s="55">
        <f t="shared" si="14"/>
        <v>41.176000000000002</v>
      </c>
      <c r="F37" s="57">
        <f t="shared" si="15"/>
        <v>4</v>
      </c>
      <c r="G37" s="55" t="s">
        <v>223</v>
      </c>
      <c r="H37" s="58">
        <v>27000</v>
      </c>
      <c r="I37" s="57">
        <v>11</v>
      </c>
      <c r="J37" s="55">
        <f t="shared" si="16"/>
        <v>44</v>
      </c>
      <c r="K37" s="55">
        <f t="shared" si="17"/>
        <v>1</v>
      </c>
      <c r="L37" s="55">
        <f t="shared" si="18"/>
        <v>27000</v>
      </c>
      <c r="M37" s="59">
        <f t="shared" si="19"/>
        <v>655.721779677482</v>
      </c>
    </row>
    <row r="38" spans="1:13" ht="30" x14ac:dyDescent="0.25">
      <c r="D38" s="28" t="str">
        <f t="shared" si="13"/>
        <v>ACSR : ZEBRA CONDUCTOR - 420 SQ. MM. (54/7/3.18)</v>
      </c>
      <c r="E38" s="55">
        <f t="shared" si="14"/>
        <v>10</v>
      </c>
      <c r="F38" s="57">
        <f t="shared" si="15"/>
        <v>2</v>
      </c>
      <c r="G38" s="55" t="s">
        <v>223</v>
      </c>
      <c r="H38" s="58">
        <v>27000</v>
      </c>
      <c r="I38" s="57">
        <v>4</v>
      </c>
      <c r="J38" s="55">
        <f t="shared" si="16"/>
        <v>8</v>
      </c>
      <c r="K38" s="55">
        <f t="shared" si="17"/>
        <v>2</v>
      </c>
      <c r="L38" s="55">
        <f t="shared" si="18"/>
        <v>54000</v>
      </c>
      <c r="M38" s="59">
        <f t="shared" si="19"/>
        <v>5400</v>
      </c>
    </row>
    <row r="41" spans="1:13" ht="51" x14ac:dyDescent="0.25">
      <c r="A41" s="20" t="s">
        <v>0</v>
      </c>
      <c r="B41" s="20" t="s">
        <v>135</v>
      </c>
      <c r="C41" s="20" t="s">
        <v>1</v>
      </c>
      <c r="D41" s="20" t="s">
        <v>2</v>
      </c>
      <c r="E41" s="5" t="s">
        <v>224</v>
      </c>
      <c r="F41" s="13" t="s">
        <v>225</v>
      </c>
      <c r="G41" s="13" t="s">
        <v>226</v>
      </c>
      <c r="H41" s="6" t="s">
        <v>73</v>
      </c>
      <c r="I41" s="13" t="s">
        <v>74</v>
      </c>
      <c r="J41" s="13" t="s">
        <v>227</v>
      </c>
      <c r="K41" s="13" t="s">
        <v>76</v>
      </c>
      <c r="L41" s="13" t="s">
        <v>77</v>
      </c>
      <c r="M41" s="13" t="s">
        <v>78</v>
      </c>
    </row>
    <row r="42" spans="1:13" x14ac:dyDescent="0.25">
      <c r="A42" s="29"/>
      <c r="B42" s="29"/>
      <c r="C42" s="29"/>
      <c r="D42" s="29"/>
      <c r="E42" s="5"/>
      <c r="F42" s="5"/>
      <c r="G42" s="5"/>
      <c r="H42" s="5"/>
      <c r="I42" s="5"/>
      <c r="J42" s="5"/>
      <c r="K42" s="5"/>
      <c r="L42" s="5"/>
      <c r="M42" s="5"/>
    </row>
    <row r="43" spans="1:13" ht="30" x14ac:dyDescent="0.25">
      <c r="A43" s="1" t="str">
        <f>A19</f>
        <v>ENQ-12173-22-23</v>
      </c>
      <c r="B43" s="49">
        <f>B19</f>
        <v>45321</v>
      </c>
      <c r="C43" s="1" t="str">
        <f>C19</f>
        <v>FC0700003</v>
      </c>
      <c r="D43" s="1" t="str">
        <f>D19</f>
        <v>AAAC : RABBIT CONDUCTOR - 55 SQ. MM. (7/3.15)</v>
      </c>
      <c r="E43" s="3">
        <f>ROUNDUP(E19/1000,2)</f>
        <v>39.85</v>
      </c>
      <c r="F43" s="60">
        <f>ROUNDUP(F19/1000,2)</f>
        <v>0.35000000000000003</v>
      </c>
      <c r="G43" s="77">
        <f>E43+F43</f>
        <v>40.200000000000003</v>
      </c>
      <c r="H43" s="7">
        <v>0.18</v>
      </c>
      <c r="I43" s="9">
        <f>ROUND(G43*H43,2)</f>
        <v>7.24</v>
      </c>
      <c r="J43" s="77">
        <f>ROUND(G43+I43,2)</f>
        <v>47.44</v>
      </c>
      <c r="K43" s="3">
        <f>K19*1000</f>
        <v>390000</v>
      </c>
      <c r="L43" s="1" t="s">
        <v>228</v>
      </c>
      <c r="M43" s="3">
        <f t="shared" ref="M43:M51" si="20">J43*K43</f>
        <v>18501600</v>
      </c>
    </row>
    <row r="44" spans="1:13" ht="30" x14ac:dyDescent="0.25">
      <c r="A44" s="1" t="str">
        <f t="shared" ref="A44:D44" si="21">A20</f>
        <v>ENQ-12173-22-23</v>
      </c>
      <c r="B44" s="49">
        <f t="shared" si="21"/>
        <v>45321</v>
      </c>
      <c r="C44" s="1" t="str">
        <f t="shared" si="21"/>
        <v>FC0700012</v>
      </c>
      <c r="D44" s="1" t="str">
        <f t="shared" si="21"/>
        <v>AAAC : RACOON CONDUCTOR - 80 SQ. MM. (7/3.81)</v>
      </c>
      <c r="E44" s="3">
        <f t="shared" ref="E44:F51" si="22">ROUNDUP(E20/1000,2)</f>
        <v>57.48</v>
      </c>
      <c r="F44" s="60">
        <f t="shared" si="22"/>
        <v>0.54</v>
      </c>
      <c r="G44" s="77">
        <f>E44+F44</f>
        <v>58.019999999999996</v>
      </c>
      <c r="H44" s="7">
        <v>0.18</v>
      </c>
      <c r="I44" s="9">
        <f>ROUND(G44*H44,2)</f>
        <v>10.44</v>
      </c>
      <c r="J44" s="77">
        <f>ROUND(G44+I44,2)</f>
        <v>68.459999999999994</v>
      </c>
      <c r="K44" s="3">
        <f t="shared" ref="K44:K51" si="23">K20*1000</f>
        <v>753582</v>
      </c>
      <c r="L44" s="1" t="s">
        <v>228</v>
      </c>
      <c r="M44" s="3">
        <f t="shared" si="20"/>
        <v>51590223.719999999</v>
      </c>
    </row>
    <row r="45" spans="1:13" ht="30" x14ac:dyDescent="0.25">
      <c r="A45" s="1" t="str">
        <f t="shared" ref="A45:D45" si="24">A21</f>
        <v>ENQ-12173-22-23</v>
      </c>
      <c r="B45" s="49">
        <f t="shared" si="24"/>
        <v>45321</v>
      </c>
      <c r="C45" s="1" t="str">
        <f t="shared" si="24"/>
        <v>FC0700002</v>
      </c>
      <c r="D45" s="1" t="str">
        <f t="shared" si="24"/>
        <v>AAAC : DOG CONDUCTOR - 100 SQ. MM. (7/4.26)</v>
      </c>
      <c r="E45" s="3">
        <f t="shared" si="22"/>
        <v>72.67</v>
      </c>
      <c r="F45" s="60">
        <f t="shared" si="22"/>
        <v>0.6</v>
      </c>
      <c r="G45" s="77">
        <f>E45+F45</f>
        <v>73.27</v>
      </c>
      <c r="H45" s="7">
        <v>0.18</v>
      </c>
      <c r="I45" s="9">
        <f>ROUND(G45*H45,2)</f>
        <v>13.19</v>
      </c>
      <c r="J45" s="77">
        <f>ROUND(G45+I45,2)</f>
        <v>86.46</v>
      </c>
      <c r="K45" s="3">
        <f t="shared" si="23"/>
        <v>2032944</v>
      </c>
      <c r="L45" s="1" t="s">
        <v>228</v>
      </c>
      <c r="M45" s="3">
        <f t="shared" si="20"/>
        <v>175768338.23999998</v>
      </c>
    </row>
    <row r="46" spans="1:13" ht="30" x14ac:dyDescent="0.25">
      <c r="A46" s="1" t="str">
        <f t="shared" ref="A46:D46" si="25">A22</f>
        <v>ENQ-12173-22-23</v>
      </c>
      <c r="B46" s="49">
        <f t="shared" si="25"/>
        <v>45321</v>
      </c>
      <c r="C46" s="1" t="str">
        <f t="shared" si="25"/>
        <v>FC1900004</v>
      </c>
      <c r="D46" s="1" t="str">
        <f t="shared" si="25"/>
        <v>AAAC : COYOTE CONDUCTOR (19/3.15)</v>
      </c>
      <c r="E46" s="3">
        <f t="shared" si="22"/>
        <v>107.31</v>
      </c>
      <c r="F46" s="60">
        <f t="shared" si="22"/>
        <v>0.81</v>
      </c>
      <c r="G46" s="77">
        <f>E46+F46</f>
        <v>108.12</v>
      </c>
      <c r="H46" s="7">
        <v>0.18</v>
      </c>
      <c r="I46" s="9">
        <f>ROUND(G46*H46,2)</f>
        <v>19.46</v>
      </c>
      <c r="J46" s="77">
        <f>ROUND(G46+I46,2)</f>
        <v>127.58</v>
      </c>
      <c r="K46" s="3">
        <f t="shared" si="23"/>
        <v>767608</v>
      </c>
      <c r="L46" s="1" t="s">
        <v>228</v>
      </c>
      <c r="M46" s="3">
        <f t="shared" si="20"/>
        <v>97931428.640000001</v>
      </c>
    </row>
    <row r="47" spans="1:13" ht="45" x14ac:dyDescent="0.25">
      <c r="A47" s="1" t="str">
        <f t="shared" ref="A47:D47" si="26">A23</f>
        <v>ENQ-12173-22-23</v>
      </c>
      <c r="B47" s="49">
        <f t="shared" si="26"/>
        <v>45321</v>
      </c>
      <c r="C47" s="1" t="str">
        <f t="shared" si="26"/>
        <v>FC1900034</v>
      </c>
      <c r="D47" s="1" t="str">
        <f t="shared" si="26"/>
        <v>AAAC : 394.5 MCM (CANTON) - 200 SQ. MM. CONDUCTOR (19/3.66)</v>
      </c>
      <c r="E47" s="3">
        <f t="shared" si="22"/>
        <v>145.81</v>
      </c>
      <c r="F47" s="60">
        <f t="shared" si="22"/>
        <v>2.16</v>
      </c>
      <c r="G47" s="77">
        <f>E47+F47</f>
        <v>147.97</v>
      </c>
      <c r="H47" s="7">
        <v>0.18</v>
      </c>
      <c r="I47" s="9">
        <f>ROUND(G47*H47,2)</f>
        <v>26.63</v>
      </c>
      <c r="J47" s="77">
        <f>ROUND(G47+I47,2)</f>
        <v>174.6</v>
      </c>
      <c r="K47" s="3">
        <f t="shared" si="23"/>
        <v>25000</v>
      </c>
      <c r="L47" s="1" t="s">
        <v>228</v>
      </c>
      <c r="M47" s="3">
        <f t="shared" si="20"/>
        <v>4365000</v>
      </c>
    </row>
    <row r="48" spans="1:13" ht="30" x14ac:dyDescent="0.25">
      <c r="A48" s="1" t="str">
        <f t="shared" ref="A48:D48" si="27">A24</f>
        <v>ENQ-12173-22-23</v>
      </c>
      <c r="B48" s="49">
        <f t="shared" si="27"/>
        <v>45321</v>
      </c>
      <c r="C48" s="1" t="str">
        <f t="shared" si="27"/>
        <v>FC3700001</v>
      </c>
      <c r="D48" s="1" t="str">
        <f t="shared" si="27"/>
        <v>AAAC : PANTHER CONDUCTOR - 232 SQ. MM. (19/3.94)</v>
      </c>
      <c r="E48" s="3">
        <f t="shared" si="22"/>
        <v>168.92</v>
      </c>
      <c r="F48" s="60">
        <f t="shared" si="22"/>
        <v>1.39</v>
      </c>
      <c r="G48" s="77">
        <f>E48+F48</f>
        <v>170.30999999999997</v>
      </c>
      <c r="H48" s="7">
        <v>0.18</v>
      </c>
      <c r="I48" s="9">
        <f>ROUND(G48*H48,2)</f>
        <v>30.66</v>
      </c>
      <c r="J48" s="77">
        <f>ROUND(G48+I48,2)</f>
        <v>200.97</v>
      </c>
      <c r="K48" s="3">
        <f t="shared" si="23"/>
        <v>565940</v>
      </c>
      <c r="L48" s="1" t="s">
        <v>228</v>
      </c>
      <c r="M48" s="3">
        <f t="shared" si="20"/>
        <v>113736961.8</v>
      </c>
    </row>
    <row r="49" spans="1:13" ht="30" x14ac:dyDescent="0.25">
      <c r="A49" s="1" t="str">
        <f t="shared" ref="A49:D49" si="28">A25</f>
        <v>ENQ-12173-22-23</v>
      </c>
      <c r="B49" s="49">
        <f t="shared" si="28"/>
        <v>45321</v>
      </c>
      <c r="C49" s="1" t="str">
        <f t="shared" si="28"/>
        <v>FC0700007</v>
      </c>
      <c r="D49" s="1" t="str">
        <f t="shared" si="28"/>
        <v>ACSR : RABBIT CONDUCTOR - 50 SQ. MM. (6/1/3.35)</v>
      </c>
      <c r="E49" s="3">
        <f t="shared" si="22"/>
        <v>43.14</v>
      </c>
      <c r="F49" s="60">
        <f t="shared" si="22"/>
        <v>1.08</v>
      </c>
      <c r="G49" s="77">
        <f t="shared" ref="G43:G51" si="29">E49+F49</f>
        <v>44.22</v>
      </c>
      <c r="H49" s="7">
        <v>0.18</v>
      </c>
      <c r="I49" s="9">
        <f>ROUND(G49*H49,2)</f>
        <v>7.96</v>
      </c>
      <c r="J49" s="77">
        <f>ROUND(G49+I49,2)</f>
        <v>52.18</v>
      </c>
      <c r="K49" s="3">
        <f t="shared" si="23"/>
        <v>25000</v>
      </c>
      <c r="L49" s="1" t="s">
        <v>228</v>
      </c>
      <c r="M49" s="3">
        <f t="shared" si="20"/>
        <v>1304500</v>
      </c>
    </row>
    <row r="50" spans="1:13" ht="30" x14ac:dyDescent="0.25">
      <c r="A50" s="1" t="str">
        <f t="shared" ref="A50:D50" si="30">A26</f>
        <v>ENQ-12173-22-23</v>
      </c>
      <c r="B50" s="49">
        <f t="shared" si="30"/>
        <v>45321</v>
      </c>
      <c r="C50" s="1" t="str">
        <f t="shared" si="30"/>
        <v>FC0700009</v>
      </c>
      <c r="D50" s="1" t="str">
        <f t="shared" si="30"/>
        <v>ACSR : RACCOON CONDUCTOR - 80 SQ. MM. (6/1/4.09)</v>
      </c>
      <c r="E50" s="3">
        <f t="shared" si="22"/>
        <v>65.050000000000011</v>
      </c>
      <c r="F50" s="60">
        <f t="shared" si="22"/>
        <v>0.66</v>
      </c>
      <c r="G50" s="77">
        <f t="shared" si="29"/>
        <v>65.710000000000008</v>
      </c>
      <c r="H50" s="7">
        <v>0.18</v>
      </c>
      <c r="I50" s="9">
        <f t="shared" ref="I44:I51" si="31">ROUND(G50*H50,2)</f>
        <v>11.83</v>
      </c>
      <c r="J50" s="77">
        <f>ROUND(G50+I50,2)</f>
        <v>77.540000000000006</v>
      </c>
      <c r="K50" s="3">
        <f t="shared" si="23"/>
        <v>41176</v>
      </c>
      <c r="L50" s="1" t="s">
        <v>228</v>
      </c>
      <c r="M50" s="3">
        <f t="shared" si="20"/>
        <v>3192787.04</v>
      </c>
    </row>
    <row r="51" spans="1:13" ht="30" x14ac:dyDescent="0.25">
      <c r="A51" s="1" t="str">
        <f t="shared" ref="A51:D51" si="32">A27</f>
        <v>ENQ-12173-22-23</v>
      </c>
      <c r="B51" s="49">
        <f t="shared" si="32"/>
        <v>45321</v>
      </c>
      <c r="C51" s="1" t="str">
        <f t="shared" si="32"/>
        <v>FC6100001</v>
      </c>
      <c r="D51" s="1" t="str">
        <f t="shared" si="32"/>
        <v>ACSR : ZEBRA CONDUCTOR - 420 SQ. MM. (54/7/3.18)</v>
      </c>
      <c r="E51" s="3">
        <f t="shared" si="22"/>
        <v>342.58</v>
      </c>
      <c r="F51" s="60">
        <f t="shared" si="22"/>
        <v>5.4</v>
      </c>
      <c r="G51" s="77">
        <f t="shared" si="29"/>
        <v>347.97999999999996</v>
      </c>
      <c r="H51" s="7">
        <v>0.18</v>
      </c>
      <c r="I51" s="9">
        <f>ROUND(G51*H51,2)</f>
        <v>62.64</v>
      </c>
      <c r="J51" s="77">
        <f>ROUND(G51+I51,2)</f>
        <v>410.62</v>
      </c>
      <c r="K51" s="3">
        <f t="shared" si="23"/>
        <v>10000</v>
      </c>
      <c r="L51" s="1" t="s">
        <v>228</v>
      </c>
      <c r="M51" s="3">
        <f t="shared" si="20"/>
        <v>4106200</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disablePrompts="1" count="1">
    <dataValidation type="list" allowBlank="1" showInputMessage="1" showErrorMessage="1" sqref="G30:G38" xr:uid="{7D2932B7-B421-41DD-B822-B9B06E6BC99D}">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2024-01-31T05:49:17Z</dcterms:modified>
</cp:coreProperties>
</file>