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9_SEPTEMBER 2024\TPCODL-1000000981-HTCABLE-13992\"/>
    </mc:Choice>
  </mc:AlternateContent>
  <xr:revisionPtr revIDLastSave="0" documentId="13_ncr:1_{40821866-8FEE-49B5-B04A-A7D54D235F3C}" xr6:coauthVersionLast="47" xr6:coauthVersionMax="47" xr10:uidLastSave="{00000000-0000-0000-0000-000000000000}"/>
  <bookViews>
    <workbookView xWindow="0" yWindow="1560" windowWidth="28800" windowHeight="8370" activeTab="1" xr2:uid="{00000000-000D-0000-FFFF-FFFF00000000}"/>
  </bookViews>
  <sheets>
    <sheet name="Sheet1" sheetId="1" r:id="rId1"/>
    <sheet name="AUTO CALCULATION SHEET (2)" sheetId="4" r:id="rId2"/>
    <sheet name="Sheet2"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0" i="4" l="1"/>
  <c r="BZ27" i="4"/>
  <c r="BZ25" i="4"/>
  <c r="K61" i="4" l="1"/>
  <c r="K62" i="4"/>
  <c r="K63" i="4"/>
  <c r="K64" i="4"/>
  <c r="K65" i="4"/>
  <c r="K66" i="4"/>
  <c r="K67" i="4"/>
  <c r="K68" i="4"/>
  <c r="K69" i="4"/>
  <c r="K60" i="4"/>
  <c r="J65" i="4"/>
  <c r="J63" i="4"/>
  <c r="J61" i="4"/>
  <c r="I65" i="4"/>
  <c r="I63" i="4"/>
  <c r="I61" i="4"/>
  <c r="H61" i="4"/>
  <c r="H62" i="4"/>
  <c r="H63" i="4"/>
  <c r="H64" i="4"/>
  <c r="H65" i="4"/>
  <c r="H66" i="4"/>
  <c r="H67" i="4"/>
  <c r="H68" i="4"/>
  <c r="H69" i="4"/>
  <c r="H60" i="4"/>
  <c r="G65" i="4"/>
  <c r="G63" i="4"/>
  <c r="G61" i="4"/>
  <c r="F61" i="4"/>
  <c r="F63" i="4"/>
  <c r="F65" i="4"/>
  <c r="E61" i="4"/>
  <c r="E62" i="4"/>
  <c r="E63" i="4"/>
  <c r="E64" i="4"/>
  <c r="E65" i="4"/>
  <c r="E67" i="4"/>
  <c r="E69" i="4"/>
  <c r="E60" i="4"/>
  <c r="M36" i="4"/>
  <c r="M34" i="4"/>
  <c r="M32" i="4"/>
  <c r="K36" i="4"/>
  <c r="K34" i="4"/>
  <c r="K32" i="4"/>
  <c r="D61" i="4"/>
  <c r="D62" i="4"/>
  <c r="D63" i="4"/>
  <c r="D64" i="4"/>
  <c r="D65" i="4"/>
  <c r="D66" i="4"/>
  <c r="D67" i="4"/>
  <c r="D68" i="4"/>
  <c r="D69" i="4"/>
  <c r="D60" i="4"/>
  <c r="C61" i="4"/>
  <c r="C62" i="4"/>
  <c r="C63" i="4"/>
  <c r="C64" i="4"/>
  <c r="C65" i="4"/>
  <c r="C66" i="4"/>
  <c r="C67" i="4"/>
  <c r="C68" i="4"/>
  <c r="C69" i="4"/>
  <c r="C60" i="4"/>
  <c r="B61" i="4"/>
  <c r="B62" i="4"/>
  <c r="B63" i="4"/>
  <c r="B64" i="4"/>
  <c r="B65" i="4"/>
  <c r="B66" i="4"/>
  <c r="B67" i="4"/>
  <c r="B68" i="4"/>
  <c r="B69" i="4"/>
  <c r="B60" i="4"/>
  <c r="A61" i="4"/>
  <c r="A62" i="4"/>
  <c r="A63" i="4"/>
  <c r="A64" i="4"/>
  <c r="A65" i="4"/>
  <c r="A66" i="4"/>
  <c r="A67" i="4"/>
  <c r="A68" i="4"/>
  <c r="A69" i="4"/>
  <c r="A60" i="4"/>
  <c r="AK40" i="4"/>
  <c r="AK39" i="4"/>
  <c r="AK38" i="4"/>
  <c r="AK37" i="4"/>
  <c r="AK36" i="4"/>
  <c r="AK35" i="4"/>
  <c r="AK34" i="4"/>
  <c r="AK33" i="4"/>
  <c r="AK32" i="4"/>
  <c r="AK31" i="4"/>
  <c r="M61" i="4" l="1"/>
  <c r="M63" i="4"/>
  <c r="M65" i="4"/>
  <c r="AE40" i="4"/>
  <c r="AE39" i="4"/>
  <c r="AE38" i="4"/>
  <c r="AE37" i="4"/>
  <c r="AE36" i="4"/>
  <c r="AE35" i="4"/>
  <c r="AE34" i="4"/>
  <c r="AE33" i="4"/>
  <c r="AE32" i="4"/>
  <c r="AE31" i="4"/>
  <c r="N32" i="4"/>
  <c r="N33" i="4"/>
  <c r="N34" i="4"/>
  <c r="N35" i="4"/>
  <c r="N36" i="4"/>
  <c r="N37" i="4"/>
  <c r="N38" i="4"/>
  <c r="N39" i="4"/>
  <c r="N40" i="4"/>
  <c r="N31" i="4"/>
  <c r="Y40" i="4"/>
  <c r="Y39" i="4"/>
  <c r="Y38" i="4"/>
  <c r="Y37" i="4"/>
  <c r="Y36" i="4"/>
  <c r="Y35" i="4"/>
  <c r="Y34" i="4"/>
  <c r="Y33" i="4"/>
  <c r="Y32" i="4"/>
  <c r="Y31" i="4"/>
  <c r="CA28" i="4" l="1"/>
  <c r="CC28" i="4" s="1"/>
  <c r="CA27" i="4"/>
  <c r="CC27" i="4" s="1"/>
  <c r="CA26" i="4"/>
  <c r="CA25" i="4"/>
  <c r="CC25" i="4" s="1"/>
  <c r="CA24" i="4"/>
  <c r="CA23" i="4"/>
  <c r="CA22" i="4"/>
  <c r="CA21" i="4"/>
  <c r="CA20" i="4"/>
  <c r="CC20" i="4" s="1"/>
  <c r="CA19" i="4"/>
  <c r="CC26" i="4"/>
  <c r="CC24" i="4"/>
  <c r="CC23" i="4"/>
  <c r="CC22" i="4"/>
  <c r="CC21" i="4"/>
  <c r="CC19" i="4"/>
  <c r="BE18" i="4" l="1"/>
  <c r="BY20" i="4" l="1"/>
  <c r="F32" i="4" s="1"/>
  <c r="J32" i="4" s="1"/>
  <c r="BY21" i="4"/>
  <c r="F33" i="4" s="1"/>
  <c r="J33" i="4" s="1"/>
  <c r="K33" i="4" s="1"/>
  <c r="M33" i="4" s="1"/>
  <c r="BY22" i="4"/>
  <c r="F34" i="4" s="1"/>
  <c r="J34" i="4" s="1"/>
  <c r="BY23" i="4"/>
  <c r="F35" i="4" s="1"/>
  <c r="J35" i="4" s="1"/>
  <c r="K35" i="4" s="1"/>
  <c r="M35" i="4" s="1"/>
  <c r="BY24" i="4"/>
  <c r="F36" i="4" s="1"/>
  <c r="J36" i="4" s="1"/>
  <c r="BY25" i="4"/>
  <c r="F37" i="4" s="1"/>
  <c r="J37" i="4" s="1"/>
  <c r="K37" i="4" s="1"/>
  <c r="M37" i="4" s="1"/>
  <c r="BY26" i="4"/>
  <c r="F38" i="4" s="1"/>
  <c r="J38" i="4" s="1"/>
  <c r="K38" i="4" s="1"/>
  <c r="M38" i="4" s="1"/>
  <c r="BY27" i="4"/>
  <c r="F39" i="4" s="1"/>
  <c r="J39" i="4" s="1"/>
  <c r="K39" i="4" s="1"/>
  <c r="M39" i="4" s="1"/>
  <c r="BY28" i="4"/>
  <c r="F40" i="4" s="1"/>
  <c r="J40" i="4" s="1"/>
  <c r="BY19" i="4"/>
  <c r="F31" i="4" s="1"/>
  <c r="J31" i="4" s="1"/>
  <c r="K31" i="4" s="1"/>
  <c r="M31" i="4" s="1"/>
  <c r="F19" i="4" s="1"/>
  <c r="F60" i="4" s="1"/>
  <c r="G60" i="4" s="1"/>
  <c r="BY17" i="4"/>
  <c r="J60" i="4" l="1"/>
  <c r="M60" i="4" s="1"/>
  <c r="I60" i="4"/>
  <c r="A20" i="4"/>
  <c r="B20" i="4"/>
  <c r="C20" i="4"/>
  <c r="D20" i="4"/>
  <c r="D32" i="4" s="1"/>
  <c r="H20" i="4"/>
  <c r="K20" i="4"/>
  <c r="E32" i="4" s="1"/>
  <c r="L20" i="4"/>
  <c r="N20" i="4"/>
  <c r="O20" i="4"/>
  <c r="P20" i="4"/>
  <c r="Q20" i="4"/>
  <c r="R20" i="4"/>
  <c r="S20" i="4"/>
  <c r="T20" i="4"/>
  <c r="U20" i="4"/>
  <c r="V20" i="4"/>
  <c r="W20" i="4"/>
  <c r="X20" i="4"/>
  <c r="Z20" i="4"/>
  <c r="AA20" i="4"/>
  <c r="AB20" i="4"/>
  <c r="AD20" i="4"/>
  <c r="AF20" i="4"/>
  <c r="AG20" i="4"/>
  <c r="AH20" i="4"/>
  <c r="AI20" i="4"/>
  <c r="AJ20" i="4"/>
  <c r="AK20" i="4"/>
  <c r="AL20" i="4"/>
  <c r="AM20" i="4"/>
  <c r="AN20" i="4"/>
  <c r="AO20" i="4"/>
  <c r="AP20" i="4"/>
  <c r="AQ20" i="4"/>
  <c r="AS20" i="4"/>
  <c r="AT20" i="4"/>
  <c r="AU20" i="4"/>
  <c r="AV20" i="4"/>
  <c r="AW20" i="4"/>
  <c r="AX20" i="4"/>
  <c r="AY20" i="4"/>
  <c r="AZ20" i="4"/>
  <c r="BB20" i="4"/>
  <c r="BC20" i="4"/>
  <c r="BD20" i="4"/>
  <c r="BE20" i="4"/>
  <c r="BH20" i="4"/>
  <c r="BI20" i="4"/>
  <c r="BJ20" i="4"/>
  <c r="BK20" i="4"/>
  <c r="BL20" i="4"/>
  <c r="BM20" i="4"/>
  <c r="BO20" i="4"/>
  <c r="BQ20" i="4"/>
  <c r="BR20" i="4"/>
  <c r="BS20" i="4"/>
  <c r="BU20" i="4"/>
  <c r="BV20" i="4"/>
  <c r="BW20" i="4"/>
  <c r="BX20" i="4"/>
  <c r="A21" i="4"/>
  <c r="B21" i="4"/>
  <c r="C21" i="4"/>
  <c r="D21" i="4"/>
  <c r="D33" i="4" s="1"/>
  <c r="H21" i="4"/>
  <c r="K21" i="4"/>
  <c r="E33" i="4" s="1"/>
  <c r="L21" i="4"/>
  <c r="N21" i="4"/>
  <c r="O21" i="4"/>
  <c r="P21" i="4"/>
  <c r="Q21" i="4"/>
  <c r="R21" i="4"/>
  <c r="S21" i="4"/>
  <c r="T21" i="4"/>
  <c r="U21" i="4"/>
  <c r="V21" i="4"/>
  <c r="W21" i="4"/>
  <c r="X21" i="4"/>
  <c r="Z21" i="4"/>
  <c r="AA21" i="4"/>
  <c r="AB21" i="4"/>
  <c r="AD21" i="4"/>
  <c r="AF21" i="4"/>
  <c r="AG21" i="4"/>
  <c r="AH21" i="4"/>
  <c r="AI21" i="4"/>
  <c r="AJ21" i="4"/>
  <c r="AK21" i="4"/>
  <c r="AL21" i="4"/>
  <c r="AM21" i="4"/>
  <c r="AN21" i="4"/>
  <c r="AO21" i="4"/>
  <c r="AP21" i="4"/>
  <c r="AQ21" i="4"/>
  <c r="AS21" i="4"/>
  <c r="AT21" i="4"/>
  <c r="AU21" i="4"/>
  <c r="AV21" i="4"/>
  <c r="AW21" i="4"/>
  <c r="AX21" i="4"/>
  <c r="AY21" i="4"/>
  <c r="AZ21" i="4"/>
  <c r="BB21" i="4"/>
  <c r="BC21" i="4"/>
  <c r="BD21" i="4"/>
  <c r="BE21" i="4"/>
  <c r="BH21" i="4"/>
  <c r="BI21" i="4"/>
  <c r="BJ21" i="4"/>
  <c r="BK21" i="4"/>
  <c r="BL21" i="4"/>
  <c r="BM21" i="4"/>
  <c r="BO21" i="4"/>
  <c r="BQ21" i="4"/>
  <c r="BR21" i="4"/>
  <c r="BS21" i="4"/>
  <c r="BU21" i="4"/>
  <c r="BV21" i="4"/>
  <c r="A22" i="4"/>
  <c r="B22" i="4"/>
  <c r="C22" i="4"/>
  <c r="D22" i="4"/>
  <c r="D34" i="4" s="1"/>
  <c r="H22" i="4"/>
  <c r="K22" i="4"/>
  <c r="E34" i="4" s="1"/>
  <c r="L22" i="4"/>
  <c r="N22" i="4"/>
  <c r="O22" i="4"/>
  <c r="P22" i="4"/>
  <c r="Q22" i="4"/>
  <c r="R22" i="4"/>
  <c r="S22" i="4"/>
  <c r="T22" i="4"/>
  <c r="U22" i="4"/>
  <c r="V22" i="4"/>
  <c r="W22" i="4"/>
  <c r="X22" i="4"/>
  <c r="Z22" i="4"/>
  <c r="AA22" i="4"/>
  <c r="AB22" i="4"/>
  <c r="AD22" i="4"/>
  <c r="AF22" i="4"/>
  <c r="AG22" i="4"/>
  <c r="AH22" i="4"/>
  <c r="AI22" i="4"/>
  <c r="AJ22" i="4"/>
  <c r="AK22" i="4"/>
  <c r="AL22" i="4"/>
  <c r="AM22" i="4"/>
  <c r="AN22" i="4"/>
  <c r="AO22" i="4"/>
  <c r="AP22" i="4"/>
  <c r="AQ22" i="4"/>
  <c r="AS22" i="4"/>
  <c r="AT22" i="4"/>
  <c r="AU22" i="4"/>
  <c r="AV22" i="4"/>
  <c r="AW22" i="4"/>
  <c r="AX22" i="4"/>
  <c r="AY22" i="4"/>
  <c r="AZ22" i="4"/>
  <c r="BB22" i="4"/>
  <c r="BC22" i="4"/>
  <c r="BD22" i="4"/>
  <c r="BE22" i="4"/>
  <c r="BH22" i="4"/>
  <c r="BI22" i="4"/>
  <c r="BJ22" i="4"/>
  <c r="BK22" i="4"/>
  <c r="BL22" i="4"/>
  <c r="BM22" i="4"/>
  <c r="BQ22" i="4"/>
  <c r="BR22" i="4"/>
  <c r="BS22" i="4"/>
  <c r="BU22" i="4"/>
  <c r="BV22" i="4"/>
  <c r="A23" i="4"/>
  <c r="B23" i="4"/>
  <c r="C23" i="4"/>
  <c r="D23" i="4"/>
  <c r="D35" i="4" s="1"/>
  <c r="H23" i="4"/>
  <c r="K23" i="4"/>
  <c r="E35" i="4" s="1"/>
  <c r="L23" i="4"/>
  <c r="N23" i="4"/>
  <c r="O23" i="4"/>
  <c r="P23" i="4"/>
  <c r="Q23" i="4"/>
  <c r="R23" i="4"/>
  <c r="S23" i="4"/>
  <c r="T23" i="4"/>
  <c r="U23" i="4"/>
  <c r="V23" i="4"/>
  <c r="W23" i="4"/>
  <c r="X23" i="4"/>
  <c r="Z23" i="4"/>
  <c r="AA23" i="4"/>
  <c r="AB23" i="4"/>
  <c r="AD23" i="4"/>
  <c r="AF23" i="4"/>
  <c r="AG23" i="4"/>
  <c r="AH23" i="4"/>
  <c r="AI23" i="4"/>
  <c r="AJ23" i="4"/>
  <c r="AL23" i="4"/>
  <c r="AM23" i="4"/>
  <c r="AN23" i="4"/>
  <c r="AO23" i="4"/>
  <c r="AP23" i="4"/>
  <c r="AR23" i="4"/>
  <c r="AS23" i="4"/>
  <c r="AT23" i="4"/>
  <c r="AU23" i="4"/>
  <c r="AW23" i="4"/>
  <c r="AX23" i="4"/>
  <c r="AY23" i="4"/>
  <c r="AZ23" i="4"/>
  <c r="BA23" i="4"/>
  <c r="BB23" i="4"/>
  <c r="BC23" i="4"/>
  <c r="BD23" i="4"/>
  <c r="BE23" i="4"/>
  <c r="BG23" i="4"/>
  <c r="BH23" i="4"/>
  <c r="BI23" i="4"/>
  <c r="BJ23" i="4"/>
  <c r="BK23" i="4"/>
  <c r="BL23" i="4"/>
  <c r="BM23" i="4"/>
  <c r="BO23" i="4"/>
  <c r="BQ23" i="4"/>
  <c r="BR23" i="4"/>
  <c r="BS23" i="4"/>
  <c r="BU23" i="4"/>
  <c r="BV23" i="4"/>
  <c r="BW23" i="4"/>
  <c r="BX23" i="4"/>
  <c r="BZ23" i="4"/>
  <c r="A24" i="4"/>
  <c r="B24" i="4"/>
  <c r="C24" i="4"/>
  <c r="D24" i="4"/>
  <c r="D36" i="4" s="1"/>
  <c r="H24" i="4"/>
  <c r="K24" i="4"/>
  <c r="E36" i="4" s="1"/>
  <c r="L24" i="4"/>
  <c r="N24" i="4"/>
  <c r="O24" i="4"/>
  <c r="P24" i="4"/>
  <c r="Q24" i="4"/>
  <c r="R24" i="4"/>
  <c r="S24" i="4"/>
  <c r="T24" i="4"/>
  <c r="U24" i="4"/>
  <c r="V24" i="4"/>
  <c r="W24" i="4"/>
  <c r="X24" i="4"/>
  <c r="Z24" i="4"/>
  <c r="AA24" i="4"/>
  <c r="AB24" i="4"/>
  <c r="AD24" i="4"/>
  <c r="AF24" i="4"/>
  <c r="AG24" i="4"/>
  <c r="AH24" i="4"/>
  <c r="AI24" i="4"/>
  <c r="AJ24" i="4"/>
  <c r="AL24" i="4"/>
  <c r="AM24" i="4"/>
  <c r="AN24" i="4"/>
  <c r="AO24" i="4"/>
  <c r="AP24" i="4"/>
  <c r="AR24" i="4"/>
  <c r="AS24" i="4"/>
  <c r="AT24" i="4"/>
  <c r="AU24" i="4"/>
  <c r="AW24" i="4"/>
  <c r="AX24" i="4"/>
  <c r="AY24" i="4"/>
  <c r="AZ24" i="4"/>
  <c r="BA24" i="4"/>
  <c r="BB24" i="4"/>
  <c r="BC24" i="4"/>
  <c r="BD24" i="4"/>
  <c r="BE24" i="4"/>
  <c r="BG24" i="4"/>
  <c r="BH24" i="4"/>
  <c r="BI24" i="4"/>
  <c r="BJ24" i="4"/>
  <c r="BK24" i="4"/>
  <c r="BL24" i="4"/>
  <c r="BM24" i="4"/>
  <c r="BO24" i="4"/>
  <c r="BQ24" i="4"/>
  <c r="BR24" i="4"/>
  <c r="BS24" i="4"/>
  <c r="BU24" i="4"/>
  <c r="BV24" i="4"/>
  <c r="BW24" i="4"/>
  <c r="BX24" i="4"/>
  <c r="BZ24" i="4"/>
  <c r="A25" i="4"/>
  <c r="B25" i="4"/>
  <c r="C25" i="4"/>
  <c r="D25" i="4"/>
  <c r="D37" i="4" s="1"/>
  <c r="H25" i="4"/>
  <c r="K25" i="4"/>
  <c r="E37" i="4" s="1"/>
  <c r="L25" i="4"/>
  <c r="N25" i="4"/>
  <c r="O25" i="4"/>
  <c r="P25" i="4"/>
  <c r="Q25" i="4"/>
  <c r="R25" i="4"/>
  <c r="S25" i="4"/>
  <c r="T25" i="4"/>
  <c r="U25" i="4"/>
  <c r="V25" i="4"/>
  <c r="W25" i="4"/>
  <c r="X25" i="4"/>
  <c r="Z25" i="4"/>
  <c r="AA25" i="4"/>
  <c r="AB25" i="4"/>
  <c r="AD25" i="4"/>
  <c r="AF25" i="4"/>
  <c r="AG25" i="4"/>
  <c r="AH25" i="4"/>
  <c r="AI25" i="4"/>
  <c r="AJ25" i="4"/>
  <c r="AL25" i="4"/>
  <c r="AM25" i="4"/>
  <c r="AN25" i="4"/>
  <c r="AO25" i="4"/>
  <c r="AP25" i="4"/>
  <c r="AR25" i="4"/>
  <c r="AS25" i="4"/>
  <c r="AT25" i="4"/>
  <c r="AU25" i="4"/>
  <c r="AW25" i="4"/>
  <c r="AX25" i="4"/>
  <c r="AY25" i="4"/>
  <c r="AZ25" i="4"/>
  <c r="BA25" i="4"/>
  <c r="BB25" i="4"/>
  <c r="BC25" i="4"/>
  <c r="BD25" i="4"/>
  <c r="BE25" i="4"/>
  <c r="BG25" i="4"/>
  <c r="BH25" i="4"/>
  <c r="BI25" i="4"/>
  <c r="BJ25" i="4"/>
  <c r="BK25" i="4"/>
  <c r="BL25" i="4"/>
  <c r="BM25" i="4"/>
  <c r="BO25" i="4"/>
  <c r="BQ25" i="4"/>
  <c r="BR25" i="4"/>
  <c r="BS25" i="4"/>
  <c r="BU25" i="4"/>
  <c r="BV25" i="4"/>
  <c r="BW25" i="4"/>
  <c r="BX25" i="4"/>
  <c r="A26" i="4"/>
  <c r="B26" i="4"/>
  <c r="C26" i="4"/>
  <c r="D26" i="4"/>
  <c r="D38" i="4" s="1"/>
  <c r="H26" i="4"/>
  <c r="K26" i="4"/>
  <c r="E38" i="4" s="1"/>
  <c r="L26" i="4"/>
  <c r="N26" i="4"/>
  <c r="O26" i="4"/>
  <c r="P26" i="4"/>
  <c r="Q26" i="4"/>
  <c r="R26" i="4"/>
  <c r="S26" i="4"/>
  <c r="T26" i="4"/>
  <c r="U26" i="4"/>
  <c r="V26" i="4"/>
  <c r="W26" i="4"/>
  <c r="X26" i="4"/>
  <c r="Z26" i="4"/>
  <c r="AA26" i="4"/>
  <c r="AB26" i="4"/>
  <c r="AD26" i="4"/>
  <c r="AF26" i="4"/>
  <c r="AG26" i="4"/>
  <c r="AH26" i="4"/>
  <c r="AI26" i="4"/>
  <c r="AJ26" i="4"/>
  <c r="AL26" i="4"/>
  <c r="AM26" i="4"/>
  <c r="AN26" i="4"/>
  <c r="AO26" i="4"/>
  <c r="AP26" i="4"/>
  <c r="AR26" i="4"/>
  <c r="AS26" i="4"/>
  <c r="AT26" i="4"/>
  <c r="AU26" i="4"/>
  <c r="AW26" i="4"/>
  <c r="AX26" i="4"/>
  <c r="AY26" i="4"/>
  <c r="AZ26" i="4"/>
  <c r="BA26" i="4"/>
  <c r="BB26" i="4"/>
  <c r="BC26" i="4"/>
  <c r="BD26" i="4"/>
  <c r="BE26" i="4"/>
  <c r="BG26" i="4"/>
  <c r="BH26" i="4"/>
  <c r="BI26" i="4"/>
  <c r="BJ26" i="4"/>
  <c r="BK26" i="4"/>
  <c r="BL26" i="4"/>
  <c r="BM26" i="4"/>
  <c r="BO26" i="4"/>
  <c r="BQ26" i="4"/>
  <c r="BR26" i="4"/>
  <c r="BS26" i="4"/>
  <c r="BU26" i="4"/>
  <c r="BV26" i="4"/>
  <c r="BW26" i="4"/>
  <c r="BX26" i="4"/>
  <c r="A27" i="4"/>
  <c r="B27" i="4"/>
  <c r="C27" i="4"/>
  <c r="D27" i="4"/>
  <c r="D39" i="4" s="1"/>
  <c r="H27" i="4"/>
  <c r="K27" i="4"/>
  <c r="E39" i="4" s="1"/>
  <c r="L27" i="4"/>
  <c r="O27" i="4"/>
  <c r="P27" i="4"/>
  <c r="Q27" i="4"/>
  <c r="R27" i="4"/>
  <c r="S27" i="4"/>
  <c r="T27" i="4"/>
  <c r="U27" i="4"/>
  <c r="V27" i="4"/>
  <c r="W27" i="4"/>
  <c r="X27" i="4"/>
  <c r="Z27" i="4"/>
  <c r="AA27" i="4"/>
  <c r="AB27" i="4"/>
  <c r="AD27" i="4"/>
  <c r="AF27" i="4"/>
  <c r="AG27" i="4"/>
  <c r="AH27" i="4"/>
  <c r="AI27" i="4"/>
  <c r="AJ27" i="4"/>
  <c r="AL27" i="4"/>
  <c r="AM27" i="4"/>
  <c r="AN27" i="4"/>
  <c r="AO27" i="4"/>
  <c r="AP27" i="4"/>
  <c r="AR27" i="4"/>
  <c r="AS27" i="4"/>
  <c r="AT27" i="4"/>
  <c r="AU27" i="4"/>
  <c r="AW27" i="4"/>
  <c r="AX27" i="4"/>
  <c r="AY27" i="4"/>
  <c r="AZ27" i="4"/>
  <c r="BA27" i="4"/>
  <c r="BB27" i="4"/>
  <c r="BC27" i="4"/>
  <c r="BD27" i="4"/>
  <c r="BG27" i="4"/>
  <c r="BH27" i="4"/>
  <c r="BI27" i="4"/>
  <c r="BJ27" i="4"/>
  <c r="BK27" i="4"/>
  <c r="BL27" i="4"/>
  <c r="BM27" i="4"/>
  <c r="BO27" i="4"/>
  <c r="BQ27" i="4"/>
  <c r="BR27" i="4"/>
  <c r="BS27" i="4"/>
  <c r="BU27" i="4"/>
  <c r="BV27" i="4"/>
  <c r="BW27" i="4"/>
  <c r="BX27" i="4"/>
  <c r="A28" i="4"/>
  <c r="B28" i="4"/>
  <c r="C28" i="4"/>
  <c r="D28" i="4"/>
  <c r="D40" i="4" s="1"/>
  <c r="H28" i="4"/>
  <c r="E40" i="4"/>
  <c r="K40" i="4" s="1"/>
  <c r="M40" i="4" s="1"/>
  <c r="L28" i="4"/>
  <c r="N28" i="4"/>
  <c r="O28" i="4"/>
  <c r="P28" i="4"/>
  <c r="Q28" i="4"/>
  <c r="R28" i="4"/>
  <c r="S28" i="4"/>
  <c r="T28" i="4"/>
  <c r="U28" i="4"/>
  <c r="W28" i="4"/>
  <c r="X28" i="4"/>
  <c r="Z28" i="4"/>
  <c r="AA28" i="4"/>
  <c r="AB28" i="4"/>
  <c r="AD28" i="4"/>
  <c r="AF28" i="4"/>
  <c r="AG28" i="4"/>
  <c r="AH28" i="4"/>
  <c r="AI28" i="4"/>
  <c r="AJ28" i="4"/>
  <c r="AL28" i="4"/>
  <c r="AM28" i="4"/>
  <c r="AN28" i="4"/>
  <c r="AO28" i="4"/>
  <c r="AP28" i="4"/>
  <c r="AR28" i="4"/>
  <c r="AS28" i="4"/>
  <c r="AT28" i="4"/>
  <c r="AU28" i="4"/>
  <c r="AW28" i="4"/>
  <c r="AX28" i="4"/>
  <c r="AY28" i="4"/>
  <c r="AZ28" i="4"/>
  <c r="BA28" i="4"/>
  <c r="BB28" i="4"/>
  <c r="BC28" i="4"/>
  <c r="BD28" i="4"/>
  <c r="BG28" i="4"/>
  <c r="BH28" i="4"/>
  <c r="BI28" i="4"/>
  <c r="BK28" i="4"/>
  <c r="BL28" i="4"/>
  <c r="BM28" i="4"/>
  <c r="BO28" i="4"/>
  <c r="BQ28" i="4"/>
  <c r="BR28" i="4"/>
  <c r="BS28" i="4"/>
  <c r="BU28" i="4"/>
  <c r="L40" i="4" l="1"/>
  <c r="F28" i="4"/>
  <c r="F69" i="4" s="1"/>
  <c r="G69" i="4" s="1"/>
  <c r="L39" i="4"/>
  <c r="F27" i="4"/>
  <c r="F68" i="4" s="1"/>
  <c r="L38" i="4"/>
  <c r="F26" i="4"/>
  <c r="F67" i="4" s="1"/>
  <c r="G67" i="4" s="1"/>
  <c r="L37" i="4"/>
  <c r="F25" i="4"/>
  <c r="F66" i="4" s="1"/>
  <c r="L36" i="4"/>
  <c r="F24" i="4"/>
  <c r="L35" i="4"/>
  <c r="F23" i="4"/>
  <c r="F64" i="4" s="1"/>
  <c r="G64" i="4" s="1"/>
  <c r="L34" i="4"/>
  <c r="F22" i="4"/>
  <c r="L33" i="4"/>
  <c r="F21" i="4"/>
  <c r="F62" i="4" s="1"/>
  <c r="G62" i="4" s="1"/>
  <c r="L32" i="4"/>
  <c r="F20" i="4"/>
  <c r="B19" i="4"/>
  <c r="I69" i="4" l="1"/>
  <c r="J69" i="4" s="1"/>
  <c r="M69" i="4" s="1"/>
  <c r="I67" i="4"/>
  <c r="J67" i="4" s="1"/>
  <c r="M67" i="4" s="1"/>
  <c r="J64" i="4"/>
  <c r="M64" i="4" s="1"/>
  <c r="I64" i="4"/>
  <c r="I62" i="4"/>
  <c r="J62" i="4" s="1"/>
  <c r="M62" i="4" s="1"/>
  <c r="BX19" i="4"/>
  <c r="BW19" i="4"/>
  <c r="BX17" i="4"/>
  <c r="BW17" i="4"/>
  <c r="BV19" i="4"/>
  <c r="BV17" i="4"/>
  <c r="B17" i="4"/>
  <c r="T18" i="4" l="1"/>
  <c r="S18" i="4"/>
  <c r="AB19" i="4" l="1"/>
  <c r="AA19" i="4"/>
  <c r="Z19" i="4"/>
  <c r="X19" i="4"/>
  <c r="W19" i="4"/>
  <c r="V19" i="4"/>
  <c r="U19" i="4"/>
  <c r="T19" i="4"/>
  <c r="S19" i="4"/>
  <c r="BU19" i="4"/>
  <c r="BS19" i="4"/>
  <c r="BR19" i="4"/>
  <c r="BQ19" i="4"/>
  <c r="BO19" i="4"/>
  <c r="BS18" i="4"/>
  <c r="BT18" i="4"/>
  <c r="BU18" i="4"/>
  <c r="BR18" i="4"/>
  <c r="BQ18" i="4"/>
  <c r="BP18" i="4"/>
  <c r="BM18" i="4"/>
  <c r="BM19" i="4"/>
  <c r="BL19" i="4"/>
  <c r="BK19" i="4"/>
  <c r="BJ19" i="4"/>
  <c r="BI19" i="4"/>
  <c r="BH19" i="4"/>
  <c r="BE19" i="4"/>
  <c r="BD19" i="4"/>
  <c r="BC19" i="4"/>
  <c r="BL18" i="4"/>
  <c r="BK18" i="4"/>
  <c r="BI18" i="4"/>
  <c r="BH18" i="4"/>
  <c r="BD18" i="4"/>
  <c r="BC18" i="4"/>
  <c r="BB19" i="4"/>
  <c r="AZ19" i="4"/>
  <c r="AY19" i="4"/>
  <c r="AX19" i="4"/>
  <c r="AW19" i="4"/>
  <c r="AV19" i="4"/>
  <c r="AU19" i="4"/>
  <c r="AT19" i="4"/>
  <c r="AS19" i="4"/>
  <c r="BB18" i="4"/>
  <c r="AZ18" i="4"/>
  <c r="AY18" i="4"/>
  <c r="AX18" i="4"/>
  <c r="AW18" i="4"/>
  <c r="AV18" i="4"/>
  <c r="AU18" i="4"/>
  <c r="AT18" i="4"/>
  <c r="AS18" i="4"/>
  <c r="AQ19" i="4"/>
  <c r="AP19" i="4"/>
  <c r="AO19" i="4"/>
  <c r="AN19" i="4"/>
  <c r="AM19" i="4"/>
  <c r="AL19" i="4"/>
  <c r="AP18" i="4"/>
  <c r="AO18" i="4"/>
  <c r="AN18" i="4"/>
  <c r="AM18" i="4"/>
  <c r="AL18" i="4"/>
  <c r="AK18" i="4"/>
  <c r="AK19" i="4"/>
  <c r="AJ19" i="4"/>
  <c r="AI19" i="4"/>
  <c r="AH19" i="4"/>
  <c r="AG19" i="4"/>
  <c r="AF19" i="4"/>
  <c r="AJ18" i="4"/>
  <c r="AI18" i="4"/>
  <c r="AH18" i="4"/>
  <c r="AE18" i="4"/>
  <c r="AG18" i="4"/>
  <c r="AF18" i="4"/>
  <c r="AD18" i="4"/>
  <c r="AD19" i="4"/>
  <c r="AC18" i="4"/>
  <c r="N18" i="4"/>
  <c r="AB18" i="4" l="1"/>
  <c r="AA18" i="4"/>
  <c r="Z18" i="4"/>
  <c r="X18" i="4"/>
  <c r="W18" i="4"/>
  <c r="U18" i="4"/>
  <c r="R18" i="4" l="1"/>
  <c r="Q18" i="4"/>
  <c r="P18" i="4"/>
  <c r="O18" i="4"/>
  <c r="N19" i="4"/>
  <c r="R19" i="4"/>
  <c r="Q19" i="4"/>
  <c r="P19" i="4"/>
  <c r="O19" i="4"/>
  <c r="N16" i="4"/>
  <c r="L19" i="4"/>
  <c r="K19" i="4"/>
  <c r="E31" i="4" s="1"/>
  <c r="L31" i="4" s="1"/>
  <c r="H19" i="4"/>
  <c r="D19" i="4"/>
  <c r="D31" i="4" s="1"/>
  <c r="C19" i="4"/>
  <c r="A19" i="4"/>
  <c r="CE20" i="4" l="1"/>
  <c r="CG20" i="4"/>
  <c r="CG25" i="4"/>
  <c r="CE25" i="4"/>
  <c r="CG21" i="4"/>
  <c r="CE21" i="4"/>
  <c r="CE26" i="4"/>
  <c r="CG26" i="4"/>
  <c r="CE24" i="4"/>
  <c r="CG24" i="4"/>
  <c r="CG28" i="4"/>
  <c r="CE28" i="4"/>
  <c r="CG23" i="4"/>
  <c r="CE23" i="4"/>
  <c r="CG22" i="4"/>
  <c r="CE22" i="4"/>
  <c r="CG27" i="4"/>
  <c r="CE27" i="4"/>
  <c r="CE19" i="4"/>
  <c r="CG19" i="4"/>
  <c r="CH20" i="4" l="1"/>
  <c r="CL20" i="4" s="1"/>
  <c r="CH26" i="4"/>
  <c r="CJ26" i="4" s="1"/>
  <c r="CH25" i="4"/>
  <c r="CJ25" i="4" s="1"/>
  <c r="CH28" i="4"/>
  <c r="CJ28" i="4" s="1"/>
  <c r="CH23" i="4"/>
  <c r="CH22" i="4"/>
  <c r="CH27" i="4"/>
  <c r="CH24" i="4"/>
  <c r="CH21" i="4"/>
  <c r="CH19" i="4"/>
  <c r="CL26" i="4" l="1"/>
  <c r="CJ20" i="4"/>
  <c r="E20" i="4" s="1"/>
  <c r="G20" i="4" s="1"/>
  <c r="I20" i="4" s="1"/>
  <c r="J20" i="4" s="1"/>
  <c r="M20" i="4" s="1"/>
  <c r="CL25" i="4"/>
  <c r="E25" i="4" s="1"/>
  <c r="CL28" i="4"/>
  <c r="E28" i="4" s="1"/>
  <c r="G28" i="4" s="1"/>
  <c r="I28" i="4" s="1"/>
  <c r="J28" i="4" s="1"/>
  <c r="M28" i="4" s="1"/>
  <c r="E26" i="4"/>
  <c r="G26" i="4" s="1"/>
  <c r="I26" i="4" s="1"/>
  <c r="J26" i="4" s="1"/>
  <c r="M26" i="4" s="1"/>
  <c r="CJ21" i="4"/>
  <c r="CL21" i="4"/>
  <c r="CL24" i="4"/>
  <c r="CJ24" i="4"/>
  <c r="CJ27" i="4"/>
  <c r="CL27" i="4"/>
  <c r="CL23" i="4"/>
  <c r="CJ23" i="4"/>
  <c r="CJ22" i="4"/>
  <c r="CL22" i="4"/>
  <c r="CJ19" i="4"/>
  <c r="CL19" i="4"/>
  <c r="G25" i="4" l="1"/>
  <c r="I25" i="4" s="1"/>
  <c r="J25" i="4" s="1"/>
  <c r="M25" i="4" s="1"/>
  <c r="E66" i="4"/>
  <c r="G66" i="4" s="1"/>
  <c r="E27" i="4"/>
  <c r="E24" i="4"/>
  <c r="G24" i="4" s="1"/>
  <c r="E23" i="4"/>
  <c r="G23" i="4" s="1"/>
  <c r="I23" i="4" s="1"/>
  <c r="J23" i="4" s="1"/>
  <c r="M23" i="4" s="1"/>
  <c r="E21" i="4"/>
  <c r="G21" i="4" s="1"/>
  <c r="I21" i="4" s="1"/>
  <c r="J21" i="4" s="1"/>
  <c r="M21" i="4" s="1"/>
  <c r="E22" i="4"/>
  <c r="G22" i="4" s="1"/>
  <c r="I22" i="4" s="1"/>
  <c r="J22" i="4" s="1"/>
  <c r="M22" i="4" s="1"/>
  <c r="E19" i="4"/>
  <c r="G27" i="4" l="1"/>
  <c r="I27" i="4" s="1"/>
  <c r="J27" i="4" s="1"/>
  <c r="M27" i="4" s="1"/>
  <c r="E68" i="4"/>
  <c r="G68" i="4" s="1"/>
  <c r="I68" i="4" s="1"/>
  <c r="J68" i="4" s="1"/>
  <c r="M68" i="4" s="1"/>
  <c r="I66" i="4"/>
  <c r="J66" i="4" s="1"/>
  <c r="M66" i="4" s="1"/>
  <c r="I24" i="4"/>
  <c r="J24" i="4" s="1"/>
  <c r="M24" i="4" s="1"/>
  <c r="G19" i="4"/>
  <c r="I19" i="4" s="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0" authorId="0" shapeId="0" xr:uid="{CECD85E8-ECB2-445F-89A9-5418494B2DE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<sst xmlns="http://schemas.openxmlformats.org/spreadsheetml/2006/main" count="493" uniqueCount="278">
  <si>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</si>
  <si>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</si>
  <si>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</si>
  <si>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</si>
  <si>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</si>
  <si>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</si>
  <si>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</si>
  <si>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</si>
  <si>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</si>
  <si>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</si>
  <si>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</si>
  <si>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</si>
  <si>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</si>
  <si>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</si>
  <si>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</si>
  <si>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</si>
  <si>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</si>
  <si>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</si>
  <si>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</si>
  <si>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</si>
  <si>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</si>
  <si>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</si>
  <si>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</si>
  <si>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</si>
  <si>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</si>
  <si>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</si>
  <si>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</si>
  <si>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</si>
  <si>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</si>
  <si>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</si>
  <si>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</si>
  <si>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</si>
  <si>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</si>
  <si>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</si>
  <si>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</si>
  <si>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</si>
  <si>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</si>
  <si>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</si>
  <si>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</si>
  <si>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</si>
  <si>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</si>
  <si>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</si>
  <si>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</si>
  <si>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</si>
  <si>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</si>
  <si>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</si>
  <si>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</si>
  <si>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</si>
  <si>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</si>
  <si>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</si>
  <si>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</si>
  <si>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</si>
  <si>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</si>
  <si>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</si>
  <si>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</si>
  <si>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</si>
  <si>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</si>
  <si>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</si>
  <si>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</si>
  <si>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</si>
  <si>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</si>
  <si>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</si>
  <si>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</si>
  <si>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</si>
  <si>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</si>
  <si>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</si>
  <si>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Type A PVC</t>
  </si>
  <si>
    <t>Copper Tape - 0.04 mm</t>
  </si>
  <si>
    <t>PVC Type ST-1</t>
  </si>
  <si>
    <t>Aluminium Round Wire</t>
  </si>
  <si>
    <t>Type C PVC (HR)</t>
  </si>
  <si>
    <t>Copper Tape - 0.045 mm</t>
  </si>
  <si>
    <t>PVC Type ST-1-PRESSURE EXTRUDED</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</si>
  <si>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</si>
  <si>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</si>
  <si>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</si>
  <si>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</si>
  <si>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</si>
  <si>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</si>
  <si>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</si>
  <si>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</si>
  <si>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</si>
  <si>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</si>
  <si>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</si>
  <si>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</si>
  <si>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</si>
  <si>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</si>
  <si>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</si>
  <si>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</si>
  <si>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</si>
  <si>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</si>
  <si>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</si>
  <si>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</si>
  <si>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</si>
  <si>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</si>
  <si>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</si>
  <si>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</si>
  <si>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</si>
  <si>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</si>
  <si>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</si>
  <si>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 xml:space="preserve">One Year Rate Contract for Supplying 11 KV HT Cables at TPCODL, TPSODL &amp; TPNODL </t>
  </si>
  <si>
    <t>TPCODL/CCG/24-25/1000000981</t>
  </si>
  <si>
    <t xml:space="preserve">TPCODL  TPNODL  TPSODL  TPWODL </t>
  </si>
  <si>
    <t xml:space="preserve">16.09.2024, 17:00 Hours </t>
  </si>
  <si>
    <t>No of bidders allowed to participate in RA process shall be: Total No of bidders on whom tender would be split PLUS 2 more bidders  Illustrative example: Total no of qualified bidders is 10 &amp; tender needs to split amongst 4 bidders. 
PLUS 2 means (04 + 02 = 06) means lowest 6 bidders i.e., L1 to L6 bidders would be allowed in the RA process. Balance, H1 to H4 bidders would not be allowed in the RA process. In case – Total no of qualified bidders is equal to or less than the PLUS 2 number, all qualified bidders shall be allowed in the RA process.</t>
  </si>
  <si>
    <t>Prices shall be firm till the validity of the contract.</t>
  </si>
  <si>
    <t>Bids shall remain valid for 180 days from the due date of submission of the bid. 
Notwithstanding clause above, CCG may solicit the Bidder’s consent to an extension of the Period of Bid Validity. The request and responses thereto shall be made in writing</t>
  </si>
  <si>
    <t xml:space="preserve">100% payment within 60 days of submission of error-free Invoice complete in all respects. However, for MSME the payment cycle shall be 45 days. </t>
  </si>
  <si>
    <t>Delivery Period shall be 60 Days from date of receipt of release order / CAT-A issuance, whichever is later.</t>
  </si>
  <si>
    <t xml:space="preserve">Steel drums shall be provided. Drum shall be free from sharp edges and visual defect. Stencil plate on one flange side of the drum and laminated paper sheet on other side flange of drum. </t>
  </si>
  <si>
    <t>Cable length on one drum shall be 250 meters max. +/- 5%. (As per PO Terms.) 
The cable shall be supplied in continuous standard length of 250 (3 cores) &amp; 500 (Single core) running meters with +/- 5% tolerance.</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</si>
  <si>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</si>
  <si>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</si>
  <si>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</si>
  <si>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</si>
  <si>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</si>
  <si>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</si>
  <si>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</si>
  <si>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</si>
  <si>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</si>
  <si>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</si>
  <si>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</si>
  <si>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</si>
  <si>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</si>
  <si>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</si>
  <si>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</si>
  <si>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</si>
  <si>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</si>
  <si>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</si>
  <si>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</si>
  <si>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</si>
  <si>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</si>
  <si>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</si>
  <si>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</si>
  <si>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</si>
  <si>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</si>
  <si>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</si>
  <si>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</si>
  <si>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</si>
  <si>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</si>
  <si>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</si>
  <si>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</si>
  <si>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</si>
  <si>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</si>
  <si>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</si>
  <si>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</si>
  <si>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</si>
  <si>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</si>
  <si>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</si>
  <si>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</si>
  <si>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</si>
  <si>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</si>
  <si>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</si>
  <si>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</si>
  <si>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</si>
  <si>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</si>
  <si>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</si>
  <si>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</si>
  <si>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</si>
  <si>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</si>
  <si>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</si>
  <si>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</si>
  <si>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</si>
  <si>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</si>
  <si>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</si>
  <si>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</si>
  <si>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</si>
  <si>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</si>
  <si>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</si>
  <si>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</si>
  <si>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</si>
  <si>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</si>
  <si>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</si>
  <si>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</si>
  <si>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</si>
  <si>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</si>
  <si>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</si>
  <si>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</si>
  <si>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</si>
  <si>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</si>
  <si>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</si>
  <si>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</si>
  <si>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</si>
  <si>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</si>
  <si>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</si>
  <si>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</si>
  <si>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</si>
  <si>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</si>
  <si>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</si>
  <si>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</si>
  <si>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ENQ-13992-22-23</t>
  </si>
  <si>
    <t>FA1300091</t>
  </si>
  <si>
    <t>3 CORE X 300 SQ. MM. AL/ARM - WIRE (XLPE) - 11 KV</t>
  </si>
  <si>
    <t>STEEL</t>
  </si>
  <si>
    <t>Extruded Semiconductive</t>
  </si>
  <si>
    <t>Polypropylene Filler</t>
  </si>
  <si>
    <t>KMS</t>
  </si>
  <si>
    <t>SP0400136</t>
  </si>
  <si>
    <t>CORRUGATED DISPATCH STEEL DRUM 2200 X 1300 X 1200 MM</t>
  </si>
  <si>
    <t>FA1300090</t>
  </si>
  <si>
    <t>3 CORE X 185 SQ. MM AL/ARM - WIRE (XLPE) - 11 KV</t>
  </si>
  <si>
    <t>SP0400111</t>
  </si>
  <si>
    <t>CORRUGATED DISPATCH STEEL DRUM 1900 X 1000 X 1000 MM</t>
  </si>
  <si>
    <t>FA1300176</t>
  </si>
  <si>
    <t>3 CORE X 150 SQ. MM. AL/ARM - WIRE (XLPE) - 11 KV</t>
  </si>
  <si>
    <t>FA1300098</t>
  </si>
  <si>
    <t>3 CORE X 95 SQ. MM. AL/ARM - WIRE (XLPE) - 11 KV</t>
  </si>
  <si>
    <t>SP0400118</t>
  </si>
  <si>
    <t>CORRUGATED DISPATCH STEEL DRUM 1700 X 1000 X 1200</t>
  </si>
  <si>
    <t>FA1300066</t>
  </si>
  <si>
    <t>1 CORE X 1000 SQ. MM. AL/ARM (XLPE) - 11 KV</t>
  </si>
  <si>
    <t>SP0400107</t>
  </si>
  <si>
    <t>CORRUGATED DISPATCH STEEL DRUM 2150 X 1080 X 1240 MM</t>
  </si>
  <si>
    <t>FA1300016</t>
  </si>
  <si>
    <t>1 CORE X 630 SQ. MM. AL/ARM (XLPE)  - 11 KV</t>
  </si>
  <si>
    <t>SP0400091</t>
  </si>
  <si>
    <t>CORRUGATED DISPATCH STEEL DRUM 1800 X 900 X 1000</t>
  </si>
  <si>
    <t>FA1300047</t>
  </si>
  <si>
    <t>1 CORE X 400 SQ. MM. AL/ARM (XLPE) - 11 KV</t>
  </si>
  <si>
    <t>SP0400125</t>
  </si>
  <si>
    <t>CORRUGATED DISPATCH STEEL DRUM 1600 X 700 X 915 MM</t>
  </si>
  <si>
    <t>FA1300009</t>
  </si>
  <si>
    <t>1 CORE X 300 SQ. MM. AL./ARM (XLPE)  - 11 KV</t>
  </si>
  <si>
    <t>SP0400152</t>
  </si>
  <si>
    <t>CORRUGATED DISPATCH STEEL DRUM 1500 X 800 X 915</t>
  </si>
  <si>
    <t>FA1300020</t>
  </si>
  <si>
    <t>1 CORE X 185 SQ. MM. AL./ARM (XLPE)  - 11 KV</t>
  </si>
  <si>
    <t>FA1300075</t>
  </si>
  <si>
    <t>1 CORE X 95 SQ. MM. AL.ARM (XLPE) - 11 KV</t>
  </si>
  <si>
    <t>WOOD</t>
  </si>
  <si>
    <t>MD0100015</t>
  </si>
  <si>
    <t>DRUM - 48 X 20 X 28 X 2.25 - RDSO</t>
  </si>
  <si>
    <t>PP FILLER</t>
  </si>
  <si>
    <t>NCWBT</t>
  </si>
  <si>
    <t>SP0400110</t>
  </si>
  <si>
    <t>CORRUGATED DISPATCH STEEL DRUM 1600 X 900 X 1000 MM</t>
  </si>
  <si>
    <t>FRLSH PVC Type ST-2 ATR</t>
  </si>
  <si>
    <t xml:space="preserve"> Rs 20/kg over  for lead free ATR</t>
  </si>
  <si>
    <t xml:space="preserve">Consider 1 % extra cost on total cable for special process for all cable. 	</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</si>
  <si>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</si>
  <si>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</si>
  <si>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</si>
  <si>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</si>
  <si>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</si>
  <si>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</si>
  <si>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</si>
  <si>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</si>
  <si>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</si>
  <si>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SP0400124</t>
  </si>
  <si>
    <t>CORRUGATED DISPATCH STEEL DRUM 1220 X 550 X 915 MM</t>
  </si>
  <si>
    <t>Consider Al rate from- BALCO/ HINDALCO/ NALCO/ Vedanta only.</t>
  </si>
  <si>
    <t>Consider Rs. 1 extra for colour of o/sh-FRLSH</t>
  </si>
  <si>
    <t>Consider PVC compound rate from-  Shakun/Kalpana/KLJ/ DCM ShriRam only</t>
  </si>
  <si>
    <t>Consider Steel armour rate from-  TATA Steel/Jindal Steel/ SAIL only</t>
  </si>
  <si>
    <t>Consider al armour rate from-  TATA/BALCO/HINDALCO/NALCO/Vedanta Only</t>
  </si>
  <si>
    <t xml:space="preserve">Consider XLPE compound rate from-  Dow/Borealis/Hanwa only. </t>
  </si>
  <si>
    <t xml:space="preserve">Consider Semiconducting compound rate from-  Dow/Borealis/Hanwa only. </t>
  </si>
  <si>
    <t>Please do not consider the rate of pressure extruded PVC inner sheath for all cables.</t>
  </si>
  <si>
    <t>Consider CU TAPE rate from - Vedanta &amp; Hindustan Copper-only for 1C x 95 SQ.MM &amp; 1 C X 185 SQ. MM.</t>
  </si>
  <si>
    <t>Consider Outer Sheath rate Rs 20/kg over (PVC) ST-2 FRLSH for lead free ATR - only for 1C x 95 SQ.MM &amp; 1 C X 185 SQ. MM.</t>
  </si>
  <si>
    <t>Consider extra premium percentage only for 1C X 1000SQ. MM, comfirmed from DVG Sir.</t>
  </si>
  <si>
    <r>
      <t>Consider mass of zinc coating 290 gm/m</t>
    </r>
    <r>
      <rPr>
        <b/>
        <vertAlign val="superscript"/>
        <sz val="11"/>
        <color theme="1"/>
        <rFont val="Calibri"/>
        <family val="2"/>
        <scheme val="minor"/>
      </rPr>
      <t xml:space="preserve">2 </t>
    </r>
    <r>
      <rPr>
        <b/>
        <sz val="11"/>
        <color theme="1"/>
        <rFont val="Calibri"/>
        <family val="2"/>
        <scheme val="minor"/>
      </rPr>
      <t>for each size galvanized steel wire for all cable.</t>
    </r>
  </si>
  <si>
    <t xml:space="preserve">Consider 1 % extra cost on total cable for special process for all cable. </t>
  </si>
  <si>
    <t>CABLE WEIGHT KG/KM</t>
  </si>
  <si>
    <t>DRUM WEIGHT</t>
  </si>
  <si>
    <t>CABLE+DRUM WEIGHT</t>
  </si>
  <si>
    <t>TRAILER 28 MT</t>
  </si>
  <si>
    <t>TRAILOR</t>
  </si>
  <si>
    <t>EX-WORKS (PER MTR)</t>
  </si>
  <si>
    <t>FREIGHT PER MTR</t>
  </si>
  <si>
    <t>PRICE INCLUDING FREIGHT (PER MTR)</t>
  </si>
  <si>
    <t>PRICE INCLUDING GST &amp; FREIGHT (PER MTR)</t>
  </si>
  <si>
    <t>MTR</t>
  </si>
  <si>
    <t>Number of drum in trailor</t>
  </si>
  <si>
    <t>standard drum length mtr</t>
  </si>
  <si>
    <t>OD (MM</t>
  </si>
  <si>
    <t>SOMBHU CONFIRMED OVERPHONE</t>
  </si>
  <si>
    <t>16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</si>
</sst>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vertAlign val="superscript"/>
      <sz val="11"/>
      <color theme="1"/>
      <name val="Calibri"/>
      <family val="2"/>
      <scheme val="minor"/>
    </font>
    <font>
      <b/>
      <sz val="11"/>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113">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8" fillId="5" borderId="0" xfId="0" applyFont="1" applyFill="1" applyAlignment="1">
      <alignment vertical="center" wrapText="1"/>
    </xf>
    <xf numFmtId="0" fontId="0" fillId="6" borderId="0" xfId="0" applyFill="1"/>
    <xf numFmtId="0" fontId="0" fillId="6" borderId="1" xfId="0" applyFill="1" applyBorder="1" applyAlignment="1">
      <alignment wrapText="1"/>
    </xf>
    <xf numFmtId="14" fontId="0" fillId="6" borderId="1" xfId="0" applyNumberFormat="1" applyFill="1" applyBorder="1" applyAlignment="1">
      <alignment wrapText="1"/>
    </xf>
    <xf numFmtId="164" fontId="0" fillId="6" borderId="1" xfId="1" applyFont="1" applyFill="1" applyBorder="1" applyAlignment="1">
      <alignment wrapText="1"/>
    </xf>
    <xf numFmtId="164" fontId="0" fillId="6" borderId="1" xfId="0" applyNumberFormat="1" applyFill="1" applyBorder="1" applyAlignment="1">
      <alignment wrapText="1"/>
    </xf>
    <xf numFmtId="9" fontId="0" fillId="6" borderId="1" xfId="2" applyFont="1" applyFill="1" applyBorder="1" applyAlignment="1">
      <alignment wrapText="1"/>
    </xf>
    <xf numFmtId="0" fontId="2"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0" fontId="2" fillId="6" borderId="1" xfId="2" applyNumberFormat="1" applyFont="1" applyFill="1" applyBorder="1" applyAlignment="1">
      <alignment wrapText="1"/>
    </xf>
    <xf numFmtId="0" fontId="0" fillId="7" borderId="0" xfId="0" applyFill="1"/>
    <xf numFmtId="0" fontId="0" fillId="7" borderId="1" xfId="0" applyFill="1" applyBorder="1" applyAlignment="1">
      <alignment wrapText="1"/>
    </xf>
    <xf numFmtId="14" fontId="0" fillId="7" borderId="1" xfId="0" applyNumberFormat="1" applyFill="1" applyBorder="1" applyAlignment="1">
      <alignment wrapText="1"/>
    </xf>
    <xf numFmtId="164" fontId="0" fillId="7" borderId="1" xfId="1" applyFont="1" applyFill="1" applyBorder="1" applyAlignment="1">
      <alignment wrapText="1"/>
    </xf>
    <xf numFmtId="164" fontId="0" fillId="7" borderId="1" xfId="0" applyNumberFormat="1" applyFill="1" applyBorder="1" applyAlignment="1">
      <alignment wrapText="1"/>
    </xf>
    <xf numFmtId="9" fontId="0" fillId="7" borderId="1" xfId="2" applyFont="1" applyFill="1" applyBorder="1" applyAlignment="1">
      <alignment wrapText="1"/>
    </xf>
    <xf numFmtId="0" fontId="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10" fontId="2" fillId="7" borderId="1" xfId="2" applyNumberFormat="1" applyFont="1" applyFill="1" applyBorder="1" applyAlignment="1">
      <alignment wrapText="1"/>
    </xf>
    <xf numFmtId="0" fontId="7" fillId="4" borderId="1" xfId="0" applyFont="1" applyFill="1" applyBorder="1" applyAlignment="1">
      <alignment vertical="center" wrapText="1"/>
    </xf>
    <xf numFmtId="0" fontId="0" fillId="8" borderId="1" xfId="0" applyFill="1" applyBorder="1" applyAlignment="1">
      <alignment wrapText="1"/>
    </xf>
    <xf numFmtId="0" fontId="0" fillId="9" borderId="1" xfId="0" applyFill="1" applyBorder="1" applyAlignment="1">
      <alignment vertical="center" wrapText="1"/>
    </xf>
    <xf numFmtId="10" fontId="4" fillId="0" borderId="1" xfId="2" applyNumberFormat="1" applyFont="1" applyBorder="1" applyAlignment="1">
      <alignment horizontal="center" vertical="center" wrapText="1"/>
    </xf>
    <xf numFmtId="0" fontId="2" fillId="0" borderId="1" xfId="0" applyFont="1" applyBorder="1" applyAlignment="1">
      <alignment horizontal="center" vertical="center"/>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43" fontId="0" fillId="0" borderId="1" xfId="0" applyNumberFormat="1" applyBorder="1" applyAlignment="1">
      <alignment wrapText="1"/>
    </xf>
    <xf numFmtId="0" fontId="2"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0" borderId="4"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vertical="center"/>
    </xf>
    <xf numFmtId="0" fontId="2" fillId="0" borderId="4" xfId="0" applyFont="1" applyBorder="1" applyAlignment="1">
      <alignment vertical="center"/>
    </xf>
    <xf numFmtId="0" fontId="2" fillId="0" borderId="1" xfId="0" applyFont="1" applyBorder="1" applyAlignment="1">
      <alignment vertical="center"/>
    </xf>
    <xf numFmtId="164" fontId="0" fillId="9" borderId="1" xfId="1" applyFont="1" applyFill="1" applyBorder="1" applyAlignment="1">
      <alignment wrapText="1"/>
    </xf>
    <xf numFmtId="0" fontId="16" fillId="11" borderId="1" xfId="0" applyFont="1" applyFill="1" applyBorder="1" applyAlignment="1">
      <alignment horizontal="center" vertical="center"/>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center" vertical="center" wrapText="1"/>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164" fontId="0" fillId="0" borderId="0" xfId="0" applyNumberFormat="1"/>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11"/>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6" customFormat="1" x14ac:dyDescent="0.25">
      <c r="A1" t="s">
        <v>0</v>
      </c>
      <c r="B1" t="s">
        <v>97</v>
      </c>
      <c r="C1" t="s">
        <v>1</v>
      </c>
      <c r="D1" t="s">
        <v>2</v>
      </c>
      <c r="E1" t="s">
        <v>111</v>
      </c>
      <c r="F1" t="s">
        <v>112</v>
      </c>
      <c r="G1" t="s">
        <v>113</v>
      </c>
      <c r="H1" t="s">
        <v>4</v>
      </c>
      <c r="I1" t="s">
        <v>114</v>
      </c>
      <c r="J1" t="s">
        <v>5</v>
      </c>
      <c r="K1" t="s">
        <v>115</v>
      </c>
      <c r="L1" t="s">
        <v>116</v>
      </c>
      <c r="M1" t="s">
        <v>117</v>
      </c>
      <c r="N1" t="s">
        <v>6</v>
      </c>
      <c r="O1" t="s">
        <v>118</v>
      </c>
      <c r="P1" t="s">
        <v>119</v>
      </c>
      <c r="Q1" t="s">
        <v>120</v>
      </c>
      <c r="R1" t="s">
        <v>121</v>
      </c>
      <c r="S1" t="s">
        <v>122</v>
      </c>
      <c r="T1" t="s">
        <v>123</v>
      </c>
      <c r="U1" t="s">
        <v>124</v>
      </c>
      <c r="V1" t="s">
        <v>8</v>
      </c>
      <c r="W1" t="s">
        <v>125</v>
      </c>
      <c r="X1" t="s">
        <v>126</v>
      </c>
      <c r="Y1" t="s">
        <v>127</v>
      </c>
      <c r="Z1" t="s">
        <v>128</v>
      </c>
      <c r="AA1" t="s">
        <v>129</v>
      </c>
      <c r="AB1" t="s">
        <v>130</v>
      </c>
      <c r="AC1" t="s">
        <v>131</v>
      </c>
      <c r="AD1" t="s">
        <v>10</v>
      </c>
      <c r="AE1" t="s">
        <v>132</v>
      </c>
      <c r="AF1" t="s">
        <v>133</v>
      </c>
      <c r="AG1" t="s">
        <v>134</v>
      </c>
      <c r="AH1" t="s">
        <v>11</v>
      </c>
      <c r="AI1" t="s">
        <v>135</v>
      </c>
      <c r="AJ1" t="s">
        <v>136</v>
      </c>
      <c r="AK1" t="s">
        <v>137</v>
      </c>
      <c r="AL1" t="s">
        <v>12</v>
      </c>
      <c r="AM1" t="s">
        <v>138</v>
      </c>
      <c r="AN1" t="s">
        <v>139</v>
      </c>
      <c r="AO1" t="s">
        <v>140</v>
      </c>
      <c r="AP1" t="s">
        <v>141</v>
      </c>
      <c r="AQ1" t="s">
        <v>142</v>
      </c>
      <c r="AR1" t="s">
        <v>143</v>
      </c>
      <c r="AS1" t="s">
        <v>144</v>
      </c>
      <c r="AT1" t="s">
        <v>53</v>
      </c>
      <c r="AU1" t="s">
        <v>145</v>
      </c>
      <c r="AV1" t="s">
        <v>146</v>
      </c>
      <c r="AW1" t="s">
        <v>147</v>
      </c>
      <c r="AX1" t="s">
        <v>148</v>
      </c>
      <c r="AY1" t="s">
        <v>149</v>
      </c>
      <c r="AZ1" t="s">
        <v>150</v>
      </c>
      <c r="BA1" t="s">
        <v>151</v>
      </c>
      <c r="BB1" t="s">
        <v>152</v>
      </c>
      <c r="BC1" t="s">
        <v>153</v>
      </c>
      <c r="BD1" t="s">
        <v>154</v>
      </c>
      <c r="BE1" t="s">
        <v>155</v>
      </c>
      <c r="BF1" t="s">
        <v>156</v>
      </c>
      <c r="BG1" t="s">
        <v>157</v>
      </c>
      <c r="BH1" t="s">
        <v>158</v>
      </c>
      <c r="BI1" t="s">
        <v>159</v>
      </c>
      <c r="BJ1" t="s">
        <v>160</v>
      </c>
      <c r="BK1" t="s">
        <v>161</v>
      </c>
      <c r="BL1" t="s">
        <v>162</v>
      </c>
      <c r="BM1" t="s">
        <v>163</v>
      </c>
      <c r="BN1" t="s">
        <v>164</v>
      </c>
      <c r="BO1" t="s">
        <v>165</v>
      </c>
      <c r="BP1" t="s">
        <v>166</v>
      </c>
      <c r="BQ1" t="s">
        <v>167</v>
      </c>
      <c r="BR1" t="s">
        <v>168</v>
      </c>
      <c r="BS1" t="s">
        <v>169</v>
      </c>
      <c r="BT1" t="s">
        <v>170</v>
      </c>
      <c r="BU1" t="s">
        <v>171</v>
      </c>
      <c r="BV1" t="s">
        <v>21</v>
      </c>
      <c r="BW1" t="s">
        <v>172</v>
      </c>
      <c r="BX1" t="s">
        <v>173</v>
      </c>
      <c r="BY1" t="s">
        <v>174</v>
      </c>
      <c r="BZ1" t="s">
        <v>175</v>
      </c>
      <c r="CA1" t="s">
        <v>176</v>
      </c>
      <c r="CB1" t="s">
        <v>24</v>
      </c>
      <c r="CC1" t="s">
        <v>177</v>
      </c>
      <c r="CD1" t="s">
        <v>25</v>
      </c>
      <c r="CE1" t="s">
        <v>178</v>
      </c>
      <c r="CF1" t="s">
        <v>27</v>
      </c>
      <c r="CG1" t="s">
        <v>179</v>
      </c>
      <c r="CH1" t="s">
        <v>180</v>
      </c>
      <c r="CI1" t="s">
        <v>30</v>
      </c>
      <c r="CJ1" t="s">
        <v>181</v>
      </c>
      <c r="CK1" t="s">
        <v>32</v>
      </c>
      <c r="CL1" t="s">
        <v>182</v>
      </c>
      <c r="CM1" t="s">
        <v>183</v>
      </c>
      <c r="CN1" t="s">
        <v>184</v>
      </c>
      <c r="CO1" t="s">
        <v>185</v>
      </c>
      <c r="CP1" t="s">
        <v>37</v>
      </c>
      <c r="CQ1" t="s">
        <v>186</v>
      </c>
      <c r="CR1" t="s">
        <v>187</v>
      </c>
      <c r="CS1" t="s">
        <v>40</v>
      </c>
      <c r="CT1" t="s">
        <v>41</v>
      </c>
      <c r="CU1" t="s">
        <v>188</v>
      </c>
      <c r="CV1" t="s">
        <v>98</v>
      </c>
      <c r="CW1" t="s">
        <v>99</v>
      </c>
      <c r="CX1" t="s">
        <v>189</v>
      </c>
    </row>
    <row r="2" spans="1:102" x14ac:dyDescent="0.25">
      <c r="A2" t="s">
        <v>190</v>
      </c>
      <c r="B2" s="52">
        <v>45548</v>
      </c>
      <c r="C2" t="s">
        <v>191</v>
      </c>
      <c r="D2" t="s">
        <v>192</v>
      </c>
      <c r="E2" t="s">
        <v>193</v>
      </c>
      <c r="F2" t="s">
        <v>71</v>
      </c>
      <c r="G2">
        <v>936.8</v>
      </c>
      <c r="H2">
        <v>122</v>
      </c>
      <c r="I2">
        <v>114289.60000000001</v>
      </c>
      <c r="J2" t="s">
        <v>44</v>
      </c>
      <c r="K2">
        <v>238</v>
      </c>
      <c r="L2">
        <v>2430</v>
      </c>
      <c r="M2">
        <v>578340</v>
      </c>
      <c r="P2">
        <v>0</v>
      </c>
      <c r="R2" t="s">
        <v>194</v>
      </c>
      <c r="S2">
        <v>170</v>
      </c>
      <c r="T2">
        <v>337</v>
      </c>
      <c r="U2" s="53">
        <v>57290</v>
      </c>
      <c r="V2" t="s">
        <v>54</v>
      </c>
      <c r="W2">
        <v>142</v>
      </c>
      <c r="X2">
        <v>802</v>
      </c>
      <c r="Y2" s="53">
        <v>113884</v>
      </c>
      <c r="AB2">
        <v>0</v>
      </c>
      <c r="AD2" t="s">
        <v>78</v>
      </c>
      <c r="AE2">
        <v>88.86</v>
      </c>
      <c r="AF2">
        <v>277</v>
      </c>
      <c r="AG2">
        <v>24614.22</v>
      </c>
      <c r="AH2" t="s">
        <v>82</v>
      </c>
      <c r="AI2">
        <v>85.32</v>
      </c>
      <c r="AJ2">
        <v>3753</v>
      </c>
      <c r="AK2">
        <v>320205.96000000002</v>
      </c>
      <c r="AL2" t="s">
        <v>64</v>
      </c>
      <c r="AM2">
        <v>90.86</v>
      </c>
      <c r="AN2">
        <v>1120</v>
      </c>
      <c r="AO2">
        <v>101763.2</v>
      </c>
      <c r="AP2" t="s">
        <v>195</v>
      </c>
      <c r="AR2">
        <v>1258</v>
      </c>
      <c r="AV2">
        <v>0</v>
      </c>
      <c r="AX2" t="s">
        <v>15</v>
      </c>
      <c r="AY2">
        <v>420</v>
      </c>
      <c r="AZ2">
        <v>0</v>
      </c>
      <c r="BA2">
        <v>0</v>
      </c>
      <c r="BB2" t="s">
        <v>16</v>
      </c>
      <c r="BC2">
        <v>430</v>
      </c>
      <c r="BD2">
        <v>115</v>
      </c>
      <c r="BE2" s="53">
        <v>49450</v>
      </c>
      <c r="BH2">
        <v>34</v>
      </c>
      <c r="BL2">
        <v>0</v>
      </c>
      <c r="BP2">
        <v>0</v>
      </c>
      <c r="BR2" t="s">
        <v>20</v>
      </c>
      <c r="BS2">
        <v>450</v>
      </c>
      <c r="BT2">
        <v>0</v>
      </c>
      <c r="BU2">
        <v>0</v>
      </c>
      <c r="BX2">
        <v>0</v>
      </c>
      <c r="BZ2">
        <v>171000</v>
      </c>
      <c r="CA2">
        <v>1530836.98</v>
      </c>
      <c r="CH2">
        <v>1530836.98</v>
      </c>
      <c r="CM2">
        <v>1530836.98</v>
      </c>
      <c r="CO2">
        <v>1530836.98</v>
      </c>
      <c r="CP2" s="54">
        <v>0.18</v>
      </c>
      <c r="CQ2">
        <v>275550.65999999997</v>
      </c>
      <c r="CR2">
        <v>1806387.64</v>
      </c>
      <c r="CS2">
        <v>19</v>
      </c>
      <c r="CT2" t="s">
        <v>196</v>
      </c>
      <c r="CU2" s="55">
        <v>34321365</v>
      </c>
      <c r="CV2" t="s">
        <v>197</v>
      </c>
      <c r="CW2" t="s">
        <v>198</v>
      </c>
      <c r="CX2">
        <v>250</v>
      </c>
    </row>
    <row r="3" spans="1:102" x14ac:dyDescent="0.25">
      <c r="A3" t="s">
        <v>190</v>
      </c>
      <c r="B3" s="52">
        <v>45548</v>
      </c>
      <c r="C3" t="s">
        <v>199</v>
      </c>
      <c r="D3" t="s">
        <v>200</v>
      </c>
      <c r="E3" t="s">
        <v>193</v>
      </c>
      <c r="F3" t="s">
        <v>71</v>
      </c>
      <c r="G3">
        <v>936.8</v>
      </c>
      <c r="H3">
        <v>105</v>
      </c>
      <c r="I3">
        <v>98364</v>
      </c>
      <c r="J3" t="s">
        <v>44</v>
      </c>
      <c r="K3">
        <v>238</v>
      </c>
      <c r="L3">
        <v>1499</v>
      </c>
      <c r="M3">
        <v>356762</v>
      </c>
      <c r="P3">
        <v>0</v>
      </c>
      <c r="R3" t="s">
        <v>194</v>
      </c>
      <c r="S3">
        <v>170</v>
      </c>
      <c r="T3">
        <v>276</v>
      </c>
      <c r="U3" s="53">
        <v>46920</v>
      </c>
      <c r="V3" t="s">
        <v>54</v>
      </c>
      <c r="W3">
        <v>142</v>
      </c>
      <c r="X3">
        <v>663</v>
      </c>
      <c r="Y3" s="53">
        <v>94146</v>
      </c>
      <c r="AB3">
        <v>0</v>
      </c>
      <c r="AD3" t="s">
        <v>78</v>
      </c>
      <c r="AE3">
        <v>88.86</v>
      </c>
      <c r="AF3">
        <v>237</v>
      </c>
      <c r="AG3">
        <v>21059.82</v>
      </c>
      <c r="AH3" t="s">
        <v>82</v>
      </c>
      <c r="AI3">
        <v>85.32</v>
      </c>
      <c r="AJ3">
        <v>3244</v>
      </c>
      <c r="AK3">
        <v>276778.08</v>
      </c>
      <c r="AL3" t="s">
        <v>64</v>
      </c>
      <c r="AM3">
        <v>90.86</v>
      </c>
      <c r="AN3">
        <v>862</v>
      </c>
      <c r="AO3">
        <v>78321.320000000007</v>
      </c>
      <c r="AP3" t="s">
        <v>195</v>
      </c>
      <c r="AR3">
        <v>914</v>
      </c>
      <c r="AV3">
        <v>0</v>
      </c>
      <c r="AX3" t="s">
        <v>15</v>
      </c>
      <c r="AY3">
        <v>420</v>
      </c>
      <c r="AZ3">
        <v>0</v>
      </c>
      <c r="BA3">
        <v>0</v>
      </c>
      <c r="BB3" t="s">
        <v>16</v>
      </c>
      <c r="BC3">
        <v>430</v>
      </c>
      <c r="BD3">
        <v>0</v>
      </c>
      <c r="BE3">
        <v>0</v>
      </c>
      <c r="BH3">
        <v>0</v>
      </c>
      <c r="BL3">
        <v>0</v>
      </c>
      <c r="BP3">
        <v>0</v>
      </c>
      <c r="BR3" t="s">
        <v>20</v>
      </c>
      <c r="BS3">
        <v>450</v>
      </c>
      <c r="BT3">
        <v>0</v>
      </c>
      <c r="BU3">
        <v>0</v>
      </c>
      <c r="BX3">
        <v>0</v>
      </c>
      <c r="BZ3">
        <v>76000</v>
      </c>
      <c r="CA3">
        <v>1048351.22</v>
      </c>
      <c r="CH3">
        <v>1048351.22</v>
      </c>
      <c r="CM3">
        <v>1048351.22</v>
      </c>
      <c r="CO3">
        <v>1048351.22</v>
      </c>
      <c r="CP3" s="54">
        <v>0.18</v>
      </c>
      <c r="CQ3">
        <v>188703.22</v>
      </c>
      <c r="CR3">
        <v>1237054.44</v>
      </c>
      <c r="CS3">
        <v>27</v>
      </c>
      <c r="CT3" t="s">
        <v>196</v>
      </c>
      <c r="CU3" s="55">
        <v>33400470</v>
      </c>
      <c r="CV3" t="s">
        <v>201</v>
      </c>
      <c r="CW3" t="s">
        <v>202</v>
      </c>
      <c r="CX3">
        <v>250</v>
      </c>
    </row>
    <row r="4" spans="1:102" x14ac:dyDescent="0.25">
      <c r="A4" t="s">
        <v>190</v>
      </c>
      <c r="B4" s="52">
        <v>45548</v>
      </c>
      <c r="C4" t="s">
        <v>203</v>
      </c>
      <c r="D4" t="s">
        <v>204</v>
      </c>
      <c r="E4" t="s">
        <v>193</v>
      </c>
      <c r="F4" t="s">
        <v>71</v>
      </c>
      <c r="G4">
        <v>936.8</v>
      </c>
      <c r="H4">
        <v>99</v>
      </c>
      <c r="I4">
        <v>92743.2</v>
      </c>
      <c r="J4" t="s">
        <v>44</v>
      </c>
      <c r="K4">
        <v>238</v>
      </c>
      <c r="L4">
        <v>1215</v>
      </c>
      <c r="M4">
        <v>289170</v>
      </c>
      <c r="P4">
        <v>0</v>
      </c>
      <c r="R4" t="s">
        <v>194</v>
      </c>
      <c r="S4">
        <v>170</v>
      </c>
      <c r="T4">
        <v>246</v>
      </c>
      <c r="U4" s="53">
        <v>41820</v>
      </c>
      <c r="V4" t="s">
        <v>54</v>
      </c>
      <c r="W4">
        <v>142</v>
      </c>
      <c r="X4">
        <v>620</v>
      </c>
      <c r="Y4" s="53">
        <v>88040</v>
      </c>
      <c r="AB4">
        <v>0</v>
      </c>
      <c r="AD4" t="s">
        <v>78</v>
      </c>
      <c r="AE4">
        <v>88.86</v>
      </c>
      <c r="AF4">
        <v>200</v>
      </c>
      <c r="AG4">
        <v>17772</v>
      </c>
      <c r="AH4" t="s">
        <v>82</v>
      </c>
      <c r="AI4">
        <v>85.32</v>
      </c>
      <c r="AJ4">
        <v>2404</v>
      </c>
      <c r="AK4">
        <v>205109.28</v>
      </c>
      <c r="AL4" t="s">
        <v>64</v>
      </c>
      <c r="AM4">
        <v>90.86</v>
      </c>
      <c r="AN4">
        <v>755</v>
      </c>
      <c r="AO4">
        <v>68599.3</v>
      </c>
      <c r="AP4" t="s">
        <v>195</v>
      </c>
      <c r="AR4">
        <v>809</v>
      </c>
      <c r="AV4">
        <v>0</v>
      </c>
      <c r="AX4" t="s">
        <v>15</v>
      </c>
      <c r="AY4">
        <v>420</v>
      </c>
      <c r="AZ4">
        <v>0</v>
      </c>
      <c r="BA4">
        <v>0</v>
      </c>
      <c r="BB4" t="s">
        <v>16</v>
      </c>
      <c r="BC4">
        <v>430</v>
      </c>
      <c r="BD4">
        <v>162</v>
      </c>
      <c r="BE4" s="53">
        <v>69660</v>
      </c>
      <c r="BH4">
        <v>0</v>
      </c>
      <c r="BL4">
        <v>0</v>
      </c>
      <c r="BP4">
        <v>0</v>
      </c>
      <c r="BR4" t="s">
        <v>20</v>
      </c>
      <c r="BS4">
        <v>450</v>
      </c>
      <c r="BT4">
        <v>0</v>
      </c>
      <c r="BU4">
        <v>0</v>
      </c>
      <c r="BX4">
        <v>0</v>
      </c>
      <c r="BZ4">
        <v>108300</v>
      </c>
      <c r="CA4">
        <v>981213.78</v>
      </c>
      <c r="CH4">
        <v>981213.78</v>
      </c>
      <c r="CM4">
        <v>981213.78</v>
      </c>
      <c r="CO4">
        <v>981213.78</v>
      </c>
      <c r="CP4" s="54">
        <v>0.18</v>
      </c>
      <c r="CQ4">
        <v>176618.48</v>
      </c>
      <c r="CR4">
        <v>1157832.26</v>
      </c>
      <c r="CS4">
        <v>2</v>
      </c>
      <c r="CT4" t="s">
        <v>196</v>
      </c>
      <c r="CU4" s="55">
        <v>2315665</v>
      </c>
      <c r="CV4" t="s">
        <v>201</v>
      </c>
      <c r="CW4" t="s">
        <v>202</v>
      </c>
      <c r="CX4">
        <v>250</v>
      </c>
    </row>
    <row r="5" spans="1:102" x14ac:dyDescent="0.25">
      <c r="A5" t="s">
        <v>190</v>
      </c>
      <c r="B5" s="52">
        <v>45548</v>
      </c>
      <c r="C5" t="s">
        <v>205</v>
      </c>
      <c r="D5" t="s">
        <v>206</v>
      </c>
      <c r="E5" t="s">
        <v>193</v>
      </c>
      <c r="F5" t="s">
        <v>71</v>
      </c>
      <c r="G5">
        <v>936.8</v>
      </c>
      <c r="H5">
        <v>86</v>
      </c>
      <c r="I5">
        <v>80564.800000000003</v>
      </c>
      <c r="J5" t="s">
        <v>44</v>
      </c>
      <c r="K5">
        <v>238</v>
      </c>
      <c r="L5">
        <v>770</v>
      </c>
      <c r="M5">
        <v>183260</v>
      </c>
      <c r="P5">
        <v>0</v>
      </c>
      <c r="R5" t="s">
        <v>194</v>
      </c>
      <c r="S5">
        <v>170</v>
      </c>
      <c r="T5">
        <v>205</v>
      </c>
      <c r="U5" s="53">
        <v>34850</v>
      </c>
      <c r="V5" t="s">
        <v>54</v>
      </c>
      <c r="W5">
        <v>142</v>
      </c>
      <c r="X5">
        <v>520</v>
      </c>
      <c r="Y5" s="53">
        <v>73840</v>
      </c>
      <c r="AB5">
        <v>0</v>
      </c>
      <c r="AD5" t="s">
        <v>78</v>
      </c>
      <c r="AE5">
        <v>88.86</v>
      </c>
      <c r="AF5">
        <v>173</v>
      </c>
      <c r="AG5">
        <v>15372.78</v>
      </c>
      <c r="AH5" t="s">
        <v>82</v>
      </c>
      <c r="AI5">
        <v>85.32</v>
      </c>
      <c r="AJ5">
        <v>2124</v>
      </c>
      <c r="AK5">
        <v>181219.68</v>
      </c>
      <c r="AL5" t="s">
        <v>64</v>
      </c>
      <c r="AM5">
        <v>90.86</v>
      </c>
      <c r="AN5">
        <v>635</v>
      </c>
      <c r="AO5">
        <v>57696.1</v>
      </c>
      <c r="AP5" t="s">
        <v>195</v>
      </c>
      <c r="AR5">
        <v>613</v>
      </c>
      <c r="AV5">
        <v>0</v>
      </c>
      <c r="AX5" t="s">
        <v>15</v>
      </c>
      <c r="AY5">
        <v>420</v>
      </c>
      <c r="AZ5">
        <v>75</v>
      </c>
      <c r="BA5" s="53">
        <v>31500</v>
      </c>
      <c r="BB5" t="s">
        <v>16</v>
      </c>
      <c r="BC5">
        <v>430</v>
      </c>
      <c r="BD5">
        <v>0</v>
      </c>
      <c r="BE5">
        <v>0</v>
      </c>
      <c r="BH5">
        <v>45</v>
      </c>
      <c r="BL5">
        <v>0</v>
      </c>
      <c r="BP5">
        <v>0</v>
      </c>
      <c r="BR5" t="s">
        <v>20</v>
      </c>
      <c r="BS5">
        <v>450</v>
      </c>
      <c r="BT5">
        <v>35</v>
      </c>
      <c r="BU5" s="53">
        <v>15750</v>
      </c>
      <c r="BX5">
        <v>0</v>
      </c>
      <c r="BZ5">
        <v>95000</v>
      </c>
      <c r="CA5">
        <v>769053.36</v>
      </c>
      <c r="CH5">
        <v>769053.36</v>
      </c>
      <c r="CM5">
        <v>769053.36</v>
      </c>
      <c r="CO5">
        <v>769053.36</v>
      </c>
      <c r="CP5" s="54">
        <v>0.18</v>
      </c>
      <c r="CQ5">
        <v>138429.6</v>
      </c>
      <c r="CR5">
        <v>907482.96</v>
      </c>
      <c r="CS5">
        <v>20</v>
      </c>
      <c r="CT5" t="s">
        <v>196</v>
      </c>
      <c r="CU5" s="55">
        <v>18149659</v>
      </c>
      <c r="CV5" t="s">
        <v>207</v>
      </c>
      <c r="CW5" t="s">
        <v>208</v>
      </c>
      <c r="CX5">
        <v>250</v>
      </c>
    </row>
    <row r="6" spans="1:102" x14ac:dyDescent="0.25">
      <c r="A6" t="s">
        <v>190</v>
      </c>
      <c r="B6" s="52">
        <v>45548</v>
      </c>
      <c r="C6" t="s">
        <v>209</v>
      </c>
      <c r="D6" t="s">
        <v>210</v>
      </c>
      <c r="E6" t="s">
        <v>193</v>
      </c>
      <c r="F6" t="s">
        <v>71</v>
      </c>
      <c r="G6">
        <v>936.8</v>
      </c>
      <c r="H6">
        <v>66</v>
      </c>
      <c r="I6">
        <v>61828.800000000003</v>
      </c>
      <c r="J6" t="s">
        <v>44</v>
      </c>
      <c r="K6">
        <v>238</v>
      </c>
      <c r="L6">
        <v>2732</v>
      </c>
      <c r="M6">
        <v>650216</v>
      </c>
      <c r="P6">
        <v>0</v>
      </c>
      <c r="R6" t="s">
        <v>194</v>
      </c>
      <c r="S6">
        <v>170</v>
      </c>
      <c r="T6">
        <v>200</v>
      </c>
      <c r="U6" s="53">
        <v>34000</v>
      </c>
      <c r="V6" t="s">
        <v>54</v>
      </c>
      <c r="W6">
        <v>142</v>
      </c>
      <c r="X6">
        <v>465</v>
      </c>
      <c r="Y6" s="53">
        <v>66030</v>
      </c>
      <c r="Z6" t="s">
        <v>9</v>
      </c>
      <c r="AA6">
        <v>118</v>
      </c>
      <c r="AB6">
        <v>0</v>
      </c>
      <c r="AC6">
        <v>0</v>
      </c>
      <c r="AD6" t="s">
        <v>51</v>
      </c>
      <c r="AE6">
        <v>64.180000000000007</v>
      </c>
      <c r="AF6">
        <v>185</v>
      </c>
      <c r="AG6">
        <v>11873.3</v>
      </c>
      <c r="AH6" t="s">
        <v>69</v>
      </c>
      <c r="AI6">
        <v>243</v>
      </c>
      <c r="AJ6">
        <v>773</v>
      </c>
      <c r="AK6">
        <v>187839</v>
      </c>
      <c r="AL6" t="s">
        <v>64</v>
      </c>
      <c r="AM6">
        <v>90.86</v>
      </c>
      <c r="AN6">
        <v>655</v>
      </c>
      <c r="AO6">
        <v>59513.3</v>
      </c>
      <c r="AR6">
        <v>0</v>
      </c>
      <c r="AV6">
        <v>0</v>
      </c>
      <c r="AX6" t="s">
        <v>15</v>
      </c>
      <c r="AY6">
        <v>420</v>
      </c>
      <c r="AZ6">
        <v>0</v>
      </c>
      <c r="BA6">
        <v>0</v>
      </c>
      <c r="BB6" t="s">
        <v>16</v>
      </c>
      <c r="BC6">
        <v>430</v>
      </c>
      <c r="BD6">
        <v>99</v>
      </c>
      <c r="BE6" s="53">
        <v>42570</v>
      </c>
      <c r="BH6">
        <v>59</v>
      </c>
      <c r="BL6">
        <v>0</v>
      </c>
      <c r="BP6">
        <v>0</v>
      </c>
      <c r="BR6" t="s">
        <v>20</v>
      </c>
      <c r="BS6">
        <v>450</v>
      </c>
      <c r="BT6">
        <v>52</v>
      </c>
      <c r="BU6" s="53">
        <v>23400</v>
      </c>
      <c r="BX6">
        <v>0</v>
      </c>
      <c r="BZ6">
        <v>66500</v>
      </c>
      <c r="CA6">
        <v>1203770.3999999999</v>
      </c>
      <c r="CH6">
        <v>1203770.3999999999</v>
      </c>
      <c r="CM6">
        <v>1203770.3999999999</v>
      </c>
      <c r="CO6">
        <v>1203770.3999999999</v>
      </c>
      <c r="CP6" s="54">
        <v>0.18</v>
      </c>
      <c r="CQ6">
        <v>216678.67</v>
      </c>
      <c r="CR6">
        <v>1420449.07</v>
      </c>
      <c r="CS6">
        <v>20</v>
      </c>
      <c r="CT6" t="s">
        <v>196</v>
      </c>
      <c r="CU6" s="55">
        <v>28408981</v>
      </c>
      <c r="CV6" t="s">
        <v>211</v>
      </c>
      <c r="CW6" t="s">
        <v>212</v>
      </c>
      <c r="CX6">
        <v>500</v>
      </c>
    </row>
    <row r="7" spans="1:102" x14ac:dyDescent="0.25">
      <c r="A7" t="s">
        <v>190</v>
      </c>
      <c r="B7" s="52">
        <v>45548</v>
      </c>
      <c r="C7" t="s">
        <v>213</v>
      </c>
      <c r="D7" t="s">
        <v>214</v>
      </c>
      <c r="E7" t="s">
        <v>193</v>
      </c>
      <c r="F7" t="s">
        <v>71</v>
      </c>
      <c r="G7">
        <v>936.8</v>
      </c>
      <c r="H7">
        <v>54</v>
      </c>
      <c r="I7">
        <v>50587.199999999997</v>
      </c>
      <c r="J7" t="s">
        <v>44</v>
      </c>
      <c r="K7">
        <v>238</v>
      </c>
      <c r="L7">
        <v>1701</v>
      </c>
      <c r="M7">
        <v>404838</v>
      </c>
      <c r="P7">
        <v>0</v>
      </c>
      <c r="R7" t="s">
        <v>194</v>
      </c>
      <c r="S7">
        <v>170</v>
      </c>
      <c r="T7">
        <v>150</v>
      </c>
      <c r="U7" s="53">
        <v>25500</v>
      </c>
      <c r="V7" t="s">
        <v>54</v>
      </c>
      <c r="W7">
        <v>142</v>
      </c>
      <c r="X7">
        <v>374</v>
      </c>
      <c r="Y7" s="53">
        <v>53108</v>
      </c>
      <c r="Z7" t="s">
        <v>9</v>
      </c>
      <c r="AA7">
        <v>118</v>
      </c>
      <c r="AB7">
        <v>0</v>
      </c>
      <c r="AC7">
        <v>0</v>
      </c>
      <c r="AD7" t="s">
        <v>51</v>
      </c>
      <c r="AE7">
        <v>64.180000000000007</v>
      </c>
      <c r="AF7">
        <v>134</v>
      </c>
      <c r="AG7">
        <v>8600.1200000000008</v>
      </c>
      <c r="AH7" t="s">
        <v>69</v>
      </c>
      <c r="AI7">
        <v>243</v>
      </c>
      <c r="AJ7">
        <v>511</v>
      </c>
      <c r="AK7">
        <v>124173</v>
      </c>
      <c r="AL7" t="s">
        <v>64</v>
      </c>
      <c r="AM7">
        <v>90.86</v>
      </c>
      <c r="AN7">
        <v>472</v>
      </c>
      <c r="AO7">
        <v>42885.919999999998</v>
      </c>
      <c r="AR7">
        <v>0</v>
      </c>
      <c r="AV7">
        <v>0</v>
      </c>
      <c r="AX7" t="s">
        <v>15</v>
      </c>
      <c r="AY7">
        <v>420</v>
      </c>
      <c r="AZ7">
        <v>0</v>
      </c>
      <c r="BA7">
        <v>0</v>
      </c>
      <c r="BB7" t="s">
        <v>16</v>
      </c>
      <c r="BC7">
        <v>430</v>
      </c>
      <c r="BD7">
        <v>70</v>
      </c>
      <c r="BE7" s="53">
        <v>30100</v>
      </c>
      <c r="BH7">
        <v>0</v>
      </c>
      <c r="BL7">
        <v>0</v>
      </c>
      <c r="BP7">
        <v>0</v>
      </c>
      <c r="BR7" t="s">
        <v>20</v>
      </c>
      <c r="BS7">
        <v>450</v>
      </c>
      <c r="BT7">
        <v>0</v>
      </c>
      <c r="BU7">
        <v>0</v>
      </c>
      <c r="BX7">
        <v>0</v>
      </c>
      <c r="BZ7">
        <v>48450</v>
      </c>
      <c r="CA7">
        <v>788242.24</v>
      </c>
      <c r="CH7">
        <v>788242.24</v>
      </c>
      <c r="CM7">
        <v>788242.24</v>
      </c>
      <c r="CO7">
        <v>788242.24</v>
      </c>
      <c r="CP7" s="54">
        <v>0.18</v>
      </c>
      <c r="CQ7">
        <v>141883.6</v>
      </c>
      <c r="CR7">
        <v>930125.84</v>
      </c>
      <c r="CS7">
        <v>3</v>
      </c>
      <c r="CT7" t="s">
        <v>196</v>
      </c>
      <c r="CU7" s="55">
        <v>2790378</v>
      </c>
      <c r="CV7" t="s">
        <v>215</v>
      </c>
      <c r="CW7" t="s">
        <v>216</v>
      </c>
      <c r="CX7">
        <v>500</v>
      </c>
    </row>
    <row r="8" spans="1:102" x14ac:dyDescent="0.25">
      <c r="A8" t="s">
        <v>190</v>
      </c>
      <c r="B8" s="52">
        <v>45548</v>
      </c>
      <c r="C8" t="s">
        <v>217</v>
      </c>
      <c r="D8" t="s">
        <v>218</v>
      </c>
      <c r="E8" t="s">
        <v>193</v>
      </c>
      <c r="F8" t="s">
        <v>71</v>
      </c>
      <c r="G8">
        <v>936.8</v>
      </c>
      <c r="H8">
        <v>45</v>
      </c>
      <c r="I8">
        <v>42156</v>
      </c>
      <c r="J8" t="s">
        <v>44</v>
      </c>
      <c r="K8">
        <v>238</v>
      </c>
      <c r="L8">
        <v>1080</v>
      </c>
      <c r="M8">
        <v>257040</v>
      </c>
      <c r="P8">
        <v>0</v>
      </c>
      <c r="R8" t="s">
        <v>194</v>
      </c>
      <c r="S8">
        <v>170</v>
      </c>
      <c r="T8">
        <v>122</v>
      </c>
      <c r="U8" s="53">
        <v>20740</v>
      </c>
      <c r="V8" t="s">
        <v>54</v>
      </c>
      <c r="W8">
        <v>142</v>
      </c>
      <c r="X8">
        <v>305</v>
      </c>
      <c r="Y8" s="53">
        <v>43310</v>
      </c>
      <c r="AB8">
        <v>0</v>
      </c>
      <c r="AD8" t="s">
        <v>51</v>
      </c>
      <c r="AE8">
        <v>64.180000000000007</v>
      </c>
      <c r="AF8">
        <v>96</v>
      </c>
      <c r="AG8">
        <v>6161.28</v>
      </c>
      <c r="AH8" t="s">
        <v>69</v>
      </c>
      <c r="AI8">
        <v>243</v>
      </c>
      <c r="AJ8">
        <v>423</v>
      </c>
      <c r="AK8">
        <v>102789</v>
      </c>
      <c r="AL8" t="s">
        <v>64</v>
      </c>
      <c r="AM8">
        <v>90.86</v>
      </c>
      <c r="AN8">
        <v>376</v>
      </c>
      <c r="AO8">
        <v>34163.360000000001</v>
      </c>
      <c r="AR8">
        <v>0</v>
      </c>
      <c r="AV8">
        <v>0</v>
      </c>
      <c r="AX8" t="s">
        <v>15</v>
      </c>
      <c r="AY8">
        <v>420</v>
      </c>
      <c r="AZ8">
        <v>0</v>
      </c>
      <c r="BA8">
        <v>0</v>
      </c>
      <c r="BB8" t="s">
        <v>16</v>
      </c>
      <c r="BC8">
        <v>430</v>
      </c>
      <c r="BD8">
        <v>54</v>
      </c>
      <c r="BE8" s="53">
        <v>23220</v>
      </c>
      <c r="BH8">
        <v>0</v>
      </c>
      <c r="BL8">
        <v>0</v>
      </c>
      <c r="BP8">
        <v>0</v>
      </c>
      <c r="BT8">
        <v>0</v>
      </c>
      <c r="BX8">
        <v>0</v>
      </c>
      <c r="BZ8">
        <v>34200</v>
      </c>
      <c r="CA8">
        <v>563779.64</v>
      </c>
      <c r="CH8">
        <v>563779.64</v>
      </c>
      <c r="CM8">
        <v>563779.64</v>
      </c>
      <c r="CO8">
        <v>563779.64</v>
      </c>
      <c r="CP8" s="54">
        <v>0.18</v>
      </c>
      <c r="CQ8">
        <v>101480.34</v>
      </c>
      <c r="CR8">
        <v>665259.98</v>
      </c>
      <c r="CS8">
        <v>1</v>
      </c>
      <c r="CT8" t="s">
        <v>196</v>
      </c>
      <c r="CU8" s="55">
        <v>665260</v>
      </c>
      <c r="CV8" t="s">
        <v>219</v>
      </c>
      <c r="CW8" t="s">
        <v>220</v>
      </c>
      <c r="CX8">
        <v>500</v>
      </c>
    </row>
    <row r="9" spans="1:102" x14ac:dyDescent="0.25">
      <c r="A9" t="s">
        <v>190</v>
      </c>
      <c r="B9" s="52">
        <v>45548</v>
      </c>
      <c r="C9" t="s">
        <v>221</v>
      </c>
      <c r="D9" t="s">
        <v>222</v>
      </c>
      <c r="E9" t="s">
        <v>193</v>
      </c>
      <c r="F9" t="s">
        <v>71</v>
      </c>
      <c r="G9">
        <v>936.8</v>
      </c>
      <c r="H9">
        <v>41</v>
      </c>
      <c r="I9">
        <v>38408.800000000003</v>
      </c>
      <c r="J9" t="s">
        <v>44</v>
      </c>
      <c r="K9">
        <v>238</v>
      </c>
      <c r="L9">
        <v>810</v>
      </c>
      <c r="M9">
        <v>192780</v>
      </c>
      <c r="P9">
        <v>0</v>
      </c>
      <c r="R9" t="s">
        <v>194</v>
      </c>
      <c r="S9">
        <v>170</v>
      </c>
      <c r="T9">
        <v>112</v>
      </c>
      <c r="U9" s="53">
        <v>19040</v>
      </c>
      <c r="V9" t="s">
        <v>54</v>
      </c>
      <c r="W9">
        <v>142</v>
      </c>
      <c r="X9">
        <v>267</v>
      </c>
      <c r="Y9" s="53">
        <v>37914</v>
      </c>
      <c r="Z9" t="s">
        <v>9</v>
      </c>
      <c r="AA9">
        <v>118</v>
      </c>
      <c r="AB9">
        <v>0</v>
      </c>
      <c r="AC9">
        <v>0</v>
      </c>
      <c r="AD9" t="s">
        <v>51</v>
      </c>
      <c r="AE9">
        <v>64.180000000000007</v>
      </c>
      <c r="AF9">
        <v>87</v>
      </c>
      <c r="AG9">
        <v>5583.66</v>
      </c>
      <c r="AH9" t="s">
        <v>69</v>
      </c>
      <c r="AI9">
        <v>243</v>
      </c>
      <c r="AJ9">
        <v>388</v>
      </c>
      <c r="AK9">
        <v>94284</v>
      </c>
      <c r="AL9" t="s">
        <v>64</v>
      </c>
      <c r="AM9">
        <v>90.86</v>
      </c>
      <c r="AN9">
        <v>318</v>
      </c>
      <c r="AO9">
        <v>28893.48</v>
      </c>
      <c r="AR9">
        <v>0</v>
      </c>
      <c r="AV9">
        <v>0</v>
      </c>
      <c r="AX9" t="s">
        <v>15</v>
      </c>
      <c r="AY9">
        <v>420</v>
      </c>
      <c r="AZ9">
        <v>0</v>
      </c>
      <c r="BA9">
        <v>0</v>
      </c>
      <c r="BB9" t="s">
        <v>16</v>
      </c>
      <c r="BC9">
        <v>430</v>
      </c>
      <c r="BD9">
        <v>38</v>
      </c>
      <c r="BE9" s="53">
        <v>16340</v>
      </c>
      <c r="BH9">
        <v>0</v>
      </c>
      <c r="BL9">
        <v>0</v>
      </c>
      <c r="BP9">
        <v>0</v>
      </c>
      <c r="BR9" t="s">
        <v>20</v>
      </c>
      <c r="BS9">
        <v>450</v>
      </c>
      <c r="BT9">
        <v>0</v>
      </c>
      <c r="BU9">
        <v>0</v>
      </c>
      <c r="BX9">
        <v>0</v>
      </c>
      <c r="BZ9">
        <v>27000</v>
      </c>
      <c r="CA9">
        <v>460243.94</v>
      </c>
      <c r="CH9">
        <v>460243.94</v>
      </c>
      <c r="CM9">
        <v>460243.94</v>
      </c>
      <c r="CO9">
        <v>460243.94</v>
      </c>
      <c r="CP9" s="54">
        <v>0.18</v>
      </c>
      <c r="CQ9">
        <v>82843.91</v>
      </c>
      <c r="CR9">
        <v>543087.85</v>
      </c>
      <c r="CS9">
        <v>2</v>
      </c>
      <c r="CT9" t="s">
        <v>196</v>
      </c>
      <c r="CU9" s="55">
        <v>1086176</v>
      </c>
      <c r="CV9" t="s">
        <v>223</v>
      </c>
      <c r="CW9" t="s">
        <v>224</v>
      </c>
      <c r="CX9">
        <v>500</v>
      </c>
    </row>
    <row r="10" spans="1:102" x14ac:dyDescent="0.25">
      <c r="A10" t="s">
        <v>190</v>
      </c>
      <c r="B10" s="52">
        <v>45548</v>
      </c>
      <c r="C10" t="s">
        <v>225</v>
      </c>
      <c r="D10" t="s">
        <v>226</v>
      </c>
      <c r="E10" t="s">
        <v>193</v>
      </c>
      <c r="F10" t="s">
        <v>71</v>
      </c>
      <c r="G10">
        <v>936.8</v>
      </c>
      <c r="H10">
        <v>35</v>
      </c>
      <c r="I10">
        <v>32788</v>
      </c>
      <c r="J10" t="s">
        <v>44</v>
      </c>
      <c r="K10">
        <v>238</v>
      </c>
      <c r="L10">
        <v>500</v>
      </c>
      <c r="M10">
        <v>119000</v>
      </c>
      <c r="P10">
        <v>0</v>
      </c>
      <c r="R10" t="s">
        <v>194</v>
      </c>
      <c r="S10">
        <v>170</v>
      </c>
      <c r="T10">
        <v>92</v>
      </c>
      <c r="U10" s="53">
        <v>15640</v>
      </c>
      <c r="V10" t="s">
        <v>54</v>
      </c>
      <c r="W10">
        <v>142</v>
      </c>
      <c r="X10">
        <v>221</v>
      </c>
      <c r="Y10" s="53">
        <v>31382</v>
      </c>
      <c r="Z10" t="s">
        <v>9</v>
      </c>
      <c r="AA10">
        <v>118</v>
      </c>
      <c r="AB10">
        <v>0</v>
      </c>
      <c r="AC10">
        <v>0</v>
      </c>
      <c r="AD10" t="s">
        <v>51</v>
      </c>
      <c r="AE10">
        <v>64.180000000000007</v>
      </c>
      <c r="AF10">
        <v>75</v>
      </c>
      <c r="AG10">
        <v>4813.5</v>
      </c>
      <c r="AH10" t="s">
        <v>69</v>
      </c>
      <c r="AI10">
        <v>243</v>
      </c>
      <c r="AJ10">
        <v>335</v>
      </c>
      <c r="AK10">
        <v>81405</v>
      </c>
      <c r="AL10" t="s">
        <v>64</v>
      </c>
      <c r="AM10">
        <v>90.86</v>
      </c>
      <c r="AN10">
        <v>280</v>
      </c>
      <c r="AO10">
        <v>25440.799999999999</v>
      </c>
      <c r="AR10">
        <v>0</v>
      </c>
      <c r="AV10">
        <v>0</v>
      </c>
      <c r="AX10" t="s">
        <v>15</v>
      </c>
      <c r="AY10">
        <v>420</v>
      </c>
      <c r="AZ10">
        <v>0</v>
      </c>
      <c r="BA10">
        <v>0</v>
      </c>
      <c r="BB10" t="s">
        <v>16</v>
      </c>
      <c r="BC10">
        <v>430</v>
      </c>
      <c r="BD10">
        <v>0</v>
      </c>
      <c r="BE10">
        <v>0</v>
      </c>
      <c r="BH10">
        <v>0</v>
      </c>
      <c r="BL10">
        <v>0</v>
      </c>
      <c r="BP10">
        <v>0</v>
      </c>
      <c r="BR10" t="s">
        <v>20</v>
      </c>
      <c r="BS10">
        <v>450</v>
      </c>
      <c r="BT10">
        <v>0</v>
      </c>
      <c r="BU10">
        <v>0</v>
      </c>
      <c r="BX10">
        <v>0</v>
      </c>
      <c r="BZ10">
        <v>41800</v>
      </c>
      <c r="CA10">
        <v>352269.3</v>
      </c>
      <c r="CH10">
        <v>352269.3</v>
      </c>
      <c r="CM10">
        <v>352269.3</v>
      </c>
      <c r="CO10">
        <v>352269.3</v>
      </c>
      <c r="CP10" s="54">
        <v>0.18</v>
      </c>
      <c r="CQ10">
        <v>63408.47</v>
      </c>
      <c r="CR10">
        <v>415677.77</v>
      </c>
      <c r="CS10">
        <v>4</v>
      </c>
      <c r="CT10" t="s">
        <v>196</v>
      </c>
      <c r="CU10" s="55">
        <v>1662711</v>
      </c>
      <c r="CV10" t="s">
        <v>219</v>
      </c>
      <c r="CW10" t="s">
        <v>220</v>
      </c>
      <c r="CX10">
        <v>500</v>
      </c>
    </row>
    <row r="11" spans="1:102" x14ac:dyDescent="0.25">
      <c r="A11" t="s">
        <v>190</v>
      </c>
      <c r="B11" s="52">
        <v>45548</v>
      </c>
      <c r="C11" t="s">
        <v>227</v>
      </c>
      <c r="D11" t="s">
        <v>228</v>
      </c>
      <c r="E11" t="s">
        <v>229</v>
      </c>
      <c r="F11" t="s">
        <v>60</v>
      </c>
      <c r="G11">
        <v>936.8</v>
      </c>
      <c r="H11">
        <v>21</v>
      </c>
      <c r="I11">
        <v>19672.8</v>
      </c>
      <c r="J11" t="s">
        <v>44</v>
      </c>
      <c r="K11">
        <v>238</v>
      </c>
      <c r="L11">
        <v>256</v>
      </c>
      <c r="M11">
        <v>60928</v>
      </c>
      <c r="P11">
        <v>0</v>
      </c>
      <c r="R11" t="s">
        <v>194</v>
      </c>
      <c r="S11">
        <v>170</v>
      </c>
      <c r="T11">
        <v>68</v>
      </c>
      <c r="U11" s="53">
        <v>11560</v>
      </c>
      <c r="V11" t="s">
        <v>54</v>
      </c>
      <c r="W11">
        <v>142</v>
      </c>
      <c r="X11">
        <v>173</v>
      </c>
      <c r="Y11" s="53">
        <v>24566</v>
      </c>
      <c r="AB11">
        <v>0</v>
      </c>
      <c r="AD11" t="s">
        <v>51</v>
      </c>
      <c r="AE11">
        <v>64.180000000000007</v>
      </c>
      <c r="AF11">
        <v>51</v>
      </c>
      <c r="AG11">
        <v>3273.18</v>
      </c>
      <c r="AH11" t="s">
        <v>69</v>
      </c>
      <c r="AI11">
        <v>243</v>
      </c>
      <c r="AJ11">
        <v>220</v>
      </c>
      <c r="AK11">
        <v>53460</v>
      </c>
      <c r="AL11" t="s">
        <v>51</v>
      </c>
      <c r="AM11">
        <v>64.180000000000007</v>
      </c>
      <c r="AN11">
        <v>205</v>
      </c>
      <c r="AO11">
        <v>13156.9</v>
      </c>
      <c r="AR11">
        <v>0</v>
      </c>
      <c r="AV11">
        <v>0</v>
      </c>
      <c r="AZ11">
        <v>0</v>
      </c>
      <c r="BD11">
        <v>0</v>
      </c>
      <c r="BH11">
        <v>0</v>
      </c>
      <c r="BL11">
        <v>0</v>
      </c>
      <c r="BP11">
        <v>0</v>
      </c>
      <c r="BT11">
        <v>0</v>
      </c>
      <c r="BX11">
        <v>0</v>
      </c>
      <c r="BZ11">
        <v>7317.08</v>
      </c>
      <c r="CA11">
        <v>193933.96</v>
      </c>
      <c r="CH11">
        <v>193933.96</v>
      </c>
      <c r="CM11">
        <v>193933.96</v>
      </c>
      <c r="CO11">
        <v>193933.96</v>
      </c>
      <c r="CP11" s="54">
        <v>0.18</v>
      </c>
      <c r="CQ11">
        <v>34908.11</v>
      </c>
      <c r="CR11">
        <v>228842.07</v>
      </c>
      <c r="CS11">
        <v>1</v>
      </c>
      <c r="CT11" t="s">
        <v>196</v>
      </c>
      <c r="CU11" s="55">
        <v>228842</v>
      </c>
      <c r="CV11" t="s">
        <v>230</v>
      </c>
      <c r="CW11" t="s">
        <v>231</v>
      </c>
      <c r="CX11">
        <v>500</v>
      </c>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4"/>
      <c r="CC12" s="1"/>
      <c r="CD12" s="14"/>
      <c r="CE12" s="1"/>
      <c r="CF12" s="14"/>
      <c r="CG12" s="1"/>
      <c r="CH12" s="1"/>
      <c r="CI12" s="14"/>
      <c r="CJ12" s="1"/>
      <c r="CK12" s="14"/>
      <c r="CL12" s="1"/>
      <c r="CM12" s="3"/>
      <c r="CN12" s="1"/>
      <c r="CO12" s="1"/>
      <c r="CP12" s="14"/>
      <c r="CQ12" s="1"/>
      <c r="CR12" s="1"/>
      <c r="CS12" s="1"/>
      <c r="CT12" s="1"/>
      <c r="CU12" s="15"/>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4"/>
      <c r="CC13" s="1"/>
      <c r="CD13" s="14"/>
      <c r="CE13" s="1"/>
      <c r="CF13" s="14"/>
      <c r="CG13" s="1"/>
      <c r="CH13" s="1"/>
      <c r="CI13" s="14"/>
      <c r="CJ13" s="1"/>
      <c r="CK13" s="14"/>
      <c r="CL13" s="1"/>
      <c r="CM13" s="3"/>
      <c r="CN13" s="1"/>
      <c r="CO13" s="1"/>
      <c r="CP13" s="14"/>
      <c r="CQ13" s="1"/>
      <c r="CR13" s="1"/>
      <c r="CS13" s="1"/>
      <c r="CT13" s="1"/>
      <c r="CU13" s="15"/>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2"/>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4"/>
      <c r="CC14" s="1"/>
      <c r="CD14" s="14"/>
      <c r="CE14" s="1"/>
      <c r="CF14" s="14"/>
      <c r="CG14" s="1"/>
      <c r="CH14" s="1"/>
      <c r="CI14" s="14"/>
      <c r="CJ14" s="1"/>
      <c r="CK14" s="14"/>
      <c r="CL14" s="1"/>
      <c r="CM14" s="3"/>
      <c r="CN14" s="1"/>
      <c r="CO14" s="1"/>
      <c r="CP14" s="14"/>
      <c r="CQ14" s="1"/>
      <c r="CR14" s="1"/>
      <c r="CS14" s="1"/>
      <c r="CT14" s="1"/>
      <c r="CU14" s="15"/>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4"/>
      <c r="CC15" s="1"/>
      <c r="CD15" s="14"/>
      <c r="CE15" s="1"/>
      <c r="CF15" s="14"/>
      <c r="CG15" s="1"/>
      <c r="CH15" s="1"/>
      <c r="CI15" s="14"/>
      <c r="CJ15" s="1"/>
      <c r="CK15" s="14"/>
      <c r="CL15" s="1"/>
      <c r="CM15" s="3"/>
      <c r="CN15" s="1"/>
      <c r="CO15" s="1"/>
      <c r="CP15" s="14"/>
      <c r="CQ15" s="1"/>
      <c r="CR15" s="1"/>
      <c r="CS15" s="1"/>
      <c r="CT15" s="1"/>
      <c r="CU15" s="15"/>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4"/>
      <c r="CC16" s="1"/>
      <c r="CD16" s="14"/>
      <c r="CE16" s="1"/>
      <c r="CF16" s="14"/>
      <c r="CG16" s="1"/>
      <c r="CH16" s="1"/>
      <c r="CI16" s="14"/>
      <c r="CJ16" s="1"/>
      <c r="CK16" s="14"/>
      <c r="CL16" s="1"/>
      <c r="CM16" s="3"/>
      <c r="CN16" s="1"/>
      <c r="CO16" s="1"/>
      <c r="CP16" s="14"/>
      <c r="CQ16" s="1"/>
      <c r="CR16" s="1"/>
      <c r="CS16" s="1"/>
      <c r="CT16" s="1"/>
      <c r="CU16" s="15"/>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4"/>
      <c r="CC17" s="1"/>
      <c r="CD17" s="14"/>
      <c r="CE17" s="1"/>
      <c r="CF17" s="14"/>
      <c r="CG17" s="1"/>
      <c r="CH17" s="1"/>
      <c r="CI17" s="14"/>
      <c r="CJ17" s="1"/>
      <c r="CK17" s="14"/>
      <c r="CL17" s="1"/>
      <c r="CM17" s="3"/>
      <c r="CN17" s="1"/>
      <c r="CO17" s="1"/>
      <c r="CP17" s="14"/>
      <c r="CQ17" s="1"/>
      <c r="CR17" s="1"/>
      <c r="CS17" s="1"/>
      <c r="CT17" s="1"/>
      <c r="CU17" s="15"/>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4"/>
      <c r="CC18" s="1"/>
      <c r="CD18" s="14"/>
      <c r="CE18" s="1"/>
      <c r="CF18" s="14"/>
      <c r="CG18" s="1"/>
      <c r="CH18" s="1"/>
      <c r="CI18" s="14"/>
      <c r="CJ18" s="1"/>
      <c r="CK18" s="14"/>
      <c r="CL18" s="1"/>
      <c r="CM18" s="3"/>
      <c r="CN18" s="1"/>
      <c r="CO18" s="1"/>
      <c r="CP18" s="14"/>
      <c r="CQ18" s="1"/>
      <c r="CR18" s="1"/>
      <c r="CS18" s="1"/>
      <c r="CT18" s="1"/>
      <c r="CU18" s="15"/>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4"/>
      <c r="CE19" s="1"/>
      <c r="CF19" s="14"/>
      <c r="CG19" s="1"/>
      <c r="CH19" s="1"/>
      <c r="CI19" s="14"/>
      <c r="CJ19" s="1"/>
      <c r="CK19" s="14"/>
      <c r="CL19" s="1"/>
      <c r="CM19" s="3"/>
      <c r="CN19" s="1"/>
      <c r="CO19" s="1"/>
      <c r="CP19" s="14"/>
      <c r="CQ19" s="1"/>
      <c r="CR19" s="1"/>
      <c r="CS19" s="1"/>
      <c r="CT19" s="1"/>
      <c r="CU19" s="15"/>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4"/>
      <c r="CE20" s="1"/>
      <c r="CF20" s="14"/>
      <c r="CG20" s="1"/>
      <c r="CH20" s="1"/>
      <c r="CI20" s="14"/>
      <c r="CJ20" s="1"/>
      <c r="CK20" s="14"/>
      <c r="CL20" s="1"/>
      <c r="CM20" s="3"/>
      <c r="CN20" s="1"/>
      <c r="CO20" s="1"/>
      <c r="CP20" s="14"/>
      <c r="CQ20" s="1"/>
      <c r="CR20" s="1"/>
      <c r="CS20" s="1"/>
      <c r="CT20" s="1"/>
      <c r="CU20" s="15"/>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70"/>
  <sheetViews>
    <sheetView showZeros="0" tabSelected="1" topLeftCell="A65" workbookViewId="0">
      <selection activeCell="M71" sqref="M71"/>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customWidth="1"/>
    <col min="6" max="6" width="10" customWidth="1"/>
    <col min="7" max="7" width="13.85546875" customWidth="1"/>
    <col min="8" max="8" width="10.5703125" style="8" customWidth="1"/>
    <col min="9" max="9" width="12.28515625" customWidth="1"/>
    <col min="10" max="10" width="13.85546875" customWidth="1"/>
    <col min="11" max="12" width="9.140625" customWidth="1"/>
    <col min="13" max="13" width="15.85546875" customWidth="1"/>
    <col min="14" max="14" width="7.85546875" style="27" customWidth="1"/>
    <col min="15" max="24" width="7.85546875" style="27" hidden="1" customWidth="1"/>
    <col min="25" max="25" width="7.85546875" style="27" customWidth="1"/>
    <col min="26" max="28" width="7.85546875" style="27" hidden="1" customWidth="1"/>
    <col min="29" max="29" width="7.85546875" style="27" customWidth="1"/>
    <col min="30" max="30" width="7.85546875" style="27" hidden="1" customWidth="1"/>
    <col min="31" max="31" width="7.85546875" style="27" customWidth="1"/>
    <col min="32" max="36" width="7.85546875" style="27" hidden="1" customWidth="1"/>
    <col min="37" max="37" width="7.85546875" style="27" customWidth="1"/>
    <col min="38" max="42" width="7.85546875" style="27" hidden="1" customWidth="1"/>
    <col min="43" max="44" width="7.85546875" style="27" customWidth="1"/>
    <col min="45" max="47" width="7.85546875" style="27" hidden="1" customWidth="1"/>
    <col min="48" max="48" width="7.85546875" style="27" customWidth="1"/>
    <col min="49" max="52" width="7.85546875" style="27" hidden="1" customWidth="1"/>
    <col min="53" max="53" width="7.85546875" style="27" customWidth="1"/>
    <col min="54" max="56" width="7.85546875" style="27" hidden="1" customWidth="1"/>
    <col min="57" max="57" width="11.140625" style="27" customWidth="1"/>
    <col min="58" max="59" width="7.85546875" style="27" customWidth="1"/>
    <col min="60" max="65" width="7.85546875" style="27" hidden="1" customWidth="1"/>
    <col min="66" max="66" width="7.85546875" style="27" customWidth="1"/>
    <col min="67" max="67" width="7.85546875" style="27" hidden="1" customWidth="1"/>
    <col min="68" max="68" width="7.85546875" style="27" customWidth="1"/>
    <col min="69" max="71" width="7.85546875" style="27" hidden="1" customWidth="1"/>
    <col min="72" max="72" width="7.85546875" style="27" customWidth="1"/>
    <col min="73" max="73" width="7.85546875" style="27" hidden="1" customWidth="1"/>
    <col min="74" max="74" width="7.85546875" style="27" customWidth="1"/>
    <col min="75" max="75" width="13.42578125" style="27" customWidth="1"/>
    <col min="76" max="76" width="35.85546875" style="27" customWidth="1"/>
    <col min="77" max="77" width="11.28515625" style="27" customWidth="1"/>
    <col min="78" max="78" width="11.7109375" style="4" customWidth="1"/>
    <col min="79" max="79" width="13.85546875" style="4" bestFit="1" customWidth="1"/>
    <col min="80" max="80" width="10.7109375" style="25" customWidth="1"/>
    <col min="81" max="81" width="11.140625" style="4" bestFit="1" customWidth="1"/>
    <col min="82" max="82" width="9.140625" style="12"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1" customFormat="1" ht="15.75" thickBot="1" x14ac:dyDescent="0.3"/>
    <row r="2" spans="1:89" s="41" customFormat="1" ht="23.25" thickBot="1" x14ac:dyDescent="0.5">
      <c r="A2" s="102" t="s">
        <v>102</v>
      </c>
      <c r="B2" s="103"/>
      <c r="C2" s="103"/>
      <c r="D2" s="103"/>
      <c r="E2" s="103"/>
      <c r="F2" s="103"/>
      <c r="G2" s="103"/>
      <c r="H2" s="103"/>
      <c r="I2" s="103"/>
      <c r="J2" s="103"/>
      <c r="K2" s="103"/>
      <c r="L2" s="103"/>
      <c r="M2" s="103"/>
      <c r="N2" s="103"/>
      <c r="O2" s="103"/>
      <c r="P2" s="103"/>
      <c r="Q2" s="103"/>
      <c r="R2" s="104"/>
      <c r="S2" s="44"/>
      <c r="T2" s="44"/>
    </row>
    <row r="3" spans="1:89" s="41" customFormat="1" ht="15.75" thickBot="1" x14ac:dyDescent="0.3">
      <c r="A3"/>
      <c r="B3"/>
      <c r="C3"/>
      <c r="D3"/>
      <c r="E3"/>
      <c r="F3"/>
      <c r="G3"/>
      <c r="H3"/>
      <c r="I3"/>
      <c r="J3"/>
      <c r="K3"/>
      <c r="L3"/>
      <c r="M3"/>
      <c r="N3"/>
      <c r="O3"/>
      <c r="P3"/>
      <c r="Q3"/>
      <c r="R3"/>
      <c r="S3"/>
    </row>
    <row r="4" spans="1:89" s="41" customFormat="1" ht="51.75" customHeight="1" thickBot="1" x14ac:dyDescent="0.3">
      <c r="A4" s="42" t="s">
        <v>87</v>
      </c>
      <c r="B4" s="111" t="s">
        <v>101</v>
      </c>
      <c r="C4" s="111"/>
      <c r="D4" s="111"/>
      <c r="E4" s="111"/>
      <c r="F4" s="111"/>
      <c r="G4" s="111"/>
      <c r="H4" s="111"/>
      <c r="I4" s="111"/>
      <c r="J4" s="111"/>
      <c r="K4" s="111"/>
      <c r="L4" s="111"/>
      <c r="M4" s="111"/>
      <c r="N4" s="111"/>
      <c r="O4" s="111"/>
      <c r="P4" s="111"/>
      <c r="Q4" s="111"/>
      <c r="R4" s="111"/>
      <c r="S4"/>
    </row>
    <row r="5" spans="1:89" s="41" customFormat="1" ht="34.5" customHeight="1" x14ac:dyDescent="0.25">
      <c r="A5" s="42" t="s">
        <v>88</v>
      </c>
      <c r="B5" s="111" t="s">
        <v>100</v>
      </c>
      <c r="C5" s="111"/>
      <c r="D5" s="111"/>
      <c r="E5" s="111"/>
      <c r="F5" s="111"/>
      <c r="G5" s="111"/>
      <c r="H5" s="111"/>
      <c r="I5" s="111"/>
      <c r="J5" s="111"/>
      <c r="K5" s="111"/>
      <c r="L5" s="111"/>
      <c r="M5" s="111"/>
      <c r="N5" s="111"/>
      <c r="O5" s="111"/>
      <c r="P5" s="111"/>
      <c r="Q5" s="111"/>
      <c r="R5" s="111"/>
      <c r="S5"/>
    </row>
    <row r="6" spans="1:89" s="41" customFormat="1" ht="48" customHeight="1" x14ac:dyDescent="0.25">
      <c r="A6" s="43" t="s">
        <v>89</v>
      </c>
      <c r="B6" s="98" t="s">
        <v>103</v>
      </c>
      <c r="C6" s="111"/>
      <c r="D6" s="111"/>
      <c r="E6" s="111"/>
      <c r="F6" s="111"/>
      <c r="G6" s="111"/>
      <c r="H6" s="111"/>
      <c r="I6" s="111"/>
      <c r="J6" s="111"/>
      <c r="K6" s="111"/>
      <c r="L6" s="111"/>
      <c r="M6" s="111"/>
      <c r="N6" s="111"/>
      <c r="O6" s="111"/>
      <c r="P6" s="111"/>
      <c r="Q6" s="111"/>
      <c r="R6" s="111"/>
      <c r="S6"/>
    </row>
    <row r="7" spans="1:89" s="41" customFormat="1" ht="63" customHeight="1" x14ac:dyDescent="0.25">
      <c r="A7" s="43" t="s">
        <v>86</v>
      </c>
      <c r="B7" s="98" t="s">
        <v>104</v>
      </c>
      <c r="C7" s="111"/>
      <c r="D7" s="111"/>
      <c r="E7" s="111"/>
      <c r="F7" s="111"/>
      <c r="G7" s="111"/>
      <c r="H7" s="111"/>
      <c r="I7" s="111"/>
      <c r="J7" s="111"/>
      <c r="K7" s="111"/>
      <c r="L7" s="111"/>
      <c r="M7" s="111"/>
      <c r="N7" s="111"/>
      <c r="O7" s="111"/>
      <c r="P7" s="111"/>
      <c r="Q7" s="111"/>
      <c r="R7" s="111"/>
      <c r="S7"/>
    </row>
    <row r="8" spans="1:89" s="41" customFormat="1" ht="28.5" customHeight="1" x14ac:dyDescent="0.25">
      <c r="A8" s="43" t="s">
        <v>90</v>
      </c>
      <c r="B8" s="98" t="s">
        <v>105</v>
      </c>
      <c r="C8" s="98"/>
      <c r="D8" s="98"/>
      <c r="E8" s="98"/>
      <c r="F8" s="98"/>
      <c r="G8" s="98"/>
      <c r="H8" s="98"/>
      <c r="I8" s="98"/>
      <c r="J8" s="98"/>
      <c r="K8" s="98"/>
      <c r="L8" s="98"/>
      <c r="M8" s="98"/>
      <c r="N8" s="98"/>
      <c r="O8" s="98"/>
      <c r="P8" s="98"/>
      <c r="Q8" s="98"/>
      <c r="R8" s="98"/>
      <c r="S8"/>
    </row>
    <row r="9" spans="1:89" s="41" customFormat="1" ht="39.75" customHeight="1" x14ac:dyDescent="0.25">
      <c r="A9" s="43" t="s">
        <v>91</v>
      </c>
      <c r="B9" s="99" t="s">
        <v>106</v>
      </c>
      <c r="C9" s="100"/>
      <c r="D9" s="100"/>
      <c r="E9" s="100"/>
      <c r="F9" s="100"/>
      <c r="G9" s="100"/>
      <c r="H9" s="100"/>
      <c r="I9" s="100"/>
      <c r="J9" s="100"/>
      <c r="K9" s="100"/>
      <c r="L9" s="100"/>
      <c r="M9" s="100"/>
      <c r="N9" s="100"/>
      <c r="O9" s="100"/>
      <c r="P9" s="100"/>
      <c r="Q9" s="100"/>
      <c r="R9" s="101"/>
    </row>
    <row r="10" spans="1:89" s="41" customFormat="1" ht="37.5" customHeight="1" x14ac:dyDescent="0.25">
      <c r="A10" s="43" t="s">
        <v>92</v>
      </c>
      <c r="B10" s="98" t="s">
        <v>108</v>
      </c>
      <c r="C10" s="98"/>
      <c r="D10" s="98"/>
      <c r="E10" s="98"/>
      <c r="F10" s="98"/>
      <c r="G10" s="98"/>
      <c r="H10" s="98"/>
      <c r="I10" s="98"/>
      <c r="J10" s="98"/>
      <c r="K10" s="98"/>
      <c r="L10" s="98"/>
      <c r="M10" s="98"/>
      <c r="N10" s="98"/>
      <c r="O10" s="98"/>
      <c r="P10" s="98"/>
      <c r="Q10" s="98"/>
      <c r="R10" s="98"/>
      <c r="S10"/>
    </row>
    <row r="11" spans="1:89" s="41" customFormat="1" ht="35.25" customHeight="1" x14ac:dyDescent="0.25">
      <c r="A11" s="43" t="s">
        <v>93</v>
      </c>
      <c r="B11" s="107" t="s">
        <v>107</v>
      </c>
      <c r="C11" s="108"/>
      <c r="D11" s="108"/>
      <c r="E11" s="108"/>
      <c r="F11" s="108"/>
      <c r="G11" s="108"/>
      <c r="H11" s="108"/>
      <c r="I11" s="108"/>
      <c r="J11" s="108"/>
      <c r="K11" s="108"/>
      <c r="L11" s="108"/>
      <c r="M11" s="108"/>
      <c r="N11" s="108"/>
      <c r="O11" s="108"/>
      <c r="P11" s="108"/>
      <c r="Q11" s="108"/>
      <c r="R11" s="109"/>
      <c r="S11"/>
    </row>
    <row r="12" spans="1:89" s="41" customFormat="1" ht="36" customHeight="1" x14ac:dyDescent="0.25">
      <c r="A12" s="46" t="s">
        <v>94</v>
      </c>
      <c r="B12" s="110" t="s">
        <v>110</v>
      </c>
      <c r="C12" s="110"/>
      <c r="D12" s="110"/>
      <c r="E12" s="110"/>
      <c r="F12" s="110"/>
      <c r="G12" s="110"/>
      <c r="H12" s="110"/>
      <c r="I12" s="110"/>
      <c r="J12" s="110"/>
      <c r="K12" s="110"/>
      <c r="L12" s="110"/>
      <c r="M12" s="110"/>
      <c r="N12" s="110"/>
      <c r="O12" s="110"/>
      <c r="P12" s="110"/>
      <c r="Q12" s="110"/>
      <c r="R12" s="110"/>
    </row>
    <row r="13" spans="1:89" s="41" customFormat="1" ht="24.75" customHeight="1" x14ac:dyDescent="0.25">
      <c r="A13" s="46" t="s">
        <v>95</v>
      </c>
      <c r="B13" s="110" t="s">
        <v>109</v>
      </c>
      <c r="C13" s="110"/>
      <c r="D13" s="110"/>
      <c r="E13" s="110"/>
      <c r="F13" s="110"/>
      <c r="G13" s="110"/>
      <c r="H13" s="110"/>
      <c r="I13" s="110"/>
      <c r="J13" s="110"/>
      <c r="K13" s="110"/>
      <c r="L13" s="110"/>
      <c r="M13" s="110"/>
      <c r="N13" s="110"/>
      <c r="O13" s="110"/>
      <c r="P13" s="110"/>
      <c r="Q13" s="110"/>
      <c r="R13" s="110"/>
    </row>
    <row r="14" spans="1:89" s="41" customFormat="1" ht="30" x14ac:dyDescent="0.25">
      <c r="A14" s="47" t="s">
        <v>96</v>
      </c>
      <c r="B14" s="110"/>
      <c r="C14" s="110"/>
      <c r="D14" s="110"/>
      <c r="E14" s="110"/>
      <c r="F14" s="110"/>
      <c r="G14" s="110"/>
      <c r="H14" s="110"/>
      <c r="I14" s="110"/>
      <c r="J14" s="110"/>
      <c r="K14" s="110"/>
      <c r="L14" s="110"/>
      <c r="M14" s="110"/>
      <c r="N14" s="110"/>
      <c r="O14" s="110"/>
      <c r="P14" s="110"/>
      <c r="Q14" s="110"/>
      <c r="R14" s="110"/>
    </row>
    <row r="16" spans="1:89" s="34" customFormat="1" ht="55.5" customHeight="1" x14ac:dyDescent="0.25">
      <c r="E16" s="39"/>
      <c r="H16" s="40"/>
      <c r="N16" s="97" t="str">
        <f>Sheet1!J1</f>
        <v>Conductor</v>
      </c>
      <c r="O16" s="97"/>
      <c r="P16" s="97"/>
      <c r="Q16" s="97"/>
      <c r="R16" s="97"/>
      <c r="S16" s="97" t="s">
        <v>6</v>
      </c>
      <c r="T16" s="97"/>
      <c r="U16" s="97" t="s">
        <v>3</v>
      </c>
      <c r="V16" s="97"/>
      <c r="W16" s="97"/>
      <c r="X16" s="97"/>
      <c r="Y16" s="97"/>
      <c r="Z16" s="97"/>
      <c r="AA16" s="97"/>
      <c r="AB16" s="97"/>
      <c r="AC16" s="97" t="s">
        <v>7</v>
      </c>
      <c r="AD16" s="97"/>
      <c r="AE16" s="97" t="s">
        <v>8</v>
      </c>
      <c r="AF16" s="97"/>
      <c r="AG16" s="97"/>
      <c r="AH16" s="97"/>
      <c r="AI16" s="97"/>
      <c r="AJ16" s="97"/>
      <c r="AK16" s="10" t="s">
        <v>9</v>
      </c>
      <c r="AL16" s="105" t="s">
        <v>10</v>
      </c>
      <c r="AM16" s="106"/>
      <c r="AN16" s="106"/>
      <c r="AO16" s="106"/>
      <c r="AP16" s="106"/>
      <c r="AQ16" s="106"/>
      <c r="AR16" s="106"/>
      <c r="AS16" s="97" t="s">
        <v>11</v>
      </c>
      <c r="AT16" s="97"/>
      <c r="AU16" s="97"/>
      <c r="AV16" s="97"/>
      <c r="AW16" s="97"/>
      <c r="AX16" s="97"/>
      <c r="AY16" s="97"/>
      <c r="AZ16" s="97"/>
      <c r="BA16" s="97"/>
      <c r="BB16" s="97"/>
      <c r="BC16" s="51" t="s">
        <v>12</v>
      </c>
      <c r="BD16" s="51"/>
      <c r="BE16" s="77" t="s">
        <v>237</v>
      </c>
      <c r="BF16" s="51"/>
      <c r="BG16" s="51"/>
      <c r="BH16" s="51"/>
      <c r="BI16" s="51"/>
      <c r="BJ16" s="51"/>
      <c r="BK16" s="51"/>
      <c r="BL16" s="51"/>
      <c r="BM16" s="35" t="s">
        <v>13</v>
      </c>
      <c r="BN16" s="10" t="s">
        <v>14</v>
      </c>
      <c r="BO16" s="10" t="s">
        <v>15</v>
      </c>
      <c r="BP16" s="10" t="s">
        <v>16</v>
      </c>
      <c r="BQ16" s="10" t="s">
        <v>17</v>
      </c>
      <c r="BR16" s="10" t="s">
        <v>18</v>
      </c>
      <c r="BS16" s="10" t="s">
        <v>19</v>
      </c>
      <c r="BT16" s="10" t="s">
        <v>20</v>
      </c>
      <c r="BU16" s="10" t="s">
        <v>21</v>
      </c>
      <c r="BV16" s="10"/>
      <c r="BW16" s="10"/>
      <c r="BX16" s="10"/>
      <c r="BY16" s="10"/>
      <c r="BZ16" s="36" t="s">
        <v>22</v>
      </c>
      <c r="CA16" s="36" t="s">
        <v>23</v>
      </c>
      <c r="CB16" s="37" t="s">
        <v>43</v>
      </c>
      <c r="CC16" s="36" t="s">
        <v>85</v>
      </c>
      <c r="CD16" s="38"/>
      <c r="CE16" s="39"/>
      <c r="CF16" s="40"/>
      <c r="CG16" s="39"/>
      <c r="CH16" s="39"/>
      <c r="CI16" s="40"/>
      <c r="CK16" s="40"/>
    </row>
    <row r="17" spans="1:90" s="17" customFormat="1" ht="89.25" x14ac:dyDescent="0.25">
      <c r="A17" s="20" t="s">
        <v>0</v>
      </c>
      <c r="B17" s="20" t="str">
        <f>Sheet1!B1</f>
        <v>Base Date</v>
      </c>
      <c r="C17" s="20" t="s">
        <v>1</v>
      </c>
      <c r="D17" s="20" t="s">
        <v>2</v>
      </c>
      <c r="E17" s="5" t="s">
        <v>34</v>
      </c>
      <c r="F17" s="13" t="s">
        <v>35</v>
      </c>
      <c r="G17" s="13" t="s">
        <v>36</v>
      </c>
      <c r="H17" s="6" t="s">
        <v>37</v>
      </c>
      <c r="I17" s="13" t="s">
        <v>38</v>
      </c>
      <c r="J17" s="13" t="s">
        <v>39</v>
      </c>
      <c r="K17" s="13" t="s">
        <v>40</v>
      </c>
      <c r="L17" s="13" t="s">
        <v>41</v>
      </c>
      <c r="M17" s="13" t="s">
        <v>42</v>
      </c>
      <c r="N17" s="21" t="s">
        <v>44</v>
      </c>
      <c r="O17" s="21" t="s">
        <v>49</v>
      </c>
      <c r="P17" s="21" t="s">
        <v>46</v>
      </c>
      <c r="Q17" s="21" t="s">
        <v>47</v>
      </c>
      <c r="R17" s="21" t="s">
        <v>48</v>
      </c>
      <c r="S17" s="21" t="s">
        <v>44</v>
      </c>
      <c r="T17" s="21" t="s">
        <v>49</v>
      </c>
      <c r="U17" s="22" t="s">
        <v>56</v>
      </c>
      <c r="V17" s="22" t="s">
        <v>60</v>
      </c>
      <c r="W17" s="22" t="s">
        <v>63</v>
      </c>
      <c r="X17" s="22" t="s">
        <v>67</v>
      </c>
      <c r="Y17" s="22" t="s">
        <v>71</v>
      </c>
      <c r="Z17" s="22" t="s">
        <v>74</v>
      </c>
      <c r="AA17" s="22" t="s">
        <v>77</v>
      </c>
      <c r="AB17" s="22" t="s">
        <v>79</v>
      </c>
      <c r="AC17" s="22" t="s">
        <v>55</v>
      </c>
      <c r="AD17" s="22" t="s">
        <v>59</v>
      </c>
      <c r="AE17" s="22" t="s">
        <v>54</v>
      </c>
      <c r="AF17" s="22" t="s">
        <v>50</v>
      </c>
      <c r="AG17" s="22" t="s">
        <v>62</v>
      </c>
      <c r="AH17" s="22" t="s">
        <v>66</v>
      </c>
      <c r="AI17" s="22" t="s">
        <v>70</v>
      </c>
      <c r="AJ17" s="22" t="s">
        <v>73</v>
      </c>
      <c r="AK17" s="18" t="s">
        <v>9</v>
      </c>
      <c r="AL17" s="22" t="s">
        <v>57</v>
      </c>
      <c r="AM17" s="22" t="s">
        <v>61</v>
      </c>
      <c r="AN17" s="22" t="s">
        <v>64</v>
      </c>
      <c r="AO17" s="22" t="s">
        <v>68</v>
      </c>
      <c r="AP17" s="22" t="s">
        <v>72</v>
      </c>
      <c r="AQ17" s="22" t="s">
        <v>51</v>
      </c>
      <c r="AR17" s="22" t="s">
        <v>78</v>
      </c>
      <c r="AS17" s="22" t="s">
        <v>58</v>
      </c>
      <c r="AT17" s="22" t="s">
        <v>45</v>
      </c>
      <c r="AU17" s="22" t="s">
        <v>65</v>
      </c>
      <c r="AV17" s="22" t="s">
        <v>69</v>
      </c>
      <c r="AW17" s="22" t="s">
        <v>75</v>
      </c>
      <c r="AX17" s="22" t="s">
        <v>52</v>
      </c>
      <c r="AY17" s="22" t="s">
        <v>80</v>
      </c>
      <c r="AZ17" s="22" t="s">
        <v>81</v>
      </c>
      <c r="BA17" s="22" t="s">
        <v>82</v>
      </c>
      <c r="BB17" s="22" t="s">
        <v>84</v>
      </c>
      <c r="BC17" s="22" t="s">
        <v>57</v>
      </c>
      <c r="BD17" s="22" t="s">
        <v>61</v>
      </c>
      <c r="BE17" s="22" t="s">
        <v>236</v>
      </c>
      <c r="BF17" s="22" t="s">
        <v>64</v>
      </c>
      <c r="BG17" s="22" t="s">
        <v>232</v>
      </c>
      <c r="BH17" s="22" t="s">
        <v>76</v>
      </c>
      <c r="BI17" s="22" t="s">
        <v>68</v>
      </c>
      <c r="BJ17" s="22" t="s">
        <v>51</v>
      </c>
      <c r="BK17" s="22" t="s">
        <v>78</v>
      </c>
      <c r="BL17" s="22" t="s">
        <v>83</v>
      </c>
      <c r="BM17" s="18" t="s">
        <v>13</v>
      </c>
      <c r="BN17" s="75" t="s">
        <v>233</v>
      </c>
      <c r="BO17" s="19" t="s">
        <v>15</v>
      </c>
      <c r="BP17" s="23" t="s">
        <v>16</v>
      </c>
      <c r="BQ17" s="19" t="s">
        <v>17</v>
      </c>
      <c r="BR17" s="19" t="s">
        <v>18</v>
      </c>
      <c r="BS17" s="19" t="s">
        <v>19</v>
      </c>
      <c r="BT17" s="23" t="s">
        <v>20</v>
      </c>
      <c r="BU17" s="19" t="s">
        <v>21</v>
      </c>
      <c r="BV17" s="19" t="str">
        <f>Sheet1!E1</f>
        <v>Propose Drum Type</v>
      </c>
      <c r="BW17" s="50" t="str">
        <f>Sheet1!CV1</f>
        <v>DRUM CODE</v>
      </c>
      <c r="BX17" s="50" t="str">
        <f>Sheet1!CW1</f>
        <v>DRUM SIZE (FxbXtx Ft)</v>
      </c>
      <c r="BY17" s="56" t="str">
        <f>Sheet1!CX1</f>
        <v>Party Standard Length(MTR)</v>
      </c>
      <c r="BZ17" s="26"/>
      <c r="CA17" s="26"/>
      <c r="CB17" s="78" t="s">
        <v>238</v>
      </c>
      <c r="CC17" s="26"/>
      <c r="CD17" s="11" t="s">
        <v>25</v>
      </c>
      <c r="CE17" s="5" t="s">
        <v>26</v>
      </c>
      <c r="CF17" s="6" t="s">
        <v>27</v>
      </c>
      <c r="CG17" s="5" t="s">
        <v>28</v>
      </c>
      <c r="CH17" s="5" t="s">
        <v>29</v>
      </c>
      <c r="CI17" s="6" t="s">
        <v>30</v>
      </c>
      <c r="CJ17" s="13" t="s">
        <v>31</v>
      </c>
      <c r="CK17" s="6" t="s">
        <v>32</v>
      </c>
      <c r="CL17" s="13" t="s">
        <v>33</v>
      </c>
    </row>
    <row r="18" spans="1:90" s="26" customFormat="1" x14ac:dyDescent="0.25">
      <c r="A18" s="28"/>
      <c r="B18" s="28"/>
      <c r="C18" s="28"/>
      <c r="D18" s="28"/>
      <c r="E18" s="5"/>
      <c r="F18" s="5"/>
      <c r="G18" s="5"/>
      <c r="H18" s="5"/>
      <c r="I18" s="5"/>
      <c r="J18" s="5"/>
      <c r="K18" s="5"/>
      <c r="L18" s="5"/>
      <c r="M18" s="5"/>
      <c r="N18" s="29">
        <f>+IFERROR(VLOOKUP($N$17,Sheet1!J:L,2,0),0)</f>
        <v>238</v>
      </c>
      <c r="O18" s="29">
        <f>+IFERROR(VLOOKUP($O$17,Sheet1!J:L,2,0),0)</f>
        <v>0</v>
      </c>
      <c r="P18" s="29">
        <f>+IFERROR(VLOOKUP($P$17,Sheet1!J:M,2,0),0)</f>
        <v>0</v>
      </c>
      <c r="Q18" s="29">
        <f>+IFERROR(VLOOKUP($Q$17,Sheet1!J:M,2,0),0)</f>
        <v>0</v>
      </c>
      <c r="R18" s="29">
        <f>+IFERROR(VLOOKUP($R$17,Sheet1!J:M,2,0),0)</f>
        <v>0</v>
      </c>
      <c r="S18" s="29">
        <f>+IFERROR(VLOOKUP($S$17,Sheet1!N:Q,2,0),0)</f>
        <v>0</v>
      </c>
      <c r="T18" s="29">
        <f>+IFERROR(VLOOKUP($T$17,Sheet1!N:O,2,0),0)</f>
        <v>0</v>
      </c>
      <c r="U18" s="30">
        <f>+IFERROR(VLOOKUP($U$17,Sheet1!F:I,2,0),0)</f>
        <v>0</v>
      </c>
      <c r="V18" s="30"/>
      <c r="W18" s="30">
        <f>+IFERROR(VLOOKUP($W$17,Sheet1!F:I,2,0),0)</f>
        <v>0</v>
      </c>
      <c r="X18" s="30">
        <f>+IFERROR(VLOOKUP($X$17,Sheet1!F:I,2,0),0)</f>
        <v>0</v>
      </c>
      <c r="Y18" s="30">
        <v>937</v>
      </c>
      <c r="Z18" s="30">
        <f>+IFERROR(VLOOKUP($Z$17,Sheet1!F:I,2,0),0)</f>
        <v>0</v>
      </c>
      <c r="AA18" s="30">
        <f>+IFERROR(VLOOKUP($AA$17,Sheet1!F:I,2,0),0)</f>
        <v>0</v>
      </c>
      <c r="AB18" s="30">
        <f>+IFERROR(VLOOKUP($AB$17,Sheet1!F:I,2,0),0)</f>
        <v>0</v>
      </c>
      <c r="AC18" s="30">
        <f>+IFERROR(VLOOKUP($AC$17,Sheet1!R:U,2,0),0)</f>
        <v>170</v>
      </c>
      <c r="AD18" s="30">
        <f>+IFERROR(VLOOKUP($AD$17,Sheet1!R:U,2,0),0)</f>
        <v>0</v>
      </c>
      <c r="AE18" s="30">
        <f>+IFERROR(VLOOKUP($AE$17,Sheet1!V:Y,2,0),0)</f>
        <v>142</v>
      </c>
      <c r="AF18" s="30">
        <f>+IFERROR(VLOOKUP($AF$17,Sheet1!V:Y,2,0),0)</f>
        <v>0</v>
      </c>
      <c r="AG18" s="30">
        <f>+IFERROR(VLOOKUP($AG$17,Sheet1!V:Y,2,0),0)</f>
        <v>0</v>
      </c>
      <c r="AH18" s="30">
        <f>+IFERROR(VLOOKUP($AH$17,Sheet1!V:Y,2,0),0)</f>
        <v>0</v>
      </c>
      <c r="AI18" s="30">
        <f>+IFERROR(VLOOKUP($AI$17,Sheet1!V:Y,2,0),0)</f>
        <v>0</v>
      </c>
      <c r="AJ18" s="30">
        <f>+IFERROR(VLOOKUP($AJ$17,Sheet1!V:Y,2,0),0)</f>
        <v>0</v>
      </c>
      <c r="AK18" s="31">
        <f>+IFERROR(VLOOKUP($AK$17,Sheet1!Z2:AA840,2,0),0)</f>
        <v>118</v>
      </c>
      <c r="AL18" s="30">
        <f>+IFERROR(VLOOKUP($AL$17,Sheet1!AD2:AG840,2,0),0)</f>
        <v>0</v>
      </c>
      <c r="AM18" s="30">
        <f>+IFERROR(VLOOKUP($AM$17,Sheet1!AD2:AG840,2,0),0)</f>
        <v>0</v>
      </c>
      <c r="AN18" s="30">
        <f>+IFERROR(VLOOKUP($AN$17,Sheet1!AD2:AG840,2,0),0)</f>
        <v>0</v>
      </c>
      <c r="AO18" s="30">
        <f>+IFERROR(VLOOKUP($AO$17,Sheet1!AD2:AG840,2,0),0)</f>
        <v>0</v>
      </c>
      <c r="AP18" s="30">
        <f>+IFERROR(VLOOKUP($AP$17,Sheet1!AD2:AG840,2,0),0)</f>
        <v>0</v>
      </c>
      <c r="AQ18" s="30">
        <v>64</v>
      </c>
      <c r="AR18" s="30">
        <v>89</v>
      </c>
      <c r="AS18" s="30">
        <f>+IFERROR(VLOOKUP($AS$17,Sheet1!AH2:AK840,2,0),0)</f>
        <v>0</v>
      </c>
      <c r="AT18" s="30">
        <f>+IFERROR(VLOOKUP($AT$17,Sheet1!AH2:AK840,2,0),0)</f>
        <v>0</v>
      </c>
      <c r="AU18" s="30">
        <f>+IFERROR(VLOOKUP($AU$17,Sheet1!AH2:AK840,2,0),0)</f>
        <v>0</v>
      </c>
      <c r="AV18" s="30">
        <f>+IFERROR(VLOOKUP($AV$17,Sheet1!AH2:AK840,2,0),0)</f>
        <v>243</v>
      </c>
      <c r="AW18" s="30">
        <f>+IFERROR(VLOOKUP($AW$17,Sheet1!AH2:AK840,2,0),0)</f>
        <v>0</v>
      </c>
      <c r="AX18" s="30">
        <f>+IFERROR(VLOOKUP($AX$17,Sheet1!AH2:AK840,2,0),0)</f>
        <v>0</v>
      </c>
      <c r="AY18" s="30">
        <f>+IFERROR(VLOOKUP($AY$17,Sheet1!AH2:AK840,2,0),0)</f>
        <v>0</v>
      </c>
      <c r="AZ18" s="30">
        <f>+IFERROR(VLOOKUP($AZ$17,Sheet1!AH2:AK840,2,0),0)</f>
        <v>0</v>
      </c>
      <c r="BA18" s="30">
        <v>85</v>
      </c>
      <c r="BB18" s="30">
        <f>+IFERROR(VLOOKUP($BB$17,Sheet1!AH2:AK840,2,0),0)</f>
        <v>0</v>
      </c>
      <c r="BC18" s="30">
        <f>+IFERROR(VLOOKUP($BC$17,Sheet1!AL2:AO840,2,0),0)</f>
        <v>0</v>
      </c>
      <c r="BD18" s="30">
        <f>+IFERROR(VLOOKUP($BD$17,Sheet1!AL2:AO840,2,0),0)</f>
        <v>0</v>
      </c>
      <c r="BE18" s="30">
        <f>91+20</f>
        <v>111</v>
      </c>
      <c r="BF18" s="30">
        <v>91</v>
      </c>
      <c r="BG18" s="30">
        <v>64</v>
      </c>
      <c r="BH18" s="30">
        <f>+IFERROR(VLOOKUP($BH$17,Sheet1!AL2:AO840,2,0),0)</f>
        <v>0</v>
      </c>
      <c r="BI18" s="30">
        <f>+IFERROR(VLOOKUP($BI$17,Sheet1!AL2:AO840,2,0),0)</f>
        <v>0</v>
      </c>
      <c r="BJ18" s="30"/>
      <c r="BK18" s="30">
        <f>+IFERROR(VLOOKUP($BK$17,Sheet1!AL2:AO840,2,0),0)</f>
        <v>0</v>
      </c>
      <c r="BL18" s="30">
        <f>+IFERROR(VLOOKUP($BL$17,Sheet1!AL2:AO840,2,0),0)</f>
        <v>0</v>
      </c>
      <c r="BM18" s="31">
        <f>+IFERROR(VLOOKUP($BM$17,Sheet1!AP2:AS840,2,0),0)</f>
        <v>0</v>
      </c>
      <c r="BN18" s="31">
        <v>340</v>
      </c>
      <c r="BO18" s="32"/>
      <c r="BP18" s="33">
        <f>+IFERROR(VLOOKUP($BP$17,Sheet1!BB2:BE840,2,0),0)</f>
        <v>430</v>
      </c>
      <c r="BQ18" s="32">
        <f>+IFERROR(VLOOKUP($BQ$17,Sheet1!BF2:BI840,2,0),0)</f>
        <v>0</v>
      </c>
      <c r="BR18" s="32">
        <f>+IFERROR(VLOOKUP($BR$17,Sheet1!BJ2:BM840,2,0),0)</f>
        <v>0</v>
      </c>
      <c r="BS18" s="32">
        <f>+IFERROR(VLOOKUP($BS$17,Sheet1!BN2:BQ840,2,0),0)</f>
        <v>0</v>
      </c>
      <c r="BT18" s="33">
        <f>+IFERROR(VLOOKUP($BT$17,Sheet1!BR2:BU840,2,0),0)</f>
        <v>450</v>
      </c>
      <c r="BU18" s="32">
        <f>+IFERROR(VLOOKUP($BU$17,Sheet1!BV2:BY840,2,0),0)</f>
        <v>0</v>
      </c>
      <c r="BV18" s="49"/>
      <c r="BW18" s="49"/>
      <c r="BX18" s="49"/>
      <c r="BY18" s="49"/>
      <c r="CD18" s="5"/>
      <c r="CE18" s="5"/>
      <c r="CF18" s="5"/>
      <c r="CG18" s="5"/>
      <c r="CH18" s="5"/>
      <c r="CI18" s="5"/>
      <c r="CJ18" s="5"/>
      <c r="CK18" s="5"/>
      <c r="CL18" s="5"/>
    </row>
    <row r="19" spans="1:90" ht="30" x14ac:dyDescent="0.25">
      <c r="A19" s="1" t="str">
        <f>Sheet1!A2</f>
        <v>ENQ-13992-22-23</v>
      </c>
      <c r="B19" s="48">
        <f>Sheet1!B2</f>
        <v>45548</v>
      </c>
      <c r="C19" s="76" t="str">
        <f>Sheet1!C2</f>
        <v>FA1300091</v>
      </c>
      <c r="D19" s="76" t="str">
        <f>Sheet1!D2</f>
        <v>3 CORE X 300 SQ. MM. AL/ARM - WIRE (XLPE) - 11 KV</v>
      </c>
      <c r="E19" s="3">
        <f>CH19+CJ19+CL19</f>
        <v>2052866.7247000001</v>
      </c>
      <c r="F19" s="84">
        <f>ROUNDUP(M31,0)</f>
        <v>47895</v>
      </c>
      <c r="G19" s="9">
        <f>E19+F19</f>
        <v>2100761.7247000001</v>
      </c>
      <c r="H19" s="7">
        <f>Sheet1!CP2</f>
        <v>0.18</v>
      </c>
      <c r="I19" s="9">
        <f>G19*H19</f>
        <v>378137.11044600001</v>
      </c>
      <c r="J19" s="9">
        <f>G19+I19</f>
        <v>2478898.8351460001</v>
      </c>
      <c r="K19" s="1">
        <f>Sheet1!CS2</f>
        <v>19</v>
      </c>
      <c r="L19" s="1" t="str">
        <f>Sheet1!CT2</f>
        <v>KMS</v>
      </c>
      <c r="M19" s="3">
        <f>J19*K19</f>
        <v>47099077.867774002</v>
      </c>
      <c r="N19" s="2">
        <f>+IFERROR(VLOOKUP($N$17,Sheet1!J2:L2,3,0),0)</f>
        <v>2430</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85">
        <v>144</v>
      </c>
      <c r="Z19" s="2">
        <f>+IFERROR(VLOOKUP($Z$17,Sheet1!F2:I2,3,0),0)</f>
        <v>0</v>
      </c>
      <c r="AA19" s="2">
        <f>+IFERROR(VLOOKUP($AA$17,Sheet1!F2:I2,3,0),0)</f>
        <v>0</v>
      </c>
      <c r="AB19" s="2">
        <f>+IFERROR(VLOOKUP($AB$17,Sheet1!F2:I2,3,0),0)</f>
        <v>0</v>
      </c>
      <c r="AC19" s="85">
        <v>370</v>
      </c>
      <c r="AD19" s="13">
        <f>+IFERROR(VLOOKUP($AD$17,Sheet1!R2:U2,2,0),0)</f>
        <v>0</v>
      </c>
      <c r="AE19" s="85">
        <v>838</v>
      </c>
      <c r="AF19" s="13">
        <f>+IFERROR(VLOOKUP($AF$17,Sheet1!V2:Y2,3,0),0)</f>
        <v>0</v>
      </c>
      <c r="AG19" s="13">
        <f>+IFERROR(VLOOKUP($AG$17,Sheet1!V2:Y2,3,0),0)</f>
        <v>0</v>
      </c>
      <c r="AH19" s="13">
        <f>+IFERROR(VLOOKUP($AH$17,Sheet1!V2:Y2,3,0),0)</f>
        <v>0</v>
      </c>
      <c r="AI19" s="13">
        <f>+IFERROR(VLOOKUP($AI$17,Sheet1!V2:Y2,3,0),0)</f>
        <v>0</v>
      </c>
      <c r="AJ19" s="13">
        <f>+IFERROR(VLOOKUP($AJ$17,Sheet1!V2:Y2,3,0),0)</f>
        <v>0</v>
      </c>
      <c r="AK19" s="13">
        <f>+IFERROR(VLOOKUP($AK$17,Sheet1!Z2:AB2,3,0),0)</f>
        <v>0</v>
      </c>
      <c r="AL19" s="13">
        <f>+IFERROR(VLOOKUP($AL$17,Sheet1!AD2:AG2,3,0),0)</f>
        <v>0</v>
      </c>
      <c r="AM19" s="13">
        <f>+IFERROR(VLOOKUP($AM$17,Sheet1!AD2:AG2,3,0),0)</f>
        <v>0</v>
      </c>
      <c r="AN19" s="13">
        <f>+IFERROR(VLOOKUP($AN$17,Sheet1!AD2:AG2,3,0),0)</f>
        <v>0</v>
      </c>
      <c r="AO19" s="13">
        <f>+IFERROR(VLOOKUP($AO$17,Sheet1!AD2:AG2,3,0),0)</f>
        <v>0</v>
      </c>
      <c r="AP19" s="13">
        <f>+IFERROR(VLOOKUP($AP$17,Sheet1!AD2:AG2,3,0),0)</f>
        <v>0</v>
      </c>
      <c r="AQ19" s="13">
        <f>+IFERROR(VLOOKUP($AQ$17,Sheet1!AD2:AG2,3,0),0)</f>
        <v>0</v>
      </c>
      <c r="AR19" s="86">
        <v>840</v>
      </c>
      <c r="AS19" s="13">
        <f>+IFERROR(VLOOKUP($AS$17,Sheet1!AH2:AK2,3,0),0)</f>
        <v>0</v>
      </c>
      <c r="AT19" s="13">
        <f>+IFERROR(VLOOKUP($AT$17,Sheet1!AH2:AK2,3,0),0)</f>
        <v>0</v>
      </c>
      <c r="AU19" s="13">
        <f>+IFERROR(VLOOKUP($AU$17,Sheet1!AH2:AK2,3,0),0)</f>
        <v>0</v>
      </c>
      <c r="AV19" s="13">
        <f>+IFERROR(VLOOKUP($AV$17,Sheet1!AH2:AK2,3,0),0)</f>
        <v>0</v>
      </c>
      <c r="AW19" s="13">
        <f>+IFERROR(VLOOKUP($AW$17,Sheet1!AH2:AK2,3,0),0)</f>
        <v>0</v>
      </c>
      <c r="AX19" s="13">
        <f>+IFERROR(VLOOKUP($AX$17,Sheet1!AH2:AK2,3,0),0)</f>
        <v>0</v>
      </c>
      <c r="AY19" s="13">
        <f>+IFERROR(VLOOKUP($AY$17,Sheet1!AH2:AK2,3,0),0)</f>
        <v>0</v>
      </c>
      <c r="AZ19" s="13">
        <f>+IFERROR(VLOOKUP($AZ$17,Sheet1!AH2:AK2,3,0),0)</f>
        <v>0</v>
      </c>
      <c r="BA19" s="86">
        <v>3945</v>
      </c>
      <c r="BB19" s="13">
        <f>+IFERROR(VLOOKUP($BB$17,Sheet1!AH2:AK2,3,0),0)</f>
        <v>0</v>
      </c>
      <c r="BC19" s="13">
        <f>+IFERROR(VLOOKUP($BC$17,Sheet1!AL2:AO2,3,0),0)</f>
        <v>0</v>
      </c>
      <c r="BD19" s="13">
        <f>+IFERROR(VLOOKUP($BD$17,Sheet1!AL2:AO2,3,0),0)</f>
        <v>0</v>
      </c>
      <c r="BE19" s="13">
        <f>+IFERROR(VLOOKUP($BE$17,Sheet1!AL2:AO2,3,0),0)</f>
        <v>0</v>
      </c>
      <c r="BF19" s="86">
        <v>1170</v>
      </c>
      <c r="BG19" s="86">
        <v>830</v>
      </c>
      <c r="BH19" s="13">
        <f>+IFERROR(VLOOKUP($BH$17,Sheet1!AL2:AO2,3,0),0)</f>
        <v>0</v>
      </c>
      <c r="BI19" s="13">
        <f>+IFERROR(VLOOKUP($BI$17,Sheet1!AL2:AO2,3,0),0)</f>
        <v>0</v>
      </c>
      <c r="BJ19" s="13">
        <f>+IFERROR(VLOOKUP($BJ$17,Sheet1!AL2:AO2,3,0),0)</f>
        <v>0</v>
      </c>
      <c r="BK19" s="13">
        <f>+IFERROR(VLOOKUP($BK$17,Sheet1!AL2:AO2,3,0),0)</f>
        <v>0</v>
      </c>
      <c r="BL19" s="13">
        <f>+IFERROR(VLOOKUP($BL$17,Sheet1!AL2:AO2,3,0),0)</f>
        <v>0</v>
      </c>
      <c r="BM19" s="13">
        <f>+IFERROR(VLOOKUP($BM$17,Sheet1!AP2:AS2,3,0),0)</f>
        <v>0</v>
      </c>
      <c r="BN19" s="86">
        <v>38</v>
      </c>
      <c r="BO19" s="13">
        <f>+IFERROR(VLOOKUP($BO$17,Sheet1!AX2:BA2,3,0),0)</f>
        <v>0</v>
      </c>
      <c r="BP19" s="86">
        <v>77</v>
      </c>
      <c r="BQ19" s="13">
        <f>+IFERROR(VLOOKUP($BQ$17,Sheet1!BF2:BI2,3,0),0)</f>
        <v>0</v>
      </c>
      <c r="BR19" s="13">
        <f>+IFERROR(VLOOKUP($BR$17,Sheet1!BJ2:BM2,3,0),0)</f>
        <v>0</v>
      </c>
      <c r="BS19" s="13">
        <f>+IFERROR(VLOOKUP($BS$17,Sheet1!BN2:BQ2,3,0),0)</f>
        <v>0</v>
      </c>
      <c r="BT19" s="86">
        <v>54</v>
      </c>
      <c r="BU19" s="13">
        <f>+IFERROR(VLOOKUP($BU$17,Sheet1!BV2:BY2,3,0),0)</f>
        <v>0</v>
      </c>
      <c r="BV19" s="13" t="str">
        <f>Sheet1!E2</f>
        <v>STEEL</v>
      </c>
      <c r="BW19" s="13" t="str">
        <f>Sheet1!CV2</f>
        <v>SP0400136</v>
      </c>
      <c r="BX19" s="13" t="str">
        <f>Sheet1!CW2</f>
        <v>CORRUGATED DISPATCH STEEL DRUM 2200 X 1300 X 1200 MM</v>
      </c>
      <c r="BY19" s="13">
        <f>Sheet1!CX2</f>
        <v>250</v>
      </c>
      <c r="BZ19" s="92">
        <v>112000</v>
      </c>
      <c r="CA19" s="3">
        <f t="shared" ref="CA19:CA28" si="0">SUMPRODUCT($N$18:$BU$18,N19:BU19)+BZ19</f>
        <v>1647169</v>
      </c>
      <c r="CB19" s="24">
        <v>0.01</v>
      </c>
      <c r="CC19" s="3">
        <f t="shared" ref="CC19:CC28" si="1">CA19*CB19</f>
        <v>16471.689999999999</v>
      </c>
      <c r="CD19" s="45">
        <v>0.2</v>
      </c>
      <c r="CE19" s="3">
        <f>CA19*CD19</f>
        <v>329433.80000000005</v>
      </c>
      <c r="CF19" s="45">
        <v>0</v>
      </c>
      <c r="CG19" s="3">
        <f>CA19*CF19</f>
        <v>0</v>
      </c>
      <c r="CH19" s="3">
        <f>CA19+CC19+CE19+CG19</f>
        <v>1993074.49</v>
      </c>
      <c r="CI19" s="45">
        <v>0.02</v>
      </c>
      <c r="CJ19" s="1">
        <f>CH19*CI19</f>
        <v>39861.489800000003</v>
      </c>
      <c r="CK19" s="45">
        <v>0.01</v>
      </c>
      <c r="CL19" s="1">
        <f>CH19*CK19</f>
        <v>19930.744900000002</v>
      </c>
    </row>
    <row r="20" spans="1:90" ht="30" x14ac:dyDescent="0.25">
      <c r="A20" s="1" t="str">
        <f>Sheet1!A3</f>
        <v>ENQ-13992-22-23</v>
      </c>
      <c r="B20" s="48">
        <f>Sheet1!B3</f>
        <v>45548</v>
      </c>
      <c r="C20" s="76" t="str">
        <f>Sheet1!C3</f>
        <v>FA1300090</v>
      </c>
      <c r="D20" s="76" t="str">
        <f>Sheet1!D3</f>
        <v>3 CORE X 185 SQ. MM AL/ARM - WIRE (XLPE) - 11 KV</v>
      </c>
      <c r="E20" s="3">
        <f t="shared" ref="E20:E28" si="2">CH20+CJ20+CL20</f>
        <v>1533007.5760999999</v>
      </c>
      <c r="F20" s="84">
        <f t="shared" ref="F20:F28" si="3">ROUNDUP(M32,0)</f>
        <v>46667</v>
      </c>
      <c r="G20" s="9">
        <f t="shared" ref="G20:G28" si="4">E20+F20</f>
        <v>1579674.5760999999</v>
      </c>
      <c r="H20" s="7">
        <f>Sheet1!CP3</f>
        <v>0.18</v>
      </c>
      <c r="I20" s="9">
        <f t="shared" ref="I20:I28" si="5">G20*H20</f>
        <v>284341.42369799997</v>
      </c>
      <c r="J20" s="9">
        <f t="shared" ref="J20:J28" si="6">G20+I20</f>
        <v>1864015.9997979999</v>
      </c>
      <c r="K20" s="1">
        <f>Sheet1!CS3</f>
        <v>27</v>
      </c>
      <c r="L20" s="1" t="str">
        <f>Sheet1!CT3</f>
        <v>KMS</v>
      </c>
      <c r="M20" s="3">
        <f t="shared" ref="M20:M28" si="7">J20*K20</f>
        <v>50328431.994545996</v>
      </c>
      <c r="N20" s="2">
        <f>+IFERROR(VLOOKUP($N$17,Sheet1!J3:L3,3,0),0)</f>
        <v>1499</v>
      </c>
      <c r="O20" s="2">
        <f>+IFERROR(VLOOKUP($O$17,Sheet1!J3:L3,3,0),0)</f>
        <v>0</v>
      </c>
      <c r="P20" s="2">
        <f>+IFERROR(VLOOKUP($P$17,Sheet1!J3:M3,3,0),0)</f>
        <v>0</v>
      </c>
      <c r="Q20" s="2">
        <f>+IFERROR(VLOOKUP($Q$17,Sheet1!J3:M3,3,0),0)</f>
        <v>0</v>
      </c>
      <c r="R20" s="2">
        <f>+IFERROR(VLOOKUP($R$17,Sheet1!J3:M3,3,0),0)</f>
        <v>0</v>
      </c>
      <c r="S20" s="2">
        <f>+IFERROR(VLOOKUP($S$17,Sheet1!N3:Q3,3,0),0)</f>
        <v>0</v>
      </c>
      <c r="T20" s="2">
        <f>+IFERROR(VLOOKUP($T$17,Sheet1!N3:Q3,3,0),0)</f>
        <v>0</v>
      </c>
      <c r="U20" s="2">
        <f>+IFERROR(VLOOKUP($U$17,Sheet1!F3:I3,3,0),0)</f>
        <v>0</v>
      </c>
      <c r="V20" s="2">
        <f>+IFERROR(VLOOKUP($V$17,Sheet1!F3:I3,3,0),0)</f>
        <v>0</v>
      </c>
      <c r="W20" s="2">
        <f>+IFERROR(VLOOKUP($W$17,Sheet1!F3:I3,3,0),0)</f>
        <v>0</v>
      </c>
      <c r="X20" s="2">
        <f>+IFERROR(VLOOKUP($X$17,Sheet1!F3:I3,3,0),0)</f>
        <v>0</v>
      </c>
      <c r="Y20" s="85">
        <v>125</v>
      </c>
      <c r="Z20" s="2">
        <f>+IFERROR(VLOOKUP($Z$17,Sheet1!F3:I3,3,0),0)</f>
        <v>0</v>
      </c>
      <c r="AA20" s="2">
        <f>+IFERROR(VLOOKUP($AA$17,Sheet1!F3:I3,3,0),0)</f>
        <v>0</v>
      </c>
      <c r="AB20" s="2">
        <f>+IFERROR(VLOOKUP($AB$17,Sheet1!F3:I3,3,0),0)</f>
        <v>0</v>
      </c>
      <c r="AC20" s="85">
        <v>300</v>
      </c>
      <c r="AD20" s="13">
        <f>+IFERROR(VLOOKUP($AD$17,Sheet1!R3:U3,2,0),0)</f>
        <v>0</v>
      </c>
      <c r="AE20" s="85">
        <v>695</v>
      </c>
      <c r="AF20" s="13">
        <f>+IFERROR(VLOOKUP($AF$17,Sheet1!V3:Y3,3,0),0)</f>
        <v>0</v>
      </c>
      <c r="AG20" s="13">
        <f>+IFERROR(VLOOKUP($AG$17,Sheet1!V3:Y3,3,0),0)</f>
        <v>0</v>
      </c>
      <c r="AH20" s="13">
        <f>+IFERROR(VLOOKUP($AH$17,Sheet1!V3:Y3,3,0),0)</f>
        <v>0</v>
      </c>
      <c r="AI20" s="13">
        <f>+IFERROR(VLOOKUP($AI$17,Sheet1!V3:Y3,3,0),0)</f>
        <v>0</v>
      </c>
      <c r="AJ20" s="13">
        <f>+IFERROR(VLOOKUP($AJ$17,Sheet1!V3:Y3,3,0),0)</f>
        <v>0</v>
      </c>
      <c r="AK20" s="13">
        <f>+IFERROR(VLOOKUP($AK$17,Sheet1!Z3:AB3,3,0),0)</f>
        <v>0</v>
      </c>
      <c r="AL20" s="13">
        <f>+IFERROR(VLOOKUP($AL$17,Sheet1!AD3:AG3,3,0),0)</f>
        <v>0</v>
      </c>
      <c r="AM20" s="13">
        <f>+IFERROR(VLOOKUP($AM$17,Sheet1!AD3:AG3,3,0),0)</f>
        <v>0</v>
      </c>
      <c r="AN20" s="13">
        <f>+IFERROR(VLOOKUP($AN$17,Sheet1!AD3:AG3,3,0),0)</f>
        <v>0</v>
      </c>
      <c r="AO20" s="13">
        <f>+IFERROR(VLOOKUP($AO$17,Sheet1!AD3:AG3,3,0),0)</f>
        <v>0</v>
      </c>
      <c r="AP20" s="13">
        <f>+IFERROR(VLOOKUP($AP$17,Sheet1!AD3:AG3,3,0),0)</f>
        <v>0</v>
      </c>
      <c r="AQ20" s="13">
        <f>+IFERROR(VLOOKUP($AQ$17,Sheet1!AD3:AG3,3,0),0)</f>
        <v>0</v>
      </c>
      <c r="AR20" s="86">
        <v>658</v>
      </c>
      <c r="AS20" s="13">
        <f>+IFERROR(VLOOKUP($AS$17,Sheet1!AH3:AK3,3,0),0)</f>
        <v>0</v>
      </c>
      <c r="AT20" s="13">
        <f>+IFERROR(VLOOKUP($AT$17,Sheet1!AH3:AK3,3,0),0)</f>
        <v>0</v>
      </c>
      <c r="AU20" s="13">
        <f>+IFERROR(VLOOKUP($AU$17,Sheet1!AH3:AK3,3,0),0)</f>
        <v>0</v>
      </c>
      <c r="AV20" s="13">
        <f>+IFERROR(VLOOKUP($AV$17,Sheet1!AH3:AK3,3,0),0)</f>
        <v>0</v>
      </c>
      <c r="AW20" s="13">
        <f>+IFERROR(VLOOKUP($AW$17,Sheet1!AH3:AK3,3,0),0)</f>
        <v>0</v>
      </c>
      <c r="AX20" s="13">
        <f>+IFERROR(VLOOKUP($AX$17,Sheet1!AH3:AK3,3,0),0)</f>
        <v>0</v>
      </c>
      <c r="AY20" s="13">
        <f>+IFERROR(VLOOKUP($AY$17,Sheet1!AH3:AK3,3,0),0)</f>
        <v>0</v>
      </c>
      <c r="AZ20" s="13">
        <f>+IFERROR(VLOOKUP($AZ$17,Sheet1!AH3:AK3,3,0),0)</f>
        <v>0</v>
      </c>
      <c r="BA20" s="86">
        <v>3372</v>
      </c>
      <c r="BB20" s="13">
        <f>+IFERROR(VLOOKUP($BB$17,Sheet1!AH3:AK3,3,0),0)</f>
        <v>0</v>
      </c>
      <c r="BC20" s="13">
        <f>+IFERROR(VLOOKUP($BC$17,Sheet1!AL3:AO3,3,0),0)</f>
        <v>0</v>
      </c>
      <c r="BD20" s="13">
        <f>+IFERROR(VLOOKUP($BD$17,Sheet1!AL3:AO3,3,0),0)</f>
        <v>0</v>
      </c>
      <c r="BE20" s="13">
        <f>+IFERROR(VLOOKUP($BE$17,Sheet1!AL3:AO3,3,0),0)</f>
        <v>0</v>
      </c>
      <c r="BF20" s="86">
        <v>920</v>
      </c>
      <c r="BG20" s="86">
        <v>612</v>
      </c>
      <c r="BH20" s="13">
        <f>+IFERROR(VLOOKUP($BH$17,Sheet1!AL3:AO3,3,0),0)</f>
        <v>0</v>
      </c>
      <c r="BI20" s="13">
        <f>+IFERROR(VLOOKUP($BI$17,Sheet1!AL3:AO3,3,0),0)</f>
        <v>0</v>
      </c>
      <c r="BJ20" s="13">
        <f>+IFERROR(VLOOKUP($BJ$17,Sheet1!AL3:AO3,3,0),0)</f>
        <v>0</v>
      </c>
      <c r="BK20" s="13">
        <f>+IFERROR(VLOOKUP($BK$17,Sheet1!AL3:AO3,3,0),0)</f>
        <v>0</v>
      </c>
      <c r="BL20" s="13">
        <f>+IFERROR(VLOOKUP($BL$17,Sheet1!AL3:AO3,3,0),0)</f>
        <v>0</v>
      </c>
      <c r="BM20" s="13">
        <f>+IFERROR(VLOOKUP($BM$17,Sheet1!AP3:AS3,3,0),0)</f>
        <v>0</v>
      </c>
      <c r="BN20" s="86">
        <v>35</v>
      </c>
      <c r="BO20" s="13">
        <f>+IFERROR(VLOOKUP($BO$17,Sheet1!AX3:BA3,3,0),0)</f>
        <v>0</v>
      </c>
      <c r="BP20" s="86">
        <v>65</v>
      </c>
      <c r="BQ20" s="13">
        <f>+IFERROR(VLOOKUP($BQ$17,Sheet1!BF3:BI3,3,0),0)</f>
        <v>0</v>
      </c>
      <c r="BR20" s="13">
        <f>+IFERROR(VLOOKUP($BR$17,Sheet1!BJ3:BM3,3,0),0)</f>
        <v>0</v>
      </c>
      <c r="BS20" s="13">
        <f>+IFERROR(VLOOKUP($BS$17,Sheet1!BN3:BQ3,3,0),0)</f>
        <v>0</v>
      </c>
      <c r="BT20" s="86">
        <v>47</v>
      </c>
      <c r="BU20" s="13">
        <f>+IFERROR(VLOOKUP($BU$17,Sheet1!BV3:BY3,3,0),0)</f>
        <v>0</v>
      </c>
      <c r="BV20" s="13" t="str">
        <f>Sheet1!E3</f>
        <v>STEEL</v>
      </c>
      <c r="BW20" s="13" t="str">
        <f>Sheet1!CV3</f>
        <v>SP0400111</v>
      </c>
      <c r="BX20" s="13" t="str">
        <f>Sheet1!CW3</f>
        <v>CORRUGATED DISPATCH STEEL DRUM 1900 X 1000 X 1000 MM</v>
      </c>
      <c r="BY20" s="13">
        <f>Sheet1!CX3</f>
        <v>250</v>
      </c>
      <c r="BZ20" s="92">
        <v>77400</v>
      </c>
      <c r="CA20" s="3">
        <f t="shared" si="0"/>
        <v>1230047</v>
      </c>
      <c r="CB20" s="24">
        <v>0.01</v>
      </c>
      <c r="CC20" s="3">
        <f t="shared" si="1"/>
        <v>12300.470000000001</v>
      </c>
      <c r="CD20" s="45">
        <v>0.2</v>
      </c>
      <c r="CE20" s="3">
        <f t="shared" ref="CE20:CE28" si="8">CA20*CD20</f>
        <v>246009.40000000002</v>
      </c>
      <c r="CF20" s="45">
        <v>0</v>
      </c>
      <c r="CG20" s="3">
        <f t="shared" ref="CG20:CG28" si="9">CA20*CF20</f>
        <v>0</v>
      </c>
      <c r="CH20" s="3">
        <f t="shared" ref="CH20:CH28" si="10">CA20+CC20+CE20+CG20</f>
        <v>1488356.87</v>
      </c>
      <c r="CI20" s="45">
        <v>0.02</v>
      </c>
      <c r="CJ20" s="1">
        <f t="shared" ref="CJ20:CJ28" si="11">CH20*CI20</f>
        <v>29767.137400000003</v>
      </c>
      <c r="CK20" s="45">
        <v>0.01</v>
      </c>
      <c r="CL20" s="1">
        <f t="shared" ref="CL20:CL28" si="12">CH20*CK20</f>
        <v>14883.568700000002</v>
      </c>
    </row>
    <row r="21" spans="1:90" ht="30" x14ac:dyDescent="0.25">
      <c r="A21" s="1" t="str">
        <f>Sheet1!A4</f>
        <v>ENQ-13992-22-23</v>
      </c>
      <c r="B21" s="48">
        <f>Sheet1!B4</f>
        <v>45548</v>
      </c>
      <c r="C21" s="1" t="str">
        <f>Sheet1!C4</f>
        <v>FA1300176</v>
      </c>
      <c r="D21" s="1" t="str">
        <f>Sheet1!D4</f>
        <v>3 CORE X 150 SQ. MM. AL/ARM - WIRE (XLPE) - 11 KV</v>
      </c>
      <c r="E21" s="3">
        <f t="shared" si="2"/>
        <v>1350074.4157999998</v>
      </c>
      <c r="F21" s="84">
        <f t="shared" si="3"/>
        <v>70000</v>
      </c>
      <c r="G21" s="9">
        <f t="shared" si="4"/>
        <v>1420074.4157999998</v>
      </c>
      <c r="H21" s="7">
        <f>Sheet1!CP4</f>
        <v>0.18</v>
      </c>
      <c r="I21" s="9">
        <f t="shared" si="5"/>
        <v>255613.39484399997</v>
      </c>
      <c r="J21" s="9">
        <f t="shared" si="6"/>
        <v>1675687.8106439998</v>
      </c>
      <c r="K21" s="1">
        <f>Sheet1!CS4</f>
        <v>2</v>
      </c>
      <c r="L21" s="1" t="str">
        <f>Sheet1!CT4</f>
        <v>KMS</v>
      </c>
      <c r="M21" s="3">
        <f t="shared" si="7"/>
        <v>3351375.6212879997</v>
      </c>
      <c r="N21" s="2">
        <f>+IFERROR(VLOOKUP($N$17,Sheet1!J4:L4,3,0),0)</f>
        <v>1215</v>
      </c>
      <c r="O21" s="2">
        <f>+IFERROR(VLOOKUP($O$17,Sheet1!J4:L4,3,0),0)</f>
        <v>0</v>
      </c>
      <c r="P21" s="2">
        <f>+IFERROR(VLOOKUP($P$17,Sheet1!J4:M4,3,0),0)</f>
        <v>0</v>
      </c>
      <c r="Q21" s="2">
        <f>+IFERROR(VLOOKUP($Q$17,Sheet1!J4:M4,3,0),0)</f>
        <v>0</v>
      </c>
      <c r="R21" s="2">
        <f>+IFERROR(VLOOKUP($R$17,Sheet1!J4:M4,3,0),0)</f>
        <v>0</v>
      </c>
      <c r="S21" s="2">
        <f>+IFERROR(VLOOKUP($S$17,Sheet1!N4:Q4,3,0),0)</f>
        <v>0</v>
      </c>
      <c r="T21" s="2">
        <f>+IFERROR(VLOOKUP($T$17,Sheet1!N4:Q4,3,0),0)</f>
        <v>0</v>
      </c>
      <c r="U21" s="2">
        <f>+IFERROR(VLOOKUP($U$17,Sheet1!F4:I4,3,0),0)</f>
        <v>0</v>
      </c>
      <c r="V21" s="2">
        <f>+IFERROR(VLOOKUP($V$17,Sheet1!F4:I4,3,0),0)</f>
        <v>0</v>
      </c>
      <c r="W21" s="2">
        <f>+IFERROR(VLOOKUP($W$17,Sheet1!F4:I4,3,0),0)</f>
        <v>0</v>
      </c>
      <c r="X21" s="2">
        <f>+IFERROR(VLOOKUP($X$17,Sheet1!F4:I4,3,0),0)</f>
        <v>0</v>
      </c>
      <c r="Y21" s="85">
        <v>117</v>
      </c>
      <c r="Z21" s="2">
        <f>+IFERROR(VLOOKUP($Z$17,Sheet1!F4:I4,3,0),0)</f>
        <v>0</v>
      </c>
      <c r="AA21" s="2">
        <f>+IFERROR(VLOOKUP($AA$17,Sheet1!F4:I4,3,0),0)</f>
        <v>0</v>
      </c>
      <c r="AB21" s="2">
        <f>+IFERROR(VLOOKUP($AB$17,Sheet1!F4:I4,3,0),0)</f>
        <v>0</v>
      </c>
      <c r="AC21" s="85">
        <v>280</v>
      </c>
      <c r="AD21" s="13">
        <f>+IFERROR(VLOOKUP($AD$17,Sheet1!R4:U4,2,0),0)</f>
        <v>0</v>
      </c>
      <c r="AE21" s="85">
        <v>642</v>
      </c>
      <c r="AF21" s="13">
        <f>+IFERROR(VLOOKUP($AF$17,Sheet1!V4:Y4,3,0),0)</f>
        <v>0</v>
      </c>
      <c r="AG21" s="13">
        <f>+IFERROR(VLOOKUP($AG$17,Sheet1!V4:Y4,3,0),0)</f>
        <v>0</v>
      </c>
      <c r="AH21" s="13">
        <f>+IFERROR(VLOOKUP($AH$17,Sheet1!V4:Y4,3,0),0)</f>
        <v>0</v>
      </c>
      <c r="AI21" s="13">
        <f>+IFERROR(VLOOKUP($AI$17,Sheet1!V4:Y4,3,0),0)</f>
        <v>0</v>
      </c>
      <c r="AJ21" s="13">
        <f>+IFERROR(VLOOKUP($AJ$17,Sheet1!V4:Y4,3,0),0)</f>
        <v>0</v>
      </c>
      <c r="AK21" s="13">
        <f>+IFERROR(VLOOKUP($AK$17,Sheet1!Z4:AB4,3,0),0)</f>
        <v>0</v>
      </c>
      <c r="AL21" s="13">
        <f>+IFERROR(VLOOKUP($AL$17,Sheet1!AD4:AG4,3,0),0)</f>
        <v>0</v>
      </c>
      <c r="AM21" s="13">
        <f>+IFERROR(VLOOKUP($AM$17,Sheet1!AD4:AG4,3,0),0)</f>
        <v>0</v>
      </c>
      <c r="AN21" s="13">
        <f>+IFERROR(VLOOKUP($AN$17,Sheet1!AD4:AG4,3,0),0)</f>
        <v>0</v>
      </c>
      <c r="AO21" s="13">
        <f>+IFERROR(VLOOKUP($AO$17,Sheet1!AD4:AG4,3,0),0)</f>
        <v>0</v>
      </c>
      <c r="AP21" s="13">
        <f>+IFERROR(VLOOKUP($AP$17,Sheet1!AD4:AG4,3,0),0)</f>
        <v>0</v>
      </c>
      <c r="AQ21" s="13">
        <f>+IFERROR(VLOOKUP($AQ$17,Sheet1!AD4:AG4,3,0),0)</f>
        <v>0</v>
      </c>
      <c r="AR21" s="86">
        <v>568</v>
      </c>
      <c r="AS21" s="13">
        <f>+IFERROR(VLOOKUP($AS$17,Sheet1!AH4:AK4,3,0),0)</f>
        <v>0</v>
      </c>
      <c r="AT21" s="13">
        <f>+IFERROR(VLOOKUP($AT$17,Sheet1!AH4:AK4,3,0),0)</f>
        <v>0</v>
      </c>
      <c r="AU21" s="13">
        <f>+IFERROR(VLOOKUP($AU$17,Sheet1!AH4:AK4,3,0),0)</f>
        <v>0</v>
      </c>
      <c r="AV21" s="13">
        <f>+IFERROR(VLOOKUP($AV$17,Sheet1!AH4:AK4,3,0),0)</f>
        <v>0</v>
      </c>
      <c r="AW21" s="13">
        <f>+IFERROR(VLOOKUP($AW$17,Sheet1!AH4:AK4,3,0),0)</f>
        <v>0</v>
      </c>
      <c r="AX21" s="13">
        <f>+IFERROR(VLOOKUP($AX$17,Sheet1!AH4:AK4,3,0),0)</f>
        <v>0</v>
      </c>
      <c r="AY21" s="13">
        <f>+IFERROR(VLOOKUP($AY$17,Sheet1!AH4:AK4,3,0),0)</f>
        <v>0</v>
      </c>
      <c r="AZ21" s="13">
        <f>+IFERROR(VLOOKUP($AZ$17,Sheet1!AH4:AK4,3,0),0)</f>
        <v>0</v>
      </c>
      <c r="BA21" s="86">
        <v>3117</v>
      </c>
      <c r="BB21" s="13">
        <f>+IFERROR(VLOOKUP($BB$17,Sheet1!AH4:AK4,3,0),0)</f>
        <v>0</v>
      </c>
      <c r="BC21" s="13">
        <f>+IFERROR(VLOOKUP($BC$17,Sheet1!AL4:AO4,3,0),0)</f>
        <v>0</v>
      </c>
      <c r="BD21" s="13">
        <f>+IFERROR(VLOOKUP($BD$17,Sheet1!AL4:AO4,3,0),0)</f>
        <v>0</v>
      </c>
      <c r="BE21" s="13">
        <f>+IFERROR(VLOOKUP($BE$17,Sheet1!AL4:AO4,3,0),0)</f>
        <v>0</v>
      </c>
      <c r="BF21" s="86">
        <v>812</v>
      </c>
      <c r="BG21" s="86">
        <v>541</v>
      </c>
      <c r="BH21" s="13">
        <f>+IFERROR(VLOOKUP($BH$17,Sheet1!AL4:AO4,3,0),0)</f>
        <v>0</v>
      </c>
      <c r="BI21" s="13">
        <f>+IFERROR(VLOOKUP($BI$17,Sheet1!AL4:AO4,3,0),0)</f>
        <v>0</v>
      </c>
      <c r="BJ21" s="13">
        <f>+IFERROR(VLOOKUP($BJ$17,Sheet1!AL4:AO4,3,0),0)</f>
        <v>0</v>
      </c>
      <c r="BK21" s="13">
        <f>+IFERROR(VLOOKUP($BK$17,Sheet1!AL4:AO4,3,0),0)</f>
        <v>0</v>
      </c>
      <c r="BL21" s="13">
        <f>+IFERROR(VLOOKUP($BL$17,Sheet1!AL4:AO4,3,0),0)</f>
        <v>0</v>
      </c>
      <c r="BM21" s="13">
        <f>+IFERROR(VLOOKUP($BM$17,Sheet1!AP4:AS4,3,0),0)</f>
        <v>0</v>
      </c>
      <c r="BN21" s="86">
        <v>18</v>
      </c>
      <c r="BO21" s="13">
        <f>+IFERROR(VLOOKUP($BO$17,Sheet1!AX4:BA4,3,0),0)</f>
        <v>0</v>
      </c>
      <c r="BP21" s="86">
        <v>59</v>
      </c>
      <c r="BQ21" s="13">
        <f>+IFERROR(VLOOKUP($BQ$17,Sheet1!BF4:BI4,3,0),0)</f>
        <v>0</v>
      </c>
      <c r="BR21" s="13">
        <f>+IFERROR(VLOOKUP($BR$17,Sheet1!BJ4:BM4,3,0),0)</f>
        <v>0</v>
      </c>
      <c r="BS21" s="13">
        <f>+IFERROR(VLOOKUP($BS$17,Sheet1!BN4:BQ4,3,0),0)</f>
        <v>0</v>
      </c>
      <c r="BT21" s="86">
        <v>44</v>
      </c>
      <c r="BU21" s="13">
        <f>+IFERROR(VLOOKUP($BU$17,Sheet1!BV4:BY4,3,0),0)</f>
        <v>0</v>
      </c>
      <c r="BV21" s="13" t="str">
        <f>Sheet1!E4</f>
        <v>STEEL</v>
      </c>
      <c r="BW21" s="13" t="s">
        <v>207</v>
      </c>
      <c r="BX21" s="13" t="s">
        <v>208</v>
      </c>
      <c r="BY21" s="13">
        <f>Sheet1!CX4</f>
        <v>250</v>
      </c>
      <c r="BZ21" s="92">
        <v>70400</v>
      </c>
      <c r="CA21" s="3">
        <f t="shared" si="0"/>
        <v>1083266</v>
      </c>
      <c r="CB21" s="24">
        <v>0.01</v>
      </c>
      <c r="CC21" s="3">
        <f t="shared" si="1"/>
        <v>10832.66</v>
      </c>
      <c r="CD21" s="45">
        <v>0.2</v>
      </c>
      <c r="CE21" s="3">
        <f t="shared" si="8"/>
        <v>216653.2</v>
      </c>
      <c r="CF21" s="45">
        <v>0</v>
      </c>
      <c r="CG21" s="3">
        <f t="shared" si="9"/>
        <v>0</v>
      </c>
      <c r="CH21" s="3">
        <f t="shared" si="10"/>
        <v>1310751.8599999999</v>
      </c>
      <c r="CI21" s="45">
        <v>0.02</v>
      </c>
      <c r="CJ21" s="1">
        <f t="shared" si="11"/>
        <v>26215.037199999999</v>
      </c>
      <c r="CK21" s="45">
        <v>0.01</v>
      </c>
      <c r="CL21" s="1">
        <f t="shared" si="12"/>
        <v>13107.518599999999</v>
      </c>
    </row>
    <row r="22" spans="1:90" ht="30" x14ac:dyDescent="0.25">
      <c r="A22" s="1" t="str">
        <f>Sheet1!A5</f>
        <v>ENQ-13992-22-23</v>
      </c>
      <c r="B22" s="48">
        <f>Sheet1!B5</f>
        <v>45548</v>
      </c>
      <c r="C22" s="1" t="str">
        <f>Sheet1!C5</f>
        <v>FA1300098</v>
      </c>
      <c r="D22" s="1" t="str">
        <f>Sheet1!D5</f>
        <v>3 CORE X 95 SQ. MM. AL/ARM - WIRE (XLPE) - 11 KV</v>
      </c>
      <c r="E22" s="3">
        <f t="shared" si="2"/>
        <v>1029471.2186</v>
      </c>
      <c r="F22" s="84">
        <f t="shared" si="3"/>
        <v>35000</v>
      </c>
      <c r="G22" s="9">
        <f t="shared" si="4"/>
        <v>1064471.2186</v>
      </c>
      <c r="H22" s="7">
        <f>Sheet1!CP5</f>
        <v>0.18</v>
      </c>
      <c r="I22" s="9">
        <f t="shared" si="5"/>
        <v>191604.81934799999</v>
      </c>
      <c r="J22" s="9">
        <f t="shared" si="6"/>
        <v>1256076.037948</v>
      </c>
      <c r="K22" s="1">
        <f>Sheet1!CS5</f>
        <v>20</v>
      </c>
      <c r="L22" s="1" t="str">
        <f>Sheet1!CT5</f>
        <v>KMS</v>
      </c>
      <c r="M22" s="3">
        <f t="shared" si="7"/>
        <v>25121520.758960001</v>
      </c>
      <c r="N22" s="2">
        <f>+IFERROR(VLOOKUP($N$17,Sheet1!J5:L5,3,0),0)</f>
        <v>770</v>
      </c>
      <c r="O22" s="2">
        <f>+IFERROR(VLOOKUP($O$17,Sheet1!J5:L5,3,0),0)</f>
        <v>0</v>
      </c>
      <c r="P22" s="2">
        <f>+IFERROR(VLOOKUP($P$17,Sheet1!J5:M5,3,0),0)</f>
        <v>0</v>
      </c>
      <c r="Q22" s="2">
        <f>+IFERROR(VLOOKUP($Q$17,Sheet1!J5:M5,3,0),0)</f>
        <v>0</v>
      </c>
      <c r="R22" s="2">
        <f>+IFERROR(VLOOKUP($R$17,Sheet1!J5:M5,3,0),0)</f>
        <v>0</v>
      </c>
      <c r="S22" s="2">
        <f>+IFERROR(VLOOKUP($S$17,Sheet1!N5:Q5,3,0),0)</f>
        <v>0</v>
      </c>
      <c r="T22" s="2">
        <f>+IFERROR(VLOOKUP($T$17,Sheet1!N5:Q5,3,0),0)</f>
        <v>0</v>
      </c>
      <c r="U22" s="2">
        <f>+IFERROR(VLOOKUP($U$17,Sheet1!F5:I5,3,0),0)</f>
        <v>0</v>
      </c>
      <c r="V22" s="2">
        <f>+IFERROR(VLOOKUP($V$17,Sheet1!F5:I5,3,0),0)</f>
        <v>0</v>
      </c>
      <c r="W22" s="2">
        <f>+IFERROR(VLOOKUP($W$17,Sheet1!F5:I5,3,0),0)</f>
        <v>0</v>
      </c>
      <c r="X22" s="2">
        <f>+IFERROR(VLOOKUP($X$17,Sheet1!F5:I5,3,0),0)</f>
        <v>0</v>
      </c>
      <c r="Y22" s="85">
        <v>102</v>
      </c>
      <c r="Z22" s="2">
        <f>+IFERROR(VLOOKUP($Z$17,Sheet1!F5:I5,3,0),0)</f>
        <v>0</v>
      </c>
      <c r="AA22" s="2">
        <f>+IFERROR(VLOOKUP($AA$17,Sheet1!F5:I5,3,0),0)</f>
        <v>0</v>
      </c>
      <c r="AB22" s="2">
        <f>+IFERROR(VLOOKUP($AB$17,Sheet1!F5:I5,3,0),0)</f>
        <v>0</v>
      </c>
      <c r="AC22" s="85">
        <v>232</v>
      </c>
      <c r="AD22" s="13">
        <f>+IFERROR(VLOOKUP($AD$17,Sheet1!R5:U5,2,0),0)</f>
        <v>0</v>
      </c>
      <c r="AE22" s="85">
        <v>544</v>
      </c>
      <c r="AF22" s="13">
        <f>+IFERROR(VLOOKUP($AF$17,Sheet1!V5:Y5,3,0),0)</f>
        <v>0</v>
      </c>
      <c r="AG22" s="13">
        <f>+IFERROR(VLOOKUP($AG$17,Sheet1!V5:Y5,3,0),0)</f>
        <v>0</v>
      </c>
      <c r="AH22" s="13">
        <f>+IFERROR(VLOOKUP($AH$17,Sheet1!V5:Y5,3,0),0)</f>
        <v>0</v>
      </c>
      <c r="AI22" s="13">
        <f>+IFERROR(VLOOKUP($AI$17,Sheet1!V5:Y5,3,0),0)</f>
        <v>0</v>
      </c>
      <c r="AJ22" s="13">
        <f>+IFERROR(VLOOKUP($AJ$17,Sheet1!V5:Y5,3,0),0)</f>
        <v>0</v>
      </c>
      <c r="AK22" s="13">
        <f>+IFERROR(VLOOKUP($AK$17,Sheet1!Z5:AB5,3,0),0)</f>
        <v>0</v>
      </c>
      <c r="AL22" s="13">
        <f>+IFERROR(VLOOKUP($AL$17,Sheet1!AD5:AG5,3,0),0)</f>
        <v>0</v>
      </c>
      <c r="AM22" s="13">
        <f>+IFERROR(VLOOKUP($AM$17,Sheet1!AD5:AG5,3,0),0)</f>
        <v>0</v>
      </c>
      <c r="AN22" s="13">
        <f>+IFERROR(VLOOKUP($AN$17,Sheet1!AD5:AG5,3,0),0)</f>
        <v>0</v>
      </c>
      <c r="AO22" s="13">
        <f>+IFERROR(VLOOKUP($AO$17,Sheet1!AD5:AG5,3,0),0)</f>
        <v>0</v>
      </c>
      <c r="AP22" s="13">
        <f>+IFERROR(VLOOKUP($AP$17,Sheet1!AD5:AG5,3,0),0)</f>
        <v>0</v>
      </c>
      <c r="AQ22" s="13">
        <f>+IFERROR(VLOOKUP($AQ$17,Sheet1!AD5:AG5,3,0),0)</f>
        <v>0</v>
      </c>
      <c r="AR22" s="86">
        <v>460</v>
      </c>
      <c r="AS22" s="13">
        <f>+IFERROR(VLOOKUP($AS$17,Sheet1!AH5:AK5,3,0),0)</f>
        <v>0</v>
      </c>
      <c r="AT22" s="13">
        <f>+IFERROR(VLOOKUP($AT$17,Sheet1!AH5:AK5,3,0),0)</f>
        <v>0</v>
      </c>
      <c r="AU22" s="13">
        <f>+IFERROR(VLOOKUP($AU$17,Sheet1!AH5:AK5,3,0),0)</f>
        <v>0</v>
      </c>
      <c r="AV22" s="13">
        <f>+IFERROR(VLOOKUP($AV$17,Sheet1!AH5:AK5,3,0),0)</f>
        <v>0</v>
      </c>
      <c r="AW22" s="13">
        <f>+IFERROR(VLOOKUP($AW$17,Sheet1!AH5:AK5,3,0),0)</f>
        <v>0</v>
      </c>
      <c r="AX22" s="13">
        <f>+IFERROR(VLOOKUP($AX$17,Sheet1!AH5:AK5,3,0),0)</f>
        <v>0</v>
      </c>
      <c r="AY22" s="13">
        <f>+IFERROR(VLOOKUP($AY$17,Sheet1!AH5:AK5,3,0),0)</f>
        <v>0</v>
      </c>
      <c r="AZ22" s="13">
        <f>+IFERROR(VLOOKUP($AZ$17,Sheet1!AH5:AK5,3,0),0)</f>
        <v>0</v>
      </c>
      <c r="BA22" s="86">
        <v>2244</v>
      </c>
      <c r="BB22" s="13">
        <f>+IFERROR(VLOOKUP($BB$17,Sheet1!AH5:AK5,3,0),0)</f>
        <v>0</v>
      </c>
      <c r="BC22" s="13">
        <f>+IFERROR(VLOOKUP($BC$17,Sheet1!AL5:AO5,3,0),0)</f>
        <v>0</v>
      </c>
      <c r="BD22" s="13">
        <f>+IFERROR(VLOOKUP($BD$17,Sheet1!AL5:AO5,3,0),0)</f>
        <v>0</v>
      </c>
      <c r="BE22" s="13">
        <f>+IFERROR(VLOOKUP($BE$17,Sheet1!AL5:AO5,3,0),0)</f>
        <v>0</v>
      </c>
      <c r="BF22" s="86">
        <v>656</v>
      </c>
      <c r="BG22" s="86">
        <v>416</v>
      </c>
      <c r="BH22" s="13">
        <f>+IFERROR(VLOOKUP($BH$17,Sheet1!AL5:AO5,3,0),0)</f>
        <v>0</v>
      </c>
      <c r="BI22" s="13">
        <f>+IFERROR(VLOOKUP($BI$17,Sheet1!AL5:AO5,3,0),0)</f>
        <v>0</v>
      </c>
      <c r="BJ22" s="13">
        <f>+IFERROR(VLOOKUP($BJ$17,Sheet1!AL5:AO5,3,0),0)</f>
        <v>0</v>
      </c>
      <c r="BK22" s="13">
        <f>+IFERROR(VLOOKUP($BK$17,Sheet1!AL5:AO5,3,0),0)</f>
        <v>0</v>
      </c>
      <c r="BL22" s="13">
        <f>+IFERROR(VLOOKUP($BL$17,Sheet1!AL5:AO5,3,0),0)</f>
        <v>0</v>
      </c>
      <c r="BM22" s="13">
        <f>+IFERROR(VLOOKUP($BM$17,Sheet1!AP5:AS5,3,0),0)</f>
        <v>0</v>
      </c>
      <c r="BN22" s="86">
        <v>15</v>
      </c>
      <c r="BO22" s="13">
        <v>0</v>
      </c>
      <c r="BP22" s="86">
        <v>50</v>
      </c>
      <c r="BQ22" s="13">
        <f>+IFERROR(VLOOKUP($BQ$17,Sheet1!BF5:BI5,3,0),0)</f>
        <v>0</v>
      </c>
      <c r="BR22" s="13">
        <f>+IFERROR(VLOOKUP($BR$17,Sheet1!BJ5:BM5,3,0),0)</f>
        <v>0</v>
      </c>
      <c r="BS22" s="13">
        <f>+IFERROR(VLOOKUP($BS$17,Sheet1!BN5:BQ5,3,0),0)</f>
        <v>0</v>
      </c>
      <c r="BT22" s="86">
        <v>38</v>
      </c>
      <c r="BU22" s="13">
        <f>+IFERROR(VLOOKUP($BU$17,Sheet1!BV5:BY5,3,0),0)</f>
        <v>0</v>
      </c>
      <c r="BV22" s="13" t="str">
        <f>Sheet1!E5</f>
        <v>STEEL</v>
      </c>
      <c r="BW22" s="13" t="s">
        <v>234</v>
      </c>
      <c r="BX22" s="13" t="s">
        <v>235</v>
      </c>
      <c r="BY22" s="13">
        <f>Sheet1!CX5</f>
        <v>250</v>
      </c>
      <c r="BZ22" s="92">
        <v>68800</v>
      </c>
      <c r="CA22" s="3">
        <f t="shared" si="0"/>
        <v>826022</v>
      </c>
      <c r="CB22" s="24">
        <v>0.01</v>
      </c>
      <c r="CC22" s="3">
        <f t="shared" si="1"/>
        <v>8260.2199999999993</v>
      </c>
      <c r="CD22" s="45">
        <v>0.2</v>
      </c>
      <c r="CE22" s="3">
        <f t="shared" si="8"/>
        <v>165204.40000000002</v>
      </c>
      <c r="CF22" s="45">
        <v>0</v>
      </c>
      <c r="CG22" s="3">
        <f t="shared" si="9"/>
        <v>0</v>
      </c>
      <c r="CH22" s="3">
        <f t="shared" si="10"/>
        <v>999486.62</v>
      </c>
      <c r="CI22" s="45">
        <v>0.02</v>
      </c>
      <c r="CJ22" s="1">
        <f t="shared" si="11"/>
        <v>19989.732400000001</v>
      </c>
      <c r="CK22" s="45">
        <v>0.01</v>
      </c>
      <c r="CL22" s="1">
        <f t="shared" si="12"/>
        <v>9994.8662000000004</v>
      </c>
    </row>
    <row r="23" spans="1:90" s="66" customFormat="1" ht="30" x14ac:dyDescent="0.25">
      <c r="A23" s="67" t="str">
        <f>Sheet1!A6</f>
        <v>ENQ-13992-22-23</v>
      </c>
      <c r="B23" s="68">
        <f>Sheet1!B6</f>
        <v>45548</v>
      </c>
      <c r="C23" s="67" t="str">
        <f>Sheet1!C6</f>
        <v>FA1300066</v>
      </c>
      <c r="D23" s="67" t="str">
        <f>Sheet1!D6</f>
        <v>1 CORE X 1000 SQ. MM. AL/ARM (XLPE) - 11 KV</v>
      </c>
      <c r="E23" s="69">
        <f t="shared" si="2"/>
        <v>1583796.7937</v>
      </c>
      <c r="F23" s="84">
        <f t="shared" si="3"/>
        <v>21000</v>
      </c>
      <c r="G23" s="70">
        <f t="shared" si="4"/>
        <v>1604796.7937</v>
      </c>
      <c r="H23" s="71">
        <f>Sheet1!CP6</f>
        <v>0.18</v>
      </c>
      <c r="I23" s="70">
        <f t="shared" si="5"/>
        <v>288863.42286599998</v>
      </c>
      <c r="J23" s="70">
        <f t="shared" si="6"/>
        <v>1893660.2165660001</v>
      </c>
      <c r="K23" s="67">
        <f>Sheet1!CS6</f>
        <v>20</v>
      </c>
      <c r="L23" s="67" t="str">
        <f>Sheet1!CT6</f>
        <v>KMS</v>
      </c>
      <c r="M23" s="69">
        <f t="shared" si="7"/>
        <v>37873204.331320003</v>
      </c>
      <c r="N23" s="85">
        <f>+IFERROR(VLOOKUP($N$17,Sheet1!J6:L6,3,0),0)</f>
        <v>2732</v>
      </c>
      <c r="O23" s="72">
        <f>+IFERROR(VLOOKUP($O$17,Sheet1!J6:L6,3,0),0)</f>
        <v>0</v>
      </c>
      <c r="P23" s="72">
        <f>+IFERROR(VLOOKUP($P$17,Sheet1!J6:M6,3,0),0)</f>
        <v>0</v>
      </c>
      <c r="Q23" s="72">
        <f>+IFERROR(VLOOKUP($Q$17,Sheet1!J6:M6,3,0),0)</f>
        <v>0</v>
      </c>
      <c r="R23" s="72">
        <f>+IFERROR(VLOOKUP($R$17,Sheet1!J6:M6,3,0),0)</f>
        <v>0</v>
      </c>
      <c r="S23" s="72">
        <f>+IFERROR(VLOOKUP($S$17,Sheet1!N6:Q6,3,0),0)</f>
        <v>0</v>
      </c>
      <c r="T23" s="72">
        <f>+IFERROR(VLOOKUP($T$17,Sheet1!N6:Q6,3,0),0)</f>
        <v>0</v>
      </c>
      <c r="U23" s="72">
        <f>+IFERROR(VLOOKUP($U$17,Sheet1!F6:I6,3,0),0)</f>
        <v>0</v>
      </c>
      <c r="V23" s="72">
        <f>+IFERROR(VLOOKUP($V$17,Sheet1!F6:I6,3,0),0)</f>
        <v>0</v>
      </c>
      <c r="W23" s="72">
        <f>+IFERROR(VLOOKUP($W$17,Sheet1!F6:I6,3,0),0)</f>
        <v>0</v>
      </c>
      <c r="X23" s="72">
        <f>+IFERROR(VLOOKUP($X$17,Sheet1!F6:I6,3,0),0)</f>
        <v>0</v>
      </c>
      <c r="Y23" s="85">
        <v>77</v>
      </c>
      <c r="Z23" s="72">
        <f>+IFERROR(VLOOKUP($Z$17,Sheet1!F6:I6,3,0),0)</f>
        <v>0</v>
      </c>
      <c r="AA23" s="72">
        <f>+IFERROR(VLOOKUP($AA$17,Sheet1!F6:I6,3,0),0)</f>
        <v>0</v>
      </c>
      <c r="AB23" s="72">
        <f>+IFERROR(VLOOKUP($AB$17,Sheet1!F6:I6,3,0),0)</f>
        <v>0</v>
      </c>
      <c r="AC23" s="85">
        <v>230</v>
      </c>
      <c r="AD23" s="73">
        <f>+IFERROR(VLOOKUP($AD$17,Sheet1!R6:U6,2,0),0)</f>
        <v>0</v>
      </c>
      <c r="AE23" s="85">
        <v>476</v>
      </c>
      <c r="AF23" s="73">
        <f>+IFERROR(VLOOKUP($AF$17,Sheet1!V6:Y6,3,0),0)</f>
        <v>0</v>
      </c>
      <c r="AG23" s="73">
        <f>+IFERROR(VLOOKUP($AG$17,Sheet1!V6:Y6,3,0),0)</f>
        <v>0</v>
      </c>
      <c r="AH23" s="73">
        <f>+IFERROR(VLOOKUP($AH$17,Sheet1!V6:Y6,3,0),0)</f>
        <v>0</v>
      </c>
      <c r="AI23" s="73">
        <f>+IFERROR(VLOOKUP($AI$17,Sheet1!V6:Y6,3,0),0)</f>
        <v>0</v>
      </c>
      <c r="AJ23" s="73">
        <f>+IFERROR(VLOOKUP($AJ$17,Sheet1!V6:Y6,3,0),0)</f>
        <v>0</v>
      </c>
      <c r="AK23" s="86">
        <v>19</v>
      </c>
      <c r="AL23" s="73">
        <f>+IFERROR(VLOOKUP($AL$17,Sheet1!AD6:AG6,3,0),0)</f>
        <v>0</v>
      </c>
      <c r="AM23" s="73">
        <f>+IFERROR(VLOOKUP($AM$17,Sheet1!AD6:AG6,3,0),0)</f>
        <v>0</v>
      </c>
      <c r="AN23" s="73">
        <f>+IFERROR(VLOOKUP($AN$17,Sheet1!AD6:AG6,3,0),0)</f>
        <v>0</v>
      </c>
      <c r="AO23" s="73">
        <f>+IFERROR(VLOOKUP($AO$17,Sheet1!AD6:AG6,3,0),0)</f>
        <v>0</v>
      </c>
      <c r="AP23" s="73">
        <f>+IFERROR(VLOOKUP($AP$17,Sheet1!AD6:AG6,3,0),0)</f>
        <v>0</v>
      </c>
      <c r="AQ23" s="86">
        <v>194</v>
      </c>
      <c r="AR23" s="73">
        <f>+IFERROR(VLOOKUP($AR$17,Sheet1!AD6:AG6,3,0),0)</f>
        <v>0</v>
      </c>
      <c r="AS23" s="73">
        <f>+IFERROR(VLOOKUP($AS$17,Sheet1!AH6:AK6,3,0),0)</f>
        <v>0</v>
      </c>
      <c r="AT23" s="73">
        <f>+IFERROR(VLOOKUP($AT$17,Sheet1!AH6:AK6,3,0),0)</f>
        <v>0</v>
      </c>
      <c r="AU23" s="73">
        <f>+IFERROR(VLOOKUP($AU$17,Sheet1!AH6:AK6,3,0),0)</f>
        <v>0</v>
      </c>
      <c r="AV23" s="86">
        <v>1008</v>
      </c>
      <c r="AW23" s="73">
        <f>+IFERROR(VLOOKUP($AW$17,Sheet1!AH6:AK6,3,0),0)</f>
        <v>0</v>
      </c>
      <c r="AX23" s="73">
        <f>+IFERROR(VLOOKUP($AX$17,Sheet1!AH6:AK6,3,0),0)</f>
        <v>0</v>
      </c>
      <c r="AY23" s="73">
        <f>+IFERROR(VLOOKUP($AY$17,Sheet1!AH6:AK6,3,0),0)</f>
        <v>0</v>
      </c>
      <c r="AZ23" s="73">
        <f>+IFERROR(VLOOKUP($AZ$17,Sheet1!AH6:AK6,3,0),0)</f>
        <v>0</v>
      </c>
      <c r="BA23" s="73">
        <f>+IFERROR(VLOOKUP($BA$17,Sheet1!AH6:AK6,3,0),0)</f>
        <v>0</v>
      </c>
      <c r="BB23" s="73">
        <f>+IFERROR(VLOOKUP($BB$17,Sheet1!AH6:AK6,3,0),0)</f>
        <v>0</v>
      </c>
      <c r="BC23" s="73">
        <f>+IFERROR(VLOOKUP($BC$17,Sheet1!AL6:AO6,3,0),0)</f>
        <v>0</v>
      </c>
      <c r="BD23" s="73">
        <f>+IFERROR(VLOOKUP($BD$17,Sheet1!AL6:AO6,3,0),0)</f>
        <v>0</v>
      </c>
      <c r="BE23" s="73">
        <f>+IFERROR(VLOOKUP($BE$17,Sheet1!AL6:AO6,3,0),0)</f>
        <v>0</v>
      </c>
      <c r="BF23" s="86">
        <v>700</v>
      </c>
      <c r="BG23" s="73">
        <f>+IFERROR(VLOOKUP($BG$17,Sheet1!AL6:AO6,3,0),0)</f>
        <v>0</v>
      </c>
      <c r="BH23" s="73">
        <f>+IFERROR(VLOOKUP($BH$17,Sheet1!AL6:AO6,3,0),0)</f>
        <v>0</v>
      </c>
      <c r="BI23" s="73">
        <f>+IFERROR(VLOOKUP($BI$17,Sheet1!AL6:AO6,3,0),0)</f>
        <v>0</v>
      </c>
      <c r="BJ23" s="73">
        <f>+IFERROR(VLOOKUP($BJ$17,Sheet1!AL6:AO6,3,0),0)</f>
        <v>0</v>
      </c>
      <c r="BK23" s="73">
        <f>+IFERROR(VLOOKUP($BK$17,Sheet1!AL6:AO6,3,0),0)</f>
        <v>0</v>
      </c>
      <c r="BL23" s="73">
        <f>+IFERROR(VLOOKUP($BL$17,Sheet1!AL6:AO6,3,0),0)</f>
        <v>0</v>
      </c>
      <c r="BM23" s="73">
        <f>+IFERROR(VLOOKUP($BM$17,Sheet1!AP6:AS6,3,0),0)</f>
        <v>0</v>
      </c>
      <c r="BN23" s="86">
        <v>39</v>
      </c>
      <c r="BO23" s="73">
        <f>+IFERROR(VLOOKUP($BO$17,Sheet1!AX6:BA6,3,0),0)</f>
        <v>0</v>
      </c>
      <c r="BP23" s="86">
        <v>46</v>
      </c>
      <c r="BQ23" s="73">
        <f>+IFERROR(VLOOKUP($BQ$17,Sheet1!BF6:BI6,3,0),0)</f>
        <v>0</v>
      </c>
      <c r="BR23" s="73">
        <f>+IFERROR(VLOOKUP($BR$17,Sheet1!BJ6:BM6,3,0),0)</f>
        <v>0</v>
      </c>
      <c r="BS23" s="73">
        <f>+IFERROR(VLOOKUP($BS$17,Sheet1!BN6:BQ6,3,0),0)</f>
        <v>0</v>
      </c>
      <c r="BT23" s="86">
        <v>42</v>
      </c>
      <c r="BU23" s="73">
        <f>+IFERROR(VLOOKUP($BU$17,Sheet1!BV6:BY6,3,0),0)</f>
        <v>0</v>
      </c>
      <c r="BV23" s="73" t="str">
        <f>Sheet1!E6</f>
        <v>STEEL</v>
      </c>
      <c r="BW23" s="73" t="str">
        <f>Sheet1!CV6</f>
        <v>SP0400107</v>
      </c>
      <c r="BX23" s="73" t="str">
        <f>Sheet1!CW6</f>
        <v>CORRUGATED DISPATCH STEEL DRUM 2150 X 1080 X 1240 MM</v>
      </c>
      <c r="BY23" s="73">
        <f>Sheet1!CX6</f>
        <v>500</v>
      </c>
      <c r="BZ23" s="69">
        <f>Sheet1!BZ6</f>
        <v>66500</v>
      </c>
      <c r="CA23" s="69">
        <f t="shared" si="0"/>
        <v>1270799</v>
      </c>
      <c r="CB23" s="24">
        <v>0.01</v>
      </c>
      <c r="CC23" s="69">
        <f t="shared" si="1"/>
        <v>12707.99</v>
      </c>
      <c r="CD23" s="74">
        <v>0.2</v>
      </c>
      <c r="CE23" s="69">
        <f t="shared" si="8"/>
        <v>254159.80000000002</v>
      </c>
      <c r="CF23" s="74">
        <v>0</v>
      </c>
      <c r="CG23" s="69">
        <f t="shared" si="9"/>
        <v>0</v>
      </c>
      <c r="CH23" s="69">
        <f t="shared" si="10"/>
        <v>1537666.79</v>
      </c>
      <c r="CI23" s="74">
        <v>0.02</v>
      </c>
      <c r="CJ23" s="67">
        <f t="shared" si="11"/>
        <v>30753.335800000001</v>
      </c>
      <c r="CK23" s="74">
        <v>0.01</v>
      </c>
      <c r="CL23" s="67">
        <f t="shared" si="12"/>
        <v>15376.6679</v>
      </c>
    </row>
    <row r="24" spans="1:90" ht="30" x14ac:dyDescent="0.25">
      <c r="A24" s="1" t="str">
        <f>Sheet1!A7</f>
        <v>ENQ-13992-22-23</v>
      </c>
      <c r="B24" s="48">
        <f>Sheet1!B7</f>
        <v>45548</v>
      </c>
      <c r="C24" s="1" t="str">
        <f>Sheet1!C7</f>
        <v>FA1300016</v>
      </c>
      <c r="D24" s="1" t="str">
        <f>Sheet1!D7</f>
        <v>1 CORE X 630 SQ. MM. AL/ARM (XLPE)  - 11 KV</v>
      </c>
      <c r="E24" s="3">
        <f t="shared" si="2"/>
        <v>1020272.2783000001</v>
      </c>
      <c r="F24" s="84">
        <f t="shared" si="3"/>
        <v>23334</v>
      </c>
      <c r="G24" s="9">
        <f t="shared" si="4"/>
        <v>1043606.2783000001</v>
      </c>
      <c r="H24" s="7">
        <f>Sheet1!CP7</f>
        <v>0.18</v>
      </c>
      <c r="I24" s="9">
        <f t="shared" si="5"/>
        <v>187849.13009400002</v>
      </c>
      <c r="J24" s="9">
        <f t="shared" si="6"/>
        <v>1231455.408394</v>
      </c>
      <c r="K24" s="1">
        <f>Sheet1!CS7</f>
        <v>3</v>
      </c>
      <c r="L24" s="1" t="str">
        <f>Sheet1!CT7</f>
        <v>KMS</v>
      </c>
      <c r="M24" s="3">
        <f t="shared" si="7"/>
        <v>3694366.2251820001</v>
      </c>
      <c r="N24" s="85">
        <f>+IFERROR(VLOOKUP($N$17,Sheet1!J7:L7,3,0),0)</f>
        <v>1701</v>
      </c>
      <c r="O24" s="2">
        <f>+IFERROR(VLOOKUP($O$17,Sheet1!J7:L7,3,0),0)</f>
        <v>0</v>
      </c>
      <c r="P24" s="2">
        <f>+IFERROR(VLOOKUP($P$17,Sheet1!J7:M7,3,0),0)</f>
        <v>0</v>
      </c>
      <c r="Q24" s="2">
        <f>+IFERROR(VLOOKUP($Q$17,Sheet1!J7:M7,3,0),0)</f>
        <v>0</v>
      </c>
      <c r="R24" s="2">
        <f>+IFERROR(VLOOKUP($R$17,Sheet1!J7:M7,3,0),0)</f>
        <v>0</v>
      </c>
      <c r="S24" s="2">
        <f>+IFERROR(VLOOKUP($S$17,Sheet1!N7:Q7,3,0),0)</f>
        <v>0</v>
      </c>
      <c r="T24" s="2">
        <f>+IFERROR(VLOOKUP($T$17,Sheet1!N7:Q7,3,0),0)</f>
        <v>0</v>
      </c>
      <c r="U24" s="2">
        <f>+IFERROR(VLOOKUP($U$17,Sheet1!F7:I7,3,0),0)</f>
        <v>0</v>
      </c>
      <c r="V24" s="2">
        <f>+IFERROR(VLOOKUP($V$17,Sheet1!F7:I7,3,0),0)</f>
        <v>0</v>
      </c>
      <c r="W24" s="2">
        <f>+IFERROR(VLOOKUP($W$17,Sheet1!F7:I7,3,0),0)</f>
        <v>0</v>
      </c>
      <c r="X24" s="2">
        <f>+IFERROR(VLOOKUP($X$17,Sheet1!F7:I7,3,0),0)</f>
        <v>0</v>
      </c>
      <c r="Y24" s="85">
        <v>63</v>
      </c>
      <c r="Z24" s="2">
        <f>+IFERROR(VLOOKUP($Z$17,Sheet1!F7:I7,3,0),0)</f>
        <v>0</v>
      </c>
      <c r="AA24" s="2">
        <f>+IFERROR(VLOOKUP($AA$17,Sheet1!F7:I7,3,0),0)</f>
        <v>0</v>
      </c>
      <c r="AB24" s="2">
        <f>+IFERROR(VLOOKUP($AB$17,Sheet1!F7:I7,3,0),0)</f>
        <v>0</v>
      </c>
      <c r="AC24" s="85">
        <v>170</v>
      </c>
      <c r="AD24" s="13">
        <f>+IFERROR(VLOOKUP($AD$17,Sheet1!R7:U7,2,0),0)</f>
        <v>0</v>
      </c>
      <c r="AE24" s="85">
        <v>380</v>
      </c>
      <c r="AF24" s="13">
        <f>+IFERROR(VLOOKUP($AF$17,Sheet1!V7:Y7,3,0),0)</f>
        <v>0</v>
      </c>
      <c r="AG24" s="13">
        <f>+IFERROR(VLOOKUP($AG$17,Sheet1!V7:Y7,3,0),0)</f>
        <v>0</v>
      </c>
      <c r="AH24" s="13">
        <f>+IFERROR(VLOOKUP($AH$17,Sheet1!V7:Y7,3,0),0)</f>
        <v>0</v>
      </c>
      <c r="AI24" s="13">
        <f>+IFERROR(VLOOKUP($AI$17,Sheet1!V7:Y7,3,0),0)</f>
        <v>0</v>
      </c>
      <c r="AJ24" s="13">
        <f>+IFERROR(VLOOKUP($AJ$17,Sheet1!V7:Y7,3,0),0)</f>
        <v>0</v>
      </c>
      <c r="AK24" s="86">
        <v>15</v>
      </c>
      <c r="AL24" s="13">
        <f>+IFERROR(VLOOKUP($AL$17,Sheet1!AD7:AG7,3,0),0)</f>
        <v>0</v>
      </c>
      <c r="AM24" s="13">
        <f>+IFERROR(VLOOKUP($AM$17,Sheet1!AD7:AG7,3,0),0)</f>
        <v>0</v>
      </c>
      <c r="AN24" s="13">
        <f>+IFERROR(VLOOKUP($AN$17,Sheet1!AD7:AG7,3,0),0)</f>
        <v>0</v>
      </c>
      <c r="AO24" s="13">
        <f>+IFERROR(VLOOKUP($AO$17,Sheet1!AD7:AG7,3,0),0)</f>
        <v>0</v>
      </c>
      <c r="AP24" s="13">
        <f>+IFERROR(VLOOKUP($AP$17,Sheet1!AD7:AG7,3,0),0)</f>
        <v>0</v>
      </c>
      <c r="AQ24" s="86">
        <v>140</v>
      </c>
      <c r="AR24" s="13">
        <f>+IFERROR(VLOOKUP($AR$17,Sheet1!AD7:AG7,3,0),0)</f>
        <v>0</v>
      </c>
      <c r="AS24" s="13">
        <f>+IFERROR(VLOOKUP($AS$17,Sheet1!AH7:AK7,3,0),0)</f>
        <v>0</v>
      </c>
      <c r="AT24" s="13">
        <f>+IFERROR(VLOOKUP($AT$17,Sheet1!AH7:AK7,3,0),0)</f>
        <v>0</v>
      </c>
      <c r="AU24" s="13">
        <f>+IFERROR(VLOOKUP($AU$17,Sheet1!AH7:AK7,3,0),0)</f>
        <v>0</v>
      </c>
      <c r="AV24" s="86">
        <v>530</v>
      </c>
      <c r="AW24" s="13">
        <f>+IFERROR(VLOOKUP($AW$17,Sheet1!AH7:AK7,3,0),0)</f>
        <v>0</v>
      </c>
      <c r="AX24" s="13">
        <f>+IFERROR(VLOOKUP($AX$17,Sheet1!AH7:AK7,3,0),0)</f>
        <v>0</v>
      </c>
      <c r="AY24" s="13">
        <f>+IFERROR(VLOOKUP($AY$17,Sheet1!AH7:AK7,3,0),0)</f>
        <v>0</v>
      </c>
      <c r="AZ24" s="13">
        <f>+IFERROR(VLOOKUP($AZ$17,Sheet1!AH7:AK7,3,0),0)</f>
        <v>0</v>
      </c>
      <c r="BA24" s="13">
        <f>+IFERROR(VLOOKUP($BA$17,Sheet1!AH7:AK7,3,0),0)</f>
        <v>0</v>
      </c>
      <c r="BB24" s="13">
        <f>+IFERROR(VLOOKUP($BB$17,Sheet1!AH7:AK7,3,0),0)</f>
        <v>0</v>
      </c>
      <c r="BC24" s="13">
        <f>+IFERROR(VLOOKUP($BC$17,Sheet1!AL7:AO7,3,0),0)</f>
        <v>0</v>
      </c>
      <c r="BD24" s="13">
        <f>+IFERROR(VLOOKUP($BD$17,Sheet1!AL7:AO7,3,0),0)</f>
        <v>0</v>
      </c>
      <c r="BE24" s="13">
        <f>+IFERROR(VLOOKUP($BE$17,Sheet1!AL7:AO7,3,0),0)</f>
        <v>0</v>
      </c>
      <c r="BF24" s="86">
        <v>492</v>
      </c>
      <c r="BG24" s="13">
        <f>+IFERROR(VLOOKUP($BG$17,Sheet1!AL7:AO7,3,0),0)</f>
        <v>0</v>
      </c>
      <c r="BH24" s="13">
        <f>+IFERROR(VLOOKUP($BH$17,Sheet1!AL7:AO7,3,0),0)</f>
        <v>0</v>
      </c>
      <c r="BI24" s="13">
        <f>+IFERROR(VLOOKUP($BI$17,Sheet1!AL7:AO7,3,0),0)</f>
        <v>0</v>
      </c>
      <c r="BJ24" s="13">
        <f>+IFERROR(VLOOKUP($BJ$17,Sheet1!AL7:AO7,3,0),0)</f>
        <v>0</v>
      </c>
      <c r="BK24" s="13">
        <f>+IFERROR(VLOOKUP($BK$17,Sheet1!AL7:AO7,3,0),0)</f>
        <v>0</v>
      </c>
      <c r="BL24" s="13">
        <f>+IFERROR(VLOOKUP($BL$17,Sheet1!AL7:AO7,3,0),0)</f>
        <v>0</v>
      </c>
      <c r="BM24" s="13">
        <f>+IFERROR(VLOOKUP($BM$17,Sheet1!AP7:AS7,3,0),0)</f>
        <v>0</v>
      </c>
      <c r="BN24" s="86">
        <v>26</v>
      </c>
      <c r="BO24" s="13">
        <f>+IFERROR(VLOOKUP($BO$17,Sheet1!AX7:BA7,3,0),0)</f>
        <v>0</v>
      </c>
      <c r="BP24" s="86">
        <v>36</v>
      </c>
      <c r="BQ24" s="13">
        <f>+IFERROR(VLOOKUP($BQ$17,Sheet1!BF7:BI7,3,0),0)</f>
        <v>0</v>
      </c>
      <c r="BR24" s="13">
        <f>+IFERROR(VLOOKUP($BR$17,Sheet1!BJ7:BM7,3,0),0)</f>
        <v>0</v>
      </c>
      <c r="BS24" s="13">
        <f>+IFERROR(VLOOKUP($BS$17,Sheet1!BN7:BQ7,3,0),0)</f>
        <v>0</v>
      </c>
      <c r="BT24" s="86">
        <v>33</v>
      </c>
      <c r="BU24" s="13">
        <f>+IFERROR(VLOOKUP($BU$17,Sheet1!BV7:BY7,3,0),0)</f>
        <v>0</v>
      </c>
      <c r="BV24" s="13" t="str">
        <f>Sheet1!E7</f>
        <v>STEEL</v>
      </c>
      <c r="BW24" s="13" t="str">
        <f>Sheet1!CV7</f>
        <v>SP0400091</v>
      </c>
      <c r="BX24" s="13" t="str">
        <f>Sheet1!CW7</f>
        <v>CORRUGATED DISPATCH STEEL DRUM 1800 X 900 X 1000</v>
      </c>
      <c r="BY24" s="13">
        <f>Sheet1!CX7</f>
        <v>500</v>
      </c>
      <c r="BZ24" s="92">
        <f>Sheet1!BZ7</f>
        <v>48450</v>
      </c>
      <c r="CA24" s="3">
        <f t="shared" si="0"/>
        <v>818641</v>
      </c>
      <c r="CB24" s="24">
        <v>0.01</v>
      </c>
      <c r="CC24" s="3">
        <f t="shared" si="1"/>
        <v>8186.41</v>
      </c>
      <c r="CD24" s="45">
        <v>0.2</v>
      </c>
      <c r="CE24" s="3">
        <f t="shared" si="8"/>
        <v>163728.20000000001</v>
      </c>
      <c r="CF24" s="45">
        <v>0</v>
      </c>
      <c r="CG24" s="3">
        <f t="shared" si="9"/>
        <v>0</v>
      </c>
      <c r="CH24" s="3">
        <f t="shared" si="10"/>
        <v>990555.6100000001</v>
      </c>
      <c r="CI24" s="45">
        <v>0.02</v>
      </c>
      <c r="CJ24" s="1">
        <f t="shared" si="11"/>
        <v>19811.112200000003</v>
      </c>
      <c r="CK24" s="45">
        <v>0.01</v>
      </c>
      <c r="CL24" s="1">
        <f t="shared" si="12"/>
        <v>9905.5561000000016</v>
      </c>
    </row>
    <row r="25" spans="1:90" ht="30" x14ac:dyDescent="0.25">
      <c r="A25" s="1" t="str">
        <f>Sheet1!A8</f>
        <v>ENQ-13992-22-23</v>
      </c>
      <c r="B25" s="48">
        <f>Sheet1!B8</f>
        <v>45548</v>
      </c>
      <c r="C25" s="1" t="str">
        <f>Sheet1!C8</f>
        <v>FA1300047</v>
      </c>
      <c r="D25" s="1" t="str">
        <f>Sheet1!D8</f>
        <v>1 CORE X 400 SQ. MM. AL/ARM (XLPE) - 11 KV</v>
      </c>
      <c r="E25" s="3">
        <f t="shared" si="2"/>
        <v>767075.21659999993</v>
      </c>
      <c r="F25" s="84">
        <f t="shared" si="3"/>
        <v>70000</v>
      </c>
      <c r="G25" s="9">
        <f t="shared" si="4"/>
        <v>837075.21659999993</v>
      </c>
      <c r="H25" s="7">
        <f>Sheet1!CP8</f>
        <v>0.18</v>
      </c>
      <c r="I25" s="9">
        <f t="shared" si="5"/>
        <v>150673.53898799999</v>
      </c>
      <c r="J25" s="9">
        <f t="shared" si="6"/>
        <v>987748.75558799994</v>
      </c>
      <c r="K25" s="1">
        <f>Sheet1!CS8</f>
        <v>1</v>
      </c>
      <c r="L25" s="1" t="str">
        <f>Sheet1!CT8</f>
        <v>KMS</v>
      </c>
      <c r="M25" s="3">
        <f t="shared" si="7"/>
        <v>987748.75558799994</v>
      </c>
      <c r="N25" s="2">
        <f>+IFERROR(VLOOKUP($N$17,Sheet1!J8:L8,3,0),0)</f>
        <v>1080</v>
      </c>
      <c r="O25" s="2">
        <f>+IFERROR(VLOOKUP($O$17,Sheet1!J8:L8,3,0),0)</f>
        <v>0</v>
      </c>
      <c r="P25" s="2">
        <f>+IFERROR(VLOOKUP($P$17,Sheet1!J8:M8,3,0),0)</f>
        <v>0</v>
      </c>
      <c r="Q25" s="2">
        <f>+IFERROR(VLOOKUP($Q$17,Sheet1!J8:M8,3,0),0)</f>
        <v>0</v>
      </c>
      <c r="R25" s="2">
        <f>+IFERROR(VLOOKUP($R$17,Sheet1!J8:M8,3,0),0)</f>
        <v>0</v>
      </c>
      <c r="S25" s="2">
        <f>+IFERROR(VLOOKUP($S$17,Sheet1!N8:Q8,3,0),0)</f>
        <v>0</v>
      </c>
      <c r="T25" s="2">
        <f>+IFERROR(VLOOKUP($T$17,Sheet1!N8:Q8,3,0),0)</f>
        <v>0</v>
      </c>
      <c r="U25" s="2">
        <f>+IFERROR(VLOOKUP($U$17,Sheet1!F8:I8,3,0),0)</f>
        <v>0</v>
      </c>
      <c r="V25" s="2">
        <f>+IFERROR(VLOOKUP($V$17,Sheet1!F8:I8,3,0),0)</f>
        <v>0</v>
      </c>
      <c r="W25" s="2">
        <f>+IFERROR(VLOOKUP($W$17,Sheet1!F8:I8,3,0),0)</f>
        <v>0</v>
      </c>
      <c r="X25" s="2">
        <f>+IFERROR(VLOOKUP($X$17,Sheet1!F8:I8,3,0),0)</f>
        <v>0</v>
      </c>
      <c r="Y25" s="85">
        <v>53</v>
      </c>
      <c r="Z25" s="2">
        <f>+IFERROR(VLOOKUP($Z$17,Sheet1!F8:I8,3,0),0)</f>
        <v>0</v>
      </c>
      <c r="AA25" s="2">
        <f>+IFERROR(VLOOKUP($AA$17,Sheet1!F8:I8,3,0),0)</f>
        <v>0</v>
      </c>
      <c r="AB25" s="2">
        <f>+IFERROR(VLOOKUP($AB$17,Sheet1!F8:I8,3,0),0)</f>
        <v>0</v>
      </c>
      <c r="AC25" s="85">
        <v>138</v>
      </c>
      <c r="AD25" s="13">
        <f>+IFERROR(VLOOKUP($AD$17,Sheet1!R8:U8,2,0),0)</f>
        <v>0</v>
      </c>
      <c r="AE25" s="85">
        <v>310</v>
      </c>
      <c r="AF25" s="13">
        <f>+IFERROR(VLOOKUP($AF$17,Sheet1!V8:Y8,3,0),0)</f>
        <v>0</v>
      </c>
      <c r="AG25" s="13">
        <f>+IFERROR(VLOOKUP($AG$17,Sheet1!V8:Y8,3,0),0)</f>
        <v>0</v>
      </c>
      <c r="AH25" s="13">
        <f>+IFERROR(VLOOKUP($AH$17,Sheet1!V8:Y8,3,0),0)</f>
        <v>0</v>
      </c>
      <c r="AI25" s="13">
        <f>+IFERROR(VLOOKUP($AI$17,Sheet1!V8:Y8,3,0),0)</f>
        <v>0</v>
      </c>
      <c r="AJ25" s="13">
        <f>+IFERROR(VLOOKUP($AJ$17,Sheet1!V8:Y8,3,0),0)</f>
        <v>0</v>
      </c>
      <c r="AK25" s="86">
        <v>13</v>
      </c>
      <c r="AL25" s="13">
        <f>+IFERROR(VLOOKUP($AL$17,Sheet1!AD8:AG8,3,0),0)</f>
        <v>0</v>
      </c>
      <c r="AM25" s="13">
        <f>+IFERROR(VLOOKUP($AM$17,Sheet1!AD8:AG8,3,0),0)</f>
        <v>0</v>
      </c>
      <c r="AN25" s="13">
        <f>+IFERROR(VLOOKUP($AN$17,Sheet1!AD8:AG8,3,0),0)</f>
        <v>0</v>
      </c>
      <c r="AO25" s="13">
        <f>+IFERROR(VLOOKUP($AO$17,Sheet1!AD8:AG8,3,0),0)</f>
        <v>0</v>
      </c>
      <c r="AP25" s="13">
        <f>+IFERROR(VLOOKUP($AP$17,Sheet1!AD8:AG8,3,0),0)</f>
        <v>0</v>
      </c>
      <c r="AQ25" s="86">
        <v>102</v>
      </c>
      <c r="AR25" s="13">
        <f>+IFERROR(VLOOKUP($AR$17,Sheet1!AD8:AG8,3,0),0)</f>
        <v>0</v>
      </c>
      <c r="AS25" s="13">
        <f>+IFERROR(VLOOKUP($AS$17,Sheet1!AH8:AK8,3,0),0)</f>
        <v>0</v>
      </c>
      <c r="AT25" s="13">
        <f>+IFERROR(VLOOKUP($AT$17,Sheet1!AH8:AK8,3,0),0)</f>
        <v>0</v>
      </c>
      <c r="AU25" s="13">
        <f>+IFERROR(VLOOKUP($AU$17,Sheet1!AH8:AK8,3,0),0)</f>
        <v>0</v>
      </c>
      <c r="AV25" s="86">
        <v>552</v>
      </c>
      <c r="AW25" s="13">
        <f>+IFERROR(VLOOKUP($AW$17,Sheet1!AH8:AK8,3,0),0)</f>
        <v>0</v>
      </c>
      <c r="AX25" s="13">
        <f>+IFERROR(VLOOKUP($AX$17,Sheet1!AH8:AK8,3,0),0)</f>
        <v>0</v>
      </c>
      <c r="AY25" s="13">
        <f>+IFERROR(VLOOKUP($AY$17,Sheet1!AH8:AK8,3,0),0)</f>
        <v>0</v>
      </c>
      <c r="AZ25" s="13">
        <f>+IFERROR(VLOOKUP($AZ$17,Sheet1!AH8:AK8,3,0),0)</f>
        <v>0</v>
      </c>
      <c r="BA25" s="13">
        <f>+IFERROR(VLOOKUP($BA$17,Sheet1!AH8:AK8,3,0),0)</f>
        <v>0</v>
      </c>
      <c r="BB25" s="13">
        <f>+IFERROR(VLOOKUP($BB$17,Sheet1!AH8:AK8,3,0),0)</f>
        <v>0</v>
      </c>
      <c r="BC25" s="13">
        <f>+IFERROR(VLOOKUP($BC$17,Sheet1!AL8:AO8,3,0),0)</f>
        <v>0</v>
      </c>
      <c r="BD25" s="13">
        <f>+IFERROR(VLOOKUP($BD$17,Sheet1!AL8:AO8,3,0),0)</f>
        <v>0</v>
      </c>
      <c r="BE25" s="13">
        <f>+IFERROR(VLOOKUP($BE$17,Sheet1!AL8:AO8,3,0),0)</f>
        <v>0</v>
      </c>
      <c r="BF25" s="86">
        <v>403</v>
      </c>
      <c r="BG25" s="13">
        <f>+IFERROR(VLOOKUP($BG$17,Sheet1!AL8:AO8,3,0),0)</f>
        <v>0</v>
      </c>
      <c r="BH25" s="13">
        <f>+IFERROR(VLOOKUP($BH$17,Sheet1!AL8:AO8,3,0),0)</f>
        <v>0</v>
      </c>
      <c r="BI25" s="13">
        <f>+IFERROR(VLOOKUP($BI$17,Sheet1!AL8:AO8,3,0),0)</f>
        <v>0</v>
      </c>
      <c r="BJ25" s="13">
        <f>+IFERROR(VLOOKUP($BJ$17,Sheet1!AL8:AO8,3,0),0)</f>
        <v>0</v>
      </c>
      <c r="BK25" s="13">
        <f>+IFERROR(VLOOKUP($BK$17,Sheet1!AL8:AO8,3,0),0)</f>
        <v>0</v>
      </c>
      <c r="BL25" s="13">
        <f>+IFERROR(VLOOKUP($BL$17,Sheet1!AL8:AO8,3,0),0)</f>
        <v>0</v>
      </c>
      <c r="BM25" s="13">
        <f>+IFERROR(VLOOKUP($BM$17,Sheet1!AP8:AS8,3,0),0)</f>
        <v>0</v>
      </c>
      <c r="BN25" s="86">
        <v>19</v>
      </c>
      <c r="BO25" s="13">
        <f>+IFERROR(VLOOKUP($BO$17,Sheet1!AX8:BA8,3,0),0)</f>
        <v>0</v>
      </c>
      <c r="BP25" s="86">
        <v>29</v>
      </c>
      <c r="BQ25" s="13">
        <f>+IFERROR(VLOOKUP($BQ$17,Sheet1!BF8:BI8,3,0),0)</f>
        <v>0</v>
      </c>
      <c r="BR25" s="13">
        <f>+IFERROR(VLOOKUP($BR$17,Sheet1!BJ8:BM8,3,0),0)</f>
        <v>0</v>
      </c>
      <c r="BS25" s="13">
        <f>+IFERROR(VLOOKUP($BS$17,Sheet1!BN8:BQ8,3,0),0)</f>
        <v>0</v>
      </c>
      <c r="BT25" s="86">
        <v>30</v>
      </c>
      <c r="BU25" s="13">
        <f>+IFERROR(VLOOKUP($BU$17,Sheet1!BV8:BY8,3,0),0)</f>
        <v>0</v>
      </c>
      <c r="BV25" s="13" t="str">
        <f>Sheet1!E8</f>
        <v>STEEL</v>
      </c>
      <c r="BW25" s="13" t="str">
        <f>Sheet1!CV8</f>
        <v>SP0400125</v>
      </c>
      <c r="BX25" s="13" t="str">
        <f>Sheet1!CW8</f>
        <v>CORRUGATED DISPATCH STEEL DRUM 1600 X 700 X 915 MM</v>
      </c>
      <c r="BY25" s="13">
        <f>Sheet1!CX8</f>
        <v>500</v>
      </c>
      <c r="BZ25" s="92">
        <f>15000*2</f>
        <v>30000</v>
      </c>
      <c r="CA25" s="3">
        <f t="shared" si="0"/>
        <v>615482</v>
      </c>
      <c r="CB25" s="24">
        <v>0.01</v>
      </c>
      <c r="CC25" s="3">
        <f t="shared" si="1"/>
        <v>6154.82</v>
      </c>
      <c r="CD25" s="45">
        <v>0.2</v>
      </c>
      <c r="CE25" s="3">
        <f t="shared" si="8"/>
        <v>123096.40000000001</v>
      </c>
      <c r="CF25" s="45">
        <v>0</v>
      </c>
      <c r="CG25" s="3">
        <f t="shared" si="9"/>
        <v>0</v>
      </c>
      <c r="CH25" s="3">
        <f t="shared" si="10"/>
        <v>744733.22</v>
      </c>
      <c r="CI25" s="45">
        <v>0.02</v>
      </c>
      <c r="CJ25" s="1">
        <f t="shared" si="11"/>
        <v>14894.6644</v>
      </c>
      <c r="CK25" s="45">
        <v>0.01</v>
      </c>
      <c r="CL25" s="1">
        <f t="shared" si="12"/>
        <v>7447.3321999999998</v>
      </c>
    </row>
    <row r="26" spans="1:90" ht="30" x14ac:dyDescent="0.25">
      <c r="A26" s="1" t="str">
        <f>Sheet1!A9</f>
        <v>ENQ-13992-22-23</v>
      </c>
      <c r="B26" s="48">
        <f>Sheet1!B9</f>
        <v>45548</v>
      </c>
      <c r="C26" s="1" t="str">
        <f>Sheet1!C9</f>
        <v>FA1300009</v>
      </c>
      <c r="D26" s="1" t="str">
        <f>Sheet1!D9</f>
        <v>1 CORE X 300 SQ. MM. AL./ARM (XLPE)  - 11 KV</v>
      </c>
      <c r="E26" s="3">
        <f t="shared" si="2"/>
        <v>639892.7942</v>
      </c>
      <c r="F26" s="84">
        <f t="shared" si="3"/>
        <v>35000</v>
      </c>
      <c r="G26" s="9">
        <f t="shared" si="4"/>
        <v>674892.7942</v>
      </c>
      <c r="H26" s="7">
        <f>Sheet1!CP9</f>
        <v>0.18</v>
      </c>
      <c r="I26" s="9">
        <f t="shared" si="5"/>
        <v>121480.70295599999</v>
      </c>
      <c r="J26" s="9">
        <f t="shared" si="6"/>
        <v>796373.497156</v>
      </c>
      <c r="K26" s="1">
        <f>Sheet1!CS9</f>
        <v>2</v>
      </c>
      <c r="L26" s="1" t="str">
        <f>Sheet1!CT9</f>
        <v>KMS</v>
      </c>
      <c r="M26" s="3">
        <f t="shared" si="7"/>
        <v>1592746.994312</v>
      </c>
      <c r="N26" s="85">
        <f>+IFERROR(VLOOKUP($N$17,Sheet1!J9:L9,3,0),0)</f>
        <v>810</v>
      </c>
      <c r="O26" s="2">
        <f>+IFERROR(VLOOKUP($O$17,Sheet1!J9:L9,3,0),0)</f>
        <v>0</v>
      </c>
      <c r="P26" s="2">
        <f>+IFERROR(VLOOKUP($P$17,Sheet1!J9:M9,3,0),0)</f>
        <v>0</v>
      </c>
      <c r="Q26" s="2">
        <f>+IFERROR(VLOOKUP($Q$17,Sheet1!J9:M9,3,0),0)</f>
        <v>0</v>
      </c>
      <c r="R26" s="2">
        <f>+IFERROR(VLOOKUP($R$17,Sheet1!J9:M9,3,0),0)</f>
        <v>0</v>
      </c>
      <c r="S26" s="2">
        <f>+IFERROR(VLOOKUP($S$17,Sheet1!N9:Q9,3,0),0)</f>
        <v>0</v>
      </c>
      <c r="T26" s="2">
        <f>+IFERROR(VLOOKUP($T$17,Sheet1!N9:Q9,3,0),0)</f>
        <v>0</v>
      </c>
      <c r="U26" s="2">
        <f>+IFERROR(VLOOKUP($U$17,Sheet1!F9:I9,3,0),0)</f>
        <v>0</v>
      </c>
      <c r="V26" s="2">
        <f>+IFERROR(VLOOKUP($V$17,Sheet1!F9:I9,3,0),0)</f>
        <v>0</v>
      </c>
      <c r="W26" s="2">
        <f>+IFERROR(VLOOKUP($W$17,Sheet1!F9:I9,3,0),0)</f>
        <v>0</v>
      </c>
      <c r="X26" s="2">
        <f>+IFERROR(VLOOKUP($X$17,Sheet1!F9:I9,3,0),0)</f>
        <v>0</v>
      </c>
      <c r="Y26" s="85">
        <v>48</v>
      </c>
      <c r="Z26" s="2">
        <f>+IFERROR(VLOOKUP($Z$17,Sheet1!F9:I9,3,0),0)</f>
        <v>0</v>
      </c>
      <c r="AA26" s="2">
        <f>+IFERROR(VLOOKUP($AA$17,Sheet1!F9:I9,3,0),0)</f>
        <v>0</v>
      </c>
      <c r="AB26" s="2">
        <f>+IFERROR(VLOOKUP($AB$17,Sheet1!F9:I9,3,0),0)</f>
        <v>0</v>
      </c>
      <c r="AC26" s="85">
        <v>122</v>
      </c>
      <c r="AD26" s="13">
        <f>+IFERROR(VLOOKUP($AD$17,Sheet1!R9:U9,2,0),0)</f>
        <v>0</v>
      </c>
      <c r="AE26" s="85">
        <v>278</v>
      </c>
      <c r="AF26" s="13">
        <f>+IFERROR(VLOOKUP($AF$17,Sheet1!V9:Y9,3,0),0)</f>
        <v>0</v>
      </c>
      <c r="AG26" s="13">
        <f>+IFERROR(VLOOKUP($AG$17,Sheet1!V9:Y9,3,0),0)</f>
        <v>0</v>
      </c>
      <c r="AH26" s="13">
        <f>+IFERROR(VLOOKUP($AH$17,Sheet1!V9:Y9,3,0),0)</f>
        <v>0</v>
      </c>
      <c r="AI26" s="13">
        <f>+IFERROR(VLOOKUP($AI$17,Sheet1!V9:Y9,3,0),0)</f>
        <v>0</v>
      </c>
      <c r="AJ26" s="13">
        <f>+IFERROR(VLOOKUP($AJ$17,Sheet1!V9:Y9,3,0),0)</f>
        <v>0</v>
      </c>
      <c r="AK26" s="86">
        <v>11</v>
      </c>
      <c r="AL26" s="13">
        <f>+IFERROR(VLOOKUP($AL$17,Sheet1!AD9:AG9,3,0),0)</f>
        <v>0</v>
      </c>
      <c r="AM26" s="13">
        <f>+IFERROR(VLOOKUP($AM$17,Sheet1!AD9:AG9,3,0),0)</f>
        <v>0</v>
      </c>
      <c r="AN26" s="13">
        <f>+IFERROR(VLOOKUP($AN$17,Sheet1!AD9:AG9,3,0),0)</f>
        <v>0</v>
      </c>
      <c r="AO26" s="13">
        <f>+IFERROR(VLOOKUP($AO$17,Sheet1!AD9:AG9,3,0),0)</f>
        <v>0</v>
      </c>
      <c r="AP26" s="13">
        <f>+IFERROR(VLOOKUP($AP$17,Sheet1!AD9:AG9,3,0),0)</f>
        <v>0</v>
      </c>
      <c r="AQ26" s="86">
        <v>92</v>
      </c>
      <c r="AR26" s="13">
        <f>+IFERROR(VLOOKUP($AR$17,Sheet1!AD9:AG9,3,0),0)</f>
        <v>0</v>
      </c>
      <c r="AS26" s="13">
        <f>+IFERROR(VLOOKUP($AS$17,Sheet1!AH9:AK9,3,0),0)</f>
        <v>0</v>
      </c>
      <c r="AT26" s="13">
        <f>+IFERROR(VLOOKUP($AT$17,Sheet1!AH9:AK9,3,0),0)</f>
        <v>0</v>
      </c>
      <c r="AU26" s="13">
        <f>+IFERROR(VLOOKUP($AU$17,Sheet1!AH9:AK9,3,0),0)</f>
        <v>0</v>
      </c>
      <c r="AV26" s="86">
        <v>497</v>
      </c>
      <c r="AW26" s="13">
        <f>+IFERROR(VLOOKUP($AW$17,Sheet1!AH9:AK9,3,0),0)</f>
        <v>0</v>
      </c>
      <c r="AX26" s="13">
        <f>+IFERROR(VLOOKUP($AX$17,Sheet1!AH9:AK9,3,0),0)</f>
        <v>0</v>
      </c>
      <c r="AY26" s="13">
        <f>+IFERROR(VLOOKUP($AY$17,Sheet1!AH9:AK9,3,0),0)</f>
        <v>0</v>
      </c>
      <c r="AZ26" s="13">
        <f>+IFERROR(VLOOKUP($AZ$17,Sheet1!AH9:AK9,3,0),0)</f>
        <v>0</v>
      </c>
      <c r="BA26" s="13">
        <f>+IFERROR(VLOOKUP($BA$17,Sheet1!AH9:AK9,3,0),0)</f>
        <v>0</v>
      </c>
      <c r="BB26" s="13">
        <f>+IFERROR(VLOOKUP($BB$17,Sheet1!AH9:AK9,3,0),0)</f>
        <v>0</v>
      </c>
      <c r="BC26" s="13">
        <f>+IFERROR(VLOOKUP($BC$17,Sheet1!AL9:AO9,3,0),0)</f>
        <v>0</v>
      </c>
      <c r="BD26" s="13">
        <f>+IFERROR(VLOOKUP($BD$17,Sheet1!AL9:AO9,3,0),0)</f>
        <v>0</v>
      </c>
      <c r="BE26" s="13">
        <f>+IFERROR(VLOOKUP($BE$17,Sheet1!AL9:AO9,3,0),0)</f>
        <v>0</v>
      </c>
      <c r="BF26" s="86">
        <v>345</v>
      </c>
      <c r="BG26" s="13">
        <f>+IFERROR(VLOOKUP($BG$17,Sheet1!AL9:AO9,3,0),0)</f>
        <v>0</v>
      </c>
      <c r="BH26" s="13">
        <f>+IFERROR(VLOOKUP($BH$17,Sheet1!AL9:AO9,3,0),0)</f>
        <v>0</v>
      </c>
      <c r="BI26" s="13">
        <f>+IFERROR(VLOOKUP($BI$17,Sheet1!AL9:AO9,3,0),0)</f>
        <v>0</v>
      </c>
      <c r="BJ26" s="13">
        <f>+IFERROR(VLOOKUP($BJ$17,Sheet1!AL9:AO9,3,0),0)</f>
        <v>0</v>
      </c>
      <c r="BK26" s="13">
        <f>+IFERROR(VLOOKUP($BK$17,Sheet1!AL9:AO9,3,0),0)</f>
        <v>0</v>
      </c>
      <c r="BL26" s="13">
        <f>+IFERROR(VLOOKUP($BL$17,Sheet1!AL9:AO9,3,0),0)</f>
        <v>0</v>
      </c>
      <c r="BM26" s="13">
        <f>+IFERROR(VLOOKUP($BM$17,Sheet1!AP9:AS9,3,0),0)</f>
        <v>0</v>
      </c>
      <c r="BN26" s="86">
        <v>13</v>
      </c>
      <c r="BO26" s="13">
        <f>+IFERROR(VLOOKUP($BO$17,Sheet1!AX9:BA9,3,0),0)</f>
        <v>0</v>
      </c>
      <c r="BP26" s="86">
        <v>25.5</v>
      </c>
      <c r="BQ26" s="13">
        <f>+IFERROR(VLOOKUP($BQ$17,Sheet1!BF9:BI9,3,0),0)</f>
        <v>0</v>
      </c>
      <c r="BR26" s="13">
        <f>+IFERROR(VLOOKUP($BR$17,Sheet1!BJ9:BM9,3,0),0)</f>
        <v>0</v>
      </c>
      <c r="BS26" s="13">
        <f>+IFERROR(VLOOKUP($BS$17,Sheet1!BN9:BQ9,3,0),0)</f>
        <v>0</v>
      </c>
      <c r="BT26" s="86">
        <v>26.5</v>
      </c>
      <c r="BU26" s="13">
        <f>+IFERROR(VLOOKUP($BU$17,Sheet1!BV9:BY9,3,0),0)</f>
        <v>0</v>
      </c>
      <c r="BV26" s="13" t="str">
        <f>Sheet1!E9</f>
        <v>STEEL</v>
      </c>
      <c r="BW26" s="13" t="str">
        <f>Sheet1!CV9</f>
        <v>SP0400152</v>
      </c>
      <c r="BX26" s="13" t="str">
        <f>Sheet1!CW9</f>
        <v>CORRUGATED DISPATCH STEEL DRUM 1500 X 800 X 915</v>
      </c>
      <c r="BY26" s="13">
        <f>Sheet1!CX9</f>
        <v>500</v>
      </c>
      <c r="BZ26" s="92">
        <v>28800</v>
      </c>
      <c r="CA26" s="3">
        <f t="shared" si="0"/>
        <v>513434</v>
      </c>
      <c r="CB26" s="24">
        <v>0.01</v>
      </c>
      <c r="CC26" s="3">
        <f t="shared" si="1"/>
        <v>5134.34</v>
      </c>
      <c r="CD26" s="45">
        <v>0.2</v>
      </c>
      <c r="CE26" s="3">
        <f t="shared" si="8"/>
        <v>102686.8</v>
      </c>
      <c r="CF26" s="45">
        <v>0</v>
      </c>
      <c r="CG26" s="3">
        <f t="shared" si="9"/>
        <v>0</v>
      </c>
      <c r="CH26" s="3">
        <f t="shared" si="10"/>
        <v>621255.14</v>
      </c>
      <c r="CI26" s="45">
        <v>0.02</v>
      </c>
      <c r="CJ26" s="1">
        <f t="shared" si="11"/>
        <v>12425.102800000001</v>
      </c>
      <c r="CK26" s="45">
        <v>0.01</v>
      </c>
      <c r="CL26" s="1">
        <f t="shared" si="12"/>
        <v>6212.5514000000003</v>
      </c>
    </row>
    <row r="27" spans="1:90" s="57" customFormat="1" ht="30" x14ac:dyDescent="0.25">
      <c r="A27" s="58" t="str">
        <f>Sheet1!A10</f>
        <v>ENQ-13992-22-23</v>
      </c>
      <c r="B27" s="59">
        <f>Sheet1!B10</f>
        <v>45548</v>
      </c>
      <c r="C27" s="58" t="str">
        <f>Sheet1!C10</f>
        <v>FA1300020</v>
      </c>
      <c r="D27" s="58" t="str">
        <f>Sheet1!D10</f>
        <v>1 CORE X 185 SQ. MM. AL./ARM (XLPE)  - 11 KV</v>
      </c>
      <c r="E27" s="60">
        <f t="shared" si="2"/>
        <v>511206.08769999997</v>
      </c>
      <c r="F27" s="84">
        <f t="shared" si="3"/>
        <v>17500</v>
      </c>
      <c r="G27" s="61">
        <f t="shared" si="4"/>
        <v>528706.08770000003</v>
      </c>
      <c r="H27" s="62">
        <f>Sheet1!CP10</f>
        <v>0.18</v>
      </c>
      <c r="I27" s="61">
        <f t="shared" si="5"/>
        <v>95167.095786000005</v>
      </c>
      <c r="J27" s="61">
        <f t="shared" si="6"/>
        <v>623873.18348600005</v>
      </c>
      <c r="K27" s="58">
        <f>Sheet1!CS10</f>
        <v>4</v>
      </c>
      <c r="L27" s="58" t="str">
        <f>Sheet1!CT10</f>
        <v>KMS</v>
      </c>
      <c r="M27" s="60">
        <f t="shared" si="7"/>
        <v>2495492.7339440002</v>
      </c>
      <c r="N27" s="85">
        <v>499</v>
      </c>
      <c r="O27" s="63">
        <f>+IFERROR(VLOOKUP($O$17,Sheet1!J10:L10,3,0),0)</f>
        <v>0</v>
      </c>
      <c r="P27" s="63">
        <f>+IFERROR(VLOOKUP($P$17,Sheet1!J10:M10,3,0),0)</f>
        <v>0</v>
      </c>
      <c r="Q27" s="63">
        <f>+IFERROR(VLOOKUP($Q$17,Sheet1!J10:M10,3,0),0)</f>
        <v>0</v>
      </c>
      <c r="R27" s="63">
        <f>+IFERROR(VLOOKUP($R$17,Sheet1!J10:M10,3,0),0)</f>
        <v>0</v>
      </c>
      <c r="S27" s="63">
        <f>+IFERROR(VLOOKUP($S$17,Sheet1!N10:Q10,3,0),0)</f>
        <v>0</v>
      </c>
      <c r="T27" s="63">
        <f>+IFERROR(VLOOKUP($T$17,Sheet1!N10:Q10,3,0),0)</f>
        <v>0</v>
      </c>
      <c r="U27" s="63">
        <f>+IFERROR(VLOOKUP($U$17,Sheet1!F10:I10,3,0),0)</f>
        <v>0</v>
      </c>
      <c r="V27" s="63">
        <f>+IFERROR(VLOOKUP($V$17,Sheet1!F10:I10,3,0),0)</f>
        <v>0</v>
      </c>
      <c r="W27" s="63">
        <f>+IFERROR(VLOOKUP($W$17,Sheet1!F10:I10,3,0),0)</f>
        <v>0</v>
      </c>
      <c r="X27" s="63">
        <f>+IFERROR(VLOOKUP($X$17,Sheet1!F10:I10,3,0),0)</f>
        <v>0</v>
      </c>
      <c r="Y27" s="85">
        <v>47</v>
      </c>
      <c r="Z27" s="63">
        <f>+IFERROR(VLOOKUP($Z$17,Sheet1!F10:I10,3,0),0)</f>
        <v>0</v>
      </c>
      <c r="AA27" s="63">
        <f>+IFERROR(VLOOKUP($AA$17,Sheet1!F10:I10,3,0),0)</f>
        <v>0</v>
      </c>
      <c r="AB27" s="63">
        <f>+IFERROR(VLOOKUP($AB$17,Sheet1!F10:I10,3,0),0)</f>
        <v>0</v>
      </c>
      <c r="AC27" s="85">
        <v>130</v>
      </c>
      <c r="AD27" s="64">
        <f>+IFERROR(VLOOKUP($AD$17,Sheet1!R10:U10,2,0),0)</f>
        <v>0</v>
      </c>
      <c r="AE27" s="85">
        <v>230</v>
      </c>
      <c r="AF27" s="64">
        <f>+IFERROR(VLOOKUP($AF$17,Sheet1!V10:Y10,3,0),0)</f>
        <v>0</v>
      </c>
      <c r="AG27" s="64">
        <f>+IFERROR(VLOOKUP($AG$17,Sheet1!V10:Y10,3,0),0)</f>
        <v>0</v>
      </c>
      <c r="AH27" s="64">
        <f>+IFERROR(VLOOKUP($AH$17,Sheet1!V10:Y10,3,0),0)</f>
        <v>0</v>
      </c>
      <c r="AI27" s="64">
        <f>+IFERROR(VLOOKUP($AI$17,Sheet1!V10:Y10,3,0),0)</f>
        <v>0</v>
      </c>
      <c r="AJ27" s="64">
        <f>+IFERROR(VLOOKUP($AJ$17,Sheet1!V10:Y10,3,0),0)</f>
        <v>0</v>
      </c>
      <c r="AK27" s="86">
        <v>54</v>
      </c>
      <c r="AL27" s="64">
        <f>+IFERROR(VLOOKUP($AL$17,Sheet1!AD10:AG10,3,0),0)</f>
        <v>0</v>
      </c>
      <c r="AM27" s="64">
        <f>+IFERROR(VLOOKUP($AM$17,Sheet1!AD10:AG10,3,0),0)</f>
        <v>0</v>
      </c>
      <c r="AN27" s="64">
        <f>+IFERROR(VLOOKUP($AN$17,Sheet1!AD10:AG10,3,0),0)</f>
        <v>0</v>
      </c>
      <c r="AO27" s="64">
        <f>+IFERROR(VLOOKUP($AO$17,Sheet1!AD10:AG10,3,0),0)</f>
        <v>0</v>
      </c>
      <c r="AP27" s="64">
        <f>+IFERROR(VLOOKUP($AP$17,Sheet1!AD10:AG10,3,0),0)</f>
        <v>0</v>
      </c>
      <c r="AQ27" s="86">
        <v>96</v>
      </c>
      <c r="AR27" s="64">
        <f>+IFERROR(VLOOKUP($AR$17,Sheet1!AD10:AG10,3,0),0)</f>
        <v>0</v>
      </c>
      <c r="AS27" s="64">
        <f>+IFERROR(VLOOKUP($AS$17,Sheet1!AH10:AK10,3,0),0)</f>
        <v>0</v>
      </c>
      <c r="AT27" s="64">
        <f>+IFERROR(VLOOKUP($AT$17,Sheet1!AH10:AK10,3,0),0)</f>
        <v>0</v>
      </c>
      <c r="AU27" s="64">
        <f>+IFERROR(VLOOKUP($AU$17,Sheet1!AH10:AK10,3,0),0)</f>
        <v>0</v>
      </c>
      <c r="AV27" s="86">
        <v>371</v>
      </c>
      <c r="AW27" s="64">
        <f>+IFERROR(VLOOKUP($AW$17,Sheet1!AH10:AK10,3,0),0)</f>
        <v>0</v>
      </c>
      <c r="AX27" s="64">
        <f>+IFERROR(VLOOKUP($AX$17,Sheet1!AH10:AK10,3,0),0)</f>
        <v>0</v>
      </c>
      <c r="AY27" s="64">
        <f>+IFERROR(VLOOKUP($AY$17,Sheet1!AH10:AK10,3,0),0)</f>
        <v>0</v>
      </c>
      <c r="AZ27" s="64">
        <f>+IFERROR(VLOOKUP($AZ$17,Sheet1!AH10:AK10,3,0),0)</f>
        <v>0</v>
      </c>
      <c r="BA27" s="64">
        <f>+IFERROR(VLOOKUP($BA$17,Sheet1!AH10:AK10,3,0),0)</f>
        <v>0</v>
      </c>
      <c r="BB27" s="64">
        <f>+IFERROR(VLOOKUP($BB$17,Sheet1!AH10:AK10,3,0),0)</f>
        <v>0</v>
      </c>
      <c r="BC27" s="64">
        <f>+IFERROR(VLOOKUP($BC$17,Sheet1!AL10:AO10,3,0),0)</f>
        <v>0</v>
      </c>
      <c r="BD27" s="64">
        <f>+IFERROR(VLOOKUP($BD$17,Sheet1!AL10:AO10,3,0),0)</f>
        <v>0</v>
      </c>
      <c r="BE27" s="86">
        <v>309</v>
      </c>
      <c r="BF27" s="64"/>
      <c r="BG27" s="64">
        <f>+IFERROR(VLOOKUP($BG$17,Sheet1!AL10:AO10,3,0),0)</f>
        <v>0</v>
      </c>
      <c r="BH27" s="64">
        <f>+IFERROR(VLOOKUP($BH$17,Sheet1!AL10:AO10,3,0),0)</f>
        <v>0</v>
      </c>
      <c r="BI27" s="64">
        <f>+IFERROR(VLOOKUP($BI$17,Sheet1!AL10:AO10,3,0),0)</f>
        <v>0</v>
      </c>
      <c r="BJ27" s="64">
        <f>+IFERROR(VLOOKUP($BJ$17,Sheet1!AL10:AO10,3,0),0)</f>
        <v>0</v>
      </c>
      <c r="BK27" s="64">
        <f>+IFERROR(VLOOKUP($BK$17,Sheet1!AL10:AO10,3,0),0)</f>
        <v>0</v>
      </c>
      <c r="BL27" s="64">
        <f>+IFERROR(VLOOKUP($BL$17,Sheet1!AL10:AO10,3,0),0)</f>
        <v>0</v>
      </c>
      <c r="BM27" s="64">
        <f>+IFERROR(VLOOKUP($BM$17,Sheet1!AP10:AS10,3,0),0)</f>
        <v>0</v>
      </c>
      <c r="BN27" s="86">
        <v>12</v>
      </c>
      <c r="BO27" s="64">
        <f>+IFERROR(VLOOKUP($BO$17,Sheet1!AX10:BA10,3,0),0)</f>
        <v>0</v>
      </c>
      <c r="BP27" s="86">
        <v>24</v>
      </c>
      <c r="BQ27" s="64">
        <f>+IFERROR(VLOOKUP($BQ$17,Sheet1!BF10:BI10,3,0),0)</f>
        <v>0</v>
      </c>
      <c r="BR27" s="64">
        <f>+IFERROR(VLOOKUP($BR$17,Sheet1!BJ10:BM10,3,0),0)</f>
        <v>0</v>
      </c>
      <c r="BS27" s="64">
        <f>+IFERROR(VLOOKUP($BS$17,Sheet1!BN10:BQ10,3,0),0)</f>
        <v>0</v>
      </c>
      <c r="BT27" s="86">
        <v>25</v>
      </c>
      <c r="BU27" s="64">
        <f>+IFERROR(VLOOKUP($BU$17,Sheet1!BV10:BY10,3,0),0)</f>
        <v>0</v>
      </c>
      <c r="BV27" s="64" t="str">
        <f>Sheet1!E10</f>
        <v>STEEL</v>
      </c>
      <c r="BW27" s="64" t="str">
        <f>Sheet1!CV10</f>
        <v>SP0400125</v>
      </c>
      <c r="BX27" s="64" t="str">
        <f>Sheet1!CW10</f>
        <v>CORRUGATED DISPATCH STEEL DRUM 1600 X 700 X 915 MM</v>
      </c>
      <c r="BY27" s="64">
        <f>Sheet1!CX10</f>
        <v>500</v>
      </c>
      <c r="BZ27" s="92">
        <f>15000*2</f>
        <v>30000</v>
      </c>
      <c r="CA27" s="60">
        <f t="shared" si="0"/>
        <v>410179</v>
      </c>
      <c r="CB27" s="24">
        <v>0.01</v>
      </c>
      <c r="CC27" s="60">
        <f t="shared" si="1"/>
        <v>4101.79</v>
      </c>
      <c r="CD27" s="65">
        <v>0.2</v>
      </c>
      <c r="CE27" s="60">
        <f t="shared" si="8"/>
        <v>82035.8</v>
      </c>
      <c r="CF27" s="65">
        <v>0</v>
      </c>
      <c r="CG27" s="60">
        <f t="shared" si="9"/>
        <v>0</v>
      </c>
      <c r="CH27" s="60">
        <f t="shared" si="10"/>
        <v>496316.58999999997</v>
      </c>
      <c r="CI27" s="65">
        <v>0.02</v>
      </c>
      <c r="CJ27" s="58">
        <f t="shared" si="11"/>
        <v>9926.3317999999999</v>
      </c>
      <c r="CK27" s="65">
        <v>0.01</v>
      </c>
      <c r="CL27" s="58">
        <f t="shared" si="12"/>
        <v>4963.1659</v>
      </c>
    </row>
    <row r="28" spans="1:90" s="57" customFormat="1" ht="30" x14ac:dyDescent="0.25">
      <c r="A28" s="58" t="str">
        <f>Sheet1!A11</f>
        <v>ENQ-13992-22-23</v>
      </c>
      <c r="B28" s="59">
        <f>Sheet1!B11</f>
        <v>45548</v>
      </c>
      <c r="C28" s="58" t="str">
        <f>Sheet1!C11</f>
        <v>FA1300075</v>
      </c>
      <c r="D28" s="58" t="str">
        <f>Sheet1!D11</f>
        <v>1 CORE X 95 SQ. MM. AL.ARM (XLPE) - 11 KV</v>
      </c>
      <c r="E28" s="60">
        <f t="shared" si="2"/>
        <v>368214.34980000003</v>
      </c>
      <c r="F28" s="84">
        <f t="shared" si="3"/>
        <v>15000</v>
      </c>
      <c r="G28" s="61">
        <f t="shared" si="4"/>
        <v>383214.34980000003</v>
      </c>
      <c r="H28" s="62">
        <f>Sheet1!CP11</f>
        <v>0.18</v>
      </c>
      <c r="I28" s="61">
        <f t="shared" si="5"/>
        <v>68978.582964000001</v>
      </c>
      <c r="J28" s="61">
        <f t="shared" si="6"/>
        <v>452192.93276400003</v>
      </c>
      <c r="K28" s="58">
        <v>4</v>
      </c>
      <c r="L28" s="58" t="str">
        <f>Sheet1!CT11</f>
        <v>KMS</v>
      </c>
      <c r="M28" s="60">
        <f t="shared" si="7"/>
        <v>1808771.7310560001</v>
      </c>
      <c r="N28" s="85">
        <f>+IFERROR(VLOOKUP($N$17,Sheet1!J11:L11,3,0),0)</f>
        <v>256</v>
      </c>
      <c r="O28" s="63">
        <f>+IFERROR(VLOOKUP($O$17,Sheet1!J11:L11,3,0),0)</f>
        <v>0</v>
      </c>
      <c r="P28" s="63">
        <f>+IFERROR(VLOOKUP($P$17,Sheet1!J11:M11,3,0),0)</f>
        <v>0</v>
      </c>
      <c r="Q28" s="63">
        <f>+IFERROR(VLOOKUP($Q$17,Sheet1!J11:M11,3,0),0)</f>
        <v>0</v>
      </c>
      <c r="R28" s="63">
        <f>+IFERROR(VLOOKUP($R$17,Sheet1!J11:M11,3,0),0)</f>
        <v>0</v>
      </c>
      <c r="S28" s="63">
        <f>+IFERROR(VLOOKUP($S$17,Sheet1!N11:Q11,3,0),0)</f>
        <v>0</v>
      </c>
      <c r="T28" s="63">
        <f>+IFERROR(VLOOKUP($T$17,Sheet1!N11:Q11,3,0),0)</f>
        <v>0</v>
      </c>
      <c r="U28" s="63">
        <f>+IFERROR(VLOOKUP($U$17,Sheet1!F11:I11,3,0),0)</f>
        <v>0</v>
      </c>
      <c r="V28" s="63">
        <v>0</v>
      </c>
      <c r="W28" s="63">
        <f>+IFERROR(VLOOKUP($W$17,Sheet1!F11:I11,3,0),0)</f>
        <v>0</v>
      </c>
      <c r="X28" s="63">
        <f>+IFERROR(VLOOKUP($X$17,Sheet1!F11:I11,3,0),0)</f>
        <v>0</v>
      </c>
      <c r="Y28" s="85">
        <v>39</v>
      </c>
      <c r="Z28" s="63">
        <f>+IFERROR(VLOOKUP($Z$17,Sheet1!F11:I11,3,0),0)</f>
        <v>0</v>
      </c>
      <c r="AA28" s="63">
        <f>+IFERROR(VLOOKUP($AA$17,Sheet1!F11:I11,3,0),0)</f>
        <v>0</v>
      </c>
      <c r="AB28" s="63">
        <f>+IFERROR(VLOOKUP($AB$17,Sheet1!F11:I11,3,0),0)</f>
        <v>0</v>
      </c>
      <c r="AC28" s="85">
        <v>100</v>
      </c>
      <c r="AD28" s="64">
        <f>+IFERROR(VLOOKUP($AD$17,Sheet1!R11:U11,2,0),0)</f>
        <v>0</v>
      </c>
      <c r="AE28" s="85">
        <v>180</v>
      </c>
      <c r="AF28" s="64">
        <f>+IFERROR(VLOOKUP($AF$17,Sheet1!V11:Y11,3,0),0)</f>
        <v>0</v>
      </c>
      <c r="AG28" s="64">
        <f>+IFERROR(VLOOKUP($AG$17,Sheet1!V11:Y11,3,0),0)</f>
        <v>0</v>
      </c>
      <c r="AH28" s="64">
        <f>+IFERROR(VLOOKUP($AH$17,Sheet1!V11:Y11,3,0),0)</f>
        <v>0</v>
      </c>
      <c r="AI28" s="64">
        <f>+IFERROR(VLOOKUP($AI$17,Sheet1!V11:Y11,3,0),0)</f>
        <v>0</v>
      </c>
      <c r="AJ28" s="64">
        <f>+IFERROR(VLOOKUP($AJ$17,Sheet1!V11:Y11,3,0),0)</f>
        <v>0</v>
      </c>
      <c r="AK28" s="86">
        <v>45</v>
      </c>
      <c r="AL28" s="64">
        <f>+IFERROR(VLOOKUP($AL$17,Sheet1!AD11:AG11,3,0),0)</f>
        <v>0</v>
      </c>
      <c r="AM28" s="64">
        <f>+IFERROR(VLOOKUP($AM$17,Sheet1!AD11:AG11,3,0),0)</f>
        <v>0</v>
      </c>
      <c r="AN28" s="64">
        <f>+IFERROR(VLOOKUP($AN$17,Sheet1!AD11:AG11,3,0),0)</f>
        <v>0</v>
      </c>
      <c r="AO28" s="64">
        <f>+IFERROR(VLOOKUP($AO$17,Sheet1!AD11:AG11,3,0),0)</f>
        <v>0</v>
      </c>
      <c r="AP28" s="64">
        <f>+IFERROR(VLOOKUP($AP$17,Sheet1!AD11:AG11,3,0),0)</f>
        <v>0</v>
      </c>
      <c r="AQ28" s="86">
        <v>70</v>
      </c>
      <c r="AR28" s="64">
        <f>+IFERROR(VLOOKUP($AR$17,Sheet1!AD11:AG11,3,0),0)</f>
        <v>0</v>
      </c>
      <c r="AS28" s="64">
        <f>+IFERROR(VLOOKUP($AS$17,Sheet1!AH11:AK11,3,0),0)</f>
        <v>0</v>
      </c>
      <c r="AT28" s="64">
        <f>+IFERROR(VLOOKUP($AT$17,Sheet1!AH11:AK11,3,0),0)</f>
        <v>0</v>
      </c>
      <c r="AU28" s="64">
        <f>+IFERROR(VLOOKUP($AU$17,Sheet1!AH11:AK11,3,0),0)</f>
        <v>0</v>
      </c>
      <c r="AV28" s="86">
        <v>309</v>
      </c>
      <c r="AW28" s="64">
        <f>+IFERROR(VLOOKUP($AW$17,Sheet1!AH11:AK11,3,0),0)</f>
        <v>0</v>
      </c>
      <c r="AX28" s="64">
        <f>+IFERROR(VLOOKUP($AX$17,Sheet1!AH11:AK11,3,0),0)</f>
        <v>0</v>
      </c>
      <c r="AY28" s="64">
        <f>+IFERROR(VLOOKUP($AY$17,Sheet1!AH11:AK11,3,0),0)</f>
        <v>0</v>
      </c>
      <c r="AZ28" s="64">
        <f>+IFERROR(VLOOKUP($AZ$17,Sheet1!AH11:AK11,3,0),0)</f>
        <v>0</v>
      </c>
      <c r="BA28" s="64">
        <f>+IFERROR(VLOOKUP($BA$17,Sheet1!AH11:AK11,3,0),0)</f>
        <v>0</v>
      </c>
      <c r="BB28" s="64">
        <f>+IFERROR(VLOOKUP($BB$17,Sheet1!AH11:AK11,3,0),0)</f>
        <v>0</v>
      </c>
      <c r="BC28" s="64">
        <f>+IFERROR(VLOOKUP($BC$17,Sheet1!AL11:AO11,3,0),0)</f>
        <v>0</v>
      </c>
      <c r="BD28" s="64">
        <f>+IFERROR(VLOOKUP($BD$17,Sheet1!AL11:AO11,3,0),0)</f>
        <v>0</v>
      </c>
      <c r="BE28" s="86">
        <v>268</v>
      </c>
      <c r="BF28" s="64"/>
      <c r="BG28" s="64">
        <f>+IFERROR(VLOOKUP($BG$17,Sheet1!AL11:AO11,3,0),0)</f>
        <v>0</v>
      </c>
      <c r="BH28" s="64">
        <f>+IFERROR(VLOOKUP($BH$17,Sheet1!AL11:AO11,3,0),0)</f>
        <v>0</v>
      </c>
      <c r="BI28" s="64">
        <f>+IFERROR(VLOOKUP($BI$17,Sheet1!AL11:AO11,3,0),0)</f>
        <v>0</v>
      </c>
      <c r="BJ28" s="64">
        <v>0</v>
      </c>
      <c r="BK28" s="64">
        <f>+IFERROR(VLOOKUP($BK$17,Sheet1!AL11:AO11,3,0),0)</f>
        <v>0</v>
      </c>
      <c r="BL28" s="64">
        <f>+IFERROR(VLOOKUP($BL$17,Sheet1!AL11:AO11,3,0),0)</f>
        <v>0</v>
      </c>
      <c r="BM28" s="64">
        <f>+IFERROR(VLOOKUP($BM$17,Sheet1!AP11:AS11,3,0),0)</f>
        <v>0</v>
      </c>
      <c r="BN28" s="86">
        <v>6</v>
      </c>
      <c r="BO28" s="64">
        <f>+IFERROR(VLOOKUP($BO$17,Sheet1!AX11:BA11,3,0),0)</f>
        <v>0</v>
      </c>
      <c r="BP28" s="86">
        <v>20</v>
      </c>
      <c r="BQ28" s="64">
        <f>+IFERROR(VLOOKUP($BQ$17,Sheet1!BF11:BI11,3,0),0)</f>
        <v>0</v>
      </c>
      <c r="BR28" s="64">
        <f>+IFERROR(VLOOKUP($BR$17,Sheet1!BJ11:BM11,3,0),0)</f>
        <v>0</v>
      </c>
      <c r="BS28" s="64">
        <f>+IFERROR(VLOOKUP($BS$17,Sheet1!BN11:BQ11,3,0),0)</f>
        <v>0</v>
      </c>
      <c r="BT28" s="86">
        <v>21</v>
      </c>
      <c r="BU28" s="64">
        <f>+IFERROR(VLOOKUP($BU$17,Sheet1!BV11:BY11,3,0),0)</f>
        <v>0</v>
      </c>
      <c r="BV28" s="64" t="s">
        <v>193</v>
      </c>
      <c r="BW28" s="64" t="s">
        <v>248</v>
      </c>
      <c r="BX28" s="64" t="s">
        <v>249</v>
      </c>
      <c r="BY28" s="64">
        <f>Sheet1!CX11</f>
        <v>500</v>
      </c>
      <c r="BZ28" s="60">
        <v>20700</v>
      </c>
      <c r="CA28" s="60">
        <f t="shared" si="0"/>
        <v>295446</v>
      </c>
      <c r="CB28" s="24">
        <v>0.01</v>
      </c>
      <c r="CC28" s="60">
        <f t="shared" si="1"/>
        <v>2954.46</v>
      </c>
      <c r="CD28" s="65">
        <v>0.2</v>
      </c>
      <c r="CE28" s="60">
        <f t="shared" si="8"/>
        <v>59089.200000000004</v>
      </c>
      <c r="CF28" s="65">
        <v>0</v>
      </c>
      <c r="CG28" s="60">
        <f t="shared" si="9"/>
        <v>0</v>
      </c>
      <c r="CH28" s="60">
        <f t="shared" si="10"/>
        <v>357489.66000000003</v>
      </c>
      <c r="CI28" s="65">
        <v>0.02</v>
      </c>
      <c r="CJ28" s="58">
        <f t="shared" si="11"/>
        <v>7149.793200000001</v>
      </c>
      <c r="CK28" s="65">
        <v>0.01</v>
      </c>
      <c r="CL28" s="58">
        <f t="shared" si="12"/>
        <v>3574.8966000000005</v>
      </c>
    </row>
    <row r="30" spans="1:90" ht="60" x14ac:dyDescent="0.25">
      <c r="E30" s="2" t="s">
        <v>239</v>
      </c>
      <c r="F30" s="2" t="s">
        <v>240</v>
      </c>
      <c r="G30" s="79" t="s">
        <v>241</v>
      </c>
      <c r="H30" s="2" t="s">
        <v>242</v>
      </c>
      <c r="I30" s="2" t="s">
        <v>243</v>
      </c>
      <c r="J30" s="2" t="s">
        <v>244</v>
      </c>
      <c r="K30" s="2" t="s">
        <v>245</v>
      </c>
      <c r="L30" s="2" t="s">
        <v>246</v>
      </c>
      <c r="M30" s="80" t="s">
        <v>247</v>
      </c>
      <c r="Y30" s="27" t="s">
        <v>263</v>
      </c>
      <c r="AC30" s="27" t="s">
        <v>264</v>
      </c>
      <c r="AE30" s="27" t="s">
        <v>265</v>
      </c>
      <c r="AK30" s="27" t="s">
        <v>267</v>
      </c>
    </row>
    <row r="31" spans="1:90" ht="30" x14ac:dyDescent="0.25">
      <c r="D31" s="27" t="str">
        <f>D19</f>
        <v>3 CORE X 300 SQ. MM. AL/ARM - WIRE (XLPE) - 11 KV</v>
      </c>
      <c r="E31" s="79">
        <f>K19</f>
        <v>19</v>
      </c>
      <c r="F31" s="81">
        <f>BY19/1000</f>
        <v>0.25</v>
      </c>
      <c r="G31" s="79" t="s">
        <v>266</v>
      </c>
      <c r="H31" s="82">
        <v>70000</v>
      </c>
      <c r="I31" s="93">
        <v>6</v>
      </c>
      <c r="J31" s="79">
        <f>F31*I31</f>
        <v>1.5</v>
      </c>
      <c r="K31" s="79">
        <f t="shared" ref="K31:K40" si="13">ROUNDUP((E31/J31),0)</f>
        <v>13</v>
      </c>
      <c r="L31" s="79">
        <f>M31*E31</f>
        <v>909999.99999999988</v>
      </c>
      <c r="M31" s="83">
        <f t="shared" ref="M31:M40" si="14">(H31*K31)/E31</f>
        <v>47894.73684210526</v>
      </c>
      <c r="N31" s="27" t="str">
        <f>BW19</f>
        <v>SP0400136</v>
      </c>
      <c r="Y31" s="27">
        <f>SUM(N19:BT19)</f>
        <v>10736</v>
      </c>
      <c r="AC31" s="27">
        <v>450</v>
      </c>
      <c r="AE31" s="27">
        <f>((Y31*F31)+AC31)</f>
        <v>3134</v>
      </c>
      <c r="AK31" s="27">
        <f>I31*AE31</f>
        <v>18804</v>
      </c>
    </row>
    <row r="32" spans="1:90" ht="30" x14ac:dyDescent="0.25">
      <c r="D32" s="27" t="str">
        <f t="shared" ref="D32:D40" si="15">D20</f>
        <v>3 CORE X 185 SQ. MM AL/ARM - WIRE (XLPE) - 11 KV</v>
      </c>
      <c r="E32" s="79">
        <f t="shared" ref="E32:E40" si="16">K20</f>
        <v>27</v>
      </c>
      <c r="F32" s="81">
        <f t="shared" ref="F32:F40" si="17">BY20/1000</f>
        <v>0.25</v>
      </c>
      <c r="G32" s="79" t="s">
        <v>266</v>
      </c>
      <c r="H32" s="82">
        <v>70000</v>
      </c>
      <c r="I32" s="93">
        <v>6</v>
      </c>
      <c r="J32" s="79">
        <f t="shared" ref="J32:J40" si="18">F32*I32</f>
        <v>1.5</v>
      </c>
      <c r="K32" s="79">
        <f t="shared" si="13"/>
        <v>18</v>
      </c>
      <c r="L32" s="79">
        <f t="shared" ref="L32:L40" si="19">M32*E32</f>
        <v>1260000</v>
      </c>
      <c r="M32" s="83">
        <f t="shared" si="14"/>
        <v>46666.666666666664</v>
      </c>
      <c r="N32" s="27" t="str">
        <f t="shared" ref="N32:N40" si="20">BW20</f>
        <v>SP0400111</v>
      </c>
      <c r="Y32" s="27">
        <f t="shared" ref="Y32:Y40" si="21">SUM(N20:BT20)</f>
        <v>8328</v>
      </c>
      <c r="AC32" s="27">
        <v>285</v>
      </c>
      <c r="AE32" s="27">
        <f t="shared" ref="AE32:AE40" si="22">((Y32*F32)+AC32)</f>
        <v>2367</v>
      </c>
      <c r="AK32" s="27">
        <f t="shared" ref="AK32:AK40" si="23">I32*AE32</f>
        <v>14202</v>
      </c>
    </row>
    <row r="33" spans="4:37" ht="30" x14ac:dyDescent="0.25">
      <c r="D33" s="27" t="str">
        <f t="shared" si="15"/>
        <v>3 CORE X 150 SQ. MM. AL/ARM - WIRE (XLPE) - 11 KV</v>
      </c>
      <c r="E33" s="79">
        <f t="shared" si="16"/>
        <v>2</v>
      </c>
      <c r="F33" s="81">
        <f t="shared" si="17"/>
        <v>0.25</v>
      </c>
      <c r="G33" s="79" t="s">
        <v>266</v>
      </c>
      <c r="H33" s="82">
        <v>70000</v>
      </c>
      <c r="I33" s="93">
        <v>6</v>
      </c>
      <c r="J33" s="79">
        <f t="shared" si="18"/>
        <v>1.5</v>
      </c>
      <c r="K33" s="79">
        <f t="shared" si="13"/>
        <v>2</v>
      </c>
      <c r="L33" s="79">
        <f t="shared" si="19"/>
        <v>140000</v>
      </c>
      <c r="M33" s="83">
        <f t="shared" si="14"/>
        <v>70000</v>
      </c>
      <c r="N33" s="27" t="str">
        <f t="shared" si="20"/>
        <v>SP0400118</v>
      </c>
      <c r="Y33" s="27">
        <f t="shared" si="21"/>
        <v>7413</v>
      </c>
      <c r="AC33" s="27">
        <v>250</v>
      </c>
      <c r="AE33" s="27">
        <f t="shared" si="22"/>
        <v>2103.25</v>
      </c>
      <c r="AK33" s="27">
        <f t="shared" si="23"/>
        <v>12619.5</v>
      </c>
    </row>
    <row r="34" spans="4:37" ht="30" x14ac:dyDescent="0.25">
      <c r="D34" s="27" t="str">
        <f t="shared" si="15"/>
        <v>3 CORE X 95 SQ. MM. AL/ARM - WIRE (XLPE) - 11 KV</v>
      </c>
      <c r="E34" s="79">
        <f t="shared" si="16"/>
        <v>20</v>
      </c>
      <c r="F34" s="81">
        <f t="shared" si="17"/>
        <v>0.25</v>
      </c>
      <c r="G34" s="79" t="s">
        <v>266</v>
      </c>
      <c r="H34" s="82">
        <v>70000</v>
      </c>
      <c r="I34" s="93">
        <v>8</v>
      </c>
      <c r="J34" s="79">
        <f t="shared" si="18"/>
        <v>2</v>
      </c>
      <c r="K34" s="79">
        <f t="shared" si="13"/>
        <v>10</v>
      </c>
      <c r="L34" s="79">
        <f t="shared" si="19"/>
        <v>700000</v>
      </c>
      <c r="M34" s="83">
        <f t="shared" si="14"/>
        <v>35000</v>
      </c>
      <c r="N34" s="27" t="str">
        <f t="shared" si="20"/>
        <v>SP0400110</v>
      </c>
      <c r="Y34" s="27">
        <f t="shared" si="21"/>
        <v>5527</v>
      </c>
      <c r="AC34" s="27">
        <v>250</v>
      </c>
      <c r="AE34" s="27">
        <f t="shared" si="22"/>
        <v>1631.75</v>
      </c>
      <c r="AK34" s="27">
        <f t="shared" si="23"/>
        <v>13054</v>
      </c>
    </row>
    <row r="35" spans="4:37" ht="30" x14ac:dyDescent="0.25">
      <c r="D35" s="27" t="str">
        <f t="shared" si="15"/>
        <v>1 CORE X 1000 SQ. MM. AL/ARM (XLPE) - 11 KV</v>
      </c>
      <c r="E35" s="79">
        <f t="shared" si="16"/>
        <v>20</v>
      </c>
      <c r="F35" s="81">
        <f t="shared" si="17"/>
        <v>0.5</v>
      </c>
      <c r="G35" s="79" t="s">
        <v>266</v>
      </c>
      <c r="H35" s="82">
        <v>70000</v>
      </c>
      <c r="I35" s="93">
        <v>7</v>
      </c>
      <c r="J35" s="79">
        <f t="shared" si="18"/>
        <v>3.5</v>
      </c>
      <c r="K35" s="79">
        <f t="shared" si="13"/>
        <v>6</v>
      </c>
      <c r="L35" s="79">
        <f t="shared" si="19"/>
        <v>420000</v>
      </c>
      <c r="M35" s="83">
        <f t="shared" si="14"/>
        <v>21000</v>
      </c>
      <c r="N35" s="27" t="str">
        <f t="shared" si="20"/>
        <v>SP0400107</v>
      </c>
      <c r="Y35" s="27">
        <f t="shared" si="21"/>
        <v>5563</v>
      </c>
      <c r="AC35" s="27">
        <v>350</v>
      </c>
      <c r="AE35" s="27">
        <f t="shared" si="22"/>
        <v>3131.5</v>
      </c>
      <c r="AK35" s="27">
        <f t="shared" si="23"/>
        <v>21920.5</v>
      </c>
    </row>
    <row r="36" spans="4:37" ht="30" x14ac:dyDescent="0.25">
      <c r="D36" s="27" t="str">
        <f t="shared" si="15"/>
        <v>1 CORE X 630 SQ. MM. AL/ARM (XLPE)  - 11 KV</v>
      </c>
      <c r="E36" s="79">
        <f t="shared" si="16"/>
        <v>3</v>
      </c>
      <c r="F36" s="81">
        <f t="shared" si="17"/>
        <v>0.5</v>
      </c>
      <c r="G36" s="79" t="s">
        <v>266</v>
      </c>
      <c r="H36" s="82">
        <v>70000</v>
      </c>
      <c r="I36" s="93">
        <v>8</v>
      </c>
      <c r="J36" s="79">
        <f t="shared" si="18"/>
        <v>4</v>
      </c>
      <c r="K36" s="79">
        <f t="shared" si="13"/>
        <v>1</v>
      </c>
      <c r="L36" s="79">
        <f t="shared" si="19"/>
        <v>70000</v>
      </c>
      <c r="M36" s="83">
        <f t="shared" si="14"/>
        <v>23333.333333333332</v>
      </c>
      <c r="N36" s="27" t="str">
        <f t="shared" si="20"/>
        <v>SP0400091</v>
      </c>
      <c r="Y36" s="27">
        <f t="shared" si="21"/>
        <v>3586</v>
      </c>
      <c r="AC36" s="27">
        <v>255</v>
      </c>
      <c r="AE36" s="27">
        <f t="shared" si="22"/>
        <v>2048</v>
      </c>
      <c r="AK36" s="27">
        <f t="shared" si="23"/>
        <v>16384</v>
      </c>
    </row>
    <row r="37" spans="4:37" ht="30" x14ac:dyDescent="0.25">
      <c r="D37" s="27" t="str">
        <f t="shared" si="15"/>
        <v>1 CORE X 400 SQ. MM. AL/ARM (XLPE) - 11 KV</v>
      </c>
      <c r="E37" s="79">
        <f t="shared" si="16"/>
        <v>1</v>
      </c>
      <c r="F37" s="81">
        <f t="shared" si="17"/>
        <v>0.5</v>
      </c>
      <c r="G37" s="79" t="s">
        <v>266</v>
      </c>
      <c r="H37" s="82">
        <v>70000</v>
      </c>
      <c r="I37" s="93">
        <v>14</v>
      </c>
      <c r="J37" s="79">
        <f t="shared" si="18"/>
        <v>7</v>
      </c>
      <c r="K37" s="79">
        <f t="shared" si="13"/>
        <v>1</v>
      </c>
      <c r="L37" s="79">
        <f t="shared" si="19"/>
        <v>70000</v>
      </c>
      <c r="M37" s="83">
        <f t="shared" si="14"/>
        <v>70000</v>
      </c>
      <c r="N37" s="27" t="str">
        <f t="shared" si="20"/>
        <v>SP0400125</v>
      </c>
      <c r="Y37" s="27">
        <f t="shared" si="21"/>
        <v>2729</v>
      </c>
      <c r="AC37" s="27">
        <v>220</v>
      </c>
      <c r="AE37" s="27">
        <f t="shared" si="22"/>
        <v>1584.5</v>
      </c>
      <c r="AK37" s="27">
        <f t="shared" si="23"/>
        <v>22183</v>
      </c>
    </row>
    <row r="38" spans="4:37" ht="30" x14ac:dyDescent="0.25">
      <c r="D38" s="27" t="str">
        <f t="shared" si="15"/>
        <v>1 CORE X 300 SQ. MM. AL./ARM (XLPE)  - 11 KV</v>
      </c>
      <c r="E38" s="79">
        <f t="shared" si="16"/>
        <v>2</v>
      </c>
      <c r="F38" s="81">
        <f t="shared" si="17"/>
        <v>0.5</v>
      </c>
      <c r="G38" s="79" t="s">
        <v>266</v>
      </c>
      <c r="H38" s="82">
        <v>70000</v>
      </c>
      <c r="I38" s="93">
        <v>16</v>
      </c>
      <c r="J38" s="79">
        <f t="shared" si="18"/>
        <v>8</v>
      </c>
      <c r="K38" s="79">
        <f t="shared" si="13"/>
        <v>1</v>
      </c>
      <c r="L38" s="79">
        <f t="shared" si="19"/>
        <v>70000</v>
      </c>
      <c r="M38" s="83">
        <f t="shared" si="14"/>
        <v>35000</v>
      </c>
      <c r="N38" s="27" t="str">
        <f t="shared" si="20"/>
        <v>SP0400152</v>
      </c>
      <c r="Y38" s="27">
        <f t="shared" si="21"/>
        <v>2268</v>
      </c>
      <c r="AC38" s="27">
        <v>250</v>
      </c>
      <c r="AE38" s="27">
        <f t="shared" si="22"/>
        <v>1384</v>
      </c>
      <c r="AK38" s="27">
        <f t="shared" si="23"/>
        <v>22144</v>
      </c>
    </row>
    <row r="39" spans="4:37" ht="30" x14ac:dyDescent="0.25">
      <c r="D39" s="27" t="str">
        <f t="shared" si="15"/>
        <v>1 CORE X 185 SQ. MM. AL./ARM (XLPE)  - 11 KV</v>
      </c>
      <c r="E39" s="79">
        <f t="shared" si="16"/>
        <v>4</v>
      </c>
      <c r="F39" s="81">
        <f t="shared" si="17"/>
        <v>0.5</v>
      </c>
      <c r="G39" s="79" t="s">
        <v>266</v>
      </c>
      <c r="H39" s="82">
        <v>70000</v>
      </c>
      <c r="I39" s="81">
        <v>16</v>
      </c>
      <c r="J39" s="79">
        <f t="shared" si="18"/>
        <v>8</v>
      </c>
      <c r="K39" s="79">
        <f t="shared" si="13"/>
        <v>1</v>
      </c>
      <c r="L39" s="79">
        <f t="shared" si="19"/>
        <v>70000</v>
      </c>
      <c r="M39" s="83">
        <f t="shared" si="14"/>
        <v>17500</v>
      </c>
      <c r="N39" s="27" t="str">
        <f t="shared" si="20"/>
        <v>SP0400125</v>
      </c>
      <c r="Y39" s="27">
        <f t="shared" si="21"/>
        <v>1797</v>
      </c>
      <c r="AC39" s="27">
        <v>220</v>
      </c>
      <c r="AE39" s="27">
        <f t="shared" si="22"/>
        <v>1118.5</v>
      </c>
      <c r="AK39" s="27">
        <f t="shared" si="23"/>
        <v>17896</v>
      </c>
    </row>
    <row r="40" spans="4:37" ht="30" x14ac:dyDescent="0.25">
      <c r="D40" s="27" t="str">
        <f t="shared" si="15"/>
        <v>1 CORE X 95 SQ. MM. AL.ARM (XLPE) - 11 KV</v>
      </c>
      <c r="E40" s="79">
        <f t="shared" si="16"/>
        <v>4</v>
      </c>
      <c r="F40" s="81">
        <f t="shared" si="17"/>
        <v>0.5</v>
      </c>
      <c r="G40" s="79" t="s">
        <v>277</v>
      </c>
      <c r="H40" s="82">
        <v>30000</v>
      </c>
      <c r="I40" s="81">
        <v>5</v>
      </c>
      <c r="J40" s="79">
        <f t="shared" si="18"/>
        <v>2.5</v>
      </c>
      <c r="K40" s="79">
        <f t="shared" si="13"/>
        <v>2</v>
      </c>
      <c r="L40" s="79">
        <f t="shared" si="19"/>
        <v>60000</v>
      </c>
      <c r="M40" s="83">
        <f t="shared" si="14"/>
        <v>15000</v>
      </c>
      <c r="N40" s="27" t="str">
        <f t="shared" si="20"/>
        <v>SP0400124</v>
      </c>
      <c r="Y40" s="27">
        <f t="shared" si="21"/>
        <v>1314</v>
      </c>
      <c r="AC40" s="27">
        <v>110</v>
      </c>
      <c r="AE40" s="27">
        <f t="shared" si="22"/>
        <v>767</v>
      </c>
      <c r="AK40" s="27">
        <f t="shared" si="23"/>
        <v>3835</v>
      </c>
    </row>
    <row r="41" spans="4:37" x14ac:dyDescent="0.25">
      <c r="I41" t="s">
        <v>276</v>
      </c>
    </row>
    <row r="42" spans="4:37" x14ac:dyDescent="0.25">
      <c r="D42" s="79">
        <v>1</v>
      </c>
      <c r="E42" s="87" t="s">
        <v>250</v>
      </c>
    </row>
    <row r="43" spans="4:37" x14ac:dyDescent="0.25">
      <c r="D43" s="79">
        <v>2</v>
      </c>
      <c r="E43" s="87" t="s">
        <v>251</v>
      </c>
    </row>
    <row r="44" spans="4:37" x14ac:dyDescent="0.25">
      <c r="D44" s="79">
        <v>3</v>
      </c>
      <c r="E44" s="88" t="s">
        <v>252</v>
      </c>
    </row>
    <row r="45" spans="4:37" x14ac:dyDescent="0.25">
      <c r="D45" s="79">
        <v>4</v>
      </c>
      <c r="E45" s="88" t="s">
        <v>253</v>
      </c>
    </row>
    <row r="46" spans="4:37" x14ac:dyDescent="0.25">
      <c r="D46" s="79">
        <v>5</v>
      </c>
      <c r="E46" s="88" t="s">
        <v>254</v>
      </c>
    </row>
    <row r="47" spans="4:37" x14ac:dyDescent="0.25">
      <c r="D47" s="79">
        <v>6</v>
      </c>
      <c r="E47" s="88" t="s">
        <v>255</v>
      </c>
    </row>
    <row r="48" spans="4:37" x14ac:dyDescent="0.25">
      <c r="D48" s="79">
        <v>7</v>
      </c>
      <c r="E48" s="88" t="s">
        <v>256</v>
      </c>
    </row>
    <row r="49" spans="1:13" x14ac:dyDescent="0.25">
      <c r="D49" s="79">
        <v>8</v>
      </c>
      <c r="E49" s="88" t="s">
        <v>257</v>
      </c>
    </row>
    <row r="51" spans="1:13" ht="15" customHeight="1" x14ac:dyDescent="0.25">
      <c r="D51" s="79">
        <v>1</v>
      </c>
      <c r="E51" s="89" t="s">
        <v>258</v>
      </c>
      <c r="F51" s="90"/>
    </row>
    <row r="52" spans="1:13" ht="15" customHeight="1" x14ac:dyDescent="0.25">
      <c r="D52" s="79">
        <v>2</v>
      </c>
      <c r="E52" s="89" t="s">
        <v>259</v>
      </c>
      <c r="F52" s="90"/>
    </row>
    <row r="53" spans="1:13" ht="15" customHeight="1" x14ac:dyDescent="0.25">
      <c r="D53" s="79">
        <v>3</v>
      </c>
      <c r="E53" s="89" t="s">
        <v>260</v>
      </c>
      <c r="F53" s="90"/>
    </row>
    <row r="54" spans="1:13" ht="17.25" x14ac:dyDescent="0.25">
      <c r="D54" s="79">
        <v>4</v>
      </c>
      <c r="E54" s="91" t="s">
        <v>261</v>
      </c>
      <c r="F54" s="91"/>
    </row>
    <row r="55" spans="1:13" x14ac:dyDescent="0.25">
      <c r="D55" s="79">
        <v>5</v>
      </c>
      <c r="E55" s="89" t="s">
        <v>262</v>
      </c>
      <c r="F55" s="90"/>
    </row>
    <row r="58" spans="1:13" ht="51" x14ac:dyDescent="0.25">
      <c r="A58" s="20" t="s">
        <v>0</v>
      </c>
      <c r="B58" s="20" t="s">
        <v>97</v>
      </c>
      <c r="C58" s="20" t="s">
        <v>1</v>
      </c>
      <c r="D58" s="20" t="s">
        <v>2</v>
      </c>
      <c r="E58" s="5" t="s">
        <v>268</v>
      </c>
      <c r="F58" s="13" t="s">
        <v>269</v>
      </c>
      <c r="G58" s="13" t="s">
        <v>270</v>
      </c>
      <c r="H58" s="6" t="s">
        <v>37</v>
      </c>
      <c r="I58" s="13" t="s">
        <v>38</v>
      </c>
      <c r="J58" s="13" t="s">
        <v>271</v>
      </c>
      <c r="K58" s="13" t="s">
        <v>40</v>
      </c>
      <c r="L58" s="13" t="s">
        <v>41</v>
      </c>
      <c r="M58" s="13" t="s">
        <v>42</v>
      </c>
    </row>
    <row r="59" spans="1:13" x14ac:dyDescent="0.25">
      <c r="A59" s="28"/>
      <c r="B59" s="28"/>
      <c r="C59" s="28"/>
      <c r="D59" s="28"/>
      <c r="E59" s="5"/>
      <c r="F59" s="5"/>
      <c r="G59" s="5"/>
      <c r="H59" s="5"/>
      <c r="I59" s="5"/>
      <c r="J59" s="5"/>
      <c r="K59" s="5"/>
      <c r="L59" s="5"/>
      <c r="M59" s="5"/>
    </row>
    <row r="60" spans="1:13" ht="30" x14ac:dyDescent="0.25">
      <c r="A60" s="1" t="str">
        <f>A19</f>
        <v>ENQ-13992-22-23</v>
      </c>
      <c r="B60" s="48">
        <f>B19</f>
        <v>45548</v>
      </c>
      <c r="C60" s="76" t="str">
        <f>C19</f>
        <v>FA1300091</v>
      </c>
      <c r="D60" s="76" t="str">
        <f>D19</f>
        <v>3 CORE X 300 SQ. MM. AL/ARM - WIRE (XLPE) - 11 KV</v>
      </c>
      <c r="E60" s="3">
        <f>ROUNDUP(E19/1000,2)</f>
        <v>2052.8700000000003</v>
      </c>
      <c r="F60" s="84">
        <f>ROUNDUP(F19/1000,2)</f>
        <v>47.9</v>
      </c>
      <c r="G60" s="9">
        <f t="shared" ref="G60:G69" si="24">E60+F60</f>
        <v>2100.7700000000004</v>
      </c>
      <c r="H60" s="7">
        <f>H19</f>
        <v>0.18</v>
      </c>
      <c r="I60" s="9">
        <f t="shared" ref="I60:I69" si="25">G60*H60</f>
        <v>378.13860000000005</v>
      </c>
      <c r="J60" s="9">
        <f t="shared" ref="J60:J69" si="26">G60+I60</f>
        <v>2478.9086000000007</v>
      </c>
      <c r="K60" s="1">
        <f>K19*1000</f>
        <v>19000</v>
      </c>
      <c r="L60" s="1" t="s">
        <v>272</v>
      </c>
      <c r="M60" s="3">
        <f>J60*K60</f>
        <v>47099263.400000013</v>
      </c>
    </row>
    <row r="61" spans="1:13" ht="30" x14ac:dyDescent="0.25">
      <c r="A61" s="1" t="str">
        <f t="shared" ref="A61:D69" si="27">A20</f>
        <v>ENQ-13992-22-23</v>
      </c>
      <c r="B61" s="48">
        <f t="shared" si="27"/>
        <v>45548</v>
      </c>
      <c r="C61" s="76" t="str">
        <f t="shared" si="27"/>
        <v>FA1300090</v>
      </c>
      <c r="D61" s="76" t="str">
        <f t="shared" si="27"/>
        <v>3 CORE X 185 SQ. MM AL/ARM - WIRE (XLPE) - 11 KV</v>
      </c>
      <c r="E61" s="3">
        <f t="shared" ref="E61:F69" si="28">ROUNDUP(E20/1000,2)</f>
        <v>1533.01</v>
      </c>
      <c r="F61" s="84">
        <f t="shared" si="28"/>
        <v>46.669999999999995</v>
      </c>
      <c r="G61" s="9">
        <f t="shared" si="24"/>
        <v>1579.68</v>
      </c>
      <c r="H61" s="7">
        <f t="shared" ref="H61:H69" si="29">H20</f>
        <v>0.18</v>
      </c>
      <c r="I61" s="9">
        <f t="shared" si="25"/>
        <v>284.3424</v>
      </c>
      <c r="J61" s="9">
        <f t="shared" si="26"/>
        <v>1864.0224000000001</v>
      </c>
      <c r="K61" s="1">
        <f t="shared" ref="K61:K69" si="30">K20*1000</f>
        <v>27000</v>
      </c>
      <c r="L61" s="1" t="s">
        <v>272</v>
      </c>
      <c r="M61" s="3">
        <f t="shared" ref="M61:M69" si="31">J61*K61</f>
        <v>50328604.800000004</v>
      </c>
    </row>
    <row r="62" spans="1:13" ht="30" x14ac:dyDescent="0.25">
      <c r="A62" s="1" t="str">
        <f t="shared" si="27"/>
        <v>ENQ-13992-22-23</v>
      </c>
      <c r="B62" s="48">
        <f t="shared" si="27"/>
        <v>45548</v>
      </c>
      <c r="C62" s="76" t="str">
        <f t="shared" si="27"/>
        <v>FA1300176</v>
      </c>
      <c r="D62" s="76" t="str">
        <f t="shared" si="27"/>
        <v>3 CORE X 150 SQ. MM. AL/ARM - WIRE (XLPE) - 11 KV</v>
      </c>
      <c r="E62" s="3">
        <f t="shared" si="28"/>
        <v>1350.08</v>
      </c>
      <c r="F62" s="84">
        <f t="shared" si="28"/>
        <v>70</v>
      </c>
      <c r="G62" s="9">
        <f t="shared" si="24"/>
        <v>1420.08</v>
      </c>
      <c r="H62" s="7">
        <f t="shared" si="29"/>
        <v>0.18</v>
      </c>
      <c r="I62" s="9">
        <f t="shared" si="25"/>
        <v>255.61439999999999</v>
      </c>
      <c r="J62" s="9">
        <f t="shared" si="26"/>
        <v>1675.6943999999999</v>
      </c>
      <c r="K62" s="1">
        <f t="shared" si="30"/>
        <v>2000</v>
      </c>
      <c r="L62" s="1" t="s">
        <v>272</v>
      </c>
      <c r="M62" s="3">
        <f t="shared" si="31"/>
        <v>3351388.8</v>
      </c>
    </row>
    <row r="63" spans="1:13" ht="30" x14ac:dyDescent="0.25">
      <c r="A63" s="1" t="str">
        <f t="shared" si="27"/>
        <v>ENQ-13992-22-23</v>
      </c>
      <c r="B63" s="48">
        <f t="shared" si="27"/>
        <v>45548</v>
      </c>
      <c r="C63" s="76" t="str">
        <f t="shared" si="27"/>
        <v>FA1300098</v>
      </c>
      <c r="D63" s="76" t="str">
        <f t="shared" si="27"/>
        <v>3 CORE X 95 SQ. MM. AL/ARM - WIRE (XLPE) - 11 KV</v>
      </c>
      <c r="E63" s="3">
        <f t="shared" si="28"/>
        <v>1029.48</v>
      </c>
      <c r="F63" s="84">
        <f t="shared" si="28"/>
        <v>35</v>
      </c>
      <c r="G63" s="9">
        <f t="shared" si="24"/>
        <v>1064.48</v>
      </c>
      <c r="H63" s="7">
        <f t="shared" si="29"/>
        <v>0.18</v>
      </c>
      <c r="I63" s="9">
        <f t="shared" si="25"/>
        <v>191.60640000000001</v>
      </c>
      <c r="J63" s="9">
        <f t="shared" si="26"/>
        <v>1256.0864000000001</v>
      </c>
      <c r="K63" s="1">
        <f t="shared" si="30"/>
        <v>20000</v>
      </c>
      <c r="L63" s="1" t="s">
        <v>272</v>
      </c>
      <c r="M63" s="3">
        <f t="shared" si="31"/>
        <v>25121728.000000004</v>
      </c>
    </row>
    <row r="64" spans="1:13" ht="30" x14ac:dyDescent="0.25">
      <c r="A64" s="1" t="str">
        <f t="shared" si="27"/>
        <v>ENQ-13992-22-23</v>
      </c>
      <c r="B64" s="48">
        <f t="shared" si="27"/>
        <v>45548</v>
      </c>
      <c r="C64" s="76" t="str">
        <f t="shared" si="27"/>
        <v>FA1300066</v>
      </c>
      <c r="D64" s="76" t="str">
        <f t="shared" si="27"/>
        <v>1 CORE X 1000 SQ. MM. AL/ARM (XLPE) - 11 KV</v>
      </c>
      <c r="E64" s="3">
        <f t="shared" si="28"/>
        <v>1583.8</v>
      </c>
      <c r="F64" s="84">
        <f t="shared" si="28"/>
        <v>21</v>
      </c>
      <c r="G64" s="70">
        <f t="shared" si="24"/>
        <v>1604.8</v>
      </c>
      <c r="H64" s="7">
        <f t="shared" si="29"/>
        <v>0.18</v>
      </c>
      <c r="I64" s="70">
        <f t="shared" si="25"/>
        <v>288.86399999999998</v>
      </c>
      <c r="J64" s="70">
        <f t="shared" si="26"/>
        <v>1893.664</v>
      </c>
      <c r="K64" s="1">
        <f t="shared" si="30"/>
        <v>20000</v>
      </c>
      <c r="L64" s="1" t="s">
        <v>272</v>
      </c>
      <c r="M64" s="69">
        <f t="shared" si="31"/>
        <v>37873280</v>
      </c>
    </row>
    <row r="65" spans="1:13" ht="30" x14ac:dyDescent="0.25">
      <c r="A65" s="1" t="str">
        <f t="shared" si="27"/>
        <v>ENQ-13992-22-23</v>
      </c>
      <c r="B65" s="48">
        <f t="shared" si="27"/>
        <v>45548</v>
      </c>
      <c r="C65" s="76" t="str">
        <f t="shared" si="27"/>
        <v>FA1300016</v>
      </c>
      <c r="D65" s="76" t="str">
        <f t="shared" si="27"/>
        <v>1 CORE X 630 SQ. MM. AL/ARM (XLPE)  - 11 KV</v>
      </c>
      <c r="E65" s="3">
        <f t="shared" si="28"/>
        <v>1020.28</v>
      </c>
      <c r="F65" s="84">
        <f t="shared" si="28"/>
        <v>23.34</v>
      </c>
      <c r="G65" s="9">
        <f t="shared" si="24"/>
        <v>1043.6199999999999</v>
      </c>
      <c r="H65" s="7">
        <f t="shared" si="29"/>
        <v>0.18</v>
      </c>
      <c r="I65" s="9">
        <f t="shared" si="25"/>
        <v>187.85159999999996</v>
      </c>
      <c r="J65" s="9">
        <f t="shared" si="26"/>
        <v>1231.4715999999999</v>
      </c>
      <c r="K65" s="1">
        <f t="shared" si="30"/>
        <v>3000</v>
      </c>
      <c r="L65" s="1" t="s">
        <v>272</v>
      </c>
      <c r="M65" s="3">
        <f t="shared" si="31"/>
        <v>3694414.7999999993</v>
      </c>
    </row>
    <row r="66" spans="1:13" ht="30" x14ac:dyDescent="0.25">
      <c r="A66" s="1" t="str">
        <f t="shared" si="27"/>
        <v>ENQ-13992-22-23</v>
      </c>
      <c r="B66" s="48">
        <f t="shared" si="27"/>
        <v>45548</v>
      </c>
      <c r="C66" s="76" t="str">
        <f t="shared" si="27"/>
        <v>FA1300047</v>
      </c>
      <c r="D66" s="76" t="str">
        <f t="shared" si="27"/>
        <v>1 CORE X 400 SQ. MM. AL/ARM (XLPE) - 11 KV</v>
      </c>
      <c r="E66" s="3">
        <f t="shared" si="28"/>
        <v>767.08</v>
      </c>
      <c r="F66" s="84">
        <f t="shared" si="28"/>
        <v>70</v>
      </c>
      <c r="G66" s="9">
        <f t="shared" si="24"/>
        <v>837.08</v>
      </c>
      <c r="H66" s="7">
        <f t="shared" si="29"/>
        <v>0.18</v>
      </c>
      <c r="I66" s="9">
        <f t="shared" si="25"/>
        <v>150.67439999999999</v>
      </c>
      <c r="J66" s="9">
        <f t="shared" si="26"/>
        <v>987.75440000000003</v>
      </c>
      <c r="K66" s="1">
        <f t="shared" si="30"/>
        <v>1000</v>
      </c>
      <c r="L66" s="1" t="s">
        <v>272</v>
      </c>
      <c r="M66" s="3">
        <f t="shared" si="31"/>
        <v>987754.4</v>
      </c>
    </row>
    <row r="67" spans="1:13" ht="30" x14ac:dyDescent="0.25">
      <c r="A67" s="1" t="str">
        <f t="shared" si="27"/>
        <v>ENQ-13992-22-23</v>
      </c>
      <c r="B67" s="48">
        <f t="shared" si="27"/>
        <v>45548</v>
      </c>
      <c r="C67" s="76" t="str">
        <f t="shared" si="27"/>
        <v>FA1300009</v>
      </c>
      <c r="D67" s="76" t="str">
        <f t="shared" si="27"/>
        <v>1 CORE X 300 SQ. MM. AL./ARM (XLPE)  - 11 KV</v>
      </c>
      <c r="E67" s="3">
        <f t="shared" si="28"/>
        <v>639.9</v>
      </c>
      <c r="F67" s="84">
        <f t="shared" si="28"/>
        <v>35</v>
      </c>
      <c r="G67" s="9">
        <f t="shared" si="24"/>
        <v>674.9</v>
      </c>
      <c r="H67" s="7">
        <f t="shared" si="29"/>
        <v>0.18</v>
      </c>
      <c r="I67" s="9">
        <f t="shared" si="25"/>
        <v>121.48199999999999</v>
      </c>
      <c r="J67" s="9">
        <f t="shared" si="26"/>
        <v>796.38199999999995</v>
      </c>
      <c r="K67" s="1">
        <f t="shared" si="30"/>
        <v>2000</v>
      </c>
      <c r="L67" s="1" t="s">
        <v>272</v>
      </c>
      <c r="M67" s="3">
        <f t="shared" si="31"/>
        <v>1592764</v>
      </c>
    </row>
    <row r="68" spans="1:13" ht="30" x14ac:dyDescent="0.25">
      <c r="A68" s="1" t="str">
        <f t="shared" si="27"/>
        <v>ENQ-13992-22-23</v>
      </c>
      <c r="B68" s="48">
        <f t="shared" si="27"/>
        <v>45548</v>
      </c>
      <c r="C68" s="76" t="str">
        <f t="shared" si="27"/>
        <v>FA1300020</v>
      </c>
      <c r="D68" s="76" t="str">
        <f t="shared" si="27"/>
        <v>1 CORE X 185 SQ. MM. AL./ARM (XLPE)  - 11 KV</v>
      </c>
      <c r="E68" s="3">
        <f t="shared" si="28"/>
        <v>511.21</v>
      </c>
      <c r="F68" s="84">
        <f t="shared" si="28"/>
        <v>17.5</v>
      </c>
      <c r="G68" s="61">
        <f t="shared" si="24"/>
        <v>528.71</v>
      </c>
      <c r="H68" s="7">
        <f t="shared" si="29"/>
        <v>0.18</v>
      </c>
      <c r="I68" s="61">
        <f t="shared" si="25"/>
        <v>95.1678</v>
      </c>
      <c r="J68" s="61">
        <f t="shared" si="26"/>
        <v>623.87779999999998</v>
      </c>
      <c r="K68" s="1">
        <f t="shared" si="30"/>
        <v>4000</v>
      </c>
      <c r="L68" s="1" t="s">
        <v>272</v>
      </c>
      <c r="M68" s="60">
        <f t="shared" si="31"/>
        <v>2495511.1999999997</v>
      </c>
    </row>
    <row r="69" spans="1:13" ht="30" x14ac:dyDescent="0.25">
      <c r="A69" s="1" t="str">
        <f t="shared" si="27"/>
        <v>ENQ-13992-22-23</v>
      </c>
      <c r="B69" s="48">
        <f t="shared" si="27"/>
        <v>45548</v>
      </c>
      <c r="C69" s="76" t="str">
        <f t="shared" si="27"/>
        <v>FA1300075</v>
      </c>
      <c r="D69" s="76" t="str">
        <f t="shared" si="27"/>
        <v>1 CORE X 95 SQ. MM. AL.ARM (XLPE) - 11 KV</v>
      </c>
      <c r="E69" s="3">
        <f t="shared" si="28"/>
        <v>368.21999999999997</v>
      </c>
      <c r="F69" s="84">
        <f t="shared" si="28"/>
        <v>15</v>
      </c>
      <c r="G69" s="61">
        <f t="shared" si="24"/>
        <v>383.21999999999997</v>
      </c>
      <c r="H69" s="7">
        <f t="shared" si="29"/>
        <v>0.18</v>
      </c>
      <c r="I69" s="61">
        <f t="shared" si="25"/>
        <v>68.979599999999991</v>
      </c>
      <c r="J69" s="61">
        <f t="shared" si="26"/>
        <v>452.19959999999998</v>
      </c>
      <c r="K69" s="1">
        <f t="shared" si="30"/>
        <v>4000</v>
      </c>
      <c r="L69" s="1" t="s">
        <v>272</v>
      </c>
      <c r="M69" s="60">
        <f t="shared" si="31"/>
        <v>1808798.4</v>
      </c>
    </row>
    <row r="70" spans="1:13" x14ac:dyDescent="0.25">
      <c r="M70" s="112">
        <f>SUM(M60:M69)</f>
        <v>174353507.80000001</v>
      </c>
    </row>
  </sheetData>
  <mergeCells count="19">
    <mergeCell ref="B8:R8"/>
    <mergeCell ref="B9:R9"/>
    <mergeCell ref="B10:R10"/>
    <mergeCell ref="A2:R2"/>
    <mergeCell ref="AL16:AR16"/>
    <mergeCell ref="B11:R11"/>
    <mergeCell ref="B12:R12"/>
    <mergeCell ref="B13:R13"/>
    <mergeCell ref="B14:R14"/>
    <mergeCell ref="B4:R4"/>
    <mergeCell ref="B5:R5"/>
    <mergeCell ref="B6:R6"/>
    <mergeCell ref="B7:R7"/>
    <mergeCell ref="AS16:BB16"/>
    <mergeCell ref="N16:R16"/>
    <mergeCell ref="S16:T16"/>
    <mergeCell ref="U16:AB16"/>
    <mergeCell ref="AC16:AD16"/>
    <mergeCell ref="AE16:AJ1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E175-424C-416A-AC47-5076E48A7E0E}">
  <sheetPr>
    <pageSetUpPr fitToPage="1"/>
  </sheetPr>
  <dimension ref="D8:I18"/>
  <sheetViews>
    <sheetView topLeftCell="A2" workbookViewId="0">
      <selection activeCell="D8" sqref="D8:I18"/>
    </sheetView>
  </sheetViews>
  <sheetFormatPr defaultRowHeight="15" x14ac:dyDescent="0.25"/>
  <cols>
    <col min="1" max="3" width="9.140625" style="94"/>
    <col min="4" max="4" width="47.42578125" style="94" bestFit="1" customWidth="1"/>
    <col min="5" max="5" width="55.140625" style="94" bestFit="1" customWidth="1"/>
    <col min="6" max="6" width="11.85546875" style="94" customWidth="1"/>
    <col min="7" max="16384" width="9.140625" style="94"/>
  </cols>
  <sheetData>
    <row r="8" spans="4:9" ht="45" x14ac:dyDescent="0.25">
      <c r="D8" s="95"/>
      <c r="E8" s="95"/>
      <c r="F8" s="96" t="s">
        <v>274</v>
      </c>
      <c r="G8" s="96" t="s">
        <v>263</v>
      </c>
      <c r="H8" s="96" t="s">
        <v>275</v>
      </c>
      <c r="I8" s="96" t="s">
        <v>273</v>
      </c>
    </row>
    <row r="9" spans="4:9" x14ac:dyDescent="0.25">
      <c r="D9" s="95" t="s">
        <v>192</v>
      </c>
      <c r="E9" s="95" t="s">
        <v>198</v>
      </c>
      <c r="F9" s="95">
        <v>250</v>
      </c>
      <c r="G9" s="95">
        <v>10736</v>
      </c>
      <c r="H9" s="95">
        <v>82</v>
      </c>
      <c r="I9" s="95">
        <v>6</v>
      </c>
    </row>
    <row r="10" spans="4:9" x14ac:dyDescent="0.25">
      <c r="D10" s="95" t="s">
        <v>200</v>
      </c>
      <c r="E10" s="95" t="s">
        <v>202</v>
      </c>
      <c r="F10" s="95">
        <v>250</v>
      </c>
      <c r="G10" s="95">
        <v>8328</v>
      </c>
      <c r="H10" s="95">
        <v>72</v>
      </c>
      <c r="I10" s="95">
        <v>6</v>
      </c>
    </row>
    <row r="11" spans="4:9" x14ac:dyDescent="0.25">
      <c r="D11" s="95" t="s">
        <v>204</v>
      </c>
      <c r="E11" s="95" t="s">
        <v>208</v>
      </c>
      <c r="F11" s="95">
        <v>250</v>
      </c>
      <c r="G11" s="95">
        <v>7413</v>
      </c>
      <c r="H11" s="95">
        <v>68</v>
      </c>
      <c r="I11" s="95">
        <v>6</v>
      </c>
    </row>
    <row r="12" spans="4:9" x14ac:dyDescent="0.25">
      <c r="D12" s="95" t="s">
        <v>206</v>
      </c>
      <c r="E12" s="95" t="s">
        <v>235</v>
      </c>
      <c r="F12" s="95">
        <v>250</v>
      </c>
      <c r="G12" s="95">
        <v>5527</v>
      </c>
      <c r="H12" s="95">
        <v>60</v>
      </c>
      <c r="I12" s="95">
        <v>8</v>
      </c>
    </row>
    <row r="13" spans="4:9" x14ac:dyDescent="0.25">
      <c r="D13" s="95" t="s">
        <v>210</v>
      </c>
      <c r="E13" s="95" t="s">
        <v>212</v>
      </c>
      <c r="F13" s="95">
        <v>500</v>
      </c>
      <c r="G13" s="95">
        <v>5563</v>
      </c>
      <c r="H13" s="95">
        <v>63</v>
      </c>
      <c r="I13" s="95">
        <v>8</v>
      </c>
    </row>
    <row r="14" spans="4:9" x14ac:dyDescent="0.25">
      <c r="D14" s="95" t="s">
        <v>214</v>
      </c>
      <c r="E14" s="95" t="s">
        <v>216</v>
      </c>
      <c r="F14" s="95">
        <v>500</v>
      </c>
      <c r="G14" s="95">
        <v>3586</v>
      </c>
      <c r="H14" s="95">
        <v>51</v>
      </c>
      <c r="I14" s="95">
        <v>8</v>
      </c>
    </row>
    <row r="15" spans="4:9" x14ac:dyDescent="0.25">
      <c r="D15" s="95" t="s">
        <v>218</v>
      </c>
      <c r="E15" s="95" t="s">
        <v>220</v>
      </c>
      <c r="F15" s="95">
        <v>500</v>
      </c>
      <c r="G15" s="95">
        <v>2729</v>
      </c>
      <c r="H15" s="95">
        <v>45</v>
      </c>
      <c r="I15" s="95">
        <v>16</v>
      </c>
    </row>
    <row r="16" spans="4:9" x14ac:dyDescent="0.25">
      <c r="D16" s="95" t="s">
        <v>222</v>
      </c>
      <c r="E16" s="95" t="s">
        <v>224</v>
      </c>
      <c r="F16" s="95">
        <v>500</v>
      </c>
      <c r="G16" s="95">
        <v>2268</v>
      </c>
      <c r="H16" s="95">
        <v>41.5</v>
      </c>
      <c r="I16" s="95">
        <v>16</v>
      </c>
    </row>
    <row r="17" spans="4:9" x14ac:dyDescent="0.25">
      <c r="D17" s="95" t="s">
        <v>226</v>
      </c>
      <c r="E17" s="95" t="s">
        <v>220</v>
      </c>
      <c r="F17" s="95">
        <v>500</v>
      </c>
      <c r="G17" s="95">
        <v>1797</v>
      </c>
      <c r="H17" s="95">
        <v>37</v>
      </c>
      <c r="I17" s="95">
        <v>16</v>
      </c>
    </row>
    <row r="18" spans="4:9" x14ac:dyDescent="0.25">
      <c r="D18" s="95" t="s">
        <v>228</v>
      </c>
      <c r="E18" s="95" t="s">
        <v>249</v>
      </c>
      <c r="F18" s="95">
        <v>500</v>
      </c>
      <c r="G18" s="95">
        <v>1314</v>
      </c>
      <c r="H18" s="95">
        <v>32.5</v>
      </c>
      <c r="I18" s="95">
        <v>16</v>
      </c>
    </row>
  </sheetData>
  <pageMargins left="0.7" right="0.7" top="0.75" bottom="0.75" header="0.3" footer="0.3"/>
  <pageSetup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Sheet2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2024-09-14T05:56:30Z</cp:lastPrinted>
  <dcterms:created xsi:type="dcterms:W3CDTF">2021-04-03T12:13:55Z</dcterms:created>
  <dcterms:modified xsi:type="dcterms:W3CDTF">2024-09-16T05:12:59Z</dcterms:modified>
</cp:coreProperties>
</file>