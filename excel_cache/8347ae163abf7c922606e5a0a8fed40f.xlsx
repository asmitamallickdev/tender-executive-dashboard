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4-25\08_AUGUST 2024\NBPDCL-PR-29-11KV3CX120+95-13482\"/>
    </mc:Choice>
  </mc:AlternateContent>
  <xr:revisionPtr revIDLastSave="0" documentId="13_ncr:1_{6311D0B0-7D4B-4936-BCCE-736E1C6C7D78}" xr6:coauthVersionLast="47" xr6:coauthVersionMax="47" xr10:uidLastSave="{00000000-0000-0000-0000-000000000000}"/>
  <bookViews>
    <workbookView xWindow="0" yWindow="6930" windowWidth="28800" windowHeight="8610" activeTab="1" xr2:uid="{00000000-000D-0000-FFFF-FFFF00000000}"/>
  </bookViews>
  <sheets>
    <sheet name="Sheet1" sheetId="1" r:id="rId1"/>
    <sheet name="AUTO CALCULATION SHEET (2)" sheetId="4" r:id="rId2"/>
    <sheet name="HT ABC" sheetId="5"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22" i="5" l="1"/>
  <c r="AP22" i="5"/>
  <c r="AN22" i="5"/>
  <c r="AG22" i="5"/>
  <c r="AF22" i="5"/>
  <c r="AE22" i="5"/>
  <c r="AD22" i="5"/>
  <c r="AC22" i="5"/>
  <c r="AB22" i="5"/>
  <c r="AA22" i="5"/>
  <c r="Z22" i="5"/>
  <c r="Y22" i="5"/>
  <c r="X22" i="5"/>
  <c r="D25" i="4"/>
  <c r="AE21" i="4" l="1"/>
  <c r="AC21" i="4"/>
  <c r="AA21" i="4"/>
  <c r="T21" i="4"/>
  <c r="T17" i="4"/>
  <c r="AO22" i="5"/>
  <c r="AI21" i="5"/>
  <c r="AM22" i="5"/>
  <c r="AL22" i="5"/>
  <c r="AK22" i="5"/>
  <c r="AJ22" i="5"/>
  <c r="AI22" i="5"/>
  <c r="AH22" i="5"/>
  <c r="AM20" i="5"/>
  <c r="AL20" i="5"/>
  <c r="AK20" i="5"/>
  <c r="AJ20" i="5"/>
  <c r="AI20" i="5"/>
  <c r="AH20" i="5"/>
  <c r="A16" i="5"/>
  <c r="A22" i="5" s="1"/>
  <c r="I22" i="5"/>
  <c r="E21" i="4" l="1"/>
  <c r="J21" i="4"/>
  <c r="K21" i="4" l="1"/>
  <c r="M21" i="4" s="1"/>
  <c r="BY16" i="4"/>
  <c r="B16" i="4"/>
  <c r="BV16" i="4"/>
  <c r="BW16" i="4"/>
  <c r="BX16" i="4"/>
  <c r="O17" i="4"/>
  <c r="P17" i="4"/>
  <c r="Q17" i="4"/>
  <c r="R17" i="4"/>
  <c r="S17" i="4"/>
  <c r="U17" i="4"/>
  <c r="V17" i="4"/>
  <c r="W17" i="4"/>
  <c r="X17" i="4"/>
  <c r="Y17" i="4"/>
  <c r="Z17" i="4"/>
  <c r="AB17" i="4"/>
  <c r="AD17" i="4"/>
  <c r="AF17" i="4"/>
  <c r="AG17" i="4"/>
  <c r="AH17" i="4"/>
  <c r="AI17" i="4"/>
  <c r="AJ17" i="4"/>
  <c r="AK17" i="4"/>
  <c r="AL17" i="4"/>
  <c r="AM17" i="4"/>
  <c r="AN17" i="4"/>
  <c r="AO17" i="4"/>
  <c r="AP17" i="4"/>
  <c r="AQ17" i="4"/>
  <c r="AR17" i="4"/>
  <c r="AS17" i="4"/>
  <c r="AT17" i="4"/>
  <c r="AU17" i="4"/>
  <c r="AV17" i="4"/>
  <c r="AW17" i="4"/>
  <c r="AX17" i="4"/>
  <c r="AY17" i="4"/>
  <c r="AZ17" i="4"/>
  <c r="BA17" i="4"/>
  <c r="BB17" i="4"/>
  <c r="BC17" i="4"/>
  <c r="BD17" i="4"/>
  <c r="BE17" i="4"/>
  <c r="BF17" i="4"/>
  <c r="BG17" i="4"/>
  <c r="BI17" i="4"/>
  <c r="BJ17" i="4"/>
  <c r="BK17" i="4"/>
  <c r="BL17" i="4"/>
  <c r="BM17" i="4"/>
  <c r="BN17" i="4"/>
  <c r="BO17" i="4"/>
  <c r="BP17" i="4"/>
  <c r="BQ17" i="4"/>
  <c r="BR17" i="4"/>
  <c r="BS17" i="4"/>
  <c r="BT17" i="4"/>
  <c r="BU17" i="4"/>
  <c r="L21" i="4" l="1"/>
  <c r="F18" i="4"/>
  <c r="B18" i="4"/>
  <c r="BX18" i="4" l="1"/>
  <c r="BW18" i="4"/>
  <c r="BV18" i="4"/>
  <c r="AB18" i="4" l="1"/>
  <c r="Z18" i="4"/>
  <c r="Y18" i="4"/>
  <c r="X18" i="4"/>
  <c r="W18" i="4"/>
  <c r="V18" i="4"/>
  <c r="U18" i="4"/>
  <c r="S18" i="4"/>
  <c r="BU18" i="4"/>
  <c r="BT18" i="4"/>
  <c r="BS18" i="4"/>
  <c r="BR18" i="4"/>
  <c r="BQ18" i="4"/>
  <c r="BP18" i="4"/>
  <c r="BO18" i="4"/>
  <c r="BN18" i="4"/>
  <c r="BM18" i="4"/>
  <c r="BL18" i="4"/>
  <c r="BK18" i="4"/>
  <c r="BJ18" i="4"/>
  <c r="BI18" i="4"/>
  <c r="BG18" i="4"/>
  <c r="BF18" i="4"/>
  <c r="BE18" i="4"/>
  <c r="BD18" i="4"/>
  <c r="BC18" i="4"/>
  <c r="BB18" i="4"/>
  <c r="BA18" i="4"/>
  <c r="AZ18" i="4"/>
  <c r="AY18" i="4"/>
  <c r="AX18" i="4"/>
  <c r="AW18" i="4"/>
  <c r="AV18" i="4"/>
  <c r="AU18" i="4"/>
  <c r="AT18" i="4"/>
  <c r="AS18" i="4"/>
  <c r="AR18" i="4"/>
  <c r="AQ18" i="4"/>
  <c r="AP18" i="4"/>
  <c r="AO18" i="4"/>
  <c r="AN18" i="4"/>
  <c r="AM18" i="4"/>
  <c r="AL18" i="4"/>
  <c r="AK18" i="4"/>
  <c r="AJ18" i="4"/>
  <c r="AI18" i="4"/>
  <c r="AH18" i="4"/>
  <c r="AG18" i="4"/>
  <c r="AF18" i="4"/>
  <c r="AD18" i="4"/>
  <c r="R18" i="4" l="1"/>
  <c r="Q18" i="4"/>
  <c r="P18" i="4"/>
  <c r="O18" i="4"/>
  <c r="N15" i="4"/>
  <c r="L18" i="4"/>
  <c r="K18" i="4"/>
  <c r="H18" i="4"/>
  <c r="CB18" i="4"/>
  <c r="BZ18" i="4"/>
  <c r="D18" i="4"/>
  <c r="C18" i="4"/>
  <c r="A18" i="4"/>
  <c r="CA18" i="4" l="1"/>
  <c r="CC18" i="4" l="1"/>
  <c r="CE18" i="4"/>
  <c r="CG18" i="4"/>
  <c r="CH18" i="4" l="1"/>
  <c r="CJ18" i="4" l="1"/>
  <c r="CL18" i="4"/>
  <c r="E18" i="4" l="1"/>
  <c r="B16" i="5" s="1"/>
  <c r="W22" i="5" s="1"/>
  <c r="AR22" i="5" s="1"/>
  <c r="AV22" i="5" s="1"/>
  <c r="G18" i="4" l="1"/>
  <c r="I18" i="4" s="1"/>
  <c r="J18" i="4" s="1"/>
  <c r="M18" i="4" l="1"/>
  <c r="F25" i="4"/>
  <c r="G2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0" authorId="0" shapeId="0" xr:uid="{E4A89484-93F8-41EA-8A67-C663DE62CB4C}">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<sst xmlns="http://schemas.openxmlformats.org/spreadsheetml/2006/main" count="318" uniqueCount="249">
  <si>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</si>
  <si>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</si>
  <si>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</si>
  <si>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</si>
  <si>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</si>
  <si>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</si>
  <si>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</si>
  <si>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</si>
  <si>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</si>
  <si>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</si>
  <si>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</si>
  <si>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</si>
  <si>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</si>
  <si>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</si>
  <si>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</si>
  <si>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</si>
  <si>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</si>
  <si>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</si>
  <si>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</si>
  <si>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</si>
  <si>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</si>
  <si>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</si>
  <si>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</si>
  <si>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</si>
  <si>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</si>
  <si>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</si>
  <si>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</si>
  <si>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</si>
  <si>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</si>
  <si>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</si>
  <si>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</si>
  <si>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</si>
  <si>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</si>
  <si>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</si>
  <si>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</si>
  <si>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</si>
  <si>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</si>
  <si>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</si>
  <si>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</si>
  <si>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</si>
  <si>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</si>
  <si>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</si>
  <si>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</si>
  <si>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</si>
  <si>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</si>
  <si>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</si>
  <si>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</si>
  <si>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</si>
  <si>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</si>
  <si>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</si>
  <si>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</si>
  <si>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</si>
  <si>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</si>
  <si>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</si>
  <si>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</si>
  <si>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</si>
  <si>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</si>
  <si>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</si>
  <si>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</si>
  <si>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</si>
  <si>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</si>
  <si>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</si>
  <si>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</si>
  <si>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</si>
  <si>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</si>
  <si>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</si>
  <si>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</si>
  <si>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</si>
  <si>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</si>
  <si>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</si>
  <si>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</si>
  <si>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</si>
  <si>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</si>
  <si>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</si>
  <si>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</si>
  <si>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</si>
  <si>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</si>
  <si>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</si>
  <si>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</si>
  <si>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</si>
  <si>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</si>
  <si>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</si>
  <si>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</si>
  <si>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</si>
  <si>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</si>
  <si>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</si>
  <si>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</si>
  <si>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</si>
  <si>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</si>
  <si>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</si>
  <si>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</si>
  <si>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</si>
  <si>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</si>
  <si>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</si>
  <si>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</si>
  <si>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</si>
  <si>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</si>
  <si>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</si>
  <si>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</si>
  <si>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</si>
  <si>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</si>
  <si>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</si>
  <si>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</si>
  <si>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</si>
  <si>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</si>
  <si>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</si>
  <si>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</si>
  <si>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</si>
  <si>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</si>
  <si>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</si>
  <si>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</si>
  <si>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</si>
  <si>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</si>
  <si>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</si>
  <si>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</si>
  <si>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</si>
  <si>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</si>
  <si>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</si>
  <si>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</si>
  <si>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</si>
  <si>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</si>
  <si>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</si>
  <si>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</si>
  <si>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</si>
  <si>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</si>
  <si>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</si>
  <si>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</si>
  <si>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</si>
  <si>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</si>
  <si>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</si>
  <si>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</si>
  <si>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</si>
  <si>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Technical Specification</t>
  </si>
  <si>
    <t>Base Date</t>
  </si>
  <si>
    <t>PROPOSE DRUM TYPE</t>
  </si>
  <si>
    <t>DRUM CODE</t>
  </si>
  <si>
    <t>DRUM SIZE (FxbXtx Ft)</t>
  </si>
  <si>
    <t>NORTH BIHAR POWER DISTRIBUTION CO. LTD</t>
  </si>
  <si>
    <t>11 kV AB Cable [3CX120 Sq mm+1Cx95 Sq mm]</t>
  </si>
  <si>
    <t>NITNO-29/PR/NBPDCL/2024</t>
  </si>
  <si>
    <t>Not mention.</t>
  </si>
  <si>
    <t xml:space="preserve">Price Variation for AB Cable shall be applicable as per current IEEMA circulars and indices for respective items as applicable on the final date of submission of bid. </t>
  </si>
  <si>
    <t>The tenderers should specify the validity period of their offer which should be for a minimum period of 180 days from the last date of submission of bid.</t>
  </si>
  <si>
    <t>The material are required to be delivered within 04 (Four) months from the date of issue of Purchase Order as per the following delivery schedule. 
Within 2 (two) months 	-  at least 30 % of the ordered quantity
During 3rd(Third) month - at least 35 % of the ordered quantity
During 4th(Fourth) month - at least 35 % of the ordered quantity
Early delivery shall be preferred. The proforma for schedule of delivery is enclosed with the Tender; Tenderers are requested to fill up the proforma giving a clear schedule of month wise delivery capability.</t>
  </si>
  <si>
    <t>i. 75% payment along with full amount of taxes, duties and freight keeping 10% retention money &amp; 15% against type test report, on submission of triplicate copy of bills with all relevant documents (Sample check list) enclosed in annexure by the vendor after receipt of the material / equipment in good condition. After successful completion of delivery of entire order or modified quantity as decided during its delivery schedule, 10 % retention money may be released after deduction of penalty.
ii. 15% of bill amount shall be keep back up to submission of type test report. This 15% keep back amount shall be released against the submission of equivalent amount of BG. 
iii. Payment will be released normally within 15 working days from the date of submission of bill along with all required relevant document(s) to Sr. Manager (Finance), NBPDCL/SBPDCL.</t>
  </si>
  <si>
    <t>Material shall be delivered suitably packed in metallic drum (non-returnable basis as per ISS).The standard length of bunched cable in each drum should be 500 m (+/- 10%).  It should be robust enough for rough handling during transportation by Rail/Road. Further it is to clarify here that all the charges towards packing, forwarding, loading, unloading etc shall be borne by the supplier.</t>
  </si>
  <si>
    <t>13.08.2024 up to 18:00 hrs.</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</si>
  <si>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</si>
  <si>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</si>
  <si>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</si>
  <si>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</si>
  <si>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</si>
  <si>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</si>
  <si>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</si>
  <si>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</si>
  <si>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</si>
  <si>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</si>
  <si>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</si>
  <si>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</si>
  <si>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</si>
  <si>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</si>
  <si>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</si>
  <si>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</si>
  <si>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</si>
  <si>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</si>
  <si>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</si>
  <si>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ENQ-13482-22-23</t>
  </si>
  <si>
    <t>FA0400001</t>
  </si>
  <si>
    <t>3 CORE X 120 SQ MM + 1 CORE X 95 SQ MM (AB CABLES) (BARE) - 11 KV</t>
  </si>
  <si>
    <t>WOOD</t>
  </si>
  <si>
    <t>Alumimium Alloy</t>
  </si>
  <si>
    <t>Extruded Semiconductive</t>
  </si>
  <si>
    <t>PE-ST-7</t>
  </si>
  <si>
    <t>KMS</t>
  </si>
  <si>
    <t>MD0100027</t>
  </si>
  <si>
    <t>DRUM - 76 X 40 X 38 X 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</si>
  <si>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</si>
  <si>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</si>
  <si>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</si>
  <si>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</si>
  <si>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</si>
  <si>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</si>
  <si>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</si>
  <si>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</si>
  <si>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</si>
  <si>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</si>
  <si>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 = Po + AIph*n* (Al – Alo)+ AIm (Al – Alo)+ AIsl (Al – Alo)+CCFAIph*n*(CC-CCo)+CCFAIm(CC-CCo)+ CCFAIsl(CC-CCo)
P = Po + AIph*n* (Al – Alo)+ AIm (Al – Alo)+ CUFtph*n*(Cu – Cuo)+CCF1AIph*n*(CC-CCo)+CCF2AIph*n*(PVCC-PVCCo)+ CCFAIm(CC-CCo)</t>
  </si>
  <si>
    <t>PV Terms()</t>
  </si>
  <si>
    <t>PV FORMULA (IEEMA)</t>
  </si>
  <si>
    <t xml:space="preserve">P = Po + AIph*n* (Al – Alo)+ AIm (Al – Alo)+ AIsl (Al – Alo)+CCFAIph*n*(CC-CCo)+CCFAIm(CC-CCo)+ CCFAIsl(CC-CCo)
</t>
  </si>
  <si>
    <t>n</t>
  </si>
  <si>
    <t>No. of Phase Conductor</t>
  </si>
  <si>
    <t xml:space="preserve">Alph </t>
  </si>
  <si>
    <t>Aluminium factor for phase conductor</t>
  </si>
  <si>
    <t>Alm</t>
  </si>
  <si>
    <t>Aluminium factor for messenger conductor</t>
  </si>
  <si>
    <t>CCFAIph</t>
  </si>
  <si>
    <t>XLPE factor for phase conductor</t>
  </si>
  <si>
    <t>CCFAIm</t>
  </si>
  <si>
    <t>XLPE factor for messenger conductor (For bare messenger,XLPE factor CCFAIm=0)</t>
  </si>
  <si>
    <t>Item</t>
  </si>
  <si>
    <t>Ex-Work</t>
  </si>
  <si>
    <t>Calculation part</t>
  </si>
  <si>
    <t>Date of Inspection</t>
  </si>
  <si>
    <t>Applicable Date</t>
  </si>
  <si>
    <t>BASE DATE</t>
  </si>
  <si>
    <t>FACTORS</t>
  </si>
  <si>
    <t>Ex-Work
Po</t>
  </si>
  <si>
    <t>PVC of Al</t>
  </si>
  <si>
    <t>PVC of AlM</t>
  </si>
  <si>
    <t>PVC of Alsl</t>
  </si>
  <si>
    <t>PVC of CUFtph</t>
  </si>
  <si>
    <t xml:space="preserve">PVC of CCFAIph </t>
  </si>
  <si>
    <t>PVC of CCFAIm</t>
  </si>
  <si>
    <t>PVC of CCFAIsl</t>
  </si>
  <si>
    <t>PVC of CCFAlph</t>
  </si>
  <si>
    <t>PV/PKM</t>
  </si>
  <si>
    <t>Billing Price/PKM</t>
  </si>
  <si>
    <r>
      <t>VALUE ADDITION CALCULATION</t>
    </r>
    <r>
      <rPr>
        <b/>
        <sz val="10"/>
        <color indexed="10"/>
        <rFont val="Arial"/>
        <family val="2"/>
      </rPr>
      <t xml:space="preserve"> WITH RESPECT TO PERCENTAGE</t>
    </r>
  </si>
  <si>
    <t>Date</t>
  </si>
  <si>
    <t>Al</t>
  </si>
  <si>
    <t>Cu</t>
  </si>
  <si>
    <t>CC</t>
  </si>
  <si>
    <t>Alo</t>
  </si>
  <si>
    <t>Cuo</t>
  </si>
  <si>
    <t>Cco</t>
  </si>
  <si>
    <t>Alsl</t>
  </si>
  <si>
    <t>CUFtph</t>
  </si>
  <si>
    <t>CCFAIsl</t>
  </si>
  <si>
    <t>CCFAlph</t>
  </si>
  <si>
    <t>RMC</t>
  </si>
  <si>
    <t>Drum</t>
  </si>
  <si>
    <t>RMC+Drum</t>
  </si>
  <si>
    <t>VA</t>
  </si>
  <si>
    <t>Groos VA%</t>
  </si>
  <si>
    <t>Mfg %</t>
  </si>
  <si>
    <t>Int %</t>
  </si>
  <si>
    <t>Ins%</t>
  </si>
  <si>
    <t>Net VA %</t>
  </si>
  <si>
    <t>PEST7o</t>
  </si>
  <si>
    <t>PEST7</t>
  </si>
  <si>
    <t>Provisional</t>
  </si>
  <si>
    <t>CABLES WEIGHT KG/KM</t>
  </si>
  <si>
    <t>DRUM WEIGHT</t>
  </si>
  <si>
    <t>CABLE+DRUM WEIGHT</t>
  </si>
  <si>
    <t>TRUCK WEIGHT</t>
  </si>
  <si>
    <t>AS PER COSTING SHEET</t>
  </si>
  <si>
    <t>%</t>
  </si>
  <si>
    <t>ESTIMATED COST (inclusive GST)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</si>
</sst>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00%"/>
    <numFmt numFmtId="166" formatCode="0.0000"/>
    <numFmt numFmtId="167" formatCode="&quot;Rs. &quot;#,##0.00"/>
    <numFmt numFmtId="168" formatCode="&quot;Rs.&quot;#,##0"/>
    <numFmt numFmtId="169" formatCode="0.0"/>
    <numFmt numFmtId="170" formatCode="0.000"/>
    <numFmt numFmtId="171" formatCode="0.00000"/>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sz val="11"/>
      <color rgb="FFFF0000"/>
      <name val="Calibri"/>
      <family val="2"/>
      <scheme val="minor"/>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10"/>
      <color indexed="10"/>
      <name val="Arial"/>
      <family val="2"/>
    </font>
    <font>
      <sz val="10"/>
      <color rgb="FF000000"/>
      <name val="Calibri"/>
      <family val="2"/>
      <scheme val="minor"/>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26">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8" fillId="5" borderId="0" xfId="0" applyFont="1" applyFill="1" applyAlignment="1">
      <alignment vertical="center"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16" fillId="0" borderId="0" xfId="4" applyFont="1" applyAlignment="1">
      <alignment horizontal="center" wrapText="1"/>
    </xf>
    <xf numFmtId="0" fontId="16" fillId="0" borderId="0" xfId="4" applyFont="1"/>
    <xf numFmtId="0" fontId="17" fillId="0" borderId="0" xfId="6" applyFont="1"/>
    <xf numFmtId="0" fontId="11" fillId="0" borderId="0" xfId="4"/>
    <xf numFmtId="0" fontId="0" fillId="0" borderId="0" xfId="0" applyAlignment="1">
      <alignment horizontal="center" wrapText="1"/>
    </xf>
    <xf numFmtId="0" fontId="18" fillId="0" borderId="1" xfId="4" applyFont="1" applyBorder="1" applyAlignment="1">
      <alignment horizontal="center" vertical="center"/>
    </xf>
    <xf numFmtId="0" fontId="11" fillId="0" borderId="0" xfId="4" applyAlignment="1">
      <alignment horizontal="center" vertical="center"/>
    </xf>
    <xf numFmtId="0" fontId="17" fillId="0" borderId="0" xfId="4" applyFont="1" applyAlignment="1">
      <alignment horizontal="center"/>
    </xf>
    <xf numFmtId="0" fontId="19" fillId="0" borderId="1" xfId="4" applyFont="1" applyBorder="1" applyAlignment="1">
      <alignment horizontal="center" vertical="center" wrapText="1"/>
    </xf>
    <xf numFmtId="0" fontId="16" fillId="0" borderId="0" xfId="4" applyFont="1" applyAlignment="1">
      <alignment horizontal="center"/>
    </xf>
    <xf numFmtId="0" fontId="17" fillId="0" borderId="0" xfId="6" applyFont="1" applyAlignment="1">
      <alignment horizontal="center"/>
    </xf>
    <xf numFmtId="0" fontId="11" fillId="0" borderId="0" xfId="4" applyAlignment="1">
      <alignment horizontal="center"/>
    </xf>
    <xf numFmtId="0" fontId="16" fillId="0" borderId="0" xfId="4" applyFont="1" applyAlignment="1">
      <alignment horizontal="center" vertical="center"/>
    </xf>
    <xf numFmtId="0" fontId="16" fillId="0" borderId="0" xfId="4" applyFont="1" applyAlignment="1">
      <alignment vertical="center"/>
    </xf>
    <xf numFmtId="0" fontId="0" fillId="0" borderId="1" xfId="0" applyBorder="1" applyAlignment="1">
      <alignment horizontal="center" vertical="center"/>
    </xf>
    <xf numFmtId="0" fontId="17" fillId="0" borderId="1" xfId="4" applyFont="1" applyBorder="1" applyAlignment="1">
      <alignment horizontal="center" vertical="center" wrapText="1"/>
    </xf>
    <xf numFmtId="0" fontId="2" fillId="0" borderId="10"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166" fontId="16" fillId="0" borderId="0" xfId="4" applyNumberFormat="1" applyFont="1" applyAlignment="1">
      <alignment vertical="center"/>
    </xf>
    <xf numFmtId="0" fontId="18" fillId="0" borderId="1" xfId="4" applyFont="1" applyBorder="1" applyAlignment="1">
      <alignment horizontal="center"/>
    </xf>
    <xf numFmtId="0" fontId="16" fillId="0" borderId="1" xfId="4" applyFont="1" applyBorder="1" applyAlignment="1">
      <alignment horizontal="center" vertical="center"/>
    </xf>
    <xf numFmtId="0" fontId="11" fillId="0" borderId="1" xfId="4" applyBorder="1" applyAlignment="1">
      <alignment horizontal="center" vertical="center" wrapText="1"/>
    </xf>
    <xf numFmtId="167" fontId="16" fillId="0" borderId="1" xfId="4" applyNumberFormat="1" applyFont="1" applyBorder="1" applyAlignment="1">
      <alignment horizontal="center" vertical="center"/>
    </xf>
    <xf numFmtId="14" fontId="17" fillId="0" borderId="0" xfId="4" applyNumberFormat="1" applyFont="1" applyAlignment="1">
      <alignment horizontal="center"/>
    </xf>
    <xf numFmtId="0" fontId="16" fillId="0" borderId="4" xfId="6" applyFont="1" applyBorder="1" applyAlignment="1">
      <alignment horizontal="center" vertical="center" wrapText="1"/>
    </xf>
    <xf numFmtId="0" fontId="16" fillId="0" borderId="2" xfId="6" applyFont="1" applyBorder="1" applyAlignment="1">
      <alignment horizontal="center" vertical="center" wrapText="1"/>
    </xf>
    <xf numFmtId="0" fontId="20" fillId="0" borderId="6" xfId="6" applyFont="1" applyBorder="1" applyAlignment="1">
      <alignment horizontal="center" vertical="center" wrapText="1"/>
    </xf>
    <xf numFmtId="0" fontId="20" fillId="0" borderId="1" xfId="6" applyFont="1" applyBorder="1" applyAlignment="1">
      <alignment horizontal="center" vertical="center" wrapText="1"/>
    </xf>
    <xf numFmtId="0" fontId="12" fillId="0" borderId="1" xfId="6" applyBorder="1" applyAlignment="1">
      <alignment horizontal="center" vertical="center" wrapText="1"/>
    </xf>
    <xf numFmtId="0" fontId="20" fillId="0" borderId="22" xfId="6" applyFont="1" applyBorder="1" applyAlignment="1">
      <alignment horizontal="center" vertical="center" wrapText="1"/>
    </xf>
    <xf numFmtId="0" fontId="11" fillId="0" borderId="20" xfId="4" applyBorder="1"/>
    <xf numFmtId="0" fontId="17" fillId="0" borderId="21" xfId="6" applyFont="1" applyBorder="1"/>
    <xf numFmtId="0" fontId="17" fillId="0" borderId="6" xfId="6" applyFont="1" applyBorder="1" applyAlignment="1">
      <alignment horizontal="left" vertical="center" wrapText="1"/>
    </xf>
    <xf numFmtId="14" fontId="17" fillId="0" borderId="1" xfId="6" applyNumberFormat="1" applyFont="1" applyBorder="1" applyAlignment="1">
      <alignment horizontal="center" vertical="center" wrapText="1"/>
    </xf>
    <xf numFmtId="14" fontId="17" fillId="0" borderId="22" xfId="6" applyNumberFormat="1" applyFont="1" applyBorder="1" applyAlignment="1">
      <alignment horizontal="center" vertical="center" wrapText="1"/>
    </xf>
    <xf numFmtId="14" fontId="17" fillId="0" borderId="6" xfId="6" applyNumberFormat="1" applyFont="1" applyBorder="1" applyAlignment="1">
      <alignment horizontal="center" vertical="center" wrapText="1"/>
    </xf>
    <xf numFmtId="2" fontId="16" fillId="0" borderId="4" xfId="6" applyNumberFormat="1" applyFont="1" applyBorder="1" applyAlignment="1">
      <alignment horizontal="center" vertical="center" wrapText="1"/>
    </xf>
    <xf numFmtId="2" fontId="16" fillId="0" borderId="2" xfId="6" applyNumberFormat="1" applyFont="1" applyBorder="1" applyAlignment="1">
      <alignment horizontal="center" vertical="center" wrapText="1"/>
    </xf>
    <xf numFmtId="2" fontId="16" fillId="0" borderId="26" xfId="6" applyNumberFormat="1" applyFont="1" applyBorder="1" applyAlignment="1">
      <alignment horizontal="center" vertical="center" wrapText="1"/>
    </xf>
    <xf numFmtId="0" fontId="16" fillId="0" borderId="29" xfId="6" applyFont="1" applyBorder="1" applyAlignment="1">
      <alignment horizontal="center" vertical="center" wrapText="1"/>
    </xf>
    <xf numFmtId="0" fontId="16" fillId="0" borderId="0" xfId="6" applyFont="1" applyAlignment="1">
      <alignment horizontal="center" vertical="center" wrapText="1"/>
    </xf>
    <xf numFmtId="0" fontId="17" fillId="0" borderId="20" xfId="6" applyFont="1" applyBorder="1" applyAlignment="1">
      <alignment horizontal="center" vertical="center" wrapText="1"/>
    </xf>
    <xf numFmtId="168" fontId="20" fillId="0" borderId="3" xfId="6" applyNumberFormat="1" applyFont="1" applyBorder="1" applyAlignment="1">
      <alignment horizontal="center" vertical="center" wrapText="1"/>
    </xf>
    <xf numFmtId="168" fontId="20" fillId="0" borderId="6" xfId="6" applyNumberFormat="1" applyFont="1" applyBorder="1" applyAlignment="1">
      <alignment horizontal="center"/>
    </xf>
    <xf numFmtId="168" fontId="20" fillId="0" borderId="1" xfId="6" applyNumberFormat="1" applyFont="1" applyBorder="1" applyAlignment="1">
      <alignment horizontal="center"/>
    </xf>
    <xf numFmtId="1" fontId="12" fillId="0" borderId="1" xfId="6" applyNumberFormat="1" applyBorder="1"/>
    <xf numFmtId="1" fontId="20" fillId="0" borderId="1" xfId="6" applyNumberFormat="1" applyFont="1" applyBorder="1"/>
    <xf numFmtId="1" fontId="12" fillId="0" borderId="1" xfId="6" applyNumberFormat="1" applyBorder="1" applyAlignment="1">
      <alignment horizontal="center"/>
    </xf>
    <xf numFmtId="0" fontId="12" fillId="0" borderId="1" xfId="6" applyBorder="1"/>
    <xf numFmtId="0" fontId="11" fillId="0" borderId="22" xfId="4" applyBorder="1"/>
    <xf numFmtId="0" fontId="11" fillId="0" borderId="2" xfId="4" applyBorder="1" applyAlignment="1">
      <alignment horizontal="center" wrapText="1"/>
    </xf>
    <xf numFmtId="0" fontId="11" fillId="0" borderId="11" xfId="4" applyBorder="1" applyAlignment="1">
      <alignment wrapText="1"/>
    </xf>
    <xf numFmtId="14" fontId="17" fillId="0" borderId="30" xfId="6" applyNumberFormat="1" applyFont="1" applyBorder="1" applyAlignment="1">
      <alignment horizontal="center" vertical="center" wrapText="1"/>
    </xf>
    <xf numFmtId="169" fontId="17" fillId="0" borderId="1" xfId="6" applyNumberFormat="1" applyFont="1" applyBorder="1" applyAlignment="1">
      <alignment horizontal="center" vertical="center" wrapText="1"/>
    </xf>
    <xf numFmtId="169" fontId="17" fillId="0" borderId="22" xfId="6" applyNumberFormat="1" applyFont="1" applyBorder="1" applyAlignment="1">
      <alignment horizontal="center" vertical="center" wrapText="1"/>
    </xf>
    <xf numFmtId="14" fontId="16" fillId="9" borderId="6" xfId="6" applyNumberFormat="1" applyFont="1" applyFill="1" applyBorder="1" applyAlignment="1">
      <alignment horizontal="center" vertical="center" wrapText="1"/>
    </xf>
    <xf numFmtId="170" fontId="17" fillId="0" borderId="4" xfId="6" applyNumberFormat="1" applyFont="1" applyBorder="1" applyAlignment="1">
      <alignment horizontal="center" vertical="center" wrapText="1"/>
    </xf>
    <xf numFmtId="170" fontId="17" fillId="0" borderId="2" xfId="6" applyNumberFormat="1" applyFont="1" applyBorder="1" applyAlignment="1">
      <alignment horizontal="center" vertical="center" wrapText="1"/>
    </xf>
    <xf numFmtId="2" fontId="17" fillId="0" borderId="26" xfId="6" applyNumberFormat="1" applyFont="1" applyBorder="1" applyAlignment="1">
      <alignment horizontal="center" vertical="center" wrapText="1"/>
    </xf>
    <xf numFmtId="166" fontId="17" fillId="0" borderId="4" xfId="6" applyNumberFormat="1" applyFont="1" applyBorder="1" applyAlignment="1">
      <alignment vertical="center" wrapText="1"/>
    </xf>
    <xf numFmtId="166" fontId="17" fillId="0" borderId="3" xfId="6" applyNumberFormat="1" applyFont="1" applyBorder="1" applyAlignment="1">
      <alignment vertical="center" wrapText="1"/>
    </xf>
    <xf numFmtId="2" fontId="17" fillId="10" borderId="26" xfId="6" applyNumberFormat="1" applyFont="1" applyFill="1" applyBorder="1" applyAlignment="1">
      <alignment horizontal="center" vertical="center" wrapText="1"/>
    </xf>
    <xf numFmtId="2" fontId="12" fillId="0" borderId="3" xfId="6" applyNumberForma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22" fillId="0" borderId="1" xfId="0" applyFont="1" applyBorder="1" applyAlignment="1">
      <alignment horizontal="center" vertical="center" wrapText="1"/>
    </xf>
    <xf numFmtId="2" fontId="20" fillId="0" borderId="1" xfId="6" applyNumberFormat="1" applyFont="1" applyBorder="1" applyAlignment="1">
      <alignment vertical="center" wrapText="1"/>
    </xf>
    <xf numFmtId="2" fontId="12" fillId="0" borderId="1" xfId="6" applyNumberFormat="1" applyBorder="1" applyAlignment="1">
      <alignment vertical="center" wrapText="1"/>
    </xf>
    <xf numFmtId="10" fontId="20" fillId="11" borderId="1" xfId="2" applyNumberFormat="1" applyFont="1" applyFill="1" applyBorder="1" applyAlignment="1">
      <alignment vertical="center" wrapText="1"/>
    </xf>
    <xf numFmtId="10" fontId="12" fillId="0" borderId="1" xfId="2" applyNumberFormat="1" applyFont="1" applyFill="1" applyBorder="1" applyAlignment="1">
      <alignment vertical="center" wrapText="1"/>
    </xf>
    <xf numFmtId="10" fontId="18" fillId="0" borderId="22" xfId="2" applyNumberFormat="1" applyFont="1" applyBorder="1" applyAlignment="1">
      <alignment vertical="center" wrapText="1"/>
    </xf>
    <xf numFmtId="164" fontId="11" fillId="0" borderId="0" xfId="1" applyFont="1" applyAlignment="1">
      <alignment wrapText="1"/>
    </xf>
    <xf numFmtId="0" fontId="11" fillId="0" borderId="0" xfId="4" applyAlignment="1">
      <alignment wrapText="1"/>
    </xf>
    <xf numFmtId="0" fontId="11" fillId="0" borderId="31" xfId="4" applyBorder="1" applyAlignment="1">
      <alignment wrapText="1"/>
    </xf>
    <xf numFmtId="14" fontId="17" fillId="0" borderId="32" xfId="6" applyNumberFormat="1" applyFont="1" applyBorder="1" applyAlignment="1">
      <alignment horizontal="center" vertical="center" wrapText="1"/>
    </xf>
    <xf numFmtId="14" fontId="17" fillId="0" borderId="33" xfId="6" applyNumberFormat="1" applyFont="1" applyBorder="1" applyAlignment="1">
      <alignment horizontal="center" vertical="center" wrapText="1"/>
    </xf>
    <xf numFmtId="2" fontId="17" fillId="0" borderId="34" xfId="6" applyNumberFormat="1" applyFont="1" applyBorder="1" applyAlignment="1">
      <alignment horizontal="center" vertical="center" wrapText="1"/>
    </xf>
    <xf numFmtId="2" fontId="17" fillId="0" borderId="35" xfId="6" applyNumberFormat="1" applyFont="1" applyBorder="1" applyAlignment="1">
      <alignment horizontal="center" vertical="center" wrapText="1"/>
    </xf>
    <xf numFmtId="2" fontId="17" fillId="0" borderId="33" xfId="6" applyNumberFormat="1" applyFont="1" applyBorder="1" applyAlignment="1">
      <alignment horizontal="center" vertical="center" wrapText="1"/>
    </xf>
    <xf numFmtId="169" fontId="17" fillId="0" borderId="34" xfId="6" applyNumberFormat="1" applyFont="1" applyBorder="1" applyAlignment="1">
      <alignment horizontal="center" vertical="center" wrapText="1"/>
    </xf>
    <xf numFmtId="169" fontId="17" fillId="0" borderId="35" xfId="6" applyNumberFormat="1" applyFont="1" applyBorder="1" applyAlignment="1">
      <alignment horizontal="center" vertical="center" wrapText="1"/>
    </xf>
    <xf numFmtId="2" fontId="17" fillId="0" borderId="36" xfId="6" applyNumberFormat="1" applyFont="1" applyBorder="1" applyAlignment="1">
      <alignment horizontal="center" vertical="center" wrapText="1"/>
    </xf>
    <xf numFmtId="2" fontId="17" fillId="0" borderId="37" xfId="6" applyNumberFormat="1" applyFont="1" applyBorder="1" applyAlignment="1">
      <alignment horizontal="center" vertical="center" wrapText="1"/>
    </xf>
    <xf numFmtId="2" fontId="17" fillId="0" borderId="38" xfId="6" applyNumberFormat="1" applyFont="1" applyBorder="1" applyAlignment="1">
      <alignment horizontal="center" vertical="center" wrapText="1"/>
    </xf>
    <xf numFmtId="171" fontId="17" fillId="0" borderId="36" xfId="6" applyNumberFormat="1" applyFont="1" applyBorder="1" applyAlignment="1">
      <alignment vertical="center" wrapText="1"/>
    </xf>
    <xf numFmtId="171" fontId="17" fillId="0" borderId="39" xfId="6" applyNumberFormat="1" applyFont="1" applyBorder="1" applyAlignment="1">
      <alignment vertical="center" wrapText="1"/>
    </xf>
    <xf numFmtId="2" fontId="17" fillId="0" borderId="31" xfId="6" applyNumberFormat="1" applyFont="1" applyBorder="1" applyAlignment="1">
      <alignment horizontal="center" vertical="center" wrapText="1"/>
    </xf>
    <xf numFmtId="0" fontId="11" fillId="0" borderId="40" xfId="4" applyBorder="1" applyAlignment="1">
      <alignment wrapText="1"/>
    </xf>
    <xf numFmtId="0" fontId="11" fillId="0" borderId="33" xfId="4" applyBorder="1" applyAlignment="1">
      <alignment wrapText="1"/>
    </xf>
    <xf numFmtId="0" fontId="11" fillId="0" borderId="34" xfId="4" applyBorder="1" applyAlignment="1">
      <alignment wrapText="1"/>
    </xf>
    <xf numFmtId="0" fontId="11" fillId="0" borderId="35" xfId="4" applyBorder="1" applyAlignment="1">
      <alignment wrapText="1"/>
    </xf>
    <xf numFmtId="0" fontId="18" fillId="0" borderId="0" xfId="4" applyFont="1"/>
    <xf numFmtId="169" fontId="23" fillId="0" borderId="1" xfId="6" applyNumberFormat="1" applyFont="1" applyBorder="1" applyAlignment="1">
      <alignment horizontal="center" vertical="center" wrapText="1"/>
    </xf>
    <xf numFmtId="0" fontId="2"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2" fillId="0" borderId="0" xfId="0" applyFont="1"/>
    <xf numFmtId="164" fontId="2" fillId="0" borderId="0" xfId="1" applyFont="1" applyAlignment="1">
      <alignment wrapText="1"/>
    </xf>
    <xf numFmtId="0" fontId="2" fillId="0" borderId="0" xfId="0" applyFont="1" applyAlignment="1">
      <alignment wrapText="1"/>
    </xf>
    <xf numFmtId="164" fontId="2" fillId="0" borderId="0" xfId="1" applyFont="1"/>
    <xf numFmtId="43" fontId="2" fillId="0" borderId="0" xfId="0" applyNumberFormat="1" applyFont="1"/>
    <xf numFmtId="2" fontId="2" fillId="0" borderId="0" xfId="0" applyNumberFormat="1" applyFont="1"/>
    <xf numFmtId="0" fontId="0" fillId="0" borderId="1" xfId="0" applyBorder="1" applyAlignment="1">
      <alignment horizontal="center" vertical="center" wrapText="1"/>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6" fillId="0" borderId="17" xfId="6" applyFont="1" applyBorder="1" applyAlignment="1">
      <alignment horizontal="center" vertical="center" wrapText="1"/>
    </xf>
    <xf numFmtId="0" fontId="16" fillId="0" borderId="26" xfId="6" applyFont="1" applyBorder="1" applyAlignment="1">
      <alignment horizontal="center" vertical="center" wrapText="1"/>
    </xf>
    <xf numFmtId="0" fontId="16" fillId="0" borderId="15" xfId="6" applyFont="1" applyBorder="1" applyAlignment="1">
      <alignment horizontal="center" vertical="center" wrapText="1"/>
    </xf>
    <xf numFmtId="0" fontId="16" fillId="0" borderId="27" xfId="6" applyFont="1" applyBorder="1" applyAlignment="1">
      <alignment horizontal="center" vertical="center" wrapText="1"/>
    </xf>
    <xf numFmtId="0" fontId="16" fillId="0" borderId="23" xfId="6" applyFont="1" applyBorder="1" applyAlignment="1">
      <alignment horizontal="center" vertical="center" wrapText="1"/>
    </xf>
    <xf numFmtId="0" fontId="20" fillId="0" borderId="5" xfId="6" applyFont="1" applyBorder="1" applyAlignment="1">
      <alignment horizontal="center" vertical="center"/>
    </xf>
    <xf numFmtId="0" fontId="20" fillId="0" borderId="13" xfId="6" applyFont="1" applyBorder="1" applyAlignment="1">
      <alignment horizontal="center" vertical="center"/>
    </xf>
    <xf numFmtId="0" fontId="20" fillId="0" borderId="14" xfId="6" applyFont="1" applyBorder="1" applyAlignment="1">
      <alignment horizontal="center" vertical="center"/>
    </xf>
    <xf numFmtId="0" fontId="20" fillId="0" borderId="6" xfId="6" applyFont="1" applyBorder="1" applyAlignment="1">
      <alignment horizontal="center" vertical="center"/>
    </xf>
    <xf numFmtId="0" fontId="20" fillId="0" borderId="1" xfId="6" applyFont="1" applyBorder="1" applyAlignment="1">
      <alignment horizontal="center" vertical="center"/>
    </xf>
    <xf numFmtId="0" fontId="20" fillId="0" borderId="22" xfId="6" applyFont="1" applyBorder="1" applyAlignment="1">
      <alignment horizontal="center" vertical="center"/>
    </xf>
    <xf numFmtId="0" fontId="16" fillId="0" borderId="6" xfId="6" applyFont="1" applyBorder="1" applyAlignment="1">
      <alignment horizontal="center" vertical="center" wrapText="1"/>
    </xf>
    <xf numFmtId="0" fontId="16" fillId="0" borderId="1" xfId="6" applyFont="1" applyBorder="1" applyAlignment="1">
      <alignment horizontal="center" vertical="center" wrapText="1"/>
    </xf>
    <xf numFmtId="0" fontId="16" fillId="0" borderId="22" xfId="6" applyFont="1" applyBorder="1" applyAlignment="1">
      <alignment horizontal="center" vertical="center" wrapText="1"/>
    </xf>
    <xf numFmtId="0" fontId="16" fillId="0" borderId="13" xfId="6" applyFont="1" applyBorder="1" applyAlignment="1">
      <alignment horizontal="center" vertical="center" wrapText="1"/>
    </xf>
    <xf numFmtId="0" fontId="16" fillId="0" borderId="19" xfId="6" applyFont="1" applyBorder="1" applyAlignment="1">
      <alignment horizontal="center" vertical="center" wrapText="1"/>
    </xf>
    <xf numFmtId="0" fontId="16" fillId="0" borderId="2" xfId="6" applyFont="1" applyBorder="1" applyAlignment="1">
      <alignment horizontal="center" vertical="center" wrapText="1"/>
    </xf>
    <xf numFmtId="0" fontId="11" fillId="0" borderId="0" xfId="4" applyAlignment="1">
      <alignment horizontal="center"/>
    </xf>
    <xf numFmtId="0" fontId="18" fillId="0" borderId="11" xfId="4" applyFont="1" applyBorder="1" applyAlignment="1">
      <alignment horizontal="center" vertical="center"/>
    </xf>
    <xf numFmtId="0" fontId="18" fillId="0" borderId="20" xfId="4" applyFont="1" applyBorder="1" applyAlignment="1">
      <alignment horizontal="center" vertical="center"/>
    </xf>
    <xf numFmtId="0" fontId="18" fillId="0" borderId="28" xfId="4" applyFont="1" applyBorder="1" applyAlignment="1">
      <alignment horizontal="center" vertical="center"/>
    </xf>
    <xf numFmtId="0" fontId="18" fillId="0" borderId="11" xfId="4" applyFont="1" applyBorder="1" applyAlignment="1">
      <alignment horizontal="center" vertical="center" wrapText="1"/>
    </xf>
    <xf numFmtId="0" fontId="18" fillId="0" borderId="20" xfId="4" applyFont="1" applyBorder="1" applyAlignment="1">
      <alignment horizontal="center" vertical="center" wrapText="1"/>
    </xf>
    <xf numFmtId="0" fontId="18" fillId="0" borderId="28" xfId="4" applyFont="1" applyBorder="1" applyAlignment="1">
      <alignment horizontal="center" vertical="center" wrapText="1"/>
    </xf>
    <xf numFmtId="0" fontId="16" fillId="0" borderId="12" xfId="6" applyFont="1" applyBorder="1" applyAlignment="1">
      <alignment horizontal="center" vertical="center" wrapText="1"/>
    </xf>
    <xf numFmtId="0" fontId="16" fillId="0" borderId="21" xfId="6" applyFont="1" applyBorder="1" applyAlignment="1">
      <alignment horizontal="center" vertical="center" wrapText="1"/>
    </xf>
    <xf numFmtId="0" fontId="16" fillId="0" borderId="25" xfId="6" applyFont="1" applyBorder="1" applyAlignment="1">
      <alignment horizontal="center" vertical="center" wrapText="1"/>
    </xf>
    <xf numFmtId="0" fontId="16" fillId="0" borderId="5" xfId="6" applyFont="1" applyBorder="1" applyAlignment="1">
      <alignment horizontal="center" vertical="center" wrapText="1"/>
    </xf>
    <xf numFmtId="0" fontId="16" fillId="0" borderId="14" xfId="6" applyFont="1" applyBorder="1" applyAlignment="1">
      <alignment horizontal="center" vertical="center" wrapText="1"/>
    </xf>
    <xf numFmtId="0" fontId="16" fillId="0" borderId="16" xfId="6" applyFont="1" applyBorder="1" applyAlignment="1">
      <alignment horizontal="center" vertical="center" wrapText="1"/>
    </xf>
    <xf numFmtId="0" fontId="16" fillId="0" borderId="24" xfId="6" applyFont="1" applyBorder="1" applyAlignment="1">
      <alignment horizontal="center" vertical="center" wrapText="1"/>
    </xf>
    <xf numFmtId="0" fontId="16" fillId="0" borderId="18" xfId="6" applyFont="1" applyBorder="1" applyAlignment="1">
      <alignment horizontal="center" vertical="center" wrapText="1"/>
    </xf>
    <xf numFmtId="0" fontId="16" fillId="0" borderId="4" xfId="6" applyFont="1" applyBorder="1" applyAlignment="1">
      <alignment horizontal="center" vertical="center" wrapText="1"/>
    </xf>
    <xf numFmtId="0" fontId="16" fillId="0" borderId="2" xfId="4" applyFont="1" applyBorder="1" applyAlignment="1">
      <alignment horizontal="center" vertical="center" wrapText="1"/>
    </xf>
    <xf numFmtId="0" fontId="16" fillId="0" borderId="3" xfId="4" applyFont="1" applyBorder="1" applyAlignment="1">
      <alignment horizontal="center" vertical="center" wrapText="1"/>
    </xf>
    <xf numFmtId="0" fontId="16" fillId="0" borderId="4" xfId="4" applyFont="1" applyBorder="1" applyAlignment="1">
      <alignment horizontal="center" vertical="center" wrapText="1"/>
    </xf>
    <xf numFmtId="0" fontId="2" fillId="0" borderId="1" xfId="0" applyFont="1" applyBorder="1" applyAlignment="1">
      <alignment horizontal="center" wrapText="1"/>
    </xf>
    <xf numFmtId="14" fontId="18" fillId="8" borderId="1" xfId="4" applyNumberFormat="1" applyFont="1" applyFill="1" applyBorder="1" applyAlignment="1">
      <alignment horizontal="center" vertical="center"/>
    </xf>
    <xf numFmtId="0" fontId="18" fillId="8" borderId="1" xfId="4" applyFont="1" applyFill="1" applyBorder="1" applyAlignment="1">
      <alignment horizontal="center" vertical="center"/>
    </xf>
    <xf numFmtId="0" fontId="10" fillId="0" borderId="1" xfId="4" applyFont="1" applyBorder="1" applyAlignment="1">
      <alignment horizontal="left" vertical="center" wrapText="1"/>
    </xf>
    <xf numFmtId="0" fontId="16" fillId="0" borderId="1" xfId="4" applyFont="1" applyBorder="1" applyAlignment="1">
      <alignment horizontal="left" vertical="center" wrapText="1"/>
    </xf>
    <xf numFmtId="0" fontId="15" fillId="0" borderId="0" xfId="4" applyFont="1" applyAlignment="1">
      <alignment horizontal="left" vertical="center" wrapText="1"/>
    </xf>
    <xf numFmtId="0" fontId="16" fillId="0" borderId="1" xfId="4" applyFont="1" applyBorder="1" applyAlignment="1">
      <alignment horizontal="center"/>
    </xf>
    <xf numFmtId="0" fontId="16" fillId="0" borderId="1" xfId="4" applyFont="1" applyBorder="1" applyAlignment="1">
      <alignment horizont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activeCell="AL2" sqref="AL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133</v>
      </c>
      <c r="C1" t="s">
        <v>1</v>
      </c>
      <c r="D1" t="s">
        <v>2</v>
      </c>
      <c r="E1" t="s">
        <v>134</v>
      </c>
      <c r="F1" t="s">
        <v>3</v>
      </c>
      <c r="G1" t="s">
        <v>147</v>
      </c>
      <c r="H1" t="s">
        <v>4</v>
      </c>
      <c r="I1" t="s">
        <v>5</v>
      </c>
      <c r="J1" t="s">
        <v>6</v>
      </c>
      <c r="K1" t="s">
        <v>148</v>
      </c>
      <c r="L1" t="s">
        <v>7</v>
      </c>
      <c r="M1" t="s">
        <v>8</v>
      </c>
      <c r="N1" t="s">
        <v>9</v>
      </c>
      <c r="O1" t="s">
        <v>149</v>
      </c>
      <c r="P1" t="s">
        <v>10</v>
      </c>
      <c r="Q1" t="s">
        <v>11</v>
      </c>
      <c r="R1" t="s">
        <v>12</v>
      </c>
      <c r="S1" t="s">
        <v>150</v>
      </c>
      <c r="T1" t="s">
        <v>13</v>
      </c>
      <c r="U1" t="s">
        <v>14</v>
      </c>
      <c r="V1" t="s">
        <v>15</v>
      </c>
      <c r="W1" t="s">
        <v>151</v>
      </c>
      <c r="X1" t="s">
        <v>16</v>
      </c>
      <c r="Y1" t="s">
        <v>17</v>
      </c>
      <c r="Z1" t="s">
        <v>18</v>
      </c>
      <c r="AA1" t="s">
        <v>152</v>
      </c>
      <c r="AB1" t="s">
        <v>19</v>
      </c>
      <c r="AC1" t="s">
        <v>20</v>
      </c>
      <c r="AD1" t="s">
        <v>21</v>
      </c>
      <c r="AE1" t="s">
        <v>153</v>
      </c>
      <c r="AF1" t="s">
        <v>22</v>
      </c>
      <c r="AG1" t="s">
        <v>23</v>
      </c>
      <c r="AH1" t="s">
        <v>24</v>
      </c>
      <c r="AI1" t="s">
        <v>154</v>
      </c>
      <c r="AJ1" t="s">
        <v>25</v>
      </c>
      <c r="AK1" t="s">
        <v>26</v>
      </c>
      <c r="AL1" t="s">
        <v>27</v>
      </c>
      <c r="AM1" t="s">
        <v>155</v>
      </c>
      <c r="AN1" t="s">
        <v>28</v>
      </c>
      <c r="AO1" t="s">
        <v>29</v>
      </c>
      <c r="AP1" t="s">
        <v>30</v>
      </c>
      <c r="AQ1" t="s">
        <v>156</v>
      </c>
      <c r="AR1" t="s">
        <v>31</v>
      </c>
      <c r="AS1" t="s">
        <v>32</v>
      </c>
      <c r="AT1" t="s">
        <v>33</v>
      </c>
      <c r="AU1" t="s">
        <v>157</v>
      </c>
      <c r="AV1" t="s">
        <v>34</v>
      </c>
      <c r="AW1" t="s">
        <v>35</v>
      </c>
      <c r="AX1" t="s">
        <v>36</v>
      </c>
      <c r="AY1" t="s">
        <v>158</v>
      </c>
      <c r="AZ1" t="s">
        <v>37</v>
      </c>
      <c r="BA1" t="s">
        <v>38</v>
      </c>
      <c r="BB1" t="s">
        <v>39</v>
      </c>
      <c r="BC1" t="s">
        <v>159</v>
      </c>
      <c r="BD1" t="s">
        <v>40</v>
      </c>
      <c r="BE1" t="s">
        <v>41</v>
      </c>
      <c r="BF1" t="s">
        <v>42</v>
      </c>
      <c r="BG1" t="s">
        <v>160</v>
      </c>
      <c r="BH1" t="s">
        <v>43</v>
      </c>
      <c r="BI1" t="s">
        <v>44</v>
      </c>
      <c r="BJ1" t="s">
        <v>45</v>
      </c>
      <c r="BK1" t="s">
        <v>161</v>
      </c>
      <c r="BL1" t="s">
        <v>46</v>
      </c>
      <c r="BM1" t="s">
        <v>47</v>
      </c>
      <c r="BN1" t="s">
        <v>48</v>
      </c>
      <c r="BO1" t="s">
        <v>162</v>
      </c>
      <c r="BP1" t="s">
        <v>49</v>
      </c>
      <c r="BQ1" t="s">
        <v>50</v>
      </c>
      <c r="BR1" t="s">
        <v>51</v>
      </c>
      <c r="BS1" t="s">
        <v>163</v>
      </c>
      <c r="BT1" t="s">
        <v>52</v>
      </c>
      <c r="BU1" t="s">
        <v>53</v>
      </c>
      <c r="BV1" t="s">
        <v>54</v>
      </c>
      <c r="BW1" t="s">
        <v>164</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135</v>
      </c>
      <c r="CW1" t="s">
        <v>136</v>
      </c>
      <c r="CX1" t="s">
        <v>165</v>
      </c>
    </row>
    <row r="2" spans="1:102" x14ac:dyDescent="0.25">
      <c r="A2" t="s">
        <v>166</v>
      </c>
      <c r="B2" s="55">
        <v>45474</v>
      </c>
      <c r="C2" t="s">
        <v>167</v>
      </c>
      <c r="D2" t="s">
        <v>168</v>
      </c>
      <c r="E2" t="s">
        <v>169</v>
      </c>
      <c r="F2" t="s">
        <v>114</v>
      </c>
      <c r="G2">
        <v>998</v>
      </c>
      <c r="H2">
        <v>123.586</v>
      </c>
      <c r="I2">
        <v>123338.83</v>
      </c>
      <c r="J2" t="s">
        <v>80</v>
      </c>
      <c r="K2">
        <v>253</v>
      </c>
      <c r="L2">
        <v>977.13499999999999</v>
      </c>
      <c r="M2">
        <v>247215.16</v>
      </c>
      <c r="N2" t="s">
        <v>170</v>
      </c>
      <c r="O2">
        <v>260</v>
      </c>
      <c r="P2">
        <v>257.85000000000002</v>
      </c>
      <c r="Q2">
        <v>67041</v>
      </c>
      <c r="R2" t="s">
        <v>171</v>
      </c>
      <c r="S2">
        <v>188</v>
      </c>
      <c r="T2">
        <v>191</v>
      </c>
      <c r="U2">
        <v>35908</v>
      </c>
      <c r="V2" t="s">
        <v>90</v>
      </c>
      <c r="W2">
        <v>147</v>
      </c>
      <c r="X2">
        <v>577</v>
      </c>
      <c r="Y2">
        <v>84819</v>
      </c>
      <c r="AB2">
        <v>31</v>
      </c>
      <c r="AF2">
        <v>0</v>
      </c>
      <c r="AJ2">
        <v>0</v>
      </c>
      <c r="AL2" t="s">
        <v>172</v>
      </c>
      <c r="AM2">
        <v>128</v>
      </c>
      <c r="AN2">
        <v>706</v>
      </c>
      <c r="AO2">
        <v>90368</v>
      </c>
      <c r="AR2">
        <v>0</v>
      </c>
      <c r="AV2">
        <v>0</v>
      </c>
      <c r="AZ2">
        <v>0</v>
      </c>
      <c r="BD2">
        <v>0</v>
      </c>
      <c r="BH2">
        <v>0</v>
      </c>
      <c r="BL2">
        <v>0</v>
      </c>
      <c r="BP2">
        <v>0</v>
      </c>
      <c r="BT2">
        <v>0</v>
      </c>
      <c r="BX2">
        <v>0</v>
      </c>
      <c r="BZ2">
        <v>28794</v>
      </c>
      <c r="CA2">
        <v>677483.99</v>
      </c>
      <c r="CH2">
        <v>677483.99</v>
      </c>
      <c r="CM2">
        <v>677483.99</v>
      </c>
      <c r="CO2">
        <v>677483.99</v>
      </c>
      <c r="CP2" s="56">
        <v>0.18</v>
      </c>
      <c r="CQ2">
        <v>121947.12</v>
      </c>
      <c r="CR2">
        <v>799431.11</v>
      </c>
      <c r="CS2">
        <v>40</v>
      </c>
      <c r="CT2" t="s">
        <v>173</v>
      </c>
      <c r="CU2" s="57">
        <v>31977244</v>
      </c>
      <c r="CV2" t="s">
        <v>174</v>
      </c>
      <c r="CW2" t="s">
        <v>175</v>
      </c>
    </row>
    <row r="3" spans="1:102"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5"/>
  <sheetViews>
    <sheetView tabSelected="1" topLeftCell="A16" workbookViewId="0">
      <selection activeCell="M30" sqref="M30"/>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5.28515625" style="4" bestFit="1" customWidth="1"/>
    <col min="6" max="6" width="14.85546875"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19" width="7.85546875" style="30" hidden="1" customWidth="1"/>
    <col min="20" max="20" width="7.85546875" style="30" customWidth="1"/>
    <col min="21" max="26" width="7.85546875" style="30" hidden="1" customWidth="1"/>
    <col min="27" max="27" width="7.85546875" style="30" customWidth="1"/>
    <col min="28" max="28" width="7.85546875" style="30" hidden="1" customWidth="1"/>
    <col min="29" max="29" width="7.85546875" style="30" customWidth="1"/>
    <col min="30" max="30" width="7.85546875" style="30" hidden="1" customWidth="1"/>
    <col min="31" max="31" width="7.85546875" style="30" customWidth="1"/>
    <col min="32" max="59" width="7.85546875" style="30" hidden="1" customWidth="1"/>
    <col min="60" max="60" width="7.85546875" style="30" customWidth="1"/>
    <col min="61" max="73" width="7.85546875" style="30" hidden="1" customWidth="1"/>
    <col min="74" max="74" width="7.85546875" style="30" customWidth="1"/>
    <col min="75" max="75" width="11.140625" style="30" customWidth="1"/>
    <col min="76" max="76" width="20.42578125" style="30"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4" customFormat="1" ht="15.75" thickBot="1" x14ac:dyDescent="0.3"/>
    <row r="2" spans="1:90" s="44" customFormat="1" ht="23.25" thickBot="1" x14ac:dyDescent="0.5">
      <c r="A2" s="172" t="s">
        <v>137</v>
      </c>
      <c r="B2" s="173"/>
      <c r="C2" s="173"/>
      <c r="D2" s="173"/>
      <c r="E2" s="173"/>
      <c r="F2" s="173"/>
      <c r="G2" s="173"/>
      <c r="H2" s="173"/>
      <c r="I2" s="173"/>
      <c r="J2" s="173"/>
      <c r="K2" s="173"/>
      <c r="L2" s="173"/>
      <c r="M2" s="173"/>
      <c r="N2" s="173"/>
      <c r="O2" s="173"/>
      <c r="P2" s="173"/>
      <c r="Q2" s="173"/>
      <c r="R2" s="174"/>
      <c r="S2" s="47"/>
      <c r="T2" s="47"/>
    </row>
    <row r="3" spans="1:90" s="44" customFormat="1" ht="15.75" thickBot="1" x14ac:dyDescent="0.3">
      <c r="A3"/>
      <c r="B3"/>
      <c r="C3"/>
      <c r="D3"/>
      <c r="E3"/>
      <c r="F3"/>
      <c r="G3"/>
      <c r="H3"/>
      <c r="I3"/>
      <c r="J3"/>
      <c r="K3"/>
      <c r="L3"/>
      <c r="M3"/>
      <c r="N3"/>
      <c r="O3"/>
      <c r="P3"/>
      <c r="Q3"/>
      <c r="R3"/>
      <c r="S3"/>
    </row>
    <row r="4" spans="1:90" s="44" customFormat="1" ht="51.75" customHeight="1" thickBot="1" x14ac:dyDescent="0.3">
      <c r="A4" s="45" t="s">
        <v>124</v>
      </c>
      <c r="B4" s="181" t="s">
        <v>139</v>
      </c>
      <c r="C4" s="181"/>
      <c r="D4" s="181"/>
      <c r="E4" s="181"/>
      <c r="F4" s="181"/>
      <c r="G4" s="181"/>
      <c r="H4" s="181"/>
      <c r="I4" s="181"/>
      <c r="J4" s="181"/>
      <c r="K4" s="181"/>
      <c r="L4" s="181"/>
      <c r="M4" s="181"/>
      <c r="N4" s="181"/>
      <c r="O4" s="181"/>
      <c r="P4" s="181"/>
      <c r="Q4" s="181"/>
      <c r="R4" s="181"/>
      <c r="S4"/>
    </row>
    <row r="5" spans="1:90" s="44" customFormat="1" ht="34.5" customHeight="1" x14ac:dyDescent="0.25">
      <c r="A5" s="45" t="s">
        <v>125</v>
      </c>
      <c r="B5" s="181" t="s">
        <v>138</v>
      </c>
      <c r="C5" s="181"/>
      <c r="D5" s="181"/>
      <c r="E5" s="181"/>
      <c r="F5" s="181"/>
      <c r="G5" s="181"/>
      <c r="H5" s="181"/>
      <c r="I5" s="181"/>
      <c r="J5" s="181"/>
      <c r="K5" s="181"/>
      <c r="L5" s="181"/>
      <c r="M5" s="181"/>
      <c r="N5" s="181"/>
      <c r="O5" s="181"/>
      <c r="P5" s="181"/>
      <c r="Q5" s="181"/>
      <c r="R5" s="181"/>
      <c r="S5"/>
    </row>
    <row r="6" spans="1:90" s="44" customFormat="1" ht="48" customHeight="1" x14ac:dyDescent="0.25">
      <c r="A6" s="46" t="s">
        <v>126</v>
      </c>
      <c r="B6" s="168" t="s">
        <v>146</v>
      </c>
      <c r="C6" s="181"/>
      <c r="D6" s="181"/>
      <c r="E6" s="181"/>
      <c r="F6" s="181"/>
      <c r="G6" s="181"/>
      <c r="H6" s="181"/>
      <c r="I6" s="181"/>
      <c r="J6" s="181"/>
      <c r="K6" s="181"/>
      <c r="L6" s="181"/>
      <c r="M6" s="181"/>
      <c r="N6" s="181"/>
      <c r="O6" s="181"/>
      <c r="P6" s="181"/>
      <c r="Q6" s="181"/>
      <c r="R6" s="181"/>
      <c r="S6"/>
    </row>
    <row r="7" spans="1:90" s="44" customFormat="1" ht="30" x14ac:dyDescent="0.25">
      <c r="A7" s="46" t="s">
        <v>123</v>
      </c>
      <c r="B7" s="168" t="s">
        <v>140</v>
      </c>
      <c r="C7" s="181"/>
      <c r="D7" s="181"/>
      <c r="E7" s="181"/>
      <c r="F7" s="181"/>
      <c r="G7" s="181"/>
      <c r="H7" s="181"/>
      <c r="I7" s="181"/>
      <c r="J7" s="181"/>
      <c r="K7" s="181"/>
      <c r="L7" s="181"/>
      <c r="M7" s="181"/>
      <c r="N7" s="181"/>
      <c r="O7" s="181"/>
      <c r="P7" s="181"/>
      <c r="Q7" s="181"/>
      <c r="R7" s="181"/>
      <c r="S7"/>
    </row>
    <row r="8" spans="1:90" s="44" customFormat="1" ht="28.5" customHeight="1" x14ac:dyDescent="0.25">
      <c r="A8" s="46" t="s">
        <v>127</v>
      </c>
      <c r="B8" s="168" t="s">
        <v>141</v>
      </c>
      <c r="C8" s="168"/>
      <c r="D8" s="168"/>
      <c r="E8" s="168"/>
      <c r="F8" s="168"/>
      <c r="G8" s="168"/>
      <c r="H8" s="168"/>
      <c r="I8" s="168"/>
      <c r="J8" s="168"/>
      <c r="K8" s="168"/>
      <c r="L8" s="168"/>
      <c r="M8" s="168"/>
      <c r="N8" s="168"/>
      <c r="O8" s="168"/>
      <c r="P8" s="168"/>
      <c r="Q8" s="168"/>
      <c r="R8" s="168"/>
      <c r="S8"/>
    </row>
    <row r="9" spans="1:90" s="44" customFormat="1" ht="39.75" customHeight="1" x14ac:dyDescent="0.25">
      <c r="A9" s="46" t="s">
        <v>128</v>
      </c>
      <c r="B9" s="169" t="s">
        <v>142</v>
      </c>
      <c r="C9" s="170"/>
      <c r="D9" s="170"/>
      <c r="E9" s="170"/>
      <c r="F9" s="170"/>
      <c r="G9" s="170"/>
      <c r="H9" s="170"/>
      <c r="I9" s="170"/>
      <c r="J9" s="170"/>
      <c r="K9" s="170"/>
      <c r="L9" s="170"/>
      <c r="M9" s="170"/>
      <c r="N9" s="170"/>
      <c r="O9" s="170"/>
      <c r="P9" s="170"/>
      <c r="Q9" s="170"/>
      <c r="R9" s="171"/>
    </row>
    <row r="10" spans="1:90" s="44" customFormat="1" ht="75" customHeight="1" x14ac:dyDescent="0.25">
      <c r="A10" s="46" t="s">
        <v>129</v>
      </c>
      <c r="B10" s="168" t="s">
        <v>143</v>
      </c>
      <c r="C10" s="168"/>
      <c r="D10" s="168"/>
      <c r="E10" s="168"/>
      <c r="F10" s="168"/>
      <c r="G10" s="168"/>
      <c r="H10" s="168"/>
      <c r="I10" s="168"/>
      <c r="J10" s="168"/>
      <c r="K10" s="168"/>
      <c r="L10" s="168"/>
      <c r="M10" s="168"/>
      <c r="N10" s="168"/>
      <c r="O10" s="168"/>
      <c r="P10" s="168"/>
      <c r="Q10" s="168"/>
      <c r="R10" s="168"/>
      <c r="S10"/>
    </row>
    <row r="11" spans="1:90" s="44" customFormat="1" ht="78.75" customHeight="1" x14ac:dyDescent="0.25">
      <c r="A11" s="46" t="s">
        <v>130</v>
      </c>
      <c r="B11" s="177" t="s">
        <v>144</v>
      </c>
      <c r="C11" s="178"/>
      <c r="D11" s="178"/>
      <c r="E11" s="178"/>
      <c r="F11" s="178"/>
      <c r="G11" s="178"/>
      <c r="H11" s="178"/>
      <c r="I11" s="178"/>
      <c r="J11" s="178"/>
      <c r="K11" s="178"/>
      <c r="L11" s="178"/>
      <c r="M11" s="178"/>
      <c r="N11" s="178"/>
      <c r="O11" s="178"/>
      <c r="P11" s="178"/>
      <c r="Q11" s="178"/>
      <c r="R11" s="179"/>
      <c r="S11"/>
    </row>
    <row r="12" spans="1:90" s="44" customFormat="1" ht="30" x14ac:dyDescent="0.25">
      <c r="A12" s="49" t="s">
        <v>131</v>
      </c>
      <c r="B12" s="180" t="s">
        <v>145</v>
      </c>
      <c r="C12" s="180"/>
      <c r="D12" s="180"/>
      <c r="E12" s="180"/>
      <c r="F12" s="180"/>
      <c r="G12" s="180"/>
      <c r="H12" s="180"/>
      <c r="I12" s="180"/>
      <c r="J12" s="180"/>
      <c r="K12" s="180"/>
      <c r="L12" s="180"/>
      <c r="M12" s="180"/>
      <c r="N12" s="180"/>
      <c r="O12" s="180"/>
      <c r="P12" s="180"/>
      <c r="Q12" s="180"/>
      <c r="R12" s="180"/>
    </row>
    <row r="13" spans="1:90" s="44" customFormat="1" ht="30" x14ac:dyDescent="0.25">
      <c r="A13" s="50" t="s">
        <v>132</v>
      </c>
      <c r="B13" s="180"/>
      <c r="C13" s="180"/>
      <c r="D13" s="180"/>
      <c r="E13" s="180"/>
      <c r="F13" s="180"/>
      <c r="G13" s="180"/>
      <c r="H13" s="180"/>
      <c r="I13" s="180"/>
      <c r="J13" s="180"/>
      <c r="K13" s="180"/>
      <c r="L13" s="180"/>
      <c r="M13" s="180"/>
      <c r="N13" s="180"/>
      <c r="O13" s="180"/>
      <c r="P13" s="180"/>
      <c r="Q13" s="180"/>
      <c r="R13" s="180"/>
    </row>
    <row r="15" spans="1:90" s="37" customFormat="1" ht="28.9" customHeight="1" x14ac:dyDescent="0.25">
      <c r="E15" s="42"/>
      <c r="H15" s="43"/>
      <c r="N15" s="167" t="str">
        <f>Sheet1!J1</f>
        <v>Conductor</v>
      </c>
      <c r="O15" s="167"/>
      <c r="P15" s="167"/>
      <c r="Q15" s="167"/>
      <c r="R15" s="167"/>
      <c r="S15" s="167" t="s">
        <v>9</v>
      </c>
      <c r="T15" s="167"/>
      <c r="U15" s="167" t="s">
        <v>3</v>
      </c>
      <c r="V15" s="167"/>
      <c r="W15" s="167"/>
      <c r="X15" s="167"/>
      <c r="Y15" s="167"/>
      <c r="Z15" s="167"/>
      <c r="AA15" s="167"/>
      <c r="AB15" s="167"/>
      <c r="AC15" s="167" t="s">
        <v>12</v>
      </c>
      <c r="AD15" s="167"/>
      <c r="AE15" s="167" t="s">
        <v>15</v>
      </c>
      <c r="AF15" s="167"/>
      <c r="AG15" s="167"/>
      <c r="AH15" s="167"/>
      <c r="AI15" s="167"/>
      <c r="AJ15" s="167"/>
      <c r="AK15" s="10" t="s">
        <v>18</v>
      </c>
      <c r="AL15" s="175" t="s">
        <v>21</v>
      </c>
      <c r="AM15" s="176"/>
      <c r="AN15" s="176"/>
      <c r="AO15" s="176"/>
      <c r="AP15" s="176"/>
      <c r="AQ15" s="176"/>
      <c r="AR15" s="176"/>
      <c r="AS15" s="167" t="s">
        <v>24</v>
      </c>
      <c r="AT15" s="167"/>
      <c r="AU15" s="167"/>
      <c r="AV15" s="167"/>
      <c r="AW15" s="167"/>
      <c r="AX15" s="167"/>
      <c r="AY15" s="167"/>
      <c r="AZ15" s="167"/>
      <c r="BA15" s="167"/>
      <c r="BB15" s="167"/>
      <c r="BC15" s="167" t="s">
        <v>27</v>
      </c>
      <c r="BD15" s="167"/>
      <c r="BE15" s="167"/>
      <c r="BF15" s="167"/>
      <c r="BG15" s="167"/>
      <c r="BH15" s="167"/>
      <c r="BI15" s="167"/>
      <c r="BJ15" s="167"/>
      <c r="BK15" s="167"/>
      <c r="BL15" s="167"/>
      <c r="BM15" s="38" t="s">
        <v>30</v>
      </c>
      <c r="BN15" s="10" t="s">
        <v>33</v>
      </c>
      <c r="BO15" s="10" t="s">
        <v>36</v>
      </c>
      <c r="BP15" s="10" t="s">
        <v>39</v>
      </c>
      <c r="BQ15" s="10" t="s">
        <v>42</v>
      </c>
      <c r="BR15" s="10" t="s">
        <v>45</v>
      </c>
      <c r="BS15" s="10" t="s">
        <v>48</v>
      </c>
      <c r="BT15" s="10" t="s">
        <v>51</v>
      </c>
      <c r="BU15" s="10" t="s">
        <v>54</v>
      </c>
      <c r="BV15" s="10"/>
      <c r="BW15" s="10"/>
      <c r="BX15" s="10"/>
      <c r="BY15" s="10"/>
      <c r="BZ15" s="39" t="s">
        <v>57</v>
      </c>
      <c r="CA15" s="39" t="s">
        <v>58</v>
      </c>
      <c r="CB15" s="40" t="s">
        <v>79</v>
      </c>
      <c r="CC15" s="39" t="s">
        <v>122</v>
      </c>
      <c r="CD15" s="41"/>
      <c r="CE15" s="42"/>
      <c r="CF15" s="43"/>
      <c r="CG15" s="42"/>
      <c r="CH15" s="42"/>
      <c r="CI15" s="43"/>
      <c r="CK15" s="43"/>
    </row>
    <row r="16" spans="1:90" s="19" customFormat="1" ht="89.25" x14ac:dyDescent="0.25">
      <c r="A16" s="22" t="s">
        <v>0</v>
      </c>
      <c r="B16" s="22" t="str">
        <f>Sheet1!B1</f>
        <v>Base Date</v>
      </c>
      <c r="C16" s="22" t="s">
        <v>1</v>
      </c>
      <c r="D16" s="22" t="s">
        <v>2</v>
      </c>
      <c r="E16" s="5" t="s">
        <v>70</v>
      </c>
      <c r="F16" s="15" t="s">
        <v>71</v>
      </c>
      <c r="G16" s="15" t="s">
        <v>72</v>
      </c>
      <c r="H16" s="6" t="s">
        <v>73</v>
      </c>
      <c r="I16" s="15" t="s">
        <v>74</v>
      </c>
      <c r="J16" s="15" t="s">
        <v>75</v>
      </c>
      <c r="K16" s="15" t="s">
        <v>76</v>
      </c>
      <c r="L16" s="15" t="s">
        <v>77</v>
      </c>
      <c r="M16" s="15" t="s">
        <v>78</v>
      </c>
      <c r="N16" s="23" t="s">
        <v>80</v>
      </c>
      <c r="O16" s="23" t="s">
        <v>85</v>
      </c>
      <c r="P16" s="23" t="s">
        <v>82</v>
      </c>
      <c r="Q16" s="23" t="s">
        <v>83</v>
      </c>
      <c r="R16" s="23" t="s">
        <v>84</v>
      </c>
      <c r="S16" s="23" t="s">
        <v>80</v>
      </c>
      <c r="T16" s="23" t="s">
        <v>85</v>
      </c>
      <c r="U16" s="24" t="s">
        <v>92</v>
      </c>
      <c r="V16" s="24" t="s">
        <v>96</v>
      </c>
      <c r="W16" s="24" t="s">
        <v>99</v>
      </c>
      <c r="X16" s="24" t="s">
        <v>104</v>
      </c>
      <c r="Y16" s="24" t="s">
        <v>108</v>
      </c>
      <c r="Z16" s="24" t="s">
        <v>112</v>
      </c>
      <c r="AA16" s="24" t="s">
        <v>114</v>
      </c>
      <c r="AB16" s="24" t="s">
        <v>116</v>
      </c>
      <c r="AC16" s="24" t="s">
        <v>91</v>
      </c>
      <c r="AD16" s="24" t="s">
        <v>95</v>
      </c>
      <c r="AE16" s="24" t="s">
        <v>90</v>
      </c>
      <c r="AF16" s="24" t="s">
        <v>86</v>
      </c>
      <c r="AG16" s="24" t="s">
        <v>98</v>
      </c>
      <c r="AH16" s="24" t="s">
        <v>103</v>
      </c>
      <c r="AI16" s="24" t="s">
        <v>107</v>
      </c>
      <c r="AJ16" s="24" t="s">
        <v>111</v>
      </c>
      <c r="AK16" s="20" t="s">
        <v>18</v>
      </c>
      <c r="AL16" s="24" t="s">
        <v>93</v>
      </c>
      <c r="AM16" s="24" t="s">
        <v>97</v>
      </c>
      <c r="AN16" s="24" t="s">
        <v>100</v>
      </c>
      <c r="AO16" s="24" t="s">
        <v>105</v>
      </c>
      <c r="AP16" s="24" t="s">
        <v>109</v>
      </c>
      <c r="AQ16" s="24" t="s">
        <v>87</v>
      </c>
      <c r="AR16" s="24" t="s">
        <v>115</v>
      </c>
      <c r="AS16" s="24" t="s">
        <v>94</v>
      </c>
      <c r="AT16" s="24" t="s">
        <v>81</v>
      </c>
      <c r="AU16" s="24" t="s">
        <v>101</v>
      </c>
      <c r="AV16" s="24" t="s">
        <v>106</v>
      </c>
      <c r="AW16" s="24" t="s">
        <v>113</v>
      </c>
      <c r="AX16" s="24" t="s">
        <v>88</v>
      </c>
      <c r="AY16" s="24" t="s">
        <v>117</v>
      </c>
      <c r="AZ16" s="24" t="s">
        <v>118</v>
      </c>
      <c r="BA16" s="24" t="s">
        <v>119</v>
      </c>
      <c r="BB16" s="24" t="s">
        <v>121</v>
      </c>
      <c r="BC16" s="24" t="s">
        <v>93</v>
      </c>
      <c r="BD16" s="24" t="s">
        <v>97</v>
      </c>
      <c r="BE16" s="24" t="s">
        <v>102</v>
      </c>
      <c r="BF16" s="24" t="s">
        <v>100</v>
      </c>
      <c r="BG16" s="24" t="s">
        <v>110</v>
      </c>
      <c r="BH16" s="24" t="s">
        <v>172</v>
      </c>
      <c r="BI16" s="24" t="s">
        <v>105</v>
      </c>
      <c r="BJ16" s="24" t="s">
        <v>87</v>
      </c>
      <c r="BK16" s="24" t="s">
        <v>115</v>
      </c>
      <c r="BL16" s="24" t="s">
        <v>120</v>
      </c>
      <c r="BM16" s="20" t="s">
        <v>30</v>
      </c>
      <c r="BN16" s="20" t="s">
        <v>89</v>
      </c>
      <c r="BO16" s="21" t="s">
        <v>36</v>
      </c>
      <c r="BP16" s="25" t="s">
        <v>39</v>
      </c>
      <c r="BQ16" s="21" t="s">
        <v>42</v>
      </c>
      <c r="BR16" s="21" t="s">
        <v>45</v>
      </c>
      <c r="BS16" s="21" t="s">
        <v>48</v>
      </c>
      <c r="BT16" s="25" t="s">
        <v>51</v>
      </c>
      <c r="BU16" s="21" t="s">
        <v>54</v>
      </c>
      <c r="BV16" s="21" t="str">
        <f>Sheet1!E1</f>
        <v>PROPOSE DRUM TYPE</v>
      </c>
      <c r="BW16" s="54" t="str">
        <f>Sheet1!CV1</f>
        <v>DRUM CODE</v>
      </c>
      <c r="BX16" s="54" t="str">
        <f>Sheet1!CW1</f>
        <v>DRUM SIZE (FxbXtx Ft)</v>
      </c>
      <c r="BY16" s="58" t="str">
        <f>Sheet1!CX1</f>
        <v xml:space="preserve">PARTY STANDARD LENGTH (MTR) </v>
      </c>
      <c r="BZ16" s="29"/>
      <c r="CA16" s="29"/>
      <c r="CB16" s="26"/>
      <c r="CC16" s="29"/>
      <c r="CD16" s="13" t="s">
        <v>61</v>
      </c>
      <c r="CE16" s="5" t="s">
        <v>62</v>
      </c>
      <c r="CF16" s="6" t="s">
        <v>63</v>
      </c>
      <c r="CG16" s="5" t="s">
        <v>64</v>
      </c>
      <c r="CH16" s="5" t="s">
        <v>65</v>
      </c>
      <c r="CI16" s="6" t="s">
        <v>66</v>
      </c>
      <c r="CJ16" s="15" t="s">
        <v>67</v>
      </c>
      <c r="CK16" s="6" t="s">
        <v>68</v>
      </c>
      <c r="CL16" s="15" t="s">
        <v>69</v>
      </c>
    </row>
    <row r="17" spans="1:90" s="29" customFormat="1" x14ac:dyDescent="0.25">
      <c r="A17" s="31"/>
      <c r="B17" s="31"/>
      <c r="C17" s="31"/>
      <c r="D17" s="31"/>
      <c r="E17" s="5"/>
      <c r="F17" s="5"/>
      <c r="G17" s="5"/>
      <c r="H17" s="5"/>
      <c r="I17" s="5"/>
      <c r="J17" s="5"/>
      <c r="K17" s="5"/>
      <c r="L17" s="5"/>
      <c r="M17" s="5"/>
      <c r="N17" s="32">
        <v>235</v>
      </c>
      <c r="O17" s="32">
        <f>+IFERROR(VLOOKUP($O$16,Sheet1!J:L,2,0),0)</f>
        <v>0</v>
      </c>
      <c r="P17" s="32">
        <f>+IFERROR(VLOOKUP($P$16,Sheet1!J:M,2,0),0)</f>
        <v>0</v>
      </c>
      <c r="Q17" s="32">
        <f>+IFERROR(VLOOKUP($Q$16,Sheet1!J:M,2,0),0)</f>
        <v>0</v>
      </c>
      <c r="R17" s="32">
        <f>+IFERROR(VLOOKUP($R$16,Sheet1!J:M,2,0),0)</f>
        <v>0</v>
      </c>
      <c r="S17" s="32">
        <f>+IFERROR(VLOOKUP($S$16,Sheet1!N:Q,2,0),0)</f>
        <v>0</v>
      </c>
      <c r="T17" s="32">
        <f>N17+7</f>
        <v>242</v>
      </c>
      <c r="U17" s="33">
        <f>+IFERROR(VLOOKUP($U$16,Sheet1!F:I,2,0),0)</f>
        <v>0</v>
      </c>
      <c r="V17" s="33">
        <f>+IFERROR(VLOOKUP($V$16,Sheet1!F:I,2,0),0)</f>
        <v>0</v>
      </c>
      <c r="W17" s="33">
        <f>+IFERROR(VLOOKUP($W$16,Sheet1!F:I,2,0),0)</f>
        <v>0</v>
      </c>
      <c r="X17" s="33">
        <f>+IFERROR(VLOOKUP($X$16,Sheet1!F:I,2,0),0)</f>
        <v>0</v>
      </c>
      <c r="Y17" s="33">
        <f>+IFERROR(VLOOKUP($Y$16,Sheet1!F:I,2,0),0)</f>
        <v>0</v>
      </c>
      <c r="Z17" s="33">
        <f>+IFERROR(VLOOKUP($Z$16,Sheet1!F:I,2,0),0)</f>
        <v>0</v>
      </c>
      <c r="AA17" s="33">
        <v>972</v>
      </c>
      <c r="AB17" s="33">
        <f>+IFERROR(VLOOKUP($AB$16,Sheet1!F:I,2,0),0)</f>
        <v>0</v>
      </c>
      <c r="AC17" s="33">
        <v>189</v>
      </c>
      <c r="AD17" s="33">
        <f>+IFERROR(VLOOKUP($AD$16,Sheet1!R:U,2,0),0)</f>
        <v>0</v>
      </c>
      <c r="AE17" s="33">
        <v>145</v>
      </c>
      <c r="AF17" s="33">
        <f>+IFERROR(VLOOKUP($AF$16,Sheet1!V:Y,2,0),0)</f>
        <v>0</v>
      </c>
      <c r="AG17" s="33">
        <f>+IFERROR(VLOOKUP($AG$16,Sheet1!V:Y,2,0),0)</f>
        <v>0</v>
      </c>
      <c r="AH17" s="33">
        <f>+IFERROR(VLOOKUP($AH$16,Sheet1!V:Y,2,0),0)</f>
        <v>0</v>
      </c>
      <c r="AI17" s="33">
        <f>+IFERROR(VLOOKUP($AI$16,Sheet1!V:Y,2,0),0)</f>
        <v>0</v>
      </c>
      <c r="AJ17" s="33">
        <f>+IFERROR(VLOOKUP($AJ$16,Sheet1!V:Y,2,0),0)</f>
        <v>0</v>
      </c>
      <c r="AK17" s="34">
        <f>+IFERROR(VLOOKUP($AK$16,Sheet1!Z2:AA840,2,0),0)</f>
        <v>0</v>
      </c>
      <c r="AL17" s="33">
        <f>+IFERROR(VLOOKUP($AL$16,Sheet1!AD2:AG840,2,0),0)</f>
        <v>0</v>
      </c>
      <c r="AM17" s="33">
        <f>+IFERROR(VLOOKUP($AM$16,Sheet1!AD2:AG840,2,0),0)</f>
        <v>0</v>
      </c>
      <c r="AN17" s="33">
        <f>+IFERROR(VLOOKUP($AN$16,Sheet1!AD2:AG840,2,0),0)</f>
        <v>0</v>
      </c>
      <c r="AO17" s="33">
        <f>+IFERROR(VLOOKUP($AO$16,Sheet1!AD2:AG840,2,0),0)</f>
        <v>0</v>
      </c>
      <c r="AP17" s="33">
        <f>+IFERROR(VLOOKUP($AP$16,Sheet1!AD2:AG840,2,0),0)</f>
        <v>0</v>
      </c>
      <c r="AQ17" s="33">
        <f>+IFERROR(VLOOKUP($AQ$16,Sheet1!AD2:AG840,2,0),0)</f>
        <v>0</v>
      </c>
      <c r="AR17" s="33">
        <f>+IFERROR(VLOOKUP($AR$16,Sheet1!AD2:AG840,2,0),0)</f>
        <v>0</v>
      </c>
      <c r="AS17" s="33">
        <f>+IFERROR(VLOOKUP($AS$16,Sheet1!AH2:AK840,2,0),0)</f>
        <v>0</v>
      </c>
      <c r="AT17" s="33">
        <f>+IFERROR(VLOOKUP($AT$16,Sheet1!AH2:AK840,2,0),0)</f>
        <v>0</v>
      </c>
      <c r="AU17" s="33">
        <f>+IFERROR(VLOOKUP($AU$16,Sheet1!AH2:AK840,2,0),0)</f>
        <v>0</v>
      </c>
      <c r="AV17" s="33">
        <f>+IFERROR(VLOOKUP($AV$16,Sheet1!AH2:AK840,2,0),0)</f>
        <v>0</v>
      </c>
      <c r="AW17" s="33">
        <f>+IFERROR(VLOOKUP($AW$16,Sheet1!AH2:AK840,2,0),0)</f>
        <v>0</v>
      </c>
      <c r="AX17" s="33">
        <f>+IFERROR(VLOOKUP($AX$16,Sheet1!AH2:AK840,2,0),0)</f>
        <v>0</v>
      </c>
      <c r="AY17" s="33">
        <f>+IFERROR(VLOOKUP($AY$16,Sheet1!AH2:AK840,2,0),0)</f>
        <v>0</v>
      </c>
      <c r="AZ17" s="33">
        <f>+IFERROR(VLOOKUP($AZ$16,Sheet1!AH2:AK840,2,0),0)</f>
        <v>0</v>
      </c>
      <c r="BA17" s="33">
        <f>+IFERROR(VLOOKUP($BA$16,Sheet1!AH2:AK840,2,0),0)</f>
        <v>0</v>
      </c>
      <c r="BB17" s="33">
        <f>+IFERROR(VLOOKUP($BB$16,Sheet1!AH2:AK840,2,0),0)</f>
        <v>0</v>
      </c>
      <c r="BC17" s="33">
        <f>+IFERROR(VLOOKUP($BC$16,Sheet1!AL2:AO840,2,0),0)</f>
        <v>0</v>
      </c>
      <c r="BD17" s="33">
        <f>+IFERROR(VLOOKUP($BD$16,Sheet1!AL2:AO840,2,0),0)</f>
        <v>0</v>
      </c>
      <c r="BE17" s="33">
        <f>+IFERROR(VLOOKUP($BE$16,Sheet1!AL2:AO840,2,0),0)</f>
        <v>0</v>
      </c>
      <c r="BF17" s="33">
        <f>+IFERROR(VLOOKUP($BF$16,Sheet1!AL2:AO840,2,0),0)</f>
        <v>0</v>
      </c>
      <c r="BG17" s="33">
        <f>+IFERROR(VLOOKUP($BG$16,Sheet1!AL2:AO840,2,0),0)</f>
        <v>0</v>
      </c>
      <c r="BH17" s="33">
        <v>125</v>
      </c>
      <c r="BI17" s="33">
        <f>+IFERROR(VLOOKUP($BI$16,Sheet1!AL2:AO840,2,0),0)</f>
        <v>0</v>
      </c>
      <c r="BJ17" s="33">
        <f>+IFERROR(VLOOKUP($BJ$16,Sheet1!AL2:AO840,2,0),0)</f>
        <v>0</v>
      </c>
      <c r="BK17" s="33">
        <f>+IFERROR(VLOOKUP($BK$16,Sheet1!AL2:AO840,2,0),0)</f>
        <v>0</v>
      </c>
      <c r="BL17" s="33">
        <f>+IFERROR(VLOOKUP($BL$16,Sheet1!AL2:AO840,2,0),0)</f>
        <v>0</v>
      </c>
      <c r="BM17" s="34">
        <f>+IFERROR(VLOOKUP($BM$16,Sheet1!AP2:AS840,2,0),0)</f>
        <v>0</v>
      </c>
      <c r="BN17" s="34">
        <f>+IFERROR(VLOOKUP($BN$16,Sheet1!AT2:AW840,2,0),0)</f>
        <v>0</v>
      </c>
      <c r="BO17" s="35">
        <f>+IFERROR(VLOOKUP($BO$16,Sheet1!AX2:BA840,2,0),0)</f>
        <v>0</v>
      </c>
      <c r="BP17" s="36">
        <f>+IFERROR(VLOOKUP($BP$16,Sheet1!BB2:BE840,2,0),0)</f>
        <v>0</v>
      </c>
      <c r="BQ17" s="35">
        <f>+IFERROR(VLOOKUP($BQ$16,Sheet1!BF2:BI840,2,0),0)</f>
        <v>0</v>
      </c>
      <c r="BR17" s="35">
        <f>+IFERROR(VLOOKUP($BR$16,Sheet1!BJ2:BM840,2,0),0)</f>
        <v>0</v>
      </c>
      <c r="BS17" s="35">
        <f>+IFERROR(VLOOKUP($BS$16,Sheet1!BN2:BQ840,2,0),0)</f>
        <v>0</v>
      </c>
      <c r="BT17" s="36">
        <f>+IFERROR(VLOOKUP($BT$16,Sheet1!BR2:BU840,2,0),0)</f>
        <v>0</v>
      </c>
      <c r="BU17" s="35">
        <f>+IFERROR(VLOOKUP($BU$16,Sheet1!BV2:BY840,2,0),0)</f>
        <v>0</v>
      </c>
      <c r="BV17" s="53"/>
      <c r="BW17" s="53"/>
      <c r="BX17" s="53"/>
      <c r="BY17" s="53"/>
      <c r="CD17" s="5"/>
      <c r="CE17" s="5"/>
      <c r="CF17" s="5"/>
      <c r="CG17" s="5"/>
      <c r="CH17" s="5"/>
      <c r="CI17" s="5"/>
      <c r="CJ17" s="5"/>
      <c r="CK17" s="5"/>
      <c r="CL17" s="5"/>
    </row>
    <row r="18" spans="1:90" ht="45" x14ac:dyDescent="0.25">
      <c r="A18" s="1" t="str">
        <f>Sheet1!A2</f>
        <v>ENQ-13482-22-23</v>
      </c>
      <c r="B18" s="52">
        <f>Sheet1!B2</f>
        <v>45474</v>
      </c>
      <c r="C18" s="1" t="str">
        <f>Sheet1!C2</f>
        <v>FA0400001</v>
      </c>
      <c r="D18" s="1" t="str">
        <f>Sheet1!D2</f>
        <v>3 CORE X 120 SQ MM + 1 CORE X 95 SQ MM (AB CABLES) (BARE) - 11 KV</v>
      </c>
      <c r="E18" s="3">
        <f>CH18+CJ18+CL18</f>
        <v>1020018.27</v>
      </c>
      <c r="F18" s="64">
        <f>ROUNDUP(M21,0)</f>
        <v>10500</v>
      </c>
      <c r="G18" s="9">
        <f>E18+F18</f>
        <v>1030518.27</v>
      </c>
      <c r="H18" s="7">
        <f>Sheet1!CP2</f>
        <v>0.18</v>
      </c>
      <c r="I18" s="9">
        <f>G18*H18</f>
        <v>185493.2886</v>
      </c>
      <c r="J18" s="9">
        <f>G18+I18</f>
        <v>1216011.5586000001</v>
      </c>
      <c r="K18" s="1">
        <f>Sheet1!CS2</f>
        <v>40</v>
      </c>
      <c r="L18" s="1" t="str">
        <f>Sheet1!CT2</f>
        <v>KMS</v>
      </c>
      <c r="M18" s="3">
        <f>J18*K18</f>
        <v>48640462.344000004</v>
      </c>
      <c r="N18" s="159">
        <v>972</v>
      </c>
      <c r="O18" s="2">
        <f>+IFERROR(VLOOKUP($O$16,Sheet1!J2:L2,3,0),0)</f>
        <v>0</v>
      </c>
      <c r="P18" s="2">
        <f>+IFERROR(VLOOKUP($P$16,Sheet1!J2:M2,3,0),0)</f>
        <v>0</v>
      </c>
      <c r="Q18" s="2">
        <f>+IFERROR(VLOOKUP($Q$16,Sheet1!J2:M2,3,0),0)</f>
        <v>0</v>
      </c>
      <c r="R18" s="2">
        <f>+IFERROR(VLOOKUP($R$16,Sheet1!J2:M2,3,0),0)</f>
        <v>0</v>
      </c>
      <c r="S18" s="2">
        <f>+IFERROR(VLOOKUP($S$16,Sheet1!N2:Q2,3,0),0)</f>
        <v>0</v>
      </c>
      <c r="T18" s="159">
        <v>264</v>
      </c>
      <c r="U18" s="2">
        <f>+IFERROR(VLOOKUP($U$16,Sheet1!F2:I2,3,0),0)</f>
        <v>0</v>
      </c>
      <c r="V18" s="2">
        <f>+IFERROR(VLOOKUP($V$16,Sheet1!F2:I2,3,0),0)</f>
        <v>0</v>
      </c>
      <c r="W18" s="2">
        <f>+IFERROR(VLOOKUP($W$16,Sheet1!F2:I2,3,0),0)</f>
        <v>0</v>
      </c>
      <c r="X18" s="2">
        <f>+IFERROR(VLOOKUP($X$16,Sheet1!F2:I2,3,0),0)</f>
        <v>0</v>
      </c>
      <c r="Y18" s="2">
        <f>+IFERROR(VLOOKUP($Y$16,Sheet1!F2:I2,3,0),0)</f>
        <v>0</v>
      </c>
      <c r="Z18" s="2">
        <f>+IFERROR(VLOOKUP($Z$16,Sheet1!F2:I2,3,0),0)</f>
        <v>0</v>
      </c>
      <c r="AA18" s="159">
        <v>137</v>
      </c>
      <c r="AB18" s="2">
        <f>+IFERROR(VLOOKUP($AB$16,Sheet1!F2:I2,3,0),0)</f>
        <v>0</v>
      </c>
      <c r="AC18" s="159">
        <v>310</v>
      </c>
      <c r="AD18" s="15">
        <f>+IFERROR(VLOOKUP($AD$16,Sheet1!R2:U2,2,0),0)</f>
        <v>0</v>
      </c>
      <c r="AE18" s="159">
        <v>580</v>
      </c>
      <c r="AF18" s="15">
        <f>+IFERROR(VLOOKUP($AF$16,Sheet1!V2:Y2,3,0),0)</f>
        <v>0</v>
      </c>
      <c r="AG18" s="15">
        <f>+IFERROR(VLOOKUP($AG$16,Sheet1!V2:Y2,3,0),0)</f>
        <v>0</v>
      </c>
      <c r="AH18" s="15">
        <f>+IFERROR(VLOOKUP($AH$16,Sheet1!V2:Y2,3,0),0)</f>
        <v>0</v>
      </c>
      <c r="AI18" s="15">
        <f>+IFERROR(VLOOKUP($AI$16,Sheet1!V2:Y2,3,0),0)</f>
        <v>0</v>
      </c>
      <c r="AJ18" s="15">
        <f>+IFERROR(VLOOKUP($AJ$16,Sheet1!V2:Y2,3,0),0)</f>
        <v>0</v>
      </c>
      <c r="AK18" s="15">
        <f>+IFERROR(VLOOKUP($AK$16,Sheet1!Z2:AB2,3,0),0)</f>
        <v>0</v>
      </c>
      <c r="AL18" s="15">
        <f>+IFERROR(VLOOKUP($AL$16,Sheet1!AD2:AG2,3,0),0)</f>
        <v>0</v>
      </c>
      <c r="AM18" s="15">
        <f>+IFERROR(VLOOKUP($AM$16,Sheet1!AD2:AG2,3,0),0)</f>
        <v>0</v>
      </c>
      <c r="AN18" s="15">
        <f>+IFERROR(VLOOKUP($AN$16,Sheet1!AD2:AG2,3,0),0)</f>
        <v>0</v>
      </c>
      <c r="AO18" s="15">
        <f>+IFERROR(VLOOKUP($AO$16,Sheet1!AD2:AG2,3,0),0)</f>
        <v>0</v>
      </c>
      <c r="AP18" s="15">
        <f>+IFERROR(VLOOKUP($AP$16,Sheet1!AD2:AG2,3,0),0)</f>
        <v>0</v>
      </c>
      <c r="AQ18" s="15">
        <f>+IFERROR(VLOOKUP($AQ$16,Sheet1!AD2:AG2,3,0),0)</f>
        <v>0</v>
      </c>
      <c r="AR18" s="15">
        <f>+IFERROR(VLOOKUP($AR$16,Sheet1!AD2:AG2,3,0),0)</f>
        <v>0</v>
      </c>
      <c r="AS18" s="15">
        <f>+IFERROR(VLOOKUP($AS$16,Sheet1!AH2:AK2,3,0),0)</f>
        <v>0</v>
      </c>
      <c r="AT18" s="15">
        <f>+IFERROR(VLOOKUP($AT$16,Sheet1!AH2:AK2,3,0),0)</f>
        <v>0</v>
      </c>
      <c r="AU18" s="15">
        <f>+IFERROR(VLOOKUP($AU$16,Sheet1!AH2:AK2,3,0),0)</f>
        <v>0</v>
      </c>
      <c r="AV18" s="15">
        <f>+IFERROR(VLOOKUP($AV$16,Sheet1!AH2:AK2,3,0),0)</f>
        <v>0</v>
      </c>
      <c r="AW18" s="15">
        <f>+IFERROR(VLOOKUP($AW$16,Sheet1!AH2:AK2,3,0),0)</f>
        <v>0</v>
      </c>
      <c r="AX18" s="15">
        <f>+IFERROR(VLOOKUP($AX$16,Sheet1!AH2:AK2,3,0),0)</f>
        <v>0</v>
      </c>
      <c r="AY18" s="15">
        <f>+IFERROR(VLOOKUP($AY$16,Sheet1!AH2:AK2,3,0),0)</f>
        <v>0</v>
      </c>
      <c r="AZ18" s="15">
        <f>+IFERROR(VLOOKUP($AZ$16,Sheet1!AH2:AK2,3,0),0)</f>
        <v>0</v>
      </c>
      <c r="BA18" s="15">
        <f>+IFERROR(VLOOKUP($BA$16,Sheet1!AH2:AK2,3,0),0)</f>
        <v>0</v>
      </c>
      <c r="BB18" s="15">
        <f>+IFERROR(VLOOKUP($BB$16,Sheet1!AH2:AK2,3,0),0)</f>
        <v>0</v>
      </c>
      <c r="BC18" s="15">
        <f>+IFERROR(VLOOKUP($BC$16,Sheet1!AL2:AO2,3,0),0)</f>
        <v>0</v>
      </c>
      <c r="BD18" s="15">
        <f>+IFERROR(VLOOKUP($BD$16,Sheet1!AL2:AO2,3,0),0)</f>
        <v>0</v>
      </c>
      <c r="BE18" s="15">
        <f>+IFERROR(VLOOKUP($BE$16,Sheet1!AL2:AO2,3,0),0)</f>
        <v>0</v>
      </c>
      <c r="BF18" s="15">
        <f>+IFERROR(VLOOKUP($BF$16,Sheet1!AL2:AO2,3,0),0)</f>
        <v>0</v>
      </c>
      <c r="BG18" s="15">
        <f>+IFERROR(VLOOKUP($BG$16,Sheet1!AL2:AO2,3,0),0)</f>
        <v>0</v>
      </c>
      <c r="BH18" s="160">
        <v>506</v>
      </c>
      <c r="BI18" s="15">
        <f>+IFERROR(VLOOKUP($BI$16,Sheet1!AL2:AO2,3,0),0)</f>
        <v>0</v>
      </c>
      <c r="BJ18" s="15">
        <f>+IFERROR(VLOOKUP($BJ$16,Sheet1!AL2:AO2,3,0),0)</f>
        <v>0</v>
      </c>
      <c r="BK18" s="15">
        <f>+IFERROR(VLOOKUP($BK$16,Sheet1!AL2:AO2,3,0),0)</f>
        <v>0</v>
      </c>
      <c r="BL18" s="15">
        <f>+IFERROR(VLOOKUP($BL$16,Sheet1!AL2:AO2,3,0),0)</f>
        <v>0</v>
      </c>
      <c r="BM18" s="15">
        <f>+IFERROR(VLOOKUP($BM$16,Sheet1!AP2:AS2,3,0),0)</f>
        <v>0</v>
      </c>
      <c r="BN18" s="15">
        <f>+IFERROR(VLOOKUP($BN$16,Sheet1!AT2:AW2,3,0),0)</f>
        <v>0</v>
      </c>
      <c r="BO18" s="15">
        <f>+IFERROR(VLOOKUP($BO$16,Sheet1!AX2:BA2,3,0),0)</f>
        <v>0</v>
      </c>
      <c r="BP18" s="15">
        <f>+IFERROR(VLOOKUP($BP$16,Sheet1!BB2:BE2,3,0),0)</f>
        <v>0</v>
      </c>
      <c r="BQ18" s="15">
        <f>+IFERROR(VLOOKUP($BQ$16,Sheet1!BF2:BI2,3,0),0)</f>
        <v>0</v>
      </c>
      <c r="BR18" s="15">
        <f>+IFERROR(VLOOKUP($BR$16,Sheet1!BJ2:BM2,3,0),0)</f>
        <v>0</v>
      </c>
      <c r="BS18" s="15">
        <f>+IFERROR(VLOOKUP($BS$16,Sheet1!BN2:BQ2,3,0),0)</f>
        <v>0</v>
      </c>
      <c r="BT18" s="15">
        <f>+IFERROR(VLOOKUP($BT$16,Sheet1!BR2:BU2,3,0),0)</f>
        <v>0</v>
      </c>
      <c r="BU18" s="15">
        <f>+IFERROR(VLOOKUP($BU$16,Sheet1!BV2:BY2,3,0),0)</f>
        <v>0</v>
      </c>
      <c r="BV18" s="160" t="str">
        <f>Sheet1!E2</f>
        <v>WOOD</v>
      </c>
      <c r="BW18" s="15" t="str">
        <f>Sheet1!CV2</f>
        <v>MD0100027</v>
      </c>
      <c r="BX18" s="15" t="str">
        <f>Sheet1!CW2</f>
        <v>DRUM - 76 X 40 X 38 X 3</v>
      </c>
      <c r="BY18" s="15">
        <v>500</v>
      </c>
      <c r="BZ18" s="3">
        <f>Sheet1!BZ2</f>
        <v>28794</v>
      </c>
      <c r="CA18" s="3">
        <f>SUMPRODUCT($N$17:$BU$17,N18:BU18)+BZ18</f>
        <v>660206</v>
      </c>
      <c r="CB18" s="27">
        <f>Sheet1!CB2</f>
        <v>0</v>
      </c>
      <c r="CC18" s="3">
        <f>CA18*CB18</f>
        <v>0</v>
      </c>
      <c r="CD18" s="48">
        <v>0.5</v>
      </c>
      <c r="CE18" s="3">
        <f>CA18*CD18</f>
        <v>330103</v>
      </c>
      <c r="CF18" s="48">
        <v>0</v>
      </c>
      <c r="CG18" s="3">
        <f>CA18*CF18</f>
        <v>0</v>
      </c>
      <c r="CH18" s="3">
        <f>CA18+CC18+CE18+CG18</f>
        <v>990309</v>
      </c>
      <c r="CI18" s="48">
        <v>0.02</v>
      </c>
      <c r="CJ18" s="1">
        <f>CH18*CI18</f>
        <v>19806.18</v>
      </c>
      <c r="CK18" s="48">
        <v>0.01</v>
      </c>
      <c r="CL18" s="1">
        <f>CH18*CK18</f>
        <v>9903.09</v>
      </c>
    </row>
    <row r="20" spans="1:90" ht="60" x14ac:dyDescent="0.25">
      <c r="E20" s="2" t="s">
        <v>176</v>
      </c>
      <c r="F20" s="2" t="s">
        <v>177</v>
      </c>
      <c r="G20" s="59" t="s">
        <v>178</v>
      </c>
      <c r="H20" s="2" t="s">
        <v>179</v>
      </c>
      <c r="I20" s="2" t="s">
        <v>180</v>
      </c>
      <c r="J20" s="2" t="s">
        <v>181</v>
      </c>
      <c r="K20" s="2" t="s">
        <v>182</v>
      </c>
      <c r="L20" s="2" t="s">
        <v>183</v>
      </c>
      <c r="M20" s="60" t="s">
        <v>184</v>
      </c>
      <c r="T20" s="30" t="s">
        <v>242</v>
      </c>
      <c r="AA20" s="30" t="s">
        <v>243</v>
      </c>
      <c r="AC20" s="30" t="s">
        <v>244</v>
      </c>
      <c r="AE20" s="30" t="s">
        <v>245</v>
      </c>
    </row>
    <row r="21" spans="1:90" x14ac:dyDescent="0.25">
      <c r="E21" s="59">
        <f>K18</f>
        <v>40</v>
      </c>
      <c r="F21" s="61">
        <v>0.5</v>
      </c>
      <c r="G21" s="59" t="s">
        <v>185</v>
      </c>
      <c r="H21" s="62">
        <v>35000</v>
      </c>
      <c r="I21" s="61">
        <v>7</v>
      </c>
      <c r="J21" s="59">
        <f>F21*I21</f>
        <v>3.5</v>
      </c>
      <c r="K21" s="59">
        <f>ROUNDUP((E21/J21),0)</f>
        <v>12</v>
      </c>
      <c r="L21" s="59">
        <f>M21*E21</f>
        <v>420000</v>
      </c>
      <c r="M21" s="63">
        <f>(H21*K21)/E21</f>
        <v>10500</v>
      </c>
      <c r="T21" s="30">
        <f>N18+T18+AA18+AC18+AE18+BH18</f>
        <v>2769</v>
      </c>
      <c r="AA21" s="30">
        <f>350+70</f>
        <v>420</v>
      </c>
      <c r="AC21" s="30">
        <f>((T21*F21)+AA21)</f>
        <v>1804.5</v>
      </c>
      <c r="AE21" s="30">
        <f>I21*AC21</f>
        <v>12631.5</v>
      </c>
    </row>
    <row r="24" spans="1:90" ht="45" x14ac:dyDescent="0.25">
      <c r="D24" s="161"/>
      <c r="E24" s="162" t="s">
        <v>248</v>
      </c>
      <c r="F24" s="163" t="s">
        <v>246</v>
      </c>
      <c r="G24" s="83" t="s">
        <v>247</v>
      </c>
    </row>
    <row r="25" spans="1:90" ht="45" x14ac:dyDescent="0.25">
      <c r="D25" s="163" t="str">
        <f>D18</f>
        <v>3 CORE X 120 SQ MM + 1 CORE X 95 SQ MM (AB CABLES) (BARE) - 11 KV</v>
      </c>
      <c r="E25" s="164">
        <v>47955693</v>
      </c>
      <c r="F25" s="165">
        <f>J18*K18</f>
        <v>48640462.344000004</v>
      </c>
      <c r="G25" s="166">
        <f>((F25-E25)/E25)*100</f>
        <v>1.4279208601990263</v>
      </c>
    </row>
  </sheetData>
  <mergeCells count="19">
    <mergeCell ref="B8:R8"/>
    <mergeCell ref="B9:R9"/>
    <mergeCell ref="B10:R10"/>
    <mergeCell ref="A2:R2"/>
    <mergeCell ref="AL15:AR15"/>
    <mergeCell ref="B11:R11"/>
    <mergeCell ref="B12:R12"/>
    <mergeCell ref="B13:R13"/>
    <mergeCell ref="B4:R4"/>
    <mergeCell ref="B5:R5"/>
    <mergeCell ref="B6:R6"/>
    <mergeCell ref="B7:R7"/>
    <mergeCell ref="AS15:BB15"/>
    <mergeCell ref="BC15:BL15"/>
    <mergeCell ref="N15:R15"/>
    <mergeCell ref="S15:T15"/>
    <mergeCell ref="U15:AB15"/>
    <mergeCell ref="AC15:AD15"/>
    <mergeCell ref="AE15:AJ15"/>
  </mergeCells>
  <dataValidations count="1">
    <dataValidation type="list" allowBlank="1" showInputMessage="1" showErrorMessage="1" sqref="G21" xr:uid="{2D604041-42CC-4176-99D1-26CF6C317289}">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D67D9-4AE8-4CB6-B58C-DFD8813EA4BC}">
  <sheetPr>
    <tabColor rgb="FFFF0000"/>
  </sheetPr>
  <dimension ref="A1:AW24"/>
  <sheetViews>
    <sheetView showZeros="0" topLeftCell="A17" zoomScaleNormal="100" workbookViewId="0">
      <selection activeCell="G24" sqref="G24"/>
    </sheetView>
  </sheetViews>
  <sheetFormatPr defaultRowHeight="12.75" x14ac:dyDescent="0.2"/>
  <cols>
    <col min="1" max="1" width="41" style="68" customWidth="1"/>
    <col min="2" max="2" width="19.5703125" style="68" bestFit="1" customWidth="1"/>
    <col min="3" max="3" width="10.140625" style="68" customWidth="1"/>
    <col min="4" max="4" width="11.5703125" style="68" customWidth="1"/>
    <col min="5" max="5" width="9.42578125" style="68" bestFit="1" customWidth="1"/>
    <col min="6" max="6" width="9.42578125" style="68" customWidth="1"/>
    <col min="7" max="8" width="8.42578125" style="68" bestFit="1" customWidth="1"/>
    <col min="9" max="9" width="10.7109375" style="68" bestFit="1" customWidth="1"/>
    <col min="10" max="10" width="9.140625" style="68"/>
    <col min="11" max="11" width="8.42578125" style="68" bestFit="1" customWidth="1"/>
    <col min="12" max="12" width="8.42578125" style="68" customWidth="1"/>
    <col min="13" max="13" width="8.42578125" style="68" bestFit="1" customWidth="1"/>
    <col min="14" max="14" width="6.42578125" style="68" bestFit="1" customWidth="1"/>
    <col min="15" max="15" width="6.28515625" style="68" customWidth="1"/>
    <col min="16" max="16" width="6.5703125" style="68" customWidth="1"/>
    <col min="17" max="17" width="6" style="68" customWidth="1"/>
    <col min="18" max="18" width="6.7109375" style="68" bestFit="1" customWidth="1"/>
    <col min="19" max="19" width="7.42578125" style="68" bestFit="1" customWidth="1"/>
    <col min="20" max="20" width="7" style="68" bestFit="1" customWidth="1"/>
    <col min="21" max="21" width="6.5703125" style="68" bestFit="1" customWidth="1"/>
    <col min="22" max="22" width="7.42578125" style="68" bestFit="1" customWidth="1"/>
    <col min="23" max="23" width="10.42578125" style="68" bestFit="1" customWidth="1"/>
    <col min="24" max="24" width="11" style="68" bestFit="1" customWidth="1"/>
    <col min="25" max="25" width="10" style="68" bestFit="1" customWidth="1"/>
    <col min="26" max="26" width="9.28515625" style="68" bestFit="1" customWidth="1"/>
    <col min="27" max="27" width="10.140625" style="68" customWidth="1"/>
    <col min="28" max="29" width="10" style="68" customWidth="1"/>
    <col min="30" max="30" width="8.85546875" style="68" customWidth="1"/>
    <col min="31" max="31" width="10.85546875" style="68" bestFit="1" customWidth="1"/>
    <col min="32" max="34" width="10.85546875" style="68" customWidth="1"/>
    <col min="35" max="36" width="9.5703125" style="68" customWidth="1"/>
    <col min="37" max="37" width="9.140625" style="68" bestFit="1" customWidth="1"/>
    <col min="38" max="39" width="9.5703125" style="68" bestFit="1" customWidth="1"/>
    <col min="40" max="40" width="10.5703125" style="68" bestFit="1" customWidth="1"/>
    <col min="41" max="41" width="9.5703125" style="68" customWidth="1"/>
    <col min="42" max="42" width="9.5703125" style="68" bestFit="1" customWidth="1"/>
    <col min="43" max="43" width="10.5703125" style="68" bestFit="1" customWidth="1"/>
    <col min="44" max="44" width="8.140625" style="68" customWidth="1"/>
    <col min="45" max="45" width="8.85546875" style="68" customWidth="1"/>
    <col min="46" max="47" width="9.140625" style="68"/>
    <col min="48" max="48" width="9.5703125" style="68" bestFit="1" customWidth="1"/>
    <col min="49" max="263" width="9.140625" style="68"/>
    <col min="264" max="264" width="41" style="68" customWidth="1"/>
    <col min="265" max="265" width="19.5703125" style="68" bestFit="1" customWidth="1"/>
    <col min="266" max="266" width="10.140625" style="68" customWidth="1"/>
    <col min="267" max="267" width="10.42578125" style="68" bestFit="1" customWidth="1"/>
    <col min="268" max="268" width="11.28515625" style="68" customWidth="1"/>
    <col min="269" max="269" width="9.42578125" style="68" customWidth="1"/>
    <col min="270" max="270" width="10.140625" style="68" bestFit="1" customWidth="1"/>
    <col min="271" max="272" width="9.140625" style="68"/>
    <col min="273" max="273" width="7.28515625" style="68" customWidth="1"/>
    <col min="274" max="279" width="7.42578125" style="68" customWidth="1"/>
    <col min="280" max="280" width="9.42578125" style="68" bestFit="1" customWidth="1"/>
    <col min="281" max="281" width="12" style="68" bestFit="1" customWidth="1"/>
    <col min="282" max="283" width="12" style="68" customWidth="1"/>
    <col min="284" max="284" width="13.140625" style="68" bestFit="1" customWidth="1"/>
    <col min="285" max="286" width="13.140625" style="68" customWidth="1"/>
    <col min="287" max="288" width="14.42578125" style="68" bestFit="1" customWidth="1"/>
    <col min="289" max="290" width="9.140625" style="68" customWidth="1"/>
    <col min="291" max="291" width="9.5703125" style="68" customWidth="1"/>
    <col min="292" max="293" width="9.5703125" style="68" bestFit="1" customWidth="1"/>
    <col min="294" max="295" width="10.140625" style="68" bestFit="1" customWidth="1"/>
    <col min="296" max="296" width="9.5703125" style="68" bestFit="1" customWidth="1"/>
    <col min="297" max="297" width="9.5703125" style="68" customWidth="1"/>
    <col min="298" max="298" width="9" style="68" customWidth="1"/>
    <col min="299" max="299" width="10.5703125" style="68" bestFit="1" customWidth="1"/>
    <col min="300" max="300" width="11.42578125" style="68" bestFit="1" customWidth="1"/>
    <col min="301" max="301" width="18" style="68" bestFit="1" customWidth="1"/>
    <col min="302" max="519" width="9.140625" style="68"/>
    <col min="520" max="520" width="41" style="68" customWidth="1"/>
    <col min="521" max="521" width="19.5703125" style="68" bestFit="1" customWidth="1"/>
    <col min="522" max="522" width="10.140625" style="68" customWidth="1"/>
    <col min="523" max="523" width="10.42578125" style="68" bestFit="1" customWidth="1"/>
    <col min="524" max="524" width="11.28515625" style="68" customWidth="1"/>
    <col min="525" max="525" width="9.42578125" style="68" customWidth="1"/>
    <col min="526" max="526" width="10.140625" style="68" bestFit="1" customWidth="1"/>
    <col min="527" max="528" width="9.140625" style="68"/>
    <col min="529" max="529" width="7.28515625" style="68" customWidth="1"/>
    <col min="530" max="535" width="7.42578125" style="68" customWidth="1"/>
    <col min="536" max="536" width="9.42578125" style="68" bestFit="1" customWidth="1"/>
    <col min="537" max="537" width="12" style="68" bestFit="1" customWidth="1"/>
    <col min="538" max="539" width="12" style="68" customWidth="1"/>
    <col min="540" max="540" width="13.140625" style="68" bestFit="1" customWidth="1"/>
    <col min="541" max="542" width="13.140625" style="68" customWidth="1"/>
    <col min="543" max="544" width="14.42578125" style="68" bestFit="1" customWidth="1"/>
    <col min="545" max="546" width="9.140625" style="68" customWidth="1"/>
    <col min="547" max="547" width="9.5703125" style="68" customWidth="1"/>
    <col min="548" max="549" width="9.5703125" style="68" bestFit="1" customWidth="1"/>
    <col min="550" max="551" width="10.140625" style="68" bestFit="1" customWidth="1"/>
    <col min="552" max="552" width="9.5703125" style="68" bestFit="1" customWidth="1"/>
    <col min="553" max="553" width="9.5703125" style="68" customWidth="1"/>
    <col min="554" max="554" width="9" style="68" customWidth="1"/>
    <col min="555" max="555" width="10.5703125" style="68" bestFit="1" customWidth="1"/>
    <col min="556" max="556" width="11.42578125" style="68" bestFit="1" customWidth="1"/>
    <col min="557" max="557" width="18" style="68" bestFit="1" customWidth="1"/>
    <col min="558" max="775" width="9.140625" style="68"/>
    <col min="776" max="776" width="41" style="68" customWidth="1"/>
    <col min="777" max="777" width="19.5703125" style="68" bestFit="1" customWidth="1"/>
    <col min="778" max="778" width="10.140625" style="68" customWidth="1"/>
    <col min="779" max="779" width="10.42578125" style="68" bestFit="1" customWidth="1"/>
    <col min="780" max="780" width="11.28515625" style="68" customWidth="1"/>
    <col min="781" max="781" width="9.42578125" style="68" customWidth="1"/>
    <col min="782" max="782" width="10.140625" style="68" bestFit="1" customWidth="1"/>
    <col min="783" max="784" width="9.140625" style="68"/>
    <col min="785" max="785" width="7.28515625" style="68" customWidth="1"/>
    <col min="786" max="791" width="7.42578125" style="68" customWidth="1"/>
    <col min="792" max="792" width="9.42578125" style="68" bestFit="1" customWidth="1"/>
    <col min="793" max="793" width="12" style="68" bestFit="1" customWidth="1"/>
    <col min="794" max="795" width="12" style="68" customWidth="1"/>
    <col min="796" max="796" width="13.140625" style="68" bestFit="1" customWidth="1"/>
    <col min="797" max="798" width="13.140625" style="68" customWidth="1"/>
    <col min="799" max="800" width="14.42578125" style="68" bestFit="1" customWidth="1"/>
    <col min="801" max="802" width="9.140625" style="68" customWidth="1"/>
    <col min="803" max="803" width="9.5703125" style="68" customWidth="1"/>
    <col min="804" max="805" width="9.5703125" style="68" bestFit="1" customWidth="1"/>
    <col min="806" max="807" width="10.140625" style="68" bestFit="1" customWidth="1"/>
    <col min="808" max="808" width="9.5703125" style="68" bestFit="1" customWidth="1"/>
    <col min="809" max="809" width="9.5703125" style="68" customWidth="1"/>
    <col min="810" max="810" width="9" style="68" customWidth="1"/>
    <col min="811" max="811" width="10.5703125" style="68" bestFit="1" customWidth="1"/>
    <col min="812" max="812" width="11.42578125" style="68" bestFit="1" customWidth="1"/>
    <col min="813" max="813" width="18" style="68" bestFit="1" customWidth="1"/>
    <col min="814" max="1031" width="9.140625" style="68"/>
    <col min="1032" max="1032" width="41" style="68" customWidth="1"/>
    <col min="1033" max="1033" width="19.5703125" style="68" bestFit="1" customWidth="1"/>
    <col min="1034" max="1034" width="10.140625" style="68" customWidth="1"/>
    <col min="1035" max="1035" width="10.42578125" style="68" bestFit="1" customWidth="1"/>
    <col min="1036" max="1036" width="11.28515625" style="68" customWidth="1"/>
    <col min="1037" max="1037" width="9.42578125" style="68" customWidth="1"/>
    <col min="1038" max="1038" width="10.140625" style="68" bestFit="1" customWidth="1"/>
    <col min="1039" max="1040" width="9.140625" style="68"/>
    <col min="1041" max="1041" width="7.28515625" style="68" customWidth="1"/>
    <col min="1042" max="1047" width="7.42578125" style="68" customWidth="1"/>
    <col min="1048" max="1048" width="9.42578125" style="68" bestFit="1" customWidth="1"/>
    <col min="1049" max="1049" width="12" style="68" bestFit="1" customWidth="1"/>
    <col min="1050" max="1051" width="12" style="68" customWidth="1"/>
    <col min="1052" max="1052" width="13.140625" style="68" bestFit="1" customWidth="1"/>
    <col min="1053" max="1054" width="13.140625" style="68" customWidth="1"/>
    <col min="1055" max="1056" width="14.42578125" style="68" bestFit="1" customWidth="1"/>
    <col min="1057" max="1058" width="9.140625" style="68" customWidth="1"/>
    <col min="1059" max="1059" width="9.5703125" style="68" customWidth="1"/>
    <col min="1060" max="1061" width="9.5703125" style="68" bestFit="1" customWidth="1"/>
    <col min="1062" max="1063" width="10.140625" style="68" bestFit="1" customWidth="1"/>
    <col min="1064" max="1064" width="9.5703125" style="68" bestFit="1" customWidth="1"/>
    <col min="1065" max="1065" width="9.5703125" style="68" customWidth="1"/>
    <col min="1066" max="1066" width="9" style="68" customWidth="1"/>
    <col min="1067" max="1067" width="10.5703125" style="68" bestFit="1" customWidth="1"/>
    <col min="1068" max="1068" width="11.42578125" style="68" bestFit="1" customWidth="1"/>
    <col min="1069" max="1069" width="18" style="68" bestFit="1" customWidth="1"/>
    <col min="1070" max="1287" width="9.140625" style="68"/>
    <col min="1288" max="1288" width="41" style="68" customWidth="1"/>
    <col min="1289" max="1289" width="19.5703125" style="68" bestFit="1" customWidth="1"/>
    <col min="1290" max="1290" width="10.140625" style="68" customWidth="1"/>
    <col min="1291" max="1291" width="10.42578125" style="68" bestFit="1" customWidth="1"/>
    <col min="1292" max="1292" width="11.28515625" style="68" customWidth="1"/>
    <col min="1293" max="1293" width="9.42578125" style="68" customWidth="1"/>
    <col min="1294" max="1294" width="10.140625" style="68" bestFit="1" customWidth="1"/>
    <col min="1295" max="1296" width="9.140625" style="68"/>
    <col min="1297" max="1297" width="7.28515625" style="68" customWidth="1"/>
    <col min="1298" max="1303" width="7.42578125" style="68" customWidth="1"/>
    <col min="1304" max="1304" width="9.42578125" style="68" bestFit="1" customWidth="1"/>
    <col min="1305" max="1305" width="12" style="68" bestFit="1" customWidth="1"/>
    <col min="1306" max="1307" width="12" style="68" customWidth="1"/>
    <col min="1308" max="1308" width="13.140625" style="68" bestFit="1" customWidth="1"/>
    <col min="1309" max="1310" width="13.140625" style="68" customWidth="1"/>
    <col min="1311" max="1312" width="14.42578125" style="68" bestFit="1" customWidth="1"/>
    <col min="1313" max="1314" width="9.140625" style="68" customWidth="1"/>
    <col min="1315" max="1315" width="9.5703125" style="68" customWidth="1"/>
    <col min="1316" max="1317" width="9.5703125" style="68" bestFit="1" customWidth="1"/>
    <col min="1318" max="1319" width="10.140625" style="68" bestFit="1" customWidth="1"/>
    <col min="1320" max="1320" width="9.5703125" style="68" bestFit="1" customWidth="1"/>
    <col min="1321" max="1321" width="9.5703125" style="68" customWidth="1"/>
    <col min="1322" max="1322" width="9" style="68" customWidth="1"/>
    <col min="1323" max="1323" width="10.5703125" style="68" bestFit="1" customWidth="1"/>
    <col min="1324" max="1324" width="11.42578125" style="68" bestFit="1" customWidth="1"/>
    <col min="1325" max="1325" width="18" style="68" bestFit="1" customWidth="1"/>
    <col min="1326" max="1543" width="9.140625" style="68"/>
    <col min="1544" max="1544" width="41" style="68" customWidth="1"/>
    <col min="1545" max="1545" width="19.5703125" style="68" bestFit="1" customWidth="1"/>
    <col min="1546" max="1546" width="10.140625" style="68" customWidth="1"/>
    <col min="1547" max="1547" width="10.42578125" style="68" bestFit="1" customWidth="1"/>
    <col min="1548" max="1548" width="11.28515625" style="68" customWidth="1"/>
    <col min="1549" max="1549" width="9.42578125" style="68" customWidth="1"/>
    <col min="1550" max="1550" width="10.140625" style="68" bestFit="1" customWidth="1"/>
    <col min="1551" max="1552" width="9.140625" style="68"/>
    <col min="1553" max="1553" width="7.28515625" style="68" customWidth="1"/>
    <col min="1554" max="1559" width="7.42578125" style="68" customWidth="1"/>
    <col min="1560" max="1560" width="9.42578125" style="68" bestFit="1" customWidth="1"/>
    <col min="1561" max="1561" width="12" style="68" bestFit="1" customWidth="1"/>
    <col min="1562" max="1563" width="12" style="68" customWidth="1"/>
    <col min="1564" max="1564" width="13.140625" style="68" bestFit="1" customWidth="1"/>
    <col min="1565" max="1566" width="13.140625" style="68" customWidth="1"/>
    <col min="1567" max="1568" width="14.42578125" style="68" bestFit="1" customWidth="1"/>
    <col min="1569" max="1570" width="9.140625" style="68" customWidth="1"/>
    <col min="1571" max="1571" width="9.5703125" style="68" customWidth="1"/>
    <col min="1572" max="1573" width="9.5703125" style="68" bestFit="1" customWidth="1"/>
    <col min="1574" max="1575" width="10.140625" style="68" bestFit="1" customWidth="1"/>
    <col min="1576" max="1576" width="9.5703125" style="68" bestFit="1" customWidth="1"/>
    <col min="1577" max="1577" width="9.5703125" style="68" customWidth="1"/>
    <col min="1578" max="1578" width="9" style="68" customWidth="1"/>
    <col min="1579" max="1579" width="10.5703125" style="68" bestFit="1" customWidth="1"/>
    <col min="1580" max="1580" width="11.42578125" style="68" bestFit="1" customWidth="1"/>
    <col min="1581" max="1581" width="18" style="68" bestFit="1" customWidth="1"/>
    <col min="1582" max="1799" width="9.140625" style="68"/>
    <col min="1800" max="1800" width="41" style="68" customWidth="1"/>
    <col min="1801" max="1801" width="19.5703125" style="68" bestFit="1" customWidth="1"/>
    <col min="1802" max="1802" width="10.140625" style="68" customWidth="1"/>
    <col min="1803" max="1803" width="10.42578125" style="68" bestFit="1" customWidth="1"/>
    <col min="1804" max="1804" width="11.28515625" style="68" customWidth="1"/>
    <col min="1805" max="1805" width="9.42578125" style="68" customWidth="1"/>
    <col min="1806" max="1806" width="10.140625" style="68" bestFit="1" customWidth="1"/>
    <col min="1807" max="1808" width="9.140625" style="68"/>
    <col min="1809" max="1809" width="7.28515625" style="68" customWidth="1"/>
    <col min="1810" max="1815" width="7.42578125" style="68" customWidth="1"/>
    <col min="1816" max="1816" width="9.42578125" style="68" bestFit="1" customWidth="1"/>
    <col min="1817" max="1817" width="12" style="68" bestFit="1" customWidth="1"/>
    <col min="1818" max="1819" width="12" style="68" customWidth="1"/>
    <col min="1820" max="1820" width="13.140625" style="68" bestFit="1" customWidth="1"/>
    <col min="1821" max="1822" width="13.140625" style="68" customWidth="1"/>
    <col min="1823" max="1824" width="14.42578125" style="68" bestFit="1" customWidth="1"/>
    <col min="1825" max="1826" width="9.140625" style="68" customWidth="1"/>
    <col min="1827" max="1827" width="9.5703125" style="68" customWidth="1"/>
    <col min="1828" max="1829" width="9.5703125" style="68" bestFit="1" customWidth="1"/>
    <col min="1830" max="1831" width="10.140625" style="68" bestFit="1" customWidth="1"/>
    <col min="1832" max="1832" width="9.5703125" style="68" bestFit="1" customWidth="1"/>
    <col min="1833" max="1833" width="9.5703125" style="68" customWidth="1"/>
    <col min="1834" max="1834" width="9" style="68" customWidth="1"/>
    <col min="1835" max="1835" width="10.5703125" style="68" bestFit="1" customWidth="1"/>
    <col min="1836" max="1836" width="11.42578125" style="68" bestFit="1" customWidth="1"/>
    <col min="1837" max="1837" width="18" style="68" bestFit="1" customWidth="1"/>
    <col min="1838" max="2055" width="9.140625" style="68"/>
    <col min="2056" max="2056" width="41" style="68" customWidth="1"/>
    <col min="2057" max="2057" width="19.5703125" style="68" bestFit="1" customWidth="1"/>
    <col min="2058" max="2058" width="10.140625" style="68" customWidth="1"/>
    <col min="2059" max="2059" width="10.42578125" style="68" bestFit="1" customWidth="1"/>
    <col min="2060" max="2060" width="11.28515625" style="68" customWidth="1"/>
    <col min="2061" max="2061" width="9.42578125" style="68" customWidth="1"/>
    <col min="2062" max="2062" width="10.140625" style="68" bestFit="1" customWidth="1"/>
    <col min="2063" max="2064" width="9.140625" style="68"/>
    <col min="2065" max="2065" width="7.28515625" style="68" customWidth="1"/>
    <col min="2066" max="2071" width="7.42578125" style="68" customWidth="1"/>
    <col min="2072" max="2072" width="9.42578125" style="68" bestFit="1" customWidth="1"/>
    <col min="2073" max="2073" width="12" style="68" bestFit="1" customWidth="1"/>
    <col min="2074" max="2075" width="12" style="68" customWidth="1"/>
    <col min="2076" max="2076" width="13.140625" style="68" bestFit="1" customWidth="1"/>
    <col min="2077" max="2078" width="13.140625" style="68" customWidth="1"/>
    <col min="2079" max="2080" width="14.42578125" style="68" bestFit="1" customWidth="1"/>
    <col min="2081" max="2082" width="9.140625" style="68" customWidth="1"/>
    <col min="2083" max="2083" width="9.5703125" style="68" customWidth="1"/>
    <col min="2084" max="2085" width="9.5703125" style="68" bestFit="1" customWidth="1"/>
    <col min="2086" max="2087" width="10.140625" style="68" bestFit="1" customWidth="1"/>
    <col min="2088" max="2088" width="9.5703125" style="68" bestFit="1" customWidth="1"/>
    <col min="2089" max="2089" width="9.5703125" style="68" customWidth="1"/>
    <col min="2090" max="2090" width="9" style="68" customWidth="1"/>
    <col min="2091" max="2091" width="10.5703125" style="68" bestFit="1" customWidth="1"/>
    <col min="2092" max="2092" width="11.42578125" style="68" bestFit="1" customWidth="1"/>
    <col min="2093" max="2093" width="18" style="68" bestFit="1" customWidth="1"/>
    <col min="2094" max="2311" width="9.140625" style="68"/>
    <col min="2312" max="2312" width="41" style="68" customWidth="1"/>
    <col min="2313" max="2313" width="19.5703125" style="68" bestFit="1" customWidth="1"/>
    <col min="2314" max="2314" width="10.140625" style="68" customWidth="1"/>
    <col min="2315" max="2315" width="10.42578125" style="68" bestFit="1" customWidth="1"/>
    <col min="2316" max="2316" width="11.28515625" style="68" customWidth="1"/>
    <col min="2317" max="2317" width="9.42578125" style="68" customWidth="1"/>
    <col min="2318" max="2318" width="10.140625" style="68" bestFit="1" customWidth="1"/>
    <col min="2319" max="2320" width="9.140625" style="68"/>
    <col min="2321" max="2321" width="7.28515625" style="68" customWidth="1"/>
    <col min="2322" max="2327" width="7.42578125" style="68" customWidth="1"/>
    <col min="2328" max="2328" width="9.42578125" style="68" bestFit="1" customWidth="1"/>
    <col min="2329" max="2329" width="12" style="68" bestFit="1" customWidth="1"/>
    <col min="2330" max="2331" width="12" style="68" customWidth="1"/>
    <col min="2332" max="2332" width="13.140625" style="68" bestFit="1" customWidth="1"/>
    <col min="2333" max="2334" width="13.140625" style="68" customWidth="1"/>
    <col min="2335" max="2336" width="14.42578125" style="68" bestFit="1" customWidth="1"/>
    <col min="2337" max="2338" width="9.140625" style="68" customWidth="1"/>
    <col min="2339" max="2339" width="9.5703125" style="68" customWidth="1"/>
    <col min="2340" max="2341" width="9.5703125" style="68" bestFit="1" customWidth="1"/>
    <col min="2342" max="2343" width="10.140625" style="68" bestFit="1" customWidth="1"/>
    <col min="2344" max="2344" width="9.5703125" style="68" bestFit="1" customWidth="1"/>
    <col min="2345" max="2345" width="9.5703125" style="68" customWidth="1"/>
    <col min="2346" max="2346" width="9" style="68" customWidth="1"/>
    <col min="2347" max="2347" width="10.5703125" style="68" bestFit="1" customWidth="1"/>
    <col min="2348" max="2348" width="11.42578125" style="68" bestFit="1" customWidth="1"/>
    <col min="2349" max="2349" width="18" style="68" bestFit="1" customWidth="1"/>
    <col min="2350" max="2567" width="9.140625" style="68"/>
    <col min="2568" max="2568" width="41" style="68" customWidth="1"/>
    <col min="2569" max="2569" width="19.5703125" style="68" bestFit="1" customWidth="1"/>
    <col min="2570" max="2570" width="10.140625" style="68" customWidth="1"/>
    <col min="2571" max="2571" width="10.42578125" style="68" bestFit="1" customWidth="1"/>
    <col min="2572" max="2572" width="11.28515625" style="68" customWidth="1"/>
    <col min="2573" max="2573" width="9.42578125" style="68" customWidth="1"/>
    <col min="2574" max="2574" width="10.140625" style="68" bestFit="1" customWidth="1"/>
    <col min="2575" max="2576" width="9.140625" style="68"/>
    <col min="2577" max="2577" width="7.28515625" style="68" customWidth="1"/>
    <col min="2578" max="2583" width="7.42578125" style="68" customWidth="1"/>
    <col min="2584" max="2584" width="9.42578125" style="68" bestFit="1" customWidth="1"/>
    <col min="2585" max="2585" width="12" style="68" bestFit="1" customWidth="1"/>
    <col min="2586" max="2587" width="12" style="68" customWidth="1"/>
    <col min="2588" max="2588" width="13.140625" style="68" bestFit="1" customWidth="1"/>
    <col min="2589" max="2590" width="13.140625" style="68" customWidth="1"/>
    <col min="2591" max="2592" width="14.42578125" style="68" bestFit="1" customWidth="1"/>
    <col min="2593" max="2594" width="9.140625" style="68" customWidth="1"/>
    <col min="2595" max="2595" width="9.5703125" style="68" customWidth="1"/>
    <col min="2596" max="2597" width="9.5703125" style="68" bestFit="1" customWidth="1"/>
    <col min="2598" max="2599" width="10.140625" style="68" bestFit="1" customWidth="1"/>
    <col min="2600" max="2600" width="9.5703125" style="68" bestFit="1" customWidth="1"/>
    <col min="2601" max="2601" width="9.5703125" style="68" customWidth="1"/>
    <col min="2602" max="2602" width="9" style="68" customWidth="1"/>
    <col min="2603" max="2603" width="10.5703125" style="68" bestFit="1" customWidth="1"/>
    <col min="2604" max="2604" width="11.42578125" style="68" bestFit="1" customWidth="1"/>
    <col min="2605" max="2605" width="18" style="68" bestFit="1" customWidth="1"/>
    <col min="2606" max="2823" width="9.140625" style="68"/>
    <col min="2824" max="2824" width="41" style="68" customWidth="1"/>
    <col min="2825" max="2825" width="19.5703125" style="68" bestFit="1" customWidth="1"/>
    <col min="2826" max="2826" width="10.140625" style="68" customWidth="1"/>
    <col min="2827" max="2827" width="10.42578125" style="68" bestFit="1" customWidth="1"/>
    <col min="2828" max="2828" width="11.28515625" style="68" customWidth="1"/>
    <col min="2829" max="2829" width="9.42578125" style="68" customWidth="1"/>
    <col min="2830" max="2830" width="10.140625" style="68" bestFit="1" customWidth="1"/>
    <col min="2831" max="2832" width="9.140625" style="68"/>
    <col min="2833" max="2833" width="7.28515625" style="68" customWidth="1"/>
    <col min="2834" max="2839" width="7.42578125" style="68" customWidth="1"/>
    <col min="2840" max="2840" width="9.42578125" style="68" bestFit="1" customWidth="1"/>
    <col min="2841" max="2841" width="12" style="68" bestFit="1" customWidth="1"/>
    <col min="2842" max="2843" width="12" style="68" customWidth="1"/>
    <col min="2844" max="2844" width="13.140625" style="68" bestFit="1" customWidth="1"/>
    <col min="2845" max="2846" width="13.140625" style="68" customWidth="1"/>
    <col min="2847" max="2848" width="14.42578125" style="68" bestFit="1" customWidth="1"/>
    <col min="2849" max="2850" width="9.140625" style="68" customWidth="1"/>
    <col min="2851" max="2851" width="9.5703125" style="68" customWidth="1"/>
    <col min="2852" max="2853" width="9.5703125" style="68" bestFit="1" customWidth="1"/>
    <col min="2854" max="2855" width="10.140625" style="68" bestFit="1" customWidth="1"/>
    <col min="2856" max="2856" width="9.5703125" style="68" bestFit="1" customWidth="1"/>
    <col min="2857" max="2857" width="9.5703125" style="68" customWidth="1"/>
    <col min="2858" max="2858" width="9" style="68" customWidth="1"/>
    <col min="2859" max="2859" width="10.5703125" style="68" bestFit="1" customWidth="1"/>
    <col min="2860" max="2860" width="11.42578125" style="68" bestFit="1" customWidth="1"/>
    <col min="2861" max="2861" width="18" style="68" bestFit="1" customWidth="1"/>
    <col min="2862" max="3079" width="9.140625" style="68"/>
    <col min="3080" max="3080" width="41" style="68" customWidth="1"/>
    <col min="3081" max="3081" width="19.5703125" style="68" bestFit="1" customWidth="1"/>
    <col min="3082" max="3082" width="10.140625" style="68" customWidth="1"/>
    <col min="3083" max="3083" width="10.42578125" style="68" bestFit="1" customWidth="1"/>
    <col min="3084" max="3084" width="11.28515625" style="68" customWidth="1"/>
    <col min="3085" max="3085" width="9.42578125" style="68" customWidth="1"/>
    <col min="3086" max="3086" width="10.140625" style="68" bestFit="1" customWidth="1"/>
    <col min="3087" max="3088" width="9.140625" style="68"/>
    <col min="3089" max="3089" width="7.28515625" style="68" customWidth="1"/>
    <col min="3090" max="3095" width="7.42578125" style="68" customWidth="1"/>
    <col min="3096" max="3096" width="9.42578125" style="68" bestFit="1" customWidth="1"/>
    <col min="3097" max="3097" width="12" style="68" bestFit="1" customWidth="1"/>
    <col min="3098" max="3099" width="12" style="68" customWidth="1"/>
    <col min="3100" max="3100" width="13.140625" style="68" bestFit="1" customWidth="1"/>
    <col min="3101" max="3102" width="13.140625" style="68" customWidth="1"/>
    <col min="3103" max="3104" width="14.42578125" style="68" bestFit="1" customWidth="1"/>
    <col min="3105" max="3106" width="9.140625" style="68" customWidth="1"/>
    <col min="3107" max="3107" width="9.5703125" style="68" customWidth="1"/>
    <col min="3108" max="3109" width="9.5703125" style="68" bestFit="1" customWidth="1"/>
    <col min="3110" max="3111" width="10.140625" style="68" bestFit="1" customWidth="1"/>
    <col min="3112" max="3112" width="9.5703125" style="68" bestFit="1" customWidth="1"/>
    <col min="3113" max="3113" width="9.5703125" style="68" customWidth="1"/>
    <col min="3114" max="3114" width="9" style="68" customWidth="1"/>
    <col min="3115" max="3115" width="10.5703125" style="68" bestFit="1" customWidth="1"/>
    <col min="3116" max="3116" width="11.42578125" style="68" bestFit="1" customWidth="1"/>
    <col min="3117" max="3117" width="18" style="68" bestFit="1" customWidth="1"/>
    <col min="3118" max="3335" width="9.140625" style="68"/>
    <col min="3336" max="3336" width="41" style="68" customWidth="1"/>
    <col min="3337" max="3337" width="19.5703125" style="68" bestFit="1" customWidth="1"/>
    <col min="3338" max="3338" width="10.140625" style="68" customWidth="1"/>
    <col min="3339" max="3339" width="10.42578125" style="68" bestFit="1" customWidth="1"/>
    <col min="3340" max="3340" width="11.28515625" style="68" customWidth="1"/>
    <col min="3341" max="3341" width="9.42578125" style="68" customWidth="1"/>
    <col min="3342" max="3342" width="10.140625" style="68" bestFit="1" customWidth="1"/>
    <col min="3343" max="3344" width="9.140625" style="68"/>
    <col min="3345" max="3345" width="7.28515625" style="68" customWidth="1"/>
    <col min="3346" max="3351" width="7.42578125" style="68" customWidth="1"/>
    <col min="3352" max="3352" width="9.42578125" style="68" bestFit="1" customWidth="1"/>
    <col min="3353" max="3353" width="12" style="68" bestFit="1" customWidth="1"/>
    <col min="3354" max="3355" width="12" style="68" customWidth="1"/>
    <col min="3356" max="3356" width="13.140625" style="68" bestFit="1" customWidth="1"/>
    <col min="3357" max="3358" width="13.140625" style="68" customWidth="1"/>
    <col min="3359" max="3360" width="14.42578125" style="68" bestFit="1" customWidth="1"/>
    <col min="3361" max="3362" width="9.140625" style="68" customWidth="1"/>
    <col min="3363" max="3363" width="9.5703125" style="68" customWidth="1"/>
    <col min="3364" max="3365" width="9.5703125" style="68" bestFit="1" customWidth="1"/>
    <col min="3366" max="3367" width="10.140625" style="68" bestFit="1" customWidth="1"/>
    <col min="3368" max="3368" width="9.5703125" style="68" bestFit="1" customWidth="1"/>
    <col min="3369" max="3369" width="9.5703125" style="68" customWidth="1"/>
    <col min="3370" max="3370" width="9" style="68" customWidth="1"/>
    <col min="3371" max="3371" width="10.5703125" style="68" bestFit="1" customWidth="1"/>
    <col min="3372" max="3372" width="11.42578125" style="68" bestFit="1" customWidth="1"/>
    <col min="3373" max="3373" width="18" style="68" bestFit="1" customWidth="1"/>
    <col min="3374" max="3591" width="9.140625" style="68"/>
    <col min="3592" max="3592" width="41" style="68" customWidth="1"/>
    <col min="3593" max="3593" width="19.5703125" style="68" bestFit="1" customWidth="1"/>
    <col min="3594" max="3594" width="10.140625" style="68" customWidth="1"/>
    <col min="3595" max="3595" width="10.42578125" style="68" bestFit="1" customWidth="1"/>
    <col min="3596" max="3596" width="11.28515625" style="68" customWidth="1"/>
    <col min="3597" max="3597" width="9.42578125" style="68" customWidth="1"/>
    <col min="3598" max="3598" width="10.140625" style="68" bestFit="1" customWidth="1"/>
    <col min="3599" max="3600" width="9.140625" style="68"/>
    <col min="3601" max="3601" width="7.28515625" style="68" customWidth="1"/>
    <col min="3602" max="3607" width="7.42578125" style="68" customWidth="1"/>
    <col min="3608" max="3608" width="9.42578125" style="68" bestFit="1" customWidth="1"/>
    <col min="3609" max="3609" width="12" style="68" bestFit="1" customWidth="1"/>
    <col min="3610" max="3611" width="12" style="68" customWidth="1"/>
    <col min="3612" max="3612" width="13.140625" style="68" bestFit="1" customWidth="1"/>
    <col min="3613" max="3614" width="13.140625" style="68" customWidth="1"/>
    <col min="3615" max="3616" width="14.42578125" style="68" bestFit="1" customWidth="1"/>
    <col min="3617" max="3618" width="9.140625" style="68" customWidth="1"/>
    <col min="3619" max="3619" width="9.5703125" style="68" customWidth="1"/>
    <col min="3620" max="3621" width="9.5703125" style="68" bestFit="1" customWidth="1"/>
    <col min="3622" max="3623" width="10.140625" style="68" bestFit="1" customWidth="1"/>
    <col min="3624" max="3624" width="9.5703125" style="68" bestFit="1" customWidth="1"/>
    <col min="3625" max="3625" width="9.5703125" style="68" customWidth="1"/>
    <col min="3626" max="3626" width="9" style="68" customWidth="1"/>
    <col min="3627" max="3627" width="10.5703125" style="68" bestFit="1" customWidth="1"/>
    <col min="3628" max="3628" width="11.42578125" style="68" bestFit="1" customWidth="1"/>
    <col min="3629" max="3629" width="18" style="68" bestFit="1" customWidth="1"/>
    <col min="3630" max="3847" width="9.140625" style="68"/>
    <col min="3848" max="3848" width="41" style="68" customWidth="1"/>
    <col min="3849" max="3849" width="19.5703125" style="68" bestFit="1" customWidth="1"/>
    <col min="3850" max="3850" width="10.140625" style="68" customWidth="1"/>
    <col min="3851" max="3851" width="10.42578125" style="68" bestFit="1" customWidth="1"/>
    <col min="3852" max="3852" width="11.28515625" style="68" customWidth="1"/>
    <col min="3853" max="3853" width="9.42578125" style="68" customWidth="1"/>
    <col min="3854" max="3854" width="10.140625" style="68" bestFit="1" customWidth="1"/>
    <col min="3855" max="3856" width="9.140625" style="68"/>
    <col min="3857" max="3857" width="7.28515625" style="68" customWidth="1"/>
    <col min="3858" max="3863" width="7.42578125" style="68" customWidth="1"/>
    <col min="3864" max="3864" width="9.42578125" style="68" bestFit="1" customWidth="1"/>
    <col min="3865" max="3865" width="12" style="68" bestFit="1" customWidth="1"/>
    <col min="3866" max="3867" width="12" style="68" customWidth="1"/>
    <col min="3868" max="3868" width="13.140625" style="68" bestFit="1" customWidth="1"/>
    <col min="3869" max="3870" width="13.140625" style="68" customWidth="1"/>
    <col min="3871" max="3872" width="14.42578125" style="68" bestFit="1" customWidth="1"/>
    <col min="3873" max="3874" width="9.140625" style="68" customWidth="1"/>
    <col min="3875" max="3875" width="9.5703125" style="68" customWidth="1"/>
    <col min="3876" max="3877" width="9.5703125" style="68" bestFit="1" customWidth="1"/>
    <col min="3878" max="3879" width="10.140625" style="68" bestFit="1" customWidth="1"/>
    <col min="3880" max="3880" width="9.5703125" style="68" bestFit="1" customWidth="1"/>
    <col min="3881" max="3881" width="9.5703125" style="68" customWidth="1"/>
    <col min="3882" max="3882" width="9" style="68" customWidth="1"/>
    <col min="3883" max="3883" width="10.5703125" style="68" bestFit="1" customWidth="1"/>
    <col min="3884" max="3884" width="11.42578125" style="68" bestFit="1" customWidth="1"/>
    <col min="3885" max="3885" width="18" style="68" bestFit="1" customWidth="1"/>
    <col min="3886" max="4103" width="9.140625" style="68"/>
    <col min="4104" max="4104" width="41" style="68" customWidth="1"/>
    <col min="4105" max="4105" width="19.5703125" style="68" bestFit="1" customWidth="1"/>
    <col min="4106" max="4106" width="10.140625" style="68" customWidth="1"/>
    <col min="4107" max="4107" width="10.42578125" style="68" bestFit="1" customWidth="1"/>
    <col min="4108" max="4108" width="11.28515625" style="68" customWidth="1"/>
    <col min="4109" max="4109" width="9.42578125" style="68" customWidth="1"/>
    <col min="4110" max="4110" width="10.140625" style="68" bestFit="1" customWidth="1"/>
    <col min="4111" max="4112" width="9.140625" style="68"/>
    <col min="4113" max="4113" width="7.28515625" style="68" customWidth="1"/>
    <col min="4114" max="4119" width="7.42578125" style="68" customWidth="1"/>
    <col min="4120" max="4120" width="9.42578125" style="68" bestFit="1" customWidth="1"/>
    <col min="4121" max="4121" width="12" style="68" bestFit="1" customWidth="1"/>
    <col min="4122" max="4123" width="12" style="68" customWidth="1"/>
    <col min="4124" max="4124" width="13.140625" style="68" bestFit="1" customWidth="1"/>
    <col min="4125" max="4126" width="13.140625" style="68" customWidth="1"/>
    <col min="4127" max="4128" width="14.42578125" style="68" bestFit="1" customWidth="1"/>
    <col min="4129" max="4130" width="9.140625" style="68" customWidth="1"/>
    <col min="4131" max="4131" width="9.5703125" style="68" customWidth="1"/>
    <col min="4132" max="4133" width="9.5703125" style="68" bestFit="1" customWidth="1"/>
    <col min="4134" max="4135" width="10.140625" style="68" bestFit="1" customWidth="1"/>
    <col min="4136" max="4136" width="9.5703125" style="68" bestFit="1" customWidth="1"/>
    <col min="4137" max="4137" width="9.5703125" style="68" customWidth="1"/>
    <col min="4138" max="4138" width="9" style="68" customWidth="1"/>
    <col min="4139" max="4139" width="10.5703125" style="68" bestFit="1" customWidth="1"/>
    <col min="4140" max="4140" width="11.42578125" style="68" bestFit="1" customWidth="1"/>
    <col min="4141" max="4141" width="18" style="68" bestFit="1" customWidth="1"/>
    <col min="4142" max="4359" width="9.140625" style="68"/>
    <col min="4360" max="4360" width="41" style="68" customWidth="1"/>
    <col min="4361" max="4361" width="19.5703125" style="68" bestFit="1" customWidth="1"/>
    <col min="4362" max="4362" width="10.140625" style="68" customWidth="1"/>
    <col min="4363" max="4363" width="10.42578125" style="68" bestFit="1" customWidth="1"/>
    <col min="4364" max="4364" width="11.28515625" style="68" customWidth="1"/>
    <col min="4365" max="4365" width="9.42578125" style="68" customWidth="1"/>
    <col min="4366" max="4366" width="10.140625" style="68" bestFit="1" customWidth="1"/>
    <col min="4367" max="4368" width="9.140625" style="68"/>
    <col min="4369" max="4369" width="7.28515625" style="68" customWidth="1"/>
    <col min="4370" max="4375" width="7.42578125" style="68" customWidth="1"/>
    <col min="4376" max="4376" width="9.42578125" style="68" bestFit="1" customWidth="1"/>
    <col min="4377" max="4377" width="12" style="68" bestFit="1" customWidth="1"/>
    <col min="4378" max="4379" width="12" style="68" customWidth="1"/>
    <col min="4380" max="4380" width="13.140625" style="68" bestFit="1" customWidth="1"/>
    <col min="4381" max="4382" width="13.140625" style="68" customWidth="1"/>
    <col min="4383" max="4384" width="14.42578125" style="68" bestFit="1" customWidth="1"/>
    <col min="4385" max="4386" width="9.140625" style="68" customWidth="1"/>
    <col min="4387" max="4387" width="9.5703125" style="68" customWidth="1"/>
    <col min="4388" max="4389" width="9.5703125" style="68" bestFit="1" customWidth="1"/>
    <col min="4390" max="4391" width="10.140625" style="68" bestFit="1" customWidth="1"/>
    <col min="4392" max="4392" width="9.5703125" style="68" bestFit="1" customWidth="1"/>
    <col min="4393" max="4393" width="9.5703125" style="68" customWidth="1"/>
    <col min="4394" max="4394" width="9" style="68" customWidth="1"/>
    <col min="4395" max="4395" width="10.5703125" style="68" bestFit="1" customWidth="1"/>
    <col min="4396" max="4396" width="11.42578125" style="68" bestFit="1" customWidth="1"/>
    <col min="4397" max="4397" width="18" style="68" bestFit="1" customWidth="1"/>
    <col min="4398" max="4615" width="9.140625" style="68"/>
    <col min="4616" max="4616" width="41" style="68" customWidth="1"/>
    <col min="4617" max="4617" width="19.5703125" style="68" bestFit="1" customWidth="1"/>
    <col min="4618" max="4618" width="10.140625" style="68" customWidth="1"/>
    <col min="4619" max="4619" width="10.42578125" style="68" bestFit="1" customWidth="1"/>
    <col min="4620" max="4620" width="11.28515625" style="68" customWidth="1"/>
    <col min="4621" max="4621" width="9.42578125" style="68" customWidth="1"/>
    <col min="4622" max="4622" width="10.140625" style="68" bestFit="1" customWidth="1"/>
    <col min="4623" max="4624" width="9.140625" style="68"/>
    <col min="4625" max="4625" width="7.28515625" style="68" customWidth="1"/>
    <col min="4626" max="4631" width="7.42578125" style="68" customWidth="1"/>
    <col min="4632" max="4632" width="9.42578125" style="68" bestFit="1" customWidth="1"/>
    <col min="4633" max="4633" width="12" style="68" bestFit="1" customWidth="1"/>
    <col min="4634" max="4635" width="12" style="68" customWidth="1"/>
    <col min="4636" max="4636" width="13.140625" style="68" bestFit="1" customWidth="1"/>
    <col min="4637" max="4638" width="13.140625" style="68" customWidth="1"/>
    <col min="4639" max="4640" width="14.42578125" style="68" bestFit="1" customWidth="1"/>
    <col min="4641" max="4642" width="9.140625" style="68" customWidth="1"/>
    <col min="4643" max="4643" width="9.5703125" style="68" customWidth="1"/>
    <col min="4644" max="4645" width="9.5703125" style="68" bestFit="1" customWidth="1"/>
    <col min="4646" max="4647" width="10.140625" style="68" bestFit="1" customWidth="1"/>
    <col min="4648" max="4648" width="9.5703125" style="68" bestFit="1" customWidth="1"/>
    <col min="4649" max="4649" width="9.5703125" style="68" customWidth="1"/>
    <col min="4650" max="4650" width="9" style="68" customWidth="1"/>
    <col min="4651" max="4651" width="10.5703125" style="68" bestFit="1" customWidth="1"/>
    <col min="4652" max="4652" width="11.42578125" style="68" bestFit="1" customWidth="1"/>
    <col min="4653" max="4653" width="18" style="68" bestFit="1" customWidth="1"/>
    <col min="4654" max="4871" width="9.140625" style="68"/>
    <col min="4872" max="4872" width="41" style="68" customWidth="1"/>
    <col min="4873" max="4873" width="19.5703125" style="68" bestFit="1" customWidth="1"/>
    <col min="4874" max="4874" width="10.140625" style="68" customWidth="1"/>
    <col min="4875" max="4875" width="10.42578125" style="68" bestFit="1" customWidth="1"/>
    <col min="4876" max="4876" width="11.28515625" style="68" customWidth="1"/>
    <col min="4877" max="4877" width="9.42578125" style="68" customWidth="1"/>
    <col min="4878" max="4878" width="10.140625" style="68" bestFit="1" customWidth="1"/>
    <col min="4879" max="4880" width="9.140625" style="68"/>
    <col min="4881" max="4881" width="7.28515625" style="68" customWidth="1"/>
    <col min="4882" max="4887" width="7.42578125" style="68" customWidth="1"/>
    <col min="4888" max="4888" width="9.42578125" style="68" bestFit="1" customWidth="1"/>
    <col min="4889" max="4889" width="12" style="68" bestFit="1" customWidth="1"/>
    <col min="4890" max="4891" width="12" style="68" customWidth="1"/>
    <col min="4892" max="4892" width="13.140625" style="68" bestFit="1" customWidth="1"/>
    <col min="4893" max="4894" width="13.140625" style="68" customWidth="1"/>
    <col min="4895" max="4896" width="14.42578125" style="68" bestFit="1" customWidth="1"/>
    <col min="4897" max="4898" width="9.140625" style="68" customWidth="1"/>
    <col min="4899" max="4899" width="9.5703125" style="68" customWidth="1"/>
    <col min="4900" max="4901" width="9.5703125" style="68" bestFit="1" customWidth="1"/>
    <col min="4902" max="4903" width="10.140625" style="68" bestFit="1" customWidth="1"/>
    <col min="4904" max="4904" width="9.5703125" style="68" bestFit="1" customWidth="1"/>
    <col min="4905" max="4905" width="9.5703125" style="68" customWidth="1"/>
    <col min="4906" max="4906" width="9" style="68" customWidth="1"/>
    <col min="4907" max="4907" width="10.5703125" style="68" bestFit="1" customWidth="1"/>
    <col min="4908" max="4908" width="11.42578125" style="68" bestFit="1" customWidth="1"/>
    <col min="4909" max="4909" width="18" style="68" bestFit="1" customWidth="1"/>
    <col min="4910" max="5127" width="9.140625" style="68"/>
    <col min="5128" max="5128" width="41" style="68" customWidth="1"/>
    <col min="5129" max="5129" width="19.5703125" style="68" bestFit="1" customWidth="1"/>
    <col min="5130" max="5130" width="10.140625" style="68" customWidth="1"/>
    <col min="5131" max="5131" width="10.42578125" style="68" bestFit="1" customWidth="1"/>
    <col min="5132" max="5132" width="11.28515625" style="68" customWidth="1"/>
    <col min="5133" max="5133" width="9.42578125" style="68" customWidth="1"/>
    <col min="5134" max="5134" width="10.140625" style="68" bestFit="1" customWidth="1"/>
    <col min="5135" max="5136" width="9.140625" style="68"/>
    <col min="5137" max="5137" width="7.28515625" style="68" customWidth="1"/>
    <col min="5138" max="5143" width="7.42578125" style="68" customWidth="1"/>
    <col min="5144" max="5144" width="9.42578125" style="68" bestFit="1" customWidth="1"/>
    <col min="5145" max="5145" width="12" style="68" bestFit="1" customWidth="1"/>
    <col min="5146" max="5147" width="12" style="68" customWidth="1"/>
    <col min="5148" max="5148" width="13.140625" style="68" bestFit="1" customWidth="1"/>
    <col min="5149" max="5150" width="13.140625" style="68" customWidth="1"/>
    <col min="5151" max="5152" width="14.42578125" style="68" bestFit="1" customWidth="1"/>
    <col min="5153" max="5154" width="9.140625" style="68" customWidth="1"/>
    <col min="5155" max="5155" width="9.5703125" style="68" customWidth="1"/>
    <col min="5156" max="5157" width="9.5703125" style="68" bestFit="1" customWidth="1"/>
    <col min="5158" max="5159" width="10.140625" style="68" bestFit="1" customWidth="1"/>
    <col min="5160" max="5160" width="9.5703125" style="68" bestFit="1" customWidth="1"/>
    <col min="5161" max="5161" width="9.5703125" style="68" customWidth="1"/>
    <col min="5162" max="5162" width="9" style="68" customWidth="1"/>
    <col min="5163" max="5163" width="10.5703125" style="68" bestFit="1" customWidth="1"/>
    <col min="5164" max="5164" width="11.42578125" style="68" bestFit="1" customWidth="1"/>
    <col min="5165" max="5165" width="18" style="68" bestFit="1" customWidth="1"/>
    <col min="5166" max="5383" width="9.140625" style="68"/>
    <col min="5384" max="5384" width="41" style="68" customWidth="1"/>
    <col min="5385" max="5385" width="19.5703125" style="68" bestFit="1" customWidth="1"/>
    <col min="5386" max="5386" width="10.140625" style="68" customWidth="1"/>
    <col min="5387" max="5387" width="10.42578125" style="68" bestFit="1" customWidth="1"/>
    <col min="5388" max="5388" width="11.28515625" style="68" customWidth="1"/>
    <col min="5389" max="5389" width="9.42578125" style="68" customWidth="1"/>
    <col min="5390" max="5390" width="10.140625" style="68" bestFit="1" customWidth="1"/>
    <col min="5391" max="5392" width="9.140625" style="68"/>
    <col min="5393" max="5393" width="7.28515625" style="68" customWidth="1"/>
    <col min="5394" max="5399" width="7.42578125" style="68" customWidth="1"/>
    <col min="5400" max="5400" width="9.42578125" style="68" bestFit="1" customWidth="1"/>
    <col min="5401" max="5401" width="12" style="68" bestFit="1" customWidth="1"/>
    <col min="5402" max="5403" width="12" style="68" customWidth="1"/>
    <col min="5404" max="5404" width="13.140625" style="68" bestFit="1" customWidth="1"/>
    <col min="5405" max="5406" width="13.140625" style="68" customWidth="1"/>
    <col min="5407" max="5408" width="14.42578125" style="68" bestFit="1" customWidth="1"/>
    <col min="5409" max="5410" width="9.140625" style="68" customWidth="1"/>
    <col min="5411" max="5411" width="9.5703125" style="68" customWidth="1"/>
    <col min="5412" max="5413" width="9.5703125" style="68" bestFit="1" customWidth="1"/>
    <col min="5414" max="5415" width="10.140625" style="68" bestFit="1" customWidth="1"/>
    <col min="5416" max="5416" width="9.5703125" style="68" bestFit="1" customWidth="1"/>
    <col min="5417" max="5417" width="9.5703125" style="68" customWidth="1"/>
    <col min="5418" max="5418" width="9" style="68" customWidth="1"/>
    <col min="5419" max="5419" width="10.5703125" style="68" bestFit="1" customWidth="1"/>
    <col min="5420" max="5420" width="11.42578125" style="68" bestFit="1" customWidth="1"/>
    <col min="5421" max="5421" width="18" style="68" bestFit="1" customWidth="1"/>
    <col min="5422" max="5639" width="9.140625" style="68"/>
    <col min="5640" max="5640" width="41" style="68" customWidth="1"/>
    <col min="5641" max="5641" width="19.5703125" style="68" bestFit="1" customWidth="1"/>
    <col min="5642" max="5642" width="10.140625" style="68" customWidth="1"/>
    <col min="5643" max="5643" width="10.42578125" style="68" bestFit="1" customWidth="1"/>
    <col min="5644" max="5644" width="11.28515625" style="68" customWidth="1"/>
    <col min="5645" max="5645" width="9.42578125" style="68" customWidth="1"/>
    <col min="5646" max="5646" width="10.140625" style="68" bestFit="1" customWidth="1"/>
    <col min="5647" max="5648" width="9.140625" style="68"/>
    <col min="5649" max="5649" width="7.28515625" style="68" customWidth="1"/>
    <col min="5650" max="5655" width="7.42578125" style="68" customWidth="1"/>
    <col min="5656" max="5656" width="9.42578125" style="68" bestFit="1" customWidth="1"/>
    <col min="5657" max="5657" width="12" style="68" bestFit="1" customWidth="1"/>
    <col min="5658" max="5659" width="12" style="68" customWidth="1"/>
    <col min="5660" max="5660" width="13.140625" style="68" bestFit="1" customWidth="1"/>
    <col min="5661" max="5662" width="13.140625" style="68" customWidth="1"/>
    <col min="5663" max="5664" width="14.42578125" style="68" bestFit="1" customWidth="1"/>
    <col min="5665" max="5666" width="9.140625" style="68" customWidth="1"/>
    <col min="5667" max="5667" width="9.5703125" style="68" customWidth="1"/>
    <col min="5668" max="5669" width="9.5703125" style="68" bestFit="1" customWidth="1"/>
    <col min="5670" max="5671" width="10.140625" style="68" bestFit="1" customWidth="1"/>
    <col min="5672" max="5672" width="9.5703125" style="68" bestFit="1" customWidth="1"/>
    <col min="5673" max="5673" width="9.5703125" style="68" customWidth="1"/>
    <col min="5674" max="5674" width="9" style="68" customWidth="1"/>
    <col min="5675" max="5675" width="10.5703125" style="68" bestFit="1" customWidth="1"/>
    <col min="5676" max="5676" width="11.42578125" style="68" bestFit="1" customWidth="1"/>
    <col min="5677" max="5677" width="18" style="68" bestFit="1" customWidth="1"/>
    <col min="5678" max="5895" width="9.140625" style="68"/>
    <col min="5896" max="5896" width="41" style="68" customWidth="1"/>
    <col min="5897" max="5897" width="19.5703125" style="68" bestFit="1" customWidth="1"/>
    <col min="5898" max="5898" width="10.140625" style="68" customWidth="1"/>
    <col min="5899" max="5899" width="10.42578125" style="68" bestFit="1" customWidth="1"/>
    <col min="5900" max="5900" width="11.28515625" style="68" customWidth="1"/>
    <col min="5901" max="5901" width="9.42578125" style="68" customWidth="1"/>
    <col min="5902" max="5902" width="10.140625" style="68" bestFit="1" customWidth="1"/>
    <col min="5903" max="5904" width="9.140625" style="68"/>
    <col min="5905" max="5905" width="7.28515625" style="68" customWidth="1"/>
    <col min="5906" max="5911" width="7.42578125" style="68" customWidth="1"/>
    <col min="5912" max="5912" width="9.42578125" style="68" bestFit="1" customWidth="1"/>
    <col min="5913" max="5913" width="12" style="68" bestFit="1" customWidth="1"/>
    <col min="5914" max="5915" width="12" style="68" customWidth="1"/>
    <col min="5916" max="5916" width="13.140625" style="68" bestFit="1" customWidth="1"/>
    <col min="5917" max="5918" width="13.140625" style="68" customWidth="1"/>
    <col min="5919" max="5920" width="14.42578125" style="68" bestFit="1" customWidth="1"/>
    <col min="5921" max="5922" width="9.140625" style="68" customWidth="1"/>
    <col min="5923" max="5923" width="9.5703125" style="68" customWidth="1"/>
    <col min="5924" max="5925" width="9.5703125" style="68" bestFit="1" customWidth="1"/>
    <col min="5926" max="5927" width="10.140625" style="68" bestFit="1" customWidth="1"/>
    <col min="5928" max="5928" width="9.5703125" style="68" bestFit="1" customWidth="1"/>
    <col min="5929" max="5929" width="9.5703125" style="68" customWidth="1"/>
    <col min="5930" max="5930" width="9" style="68" customWidth="1"/>
    <col min="5931" max="5931" width="10.5703125" style="68" bestFit="1" customWidth="1"/>
    <col min="5932" max="5932" width="11.42578125" style="68" bestFit="1" customWidth="1"/>
    <col min="5933" max="5933" width="18" style="68" bestFit="1" customWidth="1"/>
    <col min="5934" max="6151" width="9.140625" style="68"/>
    <col min="6152" max="6152" width="41" style="68" customWidth="1"/>
    <col min="6153" max="6153" width="19.5703125" style="68" bestFit="1" customWidth="1"/>
    <col min="6154" max="6154" width="10.140625" style="68" customWidth="1"/>
    <col min="6155" max="6155" width="10.42578125" style="68" bestFit="1" customWidth="1"/>
    <col min="6156" max="6156" width="11.28515625" style="68" customWidth="1"/>
    <col min="6157" max="6157" width="9.42578125" style="68" customWidth="1"/>
    <col min="6158" max="6158" width="10.140625" style="68" bestFit="1" customWidth="1"/>
    <col min="6159" max="6160" width="9.140625" style="68"/>
    <col min="6161" max="6161" width="7.28515625" style="68" customWidth="1"/>
    <col min="6162" max="6167" width="7.42578125" style="68" customWidth="1"/>
    <col min="6168" max="6168" width="9.42578125" style="68" bestFit="1" customWidth="1"/>
    <col min="6169" max="6169" width="12" style="68" bestFit="1" customWidth="1"/>
    <col min="6170" max="6171" width="12" style="68" customWidth="1"/>
    <col min="6172" max="6172" width="13.140625" style="68" bestFit="1" customWidth="1"/>
    <col min="6173" max="6174" width="13.140625" style="68" customWidth="1"/>
    <col min="6175" max="6176" width="14.42578125" style="68" bestFit="1" customWidth="1"/>
    <col min="6177" max="6178" width="9.140625" style="68" customWidth="1"/>
    <col min="6179" max="6179" width="9.5703125" style="68" customWidth="1"/>
    <col min="6180" max="6181" width="9.5703125" style="68" bestFit="1" customWidth="1"/>
    <col min="6182" max="6183" width="10.140625" style="68" bestFit="1" customWidth="1"/>
    <col min="6184" max="6184" width="9.5703125" style="68" bestFit="1" customWidth="1"/>
    <col min="6185" max="6185" width="9.5703125" style="68" customWidth="1"/>
    <col min="6186" max="6186" width="9" style="68" customWidth="1"/>
    <col min="6187" max="6187" width="10.5703125" style="68" bestFit="1" customWidth="1"/>
    <col min="6188" max="6188" width="11.42578125" style="68" bestFit="1" customWidth="1"/>
    <col min="6189" max="6189" width="18" style="68" bestFit="1" customWidth="1"/>
    <col min="6190" max="6407" width="9.140625" style="68"/>
    <col min="6408" max="6408" width="41" style="68" customWidth="1"/>
    <col min="6409" max="6409" width="19.5703125" style="68" bestFit="1" customWidth="1"/>
    <col min="6410" max="6410" width="10.140625" style="68" customWidth="1"/>
    <col min="6411" max="6411" width="10.42578125" style="68" bestFit="1" customWidth="1"/>
    <col min="6412" max="6412" width="11.28515625" style="68" customWidth="1"/>
    <col min="6413" max="6413" width="9.42578125" style="68" customWidth="1"/>
    <col min="6414" max="6414" width="10.140625" style="68" bestFit="1" customWidth="1"/>
    <col min="6415" max="6416" width="9.140625" style="68"/>
    <col min="6417" max="6417" width="7.28515625" style="68" customWidth="1"/>
    <col min="6418" max="6423" width="7.42578125" style="68" customWidth="1"/>
    <col min="6424" max="6424" width="9.42578125" style="68" bestFit="1" customWidth="1"/>
    <col min="6425" max="6425" width="12" style="68" bestFit="1" customWidth="1"/>
    <col min="6426" max="6427" width="12" style="68" customWidth="1"/>
    <col min="6428" max="6428" width="13.140625" style="68" bestFit="1" customWidth="1"/>
    <col min="6429" max="6430" width="13.140625" style="68" customWidth="1"/>
    <col min="6431" max="6432" width="14.42578125" style="68" bestFit="1" customWidth="1"/>
    <col min="6433" max="6434" width="9.140625" style="68" customWidth="1"/>
    <col min="6435" max="6435" width="9.5703125" style="68" customWidth="1"/>
    <col min="6436" max="6437" width="9.5703125" style="68" bestFit="1" customWidth="1"/>
    <col min="6438" max="6439" width="10.140625" style="68" bestFit="1" customWidth="1"/>
    <col min="6440" max="6440" width="9.5703125" style="68" bestFit="1" customWidth="1"/>
    <col min="6441" max="6441" width="9.5703125" style="68" customWidth="1"/>
    <col min="6442" max="6442" width="9" style="68" customWidth="1"/>
    <col min="6443" max="6443" width="10.5703125" style="68" bestFit="1" customWidth="1"/>
    <col min="6444" max="6444" width="11.42578125" style="68" bestFit="1" customWidth="1"/>
    <col min="6445" max="6445" width="18" style="68" bestFit="1" customWidth="1"/>
    <col min="6446" max="6663" width="9.140625" style="68"/>
    <col min="6664" max="6664" width="41" style="68" customWidth="1"/>
    <col min="6665" max="6665" width="19.5703125" style="68" bestFit="1" customWidth="1"/>
    <col min="6666" max="6666" width="10.140625" style="68" customWidth="1"/>
    <col min="6667" max="6667" width="10.42578125" style="68" bestFit="1" customWidth="1"/>
    <col min="6668" max="6668" width="11.28515625" style="68" customWidth="1"/>
    <col min="6669" max="6669" width="9.42578125" style="68" customWidth="1"/>
    <col min="6670" max="6670" width="10.140625" style="68" bestFit="1" customWidth="1"/>
    <col min="6671" max="6672" width="9.140625" style="68"/>
    <col min="6673" max="6673" width="7.28515625" style="68" customWidth="1"/>
    <col min="6674" max="6679" width="7.42578125" style="68" customWidth="1"/>
    <col min="6680" max="6680" width="9.42578125" style="68" bestFit="1" customWidth="1"/>
    <col min="6681" max="6681" width="12" style="68" bestFit="1" customWidth="1"/>
    <col min="6682" max="6683" width="12" style="68" customWidth="1"/>
    <col min="6684" max="6684" width="13.140625" style="68" bestFit="1" customWidth="1"/>
    <col min="6685" max="6686" width="13.140625" style="68" customWidth="1"/>
    <col min="6687" max="6688" width="14.42578125" style="68" bestFit="1" customWidth="1"/>
    <col min="6689" max="6690" width="9.140625" style="68" customWidth="1"/>
    <col min="6691" max="6691" width="9.5703125" style="68" customWidth="1"/>
    <col min="6692" max="6693" width="9.5703125" style="68" bestFit="1" customWidth="1"/>
    <col min="6694" max="6695" width="10.140625" style="68" bestFit="1" customWidth="1"/>
    <col min="6696" max="6696" width="9.5703125" style="68" bestFit="1" customWidth="1"/>
    <col min="6697" max="6697" width="9.5703125" style="68" customWidth="1"/>
    <col min="6698" max="6698" width="9" style="68" customWidth="1"/>
    <col min="6699" max="6699" width="10.5703125" style="68" bestFit="1" customWidth="1"/>
    <col min="6700" max="6700" width="11.42578125" style="68" bestFit="1" customWidth="1"/>
    <col min="6701" max="6701" width="18" style="68" bestFit="1" customWidth="1"/>
    <col min="6702" max="6919" width="9.140625" style="68"/>
    <col min="6920" max="6920" width="41" style="68" customWidth="1"/>
    <col min="6921" max="6921" width="19.5703125" style="68" bestFit="1" customWidth="1"/>
    <col min="6922" max="6922" width="10.140625" style="68" customWidth="1"/>
    <col min="6923" max="6923" width="10.42578125" style="68" bestFit="1" customWidth="1"/>
    <col min="6924" max="6924" width="11.28515625" style="68" customWidth="1"/>
    <col min="6925" max="6925" width="9.42578125" style="68" customWidth="1"/>
    <col min="6926" max="6926" width="10.140625" style="68" bestFit="1" customWidth="1"/>
    <col min="6927" max="6928" width="9.140625" style="68"/>
    <col min="6929" max="6929" width="7.28515625" style="68" customWidth="1"/>
    <col min="6930" max="6935" width="7.42578125" style="68" customWidth="1"/>
    <col min="6936" max="6936" width="9.42578125" style="68" bestFit="1" customWidth="1"/>
    <col min="6937" max="6937" width="12" style="68" bestFit="1" customWidth="1"/>
    <col min="6938" max="6939" width="12" style="68" customWidth="1"/>
    <col min="6940" max="6940" width="13.140625" style="68" bestFit="1" customWidth="1"/>
    <col min="6941" max="6942" width="13.140625" style="68" customWidth="1"/>
    <col min="6943" max="6944" width="14.42578125" style="68" bestFit="1" customWidth="1"/>
    <col min="6945" max="6946" width="9.140625" style="68" customWidth="1"/>
    <col min="6947" max="6947" width="9.5703125" style="68" customWidth="1"/>
    <col min="6948" max="6949" width="9.5703125" style="68" bestFit="1" customWidth="1"/>
    <col min="6950" max="6951" width="10.140625" style="68" bestFit="1" customWidth="1"/>
    <col min="6952" max="6952" width="9.5703125" style="68" bestFit="1" customWidth="1"/>
    <col min="6953" max="6953" width="9.5703125" style="68" customWidth="1"/>
    <col min="6954" max="6954" width="9" style="68" customWidth="1"/>
    <col min="6955" max="6955" width="10.5703125" style="68" bestFit="1" customWidth="1"/>
    <col min="6956" max="6956" width="11.42578125" style="68" bestFit="1" customWidth="1"/>
    <col min="6957" max="6957" width="18" style="68" bestFit="1" customWidth="1"/>
    <col min="6958" max="7175" width="9.140625" style="68"/>
    <col min="7176" max="7176" width="41" style="68" customWidth="1"/>
    <col min="7177" max="7177" width="19.5703125" style="68" bestFit="1" customWidth="1"/>
    <col min="7178" max="7178" width="10.140625" style="68" customWidth="1"/>
    <col min="7179" max="7179" width="10.42578125" style="68" bestFit="1" customWidth="1"/>
    <col min="7180" max="7180" width="11.28515625" style="68" customWidth="1"/>
    <col min="7181" max="7181" width="9.42578125" style="68" customWidth="1"/>
    <col min="7182" max="7182" width="10.140625" style="68" bestFit="1" customWidth="1"/>
    <col min="7183" max="7184" width="9.140625" style="68"/>
    <col min="7185" max="7185" width="7.28515625" style="68" customWidth="1"/>
    <col min="7186" max="7191" width="7.42578125" style="68" customWidth="1"/>
    <col min="7192" max="7192" width="9.42578125" style="68" bestFit="1" customWidth="1"/>
    <col min="7193" max="7193" width="12" style="68" bestFit="1" customWidth="1"/>
    <col min="7194" max="7195" width="12" style="68" customWidth="1"/>
    <col min="7196" max="7196" width="13.140625" style="68" bestFit="1" customWidth="1"/>
    <col min="7197" max="7198" width="13.140625" style="68" customWidth="1"/>
    <col min="7199" max="7200" width="14.42578125" style="68" bestFit="1" customWidth="1"/>
    <col min="7201" max="7202" width="9.140625" style="68" customWidth="1"/>
    <col min="7203" max="7203" width="9.5703125" style="68" customWidth="1"/>
    <col min="7204" max="7205" width="9.5703125" style="68" bestFit="1" customWidth="1"/>
    <col min="7206" max="7207" width="10.140625" style="68" bestFit="1" customWidth="1"/>
    <col min="7208" max="7208" width="9.5703125" style="68" bestFit="1" customWidth="1"/>
    <col min="7209" max="7209" width="9.5703125" style="68" customWidth="1"/>
    <col min="7210" max="7210" width="9" style="68" customWidth="1"/>
    <col min="7211" max="7211" width="10.5703125" style="68" bestFit="1" customWidth="1"/>
    <col min="7212" max="7212" width="11.42578125" style="68" bestFit="1" customWidth="1"/>
    <col min="7213" max="7213" width="18" style="68" bestFit="1" customWidth="1"/>
    <col min="7214" max="7431" width="9.140625" style="68"/>
    <col min="7432" max="7432" width="41" style="68" customWidth="1"/>
    <col min="7433" max="7433" width="19.5703125" style="68" bestFit="1" customWidth="1"/>
    <col min="7434" max="7434" width="10.140625" style="68" customWidth="1"/>
    <col min="7435" max="7435" width="10.42578125" style="68" bestFit="1" customWidth="1"/>
    <col min="7436" max="7436" width="11.28515625" style="68" customWidth="1"/>
    <col min="7437" max="7437" width="9.42578125" style="68" customWidth="1"/>
    <col min="7438" max="7438" width="10.140625" style="68" bestFit="1" customWidth="1"/>
    <col min="7439" max="7440" width="9.140625" style="68"/>
    <col min="7441" max="7441" width="7.28515625" style="68" customWidth="1"/>
    <col min="7442" max="7447" width="7.42578125" style="68" customWidth="1"/>
    <col min="7448" max="7448" width="9.42578125" style="68" bestFit="1" customWidth="1"/>
    <col min="7449" max="7449" width="12" style="68" bestFit="1" customWidth="1"/>
    <col min="7450" max="7451" width="12" style="68" customWidth="1"/>
    <col min="7452" max="7452" width="13.140625" style="68" bestFit="1" customWidth="1"/>
    <col min="7453" max="7454" width="13.140625" style="68" customWidth="1"/>
    <col min="7455" max="7456" width="14.42578125" style="68" bestFit="1" customWidth="1"/>
    <col min="7457" max="7458" width="9.140625" style="68" customWidth="1"/>
    <col min="7459" max="7459" width="9.5703125" style="68" customWidth="1"/>
    <col min="7460" max="7461" width="9.5703125" style="68" bestFit="1" customWidth="1"/>
    <col min="7462" max="7463" width="10.140625" style="68" bestFit="1" customWidth="1"/>
    <col min="7464" max="7464" width="9.5703125" style="68" bestFit="1" customWidth="1"/>
    <col min="7465" max="7465" width="9.5703125" style="68" customWidth="1"/>
    <col min="7466" max="7466" width="9" style="68" customWidth="1"/>
    <col min="7467" max="7467" width="10.5703125" style="68" bestFit="1" customWidth="1"/>
    <col min="7468" max="7468" width="11.42578125" style="68" bestFit="1" customWidth="1"/>
    <col min="7469" max="7469" width="18" style="68" bestFit="1" customWidth="1"/>
    <col min="7470" max="7687" width="9.140625" style="68"/>
    <col min="7688" max="7688" width="41" style="68" customWidth="1"/>
    <col min="7689" max="7689" width="19.5703125" style="68" bestFit="1" customWidth="1"/>
    <col min="7690" max="7690" width="10.140625" style="68" customWidth="1"/>
    <col min="7691" max="7691" width="10.42578125" style="68" bestFit="1" customWidth="1"/>
    <col min="7692" max="7692" width="11.28515625" style="68" customWidth="1"/>
    <col min="7693" max="7693" width="9.42578125" style="68" customWidth="1"/>
    <col min="7694" max="7694" width="10.140625" style="68" bestFit="1" customWidth="1"/>
    <col min="7695" max="7696" width="9.140625" style="68"/>
    <col min="7697" max="7697" width="7.28515625" style="68" customWidth="1"/>
    <col min="7698" max="7703" width="7.42578125" style="68" customWidth="1"/>
    <col min="7704" max="7704" width="9.42578125" style="68" bestFit="1" customWidth="1"/>
    <col min="7705" max="7705" width="12" style="68" bestFit="1" customWidth="1"/>
    <col min="7706" max="7707" width="12" style="68" customWidth="1"/>
    <col min="7708" max="7708" width="13.140625" style="68" bestFit="1" customWidth="1"/>
    <col min="7709" max="7710" width="13.140625" style="68" customWidth="1"/>
    <col min="7711" max="7712" width="14.42578125" style="68" bestFit="1" customWidth="1"/>
    <col min="7713" max="7714" width="9.140625" style="68" customWidth="1"/>
    <col min="7715" max="7715" width="9.5703125" style="68" customWidth="1"/>
    <col min="7716" max="7717" width="9.5703125" style="68" bestFit="1" customWidth="1"/>
    <col min="7718" max="7719" width="10.140625" style="68" bestFit="1" customWidth="1"/>
    <col min="7720" max="7720" width="9.5703125" style="68" bestFit="1" customWidth="1"/>
    <col min="7721" max="7721" width="9.5703125" style="68" customWidth="1"/>
    <col min="7722" max="7722" width="9" style="68" customWidth="1"/>
    <col min="7723" max="7723" width="10.5703125" style="68" bestFit="1" customWidth="1"/>
    <col min="7724" max="7724" width="11.42578125" style="68" bestFit="1" customWidth="1"/>
    <col min="7725" max="7725" width="18" style="68" bestFit="1" customWidth="1"/>
    <col min="7726" max="7943" width="9.140625" style="68"/>
    <col min="7944" max="7944" width="41" style="68" customWidth="1"/>
    <col min="7945" max="7945" width="19.5703125" style="68" bestFit="1" customWidth="1"/>
    <col min="7946" max="7946" width="10.140625" style="68" customWidth="1"/>
    <col min="7947" max="7947" width="10.42578125" style="68" bestFit="1" customWidth="1"/>
    <col min="7948" max="7948" width="11.28515625" style="68" customWidth="1"/>
    <col min="7949" max="7949" width="9.42578125" style="68" customWidth="1"/>
    <col min="7950" max="7950" width="10.140625" style="68" bestFit="1" customWidth="1"/>
    <col min="7951" max="7952" width="9.140625" style="68"/>
    <col min="7953" max="7953" width="7.28515625" style="68" customWidth="1"/>
    <col min="7954" max="7959" width="7.42578125" style="68" customWidth="1"/>
    <col min="7960" max="7960" width="9.42578125" style="68" bestFit="1" customWidth="1"/>
    <col min="7961" max="7961" width="12" style="68" bestFit="1" customWidth="1"/>
    <col min="7962" max="7963" width="12" style="68" customWidth="1"/>
    <col min="7964" max="7964" width="13.140625" style="68" bestFit="1" customWidth="1"/>
    <col min="7965" max="7966" width="13.140625" style="68" customWidth="1"/>
    <col min="7967" max="7968" width="14.42578125" style="68" bestFit="1" customWidth="1"/>
    <col min="7969" max="7970" width="9.140625" style="68" customWidth="1"/>
    <col min="7971" max="7971" width="9.5703125" style="68" customWidth="1"/>
    <col min="7972" max="7973" width="9.5703125" style="68" bestFit="1" customWidth="1"/>
    <col min="7974" max="7975" width="10.140625" style="68" bestFit="1" customWidth="1"/>
    <col min="7976" max="7976" width="9.5703125" style="68" bestFit="1" customWidth="1"/>
    <col min="7977" max="7977" width="9.5703125" style="68" customWidth="1"/>
    <col min="7978" max="7978" width="9" style="68" customWidth="1"/>
    <col min="7979" max="7979" width="10.5703125" style="68" bestFit="1" customWidth="1"/>
    <col min="7980" max="7980" width="11.42578125" style="68" bestFit="1" customWidth="1"/>
    <col min="7981" max="7981" width="18" style="68" bestFit="1" customWidth="1"/>
    <col min="7982" max="8199" width="9.140625" style="68"/>
    <col min="8200" max="8200" width="41" style="68" customWidth="1"/>
    <col min="8201" max="8201" width="19.5703125" style="68" bestFit="1" customWidth="1"/>
    <col min="8202" max="8202" width="10.140625" style="68" customWidth="1"/>
    <col min="8203" max="8203" width="10.42578125" style="68" bestFit="1" customWidth="1"/>
    <col min="8204" max="8204" width="11.28515625" style="68" customWidth="1"/>
    <col min="8205" max="8205" width="9.42578125" style="68" customWidth="1"/>
    <col min="8206" max="8206" width="10.140625" style="68" bestFit="1" customWidth="1"/>
    <col min="8207" max="8208" width="9.140625" style="68"/>
    <col min="8209" max="8209" width="7.28515625" style="68" customWidth="1"/>
    <col min="8210" max="8215" width="7.42578125" style="68" customWidth="1"/>
    <col min="8216" max="8216" width="9.42578125" style="68" bestFit="1" customWidth="1"/>
    <col min="8217" max="8217" width="12" style="68" bestFit="1" customWidth="1"/>
    <col min="8218" max="8219" width="12" style="68" customWidth="1"/>
    <col min="8220" max="8220" width="13.140625" style="68" bestFit="1" customWidth="1"/>
    <col min="8221" max="8222" width="13.140625" style="68" customWidth="1"/>
    <col min="8223" max="8224" width="14.42578125" style="68" bestFit="1" customWidth="1"/>
    <col min="8225" max="8226" width="9.140625" style="68" customWidth="1"/>
    <col min="8227" max="8227" width="9.5703125" style="68" customWidth="1"/>
    <col min="8228" max="8229" width="9.5703125" style="68" bestFit="1" customWidth="1"/>
    <col min="8230" max="8231" width="10.140625" style="68" bestFit="1" customWidth="1"/>
    <col min="8232" max="8232" width="9.5703125" style="68" bestFit="1" customWidth="1"/>
    <col min="8233" max="8233" width="9.5703125" style="68" customWidth="1"/>
    <col min="8234" max="8234" width="9" style="68" customWidth="1"/>
    <col min="8235" max="8235" width="10.5703125" style="68" bestFit="1" customWidth="1"/>
    <col min="8236" max="8236" width="11.42578125" style="68" bestFit="1" customWidth="1"/>
    <col min="8237" max="8237" width="18" style="68" bestFit="1" customWidth="1"/>
    <col min="8238" max="8455" width="9.140625" style="68"/>
    <col min="8456" max="8456" width="41" style="68" customWidth="1"/>
    <col min="8457" max="8457" width="19.5703125" style="68" bestFit="1" customWidth="1"/>
    <col min="8458" max="8458" width="10.140625" style="68" customWidth="1"/>
    <col min="8459" max="8459" width="10.42578125" style="68" bestFit="1" customWidth="1"/>
    <col min="8460" max="8460" width="11.28515625" style="68" customWidth="1"/>
    <col min="8461" max="8461" width="9.42578125" style="68" customWidth="1"/>
    <col min="8462" max="8462" width="10.140625" style="68" bestFit="1" customWidth="1"/>
    <col min="8463" max="8464" width="9.140625" style="68"/>
    <col min="8465" max="8465" width="7.28515625" style="68" customWidth="1"/>
    <col min="8466" max="8471" width="7.42578125" style="68" customWidth="1"/>
    <col min="8472" max="8472" width="9.42578125" style="68" bestFit="1" customWidth="1"/>
    <col min="8473" max="8473" width="12" style="68" bestFit="1" customWidth="1"/>
    <col min="8474" max="8475" width="12" style="68" customWidth="1"/>
    <col min="8476" max="8476" width="13.140625" style="68" bestFit="1" customWidth="1"/>
    <col min="8477" max="8478" width="13.140625" style="68" customWidth="1"/>
    <col min="8479" max="8480" width="14.42578125" style="68" bestFit="1" customWidth="1"/>
    <col min="8481" max="8482" width="9.140625" style="68" customWidth="1"/>
    <col min="8483" max="8483" width="9.5703125" style="68" customWidth="1"/>
    <col min="8484" max="8485" width="9.5703125" style="68" bestFit="1" customWidth="1"/>
    <col min="8486" max="8487" width="10.140625" style="68" bestFit="1" customWidth="1"/>
    <col min="8488" max="8488" width="9.5703125" style="68" bestFit="1" customWidth="1"/>
    <col min="8489" max="8489" width="9.5703125" style="68" customWidth="1"/>
    <col min="8490" max="8490" width="9" style="68" customWidth="1"/>
    <col min="8491" max="8491" width="10.5703125" style="68" bestFit="1" customWidth="1"/>
    <col min="8492" max="8492" width="11.42578125" style="68" bestFit="1" customWidth="1"/>
    <col min="8493" max="8493" width="18" style="68" bestFit="1" customWidth="1"/>
    <col min="8494" max="8711" width="9.140625" style="68"/>
    <col min="8712" max="8712" width="41" style="68" customWidth="1"/>
    <col min="8713" max="8713" width="19.5703125" style="68" bestFit="1" customWidth="1"/>
    <col min="8714" max="8714" width="10.140625" style="68" customWidth="1"/>
    <col min="8715" max="8715" width="10.42578125" style="68" bestFit="1" customWidth="1"/>
    <col min="8716" max="8716" width="11.28515625" style="68" customWidth="1"/>
    <col min="8717" max="8717" width="9.42578125" style="68" customWidth="1"/>
    <col min="8718" max="8718" width="10.140625" style="68" bestFit="1" customWidth="1"/>
    <col min="8719" max="8720" width="9.140625" style="68"/>
    <col min="8721" max="8721" width="7.28515625" style="68" customWidth="1"/>
    <col min="8722" max="8727" width="7.42578125" style="68" customWidth="1"/>
    <col min="8728" max="8728" width="9.42578125" style="68" bestFit="1" customWidth="1"/>
    <col min="8729" max="8729" width="12" style="68" bestFit="1" customWidth="1"/>
    <col min="8730" max="8731" width="12" style="68" customWidth="1"/>
    <col min="8732" max="8732" width="13.140625" style="68" bestFit="1" customWidth="1"/>
    <col min="8733" max="8734" width="13.140625" style="68" customWidth="1"/>
    <col min="8735" max="8736" width="14.42578125" style="68" bestFit="1" customWidth="1"/>
    <col min="8737" max="8738" width="9.140625" style="68" customWidth="1"/>
    <col min="8739" max="8739" width="9.5703125" style="68" customWidth="1"/>
    <col min="8740" max="8741" width="9.5703125" style="68" bestFit="1" customWidth="1"/>
    <col min="8742" max="8743" width="10.140625" style="68" bestFit="1" customWidth="1"/>
    <col min="8744" max="8744" width="9.5703125" style="68" bestFit="1" customWidth="1"/>
    <col min="8745" max="8745" width="9.5703125" style="68" customWidth="1"/>
    <col min="8746" max="8746" width="9" style="68" customWidth="1"/>
    <col min="8747" max="8747" width="10.5703125" style="68" bestFit="1" customWidth="1"/>
    <col min="8748" max="8748" width="11.42578125" style="68" bestFit="1" customWidth="1"/>
    <col min="8749" max="8749" width="18" style="68" bestFit="1" customWidth="1"/>
    <col min="8750" max="8967" width="9.140625" style="68"/>
    <col min="8968" max="8968" width="41" style="68" customWidth="1"/>
    <col min="8969" max="8969" width="19.5703125" style="68" bestFit="1" customWidth="1"/>
    <col min="8970" max="8970" width="10.140625" style="68" customWidth="1"/>
    <col min="8971" max="8971" width="10.42578125" style="68" bestFit="1" customWidth="1"/>
    <col min="8972" max="8972" width="11.28515625" style="68" customWidth="1"/>
    <col min="8973" max="8973" width="9.42578125" style="68" customWidth="1"/>
    <col min="8974" max="8974" width="10.140625" style="68" bestFit="1" customWidth="1"/>
    <col min="8975" max="8976" width="9.140625" style="68"/>
    <col min="8977" max="8977" width="7.28515625" style="68" customWidth="1"/>
    <col min="8978" max="8983" width="7.42578125" style="68" customWidth="1"/>
    <col min="8984" max="8984" width="9.42578125" style="68" bestFit="1" customWidth="1"/>
    <col min="8985" max="8985" width="12" style="68" bestFit="1" customWidth="1"/>
    <col min="8986" max="8987" width="12" style="68" customWidth="1"/>
    <col min="8988" max="8988" width="13.140625" style="68" bestFit="1" customWidth="1"/>
    <col min="8989" max="8990" width="13.140625" style="68" customWidth="1"/>
    <col min="8991" max="8992" width="14.42578125" style="68" bestFit="1" customWidth="1"/>
    <col min="8993" max="8994" width="9.140625" style="68" customWidth="1"/>
    <col min="8995" max="8995" width="9.5703125" style="68" customWidth="1"/>
    <col min="8996" max="8997" width="9.5703125" style="68" bestFit="1" customWidth="1"/>
    <col min="8998" max="8999" width="10.140625" style="68" bestFit="1" customWidth="1"/>
    <col min="9000" max="9000" width="9.5703125" style="68" bestFit="1" customWidth="1"/>
    <col min="9001" max="9001" width="9.5703125" style="68" customWidth="1"/>
    <col min="9002" max="9002" width="9" style="68" customWidth="1"/>
    <col min="9003" max="9003" width="10.5703125" style="68" bestFit="1" customWidth="1"/>
    <col min="9004" max="9004" width="11.42578125" style="68" bestFit="1" customWidth="1"/>
    <col min="9005" max="9005" width="18" style="68" bestFit="1" customWidth="1"/>
    <col min="9006" max="9223" width="9.140625" style="68"/>
    <col min="9224" max="9224" width="41" style="68" customWidth="1"/>
    <col min="9225" max="9225" width="19.5703125" style="68" bestFit="1" customWidth="1"/>
    <col min="9226" max="9226" width="10.140625" style="68" customWidth="1"/>
    <col min="9227" max="9227" width="10.42578125" style="68" bestFit="1" customWidth="1"/>
    <col min="9228" max="9228" width="11.28515625" style="68" customWidth="1"/>
    <col min="9229" max="9229" width="9.42578125" style="68" customWidth="1"/>
    <col min="9230" max="9230" width="10.140625" style="68" bestFit="1" customWidth="1"/>
    <col min="9231" max="9232" width="9.140625" style="68"/>
    <col min="9233" max="9233" width="7.28515625" style="68" customWidth="1"/>
    <col min="9234" max="9239" width="7.42578125" style="68" customWidth="1"/>
    <col min="9240" max="9240" width="9.42578125" style="68" bestFit="1" customWidth="1"/>
    <col min="9241" max="9241" width="12" style="68" bestFit="1" customWidth="1"/>
    <col min="9242" max="9243" width="12" style="68" customWidth="1"/>
    <col min="9244" max="9244" width="13.140625" style="68" bestFit="1" customWidth="1"/>
    <col min="9245" max="9246" width="13.140625" style="68" customWidth="1"/>
    <col min="9247" max="9248" width="14.42578125" style="68" bestFit="1" customWidth="1"/>
    <col min="9249" max="9250" width="9.140625" style="68" customWidth="1"/>
    <col min="9251" max="9251" width="9.5703125" style="68" customWidth="1"/>
    <col min="9252" max="9253" width="9.5703125" style="68" bestFit="1" customWidth="1"/>
    <col min="9254" max="9255" width="10.140625" style="68" bestFit="1" customWidth="1"/>
    <col min="9256" max="9256" width="9.5703125" style="68" bestFit="1" customWidth="1"/>
    <col min="9257" max="9257" width="9.5703125" style="68" customWidth="1"/>
    <col min="9258" max="9258" width="9" style="68" customWidth="1"/>
    <col min="9259" max="9259" width="10.5703125" style="68" bestFit="1" customWidth="1"/>
    <col min="9260" max="9260" width="11.42578125" style="68" bestFit="1" customWidth="1"/>
    <col min="9261" max="9261" width="18" style="68" bestFit="1" customWidth="1"/>
    <col min="9262" max="9479" width="9.140625" style="68"/>
    <col min="9480" max="9480" width="41" style="68" customWidth="1"/>
    <col min="9481" max="9481" width="19.5703125" style="68" bestFit="1" customWidth="1"/>
    <col min="9482" max="9482" width="10.140625" style="68" customWidth="1"/>
    <col min="9483" max="9483" width="10.42578125" style="68" bestFit="1" customWidth="1"/>
    <col min="9484" max="9484" width="11.28515625" style="68" customWidth="1"/>
    <col min="9485" max="9485" width="9.42578125" style="68" customWidth="1"/>
    <col min="9486" max="9486" width="10.140625" style="68" bestFit="1" customWidth="1"/>
    <col min="9487" max="9488" width="9.140625" style="68"/>
    <col min="9489" max="9489" width="7.28515625" style="68" customWidth="1"/>
    <col min="9490" max="9495" width="7.42578125" style="68" customWidth="1"/>
    <col min="9496" max="9496" width="9.42578125" style="68" bestFit="1" customWidth="1"/>
    <col min="9497" max="9497" width="12" style="68" bestFit="1" customWidth="1"/>
    <col min="9498" max="9499" width="12" style="68" customWidth="1"/>
    <col min="9500" max="9500" width="13.140625" style="68" bestFit="1" customWidth="1"/>
    <col min="9501" max="9502" width="13.140625" style="68" customWidth="1"/>
    <col min="9503" max="9504" width="14.42578125" style="68" bestFit="1" customWidth="1"/>
    <col min="9505" max="9506" width="9.140625" style="68" customWidth="1"/>
    <col min="9507" max="9507" width="9.5703125" style="68" customWidth="1"/>
    <col min="9508" max="9509" width="9.5703125" style="68" bestFit="1" customWidth="1"/>
    <col min="9510" max="9511" width="10.140625" style="68" bestFit="1" customWidth="1"/>
    <col min="9512" max="9512" width="9.5703125" style="68" bestFit="1" customWidth="1"/>
    <col min="9513" max="9513" width="9.5703125" style="68" customWidth="1"/>
    <col min="9514" max="9514" width="9" style="68" customWidth="1"/>
    <col min="9515" max="9515" width="10.5703125" style="68" bestFit="1" customWidth="1"/>
    <col min="9516" max="9516" width="11.42578125" style="68" bestFit="1" customWidth="1"/>
    <col min="9517" max="9517" width="18" style="68" bestFit="1" customWidth="1"/>
    <col min="9518" max="9735" width="9.140625" style="68"/>
    <col min="9736" max="9736" width="41" style="68" customWidth="1"/>
    <col min="9737" max="9737" width="19.5703125" style="68" bestFit="1" customWidth="1"/>
    <col min="9738" max="9738" width="10.140625" style="68" customWidth="1"/>
    <col min="9739" max="9739" width="10.42578125" style="68" bestFit="1" customWidth="1"/>
    <col min="9740" max="9740" width="11.28515625" style="68" customWidth="1"/>
    <col min="9741" max="9741" width="9.42578125" style="68" customWidth="1"/>
    <col min="9742" max="9742" width="10.140625" style="68" bestFit="1" customWidth="1"/>
    <col min="9743" max="9744" width="9.140625" style="68"/>
    <col min="9745" max="9745" width="7.28515625" style="68" customWidth="1"/>
    <col min="9746" max="9751" width="7.42578125" style="68" customWidth="1"/>
    <col min="9752" max="9752" width="9.42578125" style="68" bestFit="1" customWidth="1"/>
    <col min="9753" max="9753" width="12" style="68" bestFit="1" customWidth="1"/>
    <col min="9754" max="9755" width="12" style="68" customWidth="1"/>
    <col min="9756" max="9756" width="13.140625" style="68" bestFit="1" customWidth="1"/>
    <col min="9757" max="9758" width="13.140625" style="68" customWidth="1"/>
    <col min="9759" max="9760" width="14.42578125" style="68" bestFit="1" customWidth="1"/>
    <col min="9761" max="9762" width="9.140625" style="68" customWidth="1"/>
    <col min="9763" max="9763" width="9.5703125" style="68" customWidth="1"/>
    <col min="9764" max="9765" width="9.5703125" style="68" bestFit="1" customWidth="1"/>
    <col min="9766" max="9767" width="10.140625" style="68" bestFit="1" customWidth="1"/>
    <col min="9768" max="9768" width="9.5703125" style="68" bestFit="1" customWidth="1"/>
    <col min="9769" max="9769" width="9.5703125" style="68" customWidth="1"/>
    <col min="9770" max="9770" width="9" style="68" customWidth="1"/>
    <col min="9771" max="9771" width="10.5703125" style="68" bestFit="1" customWidth="1"/>
    <col min="9772" max="9772" width="11.42578125" style="68" bestFit="1" customWidth="1"/>
    <col min="9773" max="9773" width="18" style="68" bestFit="1" customWidth="1"/>
    <col min="9774" max="9991" width="9.140625" style="68"/>
    <col min="9992" max="9992" width="41" style="68" customWidth="1"/>
    <col min="9993" max="9993" width="19.5703125" style="68" bestFit="1" customWidth="1"/>
    <col min="9994" max="9994" width="10.140625" style="68" customWidth="1"/>
    <col min="9995" max="9995" width="10.42578125" style="68" bestFit="1" customWidth="1"/>
    <col min="9996" max="9996" width="11.28515625" style="68" customWidth="1"/>
    <col min="9997" max="9997" width="9.42578125" style="68" customWidth="1"/>
    <col min="9998" max="9998" width="10.140625" style="68" bestFit="1" customWidth="1"/>
    <col min="9999" max="10000" width="9.140625" style="68"/>
    <col min="10001" max="10001" width="7.28515625" style="68" customWidth="1"/>
    <col min="10002" max="10007" width="7.42578125" style="68" customWidth="1"/>
    <col min="10008" max="10008" width="9.42578125" style="68" bestFit="1" customWidth="1"/>
    <col min="10009" max="10009" width="12" style="68" bestFit="1" customWidth="1"/>
    <col min="10010" max="10011" width="12" style="68" customWidth="1"/>
    <col min="10012" max="10012" width="13.140625" style="68" bestFit="1" customWidth="1"/>
    <col min="10013" max="10014" width="13.140625" style="68" customWidth="1"/>
    <col min="10015" max="10016" width="14.42578125" style="68" bestFit="1" customWidth="1"/>
    <col min="10017" max="10018" width="9.140625" style="68" customWidth="1"/>
    <col min="10019" max="10019" width="9.5703125" style="68" customWidth="1"/>
    <col min="10020" max="10021" width="9.5703125" style="68" bestFit="1" customWidth="1"/>
    <col min="10022" max="10023" width="10.140625" style="68" bestFit="1" customWidth="1"/>
    <col min="10024" max="10024" width="9.5703125" style="68" bestFit="1" customWidth="1"/>
    <col min="10025" max="10025" width="9.5703125" style="68" customWidth="1"/>
    <col min="10026" max="10026" width="9" style="68" customWidth="1"/>
    <col min="10027" max="10027" width="10.5703125" style="68" bestFit="1" customWidth="1"/>
    <col min="10028" max="10028" width="11.42578125" style="68" bestFit="1" customWidth="1"/>
    <col min="10029" max="10029" width="18" style="68" bestFit="1" customWidth="1"/>
    <col min="10030" max="10247" width="9.140625" style="68"/>
    <col min="10248" max="10248" width="41" style="68" customWidth="1"/>
    <col min="10249" max="10249" width="19.5703125" style="68" bestFit="1" customWidth="1"/>
    <col min="10250" max="10250" width="10.140625" style="68" customWidth="1"/>
    <col min="10251" max="10251" width="10.42578125" style="68" bestFit="1" customWidth="1"/>
    <col min="10252" max="10252" width="11.28515625" style="68" customWidth="1"/>
    <col min="10253" max="10253" width="9.42578125" style="68" customWidth="1"/>
    <col min="10254" max="10254" width="10.140625" style="68" bestFit="1" customWidth="1"/>
    <col min="10255" max="10256" width="9.140625" style="68"/>
    <col min="10257" max="10257" width="7.28515625" style="68" customWidth="1"/>
    <col min="10258" max="10263" width="7.42578125" style="68" customWidth="1"/>
    <col min="10264" max="10264" width="9.42578125" style="68" bestFit="1" customWidth="1"/>
    <col min="10265" max="10265" width="12" style="68" bestFit="1" customWidth="1"/>
    <col min="10266" max="10267" width="12" style="68" customWidth="1"/>
    <col min="10268" max="10268" width="13.140625" style="68" bestFit="1" customWidth="1"/>
    <col min="10269" max="10270" width="13.140625" style="68" customWidth="1"/>
    <col min="10271" max="10272" width="14.42578125" style="68" bestFit="1" customWidth="1"/>
    <col min="10273" max="10274" width="9.140625" style="68" customWidth="1"/>
    <col min="10275" max="10275" width="9.5703125" style="68" customWidth="1"/>
    <col min="10276" max="10277" width="9.5703125" style="68" bestFit="1" customWidth="1"/>
    <col min="10278" max="10279" width="10.140625" style="68" bestFit="1" customWidth="1"/>
    <col min="10280" max="10280" width="9.5703125" style="68" bestFit="1" customWidth="1"/>
    <col min="10281" max="10281" width="9.5703125" style="68" customWidth="1"/>
    <col min="10282" max="10282" width="9" style="68" customWidth="1"/>
    <col min="10283" max="10283" width="10.5703125" style="68" bestFit="1" customWidth="1"/>
    <col min="10284" max="10284" width="11.42578125" style="68" bestFit="1" customWidth="1"/>
    <col min="10285" max="10285" width="18" style="68" bestFit="1" customWidth="1"/>
    <col min="10286" max="10503" width="9.140625" style="68"/>
    <col min="10504" max="10504" width="41" style="68" customWidth="1"/>
    <col min="10505" max="10505" width="19.5703125" style="68" bestFit="1" customWidth="1"/>
    <col min="10506" max="10506" width="10.140625" style="68" customWidth="1"/>
    <col min="10507" max="10507" width="10.42578125" style="68" bestFit="1" customWidth="1"/>
    <col min="10508" max="10508" width="11.28515625" style="68" customWidth="1"/>
    <col min="10509" max="10509" width="9.42578125" style="68" customWidth="1"/>
    <col min="10510" max="10510" width="10.140625" style="68" bestFit="1" customWidth="1"/>
    <col min="10511" max="10512" width="9.140625" style="68"/>
    <col min="10513" max="10513" width="7.28515625" style="68" customWidth="1"/>
    <col min="10514" max="10519" width="7.42578125" style="68" customWidth="1"/>
    <col min="10520" max="10520" width="9.42578125" style="68" bestFit="1" customWidth="1"/>
    <col min="10521" max="10521" width="12" style="68" bestFit="1" customWidth="1"/>
    <col min="10522" max="10523" width="12" style="68" customWidth="1"/>
    <col min="10524" max="10524" width="13.140625" style="68" bestFit="1" customWidth="1"/>
    <col min="10525" max="10526" width="13.140625" style="68" customWidth="1"/>
    <col min="10527" max="10528" width="14.42578125" style="68" bestFit="1" customWidth="1"/>
    <col min="10529" max="10530" width="9.140625" style="68" customWidth="1"/>
    <col min="10531" max="10531" width="9.5703125" style="68" customWidth="1"/>
    <col min="10532" max="10533" width="9.5703125" style="68" bestFit="1" customWidth="1"/>
    <col min="10534" max="10535" width="10.140625" style="68" bestFit="1" customWidth="1"/>
    <col min="10536" max="10536" width="9.5703125" style="68" bestFit="1" customWidth="1"/>
    <col min="10537" max="10537" width="9.5703125" style="68" customWidth="1"/>
    <col min="10538" max="10538" width="9" style="68" customWidth="1"/>
    <col min="10539" max="10539" width="10.5703125" style="68" bestFit="1" customWidth="1"/>
    <col min="10540" max="10540" width="11.42578125" style="68" bestFit="1" customWidth="1"/>
    <col min="10541" max="10541" width="18" style="68" bestFit="1" customWidth="1"/>
    <col min="10542" max="10759" width="9.140625" style="68"/>
    <col min="10760" max="10760" width="41" style="68" customWidth="1"/>
    <col min="10761" max="10761" width="19.5703125" style="68" bestFit="1" customWidth="1"/>
    <col min="10762" max="10762" width="10.140625" style="68" customWidth="1"/>
    <col min="10763" max="10763" width="10.42578125" style="68" bestFit="1" customWidth="1"/>
    <col min="10764" max="10764" width="11.28515625" style="68" customWidth="1"/>
    <col min="10765" max="10765" width="9.42578125" style="68" customWidth="1"/>
    <col min="10766" max="10766" width="10.140625" style="68" bestFit="1" customWidth="1"/>
    <col min="10767" max="10768" width="9.140625" style="68"/>
    <col min="10769" max="10769" width="7.28515625" style="68" customWidth="1"/>
    <col min="10770" max="10775" width="7.42578125" style="68" customWidth="1"/>
    <col min="10776" max="10776" width="9.42578125" style="68" bestFit="1" customWidth="1"/>
    <col min="10777" max="10777" width="12" style="68" bestFit="1" customWidth="1"/>
    <col min="10778" max="10779" width="12" style="68" customWidth="1"/>
    <col min="10780" max="10780" width="13.140625" style="68" bestFit="1" customWidth="1"/>
    <col min="10781" max="10782" width="13.140625" style="68" customWidth="1"/>
    <col min="10783" max="10784" width="14.42578125" style="68" bestFit="1" customWidth="1"/>
    <col min="10785" max="10786" width="9.140625" style="68" customWidth="1"/>
    <col min="10787" max="10787" width="9.5703125" style="68" customWidth="1"/>
    <col min="10788" max="10789" width="9.5703125" style="68" bestFit="1" customWidth="1"/>
    <col min="10790" max="10791" width="10.140625" style="68" bestFit="1" customWidth="1"/>
    <col min="10792" max="10792" width="9.5703125" style="68" bestFit="1" customWidth="1"/>
    <col min="10793" max="10793" width="9.5703125" style="68" customWidth="1"/>
    <col min="10794" max="10794" width="9" style="68" customWidth="1"/>
    <col min="10795" max="10795" width="10.5703125" style="68" bestFit="1" customWidth="1"/>
    <col min="10796" max="10796" width="11.42578125" style="68" bestFit="1" customWidth="1"/>
    <col min="10797" max="10797" width="18" style="68" bestFit="1" customWidth="1"/>
    <col min="10798" max="11015" width="9.140625" style="68"/>
    <col min="11016" max="11016" width="41" style="68" customWidth="1"/>
    <col min="11017" max="11017" width="19.5703125" style="68" bestFit="1" customWidth="1"/>
    <col min="11018" max="11018" width="10.140625" style="68" customWidth="1"/>
    <col min="11019" max="11019" width="10.42578125" style="68" bestFit="1" customWidth="1"/>
    <col min="11020" max="11020" width="11.28515625" style="68" customWidth="1"/>
    <col min="11021" max="11021" width="9.42578125" style="68" customWidth="1"/>
    <col min="11022" max="11022" width="10.140625" style="68" bestFit="1" customWidth="1"/>
    <col min="11023" max="11024" width="9.140625" style="68"/>
    <col min="11025" max="11025" width="7.28515625" style="68" customWidth="1"/>
    <col min="11026" max="11031" width="7.42578125" style="68" customWidth="1"/>
    <col min="11032" max="11032" width="9.42578125" style="68" bestFit="1" customWidth="1"/>
    <col min="11033" max="11033" width="12" style="68" bestFit="1" customWidth="1"/>
    <col min="11034" max="11035" width="12" style="68" customWidth="1"/>
    <col min="11036" max="11036" width="13.140625" style="68" bestFit="1" customWidth="1"/>
    <col min="11037" max="11038" width="13.140625" style="68" customWidth="1"/>
    <col min="11039" max="11040" width="14.42578125" style="68" bestFit="1" customWidth="1"/>
    <col min="11041" max="11042" width="9.140625" style="68" customWidth="1"/>
    <col min="11043" max="11043" width="9.5703125" style="68" customWidth="1"/>
    <col min="11044" max="11045" width="9.5703125" style="68" bestFit="1" customWidth="1"/>
    <col min="11046" max="11047" width="10.140625" style="68" bestFit="1" customWidth="1"/>
    <col min="11048" max="11048" width="9.5703125" style="68" bestFit="1" customWidth="1"/>
    <col min="11049" max="11049" width="9.5703125" style="68" customWidth="1"/>
    <col min="11050" max="11050" width="9" style="68" customWidth="1"/>
    <col min="11051" max="11051" width="10.5703125" style="68" bestFit="1" customWidth="1"/>
    <col min="11052" max="11052" width="11.42578125" style="68" bestFit="1" customWidth="1"/>
    <col min="11053" max="11053" width="18" style="68" bestFit="1" customWidth="1"/>
    <col min="11054" max="11271" width="9.140625" style="68"/>
    <col min="11272" max="11272" width="41" style="68" customWidth="1"/>
    <col min="11273" max="11273" width="19.5703125" style="68" bestFit="1" customWidth="1"/>
    <col min="11274" max="11274" width="10.140625" style="68" customWidth="1"/>
    <col min="11275" max="11275" width="10.42578125" style="68" bestFit="1" customWidth="1"/>
    <col min="11276" max="11276" width="11.28515625" style="68" customWidth="1"/>
    <col min="11277" max="11277" width="9.42578125" style="68" customWidth="1"/>
    <col min="11278" max="11278" width="10.140625" style="68" bestFit="1" customWidth="1"/>
    <col min="11279" max="11280" width="9.140625" style="68"/>
    <col min="11281" max="11281" width="7.28515625" style="68" customWidth="1"/>
    <col min="11282" max="11287" width="7.42578125" style="68" customWidth="1"/>
    <col min="11288" max="11288" width="9.42578125" style="68" bestFit="1" customWidth="1"/>
    <col min="11289" max="11289" width="12" style="68" bestFit="1" customWidth="1"/>
    <col min="11290" max="11291" width="12" style="68" customWidth="1"/>
    <col min="11292" max="11292" width="13.140625" style="68" bestFit="1" customWidth="1"/>
    <col min="11293" max="11294" width="13.140625" style="68" customWidth="1"/>
    <col min="11295" max="11296" width="14.42578125" style="68" bestFit="1" customWidth="1"/>
    <col min="11297" max="11298" width="9.140625" style="68" customWidth="1"/>
    <col min="11299" max="11299" width="9.5703125" style="68" customWidth="1"/>
    <col min="11300" max="11301" width="9.5703125" style="68" bestFit="1" customWidth="1"/>
    <col min="11302" max="11303" width="10.140625" style="68" bestFit="1" customWidth="1"/>
    <col min="11304" max="11304" width="9.5703125" style="68" bestFit="1" customWidth="1"/>
    <col min="11305" max="11305" width="9.5703125" style="68" customWidth="1"/>
    <col min="11306" max="11306" width="9" style="68" customWidth="1"/>
    <col min="11307" max="11307" width="10.5703125" style="68" bestFit="1" customWidth="1"/>
    <col min="11308" max="11308" width="11.42578125" style="68" bestFit="1" customWidth="1"/>
    <col min="11309" max="11309" width="18" style="68" bestFit="1" customWidth="1"/>
    <col min="11310" max="11527" width="9.140625" style="68"/>
    <col min="11528" max="11528" width="41" style="68" customWidth="1"/>
    <col min="11529" max="11529" width="19.5703125" style="68" bestFit="1" customWidth="1"/>
    <col min="11530" max="11530" width="10.140625" style="68" customWidth="1"/>
    <col min="11531" max="11531" width="10.42578125" style="68" bestFit="1" customWidth="1"/>
    <col min="11532" max="11532" width="11.28515625" style="68" customWidth="1"/>
    <col min="11533" max="11533" width="9.42578125" style="68" customWidth="1"/>
    <col min="11534" max="11534" width="10.140625" style="68" bestFit="1" customWidth="1"/>
    <col min="11535" max="11536" width="9.140625" style="68"/>
    <col min="11537" max="11537" width="7.28515625" style="68" customWidth="1"/>
    <col min="11538" max="11543" width="7.42578125" style="68" customWidth="1"/>
    <col min="11544" max="11544" width="9.42578125" style="68" bestFit="1" customWidth="1"/>
    <col min="11545" max="11545" width="12" style="68" bestFit="1" customWidth="1"/>
    <col min="11546" max="11547" width="12" style="68" customWidth="1"/>
    <col min="11548" max="11548" width="13.140625" style="68" bestFit="1" customWidth="1"/>
    <col min="11549" max="11550" width="13.140625" style="68" customWidth="1"/>
    <col min="11551" max="11552" width="14.42578125" style="68" bestFit="1" customWidth="1"/>
    <col min="11553" max="11554" width="9.140625" style="68" customWidth="1"/>
    <col min="11555" max="11555" width="9.5703125" style="68" customWidth="1"/>
    <col min="11556" max="11557" width="9.5703125" style="68" bestFit="1" customWidth="1"/>
    <col min="11558" max="11559" width="10.140625" style="68" bestFit="1" customWidth="1"/>
    <col min="11560" max="11560" width="9.5703125" style="68" bestFit="1" customWidth="1"/>
    <col min="11561" max="11561" width="9.5703125" style="68" customWidth="1"/>
    <col min="11562" max="11562" width="9" style="68" customWidth="1"/>
    <col min="11563" max="11563" width="10.5703125" style="68" bestFit="1" customWidth="1"/>
    <col min="11564" max="11564" width="11.42578125" style="68" bestFit="1" customWidth="1"/>
    <col min="11565" max="11565" width="18" style="68" bestFit="1" customWidth="1"/>
    <col min="11566" max="11783" width="9.140625" style="68"/>
    <col min="11784" max="11784" width="41" style="68" customWidth="1"/>
    <col min="11785" max="11785" width="19.5703125" style="68" bestFit="1" customWidth="1"/>
    <col min="11786" max="11786" width="10.140625" style="68" customWidth="1"/>
    <col min="11787" max="11787" width="10.42578125" style="68" bestFit="1" customWidth="1"/>
    <col min="11788" max="11788" width="11.28515625" style="68" customWidth="1"/>
    <col min="11789" max="11789" width="9.42578125" style="68" customWidth="1"/>
    <col min="11790" max="11790" width="10.140625" style="68" bestFit="1" customWidth="1"/>
    <col min="11791" max="11792" width="9.140625" style="68"/>
    <col min="11793" max="11793" width="7.28515625" style="68" customWidth="1"/>
    <col min="11794" max="11799" width="7.42578125" style="68" customWidth="1"/>
    <col min="11800" max="11800" width="9.42578125" style="68" bestFit="1" customWidth="1"/>
    <col min="11801" max="11801" width="12" style="68" bestFit="1" customWidth="1"/>
    <col min="11802" max="11803" width="12" style="68" customWidth="1"/>
    <col min="11804" max="11804" width="13.140625" style="68" bestFit="1" customWidth="1"/>
    <col min="11805" max="11806" width="13.140625" style="68" customWidth="1"/>
    <col min="11807" max="11808" width="14.42578125" style="68" bestFit="1" customWidth="1"/>
    <col min="11809" max="11810" width="9.140625" style="68" customWidth="1"/>
    <col min="11811" max="11811" width="9.5703125" style="68" customWidth="1"/>
    <col min="11812" max="11813" width="9.5703125" style="68" bestFit="1" customWidth="1"/>
    <col min="11814" max="11815" width="10.140625" style="68" bestFit="1" customWidth="1"/>
    <col min="11816" max="11816" width="9.5703125" style="68" bestFit="1" customWidth="1"/>
    <col min="11817" max="11817" width="9.5703125" style="68" customWidth="1"/>
    <col min="11818" max="11818" width="9" style="68" customWidth="1"/>
    <col min="11819" max="11819" width="10.5703125" style="68" bestFit="1" customWidth="1"/>
    <col min="11820" max="11820" width="11.42578125" style="68" bestFit="1" customWidth="1"/>
    <col min="11821" max="11821" width="18" style="68" bestFit="1" customWidth="1"/>
    <col min="11822" max="12039" width="9.140625" style="68"/>
    <col min="12040" max="12040" width="41" style="68" customWidth="1"/>
    <col min="12041" max="12041" width="19.5703125" style="68" bestFit="1" customWidth="1"/>
    <col min="12042" max="12042" width="10.140625" style="68" customWidth="1"/>
    <col min="12043" max="12043" width="10.42578125" style="68" bestFit="1" customWidth="1"/>
    <col min="12044" max="12044" width="11.28515625" style="68" customWidth="1"/>
    <col min="12045" max="12045" width="9.42578125" style="68" customWidth="1"/>
    <col min="12046" max="12046" width="10.140625" style="68" bestFit="1" customWidth="1"/>
    <col min="12047" max="12048" width="9.140625" style="68"/>
    <col min="12049" max="12049" width="7.28515625" style="68" customWidth="1"/>
    <col min="12050" max="12055" width="7.42578125" style="68" customWidth="1"/>
    <col min="12056" max="12056" width="9.42578125" style="68" bestFit="1" customWidth="1"/>
    <col min="12057" max="12057" width="12" style="68" bestFit="1" customWidth="1"/>
    <col min="12058" max="12059" width="12" style="68" customWidth="1"/>
    <col min="12060" max="12060" width="13.140625" style="68" bestFit="1" customWidth="1"/>
    <col min="12061" max="12062" width="13.140625" style="68" customWidth="1"/>
    <col min="12063" max="12064" width="14.42578125" style="68" bestFit="1" customWidth="1"/>
    <col min="12065" max="12066" width="9.140625" style="68" customWidth="1"/>
    <col min="12067" max="12067" width="9.5703125" style="68" customWidth="1"/>
    <col min="12068" max="12069" width="9.5703125" style="68" bestFit="1" customWidth="1"/>
    <col min="12070" max="12071" width="10.140625" style="68" bestFit="1" customWidth="1"/>
    <col min="12072" max="12072" width="9.5703125" style="68" bestFit="1" customWidth="1"/>
    <col min="12073" max="12073" width="9.5703125" style="68" customWidth="1"/>
    <col min="12074" max="12074" width="9" style="68" customWidth="1"/>
    <col min="12075" max="12075" width="10.5703125" style="68" bestFit="1" customWidth="1"/>
    <col min="12076" max="12076" width="11.42578125" style="68" bestFit="1" customWidth="1"/>
    <col min="12077" max="12077" width="18" style="68" bestFit="1" customWidth="1"/>
    <col min="12078" max="12295" width="9.140625" style="68"/>
    <col min="12296" max="12296" width="41" style="68" customWidth="1"/>
    <col min="12297" max="12297" width="19.5703125" style="68" bestFit="1" customWidth="1"/>
    <col min="12298" max="12298" width="10.140625" style="68" customWidth="1"/>
    <col min="12299" max="12299" width="10.42578125" style="68" bestFit="1" customWidth="1"/>
    <col min="12300" max="12300" width="11.28515625" style="68" customWidth="1"/>
    <col min="12301" max="12301" width="9.42578125" style="68" customWidth="1"/>
    <col min="12302" max="12302" width="10.140625" style="68" bestFit="1" customWidth="1"/>
    <col min="12303" max="12304" width="9.140625" style="68"/>
    <col min="12305" max="12305" width="7.28515625" style="68" customWidth="1"/>
    <col min="12306" max="12311" width="7.42578125" style="68" customWidth="1"/>
    <col min="12312" max="12312" width="9.42578125" style="68" bestFit="1" customWidth="1"/>
    <col min="12313" max="12313" width="12" style="68" bestFit="1" customWidth="1"/>
    <col min="12314" max="12315" width="12" style="68" customWidth="1"/>
    <col min="12316" max="12316" width="13.140625" style="68" bestFit="1" customWidth="1"/>
    <col min="12317" max="12318" width="13.140625" style="68" customWidth="1"/>
    <col min="12319" max="12320" width="14.42578125" style="68" bestFit="1" customWidth="1"/>
    <col min="12321" max="12322" width="9.140625" style="68" customWidth="1"/>
    <col min="12323" max="12323" width="9.5703125" style="68" customWidth="1"/>
    <col min="12324" max="12325" width="9.5703125" style="68" bestFit="1" customWidth="1"/>
    <col min="12326" max="12327" width="10.140625" style="68" bestFit="1" customWidth="1"/>
    <col min="12328" max="12328" width="9.5703125" style="68" bestFit="1" customWidth="1"/>
    <col min="12329" max="12329" width="9.5703125" style="68" customWidth="1"/>
    <col min="12330" max="12330" width="9" style="68" customWidth="1"/>
    <col min="12331" max="12331" width="10.5703125" style="68" bestFit="1" customWidth="1"/>
    <col min="12332" max="12332" width="11.42578125" style="68" bestFit="1" customWidth="1"/>
    <col min="12333" max="12333" width="18" style="68" bestFit="1" customWidth="1"/>
    <col min="12334" max="12551" width="9.140625" style="68"/>
    <col min="12552" max="12552" width="41" style="68" customWidth="1"/>
    <col min="12553" max="12553" width="19.5703125" style="68" bestFit="1" customWidth="1"/>
    <col min="12554" max="12554" width="10.140625" style="68" customWidth="1"/>
    <col min="12555" max="12555" width="10.42578125" style="68" bestFit="1" customWidth="1"/>
    <col min="12556" max="12556" width="11.28515625" style="68" customWidth="1"/>
    <col min="12557" max="12557" width="9.42578125" style="68" customWidth="1"/>
    <col min="12558" max="12558" width="10.140625" style="68" bestFit="1" customWidth="1"/>
    <col min="12559" max="12560" width="9.140625" style="68"/>
    <col min="12561" max="12561" width="7.28515625" style="68" customWidth="1"/>
    <col min="12562" max="12567" width="7.42578125" style="68" customWidth="1"/>
    <col min="12568" max="12568" width="9.42578125" style="68" bestFit="1" customWidth="1"/>
    <col min="12569" max="12569" width="12" style="68" bestFit="1" customWidth="1"/>
    <col min="12570" max="12571" width="12" style="68" customWidth="1"/>
    <col min="12572" max="12572" width="13.140625" style="68" bestFit="1" customWidth="1"/>
    <col min="12573" max="12574" width="13.140625" style="68" customWidth="1"/>
    <col min="12575" max="12576" width="14.42578125" style="68" bestFit="1" customWidth="1"/>
    <col min="12577" max="12578" width="9.140625" style="68" customWidth="1"/>
    <col min="12579" max="12579" width="9.5703125" style="68" customWidth="1"/>
    <col min="12580" max="12581" width="9.5703125" style="68" bestFit="1" customWidth="1"/>
    <col min="12582" max="12583" width="10.140625" style="68" bestFit="1" customWidth="1"/>
    <col min="12584" max="12584" width="9.5703125" style="68" bestFit="1" customWidth="1"/>
    <col min="12585" max="12585" width="9.5703125" style="68" customWidth="1"/>
    <col min="12586" max="12586" width="9" style="68" customWidth="1"/>
    <col min="12587" max="12587" width="10.5703125" style="68" bestFit="1" customWidth="1"/>
    <col min="12588" max="12588" width="11.42578125" style="68" bestFit="1" customWidth="1"/>
    <col min="12589" max="12589" width="18" style="68" bestFit="1" customWidth="1"/>
    <col min="12590" max="12807" width="9.140625" style="68"/>
    <col min="12808" max="12808" width="41" style="68" customWidth="1"/>
    <col min="12809" max="12809" width="19.5703125" style="68" bestFit="1" customWidth="1"/>
    <col min="12810" max="12810" width="10.140625" style="68" customWidth="1"/>
    <col min="12811" max="12811" width="10.42578125" style="68" bestFit="1" customWidth="1"/>
    <col min="12812" max="12812" width="11.28515625" style="68" customWidth="1"/>
    <col min="12813" max="12813" width="9.42578125" style="68" customWidth="1"/>
    <col min="12814" max="12814" width="10.140625" style="68" bestFit="1" customWidth="1"/>
    <col min="12815" max="12816" width="9.140625" style="68"/>
    <col min="12817" max="12817" width="7.28515625" style="68" customWidth="1"/>
    <col min="12818" max="12823" width="7.42578125" style="68" customWidth="1"/>
    <col min="12824" max="12824" width="9.42578125" style="68" bestFit="1" customWidth="1"/>
    <col min="12825" max="12825" width="12" style="68" bestFit="1" customWidth="1"/>
    <col min="12826" max="12827" width="12" style="68" customWidth="1"/>
    <col min="12828" max="12828" width="13.140625" style="68" bestFit="1" customWidth="1"/>
    <col min="12829" max="12830" width="13.140625" style="68" customWidth="1"/>
    <col min="12831" max="12832" width="14.42578125" style="68" bestFit="1" customWidth="1"/>
    <col min="12833" max="12834" width="9.140625" style="68" customWidth="1"/>
    <col min="12835" max="12835" width="9.5703125" style="68" customWidth="1"/>
    <col min="12836" max="12837" width="9.5703125" style="68" bestFit="1" customWidth="1"/>
    <col min="12838" max="12839" width="10.140625" style="68" bestFit="1" customWidth="1"/>
    <col min="12840" max="12840" width="9.5703125" style="68" bestFit="1" customWidth="1"/>
    <col min="12841" max="12841" width="9.5703125" style="68" customWidth="1"/>
    <col min="12842" max="12842" width="9" style="68" customWidth="1"/>
    <col min="12843" max="12843" width="10.5703125" style="68" bestFit="1" customWidth="1"/>
    <col min="12844" max="12844" width="11.42578125" style="68" bestFit="1" customWidth="1"/>
    <col min="12845" max="12845" width="18" style="68" bestFit="1" customWidth="1"/>
    <col min="12846" max="13063" width="9.140625" style="68"/>
    <col min="13064" max="13064" width="41" style="68" customWidth="1"/>
    <col min="13065" max="13065" width="19.5703125" style="68" bestFit="1" customWidth="1"/>
    <col min="13066" max="13066" width="10.140625" style="68" customWidth="1"/>
    <col min="13067" max="13067" width="10.42578125" style="68" bestFit="1" customWidth="1"/>
    <col min="13068" max="13068" width="11.28515625" style="68" customWidth="1"/>
    <col min="13069" max="13069" width="9.42578125" style="68" customWidth="1"/>
    <col min="13070" max="13070" width="10.140625" style="68" bestFit="1" customWidth="1"/>
    <col min="13071" max="13072" width="9.140625" style="68"/>
    <col min="13073" max="13073" width="7.28515625" style="68" customWidth="1"/>
    <col min="13074" max="13079" width="7.42578125" style="68" customWidth="1"/>
    <col min="13080" max="13080" width="9.42578125" style="68" bestFit="1" customWidth="1"/>
    <col min="13081" max="13081" width="12" style="68" bestFit="1" customWidth="1"/>
    <col min="13082" max="13083" width="12" style="68" customWidth="1"/>
    <col min="13084" max="13084" width="13.140625" style="68" bestFit="1" customWidth="1"/>
    <col min="13085" max="13086" width="13.140625" style="68" customWidth="1"/>
    <col min="13087" max="13088" width="14.42578125" style="68" bestFit="1" customWidth="1"/>
    <col min="13089" max="13090" width="9.140625" style="68" customWidth="1"/>
    <col min="13091" max="13091" width="9.5703125" style="68" customWidth="1"/>
    <col min="13092" max="13093" width="9.5703125" style="68" bestFit="1" customWidth="1"/>
    <col min="13094" max="13095" width="10.140625" style="68" bestFit="1" customWidth="1"/>
    <col min="13096" max="13096" width="9.5703125" style="68" bestFit="1" customWidth="1"/>
    <col min="13097" max="13097" width="9.5703125" style="68" customWidth="1"/>
    <col min="13098" max="13098" width="9" style="68" customWidth="1"/>
    <col min="13099" max="13099" width="10.5703125" style="68" bestFit="1" customWidth="1"/>
    <col min="13100" max="13100" width="11.42578125" style="68" bestFit="1" customWidth="1"/>
    <col min="13101" max="13101" width="18" style="68" bestFit="1" customWidth="1"/>
    <col min="13102" max="13319" width="9.140625" style="68"/>
    <col min="13320" max="13320" width="41" style="68" customWidth="1"/>
    <col min="13321" max="13321" width="19.5703125" style="68" bestFit="1" customWidth="1"/>
    <col min="13322" max="13322" width="10.140625" style="68" customWidth="1"/>
    <col min="13323" max="13323" width="10.42578125" style="68" bestFit="1" customWidth="1"/>
    <col min="13324" max="13324" width="11.28515625" style="68" customWidth="1"/>
    <col min="13325" max="13325" width="9.42578125" style="68" customWidth="1"/>
    <col min="13326" max="13326" width="10.140625" style="68" bestFit="1" customWidth="1"/>
    <col min="13327" max="13328" width="9.140625" style="68"/>
    <col min="13329" max="13329" width="7.28515625" style="68" customWidth="1"/>
    <col min="13330" max="13335" width="7.42578125" style="68" customWidth="1"/>
    <col min="13336" max="13336" width="9.42578125" style="68" bestFit="1" customWidth="1"/>
    <col min="13337" max="13337" width="12" style="68" bestFit="1" customWidth="1"/>
    <col min="13338" max="13339" width="12" style="68" customWidth="1"/>
    <col min="13340" max="13340" width="13.140625" style="68" bestFit="1" customWidth="1"/>
    <col min="13341" max="13342" width="13.140625" style="68" customWidth="1"/>
    <col min="13343" max="13344" width="14.42578125" style="68" bestFit="1" customWidth="1"/>
    <col min="13345" max="13346" width="9.140625" style="68" customWidth="1"/>
    <col min="13347" max="13347" width="9.5703125" style="68" customWidth="1"/>
    <col min="13348" max="13349" width="9.5703125" style="68" bestFit="1" customWidth="1"/>
    <col min="13350" max="13351" width="10.140625" style="68" bestFit="1" customWidth="1"/>
    <col min="13352" max="13352" width="9.5703125" style="68" bestFit="1" customWidth="1"/>
    <col min="13353" max="13353" width="9.5703125" style="68" customWidth="1"/>
    <col min="13354" max="13354" width="9" style="68" customWidth="1"/>
    <col min="13355" max="13355" width="10.5703125" style="68" bestFit="1" customWidth="1"/>
    <col min="13356" max="13356" width="11.42578125" style="68" bestFit="1" customWidth="1"/>
    <col min="13357" max="13357" width="18" style="68" bestFit="1" customWidth="1"/>
    <col min="13358" max="13575" width="9.140625" style="68"/>
    <col min="13576" max="13576" width="41" style="68" customWidth="1"/>
    <col min="13577" max="13577" width="19.5703125" style="68" bestFit="1" customWidth="1"/>
    <col min="13578" max="13578" width="10.140625" style="68" customWidth="1"/>
    <col min="13579" max="13579" width="10.42578125" style="68" bestFit="1" customWidth="1"/>
    <col min="13580" max="13580" width="11.28515625" style="68" customWidth="1"/>
    <col min="13581" max="13581" width="9.42578125" style="68" customWidth="1"/>
    <col min="13582" max="13582" width="10.140625" style="68" bestFit="1" customWidth="1"/>
    <col min="13583" max="13584" width="9.140625" style="68"/>
    <col min="13585" max="13585" width="7.28515625" style="68" customWidth="1"/>
    <col min="13586" max="13591" width="7.42578125" style="68" customWidth="1"/>
    <col min="13592" max="13592" width="9.42578125" style="68" bestFit="1" customWidth="1"/>
    <col min="13593" max="13593" width="12" style="68" bestFit="1" customWidth="1"/>
    <col min="13594" max="13595" width="12" style="68" customWidth="1"/>
    <col min="13596" max="13596" width="13.140625" style="68" bestFit="1" customWidth="1"/>
    <col min="13597" max="13598" width="13.140625" style="68" customWidth="1"/>
    <col min="13599" max="13600" width="14.42578125" style="68" bestFit="1" customWidth="1"/>
    <col min="13601" max="13602" width="9.140625" style="68" customWidth="1"/>
    <col min="13603" max="13603" width="9.5703125" style="68" customWidth="1"/>
    <col min="13604" max="13605" width="9.5703125" style="68" bestFit="1" customWidth="1"/>
    <col min="13606" max="13607" width="10.140625" style="68" bestFit="1" customWidth="1"/>
    <col min="13608" max="13608" width="9.5703125" style="68" bestFit="1" customWidth="1"/>
    <col min="13609" max="13609" width="9.5703125" style="68" customWidth="1"/>
    <col min="13610" max="13610" width="9" style="68" customWidth="1"/>
    <col min="13611" max="13611" width="10.5703125" style="68" bestFit="1" customWidth="1"/>
    <col min="13612" max="13612" width="11.42578125" style="68" bestFit="1" customWidth="1"/>
    <col min="13613" max="13613" width="18" style="68" bestFit="1" customWidth="1"/>
    <col min="13614" max="13831" width="9.140625" style="68"/>
    <col min="13832" max="13832" width="41" style="68" customWidth="1"/>
    <col min="13833" max="13833" width="19.5703125" style="68" bestFit="1" customWidth="1"/>
    <col min="13834" max="13834" width="10.140625" style="68" customWidth="1"/>
    <col min="13835" max="13835" width="10.42578125" style="68" bestFit="1" customWidth="1"/>
    <col min="13836" max="13836" width="11.28515625" style="68" customWidth="1"/>
    <col min="13837" max="13837" width="9.42578125" style="68" customWidth="1"/>
    <col min="13838" max="13838" width="10.140625" style="68" bestFit="1" customWidth="1"/>
    <col min="13839" max="13840" width="9.140625" style="68"/>
    <col min="13841" max="13841" width="7.28515625" style="68" customWidth="1"/>
    <col min="13842" max="13847" width="7.42578125" style="68" customWidth="1"/>
    <col min="13848" max="13848" width="9.42578125" style="68" bestFit="1" customWidth="1"/>
    <col min="13849" max="13849" width="12" style="68" bestFit="1" customWidth="1"/>
    <col min="13850" max="13851" width="12" style="68" customWidth="1"/>
    <col min="13852" max="13852" width="13.140625" style="68" bestFit="1" customWidth="1"/>
    <col min="13853" max="13854" width="13.140625" style="68" customWidth="1"/>
    <col min="13855" max="13856" width="14.42578125" style="68" bestFit="1" customWidth="1"/>
    <col min="13857" max="13858" width="9.140625" style="68" customWidth="1"/>
    <col min="13859" max="13859" width="9.5703125" style="68" customWidth="1"/>
    <col min="13860" max="13861" width="9.5703125" style="68" bestFit="1" customWidth="1"/>
    <col min="13862" max="13863" width="10.140625" style="68" bestFit="1" customWidth="1"/>
    <col min="13864" max="13864" width="9.5703125" style="68" bestFit="1" customWidth="1"/>
    <col min="13865" max="13865" width="9.5703125" style="68" customWidth="1"/>
    <col min="13866" max="13866" width="9" style="68" customWidth="1"/>
    <col min="13867" max="13867" width="10.5703125" style="68" bestFit="1" customWidth="1"/>
    <col min="13868" max="13868" width="11.42578125" style="68" bestFit="1" customWidth="1"/>
    <col min="13869" max="13869" width="18" style="68" bestFit="1" customWidth="1"/>
    <col min="13870" max="14087" width="9.140625" style="68"/>
    <col min="14088" max="14088" width="41" style="68" customWidth="1"/>
    <col min="14089" max="14089" width="19.5703125" style="68" bestFit="1" customWidth="1"/>
    <col min="14090" max="14090" width="10.140625" style="68" customWidth="1"/>
    <col min="14091" max="14091" width="10.42578125" style="68" bestFit="1" customWidth="1"/>
    <col min="14092" max="14092" width="11.28515625" style="68" customWidth="1"/>
    <col min="14093" max="14093" width="9.42578125" style="68" customWidth="1"/>
    <col min="14094" max="14094" width="10.140625" style="68" bestFit="1" customWidth="1"/>
    <col min="14095" max="14096" width="9.140625" style="68"/>
    <col min="14097" max="14097" width="7.28515625" style="68" customWidth="1"/>
    <col min="14098" max="14103" width="7.42578125" style="68" customWidth="1"/>
    <col min="14104" max="14104" width="9.42578125" style="68" bestFit="1" customWidth="1"/>
    <col min="14105" max="14105" width="12" style="68" bestFit="1" customWidth="1"/>
    <col min="14106" max="14107" width="12" style="68" customWidth="1"/>
    <col min="14108" max="14108" width="13.140625" style="68" bestFit="1" customWidth="1"/>
    <col min="14109" max="14110" width="13.140625" style="68" customWidth="1"/>
    <col min="14111" max="14112" width="14.42578125" style="68" bestFit="1" customWidth="1"/>
    <col min="14113" max="14114" width="9.140625" style="68" customWidth="1"/>
    <col min="14115" max="14115" width="9.5703125" style="68" customWidth="1"/>
    <col min="14116" max="14117" width="9.5703125" style="68" bestFit="1" customWidth="1"/>
    <col min="14118" max="14119" width="10.140625" style="68" bestFit="1" customWidth="1"/>
    <col min="14120" max="14120" width="9.5703125" style="68" bestFit="1" customWidth="1"/>
    <col min="14121" max="14121" width="9.5703125" style="68" customWidth="1"/>
    <col min="14122" max="14122" width="9" style="68" customWidth="1"/>
    <col min="14123" max="14123" width="10.5703125" style="68" bestFit="1" customWidth="1"/>
    <col min="14124" max="14124" width="11.42578125" style="68" bestFit="1" customWidth="1"/>
    <col min="14125" max="14125" width="18" style="68" bestFit="1" customWidth="1"/>
    <col min="14126" max="14343" width="9.140625" style="68"/>
    <col min="14344" max="14344" width="41" style="68" customWidth="1"/>
    <col min="14345" max="14345" width="19.5703125" style="68" bestFit="1" customWidth="1"/>
    <col min="14346" max="14346" width="10.140625" style="68" customWidth="1"/>
    <col min="14347" max="14347" width="10.42578125" style="68" bestFit="1" customWidth="1"/>
    <col min="14348" max="14348" width="11.28515625" style="68" customWidth="1"/>
    <col min="14349" max="14349" width="9.42578125" style="68" customWidth="1"/>
    <col min="14350" max="14350" width="10.140625" style="68" bestFit="1" customWidth="1"/>
    <col min="14351" max="14352" width="9.140625" style="68"/>
    <col min="14353" max="14353" width="7.28515625" style="68" customWidth="1"/>
    <col min="14354" max="14359" width="7.42578125" style="68" customWidth="1"/>
    <col min="14360" max="14360" width="9.42578125" style="68" bestFit="1" customWidth="1"/>
    <col min="14361" max="14361" width="12" style="68" bestFit="1" customWidth="1"/>
    <col min="14362" max="14363" width="12" style="68" customWidth="1"/>
    <col min="14364" max="14364" width="13.140625" style="68" bestFit="1" customWidth="1"/>
    <col min="14365" max="14366" width="13.140625" style="68" customWidth="1"/>
    <col min="14367" max="14368" width="14.42578125" style="68" bestFit="1" customWidth="1"/>
    <col min="14369" max="14370" width="9.140625" style="68" customWidth="1"/>
    <col min="14371" max="14371" width="9.5703125" style="68" customWidth="1"/>
    <col min="14372" max="14373" width="9.5703125" style="68" bestFit="1" customWidth="1"/>
    <col min="14374" max="14375" width="10.140625" style="68" bestFit="1" customWidth="1"/>
    <col min="14376" max="14376" width="9.5703125" style="68" bestFit="1" customWidth="1"/>
    <col min="14377" max="14377" width="9.5703125" style="68" customWidth="1"/>
    <col min="14378" max="14378" width="9" style="68" customWidth="1"/>
    <col min="14379" max="14379" width="10.5703125" style="68" bestFit="1" customWidth="1"/>
    <col min="14380" max="14380" width="11.42578125" style="68" bestFit="1" customWidth="1"/>
    <col min="14381" max="14381" width="18" style="68" bestFit="1" customWidth="1"/>
    <col min="14382" max="14599" width="9.140625" style="68"/>
    <col min="14600" max="14600" width="41" style="68" customWidth="1"/>
    <col min="14601" max="14601" width="19.5703125" style="68" bestFit="1" customWidth="1"/>
    <col min="14602" max="14602" width="10.140625" style="68" customWidth="1"/>
    <col min="14603" max="14603" width="10.42578125" style="68" bestFit="1" customWidth="1"/>
    <col min="14604" max="14604" width="11.28515625" style="68" customWidth="1"/>
    <col min="14605" max="14605" width="9.42578125" style="68" customWidth="1"/>
    <col min="14606" max="14606" width="10.140625" style="68" bestFit="1" customWidth="1"/>
    <col min="14607" max="14608" width="9.140625" style="68"/>
    <col min="14609" max="14609" width="7.28515625" style="68" customWidth="1"/>
    <col min="14610" max="14615" width="7.42578125" style="68" customWidth="1"/>
    <col min="14616" max="14616" width="9.42578125" style="68" bestFit="1" customWidth="1"/>
    <col min="14617" max="14617" width="12" style="68" bestFit="1" customWidth="1"/>
    <col min="14618" max="14619" width="12" style="68" customWidth="1"/>
    <col min="14620" max="14620" width="13.140625" style="68" bestFit="1" customWidth="1"/>
    <col min="14621" max="14622" width="13.140625" style="68" customWidth="1"/>
    <col min="14623" max="14624" width="14.42578125" style="68" bestFit="1" customWidth="1"/>
    <col min="14625" max="14626" width="9.140625" style="68" customWidth="1"/>
    <col min="14627" max="14627" width="9.5703125" style="68" customWidth="1"/>
    <col min="14628" max="14629" width="9.5703125" style="68" bestFit="1" customWidth="1"/>
    <col min="14630" max="14631" width="10.140625" style="68" bestFit="1" customWidth="1"/>
    <col min="14632" max="14632" width="9.5703125" style="68" bestFit="1" customWidth="1"/>
    <col min="14633" max="14633" width="9.5703125" style="68" customWidth="1"/>
    <col min="14634" max="14634" width="9" style="68" customWidth="1"/>
    <col min="14635" max="14635" width="10.5703125" style="68" bestFit="1" customWidth="1"/>
    <col min="14636" max="14636" width="11.42578125" style="68" bestFit="1" customWidth="1"/>
    <col min="14637" max="14637" width="18" style="68" bestFit="1" customWidth="1"/>
    <col min="14638" max="14855" width="9.140625" style="68"/>
    <col min="14856" max="14856" width="41" style="68" customWidth="1"/>
    <col min="14857" max="14857" width="19.5703125" style="68" bestFit="1" customWidth="1"/>
    <col min="14858" max="14858" width="10.140625" style="68" customWidth="1"/>
    <col min="14859" max="14859" width="10.42578125" style="68" bestFit="1" customWidth="1"/>
    <col min="14860" max="14860" width="11.28515625" style="68" customWidth="1"/>
    <col min="14861" max="14861" width="9.42578125" style="68" customWidth="1"/>
    <col min="14862" max="14862" width="10.140625" style="68" bestFit="1" customWidth="1"/>
    <col min="14863" max="14864" width="9.140625" style="68"/>
    <col min="14865" max="14865" width="7.28515625" style="68" customWidth="1"/>
    <col min="14866" max="14871" width="7.42578125" style="68" customWidth="1"/>
    <col min="14872" max="14872" width="9.42578125" style="68" bestFit="1" customWidth="1"/>
    <col min="14873" max="14873" width="12" style="68" bestFit="1" customWidth="1"/>
    <col min="14874" max="14875" width="12" style="68" customWidth="1"/>
    <col min="14876" max="14876" width="13.140625" style="68" bestFit="1" customWidth="1"/>
    <col min="14877" max="14878" width="13.140625" style="68" customWidth="1"/>
    <col min="14879" max="14880" width="14.42578125" style="68" bestFit="1" customWidth="1"/>
    <col min="14881" max="14882" width="9.140625" style="68" customWidth="1"/>
    <col min="14883" max="14883" width="9.5703125" style="68" customWidth="1"/>
    <col min="14884" max="14885" width="9.5703125" style="68" bestFit="1" customWidth="1"/>
    <col min="14886" max="14887" width="10.140625" style="68" bestFit="1" customWidth="1"/>
    <col min="14888" max="14888" width="9.5703125" style="68" bestFit="1" customWidth="1"/>
    <col min="14889" max="14889" width="9.5703125" style="68" customWidth="1"/>
    <col min="14890" max="14890" width="9" style="68" customWidth="1"/>
    <col min="14891" max="14891" width="10.5703125" style="68" bestFit="1" customWidth="1"/>
    <col min="14892" max="14892" width="11.42578125" style="68" bestFit="1" customWidth="1"/>
    <col min="14893" max="14893" width="18" style="68" bestFit="1" customWidth="1"/>
    <col min="14894" max="15111" width="9.140625" style="68"/>
    <col min="15112" max="15112" width="41" style="68" customWidth="1"/>
    <col min="15113" max="15113" width="19.5703125" style="68" bestFit="1" customWidth="1"/>
    <col min="15114" max="15114" width="10.140625" style="68" customWidth="1"/>
    <col min="15115" max="15115" width="10.42578125" style="68" bestFit="1" customWidth="1"/>
    <col min="15116" max="15116" width="11.28515625" style="68" customWidth="1"/>
    <col min="15117" max="15117" width="9.42578125" style="68" customWidth="1"/>
    <col min="15118" max="15118" width="10.140625" style="68" bestFit="1" customWidth="1"/>
    <col min="15119" max="15120" width="9.140625" style="68"/>
    <col min="15121" max="15121" width="7.28515625" style="68" customWidth="1"/>
    <col min="15122" max="15127" width="7.42578125" style="68" customWidth="1"/>
    <col min="15128" max="15128" width="9.42578125" style="68" bestFit="1" customWidth="1"/>
    <col min="15129" max="15129" width="12" style="68" bestFit="1" customWidth="1"/>
    <col min="15130" max="15131" width="12" style="68" customWidth="1"/>
    <col min="15132" max="15132" width="13.140625" style="68" bestFit="1" customWidth="1"/>
    <col min="15133" max="15134" width="13.140625" style="68" customWidth="1"/>
    <col min="15135" max="15136" width="14.42578125" style="68" bestFit="1" customWidth="1"/>
    <col min="15137" max="15138" width="9.140625" style="68" customWidth="1"/>
    <col min="15139" max="15139" width="9.5703125" style="68" customWidth="1"/>
    <col min="15140" max="15141" width="9.5703125" style="68" bestFit="1" customWidth="1"/>
    <col min="15142" max="15143" width="10.140625" style="68" bestFit="1" customWidth="1"/>
    <col min="15144" max="15144" width="9.5703125" style="68" bestFit="1" customWidth="1"/>
    <col min="15145" max="15145" width="9.5703125" style="68" customWidth="1"/>
    <col min="15146" max="15146" width="9" style="68" customWidth="1"/>
    <col min="15147" max="15147" width="10.5703125" style="68" bestFit="1" customWidth="1"/>
    <col min="15148" max="15148" width="11.42578125" style="68" bestFit="1" customWidth="1"/>
    <col min="15149" max="15149" width="18" style="68" bestFit="1" customWidth="1"/>
    <col min="15150" max="15367" width="9.140625" style="68"/>
    <col min="15368" max="15368" width="41" style="68" customWidth="1"/>
    <col min="15369" max="15369" width="19.5703125" style="68" bestFit="1" customWidth="1"/>
    <col min="15370" max="15370" width="10.140625" style="68" customWidth="1"/>
    <col min="15371" max="15371" width="10.42578125" style="68" bestFit="1" customWidth="1"/>
    <col min="15372" max="15372" width="11.28515625" style="68" customWidth="1"/>
    <col min="15373" max="15373" width="9.42578125" style="68" customWidth="1"/>
    <col min="15374" max="15374" width="10.140625" style="68" bestFit="1" customWidth="1"/>
    <col min="15375" max="15376" width="9.140625" style="68"/>
    <col min="15377" max="15377" width="7.28515625" style="68" customWidth="1"/>
    <col min="15378" max="15383" width="7.42578125" style="68" customWidth="1"/>
    <col min="15384" max="15384" width="9.42578125" style="68" bestFit="1" customWidth="1"/>
    <col min="15385" max="15385" width="12" style="68" bestFit="1" customWidth="1"/>
    <col min="15386" max="15387" width="12" style="68" customWidth="1"/>
    <col min="15388" max="15388" width="13.140625" style="68" bestFit="1" customWidth="1"/>
    <col min="15389" max="15390" width="13.140625" style="68" customWidth="1"/>
    <col min="15391" max="15392" width="14.42578125" style="68" bestFit="1" customWidth="1"/>
    <col min="15393" max="15394" width="9.140625" style="68" customWidth="1"/>
    <col min="15395" max="15395" width="9.5703125" style="68" customWidth="1"/>
    <col min="15396" max="15397" width="9.5703125" style="68" bestFit="1" customWidth="1"/>
    <col min="15398" max="15399" width="10.140625" style="68" bestFit="1" customWidth="1"/>
    <col min="15400" max="15400" width="9.5703125" style="68" bestFit="1" customWidth="1"/>
    <col min="15401" max="15401" width="9.5703125" style="68" customWidth="1"/>
    <col min="15402" max="15402" width="9" style="68" customWidth="1"/>
    <col min="15403" max="15403" width="10.5703125" style="68" bestFit="1" customWidth="1"/>
    <col min="15404" max="15404" width="11.42578125" style="68" bestFit="1" customWidth="1"/>
    <col min="15405" max="15405" width="18" style="68" bestFit="1" customWidth="1"/>
    <col min="15406" max="15623" width="9.140625" style="68"/>
    <col min="15624" max="15624" width="41" style="68" customWidth="1"/>
    <col min="15625" max="15625" width="19.5703125" style="68" bestFit="1" customWidth="1"/>
    <col min="15626" max="15626" width="10.140625" style="68" customWidth="1"/>
    <col min="15627" max="15627" width="10.42578125" style="68" bestFit="1" customWidth="1"/>
    <col min="15628" max="15628" width="11.28515625" style="68" customWidth="1"/>
    <col min="15629" max="15629" width="9.42578125" style="68" customWidth="1"/>
    <col min="15630" max="15630" width="10.140625" style="68" bestFit="1" customWidth="1"/>
    <col min="15631" max="15632" width="9.140625" style="68"/>
    <col min="15633" max="15633" width="7.28515625" style="68" customWidth="1"/>
    <col min="15634" max="15639" width="7.42578125" style="68" customWidth="1"/>
    <col min="15640" max="15640" width="9.42578125" style="68" bestFit="1" customWidth="1"/>
    <col min="15641" max="15641" width="12" style="68" bestFit="1" customWidth="1"/>
    <col min="15642" max="15643" width="12" style="68" customWidth="1"/>
    <col min="15644" max="15644" width="13.140625" style="68" bestFit="1" customWidth="1"/>
    <col min="15645" max="15646" width="13.140625" style="68" customWidth="1"/>
    <col min="15647" max="15648" width="14.42578125" style="68" bestFit="1" customWidth="1"/>
    <col min="15649" max="15650" width="9.140625" style="68" customWidth="1"/>
    <col min="15651" max="15651" width="9.5703125" style="68" customWidth="1"/>
    <col min="15652" max="15653" width="9.5703125" style="68" bestFit="1" customWidth="1"/>
    <col min="15654" max="15655" width="10.140625" style="68" bestFit="1" customWidth="1"/>
    <col min="15656" max="15656" width="9.5703125" style="68" bestFit="1" customWidth="1"/>
    <col min="15657" max="15657" width="9.5703125" style="68" customWidth="1"/>
    <col min="15658" max="15658" width="9" style="68" customWidth="1"/>
    <col min="15659" max="15659" width="10.5703125" style="68" bestFit="1" customWidth="1"/>
    <col min="15660" max="15660" width="11.42578125" style="68" bestFit="1" customWidth="1"/>
    <col min="15661" max="15661" width="18" style="68" bestFit="1" customWidth="1"/>
    <col min="15662" max="15879" width="9.140625" style="68"/>
    <col min="15880" max="15880" width="41" style="68" customWidth="1"/>
    <col min="15881" max="15881" width="19.5703125" style="68" bestFit="1" customWidth="1"/>
    <col min="15882" max="15882" width="10.140625" style="68" customWidth="1"/>
    <col min="15883" max="15883" width="10.42578125" style="68" bestFit="1" customWidth="1"/>
    <col min="15884" max="15884" width="11.28515625" style="68" customWidth="1"/>
    <col min="15885" max="15885" width="9.42578125" style="68" customWidth="1"/>
    <col min="15886" max="15886" width="10.140625" style="68" bestFit="1" customWidth="1"/>
    <col min="15887" max="15888" width="9.140625" style="68"/>
    <col min="15889" max="15889" width="7.28515625" style="68" customWidth="1"/>
    <col min="15890" max="15895" width="7.42578125" style="68" customWidth="1"/>
    <col min="15896" max="15896" width="9.42578125" style="68" bestFit="1" customWidth="1"/>
    <col min="15897" max="15897" width="12" style="68" bestFit="1" customWidth="1"/>
    <col min="15898" max="15899" width="12" style="68" customWidth="1"/>
    <col min="15900" max="15900" width="13.140625" style="68" bestFit="1" customWidth="1"/>
    <col min="15901" max="15902" width="13.140625" style="68" customWidth="1"/>
    <col min="15903" max="15904" width="14.42578125" style="68" bestFit="1" customWidth="1"/>
    <col min="15905" max="15906" width="9.140625" style="68" customWidth="1"/>
    <col min="15907" max="15907" width="9.5703125" style="68" customWidth="1"/>
    <col min="15908" max="15909" width="9.5703125" style="68" bestFit="1" customWidth="1"/>
    <col min="15910" max="15911" width="10.140625" style="68" bestFit="1" customWidth="1"/>
    <col min="15912" max="15912" width="9.5703125" style="68" bestFit="1" customWidth="1"/>
    <col min="15913" max="15913" width="9.5703125" style="68" customWidth="1"/>
    <col min="15914" max="15914" width="9" style="68" customWidth="1"/>
    <col min="15915" max="15915" width="10.5703125" style="68" bestFit="1" customWidth="1"/>
    <col min="15916" max="15916" width="11.42578125" style="68" bestFit="1" customWidth="1"/>
    <col min="15917" max="15917" width="18" style="68" bestFit="1" customWidth="1"/>
    <col min="15918" max="16135" width="9.140625" style="68"/>
    <col min="16136" max="16136" width="41" style="68" customWidth="1"/>
    <col min="16137" max="16137" width="19.5703125" style="68" bestFit="1" customWidth="1"/>
    <col min="16138" max="16138" width="10.140625" style="68" customWidth="1"/>
    <col min="16139" max="16139" width="10.42578125" style="68" bestFit="1" customWidth="1"/>
    <col min="16140" max="16140" width="11.28515625" style="68" customWidth="1"/>
    <col min="16141" max="16141" width="9.42578125" style="68" customWidth="1"/>
    <col min="16142" max="16142" width="10.140625" style="68" bestFit="1" customWidth="1"/>
    <col min="16143" max="16144" width="9.140625" style="68"/>
    <col min="16145" max="16145" width="7.28515625" style="68" customWidth="1"/>
    <col min="16146" max="16151" width="7.42578125" style="68" customWidth="1"/>
    <col min="16152" max="16152" width="9.42578125" style="68" bestFit="1" customWidth="1"/>
    <col min="16153" max="16153" width="12" style="68" bestFit="1" customWidth="1"/>
    <col min="16154" max="16155" width="12" style="68" customWidth="1"/>
    <col min="16156" max="16156" width="13.140625" style="68" bestFit="1" customWidth="1"/>
    <col min="16157" max="16158" width="13.140625" style="68" customWidth="1"/>
    <col min="16159" max="16160" width="14.42578125" style="68" bestFit="1" customWidth="1"/>
    <col min="16161" max="16162" width="9.140625" style="68" customWidth="1"/>
    <col min="16163" max="16163" width="9.5703125" style="68" customWidth="1"/>
    <col min="16164" max="16165" width="9.5703125" style="68" bestFit="1" customWidth="1"/>
    <col min="16166" max="16167" width="10.140625" style="68" bestFit="1" customWidth="1"/>
    <col min="16168" max="16168" width="9.5703125" style="68" bestFit="1" customWidth="1"/>
    <col min="16169" max="16169" width="9.5703125" style="68" customWidth="1"/>
    <col min="16170" max="16170" width="9" style="68" customWidth="1"/>
    <col min="16171" max="16171" width="10.5703125" style="68" bestFit="1" customWidth="1"/>
    <col min="16172" max="16172" width="11.42578125" style="68" bestFit="1" customWidth="1"/>
    <col min="16173" max="16173" width="18" style="68" bestFit="1" customWidth="1"/>
    <col min="16174" max="16384" width="9.140625" style="68"/>
  </cols>
  <sheetData>
    <row r="1" spans="1:28" ht="24" customHeight="1" x14ac:dyDescent="0.2">
      <c r="A1" s="215"/>
      <c r="B1" s="216"/>
      <c r="C1" s="216"/>
      <c r="D1" s="216"/>
      <c r="E1" s="216"/>
      <c r="F1" s="216"/>
      <c r="G1" s="216"/>
      <c r="H1" s="216"/>
      <c r="I1" s="217"/>
      <c r="J1" s="65"/>
      <c r="K1" s="66"/>
      <c r="L1" s="66"/>
      <c r="M1" s="66"/>
      <c r="N1" s="66"/>
      <c r="O1" s="66"/>
      <c r="P1" s="66"/>
      <c r="Q1" s="66"/>
      <c r="R1" s="66"/>
      <c r="S1" s="66"/>
      <c r="T1" s="66"/>
      <c r="U1" s="66"/>
      <c r="V1" s="66"/>
      <c r="W1" s="66"/>
      <c r="X1" s="67"/>
      <c r="Y1" s="67"/>
      <c r="Z1" s="67"/>
      <c r="AA1" s="67"/>
      <c r="AB1" s="67"/>
    </row>
    <row r="2" spans="1:28" ht="46.5" customHeight="1" x14ac:dyDescent="0.25">
      <c r="A2" s="218" t="s">
        <v>186</v>
      </c>
      <c r="B2" s="218"/>
      <c r="C2" s="218"/>
      <c r="D2" s="218"/>
      <c r="E2" s="218"/>
      <c r="F2" s="218"/>
      <c r="G2" s="218"/>
      <c r="H2" s="218"/>
      <c r="I2" s="218"/>
      <c r="J2" s="69"/>
      <c r="K2" s="66"/>
      <c r="L2" s="66"/>
      <c r="M2" s="66"/>
      <c r="N2" s="66"/>
      <c r="O2" s="66"/>
      <c r="P2" s="66"/>
      <c r="Q2" s="66"/>
      <c r="R2" s="66"/>
      <c r="S2" s="66"/>
      <c r="T2" s="66"/>
      <c r="U2" s="66"/>
      <c r="V2" s="66"/>
      <c r="W2" s="66"/>
      <c r="X2" s="67"/>
      <c r="Y2" s="67"/>
      <c r="Z2" s="67"/>
      <c r="AA2" s="67"/>
      <c r="AB2" s="67"/>
    </row>
    <row r="3" spans="1:28" ht="24.75" customHeight="1" x14ac:dyDescent="0.2">
      <c r="A3" s="70" t="s">
        <v>133</v>
      </c>
      <c r="B3" s="219">
        <v>45474</v>
      </c>
      <c r="C3" s="220"/>
      <c r="D3" s="220"/>
      <c r="E3" s="220"/>
      <c r="F3" s="220"/>
      <c r="G3" s="220"/>
      <c r="H3" s="220"/>
      <c r="I3" s="220"/>
      <c r="J3" s="71"/>
      <c r="K3" s="72"/>
      <c r="L3" s="72"/>
      <c r="M3" s="72"/>
      <c r="N3" s="72"/>
      <c r="O3" s="72"/>
      <c r="P3" s="72"/>
      <c r="Q3" s="72"/>
      <c r="R3" s="72"/>
      <c r="S3" s="72"/>
      <c r="T3" s="72"/>
      <c r="U3" s="72"/>
      <c r="V3" s="72"/>
      <c r="W3" s="72"/>
      <c r="X3" s="67"/>
      <c r="Y3" s="67"/>
      <c r="Z3" s="67"/>
      <c r="AA3" s="67"/>
      <c r="AB3" s="67"/>
    </row>
    <row r="4" spans="1:28" ht="99" hidden="1" customHeight="1" x14ac:dyDescent="0.2">
      <c r="A4" s="73" t="s">
        <v>187</v>
      </c>
      <c r="B4" s="221"/>
      <c r="C4" s="222"/>
      <c r="D4" s="222"/>
      <c r="E4" s="222"/>
      <c r="F4" s="222"/>
      <c r="G4" s="222"/>
      <c r="H4" s="222"/>
      <c r="I4" s="222"/>
      <c r="J4" s="223"/>
      <c r="K4" s="223"/>
      <c r="L4" s="223"/>
      <c r="M4" s="223"/>
      <c r="N4" s="223"/>
      <c r="O4" s="223"/>
      <c r="P4" s="223"/>
      <c r="Q4" s="223"/>
      <c r="R4" s="223"/>
      <c r="S4" s="223"/>
      <c r="T4" s="223"/>
      <c r="U4" s="223"/>
      <c r="V4" s="66"/>
      <c r="W4" s="66"/>
      <c r="X4" s="67"/>
      <c r="Y4" s="67"/>
      <c r="Z4" s="67"/>
      <c r="AA4" s="67"/>
      <c r="AB4" s="67"/>
    </row>
    <row r="5" spans="1:28" ht="12.75" hidden="1" customHeight="1" x14ac:dyDescent="0.2">
      <c r="A5" s="224" t="s">
        <v>188</v>
      </c>
      <c r="B5" s="224"/>
      <c r="C5" s="224"/>
      <c r="D5" s="224"/>
      <c r="E5" s="224"/>
      <c r="F5" s="224"/>
      <c r="G5" s="224"/>
      <c r="H5" s="224"/>
      <c r="I5" s="224"/>
      <c r="J5" s="223"/>
      <c r="K5" s="223"/>
      <c r="L5" s="223"/>
      <c r="M5" s="223"/>
      <c r="N5" s="223"/>
      <c r="O5" s="223"/>
      <c r="P5" s="223"/>
      <c r="Q5" s="223"/>
      <c r="R5" s="223"/>
      <c r="S5" s="223"/>
      <c r="T5" s="223"/>
      <c r="U5" s="223"/>
    </row>
    <row r="6" spans="1:28" s="76" customFormat="1" ht="12.75" hidden="1" customHeight="1" x14ac:dyDescent="0.2">
      <c r="A6" s="225" t="s">
        <v>189</v>
      </c>
      <c r="B6" s="224"/>
      <c r="C6" s="224"/>
      <c r="D6" s="224"/>
      <c r="E6" s="224"/>
      <c r="F6" s="224"/>
      <c r="G6" s="224"/>
      <c r="H6" s="224"/>
      <c r="I6" s="224"/>
      <c r="J6" s="223"/>
      <c r="K6" s="223"/>
      <c r="L6" s="223"/>
      <c r="M6" s="223"/>
      <c r="N6" s="223"/>
      <c r="O6" s="223"/>
      <c r="P6" s="223"/>
      <c r="Q6" s="223"/>
      <c r="R6" s="223"/>
      <c r="S6" s="223"/>
      <c r="T6" s="223"/>
      <c r="U6" s="223"/>
      <c r="V6" s="74"/>
      <c r="W6" s="74"/>
      <c r="X6" s="75"/>
      <c r="Y6" s="75"/>
      <c r="Z6" s="75"/>
      <c r="AA6" s="75"/>
      <c r="AB6" s="75"/>
    </row>
    <row r="7" spans="1:28" s="76" customFormat="1" ht="25.5" hidden="1" customHeight="1" x14ac:dyDescent="0.2">
      <c r="A7" s="224"/>
      <c r="B7" s="224"/>
      <c r="C7" s="224"/>
      <c r="D7" s="224"/>
      <c r="E7" s="224"/>
      <c r="F7" s="224"/>
      <c r="G7" s="224"/>
      <c r="H7" s="224"/>
      <c r="I7" s="224"/>
      <c r="J7" s="74"/>
      <c r="K7" s="74"/>
      <c r="L7" s="74"/>
      <c r="M7" s="74"/>
      <c r="N7" s="74"/>
      <c r="O7" s="74"/>
      <c r="P7" s="74"/>
      <c r="Q7" s="74"/>
      <c r="R7" s="74"/>
      <c r="S7" s="74"/>
      <c r="T7" s="74"/>
      <c r="U7" s="74"/>
      <c r="V7" s="74"/>
      <c r="W7" s="74"/>
      <c r="X7" s="199"/>
      <c r="Y7" s="199"/>
      <c r="Z7" s="199"/>
      <c r="AA7" s="199"/>
      <c r="AB7" s="199"/>
    </row>
    <row r="8" spans="1:28" hidden="1" x14ac:dyDescent="0.2">
      <c r="A8" s="77"/>
      <c r="B8" s="77"/>
      <c r="C8" s="77"/>
      <c r="D8" s="77"/>
      <c r="E8" s="77"/>
      <c r="F8" s="77"/>
      <c r="G8" s="77"/>
      <c r="H8" s="77"/>
      <c r="I8" s="77"/>
      <c r="J8" s="77"/>
      <c r="K8" s="78"/>
      <c r="L8" s="78"/>
      <c r="M8" s="78"/>
      <c r="N8" s="78"/>
      <c r="O8" s="78"/>
      <c r="P8" s="78"/>
      <c r="Q8" s="78"/>
      <c r="R8" s="78"/>
      <c r="S8" s="78"/>
      <c r="T8" s="78"/>
      <c r="U8" s="78"/>
      <c r="V8" s="78"/>
      <c r="W8" s="78"/>
      <c r="X8" s="76"/>
      <c r="Y8" s="76"/>
      <c r="Z8" s="76"/>
      <c r="AA8" s="76"/>
      <c r="AB8" s="76"/>
    </row>
    <row r="9" spans="1:28" ht="18.75" hidden="1" customHeight="1" x14ac:dyDescent="0.2">
      <c r="A9" s="79" t="s">
        <v>190</v>
      </c>
      <c r="B9" s="80" t="s">
        <v>191</v>
      </c>
      <c r="C9" s="77"/>
      <c r="D9" s="77"/>
      <c r="E9" s="77"/>
      <c r="F9" s="77"/>
      <c r="G9" s="77"/>
      <c r="H9" s="77"/>
      <c r="I9" s="77"/>
      <c r="J9" s="77"/>
      <c r="K9" s="78"/>
      <c r="L9" s="78"/>
      <c r="M9" s="78"/>
      <c r="N9" s="78"/>
      <c r="O9" s="78"/>
      <c r="P9" s="78"/>
      <c r="Q9" s="78"/>
      <c r="R9" s="78"/>
      <c r="S9" s="78"/>
      <c r="T9" s="78"/>
      <c r="U9" s="78"/>
      <c r="V9" s="78"/>
      <c r="W9" s="78"/>
      <c r="X9" s="76"/>
      <c r="Y9" s="76"/>
      <c r="Z9" s="76"/>
      <c r="AA9" s="76"/>
      <c r="AB9" s="76"/>
    </row>
    <row r="10" spans="1:28" ht="25.5" hidden="1" x14ac:dyDescent="0.2">
      <c r="A10" s="79" t="s">
        <v>192</v>
      </c>
      <c r="B10" s="80" t="s">
        <v>193</v>
      </c>
      <c r="C10" s="81"/>
      <c r="D10" s="82"/>
      <c r="E10" s="82"/>
      <c r="F10" s="82"/>
      <c r="G10" s="82"/>
      <c r="H10" s="82"/>
      <c r="I10" s="82"/>
      <c r="J10" s="82"/>
      <c r="K10" s="82"/>
      <c r="L10" s="82"/>
      <c r="M10" s="82"/>
      <c r="N10" s="82"/>
      <c r="O10" s="82"/>
      <c r="P10" s="82"/>
      <c r="Q10" s="82"/>
      <c r="R10" s="82"/>
      <c r="S10" s="83"/>
      <c r="T10" s="78"/>
      <c r="U10" s="84"/>
      <c r="V10" s="84"/>
      <c r="W10" s="84"/>
      <c r="X10" s="76"/>
      <c r="Y10" s="76"/>
      <c r="Z10" s="76"/>
      <c r="AA10" s="76"/>
      <c r="AB10" s="76"/>
    </row>
    <row r="11" spans="1:28" ht="25.5" hidden="1" x14ac:dyDescent="0.2">
      <c r="A11" s="79" t="s">
        <v>194</v>
      </c>
      <c r="B11" s="80" t="s">
        <v>195</v>
      </c>
      <c r="C11" s="81"/>
      <c r="D11" s="82"/>
      <c r="E11" s="82"/>
      <c r="F11" s="82"/>
      <c r="G11" s="82"/>
      <c r="H11" s="82"/>
      <c r="I11" s="82"/>
      <c r="J11" s="82"/>
      <c r="K11" s="82"/>
      <c r="L11" s="82"/>
      <c r="M11" s="82"/>
      <c r="N11" s="82"/>
      <c r="O11" s="82"/>
      <c r="P11" s="82"/>
      <c r="Q11" s="82"/>
      <c r="R11" s="82"/>
      <c r="S11" s="82"/>
      <c r="T11" s="82"/>
      <c r="U11" s="82"/>
      <c r="V11" s="82"/>
      <c r="W11" s="82"/>
      <c r="X11" s="82"/>
      <c r="Y11" s="76"/>
      <c r="Z11" s="76"/>
      <c r="AA11" s="76"/>
      <c r="AB11" s="76"/>
    </row>
    <row r="12" spans="1:28" ht="25.5" hidden="1" x14ac:dyDescent="0.2">
      <c r="A12" s="79" t="s">
        <v>196</v>
      </c>
      <c r="B12" s="80" t="s">
        <v>197</v>
      </c>
      <c r="C12" s="77"/>
      <c r="D12" s="77"/>
      <c r="E12" s="77"/>
      <c r="F12" s="77"/>
      <c r="G12" s="77"/>
      <c r="H12" s="77"/>
      <c r="I12" s="77"/>
      <c r="J12" s="77"/>
      <c r="K12" s="78"/>
      <c r="L12" s="78"/>
      <c r="M12" s="78"/>
      <c r="N12" s="78"/>
      <c r="O12" s="78"/>
      <c r="P12" s="78"/>
      <c r="Q12" s="78"/>
      <c r="R12" s="78"/>
      <c r="S12" s="78"/>
      <c r="T12" s="78"/>
      <c r="U12" s="84"/>
      <c r="V12" s="84"/>
      <c r="W12" s="84"/>
      <c r="X12" s="76"/>
      <c r="Y12" s="76"/>
      <c r="Z12" s="76"/>
      <c r="AA12" s="76"/>
      <c r="AB12" s="76"/>
    </row>
    <row r="13" spans="1:28" ht="63.75" hidden="1" x14ac:dyDescent="0.2">
      <c r="A13" s="79" t="s">
        <v>198</v>
      </c>
      <c r="B13" s="80" t="s">
        <v>199</v>
      </c>
      <c r="C13" s="77"/>
      <c r="D13" s="77"/>
      <c r="E13" s="77"/>
      <c r="F13" s="77"/>
      <c r="G13" s="77"/>
      <c r="H13" s="77"/>
      <c r="I13" s="77"/>
      <c r="J13" s="77"/>
      <c r="K13" s="78"/>
      <c r="L13" s="78"/>
      <c r="M13" s="78"/>
      <c r="N13" s="78"/>
      <c r="O13" s="78"/>
      <c r="P13" s="78"/>
      <c r="Q13" s="78"/>
      <c r="R13" s="78"/>
      <c r="S13" s="78"/>
      <c r="T13" s="78"/>
      <c r="U13" s="84"/>
      <c r="V13" s="84"/>
      <c r="W13" s="84"/>
      <c r="X13" s="76"/>
      <c r="Y13" s="76"/>
      <c r="Z13" s="76"/>
      <c r="AA13" s="76"/>
      <c r="AB13" s="76"/>
    </row>
    <row r="14" spans="1:28" x14ac:dyDescent="0.2">
      <c r="B14" s="77"/>
      <c r="C14" s="77"/>
      <c r="D14" s="77"/>
      <c r="E14" s="77"/>
      <c r="F14" s="77"/>
      <c r="G14" s="77"/>
      <c r="H14" s="77"/>
      <c r="I14" s="77"/>
      <c r="J14" s="77"/>
      <c r="K14" s="78"/>
      <c r="L14" s="78"/>
      <c r="M14" s="78"/>
      <c r="N14" s="78"/>
      <c r="O14" s="78"/>
      <c r="P14" s="78"/>
      <c r="Q14" s="78"/>
      <c r="R14" s="78"/>
      <c r="S14" s="78"/>
      <c r="T14" s="78"/>
      <c r="U14" s="78"/>
      <c r="V14" s="78"/>
      <c r="W14" s="78"/>
      <c r="X14" s="76"/>
      <c r="Y14" s="76"/>
      <c r="Z14" s="76"/>
      <c r="AA14" s="76"/>
      <c r="AB14" s="76"/>
    </row>
    <row r="15" spans="1:28" x14ac:dyDescent="0.2">
      <c r="A15" s="85" t="s">
        <v>200</v>
      </c>
      <c r="B15" s="86" t="s">
        <v>201</v>
      </c>
      <c r="C15" s="77"/>
      <c r="D15" s="77"/>
      <c r="E15" s="77"/>
      <c r="F15" s="77"/>
      <c r="G15" s="77"/>
      <c r="H15" s="77"/>
      <c r="I15" s="77"/>
      <c r="J15" s="77"/>
      <c r="K15" s="78"/>
      <c r="L15" s="78"/>
      <c r="M15" s="78"/>
      <c r="N15" s="78"/>
      <c r="O15" s="78"/>
      <c r="P15" s="78"/>
      <c r="Q15" s="78"/>
      <c r="R15" s="78"/>
      <c r="S15" s="78"/>
      <c r="T15" s="78"/>
      <c r="U15" s="78"/>
      <c r="V15" s="78"/>
      <c r="W15" s="78"/>
      <c r="X15" s="76"/>
      <c r="Y15" s="76"/>
      <c r="Z15" s="76"/>
      <c r="AA15" s="76"/>
      <c r="AB15" s="76"/>
    </row>
    <row r="16" spans="1:28" ht="25.5" x14ac:dyDescent="0.2">
      <c r="A16" s="87" t="str">
        <f>'AUTO CALCULATION SHEET (2)'!D18</f>
        <v>3 CORE X 120 SQ MM + 1 CORE X 95 SQ MM (AB CABLES) (BARE) - 11 KV</v>
      </c>
      <c r="B16" s="88">
        <f>'AUTO CALCULATION SHEET (2)'!E18</f>
        <v>1020018.27</v>
      </c>
      <c r="C16" s="77"/>
      <c r="D16" s="82"/>
      <c r="E16" s="82"/>
      <c r="F16" s="82"/>
      <c r="G16" s="82"/>
      <c r="H16" s="82"/>
      <c r="I16" s="82"/>
      <c r="J16" s="82"/>
      <c r="K16" s="82"/>
      <c r="L16" s="82"/>
      <c r="M16" s="82"/>
      <c r="N16" s="82"/>
      <c r="O16" s="82"/>
      <c r="P16" s="78"/>
      <c r="Q16" s="78"/>
      <c r="R16" s="78"/>
      <c r="S16" s="78"/>
      <c r="T16" s="78"/>
      <c r="U16" s="78"/>
      <c r="V16" s="78"/>
      <c r="W16" s="78"/>
      <c r="X16" s="76"/>
      <c r="Y16" s="76"/>
      <c r="Z16" s="76"/>
      <c r="AA16" s="76"/>
      <c r="AB16" s="76"/>
    </row>
    <row r="17" spans="1:49" ht="30" customHeight="1" thickBot="1" x14ac:dyDescent="0.25">
      <c r="C17" s="72"/>
      <c r="D17" s="89"/>
      <c r="E17" s="78"/>
      <c r="F17" s="78"/>
      <c r="G17" s="78"/>
      <c r="H17" s="78"/>
      <c r="I17" s="78"/>
      <c r="J17" s="78"/>
      <c r="K17" s="78"/>
      <c r="L17" s="78"/>
      <c r="M17" s="78"/>
      <c r="N17" s="78"/>
      <c r="O17" s="78"/>
      <c r="P17" s="78"/>
      <c r="Q17" s="78"/>
      <c r="R17" s="78"/>
      <c r="S17" s="78"/>
      <c r="T17" s="78"/>
      <c r="U17" s="78"/>
      <c r="V17" s="78"/>
      <c r="W17" s="78"/>
      <c r="X17" s="67"/>
      <c r="Y17" s="67"/>
      <c r="Z17" s="67"/>
      <c r="AA17" s="67"/>
      <c r="AB17" s="67"/>
    </row>
    <row r="18" spans="1:49" ht="12.75" customHeight="1" x14ac:dyDescent="0.2">
      <c r="A18" s="200" t="s">
        <v>200</v>
      </c>
      <c r="B18" s="203" t="s">
        <v>202</v>
      </c>
      <c r="C18" s="206" t="s">
        <v>203</v>
      </c>
      <c r="D18" s="209" t="s">
        <v>204</v>
      </c>
      <c r="E18" s="196"/>
      <c r="F18" s="196"/>
      <c r="G18" s="196"/>
      <c r="H18" s="210"/>
      <c r="I18" s="209" t="s">
        <v>205</v>
      </c>
      <c r="J18" s="196"/>
      <c r="K18" s="196"/>
      <c r="L18" s="196"/>
      <c r="M18" s="210"/>
      <c r="N18" s="184" t="s">
        <v>206</v>
      </c>
      <c r="O18" s="211"/>
      <c r="P18" s="211"/>
      <c r="Q18" s="211"/>
      <c r="R18" s="211"/>
      <c r="S18" s="211"/>
      <c r="T18" s="211"/>
      <c r="U18" s="211"/>
      <c r="V18" s="206"/>
      <c r="W18" s="182" t="s">
        <v>207</v>
      </c>
      <c r="X18" s="213" t="s">
        <v>208</v>
      </c>
      <c r="Y18" s="196" t="s">
        <v>209</v>
      </c>
      <c r="Z18" s="196" t="s">
        <v>210</v>
      </c>
      <c r="AA18" s="196" t="s">
        <v>211</v>
      </c>
      <c r="AB18" s="196" t="s">
        <v>212</v>
      </c>
      <c r="AC18" s="196" t="s">
        <v>213</v>
      </c>
      <c r="AD18" s="196" t="s">
        <v>214</v>
      </c>
      <c r="AE18" s="197" t="s">
        <v>215</v>
      </c>
      <c r="AF18" s="182" t="s">
        <v>216</v>
      </c>
      <c r="AG18" s="184" t="s">
        <v>217</v>
      </c>
      <c r="AH18" s="187" t="s">
        <v>218</v>
      </c>
      <c r="AI18" s="188"/>
      <c r="AJ18" s="188"/>
      <c r="AK18" s="188"/>
      <c r="AL18" s="188"/>
      <c r="AM18" s="188"/>
      <c r="AN18" s="188"/>
      <c r="AO18" s="188"/>
      <c r="AP18" s="188"/>
      <c r="AQ18" s="188"/>
      <c r="AR18" s="188"/>
      <c r="AS18" s="188"/>
      <c r="AT18" s="188"/>
      <c r="AU18" s="188"/>
      <c r="AV18" s="189"/>
    </row>
    <row r="19" spans="1:49" x14ac:dyDescent="0.2">
      <c r="A19" s="201"/>
      <c r="B19" s="204"/>
      <c r="C19" s="207"/>
      <c r="D19" s="193" t="s">
        <v>219</v>
      </c>
      <c r="E19" s="194" t="s">
        <v>220</v>
      </c>
      <c r="F19" s="194" t="s">
        <v>221</v>
      </c>
      <c r="G19" s="194" t="s">
        <v>222</v>
      </c>
      <c r="H19" s="195" t="s">
        <v>240</v>
      </c>
      <c r="I19" s="193" t="s">
        <v>219</v>
      </c>
      <c r="J19" s="194" t="s">
        <v>223</v>
      </c>
      <c r="K19" s="194" t="s">
        <v>224</v>
      </c>
      <c r="L19" s="194" t="s">
        <v>225</v>
      </c>
      <c r="M19" s="195" t="s">
        <v>239</v>
      </c>
      <c r="N19" s="186"/>
      <c r="O19" s="212"/>
      <c r="P19" s="212"/>
      <c r="Q19" s="212"/>
      <c r="R19" s="212"/>
      <c r="S19" s="212"/>
      <c r="T19" s="212"/>
      <c r="U19" s="212"/>
      <c r="V19" s="208"/>
      <c r="W19" s="183"/>
      <c r="X19" s="214"/>
      <c r="Y19" s="194"/>
      <c r="Z19" s="194"/>
      <c r="AA19" s="194"/>
      <c r="AB19" s="194"/>
      <c r="AC19" s="194"/>
      <c r="AD19" s="194"/>
      <c r="AE19" s="198"/>
      <c r="AF19" s="183"/>
      <c r="AG19" s="185"/>
      <c r="AH19" s="190"/>
      <c r="AI19" s="191"/>
      <c r="AJ19" s="191"/>
      <c r="AK19" s="191"/>
      <c r="AL19" s="191"/>
      <c r="AM19" s="191"/>
      <c r="AN19" s="191"/>
      <c r="AO19" s="191"/>
      <c r="AP19" s="191"/>
      <c r="AQ19" s="191"/>
      <c r="AR19" s="191"/>
      <c r="AS19" s="191"/>
      <c r="AT19" s="191"/>
      <c r="AU19" s="191"/>
      <c r="AV19" s="192"/>
    </row>
    <row r="20" spans="1:49" ht="42.75" customHeight="1" x14ac:dyDescent="0.2">
      <c r="A20" s="202"/>
      <c r="B20" s="205"/>
      <c r="C20" s="208"/>
      <c r="D20" s="193"/>
      <c r="E20" s="194"/>
      <c r="F20" s="194"/>
      <c r="G20" s="194"/>
      <c r="H20" s="195"/>
      <c r="I20" s="193"/>
      <c r="J20" s="194"/>
      <c r="K20" s="194"/>
      <c r="L20" s="194"/>
      <c r="M20" s="195"/>
      <c r="N20" s="90" t="s">
        <v>190</v>
      </c>
      <c r="O20" s="91" t="s">
        <v>192</v>
      </c>
      <c r="P20" s="91" t="s">
        <v>194</v>
      </c>
      <c r="Q20" s="91" t="s">
        <v>226</v>
      </c>
      <c r="R20" s="91" t="s">
        <v>227</v>
      </c>
      <c r="S20" s="91" t="s">
        <v>196</v>
      </c>
      <c r="T20" s="91" t="s">
        <v>198</v>
      </c>
      <c r="U20" s="91" t="s">
        <v>228</v>
      </c>
      <c r="V20" s="91" t="s">
        <v>229</v>
      </c>
      <c r="W20" s="183"/>
      <c r="X20" s="214"/>
      <c r="Y20" s="194"/>
      <c r="Z20" s="194"/>
      <c r="AA20" s="194"/>
      <c r="AB20" s="194"/>
      <c r="AC20" s="194"/>
      <c r="AD20" s="194"/>
      <c r="AE20" s="198"/>
      <c r="AF20" s="183"/>
      <c r="AG20" s="186"/>
      <c r="AH20" s="92" t="str">
        <f>'AUTO CALCULATION SHEET (2)'!N16</f>
        <v>Alumimium</v>
      </c>
      <c r="AI20" s="93" t="str">
        <f>'AUTO CALCULATION SHEET (2)'!T16</f>
        <v>Alumimium ALLOY</v>
      </c>
      <c r="AJ20" s="93" t="str">
        <f>'AUTO CALCULATION SHEET (2)'!AA16</f>
        <v>Copper Tape - 0.060 mm</v>
      </c>
      <c r="AK20" s="93" t="str">
        <f>'AUTO CALCULATION SHEET (2)'!AC16</f>
        <v>Extruded semiconductive</v>
      </c>
      <c r="AL20" s="93" t="str">
        <f>'AUTO CALCULATION SHEET (2)'!AE16</f>
        <v>HT-XLPE</v>
      </c>
      <c r="AM20" s="93" t="str">
        <f>'AUTO CALCULATION SHEET (2)'!BH16</f>
        <v>PE-ST-7</v>
      </c>
      <c r="AN20" s="93" t="s">
        <v>230</v>
      </c>
      <c r="AO20" s="94" t="s">
        <v>231</v>
      </c>
      <c r="AP20" s="93" t="s">
        <v>232</v>
      </c>
      <c r="AQ20" s="94" t="s">
        <v>233</v>
      </c>
      <c r="AR20" s="93" t="s">
        <v>234</v>
      </c>
      <c r="AS20" s="94" t="s">
        <v>235</v>
      </c>
      <c r="AT20" s="94" t="s">
        <v>236</v>
      </c>
      <c r="AU20" s="94" t="s">
        <v>237</v>
      </c>
      <c r="AV20" s="95" t="s">
        <v>238</v>
      </c>
    </row>
    <row r="21" spans="1:49" ht="19.5" customHeight="1" thickBot="1" x14ac:dyDescent="0.25">
      <c r="A21" s="96"/>
      <c r="B21" s="96"/>
      <c r="C21" s="97"/>
      <c r="D21" s="98"/>
      <c r="E21" s="99"/>
      <c r="F21" s="99"/>
      <c r="G21" s="99"/>
      <c r="H21" s="100"/>
      <c r="I21" s="101"/>
      <c r="J21" s="99"/>
      <c r="K21" s="99"/>
      <c r="L21" s="99"/>
      <c r="M21" s="100"/>
      <c r="N21" s="102"/>
      <c r="O21" s="103"/>
      <c r="P21" s="103"/>
      <c r="Q21" s="103"/>
      <c r="R21" s="103"/>
      <c r="S21" s="103"/>
      <c r="T21" s="103"/>
      <c r="U21" s="103"/>
      <c r="V21" s="103"/>
      <c r="W21" s="104"/>
      <c r="X21" s="105"/>
      <c r="Y21" s="105"/>
      <c r="Z21" s="105"/>
      <c r="AA21" s="105"/>
      <c r="AB21" s="105"/>
      <c r="AC21" s="105"/>
      <c r="AD21" s="105"/>
      <c r="AE21" s="106"/>
      <c r="AF21" s="107"/>
      <c r="AG21" s="108"/>
      <c r="AH21" s="109">
        <v>228</v>
      </c>
      <c r="AI21" s="110">
        <f>AH21+7</f>
        <v>235</v>
      </c>
      <c r="AJ21" s="110">
        <v>915</v>
      </c>
      <c r="AK21" s="110">
        <v>189</v>
      </c>
      <c r="AL21" s="110">
        <v>140</v>
      </c>
      <c r="AM21" s="110">
        <v>106</v>
      </c>
      <c r="AN21" s="111"/>
      <c r="AO21" s="112"/>
      <c r="AP21" s="111"/>
      <c r="AQ21" s="112"/>
      <c r="AR21" s="111"/>
      <c r="AS21" s="113"/>
      <c r="AT21" s="111"/>
      <c r="AU21" s="114"/>
      <c r="AV21" s="115"/>
    </row>
    <row r="22" spans="1:49" s="138" customFormat="1" ht="28.5" customHeight="1" x14ac:dyDescent="0.2">
      <c r="A22" s="116" t="str">
        <f>A16</f>
        <v>3 CORE X 120 SQ MM + 1 CORE X 95 SQ MM (AB CABLES) (BARE) - 11 KV</v>
      </c>
      <c r="B22" s="117"/>
      <c r="C22" s="118" t="s">
        <v>241</v>
      </c>
      <c r="D22" s="121">
        <v>45505</v>
      </c>
      <c r="E22" s="158">
        <v>211378.47</v>
      </c>
      <c r="F22" s="158">
        <v>803165.19</v>
      </c>
      <c r="G22" s="119">
        <v>176484</v>
      </c>
      <c r="H22" s="120">
        <v>143250</v>
      </c>
      <c r="I22" s="121">
        <f>$B$3</f>
        <v>45474</v>
      </c>
      <c r="J22" s="119">
        <v>232711</v>
      </c>
      <c r="K22" s="119">
        <v>849090</v>
      </c>
      <c r="L22" s="119">
        <v>176484</v>
      </c>
      <c r="M22" s="120">
        <v>143250</v>
      </c>
      <c r="N22" s="122">
        <v>3</v>
      </c>
      <c r="O22" s="123">
        <v>0.34599999999999997</v>
      </c>
      <c r="P22" s="123">
        <v>0.27400000000000002</v>
      </c>
      <c r="Q22" s="123"/>
      <c r="R22" s="123">
        <v>3.5999999999999997E-2</v>
      </c>
      <c r="S22" s="123">
        <v>0.24099999999999999</v>
      </c>
      <c r="T22" s="123"/>
      <c r="U22" s="123"/>
      <c r="V22" s="123">
        <v>0.17199999999999999</v>
      </c>
      <c r="W22" s="124">
        <f>B16</f>
        <v>1020018.27</v>
      </c>
      <c r="X22" s="125">
        <f>(O22*N22*(E22-J22))</f>
        <v>-22143.166139999994</v>
      </c>
      <c r="Y22" s="125">
        <f>P22*(E22-J22)</f>
        <v>-5845.1132200000002</v>
      </c>
      <c r="Z22" s="125">
        <f>Q22*(E22-J22)</f>
        <v>0</v>
      </c>
      <c r="AA22" s="125">
        <f>N22*R22*(F22-K22)</f>
        <v>-4959.8794800000051</v>
      </c>
      <c r="AB22" s="125">
        <f>(S22*N22*(G22-L22))</f>
        <v>0</v>
      </c>
      <c r="AC22" s="125">
        <f>T22*(G22-L22)</f>
        <v>0</v>
      </c>
      <c r="AD22" s="125">
        <f>U22*(G22-L22)</f>
        <v>0</v>
      </c>
      <c r="AE22" s="126">
        <f>N22*V22*(H22-M22)</f>
        <v>0</v>
      </c>
      <c r="AF22" s="127">
        <f>X22+Y22+Z22+AA22+AB22+AC22+AD22+AE22</f>
        <v>-32948.158839999996</v>
      </c>
      <c r="AG22" s="128">
        <f>W22+AF22</f>
        <v>987070.11115999997</v>
      </c>
      <c r="AH22" s="129">
        <f>'AUTO CALCULATION SHEET (2)'!N18</f>
        <v>972</v>
      </c>
      <c r="AI22" s="130">
        <f>'AUTO CALCULATION SHEET (2)'!T18</f>
        <v>264</v>
      </c>
      <c r="AJ22" s="130">
        <f>'AUTO CALCULATION SHEET (2)'!AA18</f>
        <v>137</v>
      </c>
      <c r="AK22" s="130">
        <f>'AUTO CALCULATION SHEET (2)'!AC18</f>
        <v>310</v>
      </c>
      <c r="AL22" s="130">
        <f>'AUTO CALCULATION SHEET (2)'!AE18</f>
        <v>580</v>
      </c>
      <c r="AM22" s="131">
        <f>'AUTO CALCULATION SHEET (2)'!BH18</f>
        <v>506</v>
      </c>
      <c r="AN22" s="132">
        <f>SUMPRODUCT($AH$21:$AM$21,AH22:AM22)</f>
        <v>602437</v>
      </c>
      <c r="AO22" s="133">
        <f>'AUTO CALCULATION SHEET (2)'!BZ18</f>
        <v>28794</v>
      </c>
      <c r="AP22" s="132">
        <f>+AN22+AO22</f>
        <v>631231</v>
      </c>
      <c r="AQ22" s="132">
        <f>+AG22-AP22</f>
        <v>355839.11115999997</v>
      </c>
      <c r="AR22" s="134">
        <f>+AQ22/AG22</f>
        <v>0.3605003404893089</v>
      </c>
      <c r="AS22" s="135"/>
      <c r="AT22" s="135">
        <v>0.02</v>
      </c>
      <c r="AU22" s="135">
        <v>0.01</v>
      </c>
      <c r="AV22" s="136">
        <f>+AR22-(AS22+AT22+AU22)</f>
        <v>0.33050034048930887</v>
      </c>
      <c r="AW22" s="137"/>
    </row>
    <row r="23" spans="1:49" s="138" customFormat="1" ht="15.75" customHeight="1" thickBot="1" x14ac:dyDescent="0.25">
      <c r="A23" s="139"/>
      <c r="B23" s="139"/>
      <c r="C23" s="140"/>
      <c r="D23" s="141"/>
      <c r="E23" s="142"/>
      <c r="F23" s="142"/>
      <c r="G23" s="142"/>
      <c r="H23" s="143"/>
      <c r="I23" s="144"/>
      <c r="J23" s="145"/>
      <c r="K23" s="145"/>
      <c r="L23" s="145"/>
      <c r="M23" s="146"/>
      <c r="N23" s="147"/>
      <c r="O23" s="148"/>
      <c r="P23" s="148"/>
      <c r="Q23" s="148"/>
      <c r="R23" s="148"/>
      <c r="S23" s="148"/>
      <c r="T23" s="148"/>
      <c r="U23" s="148"/>
      <c r="V23" s="148"/>
      <c r="W23" s="149"/>
      <c r="X23" s="150"/>
      <c r="Y23" s="150"/>
      <c r="Z23" s="150"/>
      <c r="AA23" s="150"/>
      <c r="AB23" s="150"/>
      <c r="AC23" s="151"/>
      <c r="AD23" s="151"/>
      <c r="AE23" s="151"/>
      <c r="AF23" s="152"/>
      <c r="AG23" s="153"/>
      <c r="AH23" s="154"/>
      <c r="AI23" s="155"/>
      <c r="AJ23" s="155"/>
      <c r="AK23" s="155"/>
      <c r="AL23" s="155"/>
      <c r="AM23" s="155"/>
      <c r="AN23" s="155"/>
      <c r="AO23" s="155"/>
      <c r="AP23" s="155"/>
      <c r="AQ23" s="155"/>
      <c r="AR23" s="155"/>
      <c r="AS23" s="155"/>
      <c r="AT23" s="155"/>
      <c r="AU23" s="155"/>
      <c r="AV23" s="156"/>
    </row>
    <row r="24" spans="1:49" x14ac:dyDescent="0.2">
      <c r="E24" s="157"/>
    </row>
  </sheetData>
  <mergeCells count="36">
    <mergeCell ref="A1:I1"/>
    <mergeCell ref="A2:I2"/>
    <mergeCell ref="B3:I3"/>
    <mergeCell ref="B4:I4"/>
    <mergeCell ref="J4:U6"/>
    <mergeCell ref="A5:I5"/>
    <mergeCell ref="A6:I7"/>
    <mergeCell ref="K19:K20"/>
    <mergeCell ref="L19:L20"/>
    <mergeCell ref="X7:AB7"/>
    <mergeCell ref="A18:A20"/>
    <mergeCell ref="B18:B20"/>
    <mergeCell ref="C18:C20"/>
    <mergeCell ref="D18:H18"/>
    <mergeCell ref="I18:M18"/>
    <mergeCell ref="N18:V19"/>
    <mergeCell ref="W18:W20"/>
    <mergeCell ref="X18:X20"/>
    <mergeCell ref="Y18:Y20"/>
    <mergeCell ref="M19:M20"/>
    <mergeCell ref="AF18:AF20"/>
    <mergeCell ref="AG18:AG20"/>
    <mergeCell ref="AH18:AV19"/>
    <mergeCell ref="D19:D20"/>
    <mergeCell ref="E19:E20"/>
    <mergeCell ref="F19:F20"/>
    <mergeCell ref="G19:G20"/>
    <mergeCell ref="H19:H20"/>
    <mergeCell ref="I19:I20"/>
    <mergeCell ref="J19:J20"/>
    <mergeCell ref="Z18:Z20"/>
    <mergeCell ref="AA18:AA20"/>
    <mergeCell ref="AB18:AB20"/>
    <mergeCell ref="AC18:AC20"/>
    <mergeCell ref="AD18:AD20"/>
    <mergeCell ref="AE18:AE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HT ABC</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2024-08-07T05:42:49Z</dcterms:modified>
</cp:coreProperties>
</file>