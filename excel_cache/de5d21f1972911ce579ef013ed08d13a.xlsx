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ing\2024-25\08_AUGUST 2024\GEM-13772-21-08-2024\"/>
    </mc:Choice>
  </mc:AlternateContent>
  <xr:revisionPtr revIDLastSave="0" documentId="13_ncr:1_{D7CD468B-A80F-4EE4-A41A-E6E020234450}" xr6:coauthVersionLast="47" xr6:coauthVersionMax="47" xr10:uidLastSave="{00000000-0000-0000-0000-000000000000}"/>
  <bookViews>
    <workbookView xWindow="0" yWindow="390" windowWidth="28800" windowHeight="9525" activeTab="1" xr2:uid="{00000000-000D-0000-FFFF-FFFF00000000}"/>
  </bookViews>
  <sheets>
    <sheet name="Sheet1" sheetId="1" r:id="rId1"/>
    <sheet name="AUTO CALCULATION SHEET (2)" sheetId="4" r:id="rId2"/>
  </sheets>
  <definedNames>
    <definedName name="_xlnm._FilterDatabase" localSheetId="0" hidden="1">Sheet1!$A$1:$CW$1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7" i="4" l="1"/>
  <c r="BW7" i="4"/>
  <c r="BV7" i="4"/>
  <c r="AS7" i="4"/>
  <c r="K12" i="4"/>
  <c r="H12" i="4"/>
  <c r="F12" i="4"/>
  <c r="D12" i="4"/>
  <c r="C12" i="4"/>
  <c r="B12" i="4"/>
  <c r="A12" i="4"/>
  <c r="BZ4" i="4" l="1"/>
  <c r="E7" i="4"/>
  <c r="J7" i="4"/>
  <c r="K7" i="4" s="1"/>
  <c r="M7" i="4" s="1"/>
  <c r="L7" i="4" s="1"/>
  <c r="F4" i="4" l="1"/>
  <c r="BY4" i="4"/>
  <c r="BY2" i="4"/>
  <c r="CN2" i="4"/>
  <c r="CM2" i="4"/>
  <c r="CM4" i="4" l="1"/>
  <c r="BX2" i="4" l="1"/>
  <c r="BW2" i="4"/>
  <c r="BV4" i="4"/>
  <c r="BV2" i="4"/>
  <c r="AD4" i="4"/>
  <c r="B2" i="4"/>
  <c r="T3" i="4"/>
  <c r="S3" i="4"/>
  <c r="AB4" i="4" l="1"/>
  <c r="AA4" i="4"/>
  <c r="Z4" i="4"/>
  <c r="Y4" i="4"/>
  <c r="X4" i="4"/>
  <c r="W4" i="4"/>
  <c r="V4" i="4"/>
  <c r="U4" i="4"/>
  <c r="T4" i="4"/>
  <c r="S4" i="4"/>
  <c r="BU4" i="4"/>
  <c r="BT4" i="4"/>
  <c r="BS4" i="4"/>
  <c r="BR4" i="4"/>
  <c r="BQ4" i="4"/>
  <c r="BP4" i="4"/>
  <c r="BO4" i="4"/>
  <c r="BN4" i="4"/>
  <c r="BS3" i="4"/>
  <c r="BT3" i="4"/>
  <c r="BU3" i="4"/>
  <c r="BR3" i="4"/>
  <c r="BQ3" i="4"/>
  <c r="BP3" i="4"/>
  <c r="BN3" i="4"/>
  <c r="BO3" i="4"/>
  <c r="BM3" i="4"/>
  <c r="BM4" i="4"/>
  <c r="BL4" i="4"/>
  <c r="BK4" i="4"/>
  <c r="BJ4" i="4"/>
  <c r="BI4" i="4"/>
  <c r="BH4" i="4"/>
  <c r="BG4" i="4"/>
  <c r="BF4" i="4"/>
  <c r="BE4" i="4"/>
  <c r="BD4" i="4"/>
  <c r="BC4" i="4"/>
  <c r="BL3" i="4"/>
  <c r="BK3" i="4"/>
  <c r="BJ3" i="4"/>
  <c r="BI3" i="4"/>
  <c r="BH3" i="4"/>
  <c r="BG3" i="4"/>
  <c r="BF3" i="4"/>
  <c r="BE3" i="4"/>
  <c r="BD3" i="4"/>
  <c r="BC3" i="4"/>
  <c r="BB4" i="4"/>
  <c r="BA4" i="4"/>
  <c r="AZ4" i="4"/>
  <c r="AY4" i="4"/>
  <c r="AX4" i="4"/>
  <c r="AW4" i="4"/>
  <c r="AV4" i="4"/>
  <c r="AU4" i="4"/>
  <c r="AT4" i="4"/>
  <c r="AS4" i="4"/>
  <c r="BB3" i="4"/>
  <c r="BA3" i="4"/>
  <c r="AZ3" i="4"/>
  <c r="AY3" i="4"/>
  <c r="AX3" i="4"/>
  <c r="AW3" i="4"/>
  <c r="AV3" i="4"/>
  <c r="AU3" i="4"/>
  <c r="AT3" i="4"/>
  <c r="AS3" i="4"/>
  <c r="AR3" i="4"/>
  <c r="AR4" i="4"/>
  <c r="AQ4" i="4"/>
  <c r="AP4" i="4"/>
  <c r="AO4" i="4"/>
  <c r="AN4" i="4"/>
  <c r="AM4" i="4"/>
  <c r="AL4" i="4"/>
  <c r="AQ3" i="4"/>
  <c r="AP3" i="4"/>
  <c r="AO3" i="4"/>
  <c r="AN3" i="4"/>
  <c r="AM3" i="4"/>
  <c r="AL3" i="4"/>
  <c r="AK3" i="4"/>
  <c r="CK4" i="4"/>
  <c r="CI4" i="4"/>
  <c r="CF4" i="4"/>
  <c r="AK4" i="4"/>
  <c r="AJ4" i="4"/>
  <c r="AI4" i="4"/>
  <c r="AH4" i="4"/>
  <c r="AG4" i="4"/>
  <c r="AF4" i="4"/>
  <c r="AE4" i="4"/>
  <c r="AJ3" i="4"/>
  <c r="AI3" i="4"/>
  <c r="AH3" i="4"/>
  <c r="AE3" i="4"/>
  <c r="AG3" i="4"/>
  <c r="AF3" i="4"/>
  <c r="AD3" i="4"/>
  <c r="AC4" i="4"/>
  <c r="AC3" i="4"/>
  <c r="AB3" i="4" l="1"/>
  <c r="AA3" i="4"/>
  <c r="Z3" i="4"/>
  <c r="Y3" i="4"/>
  <c r="X3" i="4"/>
  <c r="W3" i="4"/>
  <c r="V3" i="4"/>
  <c r="U3" i="4"/>
  <c r="R3" i="4" l="1"/>
  <c r="Q3" i="4"/>
  <c r="P3" i="4"/>
  <c r="O3" i="4"/>
  <c r="N4" i="4"/>
  <c r="R4" i="4"/>
  <c r="Q4" i="4"/>
  <c r="P4" i="4"/>
  <c r="O4" i="4"/>
  <c r="N1" i="4"/>
  <c r="L4" i="4"/>
  <c r="K4" i="4"/>
  <c r="H4" i="4"/>
  <c r="CB4" i="4"/>
  <c r="D4" i="4"/>
  <c r="C4" i="4"/>
  <c r="A4" i="4"/>
  <c r="CA4" i="4" l="1"/>
  <c r="CC4" i="4" l="1"/>
  <c r="CE4" i="4"/>
  <c r="CG4" i="4"/>
  <c r="CH4" i="4" l="1"/>
  <c r="CN4" i="4" s="1"/>
  <c r="CJ4" i="4" l="1"/>
  <c r="CL4" i="4"/>
  <c r="E4" i="4" l="1"/>
  <c r="G4" i="4" l="1"/>
  <c r="I4" i="4" s="1"/>
  <c r="J4" i="4" s="1"/>
  <c r="M4" i="4" s="1"/>
  <c r="E12" i="4"/>
  <c r="G12" i="4" s="1"/>
  <c r="J12" i="4" l="1"/>
  <c r="M12" i="4" s="1"/>
  <c r="I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6" authorId="0" shapeId="0" xr:uid="{B54709FF-076C-410F-B141-16B89B42A8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<sst xmlns="http://schemas.openxmlformats.org/spreadsheetml/2006/main" count="246" uniqueCount="201">
  <si>
    <t>DOCKET NO.</t>
  </si>
  <si>
    <t>ITEM CODE</t>
  </si>
  <si>
    <t>PROPOSE ERP ITEM NAME</t>
  </si>
  <si>
    <t>Insulation Screening (Metallic)</t>
  </si>
  <si>
    <t>Weight (Insulation Screening (Metallic))</t>
  </si>
  <si>
    <t>Conductor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</si>
  <si>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</si>
  <si>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</si>
  <si>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</si>
  <si>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</si>
  <si>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</si>
  <si>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</si>
  <si>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</si>
  <si>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</si>
  <si>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</si>
  <si>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</si>
  <si>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</si>
  <si>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</si>
  <si>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</si>
  <si>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</si>
  <si>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</si>
  <si>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</si>
  <si>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</si>
  <si>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</si>
  <si>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FIRM %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</si>
  <si>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</si>
  <si>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</si>
  <si>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</si>
  <si>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</si>
  <si>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</si>
  <si>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</si>
  <si>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</si>
  <si>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</si>
  <si>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</si>
  <si>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</si>
  <si>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</si>
  <si>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</si>
  <si>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</si>
  <si>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</si>
  <si>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</si>
  <si>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</si>
  <si>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</si>
  <si>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</si>
  <si>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</si>
  <si>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</si>
  <si>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</si>
  <si>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</si>
  <si>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</si>
  <si>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</si>
  <si>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</si>
  <si>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</si>
  <si>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</si>
  <si>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</si>
  <si>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</si>
  <si>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</si>
  <si>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</si>
  <si>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</si>
  <si>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</si>
  <si>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</si>
  <si>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</si>
  <si>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</si>
  <si>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</si>
  <si>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</si>
  <si>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</si>
  <si>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</si>
  <si>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</si>
  <si>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</si>
  <si>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</si>
  <si>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</si>
  <si>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</si>
  <si>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</si>
  <si>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</si>
  <si>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</si>
  <si>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</si>
  <si>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PE, ST-3</t>
  </si>
  <si>
    <t>XLPE</t>
  </si>
  <si>
    <t>Copper Tape - 0.050 mm</t>
  </si>
  <si>
    <t>Double Steel Tape</t>
  </si>
  <si>
    <t>PE, ST-7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</si>
  <si>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</si>
  <si>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</si>
  <si>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</si>
  <si>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</si>
  <si>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</si>
  <si>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</si>
  <si>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</si>
  <si>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</si>
  <si>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</si>
  <si>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Base Date</t>
  </si>
  <si>
    <t>TTR CHARGES%</t>
  </si>
  <si>
    <t>DRUM CODE</t>
  </si>
  <si>
    <t>DRUM SIZE (FxbXtx Ft)</t>
  </si>
  <si>
    <t>Propose Drum Type</t>
  </si>
  <si>
    <t>Insulation Screening(Metallic)</t>
  </si>
  <si>
    <t>RM Rate(Insulation Screening(Metallic))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</si>
  <si>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</si>
  <si>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</si>
  <si>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</si>
  <si>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</si>
  <si>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</si>
  <si>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</si>
  <si>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</si>
  <si>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</si>
  <si>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</si>
  <si>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</si>
  <si>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</si>
  <si>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</si>
  <si>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</si>
  <si>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</si>
  <si>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</si>
  <si>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</si>
  <si>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</si>
  <si>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</si>
  <si>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</si>
  <si>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</si>
  <si>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</si>
  <si>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</si>
  <si>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</si>
  <si>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</si>
  <si>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</si>
  <si>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</si>
  <si>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</si>
  <si>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</si>
  <si>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</si>
  <si>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</si>
  <si>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</si>
  <si>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</si>
  <si>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</si>
  <si>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</si>
  <si>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</si>
  <si>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</si>
  <si>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</si>
  <si>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</si>
  <si>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</si>
  <si>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</si>
  <si>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</si>
  <si>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</si>
  <si>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</si>
  <si>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</si>
  <si>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</si>
  <si>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</si>
  <si>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</si>
  <si>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</si>
  <si>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</si>
  <si>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</si>
  <si>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</si>
  <si>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</si>
  <si>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</si>
  <si>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</si>
  <si>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</si>
  <si>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</si>
  <si>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</si>
  <si>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</si>
  <si>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</si>
  <si>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</si>
  <si>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</si>
  <si>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</si>
  <si>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</si>
  <si>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Value</t>
  </si>
  <si>
    <t>MFG Value</t>
  </si>
  <si>
    <t>Profit Value</t>
  </si>
  <si>
    <t>1st EX-Works</t>
  </si>
  <si>
    <t>Intt Value</t>
  </si>
  <si>
    <t>Insp Value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</si>
  <si>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</si>
  <si>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</si>
  <si>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</si>
  <si>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</si>
  <si>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</si>
  <si>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</si>
  <si>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</si>
  <si>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</si>
  <si>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ENQ-13772-22-23</t>
  </si>
  <si>
    <t>FC3700002</t>
  </si>
  <si>
    <t>ACSR : WOLF CONDUCTOR - 150 SQ. MM. (30/7/2.59)</t>
  </si>
  <si>
    <t>WOOD</t>
  </si>
  <si>
    <t>KMS</t>
  </si>
  <si>
    <t>MD0100013</t>
  </si>
  <si>
    <t>DRUM - 48 X 14 X 36 X 2.25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</si>
  <si>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</si>
  <si>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</si>
  <si>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</si>
  <si>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</si>
  <si>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</si>
  <si>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</si>
  <si>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</si>
  <si>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</si>
  <si>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</si>
  <si>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16 MT</t>
  </si>
  <si>
    <t>Drum - 1345 x 600 x 710 (wood)</t>
  </si>
  <si>
    <t>MD0100060</t>
  </si>
  <si>
    <t>Lapalang, Shillong, 
Meghalaya - 793006</t>
  </si>
  <si>
    <t>EX-WORKS (PER Mtr)</t>
  </si>
  <si>
    <t>FREIGHT PER MTR</t>
  </si>
  <si>
    <t>PRICE INCLUDING FREIGHT (PER MTR)</t>
  </si>
  <si>
    <t>PRICE INCLUDING GST &amp; FREIGHT (PER MTR)</t>
  </si>
  <si>
    <t>MTR</t>
  </si>
  <si>
    <t>conductor weight kg/km</t>
  </si>
  <si>
    <t>drum weight</t>
  </si>
  <si>
    <t>conductor+drum weight</t>
  </si>
  <si>
    <t>truck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</si>
</sst>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1" xfId="2" applyFont="1" applyBorder="1" applyAlignment="1">
      <alignment wrapText="1"/>
    </xf>
    <xf numFmtId="9" fontId="0" fillId="0" borderId="0" xfId="2" applyFont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1" xfId="2" applyNumberFormat="1" applyFont="1" applyBorder="1" applyAlignment="1">
      <alignment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8" fillId="0" borderId="0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10" fontId="2" fillId="0" borderId="1" xfId="2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3" fontId="2" fillId="0" borderId="1" xfId="4" applyFont="1" applyFill="1" applyBorder="1" applyAlignment="1">
      <alignment horizontal="center" vertical="center"/>
    </xf>
    <xf numFmtId="43" fontId="2" fillId="6" borderId="1" xfId="4" applyFont="1" applyFill="1" applyBorder="1" applyAlignment="1">
      <alignment horizontal="center" vertical="center"/>
    </xf>
    <xf numFmtId="43" fontId="0" fillId="0" borderId="1" xfId="0" applyNumberForma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5">
    <cellStyle name="Comma" xfId="1" builtinId="3"/>
    <cellStyle name="Comma 3" xfId="4" xr:uid="{2AAED01D-B70B-46DA-B31C-992933255A08}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"/>
  <sheetViews>
    <sheetView topLeftCell="CB1" workbookViewId="0">
      <selection sqref="A1:CZ2"/>
    </sheetView>
  </sheetViews>
  <sheetFormatPr defaultRowHeight="15" x14ac:dyDescent="0.25"/>
  <cols>
    <col min="1" max="2" width="16" customWidth="1"/>
    <col min="3" max="3" width="16.140625" customWidth="1"/>
    <col min="4" max="5" width="69.7109375" customWidth="1"/>
    <col min="6" max="17" width="8.85546875" customWidth="1"/>
    <col min="18" max="18" width="37.85546875" bestFit="1" customWidth="1"/>
    <col min="19" max="19" width="8.85546875" customWidth="1"/>
    <col min="20" max="20" width="47" bestFit="1" customWidth="1"/>
    <col min="21" max="78" width="8.85546875" customWidth="1"/>
    <col min="79" max="79" width="9.5703125" customWidth="1"/>
    <col min="80" max="82" width="8.85546875" customWidth="1"/>
    <col min="83" max="83" width="10.5703125" customWidth="1"/>
    <col min="84" max="84" width="8.85546875" customWidth="1"/>
    <col min="85" max="85" width="10.5703125" customWidth="1"/>
    <col min="86" max="86" width="11.5703125" customWidth="1"/>
    <col min="87" max="87" width="8.85546875" customWidth="1"/>
    <col min="88" max="88" width="11.5703125" customWidth="1"/>
    <col min="89" max="92" width="8.85546875" customWidth="1"/>
    <col min="93" max="93" width="11.5703125" style="4" bestFit="1" customWidth="1"/>
    <col min="94" max="94" width="8.85546875" customWidth="1"/>
    <col min="95" max="95" width="11.5703125" customWidth="1"/>
    <col min="96" max="96" width="8.85546875" customWidth="1"/>
    <col min="97" max="98" width="11.5703125" customWidth="1"/>
    <col min="101" max="101" width="14.28515625" customWidth="1"/>
    <col min="102" max="102" width="10.7109375" customWidth="1"/>
    <col min="103" max="103" width="21.42578125" bestFit="1" customWidth="1"/>
  </cols>
  <sheetData>
    <row r="1" spans="1:104" s="19" customFormat="1" ht="63" customHeight="1" x14ac:dyDescent="0.25">
      <c r="A1" s="2" t="s">
        <v>0</v>
      </c>
      <c r="B1" s="2" t="s">
        <v>88</v>
      </c>
      <c r="C1" s="2" t="s">
        <v>1</v>
      </c>
      <c r="D1" s="2" t="s">
        <v>2</v>
      </c>
      <c r="E1" s="2" t="s">
        <v>92</v>
      </c>
      <c r="F1" s="2" t="s">
        <v>93</v>
      </c>
      <c r="G1" s="2" t="s">
        <v>94</v>
      </c>
      <c r="H1" s="2" t="s">
        <v>4</v>
      </c>
      <c r="I1" s="2" t="s">
        <v>95</v>
      </c>
      <c r="J1" s="2" t="s">
        <v>5</v>
      </c>
      <c r="K1" s="2" t="s">
        <v>96</v>
      </c>
      <c r="L1" s="2" t="s">
        <v>97</v>
      </c>
      <c r="M1" s="2" t="s">
        <v>98</v>
      </c>
      <c r="N1" s="2" t="s">
        <v>6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8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10</v>
      </c>
      <c r="AE1" s="2" t="s">
        <v>113</v>
      </c>
      <c r="AF1" s="2" t="s">
        <v>114</v>
      </c>
      <c r="AG1" s="2" t="s">
        <v>115</v>
      </c>
      <c r="AH1" s="2" t="s">
        <v>11</v>
      </c>
      <c r="AI1" s="2" t="s">
        <v>116</v>
      </c>
      <c r="AJ1" s="2" t="s">
        <v>117</v>
      </c>
      <c r="AK1" s="2" t="s">
        <v>118</v>
      </c>
      <c r="AL1" s="2" t="s">
        <v>12</v>
      </c>
      <c r="AM1" s="2" t="s">
        <v>119</v>
      </c>
      <c r="AN1" s="2" t="s">
        <v>120</v>
      </c>
      <c r="AO1" s="2" t="s">
        <v>121</v>
      </c>
      <c r="AP1" s="2" t="s">
        <v>122</v>
      </c>
      <c r="AQ1" s="2" t="s">
        <v>123</v>
      </c>
      <c r="AR1" s="2" t="s">
        <v>124</v>
      </c>
      <c r="AS1" s="2" t="s">
        <v>125</v>
      </c>
      <c r="AT1" s="2" t="s">
        <v>53</v>
      </c>
      <c r="AU1" s="2" t="s">
        <v>126</v>
      </c>
      <c r="AV1" s="2" t="s">
        <v>127</v>
      </c>
      <c r="AW1" s="2" t="s">
        <v>128</v>
      </c>
      <c r="AX1" s="2" t="s">
        <v>129</v>
      </c>
      <c r="AY1" s="2" t="s">
        <v>130</v>
      </c>
      <c r="AZ1" s="2" t="s">
        <v>131</v>
      </c>
      <c r="BA1" s="2" t="s">
        <v>132</v>
      </c>
      <c r="BB1" s="2" t="s">
        <v>133</v>
      </c>
      <c r="BC1" s="2" t="s">
        <v>134</v>
      </c>
      <c r="BD1" s="2" t="s">
        <v>135</v>
      </c>
      <c r="BE1" s="2" t="s">
        <v>136</v>
      </c>
      <c r="BF1" s="2" t="s">
        <v>137</v>
      </c>
      <c r="BG1" s="2" t="s">
        <v>138</v>
      </c>
      <c r="BH1" s="2" t="s">
        <v>139</v>
      </c>
      <c r="BI1" s="2" t="s">
        <v>140</v>
      </c>
      <c r="BJ1" s="2" t="s">
        <v>141</v>
      </c>
      <c r="BK1" s="2" t="s">
        <v>142</v>
      </c>
      <c r="BL1" s="2" t="s">
        <v>143</v>
      </c>
      <c r="BM1" s="2" t="s">
        <v>144</v>
      </c>
      <c r="BN1" s="2" t="s">
        <v>145</v>
      </c>
      <c r="BO1" s="2" t="s">
        <v>146</v>
      </c>
      <c r="BP1" s="2" t="s">
        <v>147</v>
      </c>
      <c r="BQ1" s="2" t="s">
        <v>148</v>
      </c>
      <c r="BR1" s="2" t="s">
        <v>149</v>
      </c>
      <c r="BS1" s="2" t="s">
        <v>150</v>
      </c>
      <c r="BT1" s="2" t="s">
        <v>151</v>
      </c>
      <c r="BU1" s="2" t="s">
        <v>152</v>
      </c>
      <c r="BV1" s="2" t="s">
        <v>21</v>
      </c>
      <c r="BW1" s="2" t="s">
        <v>153</v>
      </c>
      <c r="BX1" s="2" t="s">
        <v>154</v>
      </c>
      <c r="BY1" s="2" t="s">
        <v>155</v>
      </c>
      <c r="BZ1" s="2" t="s">
        <v>156</v>
      </c>
      <c r="CA1" s="2" t="s">
        <v>157</v>
      </c>
      <c r="CB1" s="2" t="s">
        <v>24</v>
      </c>
      <c r="CC1" s="2" t="s">
        <v>158</v>
      </c>
      <c r="CD1" s="2" t="s">
        <v>25</v>
      </c>
      <c r="CE1" s="2" t="s">
        <v>159</v>
      </c>
      <c r="CF1" s="2" t="s">
        <v>27</v>
      </c>
      <c r="CG1" s="2" t="s">
        <v>160</v>
      </c>
      <c r="CH1" s="2" t="s">
        <v>161</v>
      </c>
      <c r="CI1" s="2" t="s">
        <v>30</v>
      </c>
      <c r="CJ1" s="2" t="s">
        <v>162</v>
      </c>
      <c r="CK1" s="2" t="s">
        <v>32</v>
      </c>
      <c r="CL1" s="2" t="s">
        <v>163</v>
      </c>
      <c r="CM1" s="2" t="s">
        <v>89</v>
      </c>
      <c r="CN1" s="2" t="s">
        <v>164</v>
      </c>
      <c r="CO1" s="2" t="s">
        <v>165</v>
      </c>
      <c r="CP1" s="2" t="s">
        <v>166</v>
      </c>
      <c r="CQ1" s="2" t="s">
        <v>167</v>
      </c>
      <c r="CR1" s="2" t="s">
        <v>37</v>
      </c>
      <c r="CS1" s="2" t="s">
        <v>168</v>
      </c>
      <c r="CT1" s="2" t="s">
        <v>169</v>
      </c>
      <c r="CU1" s="2" t="s">
        <v>40</v>
      </c>
      <c r="CV1" s="2" t="s">
        <v>41</v>
      </c>
      <c r="CW1" s="2" t="s">
        <v>170</v>
      </c>
      <c r="CX1" s="2" t="s">
        <v>90</v>
      </c>
      <c r="CY1" s="2" t="s">
        <v>91</v>
      </c>
      <c r="CZ1" s="2" t="s">
        <v>171</v>
      </c>
    </row>
    <row r="2" spans="1:104" x14ac:dyDescent="0.25">
      <c r="A2" s="2" t="s">
        <v>172</v>
      </c>
      <c r="B2" s="47">
        <v>45523</v>
      </c>
      <c r="C2" s="2" t="s">
        <v>173</v>
      </c>
      <c r="D2" s="2" t="s">
        <v>174</v>
      </c>
      <c r="E2" s="2" t="s">
        <v>175</v>
      </c>
      <c r="F2" s="10"/>
      <c r="G2" s="10"/>
      <c r="H2" s="10">
        <v>0</v>
      </c>
      <c r="I2" s="10"/>
      <c r="J2" s="10" t="s">
        <v>44</v>
      </c>
      <c r="K2" s="10">
        <v>236</v>
      </c>
      <c r="L2" s="10">
        <v>438</v>
      </c>
      <c r="M2" s="10">
        <v>103368</v>
      </c>
      <c r="N2" s="10"/>
      <c r="O2" s="10"/>
      <c r="P2" s="10">
        <v>0</v>
      </c>
      <c r="Q2" s="10"/>
      <c r="R2" s="10"/>
      <c r="S2" s="10"/>
      <c r="T2" s="10">
        <v>0</v>
      </c>
      <c r="U2" s="10"/>
      <c r="V2" s="10"/>
      <c r="W2" s="10"/>
      <c r="X2" s="10">
        <v>0</v>
      </c>
      <c r="Y2" s="10"/>
      <c r="Z2" s="10"/>
      <c r="AA2" s="10"/>
      <c r="AB2" s="10">
        <v>0</v>
      </c>
      <c r="AC2" s="10"/>
      <c r="AD2" s="10"/>
      <c r="AE2" s="10"/>
      <c r="AF2" s="10">
        <v>0</v>
      </c>
      <c r="AG2" s="10"/>
      <c r="AH2" s="25" t="s">
        <v>58</v>
      </c>
      <c r="AI2" s="10">
        <v>71.400000000000006</v>
      </c>
      <c r="AJ2" s="10">
        <v>289</v>
      </c>
      <c r="AK2" s="10">
        <v>20634.599999999999</v>
      </c>
      <c r="AL2" s="25"/>
      <c r="AM2" s="10"/>
      <c r="AN2" s="10">
        <v>0</v>
      </c>
      <c r="AO2" s="10"/>
      <c r="AP2" s="10"/>
      <c r="AQ2" s="10"/>
      <c r="AR2" s="10">
        <v>0</v>
      </c>
      <c r="AS2" s="10"/>
      <c r="AT2" s="10"/>
      <c r="AU2" s="10"/>
      <c r="AV2" s="10">
        <v>0</v>
      </c>
      <c r="AW2" s="10"/>
      <c r="AX2" s="2"/>
      <c r="AY2" s="10"/>
      <c r="AZ2" s="10">
        <v>0</v>
      </c>
      <c r="BA2" s="10"/>
      <c r="BB2" s="10"/>
      <c r="BC2" s="10"/>
      <c r="BD2" s="10">
        <v>0</v>
      </c>
      <c r="BE2" s="10"/>
      <c r="BF2" s="10"/>
      <c r="BG2" s="10"/>
      <c r="BH2" s="10">
        <v>0</v>
      </c>
      <c r="BI2" s="18"/>
      <c r="BJ2" s="10"/>
      <c r="BK2" s="10"/>
      <c r="BL2" s="10">
        <v>0</v>
      </c>
      <c r="BM2" s="18"/>
      <c r="BN2" s="10"/>
      <c r="BO2" s="10"/>
      <c r="BP2" s="10">
        <v>0</v>
      </c>
      <c r="BQ2" s="10"/>
      <c r="BR2" s="10"/>
      <c r="BS2" s="10"/>
      <c r="BT2" s="10">
        <v>0</v>
      </c>
      <c r="BU2" s="10"/>
      <c r="BV2" s="10"/>
      <c r="BW2" s="10"/>
      <c r="BX2" s="10">
        <v>0</v>
      </c>
      <c r="BY2" s="10"/>
      <c r="BZ2" s="10">
        <v>1871.51</v>
      </c>
      <c r="CA2" s="10">
        <v>125874.11</v>
      </c>
      <c r="CB2" s="11">
        <v>0</v>
      </c>
      <c r="CC2" s="10">
        <v>0</v>
      </c>
      <c r="CD2" s="11">
        <v>0.12</v>
      </c>
      <c r="CE2" s="10">
        <v>15104.9</v>
      </c>
      <c r="CF2" s="11">
        <v>0</v>
      </c>
      <c r="CG2" s="10">
        <v>0</v>
      </c>
      <c r="CH2" s="10">
        <v>140979.01</v>
      </c>
      <c r="CI2" s="11">
        <v>0.03</v>
      </c>
      <c r="CJ2" s="10">
        <v>4229.38</v>
      </c>
      <c r="CK2" s="11">
        <v>1.4999999999999999E-2</v>
      </c>
      <c r="CL2" s="10">
        <v>2114.69</v>
      </c>
      <c r="CM2" s="48"/>
      <c r="CN2" s="10"/>
      <c r="CO2" s="10">
        <v>147323.07999999999</v>
      </c>
      <c r="CP2" s="10"/>
      <c r="CQ2" s="10">
        <v>147323.07999999999</v>
      </c>
      <c r="CR2" s="11">
        <v>0.18</v>
      </c>
      <c r="CS2" s="10">
        <v>26518.15</v>
      </c>
      <c r="CT2" s="10">
        <v>173841.23</v>
      </c>
      <c r="CU2" s="10">
        <v>56</v>
      </c>
      <c r="CV2" s="10" t="s">
        <v>176</v>
      </c>
      <c r="CW2" s="12">
        <v>9735109</v>
      </c>
      <c r="CX2" s="49" t="s">
        <v>177</v>
      </c>
      <c r="CY2" s="49" t="s">
        <v>178</v>
      </c>
      <c r="CZ2" s="49">
        <v>2000</v>
      </c>
    </row>
    <row r="3" spans="1:104" x14ac:dyDescent="0.25">
      <c r="A3" s="2"/>
      <c r="B3" s="2"/>
      <c r="C3" s="2"/>
      <c r="D3" s="2"/>
      <c r="E3" s="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25"/>
      <c r="AI3" s="10"/>
      <c r="AJ3" s="10"/>
      <c r="AK3" s="10"/>
      <c r="AL3" s="25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1"/>
      <c r="CC3" s="10"/>
      <c r="CD3" s="11"/>
      <c r="CE3" s="10"/>
      <c r="CF3" s="11"/>
      <c r="CG3" s="10"/>
      <c r="CH3" s="10"/>
      <c r="CI3" s="11"/>
      <c r="CJ3" s="10"/>
      <c r="CK3" s="11"/>
      <c r="CL3" s="10"/>
      <c r="CM3" s="10"/>
      <c r="CN3" s="10"/>
      <c r="CO3" s="10"/>
      <c r="CP3" s="10"/>
      <c r="CQ3" s="10"/>
      <c r="CR3" s="11"/>
      <c r="CS3" s="10"/>
      <c r="CT3" s="10"/>
      <c r="CU3" s="10"/>
      <c r="CV3" s="10"/>
      <c r="CW3" s="12"/>
      <c r="CX3" s="49"/>
      <c r="CY3" s="49"/>
      <c r="CZ3" s="49"/>
    </row>
    <row r="4" spans="1:104" x14ac:dyDescent="0.25">
      <c r="A4" s="2"/>
      <c r="B4" s="2"/>
      <c r="C4" s="2"/>
      <c r="D4" s="2"/>
      <c r="E4" s="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25"/>
      <c r="AI4" s="10"/>
      <c r="AJ4" s="10"/>
      <c r="AK4" s="10"/>
      <c r="AL4" s="25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1"/>
      <c r="CC4" s="10"/>
      <c r="CD4" s="11"/>
      <c r="CE4" s="10"/>
      <c r="CF4" s="11"/>
      <c r="CG4" s="10"/>
      <c r="CH4" s="10"/>
      <c r="CI4" s="11"/>
      <c r="CJ4" s="10"/>
      <c r="CK4" s="11"/>
      <c r="CL4" s="10"/>
      <c r="CM4" s="10"/>
      <c r="CN4" s="10"/>
      <c r="CO4" s="10"/>
      <c r="CP4" s="10"/>
      <c r="CQ4" s="10"/>
      <c r="CR4" s="11"/>
      <c r="CS4" s="10"/>
      <c r="CT4" s="10"/>
      <c r="CU4" s="10"/>
      <c r="CV4" s="10"/>
      <c r="CW4" s="12"/>
      <c r="CX4" s="49"/>
      <c r="CY4" s="49"/>
      <c r="CZ4" s="49"/>
    </row>
    <row r="5" spans="1:104" x14ac:dyDescent="0.25">
      <c r="A5" s="2"/>
      <c r="B5" s="2"/>
      <c r="C5" s="2"/>
      <c r="D5" s="2"/>
      <c r="E5" s="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5"/>
      <c r="AI5" s="10"/>
      <c r="AJ5" s="10"/>
      <c r="AK5" s="10"/>
      <c r="AL5" s="25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1"/>
      <c r="CC5" s="10"/>
      <c r="CD5" s="11"/>
      <c r="CE5" s="10"/>
      <c r="CF5" s="11"/>
      <c r="CG5" s="10"/>
      <c r="CH5" s="10"/>
      <c r="CI5" s="11"/>
      <c r="CJ5" s="10"/>
      <c r="CK5" s="11"/>
      <c r="CL5" s="10"/>
      <c r="CM5" s="10"/>
      <c r="CN5" s="10"/>
      <c r="CO5" s="10"/>
      <c r="CP5" s="10"/>
      <c r="CQ5" s="10"/>
      <c r="CR5" s="11"/>
      <c r="CS5" s="10"/>
      <c r="CT5" s="10"/>
      <c r="CU5" s="10"/>
      <c r="CV5" s="10"/>
      <c r="CW5" s="12"/>
      <c r="CX5" s="49"/>
      <c r="CY5" s="49"/>
      <c r="CZ5" s="49"/>
    </row>
    <row r="6" spans="1:104" x14ac:dyDescent="0.25">
      <c r="A6" s="2"/>
      <c r="B6" s="2"/>
      <c r="C6" s="2"/>
      <c r="D6" s="2"/>
      <c r="E6" s="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5"/>
      <c r="AI6" s="10"/>
      <c r="AJ6" s="10"/>
      <c r="AK6" s="10"/>
      <c r="AL6" s="25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  <c r="CC6" s="10"/>
      <c r="CD6" s="11"/>
      <c r="CE6" s="10"/>
      <c r="CF6" s="11"/>
      <c r="CG6" s="10"/>
      <c r="CH6" s="10"/>
      <c r="CI6" s="11"/>
      <c r="CJ6" s="10"/>
      <c r="CK6" s="11"/>
      <c r="CL6" s="10"/>
      <c r="CM6" s="10"/>
      <c r="CN6" s="10"/>
      <c r="CO6" s="10"/>
      <c r="CP6" s="10"/>
      <c r="CQ6" s="10"/>
      <c r="CR6" s="11"/>
      <c r="CS6" s="10"/>
      <c r="CT6" s="10"/>
      <c r="CU6" s="10"/>
      <c r="CV6" s="10"/>
      <c r="CW6" s="12"/>
      <c r="CX6" s="49"/>
      <c r="CY6" s="49"/>
      <c r="CZ6" s="49"/>
    </row>
    <row r="7" spans="1:104" x14ac:dyDescent="0.25">
      <c r="A7" s="2"/>
      <c r="B7" s="2"/>
      <c r="C7" s="2"/>
      <c r="D7" s="2"/>
      <c r="E7" s="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5"/>
      <c r="AI7" s="10"/>
      <c r="AJ7" s="10"/>
      <c r="AK7" s="10"/>
      <c r="AL7" s="25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1"/>
      <c r="CC7" s="10"/>
      <c r="CD7" s="11"/>
      <c r="CE7" s="10"/>
      <c r="CF7" s="11"/>
      <c r="CG7" s="10"/>
      <c r="CH7" s="10"/>
      <c r="CI7" s="11"/>
      <c r="CJ7" s="10"/>
      <c r="CK7" s="11"/>
      <c r="CL7" s="10"/>
      <c r="CM7" s="10"/>
      <c r="CN7" s="10"/>
      <c r="CO7" s="10"/>
      <c r="CP7" s="10"/>
      <c r="CQ7" s="10"/>
      <c r="CR7" s="11"/>
      <c r="CS7" s="10"/>
      <c r="CT7" s="10"/>
      <c r="CU7" s="10"/>
      <c r="CV7" s="10"/>
      <c r="CW7" s="12"/>
      <c r="CX7" s="49"/>
      <c r="CY7" s="49"/>
      <c r="CZ7" s="49"/>
    </row>
    <row r="8" spans="1:104" x14ac:dyDescent="0.25">
      <c r="A8" s="2"/>
      <c r="B8" s="2"/>
      <c r="C8" s="2"/>
      <c r="D8" s="2"/>
      <c r="E8" s="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5"/>
      <c r="AI8" s="10"/>
      <c r="AJ8" s="10"/>
      <c r="AK8" s="10"/>
      <c r="AL8" s="25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1"/>
      <c r="CC8" s="10"/>
      <c r="CD8" s="11"/>
      <c r="CE8" s="10"/>
      <c r="CF8" s="11"/>
      <c r="CG8" s="10"/>
      <c r="CH8" s="10"/>
      <c r="CI8" s="11"/>
      <c r="CJ8" s="10"/>
      <c r="CK8" s="11"/>
      <c r="CL8" s="10"/>
      <c r="CM8" s="10"/>
      <c r="CN8" s="10"/>
      <c r="CO8" s="10"/>
      <c r="CP8" s="10"/>
      <c r="CQ8" s="10"/>
      <c r="CR8" s="11"/>
      <c r="CS8" s="10"/>
      <c r="CT8" s="10"/>
      <c r="CU8" s="10"/>
      <c r="CV8" s="10"/>
      <c r="CW8" s="12"/>
      <c r="CX8" s="49"/>
      <c r="CY8" s="49"/>
      <c r="CZ8" s="49"/>
    </row>
    <row r="9" spans="1:104" x14ac:dyDescent="0.25">
      <c r="A9" s="2"/>
      <c r="B9" s="2"/>
      <c r="C9" s="2"/>
      <c r="D9" s="2"/>
      <c r="E9" s="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5"/>
      <c r="AI9" s="10"/>
      <c r="AJ9" s="10"/>
      <c r="AK9" s="10"/>
      <c r="AL9" s="25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1"/>
      <c r="CC9" s="10"/>
      <c r="CD9" s="11"/>
      <c r="CE9" s="10"/>
      <c r="CF9" s="11"/>
      <c r="CG9" s="10"/>
      <c r="CH9" s="10"/>
      <c r="CI9" s="11"/>
      <c r="CJ9" s="10"/>
      <c r="CK9" s="11"/>
      <c r="CL9" s="10"/>
      <c r="CM9" s="10"/>
      <c r="CN9" s="10"/>
      <c r="CO9" s="10"/>
      <c r="CP9" s="10"/>
      <c r="CQ9" s="10"/>
      <c r="CR9" s="11"/>
      <c r="CS9" s="10"/>
      <c r="CT9" s="10"/>
      <c r="CU9" s="10"/>
      <c r="CV9" s="10"/>
      <c r="CW9" s="12"/>
      <c r="CX9" s="49"/>
      <c r="CY9" s="49"/>
      <c r="CZ9" s="49"/>
    </row>
    <row r="10" spans="1:104" x14ac:dyDescent="0.25">
      <c r="A10" s="2"/>
      <c r="B10" s="2"/>
      <c r="C10" s="2"/>
      <c r="D10" s="2"/>
      <c r="E10" s="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5"/>
      <c r="AI10" s="10"/>
      <c r="AJ10" s="10"/>
      <c r="AK10" s="10"/>
      <c r="AL10" s="25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1"/>
      <c r="CC10" s="10"/>
      <c r="CD10" s="11"/>
      <c r="CE10" s="10"/>
      <c r="CF10" s="11"/>
      <c r="CG10" s="10"/>
      <c r="CH10" s="10"/>
      <c r="CI10" s="11"/>
      <c r="CJ10" s="10"/>
      <c r="CK10" s="11"/>
      <c r="CL10" s="10"/>
      <c r="CM10" s="10"/>
      <c r="CN10" s="10"/>
      <c r="CO10" s="10"/>
      <c r="CP10" s="10"/>
      <c r="CQ10" s="10"/>
      <c r="CR10" s="11"/>
      <c r="CS10" s="10"/>
      <c r="CT10" s="10"/>
      <c r="CU10" s="10"/>
      <c r="CV10" s="10"/>
      <c r="CW10" s="12"/>
      <c r="CX10" s="49"/>
      <c r="CY10" s="49"/>
      <c r="CZ10" s="49"/>
    </row>
    <row r="11" spans="1:10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  <c r="AQ11" s="10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6"/>
      <c r="CC11" s="1"/>
      <c r="CD11" s="16"/>
      <c r="CE11" s="1"/>
      <c r="CF11" s="16"/>
      <c r="CG11" s="1"/>
      <c r="CH11" s="1"/>
      <c r="CI11" s="16"/>
      <c r="CJ11" s="1"/>
      <c r="CK11" s="16"/>
      <c r="CL11" s="1"/>
      <c r="CM11" s="1"/>
      <c r="CN11" s="1"/>
      <c r="CO11" s="3"/>
      <c r="CP11" s="1"/>
      <c r="CQ11" s="1"/>
      <c r="CR11" s="16"/>
      <c r="CS11" s="1"/>
      <c r="CT11" s="1"/>
      <c r="CU11" s="1"/>
      <c r="CV11" s="1"/>
      <c r="CW11" s="17"/>
      <c r="CX11" s="49"/>
      <c r="CY11" s="49"/>
      <c r="CZ11" s="49"/>
    </row>
    <row r="12" spans="1:10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10"/>
      <c r="AF12" s="10"/>
      <c r="AG12" s="10"/>
      <c r="AH12" s="1"/>
      <c r="AI12" s="1"/>
      <c r="AJ12" s="1"/>
      <c r="AK12" s="1"/>
      <c r="AL12" s="1"/>
      <c r="AM12" s="1"/>
      <c r="AN12" s="1"/>
      <c r="AO12" s="1"/>
      <c r="AP12" s="10"/>
      <c r="AQ12" s="10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6"/>
      <c r="CC12" s="1"/>
      <c r="CD12" s="16"/>
      <c r="CE12" s="1"/>
      <c r="CF12" s="16"/>
      <c r="CG12" s="1"/>
      <c r="CH12" s="1"/>
      <c r="CI12" s="16"/>
      <c r="CJ12" s="1"/>
      <c r="CK12" s="16"/>
      <c r="CL12" s="1"/>
      <c r="CM12" s="1"/>
      <c r="CN12" s="1"/>
      <c r="CO12" s="3"/>
      <c r="CP12" s="1"/>
      <c r="CQ12" s="1"/>
      <c r="CR12" s="16"/>
      <c r="CS12" s="1"/>
      <c r="CT12" s="1"/>
      <c r="CU12" s="1"/>
      <c r="CV12" s="1"/>
      <c r="CW12" s="17"/>
      <c r="CX12" s="49"/>
      <c r="CY12" s="49"/>
      <c r="CZ12" s="49"/>
    </row>
    <row r="13" spans="1:10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0"/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0"/>
      <c r="AQ13" s="10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6"/>
      <c r="CC13" s="1"/>
      <c r="CD13" s="16"/>
      <c r="CE13" s="1"/>
      <c r="CF13" s="16"/>
      <c r="CG13" s="1"/>
      <c r="CH13" s="1"/>
      <c r="CI13" s="16"/>
      <c r="CJ13" s="1"/>
      <c r="CK13" s="16"/>
      <c r="CL13" s="1"/>
      <c r="CM13" s="1"/>
      <c r="CN13" s="1"/>
      <c r="CO13" s="3"/>
      <c r="CP13" s="1"/>
      <c r="CQ13" s="1"/>
      <c r="CR13" s="16"/>
      <c r="CS13" s="1"/>
      <c r="CT13" s="1"/>
      <c r="CU13" s="1"/>
      <c r="CV13" s="1"/>
      <c r="CW13" s="17"/>
      <c r="CX13" s="49"/>
      <c r="CY13" s="49"/>
      <c r="CZ13" s="49"/>
    </row>
    <row r="14" spans="1:10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5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6"/>
      <c r="CC14" s="1"/>
      <c r="CD14" s="16"/>
      <c r="CE14" s="1"/>
      <c r="CF14" s="16"/>
      <c r="CG14" s="1"/>
      <c r="CH14" s="1"/>
      <c r="CI14" s="16"/>
      <c r="CJ14" s="1"/>
      <c r="CK14" s="16"/>
      <c r="CL14" s="1"/>
      <c r="CM14" s="1"/>
      <c r="CN14" s="1"/>
      <c r="CO14" s="3"/>
      <c r="CP14" s="1"/>
      <c r="CQ14" s="1"/>
      <c r="CR14" s="16"/>
      <c r="CS14" s="1"/>
      <c r="CT14" s="1"/>
      <c r="CU14" s="1"/>
      <c r="CV14" s="1"/>
      <c r="CW14" s="17"/>
      <c r="CX14" s="49"/>
      <c r="CY14" s="49"/>
      <c r="CZ14" s="49"/>
    </row>
    <row r="15" spans="1:10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"/>
      <c r="AQ15" s="10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6"/>
      <c r="CC15" s="1"/>
      <c r="CD15" s="16"/>
      <c r="CE15" s="1"/>
      <c r="CF15" s="16"/>
      <c r="CG15" s="1"/>
      <c r="CH15" s="1"/>
      <c r="CI15" s="16"/>
      <c r="CJ15" s="1"/>
      <c r="CK15" s="16"/>
      <c r="CL15" s="1"/>
      <c r="CM15" s="1"/>
      <c r="CN15" s="1"/>
      <c r="CO15" s="3"/>
      <c r="CP15" s="1"/>
      <c r="CQ15" s="1"/>
      <c r="CR15" s="16"/>
      <c r="CS15" s="1"/>
      <c r="CT15" s="1"/>
      <c r="CU15" s="1"/>
      <c r="CV15" s="1"/>
      <c r="CW15" s="17"/>
      <c r="CX15" s="49"/>
      <c r="CY15" s="49"/>
      <c r="CZ15" s="49"/>
    </row>
    <row r="16" spans="1:10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0"/>
      <c r="AQ16" s="1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6"/>
      <c r="CC16" s="1"/>
      <c r="CD16" s="16"/>
      <c r="CE16" s="1"/>
      <c r="CF16" s="16"/>
      <c r="CG16" s="1"/>
      <c r="CH16" s="1"/>
      <c r="CI16" s="16"/>
      <c r="CJ16" s="1"/>
      <c r="CK16" s="16"/>
      <c r="CL16" s="1"/>
      <c r="CM16" s="1"/>
      <c r="CN16" s="1"/>
      <c r="CO16" s="3"/>
      <c r="CP16" s="1"/>
      <c r="CQ16" s="1"/>
      <c r="CR16" s="16"/>
      <c r="CS16" s="1"/>
      <c r="CT16" s="1"/>
      <c r="CU16" s="1"/>
      <c r="CV16" s="1"/>
      <c r="CW16" s="17"/>
      <c r="CX16" s="49"/>
      <c r="CY16" s="49"/>
      <c r="CZ16" s="49"/>
    </row>
    <row r="17" spans="1:10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"/>
      <c r="AQ17" s="1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6"/>
      <c r="CC17" s="1"/>
      <c r="CD17" s="16"/>
      <c r="CE17" s="1"/>
      <c r="CF17" s="16"/>
      <c r="CG17" s="1"/>
      <c r="CH17" s="1"/>
      <c r="CI17" s="16"/>
      <c r="CJ17" s="1"/>
      <c r="CK17" s="16"/>
      <c r="CL17" s="1"/>
      <c r="CM17" s="1"/>
      <c r="CN17" s="1"/>
      <c r="CO17" s="3"/>
      <c r="CP17" s="1"/>
      <c r="CQ17" s="1"/>
      <c r="CR17" s="16"/>
      <c r="CS17" s="1"/>
      <c r="CT17" s="1"/>
      <c r="CU17" s="1"/>
      <c r="CV17" s="1"/>
      <c r="CW17" s="17"/>
      <c r="CX17" s="49"/>
      <c r="CY17" s="49"/>
      <c r="CZ17" s="49"/>
    </row>
    <row r="18" spans="1:10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"/>
      <c r="AQ18" s="1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6"/>
      <c r="CC18" s="1"/>
      <c r="CD18" s="16"/>
      <c r="CE18" s="1"/>
      <c r="CF18" s="16"/>
      <c r="CG18" s="1"/>
      <c r="CH18" s="1"/>
      <c r="CI18" s="16"/>
      <c r="CJ18" s="1"/>
      <c r="CK18" s="16"/>
      <c r="CL18" s="1"/>
      <c r="CM18" s="1"/>
      <c r="CN18" s="1"/>
      <c r="CO18" s="3"/>
      <c r="CP18" s="1"/>
      <c r="CQ18" s="1"/>
      <c r="CR18" s="16"/>
      <c r="CS18" s="1"/>
      <c r="CT18" s="1"/>
      <c r="CU18" s="1"/>
      <c r="CV18" s="1"/>
      <c r="CW18" s="17"/>
      <c r="CX18" s="49"/>
      <c r="CY18" s="49"/>
      <c r="CZ18" s="49"/>
    </row>
    <row r="19" spans="1:10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6"/>
      <c r="CE19" s="1"/>
      <c r="CF19" s="16"/>
      <c r="CG19" s="1"/>
      <c r="CH19" s="1"/>
      <c r="CI19" s="16"/>
      <c r="CJ19" s="1"/>
      <c r="CK19" s="16"/>
      <c r="CL19" s="1"/>
      <c r="CM19" s="1"/>
      <c r="CN19" s="1"/>
      <c r="CO19" s="3"/>
      <c r="CP19" s="1"/>
      <c r="CQ19" s="1"/>
      <c r="CR19" s="16"/>
      <c r="CS19" s="1"/>
      <c r="CT19" s="1"/>
      <c r="CU19" s="1"/>
      <c r="CV19" s="1"/>
      <c r="CW19" s="17"/>
      <c r="CX19" s="49"/>
      <c r="CY19" s="49"/>
      <c r="CZ19" s="49"/>
    </row>
    <row r="20" spans="1:10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6"/>
      <c r="CE20" s="1"/>
      <c r="CF20" s="16"/>
      <c r="CG20" s="1"/>
      <c r="CH20" s="1"/>
      <c r="CI20" s="16"/>
      <c r="CJ20" s="1"/>
      <c r="CK20" s="16"/>
      <c r="CL20" s="1"/>
      <c r="CM20" s="1"/>
      <c r="CN20" s="1"/>
      <c r="CO20" s="3"/>
      <c r="CP20" s="1"/>
      <c r="CQ20" s="1"/>
      <c r="CR20" s="16"/>
      <c r="CS20" s="1"/>
      <c r="CT20" s="1"/>
      <c r="CU20" s="1"/>
      <c r="CV20" s="1"/>
      <c r="CW20" s="17"/>
      <c r="CX20" s="49"/>
      <c r="CY20" s="49"/>
      <c r="CZ20" s="49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2"/>
  <sheetViews>
    <sheetView tabSelected="1" workbookViewId="0">
      <selection activeCell="BX8" sqref="BX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10.28515625" bestFit="1" customWidth="1"/>
    <col min="4" max="4" width="29.5703125" customWidth="1"/>
    <col min="5" max="5" width="13.85546875" style="4" bestFit="1" customWidth="1"/>
    <col min="6" max="6" width="9.140625" customWidth="1"/>
    <col min="7" max="7" width="13.85546875" bestFit="1" customWidth="1"/>
    <col min="8" max="8" width="12.140625" style="8" bestFit="1" customWidth="1"/>
    <col min="9" max="9" width="12.28515625" bestFit="1" customWidth="1"/>
    <col min="10" max="10" width="13.85546875" bestFit="1" customWidth="1"/>
    <col min="13" max="13" width="14.28515625" bestFit="1" customWidth="1"/>
    <col min="14" max="14" width="7.85546875" style="31" customWidth="1"/>
    <col min="15" max="44" width="7.85546875" style="31" hidden="1" customWidth="1"/>
    <col min="45" max="45" width="7.85546875" style="31" customWidth="1"/>
    <col min="46" max="73" width="7.85546875" style="31" hidden="1" customWidth="1"/>
    <col min="74" max="74" width="7.85546875" style="31" customWidth="1"/>
    <col min="75" max="75" width="10.7109375" style="31" customWidth="1"/>
    <col min="76" max="76" width="23" style="31" customWidth="1"/>
    <col min="77" max="77" width="15.140625" style="31" customWidth="1"/>
    <col min="78" max="78" width="9.85546875" style="4" bestFit="1" customWidth="1"/>
    <col min="79" max="79" width="13.85546875" style="4" bestFit="1" customWidth="1"/>
    <col min="80" max="80" width="9.140625" style="29" hidden="1" customWidth="1"/>
    <col min="81" max="81" width="9.140625" style="4" hidden="1" customWidth="1"/>
    <col min="82" max="82" width="7.140625" style="14" bestFit="1" customWidth="1"/>
    <col min="83" max="83" width="12" style="4" bestFit="1" customWidth="1"/>
    <col min="84" max="84" width="6.42578125" style="8" bestFit="1" customWidth="1"/>
    <col min="85" max="85" width="12.28515625" style="4" bestFit="1" customWidth="1"/>
    <col min="86" max="86" width="12.85546875" style="4" bestFit="1" customWidth="1"/>
    <col min="87" max="87" width="6.140625" style="8" bestFit="1" customWidth="1"/>
    <col min="88" max="88" width="11.5703125" customWidth="1"/>
    <col min="89" max="89" width="6.140625" style="8" bestFit="1" customWidth="1"/>
    <col min="90" max="90" width="9.140625" customWidth="1"/>
    <col min="91" max="91" width="9.42578125" style="8" bestFit="1" customWidth="1"/>
    <col min="92" max="92" width="9.140625" customWidth="1"/>
  </cols>
  <sheetData>
    <row r="1" spans="1:92" s="38" customFormat="1" ht="28.9" customHeight="1" x14ac:dyDescent="0.25">
      <c r="E1" s="43"/>
      <c r="H1" s="44"/>
      <c r="N1" s="60" t="str">
        <f>Sheet1!J1</f>
        <v>Conductor</v>
      </c>
      <c r="O1" s="60"/>
      <c r="P1" s="60"/>
      <c r="Q1" s="60"/>
      <c r="R1" s="60"/>
      <c r="S1" s="60" t="s">
        <v>6</v>
      </c>
      <c r="T1" s="60"/>
      <c r="U1" s="60" t="s">
        <v>3</v>
      </c>
      <c r="V1" s="60"/>
      <c r="W1" s="60"/>
      <c r="X1" s="60"/>
      <c r="Y1" s="60"/>
      <c r="Z1" s="60"/>
      <c r="AA1" s="60"/>
      <c r="AB1" s="60"/>
      <c r="AC1" s="60" t="s">
        <v>7</v>
      </c>
      <c r="AD1" s="60"/>
      <c r="AE1" s="60" t="s">
        <v>8</v>
      </c>
      <c r="AF1" s="60"/>
      <c r="AG1" s="60"/>
      <c r="AH1" s="60"/>
      <c r="AI1" s="60"/>
      <c r="AJ1" s="60"/>
      <c r="AK1" s="10" t="s">
        <v>9</v>
      </c>
      <c r="AL1" s="58" t="s">
        <v>10</v>
      </c>
      <c r="AM1" s="59"/>
      <c r="AN1" s="59"/>
      <c r="AO1" s="59"/>
      <c r="AP1" s="59"/>
      <c r="AQ1" s="59"/>
      <c r="AR1" s="59"/>
      <c r="AS1" s="60" t="s">
        <v>11</v>
      </c>
      <c r="AT1" s="60"/>
      <c r="AU1" s="60"/>
      <c r="AV1" s="60"/>
      <c r="AW1" s="60"/>
      <c r="AX1" s="60"/>
      <c r="AY1" s="60"/>
      <c r="AZ1" s="60"/>
      <c r="BA1" s="60"/>
      <c r="BB1" s="60"/>
      <c r="BC1" s="60" t="s">
        <v>12</v>
      </c>
      <c r="BD1" s="60"/>
      <c r="BE1" s="60"/>
      <c r="BF1" s="60"/>
      <c r="BG1" s="60"/>
      <c r="BH1" s="60"/>
      <c r="BI1" s="60"/>
      <c r="BJ1" s="60"/>
      <c r="BK1" s="60"/>
      <c r="BL1" s="60"/>
      <c r="BM1" s="39" t="s">
        <v>13</v>
      </c>
      <c r="BN1" s="10" t="s">
        <v>14</v>
      </c>
      <c r="BO1" s="10" t="s">
        <v>15</v>
      </c>
      <c r="BP1" s="10" t="s">
        <v>16</v>
      </c>
      <c r="BQ1" s="10" t="s">
        <v>17</v>
      </c>
      <c r="BR1" s="10" t="s">
        <v>18</v>
      </c>
      <c r="BS1" s="10" t="s">
        <v>19</v>
      </c>
      <c r="BT1" s="10" t="s">
        <v>20</v>
      </c>
      <c r="BU1" s="10" t="s">
        <v>21</v>
      </c>
      <c r="BV1" s="10"/>
      <c r="BW1" s="10"/>
      <c r="BX1" s="10"/>
      <c r="BY1" s="10"/>
      <c r="BZ1" s="40" t="s">
        <v>22</v>
      </c>
      <c r="CA1" s="40" t="s">
        <v>23</v>
      </c>
      <c r="CB1" s="41" t="s">
        <v>43</v>
      </c>
      <c r="CC1" s="40" t="s">
        <v>87</v>
      </c>
      <c r="CD1" s="42"/>
      <c r="CE1" s="43"/>
      <c r="CF1" s="44"/>
      <c r="CG1" s="43"/>
      <c r="CH1" s="43"/>
      <c r="CI1" s="44"/>
      <c r="CK1" s="44"/>
      <c r="CM1" s="44"/>
    </row>
    <row r="2" spans="1:92" s="20" customFormat="1" ht="89.25" x14ac:dyDescent="0.25">
      <c r="A2" s="23" t="s">
        <v>0</v>
      </c>
      <c r="B2" s="23" t="str">
        <f>Sheet1!B1</f>
        <v>Base Date</v>
      </c>
      <c r="C2" s="23" t="s">
        <v>1</v>
      </c>
      <c r="D2" s="23" t="s">
        <v>2</v>
      </c>
      <c r="E2" s="5" t="s">
        <v>34</v>
      </c>
      <c r="F2" s="15" t="s">
        <v>35</v>
      </c>
      <c r="G2" s="15" t="s">
        <v>36</v>
      </c>
      <c r="H2" s="6" t="s">
        <v>37</v>
      </c>
      <c r="I2" s="15" t="s">
        <v>38</v>
      </c>
      <c r="J2" s="15" t="s">
        <v>39</v>
      </c>
      <c r="K2" s="15" t="s">
        <v>40</v>
      </c>
      <c r="L2" s="15" t="s">
        <v>41</v>
      </c>
      <c r="M2" s="15" t="s">
        <v>42</v>
      </c>
      <c r="N2" s="24" t="s">
        <v>44</v>
      </c>
      <c r="O2" s="24" t="s">
        <v>49</v>
      </c>
      <c r="P2" s="24" t="s">
        <v>46</v>
      </c>
      <c r="Q2" s="24" t="s">
        <v>47</v>
      </c>
      <c r="R2" s="24" t="s">
        <v>48</v>
      </c>
      <c r="S2" s="24" t="s">
        <v>44</v>
      </c>
      <c r="T2" s="24" t="s">
        <v>49</v>
      </c>
      <c r="U2" s="25" t="s">
        <v>56</v>
      </c>
      <c r="V2" s="25" t="s">
        <v>60</v>
      </c>
      <c r="W2" s="25" t="s">
        <v>63</v>
      </c>
      <c r="X2" s="25" t="s">
        <v>68</v>
      </c>
      <c r="Y2" s="25" t="s">
        <v>72</v>
      </c>
      <c r="Z2" s="25" t="s">
        <v>76</v>
      </c>
      <c r="AA2" s="25" t="s">
        <v>79</v>
      </c>
      <c r="AB2" s="25" t="s">
        <v>81</v>
      </c>
      <c r="AC2" s="25" t="s">
        <v>55</v>
      </c>
      <c r="AD2" s="25" t="s">
        <v>59</v>
      </c>
      <c r="AE2" s="25" t="s">
        <v>54</v>
      </c>
      <c r="AF2" s="25" t="s">
        <v>50</v>
      </c>
      <c r="AG2" s="25" t="s">
        <v>62</v>
      </c>
      <c r="AH2" s="25" t="s">
        <v>67</v>
      </c>
      <c r="AI2" s="25" t="s">
        <v>71</v>
      </c>
      <c r="AJ2" s="25" t="s">
        <v>75</v>
      </c>
      <c r="AK2" s="21" t="s">
        <v>9</v>
      </c>
      <c r="AL2" s="25" t="s">
        <v>57</v>
      </c>
      <c r="AM2" s="25" t="s">
        <v>61</v>
      </c>
      <c r="AN2" s="25" t="s">
        <v>64</v>
      </c>
      <c r="AO2" s="25" t="s">
        <v>69</v>
      </c>
      <c r="AP2" s="25" t="s">
        <v>73</v>
      </c>
      <c r="AQ2" s="25" t="s">
        <v>51</v>
      </c>
      <c r="AR2" s="25" t="s">
        <v>80</v>
      </c>
      <c r="AS2" s="25" t="s">
        <v>58</v>
      </c>
      <c r="AT2" s="25" t="s">
        <v>45</v>
      </c>
      <c r="AU2" s="25" t="s">
        <v>65</v>
      </c>
      <c r="AV2" s="25" t="s">
        <v>70</v>
      </c>
      <c r="AW2" s="25" t="s">
        <v>77</v>
      </c>
      <c r="AX2" s="25" t="s">
        <v>52</v>
      </c>
      <c r="AY2" s="25" t="s">
        <v>82</v>
      </c>
      <c r="AZ2" s="25" t="s">
        <v>83</v>
      </c>
      <c r="BA2" s="25" t="s">
        <v>84</v>
      </c>
      <c r="BB2" s="25" t="s">
        <v>86</v>
      </c>
      <c r="BC2" s="25" t="s">
        <v>57</v>
      </c>
      <c r="BD2" s="25" t="s">
        <v>61</v>
      </c>
      <c r="BE2" s="25" t="s">
        <v>66</v>
      </c>
      <c r="BF2" s="25" t="s">
        <v>64</v>
      </c>
      <c r="BG2" s="25" t="s">
        <v>74</v>
      </c>
      <c r="BH2" s="25" t="s">
        <v>78</v>
      </c>
      <c r="BI2" s="25" t="s">
        <v>69</v>
      </c>
      <c r="BJ2" s="25" t="s">
        <v>51</v>
      </c>
      <c r="BK2" s="25" t="s">
        <v>80</v>
      </c>
      <c r="BL2" s="25" t="s">
        <v>85</v>
      </c>
      <c r="BM2" s="21" t="s">
        <v>13</v>
      </c>
      <c r="BN2" s="21" t="s">
        <v>53</v>
      </c>
      <c r="BO2" s="22" t="s">
        <v>15</v>
      </c>
      <c r="BP2" s="26" t="s">
        <v>16</v>
      </c>
      <c r="BQ2" s="22" t="s">
        <v>17</v>
      </c>
      <c r="BR2" s="22" t="s">
        <v>18</v>
      </c>
      <c r="BS2" s="22" t="s">
        <v>19</v>
      </c>
      <c r="BT2" s="26" t="s">
        <v>20</v>
      </c>
      <c r="BU2" s="22" t="s">
        <v>21</v>
      </c>
      <c r="BV2" s="22" t="str">
        <f>Sheet1!E1</f>
        <v>Propose Drum Type</v>
      </c>
      <c r="BW2" s="46" t="str">
        <f>Sheet1!CX1</f>
        <v>DRUM CODE</v>
      </c>
      <c r="BX2" s="46" t="str">
        <f>Sheet1!CY1</f>
        <v>DRUM SIZE (FxbXtx Ft)</v>
      </c>
      <c r="BY2" s="46" t="str">
        <f>Sheet1!CZ1</f>
        <v>PARTY LENGTH (IF STANDER LENGTH NOT MATCH WITH PAR</v>
      </c>
      <c r="BZ2" s="30"/>
      <c r="CA2" s="30"/>
      <c r="CB2" s="27"/>
      <c r="CC2" s="30"/>
      <c r="CD2" s="13" t="s">
        <v>25</v>
      </c>
      <c r="CE2" s="5" t="s">
        <v>26</v>
      </c>
      <c r="CF2" s="6" t="s">
        <v>27</v>
      </c>
      <c r="CG2" s="5" t="s">
        <v>28</v>
      </c>
      <c r="CH2" s="5" t="s">
        <v>29</v>
      </c>
      <c r="CI2" s="6" t="s">
        <v>30</v>
      </c>
      <c r="CJ2" s="15" t="s">
        <v>31</v>
      </c>
      <c r="CK2" s="6" t="s">
        <v>32</v>
      </c>
      <c r="CL2" s="15" t="s">
        <v>33</v>
      </c>
      <c r="CM2" s="6" t="str">
        <f>Sheet1!CM1</f>
        <v>TTR CHARGES%</v>
      </c>
      <c r="CN2" s="15" t="str">
        <f>Sheet1!CN1</f>
        <v>TTR Value</v>
      </c>
    </row>
    <row r="3" spans="1:92" s="30" customFormat="1" x14ac:dyDescent="0.25">
      <c r="A3" s="32"/>
      <c r="B3" s="32"/>
      <c r="C3" s="32"/>
      <c r="D3" s="32"/>
      <c r="E3" s="5"/>
      <c r="F3" s="5"/>
      <c r="G3" s="5"/>
      <c r="H3" s="5"/>
      <c r="I3" s="5"/>
      <c r="J3" s="5"/>
      <c r="K3" s="5"/>
      <c r="L3" s="5"/>
      <c r="M3" s="5"/>
      <c r="N3" s="33">
        <v>243</v>
      </c>
      <c r="O3" s="33">
        <f>+IFERROR(VLOOKUP($O$2,Sheet1!J:L,2,0),0)</f>
        <v>0</v>
      </c>
      <c r="P3" s="33">
        <f>+IFERROR(VLOOKUP($P$2,Sheet1!J:M,2,0),0)</f>
        <v>0</v>
      </c>
      <c r="Q3" s="33">
        <f>+IFERROR(VLOOKUP($Q$2,Sheet1!J:M,2,0),0)</f>
        <v>0</v>
      </c>
      <c r="R3" s="33">
        <f>+IFERROR(VLOOKUP($R$2,Sheet1!J:M,2,0),0)</f>
        <v>0</v>
      </c>
      <c r="S3" s="33">
        <f>+IFERROR(VLOOKUP($S$2,Sheet1!N:Q,2,0),0)</f>
        <v>0</v>
      </c>
      <c r="T3" s="33">
        <f>+IFERROR(VLOOKUP($T$2,Sheet1!N:O,2,0),0)</f>
        <v>0</v>
      </c>
      <c r="U3" s="34">
        <f>+IFERROR(VLOOKUP($U$2,Sheet1!F:I,2,0),0)</f>
        <v>0</v>
      </c>
      <c r="V3" s="34">
        <f>+IFERROR(VLOOKUP($V$2,Sheet1!F:I,2,0),0)</f>
        <v>0</v>
      </c>
      <c r="W3" s="34">
        <f>+IFERROR(VLOOKUP($W$2,Sheet1!F:I,2,0),0)</f>
        <v>0</v>
      </c>
      <c r="X3" s="34">
        <f>+IFERROR(VLOOKUP($X$2,Sheet1!F:I,2,0),0)</f>
        <v>0</v>
      </c>
      <c r="Y3" s="34">
        <f>+IFERROR(VLOOKUP($Y$2,Sheet1!F:I,2,0),0)</f>
        <v>0</v>
      </c>
      <c r="Z3" s="34">
        <f>+IFERROR(VLOOKUP($Z$2,Sheet1!F:I,2,0),0)</f>
        <v>0</v>
      </c>
      <c r="AA3" s="34">
        <f>+IFERROR(VLOOKUP($AA$2,Sheet1!F:I,2,0),0)</f>
        <v>0</v>
      </c>
      <c r="AB3" s="34">
        <f>+IFERROR(VLOOKUP($AB$2,Sheet1!F:I,2,0),0)</f>
        <v>0</v>
      </c>
      <c r="AC3" s="34">
        <f>+IFERROR(VLOOKUP($AC$2,Sheet1!R:U,2,0),0)</f>
        <v>0</v>
      </c>
      <c r="AD3" s="34">
        <f>+IFERROR(VLOOKUP($AD$2,Sheet1!R:U,2,0),0)</f>
        <v>0</v>
      </c>
      <c r="AE3" s="34">
        <f>+IFERROR(VLOOKUP($AE$2,Sheet1!V:Y,2,0),0)</f>
        <v>0</v>
      </c>
      <c r="AF3" s="34">
        <f>+IFERROR(VLOOKUP($AF$2,Sheet1!V:Y,2,0),0)</f>
        <v>0</v>
      </c>
      <c r="AG3" s="34">
        <f>+IFERROR(VLOOKUP($AG$2,Sheet1!V:Y,2,0),0)</f>
        <v>0</v>
      </c>
      <c r="AH3" s="34">
        <f>+IFERROR(VLOOKUP($AH$2,Sheet1!V:Y,2,0),0)</f>
        <v>0</v>
      </c>
      <c r="AI3" s="34">
        <f>+IFERROR(VLOOKUP($AI$2,Sheet1!V:Y,2,0),0)</f>
        <v>0</v>
      </c>
      <c r="AJ3" s="34">
        <f>+IFERROR(VLOOKUP($AJ$2,Sheet1!V:Y,2,0),0)</f>
        <v>0</v>
      </c>
      <c r="AK3" s="35">
        <f>+IFERROR(VLOOKUP($AK$2,Sheet1!Z2:AA840,2,0),0)</f>
        <v>0</v>
      </c>
      <c r="AL3" s="34">
        <f>+IFERROR(VLOOKUP($AL$2,Sheet1!AD2:AG840,2,0),0)</f>
        <v>0</v>
      </c>
      <c r="AM3" s="34">
        <f>+IFERROR(VLOOKUP($AM$2,Sheet1!AD2:AG840,2,0),0)</f>
        <v>0</v>
      </c>
      <c r="AN3" s="34">
        <f>+IFERROR(VLOOKUP($AN$2,Sheet1!AD2:AG840,2,0),0)</f>
        <v>0</v>
      </c>
      <c r="AO3" s="34">
        <f>+IFERROR(VLOOKUP($AO$2,Sheet1!AD2:AG840,2,0),0)</f>
        <v>0</v>
      </c>
      <c r="AP3" s="34">
        <f>+IFERROR(VLOOKUP($AP$2,Sheet1!AD2:AG840,2,0),0)</f>
        <v>0</v>
      </c>
      <c r="AQ3" s="34">
        <f>+IFERROR(VLOOKUP($AQ$2,Sheet1!AD2:AG840,2,0),0)</f>
        <v>0</v>
      </c>
      <c r="AR3" s="34">
        <f>+IFERROR(VLOOKUP($AR$2,Sheet1!AD2:AG840,2,0),0)</f>
        <v>0</v>
      </c>
      <c r="AS3" s="34">
        <f>+IFERROR(VLOOKUP($AS$2,Sheet1!AH2:AK840,2,0),0)</f>
        <v>71.400000000000006</v>
      </c>
      <c r="AT3" s="34">
        <f>+IFERROR(VLOOKUP($AT$2,Sheet1!AH2:AK840,2,0),0)</f>
        <v>0</v>
      </c>
      <c r="AU3" s="34">
        <f>+IFERROR(VLOOKUP($AU$2,Sheet1!AH2:AK840,2,0),0)</f>
        <v>0</v>
      </c>
      <c r="AV3" s="34">
        <f>+IFERROR(VLOOKUP($AV$2,Sheet1!AH2:AK840,2,0),0)</f>
        <v>0</v>
      </c>
      <c r="AW3" s="34">
        <f>+IFERROR(VLOOKUP($AW$2,Sheet1!AH2:AK840,2,0),0)</f>
        <v>0</v>
      </c>
      <c r="AX3" s="34">
        <f>+IFERROR(VLOOKUP($AX$2,Sheet1!AH2:AK840,2,0),0)</f>
        <v>0</v>
      </c>
      <c r="AY3" s="34">
        <f>+IFERROR(VLOOKUP($AY$2,Sheet1!AH2:AK840,2,0),0)</f>
        <v>0</v>
      </c>
      <c r="AZ3" s="34">
        <f>+IFERROR(VLOOKUP($AZ$2,Sheet1!AH2:AK840,2,0),0)</f>
        <v>0</v>
      </c>
      <c r="BA3" s="34">
        <f>+IFERROR(VLOOKUP($BA$2,Sheet1!AH2:AK840,2,0),0)</f>
        <v>0</v>
      </c>
      <c r="BB3" s="34">
        <f>+IFERROR(VLOOKUP($BB$2,Sheet1!AH2:AK840,2,0),0)</f>
        <v>0</v>
      </c>
      <c r="BC3" s="34">
        <f>+IFERROR(VLOOKUP($BC$2,Sheet1!AL2:AO840,2,0),0)</f>
        <v>0</v>
      </c>
      <c r="BD3" s="34">
        <f>+IFERROR(VLOOKUP($BD$2,Sheet1!AL2:AO840,2,0),0)</f>
        <v>0</v>
      </c>
      <c r="BE3" s="34">
        <f>+IFERROR(VLOOKUP($BE$2,Sheet1!AL2:AO840,2,0),0)</f>
        <v>0</v>
      </c>
      <c r="BF3" s="34">
        <f>+IFERROR(VLOOKUP($BF$2,Sheet1!AL2:AO840,2,0),0)</f>
        <v>0</v>
      </c>
      <c r="BG3" s="34">
        <f>+IFERROR(VLOOKUP($BG$2,Sheet1!AL2:AO840,2,0),0)</f>
        <v>0</v>
      </c>
      <c r="BH3" s="34">
        <f>+IFERROR(VLOOKUP($BH$2,Sheet1!AL2:AO840,2,0),0)</f>
        <v>0</v>
      </c>
      <c r="BI3" s="34">
        <f>+IFERROR(VLOOKUP($BI$2,Sheet1!AL2:AO840,2,0),0)</f>
        <v>0</v>
      </c>
      <c r="BJ3" s="34">
        <f>+IFERROR(VLOOKUP($BJ$2,Sheet1!AL2:AO840,2,0),0)</f>
        <v>0</v>
      </c>
      <c r="BK3" s="34">
        <f>+IFERROR(VLOOKUP($BK$2,Sheet1!AL2:AO840,2,0),0)</f>
        <v>0</v>
      </c>
      <c r="BL3" s="34">
        <f>+IFERROR(VLOOKUP($BL$2,Sheet1!AL2:AO840,2,0),0)</f>
        <v>0</v>
      </c>
      <c r="BM3" s="35">
        <f>+IFERROR(VLOOKUP($BM$2,Sheet1!AP2:AS840,2,0),0)</f>
        <v>0</v>
      </c>
      <c r="BN3" s="35">
        <f>+IFERROR(VLOOKUP($BN$2,Sheet1!AT2:AW840,2,0),0)</f>
        <v>0</v>
      </c>
      <c r="BO3" s="36">
        <f>+IFERROR(VLOOKUP($BO$2,Sheet1!AX2:BA840,2,0),0)</f>
        <v>0</v>
      </c>
      <c r="BP3" s="37">
        <f>+IFERROR(VLOOKUP($BP$2,Sheet1!BB2:BE840,2,0),0)</f>
        <v>0</v>
      </c>
      <c r="BQ3" s="36">
        <f>+IFERROR(VLOOKUP($BQ$2,Sheet1!BF2:BI840,2,0),0)</f>
        <v>0</v>
      </c>
      <c r="BR3" s="36">
        <f>+IFERROR(VLOOKUP($BR$2,Sheet1!BJ2:BM840,2,0),0)</f>
        <v>0</v>
      </c>
      <c r="BS3" s="36">
        <f>+IFERROR(VLOOKUP($BS$2,Sheet1!BN2:BQ840,2,0),0)</f>
        <v>0</v>
      </c>
      <c r="BT3" s="37">
        <f>+IFERROR(VLOOKUP($BT$2,Sheet1!BR2:BU840,2,0),0)</f>
        <v>0</v>
      </c>
      <c r="BU3" s="36">
        <f>+IFERROR(VLOOKUP($BU$2,Sheet1!BV2:BY840,2,0),0)</f>
        <v>0</v>
      </c>
      <c r="BV3" s="45"/>
      <c r="BW3" s="45"/>
      <c r="BX3" s="45"/>
      <c r="BY3" s="4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</row>
    <row r="4" spans="1:92" ht="30" x14ac:dyDescent="0.25">
      <c r="A4" s="1" t="str">
        <f>Sheet1!A2</f>
        <v>ENQ-13772-22-23</v>
      </c>
      <c r="B4" s="50">
        <v>45524</v>
      </c>
      <c r="C4" s="1" t="str">
        <f>Sheet1!C2</f>
        <v>FC3700002</v>
      </c>
      <c r="D4" s="1" t="str">
        <f>Sheet1!D2</f>
        <v>ACSR : WOLF CONDUCTOR - 150 SQ. MM. (30/7/2.59)</v>
      </c>
      <c r="E4" s="3">
        <f>CH4+CJ4+CL4+CN4</f>
        <v>145540.19304000001</v>
      </c>
      <c r="F4" s="57">
        <f>ROUNDUP(M7,0)</f>
        <v>4822</v>
      </c>
      <c r="G4" s="9">
        <f>E4+F4</f>
        <v>150362.19304000001</v>
      </c>
      <c r="H4" s="7">
        <f>Sheet1!CR2</f>
        <v>0.18</v>
      </c>
      <c r="I4" s="9">
        <f>G4*H4</f>
        <v>27065.194747200003</v>
      </c>
      <c r="J4" s="9">
        <f>G4+I4</f>
        <v>177427.38778720002</v>
      </c>
      <c r="K4" s="1">
        <f>Sheet1!CU2</f>
        <v>56</v>
      </c>
      <c r="L4" s="1" t="str">
        <f>Sheet1!CV2</f>
        <v>KMS</v>
      </c>
      <c r="M4" s="3">
        <f>J4*K4</f>
        <v>9935933.7160832006</v>
      </c>
      <c r="N4" s="2">
        <f>+IFERROR(VLOOKUP($N$2,Sheet1!J2:L2,3,0),0)</f>
        <v>438</v>
      </c>
      <c r="O4" s="2">
        <f>+IFERROR(VLOOKUP($O$2,Sheet1!J2:L2,3,0),0)</f>
        <v>0</v>
      </c>
      <c r="P4" s="2">
        <f>+IFERROR(VLOOKUP($P$2,Sheet1!J2:M2,3,0),0)</f>
        <v>0</v>
      </c>
      <c r="Q4" s="2">
        <f>+IFERROR(VLOOKUP($Q$2,Sheet1!J2:M2,3,0),0)</f>
        <v>0</v>
      </c>
      <c r="R4" s="2">
        <f>+IFERROR(VLOOKUP($R$2,Sheet1!J2:M2,3,0),0)</f>
        <v>0</v>
      </c>
      <c r="S4" s="2">
        <f>+IFERROR(VLOOKUP($S$2,Sheet1!N2:Q2,3,0),0)</f>
        <v>0</v>
      </c>
      <c r="T4" s="2">
        <f>+IFERROR(VLOOKUP($T$2,Sheet1!N2:Q2,3,0),0)</f>
        <v>0</v>
      </c>
      <c r="U4" s="2">
        <f>+IFERROR(VLOOKUP($U$2,Sheet1!F2:I2,3,0),0)</f>
        <v>0</v>
      </c>
      <c r="V4" s="2">
        <f>+IFERROR(VLOOKUP($V$2,Sheet1!F2:I2,3,0),0)</f>
        <v>0</v>
      </c>
      <c r="W4" s="2">
        <f>+IFERROR(VLOOKUP($W$2,Sheet1!F2:I2,3,0),0)</f>
        <v>0</v>
      </c>
      <c r="X4" s="2">
        <f>+IFERROR(VLOOKUP($X$2,Sheet1!F2:I2,3,0),0)</f>
        <v>0</v>
      </c>
      <c r="Y4" s="2">
        <f>+IFERROR(VLOOKUP($Y$2,Sheet1!F2:I2,3,0),0)</f>
        <v>0</v>
      </c>
      <c r="Z4" s="2">
        <f>+IFERROR(VLOOKUP($Z$2,Sheet1!F2:I2,3,0),0)</f>
        <v>0</v>
      </c>
      <c r="AA4" s="2">
        <f>+IFERROR(VLOOKUP($AA$2,Sheet1!F2:I2,3,0),0)</f>
        <v>0</v>
      </c>
      <c r="AB4" s="2">
        <f>+IFERROR(VLOOKUP($AB$2,Sheet1!F2:I2,3,0),0)</f>
        <v>0</v>
      </c>
      <c r="AC4" s="2">
        <f>+IFERROR(VLOOKUP($AC$2,Sheet1!R2:U2,3,0),0)</f>
        <v>0</v>
      </c>
      <c r="AD4" s="15">
        <f>+IFERROR(VLOOKUP($AD$2,Sheet1!R2:U2,3,0),0)</f>
        <v>0</v>
      </c>
      <c r="AE4" s="2">
        <f>+IFERROR(VLOOKUP($AE$2,Sheet1!V2:Y2,3,0),0)</f>
        <v>0</v>
      </c>
      <c r="AF4" s="15">
        <f>+IFERROR(VLOOKUP($AF$2,Sheet1!V2:Y2,3,0),0)</f>
        <v>0</v>
      </c>
      <c r="AG4" s="15">
        <f>+IFERROR(VLOOKUP($AG$2,Sheet1!V2:Y2,3,0),0)</f>
        <v>0</v>
      </c>
      <c r="AH4" s="15">
        <f>+IFERROR(VLOOKUP($AH$2,Sheet1!V2:Y2,3,0),0)</f>
        <v>0</v>
      </c>
      <c r="AI4" s="15">
        <f>+IFERROR(VLOOKUP($AI$2,Sheet1!V2:Y2,3,0),0)</f>
        <v>0</v>
      </c>
      <c r="AJ4" s="15">
        <f>+IFERROR(VLOOKUP($AJ$2,Sheet1!V2:Y2,3,0),0)</f>
        <v>0</v>
      </c>
      <c r="AK4" s="15">
        <f>+IFERROR(VLOOKUP($AK$2,Sheet1!Z2:AB2,3,0),0)</f>
        <v>0</v>
      </c>
      <c r="AL4" s="15">
        <f>+IFERROR(VLOOKUP($AL$2,Sheet1!AD2:AG2,3,0),0)</f>
        <v>0</v>
      </c>
      <c r="AM4" s="15">
        <f>+IFERROR(VLOOKUP($AM$2,Sheet1!AD2:AG2,3,0),0)</f>
        <v>0</v>
      </c>
      <c r="AN4" s="15">
        <f>+IFERROR(VLOOKUP($AN$2,Sheet1!AD2:AG2,3,0),0)</f>
        <v>0</v>
      </c>
      <c r="AO4" s="15">
        <f>+IFERROR(VLOOKUP($AO$2,Sheet1!AD2:AG2,3,0),0)</f>
        <v>0</v>
      </c>
      <c r="AP4" s="15">
        <f>+IFERROR(VLOOKUP($AP$2,Sheet1!AD2:AG2,3,0),0)</f>
        <v>0</v>
      </c>
      <c r="AQ4" s="15">
        <f>+IFERROR(VLOOKUP($AQ$2,Sheet1!AD2:AG2,3,0),0)</f>
        <v>0</v>
      </c>
      <c r="AR4" s="15">
        <f>+IFERROR(VLOOKUP($AR$2,Sheet1!AD2:AG2,3,0),0)</f>
        <v>0</v>
      </c>
      <c r="AS4" s="15">
        <f>+IFERROR(VLOOKUP($AS$2,Sheet1!AH2:AK2,3,0),0)</f>
        <v>289</v>
      </c>
      <c r="AT4" s="15">
        <f>+IFERROR(VLOOKUP($AT$2,Sheet1!AH2:AK2,3,0),0)</f>
        <v>0</v>
      </c>
      <c r="AU4" s="15">
        <f>+IFERROR(VLOOKUP($AU$2,Sheet1!AH2:AK2,3,0),0)</f>
        <v>0</v>
      </c>
      <c r="AV4" s="15">
        <f>+IFERROR(VLOOKUP($AV$2,Sheet1!AH2:AK2,3,0),0)</f>
        <v>0</v>
      </c>
      <c r="AW4" s="15">
        <f>+IFERROR(VLOOKUP($AW$2,Sheet1!AH2:AK2,3,0),0)</f>
        <v>0</v>
      </c>
      <c r="AX4" s="15">
        <f>+IFERROR(VLOOKUP($AX$2,Sheet1!AH2:AK2,3,0),0)</f>
        <v>0</v>
      </c>
      <c r="AY4" s="15">
        <f>+IFERROR(VLOOKUP($AY$2,Sheet1!AH2:AK2,3,0),0)</f>
        <v>0</v>
      </c>
      <c r="AZ4" s="15">
        <f>+IFERROR(VLOOKUP($AZ$2,Sheet1!AH2:AK2,3,0),0)</f>
        <v>0</v>
      </c>
      <c r="BA4" s="15">
        <f>+IFERROR(VLOOKUP($BA$2,Sheet1!AH2:AK2,3,0),0)</f>
        <v>0</v>
      </c>
      <c r="BB4" s="15">
        <f>+IFERROR(VLOOKUP($BB$2,Sheet1!AH2:AK2,3,0),0)</f>
        <v>0</v>
      </c>
      <c r="BC4" s="15">
        <f>+IFERROR(VLOOKUP($BC$2,Sheet1!AL2:AO2,3,0),0)</f>
        <v>0</v>
      </c>
      <c r="BD4" s="15">
        <f>+IFERROR(VLOOKUP($BD$2,Sheet1!AL2:AO2,3,0),0)</f>
        <v>0</v>
      </c>
      <c r="BE4" s="15">
        <f>+IFERROR(VLOOKUP($BE$2,Sheet1!AL2:AO2,3,0),0)</f>
        <v>0</v>
      </c>
      <c r="BF4" s="15">
        <f>+IFERROR(VLOOKUP($BF$2,Sheet1!AL2:AO2,3,0),0)</f>
        <v>0</v>
      </c>
      <c r="BG4" s="15">
        <f>+IFERROR(VLOOKUP($BG$2,Sheet1!AL2:AO2,3,0),0)</f>
        <v>0</v>
      </c>
      <c r="BH4" s="15">
        <f>+IFERROR(VLOOKUP($BH$2,Sheet1!AL2:AO2,3,0),0)</f>
        <v>0</v>
      </c>
      <c r="BI4" s="15">
        <f>+IFERROR(VLOOKUP($BI$2,Sheet1!AL2:AO2,3,0),0)</f>
        <v>0</v>
      </c>
      <c r="BJ4" s="15">
        <f>+IFERROR(VLOOKUP($BJ$2,Sheet1!AL2:AO2,3,0),0)</f>
        <v>0</v>
      </c>
      <c r="BK4" s="15">
        <f>+IFERROR(VLOOKUP($BK$2,Sheet1!AL2:AO2,3,0),0)</f>
        <v>0</v>
      </c>
      <c r="BL4" s="15">
        <f>+IFERROR(VLOOKUP($BL$2,Sheet1!AL2:AO2,3,0),0)</f>
        <v>0</v>
      </c>
      <c r="BM4" s="15">
        <f>+IFERROR(VLOOKUP($BM$2,Sheet1!AP2:AS2,3,0),0)</f>
        <v>0</v>
      </c>
      <c r="BN4" s="15">
        <f>+IFERROR(VLOOKUP($BN$2,Sheet1!AT2:AW2,3,0),0)</f>
        <v>0</v>
      </c>
      <c r="BO4" s="15">
        <f>+IFERROR(VLOOKUP($BO$2,Sheet1!AX2:BA2,3,0),0)</f>
        <v>0</v>
      </c>
      <c r="BP4" s="15">
        <f>+IFERROR(VLOOKUP($BP$2,Sheet1!BB2:BE2,3,0),0)</f>
        <v>0</v>
      </c>
      <c r="BQ4" s="15">
        <f>+IFERROR(VLOOKUP($BQ$2,Sheet1!BF2:BI2,3,0),0)</f>
        <v>0</v>
      </c>
      <c r="BR4" s="15">
        <f>+IFERROR(VLOOKUP($BR$2,Sheet1!BJ2:BM2,3,0),0)</f>
        <v>0</v>
      </c>
      <c r="BS4" s="15">
        <f>+IFERROR(VLOOKUP($BS$2,Sheet1!BN2:BQ2,3,0),0)</f>
        <v>0</v>
      </c>
      <c r="BT4" s="15">
        <f>+IFERROR(VLOOKUP($BT$2,Sheet1!BR2:BU2,3,0),0)</f>
        <v>0</v>
      </c>
      <c r="BU4" s="15">
        <f>+IFERROR(VLOOKUP($BU$2,Sheet1!BV2:BY2,3,0),0)</f>
        <v>0</v>
      </c>
      <c r="BV4" s="15" t="str">
        <f>Sheet1!E2</f>
        <v>WOOD</v>
      </c>
      <c r="BW4" s="15" t="s">
        <v>190</v>
      </c>
      <c r="BX4" s="15" t="s">
        <v>189</v>
      </c>
      <c r="BY4" s="15">
        <f>Sheet1!CZ2</f>
        <v>2000</v>
      </c>
      <c r="BZ4" s="3">
        <f>6186/2</f>
        <v>3093</v>
      </c>
      <c r="CA4" s="3">
        <f>SUMPRODUCT($N$3:$BU$3,N4:BU4)+BZ4</f>
        <v>130161.60000000001</v>
      </c>
      <c r="CB4" s="28">
        <f>Sheet1!CB2</f>
        <v>0</v>
      </c>
      <c r="CC4" s="3">
        <f>CA4*CB4</f>
        <v>0</v>
      </c>
      <c r="CD4" s="51">
        <v>7.0000000000000007E-2</v>
      </c>
      <c r="CE4" s="3">
        <f>CA4*CD4</f>
        <v>9111.3120000000017</v>
      </c>
      <c r="CF4" s="51">
        <f>Sheet1!CF2</f>
        <v>0</v>
      </c>
      <c r="CG4" s="3">
        <f>CA4*CF4</f>
        <v>0</v>
      </c>
      <c r="CH4" s="3">
        <f>CA4+CC4+CE4+CG4</f>
        <v>139272.91200000001</v>
      </c>
      <c r="CI4" s="51">
        <f>Sheet1!CI2</f>
        <v>0.03</v>
      </c>
      <c r="CJ4" s="1">
        <f>CH4*CI4</f>
        <v>4178.1873599999999</v>
      </c>
      <c r="CK4" s="51">
        <f>Sheet1!CK2</f>
        <v>1.4999999999999999E-2</v>
      </c>
      <c r="CL4" s="1">
        <f>CH4*CK4</f>
        <v>2089.0936799999999</v>
      </c>
      <c r="CM4" s="51">
        <f>Sheet1!CM2</f>
        <v>0</v>
      </c>
      <c r="CN4" s="9">
        <f t="shared" ref="CN4" si="0">CH4*CM4</f>
        <v>0</v>
      </c>
    </row>
    <row r="6" spans="1:92" ht="60" x14ac:dyDescent="0.25">
      <c r="D6" s="31" t="s">
        <v>191</v>
      </c>
      <c r="E6" s="2" t="s">
        <v>179</v>
      </c>
      <c r="F6" s="2" t="s">
        <v>180</v>
      </c>
      <c r="G6" s="52" t="s">
        <v>181</v>
      </c>
      <c r="H6" s="2" t="s">
        <v>182</v>
      </c>
      <c r="I6" s="2" t="s">
        <v>183</v>
      </c>
      <c r="J6" s="2" t="s">
        <v>184</v>
      </c>
      <c r="K6" s="2" t="s">
        <v>185</v>
      </c>
      <c r="L6" s="2" t="s">
        <v>186</v>
      </c>
      <c r="M6" s="53" t="s">
        <v>187</v>
      </c>
      <c r="AS6" s="31" t="s">
        <v>197</v>
      </c>
      <c r="BV6" s="31" t="s">
        <v>198</v>
      </c>
      <c r="BW6" s="31" t="s">
        <v>199</v>
      </c>
      <c r="BX6" s="31" t="s">
        <v>200</v>
      </c>
    </row>
    <row r="7" spans="1:92" x14ac:dyDescent="0.25">
      <c r="E7" s="52">
        <f>K4</f>
        <v>56</v>
      </c>
      <c r="F7" s="54">
        <v>2</v>
      </c>
      <c r="G7" s="52" t="s">
        <v>188</v>
      </c>
      <c r="H7" s="55">
        <v>90000</v>
      </c>
      <c r="I7" s="54">
        <v>10</v>
      </c>
      <c r="J7" s="52">
        <f>F7*I7</f>
        <v>20</v>
      </c>
      <c r="K7" s="52">
        <f>ROUNDUP((E7/J7),0)</f>
        <v>3</v>
      </c>
      <c r="L7" s="52">
        <f>M7*E7</f>
        <v>270000</v>
      </c>
      <c r="M7" s="56">
        <f>(H7*K7)/E7</f>
        <v>4821.4285714285716</v>
      </c>
      <c r="AS7" s="31">
        <f>N4+AS4</f>
        <v>727</v>
      </c>
      <c r="BV7" s="31">
        <f>120+30</f>
        <v>150</v>
      </c>
      <c r="BW7" s="31">
        <f>((AS7*F7)+BV7)</f>
        <v>1604</v>
      </c>
      <c r="BX7" s="31">
        <f>I7*BW7</f>
        <v>16040</v>
      </c>
    </row>
    <row r="10" spans="1:92" ht="51" x14ac:dyDescent="0.25">
      <c r="A10" s="23" t="s">
        <v>0</v>
      </c>
      <c r="B10" s="23" t="s">
        <v>88</v>
      </c>
      <c r="C10" s="23" t="s">
        <v>1</v>
      </c>
      <c r="D10" s="23" t="s">
        <v>2</v>
      </c>
      <c r="E10" s="5" t="s">
        <v>192</v>
      </c>
      <c r="F10" s="15" t="s">
        <v>193</v>
      </c>
      <c r="G10" s="15" t="s">
        <v>194</v>
      </c>
      <c r="H10" s="6" t="s">
        <v>37</v>
      </c>
      <c r="I10" s="15" t="s">
        <v>38</v>
      </c>
      <c r="J10" s="15" t="s">
        <v>195</v>
      </c>
      <c r="K10" s="15" t="s">
        <v>40</v>
      </c>
      <c r="L10" s="15" t="s">
        <v>41</v>
      </c>
      <c r="M10" s="15" t="s">
        <v>42</v>
      </c>
    </row>
    <row r="11" spans="1:92" x14ac:dyDescent="0.25">
      <c r="A11" s="32"/>
      <c r="B11" s="32"/>
      <c r="C11" s="32"/>
      <c r="D11" s="32"/>
      <c r="E11" s="5"/>
      <c r="F11" s="5"/>
      <c r="G11" s="5"/>
      <c r="H11" s="5"/>
      <c r="I11" s="5"/>
      <c r="J11" s="5"/>
      <c r="K11" s="5"/>
      <c r="L11" s="5"/>
      <c r="M11" s="5"/>
    </row>
    <row r="12" spans="1:92" ht="30" x14ac:dyDescent="0.25">
      <c r="A12" s="1" t="str">
        <f>A4</f>
        <v>ENQ-13772-22-23</v>
      </c>
      <c r="B12" s="50">
        <f>B4</f>
        <v>45524</v>
      </c>
      <c r="C12" s="1" t="str">
        <f>C4</f>
        <v>FC3700002</v>
      </c>
      <c r="D12" s="1" t="str">
        <f>D4</f>
        <v>ACSR : WOLF CONDUCTOR - 150 SQ. MM. (30/7/2.59)</v>
      </c>
      <c r="E12" s="3">
        <f>ROUNDUP(E4/1000,2)</f>
        <v>145.54999999999998</v>
      </c>
      <c r="F12" s="3">
        <f>ROUNDUP(F4/1000,2)</f>
        <v>4.83</v>
      </c>
      <c r="G12" s="9">
        <f>E12+F12</f>
        <v>150.38</v>
      </c>
      <c r="H12" s="7">
        <f>H4</f>
        <v>0.18</v>
      </c>
      <c r="I12" s="9">
        <f>G12*H12</f>
        <v>27.068399999999997</v>
      </c>
      <c r="J12" s="9">
        <f>G12+I12</f>
        <v>177.44839999999999</v>
      </c>
      <c r="K12" s="1">
        <f>K4*1000</f>
        <v>56000</v>
      </c>
      <c r="L12" s="1" t="s">
        <v>196</v>
      </c>
      <c r="M12" s="3">
        <f>J12*K12</f>
        <v>9937110.4000000004</v>
      </c>
    </row>
  </sheetData>
  <mergeCells count="8">
    <mergeCell ref="AL1:AR1"/>
    <mergeCell ref="AS1:BB1"/>
    <mergeCell ref="BC1:BL1"/>
    <mergeCell ref="N1:R1"/>
    <mergeCell ref="S1:T1"/>
    <mergeCell ref="U1:AB1"/>
    <mergeCell ref="AC1:AD1"/>
    <mergeCell ref="AE1:AJ1"/>
  </mergeCells>
  <dataValidations count="1">
    <dataValidation type="list" allowBlank="1" showInputMessage="1" showErrorMessage="1" sqref="G7" xr:uid="{BECFB513-4033-471F-A054-8D2A6DF68679}">
      <formula1>$Q$4:$Q$6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AUTO CALCULATION SHEET (2)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2024-08-20T11:28:26Z</dcterms:modified>
</cp:coreProperties>
</file>