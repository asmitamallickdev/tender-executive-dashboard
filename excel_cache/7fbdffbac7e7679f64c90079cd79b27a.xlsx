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5_MAY 2023\JSEB-15-ACSRRABBIT=10176\"/>
    </mc:Choice>
  </mc:AlternateContent>
  <bookViews>
    <workbookView xWindow="0" yWindow="0" windowWidth="20055" windowHeight="9510" firstSheet="1" activeTab="2"/>
  </bookViews>
  <sheets>
    <sheet name="Sheet1" sheetId="1" state="hidden" r:id="rId1"/>
    <sheet name="AUTO CALCULATION SHEET (2)" sheetId="4" r:id="rId2"/>
    <sheet name="CONDUCTOR" sheetId="5" r:id="rId3"/>
  </sheets>
  <definedNames>
    <definedName name="_xlnm._FilterDatabase" localSheetId="0" hidden="1">Sheet1!$A$1:$CU$1</definedName>
  </definedNames>
  <calcPr calcId="152511"/>
</workbook>
</file>

<file path=xl/calcChain.xml><?xml version="1.0" encoding="utf-8"?>
<calcChain xmlns="http://schemas.openxmlformats.org/spreadsheetml/2006/main">
  <c r="V15" i="5" l="1"/>
  <c r="U15" i="5"/>
  <c r="S15" i="5"/>
  <c r="P15" i="5"/>
  <c r="O15" i="5"/>
  <c r="N15" i="5"/>
  <c r="M15" i="5"/>
  <c r="R15" i="5" l="1"/>
  <c r="Q15" i="5"/>
  <c r="T15" i="5"/>
  <c r="A8" i="5"/>
  <c r="F19" i="4"/>
  <c r="I26" i="4"/>
  <c r="I25" i="4"/>
  <c r="I24" i="4"/>
  <c r="E22" i="4"/>
  <c r="D22" i="4"/>
  <c r="J22" i="4"/>
  <c r="K22" i="4" s="1"/>
  <c r="M22" i="4" s="1"/>
  <c r="L22" i="4" s="1"/>
  <c r="BZ19" i="4" l="1"/>
  <c r="BY19" i="4"/>
  <c r="BY17" i="4"/>
  <c r="A1" i="5"/>
  <c r="G15" i="5"/>
  <c r="A15" i="5"/>
  <c r="BX17" i="4" l="1"/>
  <c r="BW17" i="4"/>
  <c r="BV19" i="4"/>
  <c r="BV17" i="4"/>
  <c r="B17" i="4"/>
  <c r="AB19" i="4" l="1"/>
  <c r="AA19" i="4"/>
  <c r="Z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R19" i="4"/>
  <c r="AQ19" i="4"/>
  <c r="AP19" i="4"/>
  <c r="AO19" i="4"/>
  <c r="AN19" i="4"/>
  <c r="AM19" i="4"/>
  <c r="AL19" i="4"/>
  <c r="AK19" i="4"/>
  <c r="AJ19" i="4"/>
  <c r="AI19" i="4"/>
  <c r="AH19" i="4"/>
  <c r="AG19" i="4"/>
  <c r="AF19" i="4"/>
  <c r="AE19" i="4"/>
  <c r="AD19" i="4"/>
  <c r="AC19" i="4"/>
  <c r="R19" i="4" l="1"/>
  <c r="Q19" i="4"/>
  <c r="P19" i="4"/>
  <c r="O19" i="4"/>
  <c r="N16" i="4"/>
  <c r="L19" i="4"/>
  <c r="CB19" i="4"/>
  <c r="D19" i="4"/>
  <c r="C19" i="4"/>
  <c r="A19" i="4"/>
  <c r="CA19" i="4" l="1"/>
  <c r="CC19" i="4" l="1"/>
  <c r="CE19" i="4"/>
  <c r="CG19" i="4"/>
  <c r="CH19" i="4" l="1"/>
  <c r="CJ19" i="4" l="1"/>
  <c r="CL19" i="4"/>
  <c r="E19" i="4" l="1"/>
  <c r="B8" i="5" s="1"/>
  <c r="L15" i="5" s="1"/>
  <c r="W15" i="5" s="1"/>
  <c r="AA15" i="5" s="1"/>
  <c r="G19" i="4" l="1"/>
  <c r="I19" i="4" s="1"/>
  <c r="J19" i="4" s="1"/>
  <c r="M19" i="4" s="1"/>
</calcChain>
</file>

<file path=xl/comments1.xml><?xml version="1.0" encoding="utf-8"?>
<comments xmlns="http://schemas.openxmlformats.org/spreadsheetml/2006/main">
  <authors>
    <author>Author</author>
  </authors>
  <commentList>
    <comment ref="I21"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<sst xmlns="http://schemas.openxmlformats.org/spreadsheetml/2006/main" count="287" uniqueCount="225">
  <si>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</si>
  <si>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</si>
  <si>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</si>
  <si>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</si>
  <si>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</si>
  <si>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</si>
  <si>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</si>
  <si>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</si>
  <si>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</si>
  <si>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</si>
  <si>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</si>
  <si>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</si>
  <si>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</si>
  <si>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</si>
  <si>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</si>
  <si>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</si>
  <si>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</si>
  <si>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</si>
  <si>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</si>
  <si>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</si>
  <si>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</si>
  <si>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</si>
  <si>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</si>
  <si>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</si>
  <si>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</si>
  <si>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</si>
  <si>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</si>
  <si>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</si>
  <si>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</si>
  <si>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</si>
  <si>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</si>
  <si>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</si>
  <si>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</si>
  <si>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</si>
  <si>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</si>
  <si>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</si>
  <si>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</si>
  <si>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</si>
  <si>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</si>
  <si>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</si>
  <si>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</si>
  <si>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</si>
  <si>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</si>
  <si>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</si>
  <si>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</si>
  <si>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</si>
  <si>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</si>
  <si>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</si>
  <si>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</si>
  <si>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</si>
  <si>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</si>
  <si>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</si>
  <si>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</si>
  <si>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</si>
  <si>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</si>
  <si>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</si>
  <si>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</si>
  <si>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</si>
  <si>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</si>
  <si>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</si>
  <si>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</si>
  <si>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</si>
  <si>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</si>
  <si>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</si>
  <si>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</si>
  <si>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</si>
  <si>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</si>
  <si>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</si>
  <si>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</si>
  <si>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</si>
  <si>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</si>
  <si>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</si>
  <si>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</si>
  <si>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</si>
  <si>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</si>
  <si>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</si>
  <si>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</si>
  <si>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</si>
  <si>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</si>
  <si>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</si>
  <si>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</si>
  <si>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</si>
  <si>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</si>
  <si>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</si>
  <si>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</si>
  <si>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</si>
  <si>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</si>
  <si>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</si>
  <si>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</si>
  <si>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</si>
  <si>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</si>
  <si>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</si>
  <si>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</si>
  <si>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</si>
  <si>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</si>
  <si>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</si>
  <si>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</si>
  <si>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</si>
  <si>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</si>
  <si>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</si>
  <si>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</si>
  <si>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</si>
  <si>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</si>
  <si>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</si>
  <si>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</si>
  <si>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</si>
  <si>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</si>
  <si>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</si>
  <si>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</si>
  <si>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</si>
  <si>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</si>
  <si>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</si>
  <si>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</si>
  <si>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</si>
  <si>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</si>
  <si>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</si>
  <si>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</si>
  <si>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</si>
  <si>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</si>
  <si>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</si>
  <si>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</si>
  <si>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</si>
  <si>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</si>
  <si>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</si>
  <si>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</si>
  <si>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</si>
  <si>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</si>
  <si>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</si>
  <si>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</si>
  <si>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</si>
  <si>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</si>
  <si>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</si>
  <si>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</si>
  <si>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</si>
  <si>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</si>
  <si>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</si>
  <si>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</si>
  <si>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Sum of RM RATE (Insulation Screening (Metallic))</t>
  </si>
  <si>
    <t>Sum of RM RATE(Conductor)</t>
  </si>
  <si>
    <t>Sum of RM RATE(Alu Alloy)</t>
  </si>
  <si>
    <t>Sum of RM RATE(Insulation Screening (Non-Metallic))</t>
  </si>
  <si>
    <t>Sum of RM RATE(Insulation)</t>
  </si>
  <si>
    <t>Sum of RM RATE (Poly Tape)</t>
  </si>
  <si>
    <t>Sum of RM RATE(Inner Sheath)</t>
  </si>
  <si>
    <t>Sum of RM RATE(Armouring)</t>
  </si>
  <si>
    <t>Sum of RM RATE(Outer Sheath)</t>
  </si>
  <si>
    <t>Sum of RM RATE(Filler)</t>
  </si>
  <si>
    <t>Sum of RM RATE(Grease)</t>
  </si>
  <si>
    <t>Sum of RM RATE(Water swellable Tape)</t>
  </si>
  <si>
    <t>Sum of RM RATE(Semi conducting Water Swellable tape)</t>
  </si>
  <si>
    <t>Sum of RM RATE(SEMICON TAPE)</t>
  </si>
  <si>
    <t>Sum of RM RATE(GLASS FIBER TAPE)</t>
  </si>
  <si>
    <t>Sum of RM RATE(COPPER WIRE 0.8 MM)</t>
  </si>
  <si>
    <t>Sum of RM RATE(RUBBERIZED COTTON TAPE)</t>
  </si>
  <si>
    <t>Sum of RM RATE(Water Tight Compound)</t>
  </si>
  <si>
    <t>DRUM CODE</t>
  </si>
  <si>
    <t>DRUM SIZE (FxbXtx Ft)</t>
  </si>
  <si>
    <t>22.05.2023 upto 18:00 Hrs.</t>
  </si>
  <si>
    <t>Rate contract shall be done on L-1 rate with successful bidder against NIT for the period of 02(two) years [ 1st year on FIRM Price + 2nd year on Variable Price] which may be further extended for 01 year on variable Price on mutual agreement and satisfactory performance.</t>
  </si>
  <si>
    <t>JHARKHAND BIJLI VITRAN NIGAM LIMITED</t>
  </si>
  <si>
    <t>15/PR/JBVNL/2023-24.</t>
  </si>
  <si>
    <t xml:space="preserve">Rate contract for supply of Manufacturing, testing &amp; supply of ISI marked ACSR Rabbit Conductor
</t>
  </si>
  <si>
    <t>Not Mention.</t>
  </si>
  <si>
    <t>Tenderer should specify the validity period of their offer which should not be less than 180 (One Hundred Eighty) days from the date of opening of tender, which may be extended on discretion of the NIGAM. The offers with lesser validity period may be out- rightly rejected.</t>
  </si>
  <si>
    <t xml:space="preserve">The materials shall be delivered as per delivery schedule mentioned in purchase order. Early delivery may be preferred. The commencement of delivery period shall be reckoned from the date of issue of PO. </t>
  </si>
  <si>
    <t xml:space="preserve">100% payment will be made by Sr. Manager, JBVNL, Headquarter, Ranchi on submission of 5% Bank Guarantee from any Nationalised/Scheduled Bank of ordered value on non-judicial stamp Rs. 100/- (Rupees hundred) only valid for Guarantee period as per cl-38 and on receipt of SRV duly signed by the concerned consignee after receipt of the materials in good condition along with approved routine test certificate and duly filled check list for payment from Stores &amp; Purchase wing. </t>
  </si>
  <si>
    <t>The conductors shall be would in non-returnable reels of drums confirming to ISS: 1778 / 1961 Specification for reels/drums for Bare wire and shall be marked with the following.</t>
  </si>
  <si>
    <t>Normal wire length of conductor is 1.25 Km. Longer length will be acceptable (short length not less than 1 KM shall be acceptable to the maximum extent of 10% of the quantity ordered.)
(viii) No. of length in each drum ---- 2 to 4</t>
  </si>
  <si>
    <t>PV FORMULA (IEEMA)</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</si>
  <si>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</si>
  <si>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</si>
  <si>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</si>
  <si>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</si>
  <si>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</si>
  <si>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</si>
  <si>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</si>
  <si>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</si>
  <si>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</si>
  <si>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</si>
  <si>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</si>
  <si>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</si>
  <si>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</si>
  <si>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</si>
  <si>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</si>
  <si>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</si>
  <si>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</si>
  <si>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</si>
  <si>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W</t>
  </si>
  <si>
    <t>Fe</t>
  </si>
  <si>
    <t>Al @</t>
  </si>
  <si>
    <t>ST @</t>
  </si>
  <si>
    <t>RMC</t>
  </si>
  <si>
    <t>Drum</t>
  </si>
  <si>
    <t>RMC+DRUM</t>
  </si>
  <si>
    <t>VA</t>
  </si>
  <si>
    <t>Groos VA%</t>
  </si>
  <si>
    <t>Mfg %</t>
  </si>
  <si>
    <t>Int %</t>
  </si>
  <si>
    <t>Ins%</t>
  </si>
  <si>
    <t>Net VA</t>
  </si>
  <si>
    <t xml:space="preserve">PARTY STANDARD LENGTH (MTR) </t>
  </si>
  <si>
    <t>ENQ-10176-22-23</t>
  </si>
  <si>
    <t>FC0700007</t>
  </si>
  <si>
    <t>ACSR : RABBIT CONDUCTOR - 50 SQ. MM. (6/1/3.35)</t>
  </si>
  <si>
    <t>WOOD</t>
  </si>
  <si>
    <t>KMS</t>
  </si>
  <si>
    <t>MD0100015</t>
  </si>
  <si>
    <t>DRUM - 48 X 20 X 28 X 2.25 - RDSO</t>
  </si>
  <si>
    <t>MD0100013</t>
  </si>
  <si>
    <t>1220 X 600 X 710</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</si>
  <si>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</si>
  <si>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</si>
  <si>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</si>
  <si>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</si>
  <si>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</si>
  <si>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</si>
  <si>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</si>
  <si>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</si>
  <si>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</si>
  <si>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</si>
  <si>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 xml:space="preserve">P = Po + WA(AL – ALo) + WF(FE – FEo) / WA = 0.145, WF = 0.069
</t>
  </si>
  <si>
    <t>provisional</t>
  </si>
  <si>
    <t xml:space="preserve">It is one month prior to the last date of submission of bid
against the NIT i.e price is applicable on 1st working day of month, one month prior to date of tendering (due date of tender) i.e if due date of tender is in month sept’2022 then price indices shall be taken of 1st August’2022. Similarly for date of delivery price is applicable on 1st working day of month, one month prior to date of delivery if date of delivery is in month DEC’2022 then price indices shall be taken of 1st NOV’2022.
</t>
  </si>
  <si>
    <t>PV Terms</t>
  </si>
  <si>
    <t>19.05.2023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</si>
</sst>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_ * #,##0.00_ ;_ * \-#,##0.00_ ;_ * &quot;-&quot;??_ ;_ @_ "/>
    <numFmt numFmtId="165" formatCode="0.000%"/>
    <numFmt numFmtId="166" formatCode="0.0000"/>
    <numFmt numFmtId="167" formatCode="&quot;Rs. &quot;#,##0.00"/>
    <numFmt numFmtId="168" formatCode="&quot;Rs.&quot;#,##0"/>
    <numFmt numFmtId="169" formatCode="0.0"/>
    <numFmt numFmtId="170" formatCode="0.000"/>
    <numFmt numFmtId="171" formatCode="&quot;Rs.&quot;#,##0.00"/>
    <numFmt numFmtId="172"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5" tint="0.399975585192419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xf numFmtId="9" fontId="11" fillId="0" borderId="0" applyFont="0" applyFill="0" applyBorder="0" applyAlignment="0" applyProtection="0"/>
  </cellStyleXfs>
  <cellXfs count="20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0" fontId="14" fillId="0" borderId="0" xfId="4" applyFont="1" applyFill="1" applyAlignment="1">
      <alignment horizontal="center" wrapText="1"/>
    </xf>
    <xf numFmtId="0" fontId="14" fillId="0" borderId="0" xfId="4" applyFont="1" applyFill="1" applyAlignment="1"/>
    <xf numFmtId="0" fontId="15" fillId="0" borderId="0" xfId="6" applyFont="1" applyFill="1"/>
    <xf numFmtId="0" fontId="11" fillId="0" borderId="0" xfId="4" applyFont="1" applyFill="1"/>
    <xf numFmtId="0" fontId="11" fillId="0" borderId="0" xfId="4"/>
    <xf numFmtId="0" fontId="16" fillId="0" borderId="1" xfId="4" applyFont="1" applyFill="1" applyBorder="1" applyAlignment="1">
      <alignment horizontal="center" vertical="center"/>
    </xf>
    <xf numFmtId="0" fontId="11" fillId="0" borderId="0" xfId="4" applyFont="1" applyFill="1" applyBorder="1" applyAlignment="1">
      <alignment horizontal="center" vertical="center"/>
    </xf>
    <xf numFmtId="0" fontId="15" fillId="0" borderId="0" xfId="4" applyFont="1" applyFill="1" applyAlignment="1">
      <alignment horizontal="center"/>
    </xf>
    <xf numFmtId="0" fontId="17" fillId="0" borderId="1" xfId="4" applyFont="1" applyFill="1" applyBorder="1" applyAlignment="1">
      <alignment horizontal="center" vertical="center" wrapText="1"/>
    </xf>
    <xf numFmtId="0" fontId="14" fillId="0" borderId="0" xfId="4" applyFont="1" applyFill="1" applyBorder="1" applyAlignment="1"/>
    <xf numFmtId="0" fontId="11" fillId="0" borderId="0" xfId="4" applyFont="1" applyFill="1" applyAlignment="1"/>
    <xf numFmtId="0" fontId="14" fillId="0" borderId="0" xfId="4" applyFont="1" applyFill="1" applyBorder="1" applyAlignment="1">
      <alignment horizontal="center"/>
    </xf>
    <xf numFmtId="0" fontId="15" fillId="0" borderId="0" xfId="6" applyFont="1" applyFill="1" applyAlignment="1">
      <alignment horizontal="center"/>
    </xf>
    <xf numFmtId="0" fontId="11" fillId="0" borderId="0" xfId="4" applyFont="1" applyFill="1" applyAlignment="1">
      <alignment horizontal="center"/>
    </xf>
    <xf numFmtId="0" fontId="11" fillId="0" borderId="0" xfId="4" applyAlignment="1">
      <alignment horizontal="center"/>
    </xf>
    <xf numFmtId="0" fontId="14" fillId="0" borderId="0" xfId="4" applyFont="1" applyFill="1" applyBorder="1" applyAlignment="1">
      <alignment horizontal="center" vertical="center"/>
    </xf>
    <xf numFmtId="0" fontId="14" fillId="0" borderId="0" xfId="4" applyFont="1" applyFill="1" applyBorder="1" applyAlignment="1">
      <alignment vertical="center"/>
    </xf>
    <xf numFmtId="0" fontId="11" fillId="0" borderId="0" xfId="4" applyFont="1" applyFill="1" applyBorder="1" applyAlignment="1">
      <alignment horizontal="center"/>
    </xf>
    <xf numFmtId="0" fontId="16" fillId="0" borderId="1" xfId="4" applyFont="1" applyFill="1" applyBorder="1" applyAlignment="1">
      <alignment horizontal="center"/>
    </xf>
    <xf numFmtId="0" fontId="14" fillId="0" borderId="1" xfId="4" applyFont="1" applyFill="1" applyBorder="1" applyAlignment="1">
      <alignment horizontal="center" vertical="center"/>
    </xf>
    <xf numFmtId="0" fontId="11" fillId="0" borderId="1" xfId="4" applyFont="1" applyFill="1" applyBorder="1" applyAlignment="1">
      <alignment horizontal="center" vertical="center" wrapText="1"/>
    </xf>
    <xf numFmtId="167" fontId="14" fillId="0" borderId="1" xfId="4" applyNumberFormat="1" applyFont="1" applyFill="1" applyBorder="1" applyAlignment="1">
      <alignment horizontal="center" vertical="center"/>
    </xf>
    <xf numFmtId="0" fontId="2" fillId="0" borderId="0" xfId="0" applyFont="1" applyBorder="1" applyAlignment="1">
      <alignment vertical="center"/>
    </xf>
    <xf numFmtId="0" fontId="11" fillId="0" borderId="0" xfId="4" applyFont="1" applyFill="1" applyBorder="1" applyAlignment="1">
      <alignment horizontal="center" vertical="center" wrapText="1"/>
    </xf>
    <xf numFmtId="167" fontId="14" fillId="0" borderId="0" xfId="4" applyNumberFormat="1" applyFont="1" applyFill="1" applyBorder="1" applyAlignment="1">
      <alignment horizontal="center" vertical="center"/>
    </xf>
    <xf numFmtId="0" fontId="16" fillId="0" borderId="0" xfId="4" applyFont="1" applyFill="1"/>
    <xf numFmtId="0" fontId="18" fillId="0" borderId="5" xfId="6" applyFont="1" applyFill="1" applyBorder="1" applyAlignment="1">
      <alignment horizontal="center" vertical="center" wrapText="1"/>
    </xf>
    <xf numFmtId="0" fontId="18" fillId="0" borderId="35" xfId="6" applyFont="1" applyFill="1" applyBorder="1" applyAlignment="1">
      <alignment horizontal="center" vertical="center" wrapText="1"/>
    </xf>
    <xf numFmtId="0" fontId="18" fillId="0" borderId="36" xfId="6" applyFont="1" applyFill="1" applyBorder="1" applyAlignment="1">
      <alignment horizontal="center" vertical="center" wrapText="1"/>
    </xf>
    <xf numFmtId="0" fontId="18" fillId="0" borderId="37" xfId="6" applyFont="1" applyFill="1" applyBorder="1" applyAlignment="1">
      <alignment horizontal="center" vertical="center" wrapText="1"/>
    </xf>
    <xf numFmtId="0" fontId="11" fillId="0" borderId="20" xfId="4" applyFont="1" applyFill="1" applyBorder="1"/>
    <xf numFmtId="0" fontId="15" fillId="0" borderId="21" xfId="6" applyFont="1" applyFill="1" applyBorder="1"/>
    <xf numFmtId="0" fontId="15" fillId="0" borderId="38" xfId="6" applyFont="1" applyFill="1" applyBorder="1" applyAlignment="1">
      <alignment horizontal="left" vertical="center" wrapText="1"/>
    </xf>
    <xf numFmtId="14" fontId="15" fillId="0" borderId="26" xfId="6" applyNumberFormat="1" applyFont="1" applyFill="1" applyBorder="1" applyAlignment="1">
      <alignment horizontal="center" vertical="center" wrapText="1"/>
    </xf>
    <xf numFmtId="14" fontId="15" fillId="0" borderId="39" xfId="6" applyNumberFormat="1" applyFont="1" applyFill="1" applyBorder="1" applyAlignment="1">
      <alignment horizontal="center" vertical="center" wrapText="1"/>
    </xf>
    <xf numFmtId="14" fontId="15" fillId="0" borderId="40" xfId="6" applyNumberFormat="1" applyFont="1" applyFill="1" applyBorder="1" applyAlignment="1">
      <alignment horizontal="center" vertical="center" wrapText="1"/>
    </xf>
    <xf numFmtId="2" fontId="14" fillId="0" borderId="6" xfId="6" applyNumberFormat="1" applyFont="1" applyFill="1" applyBorder="1" applyAlignment="1">
      <alignment horizontal="center" vertical="center" wrapText="1"/>
    </xf>
    <xf numFmtId="0" fontId="14" fillId="0" borderId="40" xfId="6" applyFont="1" applyFill="1" applyBorder="1" applyAlignment="1">
      <alignment horizontal="center" vertical="center" wrapText="1"/>
    </xf>
    <xf numFmtId="0" fontId="15" fillId="0" borderId="26" xfId="6" applyFont="1" applyFill="1" applyBorder="1" applyAlignment="1">
      <alignment horizontal="center" vertical="center" wrapText="1"/>
    </xf>
    <xf numFmtId="168" fontId="18" fillId="0" borderId="6" xfId="6" applyNumberFormat="1" applyFont="1" applyFill="1" applyBorder="1" applyAlignment="1">
      <alignment horizontal="center" vertical="center" wrapText="1"/>
    </xf>
    <xf numFmtId="168" fontId="18" fillId="0" borderId="41" xfId="6" applyNumberFormat="1" applyFont="1" applyFill="1" applyBorder="1" applyAlignment="1">
      <alignment horizontal="center" vertical="center" wrapText="1"/>
    </xf>
    <xf numFmtId="1" fontId="12" fillId="0" borderId="42" xfId="6" applyNumberFormat="1" applyFont="1" applyFill="1" applyBorder="1"/>
    <xf numFmtId="1" fontId="18" fillId="0" borderId="6" xfId="6" applyNumberFormat="1" applyFont="1" applyFill="1" applyBorder="1"/>
    <xf numFmtId="1" fontId="12" fillId="0" borderId="1" xfId="6" applyNumberFormat="1" applyFont="1" applyFill="1" applyBorder="1"/>
    <xf numFmtId="1" fontId="12" fillId="0" borderId="1" xfId="6" applyNumberFormat="1" applyFont="1" applyFill="1" applyBorder="1" applyAlignment="1">
      <alignment horizontal="center"/>
    </xf>
    <xf numFmtId="0" fontId="12" fillId="0" borderId="43" xfId="6" applyFont="1" applyFill="1" applyBorder="1"/>
    <xf numFmtId="0" fontId="11" fillId="0" borderId="2" xfId="4" applyFont="1" applyFill="1" applyBorder="1" applyAlignment="1">
      <alignment horizontal="center" wrapText="1"/>
    </xf>
    <xf numFmtId="14" fontId="15" fillId="0" borderId="44" xfId="6" applyNumberFormat="1" applyFont="1" applyFill="1" applyBorder="1" applyAlignment="1">
      <alignment horizontal="center" vertical="center" wrapText="1"/>
    </xf>
    <xf numFmtId="49" fontId="15" fillId="7" borderId="6" xfId="6" applyNumberFormat="1" applyFont="1" applyFill="1" applyBorder="1" applyAlignment="1">
      <alignment horizontal="center" vertical="center" wrapText="1"/>
    </xf>
    <xf numFmtId="169" fontId="15" fillId="0" borderId="1" xfId="6" applyNumberFormat="1" applyFont="1" applyFill="1" applyBorder="1" applyAlignment="1">
      <alignment horizontal="center" vertical="center" wrapText="1"/>
    </xf>
    <xf numFmtId="14" fontId="15" fillId="7" borderId="6" xfId="6" applyNumberFormat="1" applyFont="1" applyFill="1" applyBorder="1" applyAlignment="1">
      <alignment horizontal="center" vertical="center" wrapText="1"/>
    </xf>
    <xf numFmtId="169" fontId="15" fillId="0" borderId="4" xfId="6" applyNumberFormat="1" applyFont="1" applyFill="1" applyBorder="1" applyAlignment="1">
      <alignment horizontal="center" vertical="center" wrapText="1"/>
    </xf>
    <xf numFmtId="170" fontId="15" fillId="0" borderId="6" xfId="6" applyNumberFormat="1" applyFont="1" applyFill="1" applyBorder="1" applyAlignment="1">
      <alignment horizontal="center" vertical="center" wrapText="1"/>
    </xf>
    <xf numFmtId="2" fontId="15" fillId="0" borderId="6" xfId="6" applyNumberFormat="1" applyFont="1" applyFill="1" applyBorder="1" applyAlignment="1">
      <alignment horizontal="center" vertical="center" wrapText="1"/>
    </xf>
    <xf numFmtId="166" fontId="15" fillId="0" borderId="4" xfId="6" applyNumberFormat="1" applyFont="1" applyFill="1" applyBorder="1" applyAlignment="1">
      <alignment vertical="center" wrapText="1"/>
    </xf>
    <xf numFmtId="2" fontId="15" fillId="8" borderId="1" xfId="6" applyNumberFormat="1" applyFont="1" applyFill="1" applyBorder="1" applyAlignment="1">
      <alignment horizontal="center" vertical="center" wrapText="1"/>
    </xf>
    <xf numFmtId="2" fontId="15" fillId="9" borderId="1" xfId="6" applyNumberFormat="1" applyFont="1" applyFill="1" applyBorder="1" applyAlignment="1">
      <alignment horizontal="center" vertical="center" wrapText="1"/>
    </xf>
    <xf numFmtId="2" fontId="12" fillId="0" borderId="45" xfId="6" applyNumberFormat="1" applyFont="1" applyFill="1" applyBorder="1" applyAlignment="1">
      <alignment horizontal="center" vertical="center"/>
    </xf>
    <xf numFmtId="2" fontId="12" fillId="0" borderId="46" xfId="6" applyNumberFormat="1" applyFont="1" applyFill="1" applyBorder="1" applyAlignment="1">
      <alignment horizontal="center" vertical="center"/>
    </xf>
    <xf numFmtId="171" fontId="18" fillId="0" borderId="47" xfId="6" applyNumberFormat="1" applyFont="1" applyFill="1" applyBorder="1" applyAlignment="1">
      <alignment vertical="center"/>
    </xf>
    <xf numFmtId="171" fontId="12" fillId="0" borderId="47" xfId="6" applyNumberFormat="1" applyFont="1" applyFill="1" applyBorder="1" applyAlignment="1">
      <alignment vertical="center"/>
    </xf>
    <xf numFmtId="10" fontId="16" fillId="0" borderId="45" xfId="8" applyNumberFormat="1" applyFont="1" applyFill="1" applyBorder="1" applyAlignment="1">
      <alignment vertical="center"/>
    </xf>
    <xf numFmtId="10" fontId="12" fillId="0" borderId="48" xfId="6" applyNumberFormat="1" applyFont="1" applyFill="1" applyBorder="1" applyAlignment="1">
      <alignment vertical="center"/>
    </xf>
    <xf numFmtId="10" fontId="16" fillId="0" borderId="49" xfId="6" applyNumberFormat="1" applyFont="1" applyFill="1" applyBorder="1" applyAlignment="1">
      <alignment vertical="center"/>
    </xf>
    <xf numFmtId="0" fontId="11" fillId="0" borderId="50" xfId="4" applyFont="1" applyFill="1" applyBorder="1" applyAlignment="1">
      <alignment wrapText="1"/>
    </xf>
    <xf numFmtId="14" fontId="15" fillId="0" borderId="51" xfId="6" applyNumberFormat="1" applyFont="1" applyFill="1" applyBorder="1" applyAlignment="1">
      <alignment horizontal="center" vertical="center" wrapText="1"/>
    </xf>
    <xf numFmtId="14" fontId="15" fillId="0" borderId="45" xfId="6" applyNumberFormat="1" applyFont="1" applyFill="1" applyBorder="1" applyAlignment="1">
      <alignment horizontal="center" vertical="center" wrapText="1"/>
    </xf>
    <xf numFmtId="2" fontId="15" fillId="0" borderId="48" xfId="6" applyNumberFormat="1" applyFont="1" applyFill="1" applyBorder="1" applyAlignment="1">
      <alignment horizontal="center" vertical="center" wrapText="1"/>
    </xf>
    <xf numFmtId="2" fontId="15" fillId="0" borderId="52" xfId="6" applyNumberFormat="1" applyFont="1" applyFill="1" applyBorder="1" applyAlignment="1">
      <alignment horizontal="center" vertical="center" wrapText="1"/>
    </xf>
    <xf numFmtId="2" fontId="15" fillId="0" borderId="45" xfId="6" applyNumberFormat="1" applyFont="1" applyFill="1" applyBorder="1" applyAlignment="1">
      <alignment horizontal="center" vertical="center" wrapText="1"/>
    </xf>
    <xf numFmtId="169" fontId="15" fillId="0" borderId="52" xfId="6" applyNumberFormat="1" applyFont="1" applyFill="1" applyBorder="1" applyAlignment="1">
      <alignment horizontal="center" vertical="center" wrapText="1"/>
    </xf>
    <xf numFmtId="172" fontId="15" fillId="0" borderId="52" xfId="6" applyNumberFormat="1" applyFont="1" applyFill="1" applyBorder="1" applyAlignment="1">
      <alignment vertical="center" wrapText="1"/>
    </xf>
    <xf numFmtId="166" fontId="15" fillId="0" borderId="48" xfId="6" applyNumberFormat="1" applyFont="1" applyFill="1" applyBorder="1" applyAlignment="1">
      <alignment horizontal="center" vertical="center" wrapText="1"/>
    </xf>
    <xf numFmtId="0" fontId="14" fillId="0" borderId="0" xfId="4" applyFont="1" applyFill="1" applyBorder="1" applyAlignment="1">
      <alignment vertical="center" wrapText="1"/>
    </xf>
    <xf numFmtId="14" fontId="0" fillId="0" borderId="0" xfId="0" applyNumberFormat="1"/>
    <xf numFmtId="3" fontId="0" fillId="0" borderId="0" xfId="0" applyNumberFormat="1"/>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13" fillId="0" borderId="0" xfId="4" applyFont="1" applyFill="1" applyBorder="1" applyAlignment="1">
      <alignment vertical="center" wrapText="1"/>
    </xf>
    <xf numFmtId="0" fontId="14" fillId="0" borderId="32" xfId="6"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4" fillId="0" borderId="2" xfId="4" applyFont="1" applyFill="1" applyBorder="1" applyAlignment="1">
      <alignment horizontal="center" vertical="center" wrapText="1"/>
    </xf>
    <xf numFmtId="0" fontId="14" fillId="0" borderId="3" xfId="4" applyFont="1" applyFill="1" applyBorder="1" applyAlignment="1">
      <alignment horizontal="center" vertical="center" wrapText="1"/>
    </xf>
    <xf numFmtId="0" fontId="14" fillId="0" borderId="4" xfId="4" applyFont="1" applyFill="1" applyBorder="1" applyAlignment="1">
      <alignment horizontal="center" vertical="center" wrapText="1"/>
    </xf>
    <xf numFmtId="14" fontId="16" fillId="6" borderId="1" xfId="4" applyNumberFormat="1" applyFont="1" applyFill="1" applyBorder="1" applyAlignment="1">
      <alignment horizontal="center" vertical="center"/>
    </xf>
    <xf numFmtId="0" fontId="16" fillId="6" borderId="1" xfId="4" applyFont="1" applyFill="1" applyBorder="1" applyAlignment="1">
      <alignment horizontal="center" vertical="center"/>
    </xf>
    <xf numFmtId="0" fontId="10" fillId="0" borderId="1" xfId="4" applyFont="1" applyFill="1" applyBorder="1" applyAlignment="1">
      <alignment horizontal="left" vertical="center" wrapText="1"/>
    </xf>
    <xf numFmtId="0" fontId="14" fillId="0" borderId="1" xfId="4" applyFont="1" applyFill="1" applyBorder="1" applyAlignment="1">
      <alignment horizontal="left" vertical="center" wrapText="1"/>
    </xf>
    <xf numFmtId="0" fontId="14" fillId="0" borderId="1" xfId="4" applyFont="1" applyFill="1" applyBorder="1" applyAlignment="1">
      <alignment horizontal="center"/>
    </xf>
    <xf numFmtId="0" fontId="14" fillId="0" borderId="1" xfId="4" applyFont="1" applyFill="1" applyBorder="1" applyAlignment="1">
      <alignment horizontal="center" wrapText="1"/>
    </xf>
    <xf numFmtId="0" fontId="11" fillId="0" borderId="0" xfId="4" applyFont="1" applyFill="1" applyBorder="1" applyAlignment="1">
      <alignment horizontal="center"/>
    </xf>
    <xf numFmtId="0" fontId="16" fillId="0" borderId="10" xfId="4" applyFont="1" applyFill="1" applyBorder="1" applyAlignment="1">
      <alignment horizontal="center" vertical="center"/>
    </xf>
    <xf numFmtId="0" fontId="16" fillId="0" borderId="20" xfId="4" applyFont="1" applyFill="1" applyBorder="1" applyAlignment="1">
      <alignment horizontal="center" vertical="center"/>
    </xf>
    <xf numFmtId="0" fontId="16" fillId="0" borderId="31" xfId="4" applyFont="1" applyFill="1" applyBorder="1" applyAlignment="1">
      <alignment horizontal="center" vertical="center"/>
    </xf>
    <xf numFmtId="0" fontId="16" fillId="0" borderId="10" xfId="4" applyFont="1" applyFill="1" applyBorder="1" applyAlignment="1">
      <alignment horizontal="center" vertical="center" wrapText="1"/>
    </xf>
    <xf numFmtId="0" fontId="16" fillId="0" borderId="20" xfId="4" applyFont="1" applyFill="1" applyBorder="1" applyAlignment="1">
      <alignment horizontal="center" vertical="center" wrapText="1"/>
    </xf>
    <xf numFmtId="0" fontId="14" fillId="0" borderId="11" xfId="6" applyFont="1" applyFill="1" applyBorder="1" applyAlignment="1">
      <alignment horizontal="center" vertical="center" wrapText="1"/>
    </xf>
    <xf numFmtId="0" fontId="14" fillId="0" borderId="21" xfId="6" applyFont="1" applyFill="1" applyBorder="1" applyAlignment="1">
      <alignment horizontal="center" vertical="center" wrapText="1"/>
    </xf>
    <xf numFmtId="0" fontId="14" fillId="0" borderId="24" xfId="6" applyFont="1" applyFill="1" applyBorder="1" applyAlignment="1">
      <alignment horizontal="center" vertical="center" wrapText="1"/>
    </xf>
    <xf numFmtId="0" fontId="14" fillId="0" borderId="12" xfId="6" applyFont="1" applyFill="1" applyBorder="1" applyAlignment="1">
      <alignment horizontal="center" vertical="center" wrapText="1"/>
    </xf>
    <xf numFmtId="0" fontId="14" fillId="0" borderId="13" xfId="6" applyFont="1" applyFill="1" applyBorder="1" applyAlignment="1">
      <alignment horizontal="center" vertical="center" wrapText="1"/>
    </xf>
    <xf numFmtId="0" fontId="14" fillId="0" borderId="14" xfId="6" applyFont="1" applyFill="1" applyBorder="1" applyAlignment="1">
      <alignment horizontal="center" vertical="center" wrapText="1"/>
    </xf>
    <xf numFmtId="0" fontId="14" fillId="0" borderId="15" xfId="6" applyFont="1" applyFill="1" applyBorder="1" applyAlignment="1">
      <alignment horizontal="center" vertical="center" wrapText="1"/>
    </xf>
    <xf numFmtId="0" fontId="14" fillId="0" borderId="28" xfId="6" applyFont="1" applyFill="1" applyBorder="1" applyAlignment="1">
      <alignment horizontal="center" vertical="center" wrapText="1"/>
    </xf>
    <xf numFmtId="0" fontId="14" fillId="0" borderId="30" xfId="6" applyFont="1" applyFill="1" applyBorder="1" applyAlignment="1">
      <alignment horizontal="center" vertical="center" wrapText="1"/>
    </xf>
    <xf numFmtId="0" fontId="14" fillId="0" borderId="16" xfId="6" applyFont="1" applyFill="1" applyBorder="1" applyAlignment="1">
      <alignment horizontal="center" vertical="center" wrapText="1"/>
    </xf>
    <xf numFmtId="0" fontId="14" fillId="0" borderId="25" xfId="6" applyFont="1" applyFill="1" applyBorder="1" applyAlignment="1">
      <alignment horizontal="center" vertical="center" wrapText="1"/>
    </xf>
    <xf numFmtId="0" fontId="14" fillId="0" borderId="32" xfId="6" applyFont="1" applyFill="1" applyBorder="1" applyAlignment="1">
      <alignment horizontal="center" vertical="center" wrapText="1"/>
    </xf>
    <xf numFmtId="0" fontId="14" fillId="0" borderId="17" xfId="6" applyFont="1" applyFill="1" applyBorder="1" applyAlignment="1">
      <alignment horizontal="center" vertical="center" wrapText="1"/>
    </xf>
    <xf numFmtId="0" fontId="14" fillId="0" borderId="26" xfId="6" applyFont="1" applyFill="1" applyBorder="1" applyAlignment="1">
      <alignment horizontal="center" vertical="center" wrapText="1"/>
    </xf>
    <xf numFmtId="0" fontId="14" fillId="0" borderId="33" xfId="6" applyFont="1" applyFill="1" applyBorder="1" applyAlignment="1">
      <alignment horizontal="center" vertical="center" wrapText="1"/>
    </xf>
    <xf numFmtId="0" fontId="11" fillId="0" borderId="10" xfId="4" applyFont="1" applyFill="1" applyBorder="1" applyAlignment="1">
      <alignment horizontal="center"/>
    </xf>
    <xf numFmtId="0" fontId="11" fillId="0" borderId="20" xfId="4" applyFont="1" applyFill="1" applyBorder="1" applyAlignment="1">
      <alignment horizontal="center"/>
    </xf>
    <xf numFmtId="0" fontId="11" fillId="0" borderId="50" xfId="4" applyFont="1" applyFill="1" applyBorder="1" applyAlignment="1">
      <alignment horizontal="center"/>
    </xf>
    <xf numFmtId="0" fontId="18" fillId="0" borderId="7" xfId="6" applyFont="1" applyFill="1" applyBorder="1" applyAlignment="1">
      <alignment horizontal="center" vertical="center"/>
    </xf>
    <xf numFmtId="0" fontId="18" fillId="0" borderId="8" xfId="6" applyFont="1" applyFill="1" applyBorder="1" applyAlignment="1">
      <alignment horizontal="center" vertical="center"/>
    </xf>
    <xf numFmtId="0" fontId="18" fillId="0" borderId="9" xfId="6" applyFont="1" applyFill="1" applyBorder="1" applyAlignment="1">
      <alignment horizontal="center" vertical="center"/>
    </xf>
    <xf numFmtId="0" fontId="14" fillId="0" borderId="18" xfId="6" applyFont="1" applyFill="1" applyBorder="1" applyAlignment="1">
      <alignment horizontal="center" vertical="center" wrapText="1"/>
    </xf>
    <xf numFmtId="0" fontId="14" fillId="0" borderId="27" xfId="6" applyFont="1" applyFill="1" applyBorder="1" applyAlignment="1">
      <alignment horizontal="center" vertical="center" wrapText="1"/>
    </xf>
    <xf numFmtId="0" fontId="14" fillId="0" borderId="34" xfId="6" applyFont="1" applyFill="1" applyBorder="1" applyAlignment="1">
      <alignment horizontal="center" vertical="center" wrapText="1"/>
    </xf>
    <xf numFmtId="0" fontId="18" fillId="0" borderId="15" xfId="6" applyFont="1" applyFill="1" applyBorder="1" applyAlignment="1">
      <alignment horizontal="center" vertical="center"/>
    </xf>
    <xf numFmtId="0" fontId="18" fillId="0" borderId="19" xfId="6" applyFont="1" applyFill="1" applyBorder="1" applyAlignment="1">
      <alignment horizontal="center" vertical="center"/>
    </xf>
    <xf numFmtId="0" fontId="18" fillId="0" borderId="11" xfId="6" applyFont="1" applyFill="1" applyBorder="1" applyAlignment="1">
      <alignment horizontal="center" vertical="center"/>
    </xf>
    <xf numFmtId="0" fontId="18" fillId="0" borderId="28" xfId="6" applyFont="1" applyFill="1" applyBorder="1" applyAlignment="1">
      <alignment horizontal="center" vertical="center"/>
    </xf>
    <xf numFmtId="0" fontId="18" fillId="0" borderId="29" xfId="6" applyFont="1" applyFill="1" applyBorder="1" applyAlignment="1">
      <alignment horizontal="center" vertical="center"/>
    </xf>
    <xf numFmtId="0" fontId="18" fillId="0" borderId="30" xfId="6" applyFont="1" applyFill="1" applyBorder="1" applyAlignment="1">
      <alignment horizontal="center" vertical="center"/>
    </xf>
    <xf numFmtId="0" fontId="14" fillId="0" borderId="6" xfId="6" applyFont="1" applyFill="1" applyBorder="1" applyAlignment="1">
      <alignment horizontal="center" vertical="center" wrapText="1"/>
    </xf>
    <xf numFmtId="0" fontId="14" fillId="0" borderId="1" xfId="6" applyFont="1" applyFill="1" applyBorder="1" applyAlignment="1">
      <alignment horizontal="center" vertical="center" wrapText="1"/>
    </xf>
    <xf numFmtId="0" fontId="14" fillId="0" borderId="22" xfId="6" applyFont="1" applyFill="1" applyBorder="1" applyAlignment="1">
      <alignment horizontal="center" vertical="center" wrapText="1"/>
    </xf>
    <xf numFmtId="0" fontId="14" fillId="0" borderId="23" xfId="6" applyFont="1" applyFill="1" applyBorder="1" applyAlignment="1">
      <alignment horizontal="center" vertical="center" wrapText="1"/>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0"/>
  <sheetViews>
    <sheetView topLeftCell="BY1"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137</v>
      </c>
      <c r="H1" t="s">
        <v>4</v>
      </c>
      <c r="I1" t="s">
        <v>5</v>
      </c>
      <c r="J1" t="s">
        <v>6</v>
      </c>
      <c r="K1" t="s">
        <v>138</v>
      </c>
      <c r="L1" t="s">
        <v>7</v>
      </c>
      <c r="M1" t="s">
        <v>8</v>
      </c>
      <c r="N1" t="s">
        <v>9</v>
      </c>
      <c r="O1" t="s">
        <v>139</v>
      </c>
      <c r="P1" t="s">
        <v>10</v>
      </c>
      <c r="Q1" t="s">
        <v>11</v>
      </c>
      <c r="R1" t="s">
        <v>12</v>
      </c>
      <c r="S1" t="s">
        <v>140</v>
      </c>
      <c r="T1" t="s">
        <v>13</v>
      </c>
      <c r="U1" t="s">
        <v>14</v>
      </c>
      <c r="V1" t="s">
        <v>15</v>
      </c>
      <c r="W1" t="s">
        <v>141</v>
      </c>
      <c r="X1" t="s">
        <v>16</v>
      </c>
      <c r="Y1" t="s">
        <v>17</v>
      </c>
      <c r="Z1" t="s">
        <v>18</v>
      </c>
      <c r="AA1" t="s">
        <v>142</v>
      </c>
      <c r="AB1" t="s">
        <v>19</v>
      </c>
      <c r="AC1" t="s">
        <v>20</v>
      </c>
      <c r="AD1" t="s">
        <v>21</v>
      </c>
      <c r="AE1" t="s">
        <v>143</v>
      </c>
      <c r="AF1" t="s">
        <v>22</v>
      </c>
      <c r="AG1" t="s">
        <v>23</v>
      </c>
      <c r="AH1" t="s">
        <v>24</v>
      </c>
      <c r="AI1" t="s">
        <v>144</v>
      </c>
      <c r="AJ1" t="s">
        <v>25</v>
      </c>
      <c r="AK1" t="s">
        <v>26</v>
      </c>
      <c r="AL1" t="s">
        <v>27</v>
      </c>
      <c r="AM1" t="s">
        <v>145</v>
      </c>
      <c r="AN1" t="s">
        <v>28</v>
      </c>
      <c r="AO1" t="s">
        <v>29</v>
      </c>
      <c r="AP1" t="s">
        <v>30</v>
      </c>
      <c r="AQ1" t="s">
        <v>146</v>
      </c>
      <c r="AR1" t="s">
        <v>31</v>
      </c>
      <c r="AS1" t="s">
        <v>32</v>
      </c>
      <c r="AT1" t="s">
        <v>33</v>
      </c>
      <c r="AU1" t="s">
        <v>147</v>
      </c>
      <c r="AV1" t="s">
        <v>34</v>
      </c>
      <c r="AW1" t="s">
        <v>35</v>
      </c>
      <c r="AX1" t="s">
        <v>36</v>
      </c>
      <c r="AY1" t="s">
        <v>148</v>
      </c>
      <c r="AZ1" t="s">
        <v>37</v>
      </c>
      <c r="BA1" t="s">
        <v>38</v>
      </c>
      <c r="BB1" t="s">
        <v>39</v>
      </c>
      <c r="BC1" t="s">
        <v>149</v>
      </c>
      <c r="BD1" t="s">
        <v>40</v>
      </c>
      <c r="BE1" t="s">
        <v>41</v>
      </c>
      <c r="BF1" t="s">
        <v>42</v>
      </c>
      <c r="BG1" t="s">
        <v>150</v>
      </c>
      <c r="BH1" t="s">
        <v>43</v>
      </c>
      <c r="BI1" t="s">
        <v>44</v>
      </c>
      <c r="BJ1" t="s">
        <v>45</v>
      </c>
      <c r="BK1" t="s">
        <v>151</v>
      </c>
      <c r="BL1" t="s">
        <v>46</v>
      </c>
      <c r="BM1" t="s">
        <v>47</v>
      </c>
      <c r="BN1" t="s">
        <v>48</v>
      </c>
      <c r="BO1" t="s">
        <v>152</v>
      </c>
      <c r="BP1" t="s">
        <v>49</v>
      </c>
      <c r="BQ1" t="s">
        <v>50</v>
      </c>
      <c r="BR1" t="s">
        <v>51</v>
      </c>
      <c r="BS1" t="s">
        <v>153</v>
      </c>
      <c r="BT1" t="s">
        <v>52</v>
      </c>
      <c r="BU1" t="s">
        <v>53</v>
      </c>
      <c r="BV1" t="s">
        <v>54</v>
      </c>
      <c r="BW1" t="s">
        <v>154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155</v>
      </c>
      <c r="CW1" t="s">
        <v>156</v>
      </c>
      <c r="CX1" t="s">
        <v>200</v>
      </c>
      <c r="CY1"/>
    </row>
    <row r="2" spans="1:103" x14ac:dyDescent="0.25">
      <c r="A2" t="s">
        <v>201</v>
      </c>
      <c r="B2" s="134">
        <v>45019</v>
      </c>
      <c r="C2" t="s">
        <v>202</v>
      </c>
      <c r="D2" t="s">
        <v>203</v>
      </c>
      <c r="E2" t="s">
        <v>204</v>
      </c>
      <c r="J2" t="s">
        <v>80</v>
      </c>
      <c r="K2">
        <v>215</v>
      </c>
      <c r="L2">
        <v>145</v>
      </c>
      <c r="M2">
        <v>31175</v>
      </c>
      <c r="P2">
        <v>0</v>
      </c>
      <c r="T2">
        <v>0</v>
      </c>
      <c r="X2">
        <v>0</v>
      </c>
      <c r="AB2">
        <v>0</v>
      </c>
      <c r="AF2">
        <v>0</v>
      </c>
      <c r="AH2" t="s">
        <v>94</v>
      </c>
      <c r="AI2">
        <v>80.67</v>
      </c>
      <c r="AJ2">
        <v>69</v>
      </c>
      <c r="AK2">
        <v>5566.23</v>
      </c>
      <c r="AN2">
        <v>0</v>
      </c>
      <c r="AR2">
        <v>0</v>
      </c>
      <c r="AV2">
        <v>0</v>
      </c>
      <c r="AZ2">
        <v>0</v>
      </c>
      <c r="BD2">
        <v>0</v>
      </c>
      <c r="BH2">
        <v>0</v>
      </c>
      <c r="BL2">
        <v>0</v>
      </c>
      <c r="BP2">
        <v>0</v>
      </c>
      <c r="BT2">
        <v>0</v>
      </c>
      <c r="BX2">
        <v>0</v>
      </c>
      <c r="BZ2">
        <v>636.27</v>
      </c>
      <c r="CA2">
        <v>37377.5</v>
      </c>
      <c r="CH2">
        <v>37377.5</v>
      </c>
      <c r="CM2">
        <v>37377.5</v>
      </c>
      <c r="CN2">
        <v>26000</v>
      </c>
      <c r="CO2">
        <v>63377.5</v>
      </c>
      <c r="CR2">
        <v>63377.5</v>
      </c>
      <c r="CS2">
        <v>1</v>
      </c>
      <c r="CT2" t="s">
        <v>205</v>
      </c>
      <c r="CU2" s="135">
        <v>63378</v>
      </c>
      <c r="CV2" t="s">
        <v>206</v>
      </c>
      <c r="CW2" t="s">
        <v>207</v>
      </c>
      <c r="CX2">
        <v>5000</v>
      </c>
    </row>
    <row r="3" spans="1:103" x14ac:dyDescent="0.25">
      <c r="A3" s="2"/>
      <c r="B3" s="55"/>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5"/>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6"/>
  <sheetViews>
    <sheetView topLeftCell="A16" workbookViewId="0">
      <selection activeCell="A19" sqref="A19"/>
    </sheetView>
  </sheetViews>
  <sheetFormatPr defaultRowHeight="15" x14ac:dyDescent="0.25"/>
  <cols>
    <col min="1" max="1" width="18"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5.28515625" bestFit="1" customWidth="1"/>
    <col min="14" max="14" width="7.85546875" style="30" customWidth="1"/>
    <col min="15" max="44" width="7.85546875" style="30" hidden="1" customWidth="1"/>
    <col min="45" max="45" width="7.85546875" style="30" customWidth="1"/>
    <col min="46" max="73" width="7.85546875" style="30" hidden="1" customWidth="1"/>
    <col min="74" max="74" width="8.140625" style="30" customWidth="1"/>
    <col min="75" max="75" width="10.42578125" style="30" customWidth="1"/>
    <col min="76" max="76" width="11.28515625" style="30" customWidth="1"/>
    <col min="77" max="77" width="10"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6" customFormat="1" ht="15.75" thickBot="1" x14ac:dyDescent="0.3"/>
    <row r="2" spans="1:89" s="46" customFormat="1" ht="23.25" thickBot="1" x14ac:dyDescent="0.5">
      <c r="A2" s="149" t="s">
        <v>159</v>
      </c>
      <c r="B2" s="150"/>
      <c r="C2" s="150"/>
      <c r="D2" s="150"/>
      <c r="E2" s="150"/>
      <c r="F2" s="150"/>
      <c r="G2" s="150"/>
      <c r="H2" s="150"/>
      <c r="I2" s="150"/>
      <c r="J2" s="150"/>
      <c r="K2" s="150"/>
      <c r="L2" s="150"/>
      <c r="M2" s="150"/>
      <c r="N2" s="150"/>
      <c r="O2" s="150"/>
      <c r="P2" s="150"/>
      <c r="Q2" s="150"/>
      <c r="R2" s="151"/>
      <c r="S2" s="52"/>
      <c r="T2" s="49"/>
    </row>
    <row r="3" spans="1:89" s="46" customFormat="1" ht="15.75" thickBot="1" x14ac:dyDescent="0.3">
      <c r="A3"/>
      <c r="B3"/>
      <c r="C3"/>
      <c r="D3"/>
      <c r="E3"/>
      <c r="F3"/>
      <c r="G3"/>
      <c r="H3"/>
      <c r="I3"/>
      <c r="J3"/>
      <c r="K3"/>
      <c r="L3"/>
      <c r="M3"/>
      <c r="N3"/>
      <c r="O3"/>
      <c r="P3"/>
      <c r="Q3"/>
      <c r="R3"/>
      <c r="S3"/>
    </row>
    <row r="4" spans="1:89" s="46" customFormat="1" ht="51.75" customHeight="1" thickBot="1" x14ac:dyDescent="0.3">
      <c r="A4" s="47" t="s">
        <v>125</v>
      </c>
      <c r="B4" s="145" t="s">
        <v>160</v>
      </c>
      <c r="C4" s="145"/>
      <c r="D4" s="145"/>
      <c r="E4" s="145"/>
      <c r="F4" s="145"/>
      <c r="G4" s="145"/>
      <c r="H4" s="145"/>
      <c r="I4" s="145"/>
      <c r="J4" s="145"/>
      <c r="K4" s="145"/>
      <c r="L4" s="145"/>
      <c r="M4" s="145"/>
      <c r="N4" s="145"/>
      <c r="O4" s="145"/>
      <c r="P4" s="145"/>
      <c r="Q4" s="145"/>
      <c r="R4" s="145"/>
      <c r="S4"/>
    </row>
    <row r="5" spans="1:89" s="46" customFormat="1" ht="34.5" customHeight="1" x14ac:dyDescent="0.25">
      <c r="A5" s="47" t="s">
        <v>126</v>
      </c>
      <c r="B5" s="144" t="s">
        <v>161</v>
      </c>
      <c r="C5" s="145"/>
      <c r="D5" s="145"/>
      <c r="E5" s="145"/>
      <c r="F5" s="145"/>
      <c r="G5" s="145"/>
      <c r="H5" s="145"/>
      <c r="I5" s="145"/>
      <c r="J5" s="145"/>
      <c r="K5" s="145"/>
      <c r="L5" s="145"/>
      <c r="M5" s="145"/>
      <c r="N5" s="145"/>
      <c r="O5" s="145"/>
      <c r="P5" s="145"/>
      <c r="Q5" s="145"/>
      <c r="R5" s="145"/>
      <c r="S5"/>
    </row>
    <row r="6" spans="1:89" s="46" customFormat="1" ht="48" customHeight="1" x14ac:dyDescent="0.25">
      <c r="A6" s="48" t="s">
        <v>127</v>
      </c>
      <c r="B6" s="144" t="s">
        <v>157</v>
      </c>
      <c r="C6" s="145"/>
      <c r="D6" s="145"/>
      <c r="E6" s="145"/>
      <c r="F6" s="145"/>
      <c r="G6" s="145"/>
      <c r="H6" s="145"/>
      <c r="I6" s="145"/>
      <c r="J6" s="145"/>
      <c r="K6" s="145"/>
      <c r="L6" s="145"/>
      <c r="M6" s="145"/>
      <c r="N6" s="145"/>
      <c r="O6" s="145"/>
      <c r="P6" s="145"/>
      <c r="Q6" s="145"/>
      <c r="R6" s="145"/>
      <c r="S6"/>
    </row>
    <row r="7" spans="1:89" s="46" customFormat="1" x14ac:dyDescent="0.25">
      <c r="A7" s="48" t="s">
        <v>124</v>
      </c>
      <c r="B7" s="144" t="s">
        <v>162</v>
      </c>
      <c r="C7" s="145"/>
      <c r="D7" s="145"/>
      <c r="E7" s="145"/>
      <c r="F7" s="145"/>
      <c r="G7" s="145"/>
      <c r="H7" s="145"/>
      <c r="I7" s="145"/>
      <c r="J7" s="145"/>
      <c r="K7" s="145"/>
      <c r="L7" s="145"/>
      <c r="M7" s="145"/>
      <c r="N7" s="145"/>
      <c r="O7" s="145"/>
      <c r="P7" s="145"/>
      <c r="Q7" s="145"/>
      <c r="R7" s="145"/>
      <c r="S7"/>
    </row>
    <row r="8" spans="1:89" s="46" customFormat="1" ht="35.25" customHeight="1" x14ac:dyDescent="0.25">
      <c r="A8" s="48" t="s">
        <v>128</v>
      </c>
      <c r="B8" s="144" t="s">
        <v>158</v>
      </c>
      <c r="C8" s="144"/>
      <c r="D8" s="144"/>
      <c r="E8" s="144"/>
      <c r="F8" s="144"/>
      <c r="G8" s="144"/>
      <c r="H8" s="144"/>
      <c r="I8" s="144"/>
      <c r="J8" s="144"/>
      <c r="K8" s="144"/>
      <c r="L8" s="144"/>
      <c r="M8" s="144"/>
      <c r="N8" s="144"/>
      <c r="O8" s="144"/>
      <c r="P8" s="144"/>
      <c r="Q8" s="144"/>
      <c r="R8" s="144"/>
      <c r="S8"/>
    </row>
    <row r="9" spans="1:89" s="46" customFormat="1" ht="39.75" customHeight="1" x14ac:dyDescent="0.25">
      <c r="A9" s="48" t="s">
        <v>129</v>
      </c>
      <c r="B9" s="146" t="s">
        <v>163</v>
      </c>
      <c r="C9" s="147"/>
      <c r="D9" s="147"/>
      <c r="E9" s="147"/>
      <c r="F9" s="147"/>
      <c r="G9" s="147"/>
      <c r="H9" s="147"/>
      <c r="I9" s="147"/>
      <c r="J9" s="147"/>
      <c r="K9" s="147"/>
      <c r="L9" s="147"/>
      <c r="M9" s="147"/>
      <c r="N9" s="147"/>
      <c r="O9" s="147"/>
      <c r="P9" s="147"/>
      <c r="Q9" s="147"/>
      <c r="R9" s="148"/>
    </row>
    <row r="10" spans="1:89" s="46" customFormat="1" ht="37.5" customHeight="1" x14ac:dyDescent="0.25">
      <c r="A10" s="48" t="s">
        <v>130</v>
      </c>
      <c r="B10" s="144" t="s">
        <v>164</v>
      </c>
      <c r="C10" s="144"/>
      <c r="D10" s="144"/>
      <c r="E10" s="144"/>
      <c r="F10" s="144"/>
      <c r="G10" s="144"/>
      <c r="H10" s="144"/>
      <c r="I10" s="144"/>
      <c r="J10" s="144"/>
      <c r="K10" s="144"/>
      <c r="L10" s="144"/>
      <c r="M10" s="144"/>
      <c r="N10" s="144"/>
      <c r="O10" s="144"/>
      <c r="P10" s="144"/>
      <c r="Q10" s="144"/>
      <c r="R10" s="144"/>
      <c r="S10"/>
    </row>
    <row r="11" spans="1:89" s="46" customFormat="1" ht="49.5" customHeight="1" x14ac:dyDescent="0.25">
      <c r="A11" s="48" t="s">
        <v>131</v>
      </c>
      <c r="B11" s="155" t="s">
        <v>165</v>
      </c>
      <c r="C11" s="156"/>
      <c r="D11" s="156"/>
      <c r="E11" s="156"/>
      <c r="F11" s="156"/>
      <c r="G11" s="156"/>
      <c r="H11" s="156"/>
      <c r="I11" s="156"/>
      <c r="J11" s="156"/>
      <c r="K11" s="156"/>
      <c r="L11" s="156"/>
      <c r="M11" s="156"/>
      <c r="N11" s="156"/>
      <c r="O11" s="156"/>
      <c r="P11" s="156"/>
      <c r="Q11" s="156"/>
      <c r="R11" s="157"/>
      <c r="S11"/>
    </row>
    <row r="12" spans="1:89" s="46" customFormat="1" ht="45" customHeight="1" x14ac:dyDescent="0.25">
      <c r="A12" s="53" t="s">
        <v>132</v>
      </c>
      <c r="B12" s="158" t="s">
        <v>167</v>
      </c>
      <c r="C12" s="158"/>
      <c r="D12" s="158"/>
      <c r="E12" s="158"/>
      <c r="F12" s="158"/>
      <c r="G12" s="158"/>
      <c r="H12" s="158"/>
      <c r="I12" s="158"/>
      <c r="J12" s="158"/>
      <c r="K12" s="158"/>
      <c r="L12" s="158"/>
      <c r="M12" s="158"/>
      <c r="N12" s="158"/>
      <c r="O12" s="158"/>
      <c r="P12" s="158"/>
      <c r="Q12" s="158"/>
      <c r="R12" s="158"/>
    </row>
    <row r="13" spans="1:89" s="46" customFormat="1" ht="24.75" customHeight="1" x14ac:dyDescent="0.25">
      <c r="A13" s="53" t="s">
        <v>133</v>
      </c>
      <c r="B13" s="158" t="s">
        <v>166</v>
      </c>
      <c r="C13" s="158"/>
      <c r="D13" s="158"/>
      <c r="E13" s="158"/>
      <c r="F13" s="158"/>
      <c r="G13" s="158"/>
      <c r="H13" s="158"/>
      <c r="I13" s="158"/>
      <c r="J13" s="158"/>
      <c r="K13" s="158"/>
      <c r="L13" s="158"/>
      <c r="M13" s="158"/>
      <c r="N13" s="158"/>
      <c r="O13" s="158"/>
      <c r="P13" s="158"/>
      <c r="Q13" s="158"/>
      <c r="R13" s="158"/>
    </row>
    <row r="14" spans="1:89" s="46" customFormat="1" ht="30" x14ac:dyDescent="0.25">
      <c r="A14" s="54" t="s">
        <v>134</v>
      </c>
      <c r="B14" s="158"/>
      <c r="C14" s="158"/>
      <c r="D14" s="158"/>
      <c r="E14" s="158"/>
      <c r="F14" s="158"/>
      <c r="G14" s="158"/>
      <c r="H14" s="158"/>
      <c r="I14" s="158"/>
      <c r="J14" s="158"/>
      <c r="K14" s="158"/>
      <c r="L14" s="158"/>
      <c r="M14" s="158"/>
      <c r="N14" s="158"/>
      <c r="O14" s="158"/>
      <c r="P14" s="158"/>
      <c r="Q14" s="158"/>
      <c r="R14" s="158"/>
    </row>
    <row r="16" spans="1:89" s="37" customFormat="1" ht="28.9" customHeight="1" x14ac:dyDescent="0.25">
      <c r="E16" s="43"/>
      <c r="H16" s="44"/>
      <c r="N16" s="154" t="str">
        <f>Sheet1!J1</f>
        <v>Conductor</v>
      </c>
      <c r="O16" s="154"/>
      <c r="P16" s="154"/>
      <c r="Q16" s="154"/>
      <c r="R16" s="154"/>
      <c r="S16" s="154" t="s">
        <v>9</v>
      </c>
      <c r="T16" s="154"/>
      <c r="U16" s="154" t="s">
        <v>3</v>
      </c>
      <c r="V16" s="154"/>
      <c r="W16" s="154"/>
      <c r="X16" s="154"/>
      <c r="Y16" s="154"/>
      <c r="Z16" s="154"/>
      <c r="AA16" s="154"/>
      <c r="AB16" s="154"/>
      <c r="AC16" s="154" t="s">
        <v>12</v>
      </c>
      <c r="AD16" s="154"/>
      <c r="AE16" s="154" t="s">
        <v>15</v>
      </c>
      <c r="AF16" s="154"/>
      <c r="AG16" s="154"/>
      <c r="AH16" s="154"/>
      <c r="AI16" s="154"/>
      <c r="AJ16" s="154"/>
      <c r="AK16" s="38" t="s">
        <v>18</v>
      </c>
      <c r="AL16" s="152" t="s">
        <v>21</v>
      </c>
      <c r="AM16" s="153"/>
      <c r="AN16" s="153"/>
      <c r="AO16" s="153"/>
      <c r="AP16" s="153"/>
      <c r="AQ16" s="153"/>
      <c r="AR16" s="153"/>
      <c r="AS16" s="154" t="s">
        <v>24</v>
      </c>
      <c r="AT16" s="154"/>
      <c r="AU16" s="154"/>
      <c r="AV16" s="154"/>
      <c r="AW16" s="154"/>
      <c r="AX16" s="154"/>
      <c r="AY16" s="154"/>
      <c r="AZ16" s="154"/>
      <c r="BA16" s="154"/>
      <c r="BB16" s="154"/>
      <c r="BC16" s="154" t="s">
        <v>27</v>
      </c>
      <c r="BD16" s="154"/>
      <c r="BE16" s="154"/>
      <c r="BF16" s="154"/>
      <c r="BG16" s="154"/>
      <c r="BH16" s="154"/>
      <c r="BI16" s="154"/>
      <c r="BJ16" s="154"/>
      <c r="BK16" s="154"/>
      <c r="BL16" s="154"/>
      <c r="BM16" s="39" t="s">
        <v>30</v>
      </c>
      <c r="BN16" s="38" t="s">
        <v>33</v>
      </c>
      <c r="BO16" s="38" t="s">
        <v>36</v>
      </c>
      <c r="BP16" s="38" t="s">
        <v>39</v>
      </c>
      <c r="BQ16" s="38" t="s">
        <v>42</v>
      </c>
      <c r="BR16" s="38" t="s">
        <v>45</v>
      </c>
      <c r="BS16" s="38" t="s">
        <v>48</v>
      </c>
      <c r="BT16" s="38" t="s">
        <v>51</v>
      </c>
      <c r="BU16" s="38" t="s">
        <v>54</v>
      </c>
      <c r="BV16" s="50"/>
      <c r="BW16" s="50"/>
      <c r="BX16" s="50"/>
      <c r="BY16" s="59"/>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8" t="str">
        <f>Sheet1!CV1</f>
        <v>DRUM CODE</v>
      </c>
      <c r="BX17" s="58" t="str">
        <f>Sheet1!CW1</f>
        <v>DRUM SIZE (FxbXtx Ft)</v>
      </c>
      <c r="BY17" s="58"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232</v>
      </c>
      <c r="O18" s="32"/>
      <c r="P18" s="32"/>
      <c r="Q18" s="32"/>
      <c r="R18" s="32"/>
      <c r="S18" s="32"/>
      <c r="T18" s="32"/>
      <c r="U18" s="33"/>
      <c r="V18" s="33"/>
      <c r="W18" s="33"/>
      <c r="X18" s="33"/>
      <c r="Y18" s="33"/>
      <c r="Z18" s="33"/>
      <c r="AA18" s="33"/>
      <c r="AB18" s="33"/>
      <c r="AC18" s="33"/>
      <c r="AD18" s="33"/>
      <c r="AE18" s="33"/>
      <c r="AF18" s="33"/>
      <c r="AG18" s="33"/>
      <c r="AH18" s="33"/>
      <c r="AI18" s="33"/>
      <c r="AJ18" s="33"/>
      <c r="AK18" s="34"/>
      <c r="AL18" s="33"/>
      <c r="AM18" s="33"/>
      <c r="AN18" s="33"/>
      <c r="AO18" s="33"/>
      <c r="AP18" s="33"/>
      <c r="AQ18" s="33"/>
      <c r="AR18" s="33"/>
      <c r="AS18" s="33">
        <v>79</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7"/>
      <c r="BW18" s="57"/>
      <c r="BX18" s="57"/>
      <c r="BY18" s="57"/>
      <c r="CD18" s="5"/>
      <c r="CE18" s="5"/>
      <c r="CF18" s="5"/>
      <c r="CG18" s="5"/>
      <c r="CH18" s="5"/>
      <c r="CI18" s="5"/>
      <c r="CJ18" s="5"/>
      <c r="CK18" s="5"/>
      <c r="CL18" s="5"/>
    </row>
    <row r="19" spans="1:90" ht="30" x14ac:dyDescent="0.25">
      <c r="A19" s="1" t="str">
        <f>Sheet1!A2</f>
        <v>ENQ-10176-22-23</v>
      </c>
      <c r="B19" s="56">
        <v>45038</v>
      </c>
      <c r="C19" s="1" t="str">
        <f>Sheet1!C2</f>
        <v>FC0700007</v>
      </c>
      <c r="D19" s="1" t="str">
        <f>Sheet1!D2</f>
        <v>ACSR : RABBIT CONDUCTOR - 50 SQ. MM. (6/1/3.35)</v>
      </c>
      <c r="E19" s="3">
        <f>CH19+CJ19+CL19</f>
        <v>44483.067199999998</v>
      </c>
      <c r="F19" s="141">
        <f>ROUNDUP(M22,0)</f>
        <v>408</v>
      </c>
      <c r="G19" s="9">
        <f>E19+F19</f>
        <v>44891.067199999998</v>
      </c>
      <c r="H19" s="7">
        <v>0.18</v>
      </c>
      <c r="I19" s="9">
        <f>G19*H19</f>
        <v>8080.3920959999996</v>
      </c>
      <c r="J19" s="9">
        <f>G19+I19</f>
        <v>52971.459296000001</v>
      </c>
      <c r="K19" s="1">
        <v>3000</v>
      </c>
      <c r="L19" s="1" t="str">
        <f>Sheet1!CT2</f>
        <v>KMS</v>
      </c>
      <c r="M19" s="3">
        <f>J19*K19</f>
        <v>158914377.88800001</v>
      </c>
      <c r="N19" s="2">
        <v>146</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2">
        <f>+IFERROR(VLOOKUP($AC$17,Sheet1!R2:U2,3,0),0)</f>
        <v>0</v>
      </c>
      <c r="AD19" s="15">
        <f>+IFERROR(VLOOKUP($AD$17,Sheet1!R2:U2,2,0),0)</f>
        <v>0</v>
      </c>
      <c r="AE19" s="2">
        <f>+IFERROR(VLOOKUP($AE$17,Sheet1!V2:Y2,3,0),0)</f>
        <v>0</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69</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
        <v>208</v>
      </c>
      <c r="BX19" s="15" t="s">
        <v>209</v>
      </c>
      <c r="BY19" s="15">
        <f>Sheet1!CX2</f>
        <v>5000</v>
      </c>
      <c r="BZ19" s="3">
        <f>3255/5</f>
        <v>651</v>
      </c>
      <c r="CA19" s="3">
        <f>SUMPRODUCT($N$18:$BU$18,N19:BU19)+BZ19</f>
        <v>39974</v>
      </c>
      <c r="CB19" s="27">
        <f>Sheet1!CB2</f>
        <v>0</v>
      </c>
      <c r="CC19" s="3">
        <f>CA19*CB19</f>
        <v>0</v>
      </c>
      <c r="CD19" s="51">
        <v>7.0000000000000007E-2</v>
      </c>
      <c r="CE19" s="3">
        <f>CA19*CD19</f>
        <v>2798.1800000000003</v>
      </c>
      <c r="CF19" s="51">
        <v>0</v>
      </c>
      <c r="CG19" s="3">
        <f>CA19*CF19</f>
        <v>0</v>
      </c>
      <c r="CH19" s="3">
        <f>CA19+CC19+CE19+CG19</f>
        <v>42772.18</v>
      </c>
      <c r="CI19" s="51">
        <v>0.02</v>
      </c>
      <c r="CJ19" s="1">
        <f>CH19*CI19</f>
        <v>855.44360000000006</v>
      </c>
      <c r="CK19" s="51">
        <v>0.02</v>
      </c>
      <c r="CL19" s="1">
        <f>CH19*CK19</f>
        <v>855.44360000000006</v>
      </c>
    </row>
    <row r="21" spans="1:90" ht="30" x14ac:dyDescent="0.25">
      <c r="E21" s="2" t="s">
        <v>210</v>
      </c>
      <c r="F21" s="2" t="s">
        <v>211</v>
      </c>
      <c r="G21" s="136" t="s">
        <v>212</v>
      </c>
      <c r="H21" s="45" t="s">
        <v>213</v>
      </c>
      <c r="I21" s="2" t="s">
        <v>214</v>
      </c>
      <c r="J21" s="2" t="s">
        <v>215</v>
      </c>
      <c r="K21" s="2" t="s">
        <v>216</v>
      </c>
      <c r="L21" s="2" t="s">
        <v>217</v>
      </c>
      <c r="M21" s="137" t="s">
        <v>218</v>
      </c>
    </row>
    <row r="22" spans="1:90" ht="30" x14ac:dyDescent="0.25">
      <c r="D22" s="30" t="str">
        <f>D19</f>
        <v>ACSR : RABBIT CONDUCTOR - 50 SQ. MM. (6/1/3.35)</v>
      </c>
      <c r="E22" s="136">
        <f>K19</f>
        <v>3000</v>
      </c>
      <c r="F22" s="138">
        <v>5</v>
      </c>
      <c r="G22" s="136" t="s">
        <v>219</v>
      </c>
      <c r="H22" s="139">
        <v>26000</v>
      </c>
      <c r="I22" s="138">
        <v>13</v>
      </c>
      <c r="J22" s="136">
        <f>F22*I22</f>
        <v>65</v>
      </c>
      <c r="K22" s="136">
        <f>ROUNDUP((E22/J22),0)</f>
        <v>47</v>
      </c>
      <c r="L22" s="136">
        <f>M22*E22</f>
        <v>1222000</v>
      </c>
      <c r="M22" s="140">
        <f>(H22*K22)/E22</f>
        <v>407.33333333333331</v>
      </c>
    </row>
    <row r="24" spans="1:90" x14ac:dyDescent="0.25">
      <c r="I24">
        <f>SUM(N19:AS19)*5</f>
        <v>1075</v>
      </c>
    </row>
    <row r="25" spans="1:90" x14ac:dyDescent="0.25">
      <c r="I25">
        <f>I24+125</f>
        <v>1200</v>
      </c>
    </row>
    <row r="26" spans="1:90" x14ac:dyDescent="0.25">
      <c r="I26">
        <f>16000/I25</f>
        <v>13.333333333333334</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H16"/>
  <sheetViews>
    <sheetView tabSelected="1" topLeftCell="A7" zoomScaleNormal="100" workbookViewId="0">
      <selection activeCell="A15" sqref="A15"/>
    </sheetView>
  </sheetViews>
  <sheetFormatPr defaultRowHeight="12.75" x14ac:dyDescent="0.2"/>
  <cols>
    <col min="1" max="1" width="41" style="64" customWidth="1"/>
    <col min="2" max="2" width="19.5703125" style="64" bestFit="1" customWidth="1"/>
    <col min="3" max="3" width="11.140625" style="64" customWidth="1"/>
    <col min="4" max="4" width="10.42578125" style="64" bestFit="1" customWidth="1"/>
    <col min="5" max="5" width="11.28515625" style="64" customWidth="1"/>
    <col min="6" max="6" width="10.85546875" style="64" customWidth="1"/>
    <col min="7" max="7" width="10.140625" style="64" bestFit="1" customWidth="1"/>
    <col min="8" max="8" width="8.42578125" style="64" bestFit="1" customWidth="1"/>
    <col min="9" max="9" width="9.140625" style="64"/>
    <col min="10" max="11" width="8.42578125" style="64" bestFit="1" customWidth="1"/>
    <col min="12" max="12" width="9.42578125" style="64" bestFit="1" customWidth="1"/>
    <col min="13" max="13" width="11" style="64" bestFit="1" customWidth="1"/>
    <col min="14" max="14" width="10.42578125" style="64" bestFit="1" customWidth="1"/>
    <col min="15" max="15" width="10.28515625" style="64" bestFit="1" customWidth="1"/>
    <col min="16" max="16" width="14.42578125" style="64" bestFit="1" customWidth="1"/>
    <col min="17" max="17" width="9.42578125" style="64" bestFit="1" customWidth="1"/>
    <col min="18" max="18" width="12" style="64" customWidth="1"/>
    <col min="19" max="19" width="13.5703125" style="64" bestFit="1" customWidth="1"/>
    <col min="20" max="21" width="13.140625" style="64" customWidth="1"/>
    <col min="22" max="22" width="11.5703125" style="64" bestFit="1" customWidth="1"/>
    <col min="23" max="23" width="12.140625" style="64" customWidth="1"/>
    <col min="24" max="24" width="7.7109375" style="64" customWidth="1"/>
    <col min="25" max="26" width="6.28515625" style="64" bestFit="1" customWidth="1"/>
    <col min="27" max="27" width="11.85546875" style="64" bestFit="1" customWidth="1"/>
    <col min="28" max="28" width="9.5703125" style="64" bestFit="1" customWidth="1"/>
    <col min="29" max="30" width="10.140625" style="64" bestFit="1" customWidth="1"/>
    <col min="31" max="31" width="10.5703125" style="64" bestFit="1" customWidth="1"/>
    <col min="32" max="32" width="9.5703125" style="64" customWidth="1"/>
    <col min="33" max="33" width="9.5703125" style="64" bestFit="1" customWidth="1"/>
    <col min="34" max="34" width="10.5703125" style="64" bestFit="1" customWidth="1"/>
    <col min="35" max="35" width="12.5703125" style="64" bestFit="1" customWidth="1"/>
    <col min="36" max="36" width="18" style="64" bestFit="1" customWidth="1"/>
    <col min="37" max="38" width="9.140625" style="64"/>
    <col min="39" max="39" width="9.5703125" style="64" bestFit="1" customWidth="1"/>
    <col min="40" max="254" width="9.140625" style="64"/>
    <col min="255" max="255" width="41" style="64" customWidth="1"/>
    <col min="256" max="256" width="19.5703125" style="64" bestFit="1" customWidth="1"/>
    <col min="257" max="257" width="10.140625" style="64" customWidth="1"/>
    <col min="258" max="258" width="10.42578125" style="64" bestFit="1" customWidth="1"/>
    <col min="259" max="259" width="11.28515625" style="64" customWidth="1"/>
    <col min="260" max="260" width="9.42578125" style="64" customWidth="1"/>
    <col min="261" max="261" width="10.140625" style="64" bestFit="1" customWidth="1"/>
    <col min="262" max="263" width="9.140625" style="64"/>
    <col min="264" max="264" width="7.28515625" style="64" customWidth="1"/>
    <col min="265" max="270" width="7.42578125" style="64" customWidth="1"/>
    <col min="271" max="271" width="9.42578125" style="64" bestFit="1" customWidth="1"/>
    <col min="272" max="272" width="12" style="64" bestFit="1" customWidth="1"/>
    <col min="273" max="274" width="12" style="64" customWidth="1"/>
    <col min="275" max="275" width="13.140625" style="64" bestFit="1" customWidth="1"/>
    <col min="276" max="277" width="13.140625" style="64" customWidth="1"/>
    <col min="278" max="279" width="14.42578125" style="64" bestFit="1" customWidth="1"/>
    <col min="280" max="281" width="9.140625" style="64" customWidth="1"/>
    <col min="282" max="282" width="9.5703125" style="64" customWidth="1"/>
    <col min="283" max="284" width="9.5703125" style="64" bestFit="1" customWidth="1"/>
    <col min="285" max="286" width="10.140625" style="64" bestFit="1" customWidth="1"/>
    <col min="287" max="287" width="9.5703125" style="64" bestFit="1" customWidth="1"/>
    <col min="288" max="288" width="9.5703125" style="64" customWidth="1"/>
    <col min="289" max="289" width="9" style="64" customWidth="1"/>
    <col min="290" max="290" width="10.5703125" style="64" bestFit="1" customWidth="1"/>
    <col min="291" max="291" width="11.42578125" style="64" bestFit="1" customWidth="1"/>
    <col min="292" max="292" width="18" style="64" bestFit="1" customWidth="1"/>
    <col min="293" max="510" width="9.140625" style="64"/>
    <col min="511" max="511" width="41" style="64" customWidth="1"/>
    <col min="512" max="512" width="19.5703125" style="64" bestFit="1" customWidth="1"/>
    <col min="513" max="513" width="10.140625" style="64" customWidth="1"/>
    <col min="514" max="514" width="10.42578125" style="64" bestFit="1" customWidth="1"/>
    <col min="515" max="515" width="11.28515625" style="64" customWidth="1"/>
    <col min="516" max="516" width="9.42578125" style="64" customWidth="1"/>
    <col min="517" max="517" width="10.140625" style="64" bestFit="1" customWidth="1"/>
    <col min="518" max="519" width="9.140625" style="64"/>
    <col min="520" max="520" width="7.28515625" style="64" customWidth="1"/>
    <col min="521" max="526" width="7.42578125" style="64" customWidth="1"/>
    <col min="527" max="527" width="9.42578125" style="64" bestFit="1" customWidth="1"/>
    <col min="528" max="528" width="12" style="64" bestFit="1" customWidth="1"/>
    <col min="529" max="530" width="12" style="64" customWidth="1"/>
    <col min="531" max="531" width="13.140625" style="64" bestFit="1" customWidth="1"/>
    <col min="532" max="533" width="13.140625" style="64" customWidth="1"/>
    <col min="534" max="535" width="14.42578125" style="64" bestFit="1" customWidth="1"/>
    <col min="536" max="537" width="9.140625" style="64" customWidth="1"/>
    <col min="538" max="538" width="9.5703125" style="64" customWidth="1"/>
    <col min="539" max="540" width="9.5703125" style="64" bestFit="1" customWidth="1"/>
    <col min="541" max="542" width="10.140625" style="64" bestFit="1" customWidth="1"/>
    <col min="543" max="543" width="9.5703125" style="64" bestFit="1" customWidth="1"/>
    <col min="544" max="544" width="9.5703125" style="64" customWidth="1"/>
    <col min="545" max="545" width="9" style="64" customWidth="1"/>
    <col min="546" max="546" width="10.5703125" style="64" bestFit="1" customWidth="1"/>
    <col min="547" max="547" width="11.42578125" style="64" bestFit="1" customWidth="1"/>
    <col min="548" max="548" width="18" style="64" bestFit="1" customWidth="1"/>
    <col min="549" max="766" width="9.140625" style="64"/>
    <col min="767" max="767" width="41" style="64" customWidth="1"/>
    <col min="768" max="768" width="19.5703125" style="64" bestFit="1" customWidth="1"/>
    <col min="769" max="769" width="10.140625" style="64" customWidth="1"/>
    <col min="770" max="770" width="10.42578125" style="64" bestFit="1" customWidth="1"/>
    <col min="771" max="771" width="11.28515625" style="64" customWidth="1"/>
    <col min="772" max="772" width="9.42578125" style="64" customWidth="1"/>
    <col min="773" max="773" width="10.140625" style="64" bestFit="1" customWidth="1"/>
    <col min="774" max="775" width="9.140625" style="64"/>
    <col min="776" max="776" width="7.28515625" style="64" customWidth="1"/>
    <col min="777" max="782" width="7.42578125" style="64" customWidth="1"/>
    <col min="783" max="783" width="9.42578125" style="64" bestFit="1" customWidth="1"/>
    <col min="784" max="784" width="12" style="64" bestFit="1" customWidth="1"/>
    <col min="785" max="786" width="12" style="64" customWidth="1"/>
    <col min="787" max="787" width="13.140625" style="64" bestFit="1" customWidth="1"/>
    <col min="788" max="789" width="13.140625" style="64" customWidth="1"/>
    <col min="790" max="791" width="14.42578125" style="64" bestFit="1" customWidth="1"/>
    <col min="792" max="793" width="9.140625" style="64" customWidth="1"/>
    <col min="794" max="794" width="9.5703125" style="64" customWidth="1"/>
    <col min="795" max="796" width="9.5703125" style="64" bestFit="1" customWidth="1"/>
    <col min="797" max="798" width="10.140625" style="64" bestFit="1" customWidth="1"/>
    <col min="799" max="799" width="9.5703125" style="64" bestFit="1" customWidth="1"/>
    <col min="800" max="800" width="9.5703125" style="64" customWidth="1"/>
    <col min="801" max="801" width="9" style="64" customWidth="1"/>
    <col min="802" max="802" width="10.5703125" style="64" bestFit="1" customWidth="1"/>
    <col min="803" max="803" width="11.42578125" style="64" bestFit="1" customWidth="1"/>
    <col min="804" max="804" width="18" style="64" bestFit="1" customWidth="1"/>
    <col min="805" max="1022" width="9.140625" style="64"/>
    <col min="1023" max="1023" width="41" style="64" customWidth="1"/>
    <col min="1024" max="1024" width="19.5703125" style="64" bestFit="1" customWidth="1"/>
    <col min="1025" max="1025" width="10.140625" style="64" customWidth="1"/>
    <col min="1026" max="1026" width="10.42578125" style="64" bestFit="1" customWidth="1"/>
    <col min="1027" max="1027" width="11.28515625" style="64" customWidth="1"/>
    <col min="1028" max="1028" width="9.42578125" style="64" customWidth="1"/>
    <col min="1029" max="1029" width="10.140625" style="64" bestFit="1" customWidth="1"/>
    <col min="1030" max="1031" width="9.140625" style="64"/>
    <col min="1032" max="1032" width="7.28515625" style="64" customWidth="1"/>
    <col min="1033" max="1038" width="7.42578125" style="64" customWidth="1"/>
    <col min="1039" max="1039" width="9.42578125" style="64" bestFit="1" customWidth="1"/>
    <col min="1040" max="1040" width="12" style="64" bestFit="1" customWidth="1"/>
    <col min="1041" max="1042" width="12" style="64" customWidth="1"/>
    <col min="1043" max="1043" width="13.140625" style="64" bestFit="1" customWidth="1"/>
    <col min="1044" max="1045" width="13.140625" style="64" customWidth="1"/>
    <col min="1046" max="1047" width="14.42578125" style="64" bestFit="1" customWidth="1"/>
    <col min="1048" max="1049" width="9.140625" style="64" customWidth="1"/>
    <col min="1050" max="1050" width="9.5703125" style="64" customWidth="1"/>
    <col min="1051" max="1052" width="9.5703125" style="64" bestFit="1" customWidth="1"/>
    <col min="1053" max="1054" width="10.140625" style="64" bestFit="1" customWidth="1"/>
    <col min="1055" max="1055" width="9.5703125" style="64" bestFit="1" customWidth="1"/>
    <col min="1056" max="1056" width="9.5703125" style="64" customWidth="1"/>
    <col min="1057" max="1057" width="9" style="64" customWidth="1"/>
    <col min="1058" max="1058" width="10.5703125" style="64" bestFit="1" customWidth="1"/>
    <col min="1059" max="1059" width="11.42578125" style="64" bestFit="1" customWidth="1"/>
    <col min="1060" max="1060" width="18" style="64" bestFit="1" customWidth="1"/>
    <col min="1061" max="1278" width="9.140625" style="64"/>
    <col min="1279" max="1279" width="41" style="64" customWidth="1"/>
    <col min="1280" max="1280" width="19.5703125" style="64" bestFit="1" customWidth="1"/>
    <col min="1281" max="1281" width="10.140625" style="64" customWidth="1"/>
    <col min="1282" max="1282" width="10.42578125" style="64" bestFit="1" customWidth="1"/>
    <col min="1283" max="1283" width="11.28515625" style="64" customWidth="1"/>
    <col min="1284" max="1284" width="9.42578125" style="64" customWidth="1"/>
    <col min="1285" max="1285" width="10.140625" style="64" bestFit="1" customWidth="1"/>
    <col min="1286" max="1287" width="9.140625" style="64"/>
    <col min="1288" max="1288" width="7.28515625" style="64" customWidth="1"/>
    <col min="1289" max="1294" width="7.42578125" style="64" customWidth="1"/>
    <col min="1295" max="1295" width="9.42578125" style="64" bestFit="1" customWidth="1"/>
    <col min="1296" max="1296" width="12" style="64" bestFit="1" customWidth="1"/>
    <col min="1297" max="1298" width="12" style="64" customWidth="1"/>
    <col min="1299" max="1299" width="13.140625" style="64" bestFit="1" customWidth="1"/>
    <col min="1300" max="1301" width="13.140625" style="64" customWidth="1"/>
    <col min="1302" max="1303" width="14.42578125" style="64" bestFit="1" customWidth="1"/>
    <col min="1304" max="1305" width="9.140625" style="64" customWidth="1"/>
    <col min="1306" max="1306" width="9.5703125" style="64" customWidth="1"/>
    <col min="1307" max="1308" width="9.5703125" style="64" bestFit="1" customWidth="1"/>
    <col min="1309" max="1310" width="10.140625" style="64" bestFit="1" customWidth="1"/>
    <col min="1311" max="1311" width="9.5703125" style="64" bestFit="1" customWidth="1"/>
    <col min="1312" max="1312" width="9.5703125" style="64" customWidth="1"/>
    <col min="1313" max="1313" width="9" style="64" customWidth="1"/>
    <col min="1314" max="1314" width="10.5703125" style="64" bestFit="1" customWidth="1"/>
    <col min="1315" max="1315" width="11.42578125" style="64" bestFit="1" customWidth="1"/>
    <col min="1316" max="1316" width="18" style="64" bestFit="1" customWidth="1"/>
    <col min="1317" max="1534" width="9.140625" style="64"/>
    <col min="1535" max="1535" width="41" style="64" customWidth="1"/>
    <col min="1536" max="1536" width="19.5703125" style="64" bestFit="1" customWidth="1"/>
    <col min="1537" max="1537" width="10.140625" style="64" customWidth="1"/>
    <col min="1538" max="1538" width="10.42578125" style="64" bestFit="1" customWidth="1"/>
    <col min="1539" max="1539" width="11.28515625" style="64" customWidth="1"/>
    <col min="1540" max="1540" width="9.42578125" style="64" customWidth="1"/>
    <col min="1541" max="1541" width="10.140625" style="64" bestFit="1" customWidth="1"/>
    <col min="1542" max="1543" width="9.140625" style="64"/>
    <col min="1544" max="1544" width="7.28515625" style="64" customWidth="1"/>
    <col min="1545" max="1550" width="7.42578125" style="64" customWidth="1"/>
    <col min="1551" max="1551" width="9.42578125" style="64" bestFit="1" customWidth="1"/>
    <col min="1552" max="1552" width="12" style="64" bestFit="1" customWidth="1"/>
    <col min="1553" max="1554" width="12" style="64" customWidth="1"/>
    <col min="1555" max="1555" width="13.140625" style="64" bestFit="1" customWidth="1"/>
    <col min="1556" max="1557" width="13.140625" style="64" customWidth="1"/>
    <col min="1558" max="1559" width="14.42578125" style="64" bestFit="1" customWidth="1"/>
    <col min="1560" max="1561" width="9.140625" style="64" customWidth="1"/>
    <col min="1562" max="1562" width="9.5703125" style="64" customWidth="1"/>
    <col min="1563" max="1564" width="9.5703125" style="64" bestFit="1" customWidth="1"/>
    <col min="1565" max="1566" width="10.140625" style="64" bestFit="1" customWidth="1"/>
    <col min="1567" max="1567" width="9.5703125" style="64" bestFit="1" customWidth="1"/>
    <col min="1568" max="1568" width="9.5703125" style="64" customWidth="1"/>
    <col min="1569" max="1569" width="9" style="64" customWidth="1"/>
    <col min="1570" max="1570" width="10.5703125" style="64" bestFit="1" customWidth="1"/>
    <col min="1571" max="1571" width="11.42578125" style="64" bestFit="1" customWidth="1"/>
    <col min="1572" max="1572" width="18" style="64" bestFit="1" customWidth="1"/>
    <col min="1573" max="1790" width="9.140625" style="64"/>
    <col min="1791" max="1791" width="41" style="64" customWidth="1"/>
    <col min="1792" max="1792" width="19.5703125" style="64" bestFit="1" customWidth="1"/>
    <col min="1793" max="1793" width="10.140625" style="64" customWidth="1"/>
    <col min="1794" max="1794" width="10.42578125" style="64" bestFit="1" customWidth="1"/>
    <col min="1795" max="1795" width="11.28515625" style="64" customWidth="1"/>
    <col min="1796" max="1796" width="9.42578125" style="64" customWidth="1"/>
    <col min="1797" max="1797" width="10.140625" style="64" bestFit="1" customWidth="1"/>
    <col min="1798" max="1799" width="9.140625" style="64"/>
    <col min="1800" max="1800" width="7.28515625" style="64" customWidth="1"/>
    <col min="1801" max="1806" width="7.42578125" style="64" customWidth="1"/>
    <col min="1807" max="1807" width="9.42578125" style="64" bestFit="1" customWidth="1"/>
    <col min="1808" max="1808" width="12" style="64" bestFit="1" customWidth="1"/>
    <col min="1809" max="1810" width="12" style="64" customWidth="1"/>
    <col min="1811" max="1811" width="13.140625" style="64" bestFit="1" customWidth="1"/>
    <col min="1812" max="1813" width="13.140625" style="64" customWidth="1"/>
    <col min="1814" max="1815" width="14.42578125" style="64" bestFit="1" customWidth="1"/>
    <col min="1816" max="1817" width="9.140625" style="64" customWidth="1"/>
    <col min="1818" max="1818" width="9.5703125" style="64" customWidth="1"/>
    <col min="1819" max="1820" width="9.5703125" style="64" bestFit="1" customWidth="1"/>
    <col min="1821" max="1822" width="10.140625" style="64" bestFit="1" customWidth="1"/>
    <col min="1823" max="1823" width="9.5703125" style="64" bestFit="1" customWidth="1"/>
    <col min="1824" max="1824" width="9.5703125" style="64" customWidth="1"/>
    <col min="1825" max="1825" width="9" style="64" customWidth="1"/>
    <col min="1826" max="1826" width="10.5703125" style="64" bestFit="1" customWidth="1"/>
    <col min="1827" max="1827" width="11.42578125" style="64" bestFit="1" customWidth="1"/>
    <col min="1828" max="1828" width="18" style="64" bestFit="1" customWidth="1"/>
    <col min="1829" max="2046" width="9.140625" style="64"/>
    <col min="2047" max="2047" width="41" style="64" customWidth="1"/>
    <col min="2048" max="2048" width="19.5703125" style="64" bestFit="1" customWidth="1"/>
    <col min="2049" max="2049" width="10.140625" style="64" customWidth="1"/>
    <col min="2050" max="2050" width="10.42578125" style="64" bestFit="1" customWidth="1"/>
    <col min="2051" max="2051" width="11.28515625" style="64" customWidth="1"/>
    <col min="2052" max="2052" width="9.42578125" style="64" customWidth="1"/>
    <col min="2053" max="2053" width="10.140625" style="64" bestFit="1" customWidth="1"/>
    <col min="2054" max="2055" width="9.140625" style="64"/>
    <col min="2056" max="2056" width="7.28515625" style="64" customWidth="1"/>
    <col min="2057" max="2062" width="7.42578125" style="64" customWidth="1"/>
    <col min="2063" max="2063" width="9.42578125" style="64" bestFit="1" customWidth="1"/>
    <col min="2064" max="2064" width="12" style="64" bestFit="1" customWidth="1"/>
    <col min="2065" max="2066" width="12" style="64" customWidth="1"/>
    <col min="2067" max="2067" width="13.140625" style="64" bestFit="1" customWidth="1"/>
    <col min="2068" max="2069" width="13.140625" style="64" customWidth="1"/>
    <col min="2070" max="2071" width="14.42578125" style="64" bestFit="1" customWidth="1"/>
    <col min="2072" max="2073" width="9.140625" style="64" customWidth="1"/>
    <col min="2074" max="2074" width="9.5703125" style="64" customWidth="1"/>
    <col min="2075" max="2076" width="9.5703125" style="64" bestFit="1" customWidth="1"/>
    <col min="2077" max="2078" width="10.140625" style="64" bestFit="1" customWidth="1"/>
    <col min="2079" max="2079" width="9.5703125" style="64" bestFit="1" customWidth="1"/>
    <col min="2080" max="2080" width="9.5703125" style="64" customWidth="1"/>
    <col min="2081" max="2081" width="9" style="64" customWidth="1"/>
    <col min="2082" max="2082" width="10.5703125" style="64" bestFit="1" customWidth="1"/>
    <col min="2083" max="2083" width="11.42578125" style="64" bestFit="1" customWidth="1"/>
    <col min="2084" max="2084" width="18" style="64" bestFit="1" customWidth="1"/>
    <col min="2085" max="2302" width="9.140625" style="64"/>
    <col min="2303" max="2303" width="41" style="64" customWidth="1"/>
    <col min="2304" max="2304" width="19.5703125" style="64" bestFit="1" customWidth="1"/>
    <col min="2305" max="2305" width="10.140625" style="64" customWidth="1"/>
    <col min="2306" max="2306" width="10.42578125" style="64" bestFit="1" customWidth="1"/>
    <col min="2307" max="2307" width="11.28515625" style="64" customWidth="1"/>
    <col min="2308" max="2308" width="9.42578125" style="64" customWidth="1"/>
    <col min="2309" max="2309" width="10.140625" style="64" bestFit="1" customWidth="1"/>
    <col min="2310" max="2311" width="9.140625" style="64"/>
    <col min="2312" max="2312" width="7.28515625" style="64" customWidth="1"/>
    <col min="2313" max="2318" width="7.42578125" style="64" customWidth="1"/>
    <col min="2319" max="2319" width="9.42578125" style="64" bestFit="1" customWidth="1"/>
    <col min="2320" max="2320" width="12" style="64" bestFit="1" customWidth="1"/>
    <col min="2321" max="2322" width="12" style="64" customWidth="1"/>
    <col min="2323" max="2323" width="13.140625" style="64" bestFit="1" customWidth="1"/>
    <col min="2324" max="2325" width="13.140625" style="64" customWidth="1"/>
    <col min="2326" max="2327" width="14.42578125" style="64" bestFit="1" customWidth="1"/>
    <col min="2328" max="2329" width="9.140625" style="64" customWidth="1"/>
    <col min="2330" max="2330" width="9.5703125" style="64" customWidth="1"/>
    <col min="2331" max="2332" width="9.5703125" style="64" bestFit="1" customWidth="1"/>
    <col min="2333" max="2334" width="10.140625" style="64" bestFit="1" customWidth="1"/>
    <col min="2335" max="2335" width="9.5703125" style="64" bestFit="1" customWidth="1"/>
    <col min="2336" max="2336" width="9.5703125" style="64" customWidth="1"/>
    <col min="2337" max="2337" width="9" style="64" customWidth="1"/>
    <col min="2338" max="2338" width="10.5703125" style="64" bestFit="1" customWidth="1"/>
    <col min="2339" max="2339" width="11.42578125" style="64" bestFit="1" customWidth="1"/>
    <col min="2340" max="2340" width="18" style="64" bestFit="1" customWidth="1"/>
    <col min="2341" max="2558" width="9.140625" style="64"/>
    <col min="2559" max="2559" width="41" style="64" customWidth="1"/>
    <col min="2560" max="2560" width="19.5703125" style="64" bestFit="1" customWidth="1"/>
    <col min="2561" max="2561" width="10.140625" style="64" customWidth="1"/>
    <col min="2562" max="2562" width="10.42578125" style="64" bestFit="1" customWidth="1"/>
    <col min="2563" max="2563" width="11.28515625" style="64" customWidth="1"/>
    <col min="2564" max="2564" width="9.42578125" style="64" customWidth="1"/>
    <col min="2565" max="2565" width="10.140625" style="64" bestFit="1" customWidth="1"/>
    <col min="2566" max="2567" width="9.140625" style="64"/>
    <col min="2568" max="2568" width="7.28515625" style="64" customWidth="1"/>
    <col min="2569" max="2574" width="7.42578125" style="64" customWidth="1"/>
    <col min="2575" max="2575" width="9.42578125" style="64" bestFit="1" customWidth="1"/>
    <col min="2576" max="2576" width="12" style="64" bestFit="1" customWidth="1"/>
    <col min="2577" max="2578" width="12" style="64" customWidth="1"/>
    <col min="2579" max="2579" width="13.140625" style="64" bestFit="1" customWidth="1"/>
    <col min="2580" max="2581" width="13.140625" style="64" customWidth="1"/>
    <col min="2582" max="2583" width="14.42578125" style="64" bestFit="1" customWidth="1"/>
    <col min="2584" max="2585" width="9.140625" style="64" customWidth="1"/>
    <col min="2586" max="2586" width="9.5703125" style="64" customWidth="1"/>
    <col min="2587" max="2588" width="9.5703125" style="64" bestFit="1" customWidth="1"/>
    <col min="2589" max="2590" width="10.140625" style="64" bestFit="1" customWidth="1"/>
    <col min="2591" max="2591" width="9.5703125" style="64" bestFit="1" customWidth="1"/>
    <col min="2592" max="2592" width="9.5703125" style="64" customWidth="1"/>
    <col min="2593" max="2593" width="9" style="64" customWidth="1"/>
    <col min="2594" max="2594" width="10.5703125" style="64" bestFit="1" customWidth="1"/>
    <col min="2595" max="2595" width="11.42578125" style="64" bestFit="1" customWidth="1"/>
    <col min="2596" max="2596" width="18" style="64" bestFit="1" customWidth="1"/>
    <col min="2597" max="2814" width="9.140625" style="64"/>
    <col min="2815" max="2815" width="41" style="64" customWidth="1"/>
    <col min="2816" max="2816" width="19.5703125" style="64" bestFit="1" customWidth="1"/>
    <col min="2817" max="2817" width="10.140625" style="64" customWidth="1"/>
    <col min="2818" max="2818" width="10.42578125" style="64" bestFit="1" customWidth="1"/>
    <col min="2819" max="2819" width="11.28515625" style="64" customWidth="1"/>
    <col min="2820" max="2820" width="9.42578125" style="64" customWidth="1"/>
    <col min="2821" max="2821" width="10.140625" style="64" bestFit="1" customWidth="1"/>
    <col min="2822" max="2823" width="9.140625" style="64"/>
    <col min="2824" max="2824" width="7.28515625" style="64" customWidth="1"/>
    <col min="2825" max="2830" width="7.42578125" style="64" customWidth="1"/>
    <col min="2831" max="2831" width="9.42578125" style="64" bestFit="1" customWidth="1"/>
    <col min="2832" max="2832" width="12" style="64" bestFit="1" customWidth="1"/>
    <col min="2833" max="2834" width="12" style="64" customWidth="1"/>
    <col min="2835" max="2835" width="13.140625" style="64" bestFit="1" customWidth="1"/>
    <col min="2836" max="2837" width="13.140625" style="64" customWidth="1"/>
    <col min="2838" max="2839" width="14.42578125" style="64" bestFit="1" customWidth="1"/>
    <col min="2840" max="2841" width="9.140625" style="64" customWidth="1"/>
    <col min="2842" max="2842" width="9.5703125" style="64" customWidth="1"/>
    <col min="2843" max="2844" width="9.5703125" style="64" bestFit="1" customWidth="1"/>
    <col min="2845" max="2846" width="10.140625" style="64" bestFit="1" customWidth="1"/>
    <col min="2847" max="2847" width="9.5703125" style="64" bestFit="1" customWidth="1"/>
    <col min="2848" max="2848" width="9.5703125" style="64" customWidth="1"/>
    <col min="2849" max="2849" width="9" style="64" customWidth="1"/>
    <col min="2850" max="2850" width="10.5703125" style="64" bestFit="1" customWidth="1"/>
    <col min="2851" max="2851" width="11.42578125" style="64" bestFit="1" customWidth="1"/>
    <col min="2852" max="2852" width="18" style="64" bestFit="1" customWidth="1"/>
    <col min="2853" max="3070" width="9.140625" style="64"/>
    <col min="3071" max="3071" width="41" style="64" customWidth="1"/>
    <col min="3072" max="3072" width="19.5703125" style="64" bestFit="1" customWidth="1"/>
    <col min="3073" max="3073" width="10.140625" style="64" customWidth="1"/>
    <col min="3074" max="3074" width="10.42578125" style="64" bestFit="1" customWidth="1"/>
    <col min="3075" max="3075" width="11.28515625" style="64" customWidth="1"/>
    <col min="3076" max="3076" width="9.42578125" style="64" customWidth="1"/>
    <col min="3077" max="3077" width="10.140625" style="64" bestFit="1" customWidth="1"/>
    <col min="3078" max="3079" width="9.140625" style="64"/>
    <col min="3080" max="3080" width="7.28515625" style="64" customWidth="1"/>
    <col min="3081" max="3086" width="7.42578125" style="64" customWidth="1"/>
    <col min="3087" max="3087" width="9.42578125" style="64" bestFit="1" customWidth="1"/>
    <col min="3088" max="3088" width="12" style="64" bestFit="1" customWidth="1"/>
    <col min="3089" max="3090" width="12" style="64" customWidth="1"/>
    <col min="3091" max="3091" width="13.140625" style="64" bestFit="1" customWidth="1"/>
    <col min="3092" max="3093" width="13.140625" style="64" customWidth="1"/>
    <col min="3094" max="3095" width="14.42578125" style="64" bestFit="1" customWidth="1"/>
    <col min="3096" max="3097" width="9.140625" style="64" customWidth="1"/>
    <col min="3098" max="3098" width="9.5703125" style="64" customWidth="1"/>
    <col min="3099" max="3100" width="9.5703125" style="64" bestFit="1" customWidth="1"/>
    <col min="3101" max="3102" width="10.140625" style="64" bestFit="1" customWidth="1"/>
    <col min="3103" max="3103" width="9.5703125" style="64" bestFit="1" customWidth="1"/>
    <col min="3104" max="3104" width="9.5703125" style="64" customWidth="1"/>
    <col min="3105" max="3105" width="9" style="64" customWidth="1"/>
    <col min="3106" max="3106" width="10.5703125" style="64" bestFit="1" customWidth="1"/>
    <col min="3107" max="3107" width="11.42578125" style="64" bestFit="1" customWidth="1"/>
    <col min="3108" max="3108" width="18" style="64" bestFit="1" customWidth="1"/>
    <col min="3109" max="3326" width="9.140625" style="64"/>
    <col min="3327" max="3327" width="41" style="64" customWidth="1"/>
    <col min="3328" max="3328" width="19.5703125" style="64" bestFit="1" customWidth="1"/>
    <col min="3329" max="3329" width="10.140625" style="64" customWidth="1"/>
    <col min="3330" max="3330" width="10.42578125" style="64" bestFit="1" customWidth="1"/>
    <col min="3331" max="3331" width="11.28515625" style="64" customWidth="1"/>
    <col min="3332" max="3332" width="9.42578125" style="64" customWidth="1"/>
    <col min="3333" max="3333" width="10.140625" style="64" bestFit="1" customWidth="1"/>
    <col min="3334" max="3335" width="9.140625" style="64"/>
    <col min="3336" max="3336" width="7.28515625" style="64" customWidth="1"/>
    <col min="3337" max="3342" width="7.42578125" style="64" customWidth="1"/>
    <col min="3343" max="3343" width="9.42578125" style="64" bestFit="1" customWidth="1"/>
    <col min="3344" max="3344" width="12" style="64" bestFit="1" customWidth="1"/>
    <col min="3345" max="3346" width="12" style="64" customWidth="1"/>
    <col min="3347" max="3347" width="13.140625" style="64" bestFit="1" customWidth="1"/>
    <col min="3348" max="3349" width="13.140625" style="64" customWidth="1"/>
    <col min="3350" max="3351" width="14.42578125" style="64" bestFit="1" customWidth="1"/>
    <col min="3352" max="3353" width="9.140625" style="64" customWidth="1"/>
    <col min="3354" max="3354" width="9.5703125" style="64" customWidth="1"/>
    <col min="3355" max="3356" width="9.5703125" style="64" bestFit="1" customWidth="1"/>
    <col min="3357" max="3358" width="10.140625" style="64" bestFit="1" customWidth="1"/>
    <col min="3359" max="3359" width="9.5703125" style="64" bestFit="1" customWidth="1"/>
    <col min="3360" max="3360" width="9.5703125" style="64" customWidth="1"/>
    <col min="3361" max="3361" width="9" style="64" customWidth="1"/>
    <col min="3362" max="3362" width="10.5703125" style="64" bestFit="1" customWidth="1"/>
    <col min="3363" max="3363" width="11.42578125" style="64" bestFit="1" customWidth="1"/>
    <col min="3364" max="3364" width="18" style="64" bestFit="1" customWidth="1"/>
    <col min="3365" max="3582" width="9.140625" style="64"/>
    <col min="3583" max="3583" width="41" style="64" customWidth="1"/>
    <col min="3584" max="3584" width="19.5703125" style="64" bestFit="1" customWidth="1"/>
    <col min="3585" max="3585" width="10.140625" style="64" customWidth="1"/>
    <col min="3586" max="3586" width="10.42578125" style="64" bestFit="1" customWidth="1"/>
    <col min="3587" max="3587" width="11.28515625" style="64" customWidth="1"/>
    <col min="3588" max="3588" width="9.42578125" style="64" customWidth="1"/>
    <col min="3589" max="3589" width="10.140625" style="64" bestFit="1" customWidth="1"/>
    <col min="3590" max="3591" width="9.140625" style="64"/>
    <col min="3592" max="3592" width="7.28515625" style="64" customWidth="1"/>
    <col min="3593" max="3598" width="7.42578125" style="64" customWidth="1"/>
    <col min="3599" max="3599" width="9.42578125" style="64" bestFit="1" customWidth="1"/>
    <col min="3600" max="3600" width="12" style="64" bestFit="1" customWidth="1"/>
    <col min="3601" max="3602" width="12" style="64" customWidth="1"/>
    <col min="3603" max="3603" width="13.140625" style="64" bestFit="1" customWidth="1"/>
    <col min="3604" max="3605" width="13.140625" style="64" customWidth="1"/>
    <col min="3606" max="3607" width="14.42578125" style="64" bestFit="1" customWidth="1"/>
    <col min="3608" max="3609" width="9.140625" style="64" customWidth="1"/>
    <col min="3610" max="3610" width="9.5703125" style="64" customWidth="1"/>
    <col min="3611" max="3612" width="9.5703125" style="64" bestFit="1" customWidth="1"/>
    <col min="3613" max="3614" width="10.140625" style="64" bestFit="1" customWidth="1"/>
    <col min="3615" max="3615" width="9.5703125" style="64" bestFit="1" customWidth="1"/>
    <col min="3616" max="3616" width="9.5703125" style="64" customWidth="1"/>
    <col min="3617" max="3617" width="9" style="64" customWidth="1"/>
    <col min="3618" max="3618" width="10.5703125" style="64" bestFit="1" customWidth="1"/>
    <col min="3619" max="3619" width="11.42578125" style="64" bestFit="1" customWidth="1"/>
    <col min="3620" max="3620" width="18" style="64" bestFit="1" customWidth="1"/>
    <col min="3621" max="3838" width="9.140625" style="64"/>
    <col min="3839" max="3839" width="41" style="64" customWidth="1"/>
    <col min="3840" max="3840" width="19.5703125" style="64" bestFit="1" customWidth="1"/>
    <col min="3841" max="3841" width="10.140625" style="64" customWidth="1"/>
    <col min="3842" max="3842" width="10.42578125" style="64" bestFit="1" customWidth="1"/>
    <col min="3843" max="3843" width="11.28515625" style="64" customWidth="1"/>
    <col min="3844" max="3844" width="9.42578125" style="64" customWidth="1"/>
    <col min="3845" max="3845" width="10.140625" style="64" bestFit="1" customWidth="1"/>
    <col min="3846" max="3847" width="9.140625" style="64"/>
    <col min="3848" max="3848" width="7.28515625" style="64" customWidth="1"/>
    <col min="3849" max="3854" width="7.42578125" style="64" customWidth="1"/>
    <col min="3855" max="3855" width="9.42578125" style="64" bestFit="1" customWidth="1"/>
    <col min="3856" max="3856" width="12" style="64" bestFit="1" customWidth="1"/>
    <col min="3857" max="3858" width="12" style="64" customWidth="1"/>
    <col min="3859" max="3859" width="13.140625" style="64" bestFit="1" customWidth="1"/>
    <col min="3860" max="3861" width="13.140625" style="64" customWidth="1"/>
    <col min="3862" max="3863" width="14.42578125" style="64" bestFit="1" customWidth="1"/>
    <col min="3864" max="3865" width="9.140625" style="64" customWidth="1"/>
    <col min="3866" max="3866" width="9.5703125" style="64" customWidth="1"/>
    <col min="3867" max="3868" width="9.5703125" style="64" bestFit="1" customWidth="1"/>
    <col min="3869" max="3870" width="10.140625" style="64" bestFit="1" customWidth="1"/>
    <col min="3871" max="3871" width="9.5703125" style="64" bestFit="1" customWidth="1"/>
    <col min="3872" max="3872" width="9.5703125" style="64" customWidth="1"/>
    <col min="3873" max="3873" width="9" style="64" customWidth="1"/>
    <col min="3874" max="3874" width="10.5703125" style="64" bestFit="1" customWidth="1"/>
    <col min="3875" max="3875" width="11.42578125" style="64" bestFit="1" customWidth="1"/>
    <col min="3876" max="3876" width="18" style="64" bestFit="1" customWidth="1"/>
    <col min="3877" max="4094" width="9.140625" style="64"/>
    <col min="4095" max="4095" width="41" style="64" customWidth="1"/>
    <col min="4096" max="4096" width="19.5703125" style="64" bestFit="1" customWidth="1"/>
    <col min="4097" max="4097" width="10.140625" style="64" customWidth="1"/>
    <col min="4098" max="4098" width="10.42578125" style="64" bestFit="1" customWidth="1"/>
    <col min="4099" max="4099" width="11.28515625" style="64" customWidth="1"/>
    <col min="4100" max="4100" width="9.42578125" style="64" customWidth="1"/>
    <col min="4101" max="4101" width="10.140625" style="64" bestFit="1" customWidth="1"/>
    <col min="4102" max="4103" width="9.140625" style="64"/>
    <col min="4104" max="4104" width="7.28515625" style="64" customWidth="1"/>
    <col min="4105" max="4110" width="7.42578125" style="64" customWidth="1"/>
    <col min="4111" max="4111" width="9.42578125" style="64" bestFit="1" customWidth="1"/>
    <col min="4112" max="4112" width="12" style="64" bestFit="1" customWidth="1"/>
    <col min="4113" max="4114" width="12" style="64" customWidth="1"/>
    <col min="4115" max="4115" width="13.140625" style="64" bestFit="1" customWidth="1"/>
    <col min="4116" max="4117" width="13.140625" style="64" customWidth="1"/>
    <col min="4118" max="4119" width="14.42578125" style="64" bestFit="1" customWidth="1"/>
    <col min="4120" max="4121" width="9.140625" style="64" customWidth="1"/>
    <col min="4122" max="4122" width="9.5703125" style="64" customWidth="1"/>
    <col min="4123" max="4124" width="9.5703125" style="64" bestFit="1" customWidth="1"/>
    <col min="4125" max="4126" width="10.140625" style="64" bestFit="1" customWidth="1"/>
    <col min="4127" max="4127" width="9.5703125" style="64" bestFit="1" customWidth="1"/>
    <col min="4128" max="4128" width="9.5703125" style="64" customWidth="1"/>
    <col min="4129" max="4129" width="9" style="64" customWidth="1"/>
    <col min="4130" max="4130" width="10.5703125" style="64" bestFit="1" customWidth="1"/>
    <col min="4131" max="4131" width="11.42578125" style="64" bestFit="1" customWidth="1"/>
    <col min="4132" max="4132" width="18" style="64" bestFit="1" customWidth="1"/>
    <col min="4133" max="4350" width="9.140625" style="64"/>
    <col min="4351" max="4351" width="41" style="64" customWidth="1"/>
    <col min="4352" max="4352" width="19.5703125" style="64" bestFit="1" customWidth="1"/>
    <col min="4353" max="4353" width="10.140625" style="64" customWidth="1"/>
    <col min="4354" max="4354" width="10.42578125" style="64" bestFit="1" customWidth="1"/>
    <col min="4355" max="4355" width="11.28515625" style="64" customWidth="1"/>
    <col min="4356" max="4356" width="9.42578125" style="64" customWidth="1"/>
    <col min="4357" max="4357" width="10.140625" style="64" bestFit="1" customWidth="1"/>
    <col min="4358" max="4359" width="9.140625" style="64"/>
    <col min="4360" max="4360" width="7.28515625" style="64" customWidth="1"/>
    <col min="4361" max="4366" width="7.42578125" style="64" customWidth="1"/>
    <col min="4367" max="4367" width="9.42578125" style="64" bestFit="1" customWidth="1"/>
    <col min="4368" max="4368" width="12" style="64" bestFit="1" customWidth="1"/>
    <col min="4369" max="4370" width="12" style="64" customWidth="1"/>
    <col min="4371" max="4371" width="13.140625" style="64" bestFit="1" customWidth="1"/>
    <col min="4372" max="4373" width="13.140625" style="64" customWidth="1"/>
    <col min="4374" max="4375" width="14.42578125" style="64" bestFit="1" customWidth="1"/>
    <col min="4376" max="4377" width="9.140625" style="64" customWidth="1"/>
    <col min="4378" max="4378" width="9.5703125" style="64" customWidth="1"/>
    <col min="4379" max="4380" width="9.5703125" style="64" bestFit="1" customWidth="1"/>
    <col min="4381" max="4382" width="10.140625" style="64" bestFit="1" customWidth="1"/>
    <col min="4383" max="4383" width="9.5703125" style="64" bestFit="1" customWidth="1"/>
    <col min="4384" max="4384" width="9.5703125" style="64" customWidth="1"/>
    <col min="4385" max="4385" width="9" style="64" customWidth="1"/>
    <col min="4386" max="4386" width="10.5703125" style="64" bestFit="1" customWidth="1"/>
    <col min="4387" max="4387" width="11.42578125" style="64" bestFit="1" customWidth="1"/>
    <col min="4388" max="4388" width="18" style="64" bestFit="1" customWidth="1"/>
    <col min="4389" max="4606" width="9.140625" style="64"/>
    <col min="4607" max="4607" width="41" style="64" customWidth="1"/>
    <col min="4608" max="4608" width="19.5703125" style="64" bestFit="1" customWidth="1"/>
    <col min="4609" max="4609" width="10.140625" style="64" customWidth="1"/>
    <col min="4610" max="4610" width="10.42578125" style="64" bestFit="1" customWidth="1"/>
    <col min="4611" max="4611" width="11.28515625" style="64" customWidth="1"/>
    <col min="4612" max="4612" width="9.42578125" style="64" customWidth="1"/>
    <col min="4613" max="4613" width="10.140625" style="64" bestFit="1" customWidth="1"/>
    <col min="4614" max="4615" width="9.140625" style="64"/>
    <col min="4616" max="4616" width="7.28515625" style="64" customWidth="1"/>
    <col min="4617" max="4622" width="7.42578125" style="64" customWidth="1"/>
    <col min="4623" max="4623" width="9.42578125" style="64" bestFit="1" customWidth="1"/>
    <col min="4624" max="4624" width="12" style="64" bestFit="1" customWidth="1"/>
    <col min="4625" max="4626" width="12" style="64" customWidth="1"/>
    <col min="4627" max="4627" width="13.140625" style="64" bestFit="1" customWidth="1"/>
    <col min="4628" max="4629" width="13.140625" style="64" customWidth="1"/>
    <col min="4630" max="4631" width="14.42578125" style="64" bestFit="1" customWidth="1"/>
    <col min="4632" max="4633" width="9.140625" style="64" customWidth="1"/>
    <col min="4634" max="4634" width="9.5703125" style="64" customWidth="1"/>
    <col min="4635" max="4636" width="9.5703125" style="64" bestFit="1" customWidth="1"/>
    <col min="4637" max="4638" width="10.140625" style="64" bestFit="1" customWidth="1"/>
    <col min="4639" max="4639" width="9.5703125" style="64" bestFit="1" customWidth="1"/>
    <col min="4640" max="4640" width="9.5703125" style="64" customWidth="1"/>
    <col min="4641" max="4641" width="9" style="64" customWidth="1"/>
    <col min="4642" max="4642" width="10.5703125" style="64" bestFit="1" customWidth="1"/>
    <col min="4643" max="4643" width="11.42578125" style="64" bestFit="1" customWidth="1"/>
    <col min="4644" max="4644" width="18" style="64" bestFit="1" customWidth="1"/>
    <col min="4645" max="4862" width="9.140625" style="64"/>
    <col min="4863" max="4863" width="41" style="64" customWidth="1"/>
    <col min="4864" max="4864" width="19.5703125" style="64" bestFit="1" customWidth="1"/>
    <col min="4865" max="4865" width="10.140625" style="64" customWidth="1"/>
    <col min="4866" max="4866" width="10.42578125" style="64" bestFit="1" customWidth="1"/>
    <col min="4867" max="4867" width="11.28515625" style="64" customWidth="1"/>
    <col min="4868" max="4868" width="9.42578125" style="64" customWidth="1"/>
    <col min="4869" max="4869" width="10.140625" style="64" bestFit="1" customWidth="1"/>
    <col min="4870" max="4871" width="9.140625" style="64"/>
    <col min="4872" max="4872" width="7.28515625" style="64" customWidth="1"/>
    <col min="4873" max="4878" width="7.42578125" style="64" customWidth="1"/>
    <col min="4879" max="4879" width="9.42578125" style="64" bestFit="1" customWidth="1"/>
    <col min="4880" max="4880" width="12" style="64" bestFit="1" customWidth="1"/>
    <col min="4881" max="4882" width="12" style="64" customWidth="1"/>
    <col min="4883" max="4883" width="13.140625" style="64" bestFit="1" customWidth="1"/>
    <col min="4884" max="4885" width="13.140625" style="64" customWidth="1"/>
    <col min="4886" max="4887" width="14.42578125" style="64" bestFit="1" customWidth="1"/>
    <col min="4888" max="4889" width="9.140625" style="64" customWidth="1"/>
    <col min="4890" max="4890" width="9.5703125" style="64" customWidth="1"/>
    <col min="4891" max="4892" width="9.5703125" style="64" bestFit="1" customWidth="1"/>
    <col min="4893" max="4894" width="10.140625" style="64" bestFit="1" customWidth="1"/>
    <col min="4895" max="4895" width="9.5703125" style="64" bestFit="1" customWidth="1"/>
    <col min="4896" max="4896" width="9.5703125" style="64" customWidth="1"/>
    <col min="4897" max="4897" width="9" style="64" customWidth="1"/>
    <col min="4898" max="4898" width="10.5703125" style="64" bestFit="1" customWidth="1"/>
    <col min="4899" max="4899" width="11.42578125" style="64" bestFit="1" customWidth="1"/>
    <col min="4900" max="4900" width="18" style="64" bestFit="1" customWidth="1"/>
    <col min="4901" max="5118" width="9.140625" style="64"/>
    <col min="5119" max="5119" width="41" style="64" customWidth="1"/>
    <col min="5120" max="5120" width="19.5703125" style="64" bestFit="1" customWidth="1"/>
    <col min="5121" max="5121" width="10.140625" style="64" customWidth="1"/>
    <col min="5122" max="5122" width="10.42578125" style="64" bestFit="1" customWidth="1"/>
    <col min="5123" max="5123" width="11.28515625" style="64" customWidth="1"/>
    <col min="5124" max="5124" width="9.42578125" style="64" customWidth="1"/>
    <col min="5125" max="5125" width="10.140625" style="64" bestFit="1" customWidth="1"/>
    <col min="5126" max="5127" width="9.140625" style="64"/>
    <col min="5128" max="5128" width="7.28515625" style="64" customWidth="1"/>
    <col min="5129" max="5134" width="7.42578125" style="64" customWidth="1"/>
    <col min="5135" max="5135" width="9.42578125" style="64" bestFit="1" customWidth="1"/>
    <col min="5136" max="5136" width="12" style="64" bestFit="1" customWidth="1"/>
    <col min="5137" max="5138" width="12" style="64" customWidth="1"/>
    <col min="5139" max="5139" width="13.140625" style="64" bestFit="1" customWidth="1"/>
    <col min="5140" max="5141" width="13.140625" style="64" customWidth="1"/>
    <col min="5142" max="5143" width="14.42578125" style="64" bestFit="1" customWidth="1"/>
    <col min="5144" max="5145" width="9.140625" style="64" customWidth="1"/>
    <col min="5146" max="5146" width="9.5703125" style="64" customWidth="1"/>
    <col min="5147" max="5148" width="9.5703125" style="64" bestFit="1" customWidth="1"/>
    <col min="5149" max="5150" width="10.140625" style="64" bestFit="1" customWidth="1"/>
    <col min="5151" max="5151" width="9.5703125" style="64" bestFit="1" customWidth="1"/>
    <col min="5152" max="5152" width="9.5703125" style="64" customWidth="1"/>
    <col min="5153" max="5153" width="9" style="64" customWidth="1"/>
    <col min="5154" max="5154" width="10.5703125" style="64" bestFit="1" customWidth="1"/>
    <col min="5155" max="5155" width="11.42578125" style="64" bestFit="1" customWidth="1"/>
    <col min="5156" max="5156" width="18" style="64" bestFit="1" customWidth="1"/>
    <col min="5157" max="5374" width="9.140625" style="64"/>
    <col min="5375" max="5375" width="41" style="64" customWidth="1"/>
    <col min="5376" max="5376" width="19.5703125" style="64" bestFit="1" customWidth="1"/>
    <col min="5377" max="5377" width="10.140625" style="64" customWidth="1"/>
    <col min="5378" max="5378" width="10.42578125" style="64" bestFit="1" customWidth="1"/>
    <col min="5379" max="5379" width="11.28515625" style="64" customWidth="1"/>
    <col min="5380" max="5380" width="9.42578125" style="64" customWidth="1"/>
    <col min="5381" max="5381" width="10.140625" style="64" bestFit="1" customWidth="1"/>
    <col min="5382" max="5383" width="9.140625" style="64"/>
    <col min="5384" max="5384" width="7.28515625" style="64" customWidth="1"/>
    <col min="5385" max="5390" width="7.42578125" style="64" customWidth="1"/>
    <col min="5391" max="5391" width="9.42578125" style="64" bestFit="1" customWidth="1"/>
    <col min="5392" max="5392" width="12" style="64" bestFit="1" customWidth="1"/>
    <col min="5393" max="5394" width="12" style="64" customWidth="1"/>
    <col min="5395" max="5395" width="13.140625" style="64" bestFit="1" customWidth="1"/>
    <col min="5396" max="5397" width="13.140625" style="64" customWidth="1"/>
    <col min="5398" max="5399" width="14.42578125" style="64" bestFit="1" customWidth="1"/>
    <col min="5400" max="5401" width="9.140625" style="64" customWidth="1"/>
    <col min="5402" max="5402" width="9.5703125" style="64" customWidth="1"/>
    <col min="5403" max="5404" width="9.5703125" style="64" bestFit="1" customWidth="1"/>
    <col min="5405" max="5406" width="10.140625" style="64" bestFit="1" customWidth="1"/>
    <col min="5407" max="5407" width="9.5703125" style="64" bestFit="1" customWidth="1"/>
    <col min="5408" max="5408" width="9.5703125" style="64" customWidth="1"/>
    <col min="5409" max="5409" width="9" style="64" customWidth="1"/>
    <col min="5410" max="5410" width="10.5703125" style="64" bestFit="1" customWidth="1"/>
    <col min="5411" max="5411" width="11.42578125" style="64" bestFit="1" customWidth="1"/>
    <col min="5412" max="5412" width="18" style="64" bestFit="1" customWidth="1"/>
    <col min="5413" max="5630" width="9.140625" style="64"/>
    <col min="5631" max="5631" width="41" style="64" customWidth="1"/>
    <col min="5632" max="5632" width="19.5703125" style="64" bestFit="1" customWidth="1"/>
    <col min="5633" max="5633" width="10.140625" style="64" customWidth="1"/>
    <col min="5634" max="5634" width="10.42578125" style="64" bestFit="1" customWidth="1"/>
    <col min="5635" max="5635" width="11.28515625" style="64" customWidth="1"/>
    <col min="5636" max="5636" width="9.42578125" style="64" customWidth="1"/>
    <col min="5637" max="5637" width="10.140625" style="64" bestFit="1" customWidth="1"/>
    <col min="5638" max="5639" width="9.140625" style="64"/>
    <col min="5640" max="5640" width="7.28515625" style="64" customWidth="1"/>
    <col min="5641" max="5646" width="7.42578125" style="64" customWidth="1"/>
    <col min="5647" max="5647" width="9.42578125" style="64" bestFit="1" customWidth="1"/>
    <col min="5648" max="5648" width="12" style="64" bestFit="1" customWidth="1"/>
    <col min="5649" max="5650" width="12" style="64" customWidth="1"/>
    <col min="5651" max="5651" width="13.140625" style="64" bestFit="1" customWidth="1"/>
    <col min="5652" max="5653" width="13.140625" style="64" customWidth="1"/>
    <col min="5654" max="5655" width="14.42578125" style="64" bestFit="1" customWidth="1"/>
    <col min="5656" max="5657" width="9.140625" style="64" customWidth="1"/>
    <col min="5658" max="5658" width="9.5703125" style="64" customWidth="1"/>
    <col min="5659" max="5660" width="9.5703125" style="64" bestFit="1" customWidth="1"/>
    <col min="5661" max="5662" width="10.140625" style="64" bestFit="1" customWidth="1"/>
    <col min="5663" max="5663" width="9.5703125" style="64" bestFit="1" customWidth="1"/>
    <col min="5664" max="5664" width="9.5703125" style="64" customWidth="1"/>
    <col min="5665" max="5665" width="9" style="64" customWidth="1"/>
    <col min="5666" max="5666" width="10.5703125" style="64" bestFit="1" customWidth="1"/>
    <col min="5667" max="5667" width="11.42578125" style="64" bestFit="1" customWidth="1"/>
    <col min="5668" max="5668" width="18" style="64" bestFit="1" customWidth="1"/>
    <col min="5669" max="5886" width="9.140625" style="64"/>
    <col min="5887" max="5887" width="41" style="64" customWidth="1"/>
    <col min="5888" max="5888" width="19.5703125" style="64" bestFit="1" customWidth="1"/>
    <col min="5889" max="5889" width="10.140625" style="64" customWidth="1"/>
    <col min="5890" max="5890" width="10.42578125" style="64" bestFit="1" customWidth="1"/>
    <col min="5891" max="5891" width="11.28515625" style="64" customWidth="1"/>
    <col min="5892" max="5892" width="9.42578125" style="64" customWidth="1"/>
    <col min="5893" max="5893" width="10.140625" style="64" bestFit="1" customWidth="1"/>
    <col min="5894" max="5895" width="9.140625" style="64"/>
    <col min="5896" max="5896" width="7.28515625" style="64" customWidth="1"/>
    <col min="5897" max="5902" width="7.42578125" style="64" customWidth="1"/>
    <col min="5903" max="5903" width="9.42578125" style="64" bestFit="1" customWidth="1"/>
    <col min="5904" max="5904" width="12" style="64" bestFit="1" customWidth="1"/>
    <col min="5905" max="5906" width="12" style="64" customWidth="1"/>
    <col min="5907" max="5907" width="13.140625" style="64" bestFit="1" customWidth="1"/>
    <col min="5908" max="5909" width="13.140625" style="64" customWidth="1"/>
    <col min="5910" max="5911" width="14.42578125" style="64" bestFit="1" customWidth="1"/>
    <col min="5912" max="5913" width="9.140625" style="64" customWidth="1"/>
    <col min="5914" max="5914" width="9.5703125" style="64" customWidth="1"/>
    <col min="5915" max="5916" width="9.5703125" style="64" bestFit="1" customWidth="1"/>
    <col min="5917" max="5918" width="10.140625" style="64" bestFit="1" customWidth="1"/>
    <col min="5919" max="5919" width="9.5703125" style="64" bestFit="1" customWidth="1"/>
    <col min="5920" max="5920" width="9.5703125" style="64" customWidth="1"/>
    <col min="5921" max="5921" width="9" style="64" customWidth="1"/>
    <col min="5922" max="5922" width="10.5703125" style="64" bestFit="1" customWidth="1"/>
    <col min="5923" max="5923" width="11.42578125" style="64" bestFit="1" customWidth="1"/>
    <col min="5924" max="5924" width="18" style="64" bestFit="1" customWidth="1"/>
    <col min="5925" max="6142" width="9.140625" style="64"/>
    <col min="6143" max="6143" width="41" style="64" customWidth="1"/>
    <col min="6144" max="6144" width="19.5703125" style="64" bestFit="1" customWidth="1"/>
    <col min="6145" max="6145" width="10.140625" style="64" customWidth="1"/>
    <col min="6146" max="6146" width="10.42578125" style="64" bestFit="1" customWidth="1"/>
    <col min="6147" max="6147" width="11.28515625" style="64" customWidth="1"/>
    <col min="6148" max="6148" width="9.42578125" style="64" customWidth="1"/>
    <col min="6149" max="6149" width="10.140625" style="64" bestFit="1" customWidth="1"/>
    <col min="6150" max="6151" width="9.140625" style="64"/>
    <col min="6152" max="6152" width="7.28515625" style="64" customWidth="1"/>
    <col min="6153" max="6158" width="7.42578125" style="64" customWidth="1"/>
    <col min="6159" max="6159" width="9.42578125" style="64" bestFit="1" customWidth="1"/>
    <col min="6160" max="6160" width="12" style="64" bestFit="1" customWidth="1"/>
    <col min="6161" max="6162" width="12" style="64" customWidth="1"/>
    <col min="6163" max="6163" width="13.140625" style="64" bestFit="1" customWidth="1"/>
    <col min="6164" max="6165" width="13.140625" style="64" customWidth="1"/>
    <col min="6166" max="6167" width="14.42578125" style="64" bestFit="1" customWidth="1"/>
    <col min="6168" max="6169" width="9.140625" style="64" customWidth="1"/>
    <col min="6170" max="6170" width="9.5703125" style="64" customWidth="1"/>
    <col min="6171" max="6172" width="9.5703125" style="64" bestFit="1" customWidth="1"/>
    <col min="6173" max="6174" width="10.140625" style="64" bestFit="1" customWidth="1"/>
    <col min="6175" max="6175" width="9.5703125" style="64" bestFit="1" customWidth="1"/>
    <col min="6176" max="6176" width="9.5703125" style="64" customWidth="1"/>
    <col min="6177" max="6177" width="9" style="64" customWidth="1"/>
    <col min="6178" max="6178" width="10.5703125" style="64" bestFit="1" customWidth="1"/>
    <col min="6179" max="6179" width="11.42578125" style="64" bestFit="1" customWidth="1"/>
    <col min="6180" max="6180" width="18" style="64" bestFit="1" customWidth="1"/>
    <col min="6181" max="6398" width="9.140625" style="64"/>
    <col min="6399" max="6399" width="41" style="64" customWidth="1"/>
    <col min="6400" max="6400" width="19.5703125" style="64" bestFit="1" customWidth="1"/>
    <col min="6401" max="6401" width="10.140625" style="64" customWidth="1"/>
    <col min="6402" max="6402" width="10.42578125" style="64" bestFit="1" customWidth="1"/>
    <col min="6403" max="6403" width="11.28515625" style="64" customWidth="1"/>
    <col min="6404" max="6404" width="9.42578125" style="64" customWidth="1"/>
    <col min="6405" max="6405" width="10.140625" style="64" bestFit="1" customWidth="1"/>
    <col min="6406" max="6407" width="9.140625" style="64"/>
    <col min="6408" max="6408" width="7.28515625" style="64" customWidth="1"/>
    <col min="6409" max="6414" width="7.42578125" style="64" customWidth="1"/>
    <col min="6415" max="6415" width="9.42578125" style="64" bestFit="1" customWidth="1"/>
    <col min="6416" max="6416" width="12" style="64" bestFit="1" customWidth="1"/>
    <col min="6417" max="6418" width="12" style="64" customWidth="1"/>
    <col min="6419" max="6419" width="13.140625" style="64" bestFit="1" customWidth="1"/>
    <col min="6420" max="6421" width="13.140625" style="64" customWidth="1"/>
    <col min="6422" max="6423" width="14.42578125" style="64" bestFit="1" customWidth="1"/>
    <col min="6424" max="6425" width="9.140625" style="64" customWidth="1"/>
    <col min="6426" max="6426" width="9.5703125" style="64" customWidth="1"/>
    <col min="6427" max="6428" width="9.5703125" style="64" bestFit="1" customWidth="1"/>
    <col min="6429" max="6430" width="10.140625" style="64" bestFit="1" customWidth="1"/>
    <col min="6431" max="6431" width="9.5703125" style="64" bestFit="1" customWidth="1"/>
    <col min="6432" max="6432" width="9.5703125" style="64" customWidth="1"/>
    <col min="6433" max="6433" width="9" style="64" customWidth="1"/>
    <col min="6434" max="6434" width="10.5703125" style="64" bestFit="1" customWidth="1"/>
    <col min="6435" max="6435" width="11.42578125" style="64" bestFit="1" customWidth="1"/>
    <col min="6436" max="6436" width="18" style="64" bestFit="1" customWidth="1"/>
    <col min="6437" max="6654" width="9.140625" style="64"/>
    <col min="6655" max="6655" width="41" style="64" customWidth="1"/>
    <col min="6656" max="6656" width="19.5703125" style="64" bestFit="1" customWidth="1"/>
    <col min="6657" max="6657" width="10.140625" style="64" customWidth="1"/>
    <col min="6658" max="6658" width="10.42578125" style="64" bestFit="1" customWidth="1"/>
    <col min="6659" max="6659" width="11.28515625" style="64" customWidth="1"/>
    <col min="6660" max="6660" width="9.42578125" style="64" customWidth="1"/>
    <col min="6661" max="6661" width="10.140625" style="64" bestFit="1" customWidth="1"/>
    <col min="6662" max="6663" width="9.140625" style="64"/>
    <col min="6664" max="6664" width="7.28515625" style="64" customWidth="1"/>
    <col min="6665" max="6670" width="7.42578125" style="64" customWidth="1"/>
    <col min="6671" max="6671" width="9.42578125" style="64" bestFit="1" customWidth="1"/>
    <col min="6672" max="6672" width="12" style="64" bestFit="1" customWidth="1"/>
    <col min="6673" max="6674" width="12" style="64" customWidth="1"/>
    <col min="6675" max="6675" width="13.140625" style="64" bestFit="1" customWidth="1"/>
    <col min="6676" max="6677" width="13.140625" style="64" customWidth="1"/>
    <col min="6678" max="6679" width="14.42578125" style="64" bestFit="1" customWidth="1"/>
    <col min="6680" max="6681" width="9.140625" style="64" customWidth="1"/>
    <col min="6682" max="6682" width="9.5703125" style="64" customWidth="1"/>
    <col min="6683" max="6684" width="9.5703125" style="64" bestFit="1" customWidth="1"/>
    <col min="6685" max="6686" width="10.140625" style="64" bestFit="1" customWidth="1"/>
    <col min="6687" max="6687" width="9.5703125" style="64" bestFit="1" customWidth="1"/>
    <col min="6688" max="6688" width="9.5703125" style="64" customWidth="1"/>
    <col min="6689" max="6689" width="9" style="64" customWidth="1"/>
    <col min="6690" max="6690" width="10.5703125" style="64" bestFit="1" customWidth="1"/>
    <col min="6691" max="6691" width="11.42578125" style="64" bestFit="1" customWidth="1"/>
    <col min="6692" max="6692" width="18" style="64" bestFit="1" customWidth="1"/>
    <col min="6693" max="6910" width="9.140625" style="64"/>
    <col min="6911" max="6911" width="41" style="64" customWidth="1"/>
    <col min="6912" max="6912" width="19.5703125" style="64" bestFit="1" customWidth="1"/>
    <col min="6913" max="6913" width="10.140625" style="64" customWidth="1"/>
    <col min="6914" max="6914" width="10.42578125" style="64" bestFit="1" customWidth="1"/>
    <col min="6915" max="6915" width="11.28515625" style="64" customWidth="1"/>
    <col min="6916" max="6916" width="9.42578125" style="64" customWidth="1"/>
    <col min="6917" max="6917" width="10.140625" style="64" bestFit="1" customWidth="1"/>
    <col min="6918" max="6919" width="9.140625" style="64"/>
    <col min="6920" max="6920" width="7.28515625" style="64" customWidth="1"/>
    <col min="6921" max="6926" width="7.42578125" style="64" customWidth="1"/>
    <col min="6927" max="6927" width="9.42578125" style="64" bestFit="1" customWidth="1"/>
    <col min="6928" max="6928" width="12" style="64" bestFit="1" customWidth="1"/>
    <col min="6929" max="6930" width="12" style="64" customWidth="1"/>
    <col min="6931" max="6931" width="13.140625" style="64" bestFit="1" customWidth="1"/>
    <col min="6932" max="6933" width="13.140625" style="64" customWidth="1"/>
    <col min="6934" max="6935" width="14.42578125" style="64" bestFit="1" customWidth="1"/>
    <col min="6936" max="6937" width="9.140625" style="64" customWidth="1"/>
    <col min="6938" max="6938" width="9.5703125" style="64" customWidth="1"/>
    <col min="6939" max="6940" width="9.5703125" style="64" bestFit="1" customWidth="1"/>
    <col min="6941" max="6942" width="10.140625" style="64" bestFit="1" customWidth="1"/>
    <col min="6943" max="6943" width="9.5703125" style="64" bestFit="1" customWidth="1"/>
    <col min="6944" max="6944" width="9.5703125" style="64" customWidth="1"/>
    <col min="6945" max="6945" width="9" style="64" customWidth="1"/>
    <col min="6946" max="6946" width="10.5703125" style="64" bestFit="1" customWidth="1"/>
    <col min="6947" max="6947" width="11.42578125" style="64" bestFit="1" customWidth="1"/>
    <col min="6948" max="6948" width="18" style="64" bestFit="1" customWidth="1"/>
    <col min="6949" max="7166" width="9.140625" style="64"/>
    <col min="7167" max="7167" width="41" style="64" customWidth="1"/>
    <col min="7168" max="7168" width="19.5703125" style="64" bestFit="1" customWidth="1"/>
    <col min="7169" max="7169" width="10.140625" style="64" customWidth="1"/>
    <col min="7170" max="7170" width="10.42578125" style="64" bestFit="1" customWidth="1"/>
    <col min="7171" max="7171" width="11.28515625" style="64" customWidth="1"/>
    <col min="7172" max="7172" width="9.42578125" style="64" customWidth="1"/>
    <col min="7173" max="7173" width="10.140625" style="64" bestFit="1" customWidth="1"/>
    <col min="7174" max="7175" width="9.140625" style="64"/>
    <col min="7176" max="7176" width="7.28515625" style="64" customWidth="1"/>
    <col min="7177" max="7182" width="7.42578125" style="64" customWidth="1"/>
    <col min="7183" max="7183" width="9.42578125" style="64" bestFit="1" customWidth="1"/>
    <col min="7184" max="7184" width="12" style="64" bestFit="1" customWidth="1"/>
    <col min="7185" max="7186" width="12" style="64" customWidth="1"/>
    <col min="7187" max="7187" width="13.140625" style="64" bestFit="1" customWidth="1"/>
    <col min="7188" max="7189" width="13.140625" style="64" customWidth="1"/>
    <col min="7190" max="7191" width="14.42578125" style="64" bestFit="1" customWidth="1"/>
    <col min="7192" max="7193" width="9.140625" style="64" customWidth="1"/>
    <col min="7194" max="7194" width="9.5703125" style="64" customWidth="1"/>
    <col min="7195" max="7196" width="9.5703125" style="64" bestFit="1" customWidth="1"/>
    <col min="7197" max="7198" width="10.140625" style="64" bestFit="1" customWidth="1"/>
    <col min="7199" max="7199" width="9.5703125" style="64" bestFit="1" customWidth="1"/>
    <col min="7200" max="7200" width="9.5703125" style="64" customWidth="1"/>
    <col min="7201" max="7201" width="9" style="64" customWidth="1"/>
    <col min="7202" max="7202" width="10.5703125" style="64" bestFit="1" customWidth="1"/>
    <col min="7203" max="7203" width="11.42578125" style="64" bestFit="1" customWidth="1"/>
    <col min="7204" max="7204" width="18" style="64" bestFit="1" customWidth="1"/>
    <col min="7205" max="7422" width="9.140625" style="64"/>
    <col min="7423" max="7423" width="41" style="64" customWidth="1"/>
    <col min="7424" max="7424" width="19.5703125" style="64" bestFit="1" customWidth="1"/>
    <col min="7425" max="7425" width="10.140625" style="64" customWidth="1"/>
    <col min="7426" max="7426" width="10.42578125" style="64" bestFit="1" customWidth="1"/>
    <col min="7427" max="7427" width="11.28515625" style="64" customWidth="1"/>
    <col min="7428" max="7428" width="9.42578125" style="64" customWidth="1"/>
    <col min="7429" max="7429" width="10.140625" style="64" bestFit="1" customWidth="1"/>
    <col min="7430" max="7431" width="9.140625" style="64"/>
    <col min="7432" max="7432" width="7.28515625" style="64" customWidth="1"/>
    <col min="7433" max="7438" width="7.42578125" style="64" customWidth="1"/>
    <col min="7439" max="7439" width="9.42578125" style="64" bestFit="1" customWidth="1"/>
    <col min="7440" max="7440" width="12" style="64" bestFit="1" customWidth="1"/>
    <col min="7441" max="7442" width="12" style="64" customWidth="1"/>
    <col min="7443" max="7443" width="13.140625" style="64" bestFit="1" customWidth="1"/>
    <col min="7444" max="7445" width="13.140625" style="64" customWidth="1"/>
    <col min="7446" max="7447" width="14.42578125" style="64" bestFit="1" customWidth="1"/>
    <col min="7448" max="7449" width="9.140625" style="64" customWidth="1"/>
    <col min="7450" max="7450" width="9.5703125" style="64" customWidth="1"/>
    <col min="7451" max="7452" width="9.5703125" style="64" bestFit="1" customWidth="1"/>
    <col min="7453" max="7454" width="10.140625" style="64" bestFit="1" customWidth="1"/>
    <col min="7455" max="7455" width="9.5703125" style="64" bestFit="1" customWidth="1"/>
    <col min="7456" max="7456" width="9.5703125" style="64" customWidth="1"/>
    <col min="7457" max="7457" width="9" style="64" customWidth="1"/>
    <col min="7458" max="7458" width="10.5703125" style="64" bestFit="1" customWidth="1"/>
    <col min="7459" max="7459" width="11.42578125" style="64" bestFit="1" customWidth="1"/>
    <col min="7460" max="7460" width="18" style="64" bestFit="1" customWidth="1"/>
    <col min="7461" max="7678" width="9.140625" style="64"/>
    <col min="7679" max="7679" width="41" style="64" customWidth="1"/>
    <col min="7680" max="7680" width="19.5703125" style="64" bestFit="1" customWidth="1"/>
    <col min="7681" max="7681" width="10.140625" style="64" customWidth="1"/>
    <col min="7682" max="7682" width="10.42578125" style="64" bestFit="1" customWidth="1"/>
    <col min="7683" max="7683" width="11.28515625" style="64" customWidth="1"/>
    <col min="7684" max="7684" width="9.42578125" style="64" customWidth="1"/>
    <col min="7685" max="7685" width="10.140625" style="64" bestFit="1" customWidth="1"/>
    <col min="7686" max="7687" width="9.140625" style="64"/>
    <col min="7688" max="7688" width="7.28515625" style="64" customWidth="1"/>
    <col min="7689" max="7694" width="7.42578125" style="64" customWidth="1"/>
    <col min="7695" max="7695" width="9.42578125" style="64" bestFit="1" customWidth="1"/>
    <col min="7696" max="7696" width="12" style="64" bestFit="1" customWidth="1"/>
    <col min="7697" max="7698" width="12" style="64" customWidth="1"/>
    <col min="7699" max="7699" width="13.140625" style="64" bestFit="1" customWidth="1"/>
    <col min="7700" max="7701" width="13.140625" style="64" customWidth="1"/>
    <col min="7702" max="7703" width="14.42578125" style="64" bestFit="1" customWidth="1"/>
    <col min="7704" max="7705" width="9.140625" style="64" customWidth="1"/>
    <col min="7706" max="7706" width="9.5703125" style="64" customWidth="1"/>
    <col min="7707" max="7708" width="9.5703125" style="64" bestFit="1" customWidth="1"/>
    <col min="7709" max="7710" width="10.140625" style="64" bestFit="1" customWidth="1"/>
    <col min="7711" max="7711" width="9.5703125" style="64" bestFit="1" customWidth="1"/>
    <col min="7712" max="7712" width="9.5703125" style="64" customWidth="1"/>
    <col min="7713" max="7713" width="9" style="64" customWidth="1"/>
    <col min="7714" max="7714" width="10.5703125" style="64" bestFit="1" customWidth="1"/>
    <col min="7715" max="7715" width="11.42578125" style="64" bestFit="1" customWidth="1"/>
    <col min="7716" max="7716" width="18" style="64" bestFit="1" customWidth="1"/>
    <col min="7717" max="7934" width="9.140625" style="64"/>
    <col min="7935" max="7935" width="41" style="64" customWidth="1"/>
    <col min="7936" max="7936" width="19.5703125" style="64" bestFit="1" customWidth="1"/>
    <col min="7937" max="7937" width="10.140625" style="64" customWidth="1"/>
    <col min="7938" max="7938" width="10.42578125" style="64" bestFit="1" customWidth="1"/>
    <col min="7939" max="7939" width="11.28515625" style="64" customWidth="1"/>
    <col min="7940" max="7940" width="9.42578125" style="64" customWidth="1"/>
    <col min="7941" max="7941" width="10.140625" style="64" bestFit="1" customWidth="1"/>
    <col min="7942" max="7943" width="9.140625" style="64"/>
    <col min="7944" max="7944" width="7.28515625" style="64" customWidth="1"/>
    <col min="7945" max="7950" width="7.42578125" style="64" customWidth="1"/>
    <col min="7951" max="7951" width="9.42578125" style="64" bestFit="1" customWidth="1"/>
    <col min="7952" max="7952" width="12" style="64" bestFit="1" customWidth="1"/>
    <col min="7953" max="7954" width="12" style="64" customWidth="1"/>
    <col min="7955" max="7955" width="13.140625" style="64" bestFit="1" customWidth="1"/>
    <col min="7956" max="7957" width="13.140625" style="64" customWidth="1"/>
    <col min="7958" max="7959" width="14.42578125" style="64" bestFit="1" customWidth="1"/>
    <col min="7960" max="7961" width="9.140625" style="64" customWidth="1"/>
    <col min="7962" max="7962" width="9.5703125" style="64" customWidth="1"/>
    <col min="7963" max="7964" width="9.5703125" style="64" bestFit="1" customWidth="1"/>
    <col min="7965" max="7966" width="10.140625" style="64" bestFit="1" customWidth="1"/>
    <col min="7967" max="7967" width="9.5703125" style="64" bestFit="1" customWidth="1"/>
    <col min="7968" max="7968" width="9.5703125" style="64" customWidth="1"/>
    <col min="7969" max="7969" width="9" style="64" customWidth="1"/>
    <col min="7970" max="7970" width="10.5703125" style="64" bestFit="1" customWidth="1"/>
    <col min="7971" max="7971" width="11.42578125" style="64" bestFit="1" customWidth="1"/>
    <col min="7972" max="7972" width="18" style="64" bestFit="1" customWidth="1"/>
    <col min="7973" max="8190" width="9.140625" style="64"/>
    <col min="8191" max="8191" width="41" style="64" customWidth="1"/>
    <col min="8192" max="8192" width="19.5703125" style="64" bestFit="1" customWidth="1"/>
    <col min="8193" max="8193" width="10.140625" style="64" customWidth="1"/>
    <col min="8194" max="8194" width="10.42578125" style="64" bestFit="1" customWidth="1"/>
    <col min="8195" max="8195" width="11.28515625" style="64" customWidth="1"/>
    <col min="8196" max="8196" width="9.42578125" style="64" customWidth="1"/>
    <col min="8197" max="8197" width="10.140625" style="64" bestFit="1" customWidth="1"/>
    <col min="8198" max="8199" width="9.140625" style="64"/>
    <col min="8200" max="8200" width="7.28515625" style="64" customWidth="1"/>
    <col min="8201" max="8206" width="7.42578125" style="64" customWidth="1"/>
    <col min="8207" max="8207" width="9.42578125" style="64" bestFit="1" customWidth="1"/>
    <col min="8208" max="8208" width="12" style="64" bestFit="1" customWidth="1"/>
    <col min="8209" max="8210" width="12" style="64" customWidth="1"/>
    <col min="8211" max="8211" width="13.140625" style="64" bestFit="1" customWidth="1"/>
    <col min="8212" max="8213" width="13.140625" style="64" customWidth="1"/>
    <col min="8214" max="8215" width="14.42578125" style="64" bestFit="1" customWidth="1"/>
    <col min="8216" max="8217" width="9.140625" style="64" customWidth="1"/>
    <col min="8218" max="8218" width="9.5703125" style="64" customWidth="1"/>
    <col min="8219" max="8220" width="9.5703125" style="64" bestFit="1" customWidth="1"/>
    <col min="8221" max="8222" width="10.140625" style="64" bestFit="1" customWidth="1"/>
    <col min="8223" max="8223" width="9.5703125" style="64" bestFit="1" customWidth="1"/>
    <col min="8224" max="8224" width="9.5703125" style="64" customWidth="1"/>
    <col min="8225" max="8225" width="9" style="64" customWidth="1"/>
    <col min="8226" max="8226" width="10.5703125" style="64" bestFit="1" customWidth="1"/>
    <col min="8227" max="8227" width="11.42578125" style="64" bestFit="1" customWidth="1"/>
    <col min="8228" max="8228" width="18" style="64" bestFit="1" customWidth="1"/>
    <col min="8229" max="8446" width="9.140625" style="64"/>
    <col min="8447" max="8447" width="41" style="64" customWidth="1"/>
    <col min="8448" max="8448" width="19.5703125" style="64" bestFit="1" customWidth="1"/>
    <col min="8449" max="8449" width="10.140625" style="64" customWidth="1"/>
    <col min="8450" max="8450" width="10.42578125" style="64" bestFit="1" customWidth="1"/>
    <col min="8451" max="8451" width="11.28515625" style="64" customWidth="1"/>
    <col min="8452" max="8452" width="9.42578125" style="64" customWidth="1"/>
    <col min="8453" max="8453" width="10.140625" style="64" bestFit="1" customWidth="1"/>
    <col min="8454" max="8455" width="9.140625" style="64"/>
    <col min="8456" max="8456" width="7.28515625" style="64" customWidth="1"/>
    <col min="8457" max="8462" width="7.42578125" style="64" customWidth="1"/>
    <col min="8463" max="8463" width="9.42578125" style="64" bestFit="1" customWidth="1"/>
    <col min="8464" max="8464" width="12" style="64" bestFit="1" customWidth="1"/>
    <col min="8465" max="8466" width="12" style="64" customWidth="1"/>
    <col min="8467" max="8467" width="13.140625" style="64" bestFit="1" customWidth="1"/>
    <col min="8468" max="8469" width="13.140625" style="64" customWidth="1"/>
    <col min="8470" max="8471" width="14.42578125" style="64" bestFit="1" customWidth="1"/>
    <col min="8472" max="8473" width="9.140625" style="64" customWidth="1"/>
    <col min="8474" max="8474" width="9.5703125" style="64" customWidth="1"/>
    <col min="8475" max="8476" width="9.5703125" style="64" bestFit="1" customWidth="1"/>
    <col min="8477" max="8478" width="10.140625" style="64" bestFit="1" customWidth="1"/>
    <col min="8479" max="8479" width="9.5703125" style="64" bestFit="1" customWidth="1"/>
    <col min="8480" max="8480" width="9.5703125" style="64" customWidth="1"/>
    <col min="8481" max="8481" width="9" style="64" customWidth="1"/>
    <col min="8482" max="8482" width="10.5703125" style="64" bestFit="1" customWidth="1"/>
    <col min="8483" max="8483" width="11.42578125" style="64" bestFit="1" customWidth="1"/>
    <col min="8484" max="8484" width="18" style="64" bestFit="1" customWidth="1"/>
    <col min="8485" max="8702" width="9.140625" style="64"/>
    <col min="8703" max="8703" width="41" style="64" customWidth="1"/>
    <col min="8704" max="8704" width="19.5703125" style="64" bestFit="1" customWidth="1"/>
    <col min="8705" max="8705" width="10.140625" style="64" customWidth="1"/>
    <col min="8706" max="8706" width="10.42578125" style="64" bestFit="1" customWidth="1"/>
    <col min="8707" max="8707" width="11.28515625" style="64" customWidth="1"/>
    <col min="8708" max="8708" width="9.42578125" style="64" customWidth="1"/>
    <col min="8709" max="8709" width="10.140625" style="64" bestFit="1" customWidth="1"/>
    <col min="8710" max="8711" width="9.140625" style="64"/>
    <col min="8712" max="8712" width="7.28515625" style="64" customWidth="1"/>
    <col min="8713" max="8718" width="7.42578125" style="64" customWidth="1"/>
    <col min="8719" max="8719" width="9.42578125" style="64" bestFit="1" customWidth="1"/>
    <col min="8720" max="8720" width="12" style="64" bestFit="1" customWidth="1"/>
    <col min="8721" max="8722" width="12" style="64" customWidth="1"/>
    <col min="8723" max="8723" width="13.140625" style="64" bestFit="1" customWidth="1"/>
    <col min="8724" max="8725" width="13.140625" style="64" customWidth="1"/>
    <col min="8726" max="8727" width="14.42578125" style="64" bestFit="1" customWidth="1"/>
    <col min="8728" max="8729" width="9.140625" style="64" customWidth="1"/>
    <col min="8730" max="8730" width="9.5703125" style="64" customWidth="1"/>
    <col min="8731" max="8732" width="9.5703125" style="64" bestFit="1" customWidth="1"/>
    <col min="8733" max="8734" width="10.140625" style="64" bestFit="1" customWidth="1"/>
    <col min="8735" max="8735" width="9.5703125" style="64" bestFit="1" customWidth="1"/>
    <col min="8736" max="8736" width="9.5703125" style="64" customWidth="1"/>
    <col min="8737" max="8737" width="9" style="64" customWidth="1"/>
    <col min="8738" max="8738" width="10.5703125" style="64" bestFit="1" customWidth="1"/>
    <col min="8739" max="8739" width="11.42578125" style="64" bestFit="1" customWidth="1"/>
    <col min="8740" max="8740" width="18" style="64" bestFit="1" customWidth="1"/>
    <col min="8741" max="8958" width="9.140625" style="64"/>
    <col min="8959" max="8959" width="41" style="64" customWidth="1"/>
    <col min="8960" max="8960" width="19.5703125" style="64" bestFit="1" customWidth="1"/>
    <col min="8961" max="8961" width="10.140625" style="64" customWidth="1"/>
    <col min="8962" max="8962" width="10.42578125" style="64" bestFit="1" customWidth="1"/>
    <col min="8963" max="8963" width="11.28515625" style="64" customWidth="1"/>
    <col min="8964" max="8964" width="9.42578125" style="64" customWidth="1"/>
    <col min="8965" max="8965" width="10.140625" style="64" bestFit="1" customWidth="1"/>
    <col min="8966" max="8967" width="9.140625" style="64"/>
    <col min="8968" max="8968" width="7.28515625" style="64" customWidth="1"/>
    <col min="8969" max="8974" width="7.42578125" style="64" customWidth="1"/>
    <col min="8975" max="8975" width="9.42578125" style="64" bestFit="1" customWidth="1"/>
    <col min="8976" max="8976" width="12" style="64" bestFit="1" customWidth="1"/>
    <col min="8977" max="8978" width="12" style="64" customWidth="1"/>
    <col min="8979" max="8979" width="13.140625" style="64" bestFit="1" customWidth="1"/>
    <col min="8980" max="8981" width="13.140625" style="64" customWidth="1"/>
    <col min="8982" max="8983" width="14.42578125" style="64" bestFit="1" customWidth="1"/>
    <col min="8984" max="8985" width="9.140625" style="64" customWidth="1"/>
    <col min="8986" max="8986" width="9.5703125" style="64" customWidth="1"/>
    <col min="8987" max="8988" width="9.5703125" style="64" bestFit="1" customWidth="1"/>
    <col min="8989" max="8990" width="10.140625" style="64" bestFit="1" customWidth="1"/>
    <col min="8991" max="8991" width="9.5703125" style="64" bestFit="1" customWidth="1"/>
    <col min="8992" max="8992" width="9.5703125" style="64" customWidth="1"/>
    <col min="8993" max="8993" width="9" style="64" customWidth="1"/>
    <col min="8994" max="8994" width="10.5703125" style="64" bestFit="1" customWidth="1"/>
    <col min="8995" max="8995" width="11.42578125" style="64" bestFit="1" customWidth="1"/>
    <col min="8996" max="8996" width="18" style="64" bestFit="1" customWidth="1"/>
    <col min="8997" max="9214" width="9.140625" style="64"/>
    <col min="9215" max="9215" width="41" style="64" customWidth="1"/>
    <col min="9216" max="9216" width="19.5703125" style="64" bestFit="1" customWidth="1"/>
    <col min="9217" max="9217" width="10.140625" style="64" customWidth="1"/>
    <col min="9218" max="9218" width="10.42578125" style="64" bestFit="1" customWidth="1"/>
    <col min="9219" max="9219" width="11.28515625" style="64" customWidth="1"/>
    <col min="9220" max="9220" width="9.42578125" style="64" customWidth="1"/>
    <col min="9221" max="9221" width="10.140625" style="64" bestFit="1" customWidth="1"/>
    <col min="9222" max="9223" width="9.140625" style="64"/>
    <col min="9224" max="9224" width="7.28515625" style="64" customWidth="1"/>
    <col min="9225" max="9230" width="7.42578125" style="64" customWidth="1"/>
    <col min="9231" max="9231" width="9.42578125" style="64" bestFit="1" customWidth="1"/>
    <col min="9232" max="9232" width="12" style="64" bestFit="1" customWidth="1"/>
    <col min="9233" max="9234" width="12" style="64" customWidth="1"/>
    <col min="9235" max="9235" width="13.140625" style="64" bestFit="1" customWidth="1"/>
    <col min="9236" max="9237" width="13.140625" style="64" customWidth="1"/>
    <col min="9238" max="9239" width="14.42578125" style="64" bestFit="1" customWidth="1"/>
    <col min="9240" max="9241" width="9.140625" style="64" customWidth="1"/>
    <col min="9242" max="9242" width="9.5703125" style="64" customWidth="1"/>
    <col min="9243" max="9244" width="9.5703125" style="64" bestFit="1" customWidth="1"/>
    <col min="9245" max="9246" width="10.140625" style="64" bestFit="1" customWidth="1"/>
    <col min="9247" max="9247" width="9.5703125" style="64" bestFit="1" customWidth="1"/>
    <col min="9248" max="9248" width="9.5703125" style="64" customWidth="1"/>
    <col min="9249" max="9249" width="9" style="64" customWidth="1"/>
    <col min="9250" max="9250" width="10.5703125" style="64" bestFit="1" customWidth="1"/>
    <col min="9251" max="9251" width="11.42578125" style="64" bestFit="1" customWidth="1"/>
    <col min="9252" max="9252" width="18" style="64" bestFit="1" customWidth="1"/>
    <col min="9253" max="9470" width="9.140625" style="64"/>
    <col min="9471" max="9471" width="41" style="64" customWidth="1"/>
    <col min="9472" max="9472" width="19.5703125" style="64" bestFit="1" customWidth="1"/>
    <col min="9473" max="9473" width="10.140625" style="64" customWidth="1"/>
    <col min="9474" max="9474" width="10.42578125" style="64" bestFit="1" customWidth="1"/>
    <col min="9475" max="9475" width="11.28515625" style="64" customWidth="1"/>
    <col min="9476" max="9476" width="9.42578125" style="64" customWidth="1"/>
    <col min="9477" max="9477" width="10.140625" style="64" bestFit="1" customWidth="1"/>
    <col min="9478" max="9479" width="9.140625" style="64"/>
    <col min="9480" max="9480" width="7.28515625" style="64" customWidth="1"/>
    <col min="9481" max="9486" width="7.42578125" style="64" customWidth="1"/>
    <col min="9487" max="9487" width="9.42578125" style="64" bestFit="1" customWidth="1"/>
    <col min="9488" max="9488" width="12" style="64" bestFit="1" customWidth="1"/>
    <col min="9489" max="9490" width="12" style="64" customWidth="1"/>
    <col min="9491" max="9491" width="13.140625" style="64" bestFit="1" customWidth="1"/>
    <col min="9492" max="9493" width="13.140625" style="64" customWidth="1"/>
    <col min="9494" max="9495" width="14.42578125" style="64" bestFit="1" customWidth="1"/>
    <col min="9496" max="9497" width="9.140625" style="64" customWidth="1"/>
    <col min="9498" max="9498" width="9.5703125" style="64" customWidth="1"/>
    <col min="9499" max="9500" width="9.5703125" style="64" bestFit="1" customWidth="1"/>
    <col min="9501" max="9502" width="10.140625" style="64" bestFit="1" customWidth="1"/>
    <col min="9503" max="9503" width="9.5703125" style="64" bestFit="1" customWidth="1"/>
    <col min="9504" max="9504" width="9.5703125" style="64" customWidth="1"/>
    <col min="9505" max="9505" width="9" style="64" customWidth="1"/>
    <col min="9506" max="9506" width="10.5703125" style="64" bestFit="1" customWidth="1"/>
    <col min="9507" max="9507" width="11.42578125" style="64" bestFit="1" customWidth="1"/>
    <col min="9508" max="9508" width="18" style="64" bestFit="1" customWidth="1"/>
    <col min="9509" max="9726" width="9.140625" style="64"/>
    <col min="9727" max="9727" width="41" style="64" customWidth="1"/>
    <col min="9728" max="9728" width="19.5703125" style="64" bestFit="1" customWidth="1"/>
    <col min="9729" max="9729" width="10.140625" style="64" customWidth="1"/>
    <col min="9730" max="9730" width="10.42578125" style="64" bestFit="1" customWidth="1"/>
    <col min="9731" max="9731" width="11.28515625" style="64" customWidth="1"/>
    <col min="9732" max="9732" width="9.42578125" style="64" customWidth="1"/>
    <col min="9733" max="9733" width="10.140625" style="64" bestFit="1" customWidth="1"/>
    <col min="9734" max="9735" width="9.140625" style="64"/>
    <col min="9736" max="9736" width="7.28515625" style="64" customWidth="1"/>
    <col min="9737" max="9742" width="7.42578125" style="64" customWidth="1"/>
    <col min="9743" max="9743" width="9.42578125" style="64" bestFit="1" customWidth="1"/>
    <col min="9744" max="9744" width="12" style="64" bestFit="1" customWidth="1"/>
    <col min="9745" max="9746" width="12" style="64" customWidth="1"/>
    <col min="9747" max="9747" width="13.140625" style="64" bestFit="1" customWidth="1"/>
    <col min="9748" max="9749" width="13.140625" style="64" customWidth="1"/>
    <col min="9750" max="9751" width="14.42578125" style="64" bestFit="1" customWidth="1"/>
    <col min="9752" max="9753" width="9.140625" style="64" customWidth="1"/>
    <col min="9754" max="9754" width="9.5703125" style="64" customWidth="1"/>
    <col min="9755" max="9756" width="9.5703125" style="64" bestFit="1" customWidth="1"/>
    <col min="9757" max="9758" width="10.140625" style="64" bestFit="1" customWidth="1"/>
    <col min="9759" max="9759" width="9.5703125" style="64" bestFit="1" customWidth="1"/>
    <col min="9760" max="9760" width="9.5703125" style="64" customWidth="1"/>
    <col min="9761" max="9761" width="9" style="64" customWidth="1"/>
    <col min="9762" max="9762" width="10.5703125" style="64" bestFit="1" customWidth="1"/>
    <col min="9763" max="9763" width="11.42578125" style="64" bestFit="1" customWidth="1"/>
    <col min="9764" max="9764" width="18" style="64" bestFit="1" customWidth="1"/>
    <col min="9765" max="9982" width="9.140625" style="64"/>
    <col min="9983" max="9983" width="41" style="64" customWidth="1"/>
    <col min="9984" max="9984" width="19.5703125" style="64" bestFit="1" customWidth="1"/>
    <col min="9985" max="9985" width="10.140625" style="64" customWidth="1"/>
    <col min="9986" max="9986" width="10.42578125" style="64" bestFit="1" customWidth="1"/>
    <col min="9987" max="9987" width="11.28515625" style="64" customWidth="1"/>
    <col min="9988" max="9988" width="9.42578125" style="64" customWidth="1"/>
    <col min="9989" max="9989" width="10.140625" style="64" bestFit="1" customWidth="1"/>
    <col min="9990" max="9991" width="9.140625" style="64"/>
    <col min="9992" max="9992" width="7.28515625" style="64" customWidth="1"/>
    <col min="9993" max="9998" width="7.42578125" style="64" customWidth="1"/>
    <col min="9999" max="9999" width="9.42578125" style="64" bestFit="1" customWidth="1"/>
    <col min="10000" max="10000" width="12" style="64" bestFit="1" customWidth="1"/>
    <col min="10001" max="10002" width="12" style="64" customWidth="1"/>
    <col min="10003" max="10003" width="13.140625" style="64" bestFit="1" customWidth="1"/>
    <col min="10004" max="10005" width="13.140625" style="64" customWidth="1"/>
    <col min="10006" max="10007" width="14.42578125" style="64" bestFit="1" customWidth="1"/>
    <col min="10008" max="10009" width="9.140625" style="64" customWidth="1"/>
    <col min="10010" max="10010" width="9.5703125" style="64" customWidth="1"/>
    <col min="10011" max="10012" width="9.5703125" style="64" bestFit="1" customWidth="1"/>
    <col min="10013" max="10014" width="10.140625" style="64" bestFit="1" customWidth="1"/>
    <col min="10015" max="10015" width="9.5703125" style="64" bestFit="1" customWidth="1"/>
    <col min="10016" max="10016" width="9.5703125" style="64" customWidth="1"/>
    <col min="10017" max="10017" width="9" style="64" customWidth="1"/>
    <col min="10018" max="10018" width="10.5703125" style="64" bestFit="1" customWidth="1"/>
    <col min="10019" max="10019" width="11.42578125" style="64" bestFit="1" customWidth="1"/>
    <col min="10020" max="10020" width="18" style="64" bestFit="1" customWidth="1"/>
    <col min="10021" max="10238" width="9.140625" style="64"/>
    <col min="10239" max="10239" width="41" style="64" customWidth="1"/>
    <col min="10240" max="10240" width="19.5703125" style="64" bestFit="1" customWidth="1"/>
    <col min="10241" max="10241" width="10.140625" style="64" customWidth="1"/>
    <col min="10242" max="10242" width="10.42578125" style="64" bestFit="1" customWidth="1"/>
    <col min="10243" max="10243" width="11.28515625" style="64" customWidth="1"/>
    <col min="10244" max="10244" width="9.42578125" style="64" customWidth="1"/>
    <col min="10245" max="10245" width="10.140625" style="64" bestFit="1" customWidth="1"/>
    <col min="10246" max="10247" width="9.140625" style="64"/>
    <col min="10248" max="10248" width="7.28515625" style="64" customWidth="1"/>
    <col min="10249" max="10254" width="7.42578125" style="64" customWidth="1"/>
    <col min="10255" max="10255" width="9.42578125" style="64" bestFit="1" customWidth="1"/>
    <col min="10256" max="10256" width="12" style="64" bestFit="1" customWidth="1"/>
    <col min="10257" max="10258" width="12" style="64" customWidth="1"/>
    <col min="10259" max="10259" width="13.140625" style="64" bestFit="1" customWidth="1"/>
    <col min="10260" max="10261" width="13.140625" style="64" customWidth="1"/>
    <col min="10262" max="10263" width="14.42578125" style="64" bestFit="1" customWidth="1"/>
    <col min="10264" max="10265" width="9.140625" style="64" customWidth="1"/>
    <col min="10266" max="10266" width="9.5703125" style="64" customWidth="1"/>
    <col min="10267" max="10268" width="9.5703125" style="64" bestFit="1" customWidth="1"/>
    <col min="10269" max="10270" width="10.140625" style="64" bestFit="1" customWidth="1"/>
    <col min="10271" max="10271" width="9.5703125" style="64" bestFit="1" customWidth="1"/>
    <col min="10272" max="10272" width="9.5703125" style="64" customWidth="1"/>
    <col min="10273" max="10273" width="9" style="64" customWidth="1"/>
    <col min="10274" max="10274" width="10.5703125" style="64" bestFit="1" customWidth="1"/>
    <col min="10275" max="10275" width="11.42578125" style="64" bestFit="1" customWidth="1"/>
    <col min="10276" max="10276" width="18" style="64" bestFit="1" customWidth="1"/>
    <col min="10277" max="10494" width="9.140625" style="64"/>
    <col min="10495" max="10495" width="41" style="64" customWidth="1"/>
    <col min="10496" max="10496" width="19.5703125" style="64" bestFit="1" customWidth="1"/>
    <col min="10497" max="10497" width="10.140625" style="64" customWidth="1"/>
    <col min="10498" max="10498" width="10.42578125" style="64" bestFit="1" customWidth="1"/>
    <col min="10499" max="10499" width="11.28515625" style="64" customWidth="1"/>
    <col min="10500" max="10500" width="9.42578125" style="64" customWidth="1"/>
    <col min="10501" max="10501" width="10.140625" style="64" bestFit="1" customWidth="1"/>
    <col min="10502" max="10503" width="9.140625" style="64"/>
    <col min="10504" max="10504" width="7.28515625" style="64" customWidth="1"/>
    <col min="10505" max="10510" width="7.42578125" style="64" customWidth="1"/>
    <col min="10511" max="10511" width="9.42578125" style="64" bestFit="1" customWidth="1"/>
    <col min="10512" max="10512" width="12" style="64" bestFit="1" customWidth="1"/>
    <col min="10513" max="10514" width="12" style="64" customWidth="1"/>
    <col min="10515" max="10515" width="13.140625" style="64" bestFit="1" customWidth="1"/>
    <col min="10516" max="10517" width="13.140625" style="64" customWidth="1"/>
    <col min="10518" max="10519" width="14.42578125" style="64" bestFit="1" customWidth="1"/>
    <col min="10520" max="10521" width="9.140625" style="64" customWidth="1"/>
    <col min="10522" max="10522" width="9.5703125" style="64" customWidth="1"/>
    <col min="10523" max="10524" width="9.5703125" style="64" bestFit="1" customWidth="1"/>
    <col min="10525" max="10526" width="10.140625" style="64" bestFit="1" customWidth="1"/>
    <col min="10527" max="10527" width="9.5703125" style="64" bestFit="1" customWidth="1"/>
    <col min="10528" max="10528" width="9.5703125" style="64" customWidth="1"/>
    <col min="10529" max="10529" width="9" style="64" customWidth="1"/>
    <col min="10530" max="10530" width="10.5703125" style="64" bestFit="1" customWidth="1"/>
    <col min="10531" max="10531" width="11.42578125" style="64" bestFit="1" customWidth="1"/>
    <col min="10532" max="10532" width="18" style="64" bestFit="1" customWidth="1"/>
    <col min="10533" max="10750" width="9.140625" style="64"/>
    <col min="10751" max="10751" width="41" style="64" customWidth="1"/>
    <col min="10752" max="10752" width="19.5703125" style="64" bestFit="1" customWidth="1"/>
    <col min="10753" max="10753" width="10.140625" style="64" customWidth="1"/>
    <col min="10754" max="10754" width="10.42578125" style="64" bestFit="1" customWidth="1"/>
    <col min="10755" max="10755" width="11.28515625" style="64" customWidth="1"/>
    <col min="10756" max="10756" width="9.42578125" style="64" customWidth="1"/>
    <col min="10757" max="10757" width="10.140625" style="64" bestFit="1" customWidth="1"/>
    <col min="10758" max="10759" width="9.140625" style="64"/>
    <col min="10760" max="10760" width="7.28515625" style="64" customWidth="1"/>
    <col min="10761" max="10766" width="7.42578125" style="64" customWidth="1"/>
    <col min="10767" max="10767" width="9.42578125" style="64" bestFit="1" customWidth="1"/>
    <col min="10768" max="10768" width="12" style="64" bestFit="1" customWidth="1"/>
    <col min="10769" max="10770" width="12" style="64" customWidth="1"/>
    <col min="10771" max="10771" width="13.140625" style="64" bestFit="1" customWidth="1"/>
    <col min="10772" max="10773" width="13.140625" style="64" customWidth="1"/>
    <col min="10774" max="10775" width="14.42578125" style="64" bestFit="1" customWidth="1"/>
    <col min="10776" max="10777" width="9.140625" style="64" customWidth="1"/>
    <col min="10778" max="10778" width="9.5703125" style="64" customWidth="1"/>
    <col min="10779" max="10780" width="9.5703125" style="64" bestFit="1" customWidth="1"/>
    <col min="10781" max="10782" width="10.140625" style="64" bestFit="1" customWidth="1"/>
    <col min="10783" max="10783" width="9.5703125" style="64" bestFit="1" customWidth="1"/>
    <col min="10784" max="10784" width="9.5703125" style="64" customWidth="1"/>
    <col min="10785" max="10785" width="9" style="64" customWidth="1"/>
    <col min="10786" max="10786" width="10.5703125" style="64" bestFit="1" customWidth="1"/>
    <col min="10787" max="10787" width="11.42578125" style="64" bestFit="1" customWidth="1"/>
    <col min="10788" max="10788" width="18" style="64" bestFit="1" customWidth="1"/>
    <col min="10789" max="11006" width="9.140625" style="64"/>
    <col min="11007" max="11007" width="41" style="64" customWidth="1"/>
    <col min="11008" max="11008" width="19.5703125" style="64" bestFit="1" customWidth="1"/>
    <col min="11009" max="11009" width="10.140625" style="64" customWidth="1"/>
    <col min="11010" max="11010" width="10.42578125" style="64" bestFit="1" customWidth="1"/>
    <col min="11011" max="11011" width="11.28515625" style="64" customWidth="1"/>
    <col min="11012" max="11012" width="9.42578125" style="64" customWidth="1"/>
    <col min="11013" max="11013" width="10.140625" style="64" bestFit="1" customWidth="1"/>
    <col min="11014" max="11015" width="9.140625" style="64"/>
    <col min="11016" max="11016" width="7.28515625" style="64" customWidth="1"/>
    <col min="11017" max="11022" width="7.42578125" style="64" customWidth="1"/>
    <col min="11023" max="11023" width="9.42578125" style="64" bestFit="1" customWidth="1"/>
    <col min="11024" max="11024" width="12" style="64" bestFit="1" customWidth="1"/>
    <col min="11025" max="11026" width="12" style="64" customWidth="1"/>
    <col min="11027" max="11027" width="13.140625" style="64" bestFit="1" customWidth="1"/>
    <col min="11028" max="11029" width="13.140625" style="64" customWidth="1"/>
    <col min="11030" max="11031" width="14.42578125" style="64" bestFit="1" customWidth="1"/>
    <col min="11032" max="11033" width="9.140625" style="64" customWidth="1"/>
    <col min="11034" max="11034" width="9.5703125" style="64" customWidth="1"/>
    <col min="11035" max="11036" width="9.5703125" style="64" bestFit="1" customWidth="1"/>
    <col min="11037" max="11038" width="10.140625" style="64" bestFit="1" customWidth="1"/>
    <col min="11039" max="11039" width="9.5703125" style="64" bestFit="1" customWidth="1"/>
    <col min="11040" max="11040" width="9.5703125" style="64" customWidth="1"/>
    <col min="11041" max="11041" width="9" style="64" customWidth="1"/>
    <col min="11042" max="11042" width="10.5703125" style="64" bestFit="1" customWidth="1"/>
    <col min="11043" max="11043" width="11.42578125" style="64" bestFit="1" customWidth="1"/>
    <col min="11044" max="11044" width="18" style="64" bestFit="1" customWidth="1"/>
    <col min="11045" max="11262" width="9.140625" style="64"/>
    <col min="11263" max="11263" width="41" style="64" customWidth="1"/>
    <col min="11264" max="11264" width="19.5703125" style="64" bestFit="1" customWidth="1"/>
    <col min="11265" max="11265" width="10.140625" style="64" customWidth="1"/>
    <col min="11266" max="11266" width="10.42578125" style="64" bestFit="1" customWidth="1"/>
    <col min="11267" max="11267" width="11.28515625" style="64" customWidth="1"/>
    <col min="11268" max="11268" width="9.42578125" style="64" customWidth="1"/>
    <col min="11269" max="11269" width="10.140625" style="64" bestFit="1" customWidth="1"/>
    <col min="11270" max="11271" width="9.140625" style="64"/>
    <col min="11272" max="11272" width="7.28515625" style="64" customWidth="1"/>
    <col min="11273" max="11278" width="7.42578125" style="64" customWidth="1"/>
    <col min="11279" max="11279" width="9.42578125" style="64" bestFit="1" customWidth="1"/>
    <col min="11280" max="11280" width="12" style="64" bestFit="1" customWidth="1"/>
    <col min="11281" max="11282" width="12" style="64" customWidth="1"/>
    <col min="11283" max="11283" width="13.140625" style="64" bestFit="1" customWidth="1"/>
    <col min="11284" max="11285" width="13.140625" style="64" customWidth="1"/>
    <col min="11286" max="11287" width="14.42578125" style="64" bestFit="1" customWidth="1"/>
    <col min="11288" max="11289" width="9.140625" style="64" customWidth="1"/>
    <col min="11290" max="11290" width="9.5703125" style="64" customWidth="1"/>
    <col min="11291" max="11292" width="9.5703125" style="64" bestFit="1" customWidth="1"/>
    <col min="11293" max="11294" width="10.140625" style="64" bestFit="1" customWidth="1"/>
    <col min="11295" max="11295" width="9.5703125" style="64" bestFit="1" customWidth="1"/>
    <col min="11296" max="11296" width="9.5703125" style="64" customWidth="1"/>
    <col min="11297" max="11297" width="9" style="64" customWidth="1"/>
    <col min="11298" max="11298" width="10.5703125" style="64" bestFit="1" customWidth="1"/>
    <col min="11299" max="11299" width="11.42578125" style="64" bestFit="1" customWidth="1"/>
    <col min="11300" max="11300" width="18" style="64" bestFit="1" customWidth="1"/>
    <col min="11301" max="11518" width="9.140625" style="64"/>
    <col min="11519" max="11519" width="41" style="64" customWidth="1"/>
    <col min="11520" max="11520" width="19.5703125" style="64" bestFit="1" customWidth="1"/>
    <col min="11521" max="11521" width="10.140625" style="64" customWidth="1"/>
    <col min="11522" max="11522" width="10.42578125" style="64" bestFit="1" customWidth="1"/>
    <col min="11523" max="11523" width="11.28515625" style="64" customWidth="1"/>
    <col min="11524" max="11524" width="9.42578125" style="64" customWidth="1"/>
    <col min="11525" max="11525" width="10.140625" style="64" bestFit="1" customWidth="1"/>
    <col min="11526" max="11527" width="9.140625" style="64"/>
    <col min="11528" max="11528" width="7.28515625" style="64" customWidth="1"/>
    <col min="11529" max="11534" width="7.42578125" style="64" customWidth="1"/>
    <col min="11535" max="11535" width="9.42578125" style="64" bestFit="1" customWidth="1"/>
    <col min="11536" max="11536" width="12" style="64" bestFit="1" customWidth="1"/>
    <col min="11537" max="11538" width="12" style="64" customWidth="1"/>
    <col min="11539" max="11539" width="13.140625" style="64" bestFit="1" customWidth="1"/>
    <col min="11540" max="11541" width="13.140625" style="64" customWidth="1"/>
    <col min="11542" max="11543" width="14.42578125" style="64" bestFit="1" customWidth="1"/>
    <col min="11544" max="11545" width="9.140625" style="64" customWidth="1"/>
    <col min="11546" max="11546" width="9.5703125" style="64" customWidth="1"/>
    <col min="11547" max="11548" width="9.5703125" style="64" bestFit="1" customWidth="1"/>
    <col min="11549" max="11550" width="10.140625" style="64" bestFit="1" customWidth="1"/>
    <col min="11551" max="11551" width="9.5703125" style="64" bestFit="1" customWidth="1"/>
    <col min="11552" max="11552" width="9.5703125" style="64" customWidth="1"/>
    <col min="11553" max="11553" width="9" style="64" customWidth="1"/>
    <col min="11554" max="11554" width="10.5703125" style="64" bestFit="1" customWidth="1"/>
    <col min="11555" max="11555" width="11.42578125" style="64" bestFit="1" customWidth="1"/>
    <col min="11556" max="11556" width="18" style="64" bestFit="1" customWidth="1"/>
    <col min="11557" max="11774" width="9.140625" style="64"/>
    <col min="11775" max="11775" width="41" style="64" customWidth="1"/>
    <col min="11776" max="11776" width="19.5703125" style="64" bestFit="1" customWidth="1"/>
    <col min="11777" max="11777" width="10.140625" style="64" customWidth="1"/>
    <col min="11778" max="11778" width="10.42578125" style="64" bestFit="1" customWidth="1"/>
    <col min="11779" max="11779" width="11.28515625" style="64" customWidth="1"/>
    <col min="11780" max="11780" width="9.42578125" style="64" customWidth="1"/>
    <col min="11781" max="11781" width="10.140625" style="64" bestFit="1" customWidth="1"/>
    <col min="11782" max="11783" width="9.140625" style="64"/>
    <col min="11784" max="11784" width="7.28515625" style="64" customWidth="1"/>
    <col min="11785" max="11790" width="7.42578125" style="64" customWidth="1"/>
    <col min="11791" max="11791" width="9.42578125" style="64" bestFit="1" customWidth="1"/>
    <col min="11792" max="11792" width="12" style="64" bestFit="1" customWidth="1"/>
    <col min="11793" max="11794" width="12" style="64" customWidth="1"/>
    <col min="11795" max="11795" width="13.140625" style="64" bestFit="1" customWidth="1"/>
    <col min="11796" max="11797" width="13.140625" style="64" customWidth="1"/>
    <col min="11798" max="11799" width="14.42578125" style="64" bestFit="1" customWidth="1"/>
    <col min="11800" max="11801" width="9.140625" style="64" customWidth="1"/>
    <col min="11802" max="11802" width="9.5703125" style="64" customWidth="1"/>
    <col min="11803" max="11804" width="9.5703125" style="64" bestFit="1" customWidth="1"/>
    <col min="11805" max="11806" width="10.140625" style="64" bestFit="1" customWidth="1"/>
    <col min="11807" max="11807" width="9.5703125" style="64" bestFit="1" customWidth="1"/>
    <col min="11808" max="11808" width="9.5703125" style="64" customWidth="1"/>
    <col min="11809" max="11809" width="9" style="64" customWidth="1"/>
    <col min="11810" max="11810" width="10.5703125" style="64" bestFit="1" customWidth="1"/>
    <col min="11811" max="11811" width="11.42578125" style="64" bestFit="1" customWidth="1"/>
    <col min="11812" max="11812" width="18" style="64" bestFit="1" customWidth="1"/>
    <col min="11813" max="12030" width="9.140625" style="64"/>
    <col min="12031" max="12031" width="41" style="64" customWidth="1"/>
    <col min="12032" max="12032" width="19.5703125" style="64" bestFit="1" customWidth="1"/>
    <col min="12033" max="12033" width="10.140625" style="64" customWidth="1"/>
    <col min="12034" max="12034" width="10.42578125" style="64" bestFit="1" customWidth="1"/>
    <col min="12035" max="12035" width="11.28515625" style="64" customWidth="1"/>
    <col min="12036" max="12036" width="9.42578125" style="64" customWidth="1"/>
    <col min="12037" max="12037" width="10.140625" style="64" bestFit="1" customWidth="1"/>
    <col min="12038" max="12039" width="9.140625" style="64"/>
    <col min="12040" max="12040" width="7.28515625" style="64" customWidth="1"/>
    <col min="12041" max="12046" width="7.42578125" style="64" customWidth="1"/>
    <col min="12047" max="12047" width="9.42578125" style="64" bestFit="1" customWidth="1"/>
    <col min="12048" max="12048" width="12" style="64" bestFit="1" customWidth="1"/>
    <col min="12049" max="12050" width="12" style="64" customWidth="1"/>
    <col min="12051" max="12051" width="13.140625" style="64" bestFit="1" customWidth="1"/>
    <col min="12052" max="12053" width="13.140625" style="64" customWidth="1"/>
    <col min="12054" max="12055" width="14.42578125" style="64" bestFit="1" customWidth="1"/>
    <col min="12056" max="12057" width="9.140625" style="64" customWidth="1"/>
    <col min="12058" max="12058" width="9.5703125" style="64" customWidth="1"/>
    <col min="12059" max="12060" width="9.5703125" style="64" bestFit="1" customWidth="1"/>
    <col min="12061" max="12062" width="10.140625" style="64" bestFit="1" customWidth="1"/>
    <col min="12063" max="12063" width="9.5703125" style="64" bestFit="1" customWidth="1"/>
    <col min="12064" max="12064" width="9.5703125" style="64" customWidth="1"/>
    <col min="12065" max="12065" width="9" style="64" customWidth="1"/>
    <col min="12066" max="12066" width="10.5703125" style="64" bestFit="1" customWidth="1"/>
    <col min="12067" max="12067" width="11.42578125" style="64" bestFit="1" customWidth="1"/>
    <col min="12068" max="12068" width="18" style="64" bestFit="1" customWidth="1"/>
    <col min="12069" max="12286" width="9.140625" style="64"/>
    <col min="12287" max="12287" width="41" style="64" customWidth="1"/>
    <col min="12288" max="12288" width="19.5703125" style="64" bestFit="1" customWidth="1"/>
    <col min="12289" max="12289" width="10.140625" style="64" customWidth="1"/>
    <col min="12290" max="12290" width="10.42578125" style="64" bestFit="1" customWidth="1"/>
    <col min="12291" max="12291" width="11.28515625" style="64" customWidth="1"/>
    <col min="12292" max="12292" width="9.42578125" style="64" customWidth="1"/>
    <col min="12293" max="12293" width="10.140625" style="64" bestFit="1" customWidth="1"/>
    <col min="12294" max="12295" width="9.140625" style="64"/>
    <col min="12296" max="12296" width="7.28515625" style="64" customWidth="1"/>
    <col min="12297" max="12302" width="7.42578125" style="64" customWidth="1"/>
    <col min="12303" max="12303" width="9.42578125" style="64" bestFit="1" customWidth="1"/>
    <col min="12304" max="12304" width="12" style="64" bestFit="1" customWidth="1"/>
    <col min="12305" max="12306" width="12" style="64" customWidth="1"/>
    <col min="12307" max="12307" width="13.140625" style="64" bestFit="1" customWidth="1"/>
    <col min="12308" max="12309" width="13.140625" style="64" customWidth="1"/>
    <col min="12310" max="12311" width="14.42578125" style="64" bestFit="1" customWidth="1"/>
    <col min="12312" max="12313" width="9.140625" style="64" customWidth="1"/>
    <col min="12314" max="12314" width="9.5703125" style="64" customWidth="1"/>
    <col min="12315" max="12316" width="9.5703125" style="64" bestFit="1" customWidth="1"/>
    <col min="12317" max="12318" width="10.140625" style="64" bestFit="1" customWidth="1"/>
    <col min="12319" max="12319" width="9.5703125" style="64" bestFit="1" customWidth="1"/>
    <col min="12320" max="12320" width="9.5703125" style="64" customWidth="1"/>
    <col min="12321" max="12321" width="9" style="64" customWidth="1"/>
    <col min="12322" max="12322" width="10.5703125" style="64" bestFit="1" customWidth="1"/>
    <col min="12323" max="12323" width="11.42578125" style="64" bestFit="1" customWidth="1"/>
    <col min="12324" max="12324" width="18" style="64" bestFit="1" customWidth="1"/>
    <col min="12325" max="12542" width="9.140625" style="64"/>
    <col min="12543" max="12543" width="41" style="64" customWidth="1"/>
    <col min="12544" max="12544" width="19.5703125" style="64" bestFit="1" customWidth="1"/>
    <col min="12545" max="12545" width="10.140625" style="64" customWidth="1"/>
    <col min="12546" max="12546" width="10.42578125" style="64" bestFit="1" customWidth="1"/>
    <col min="12547" max="12547" width="11.28515625" style="64" customWidth="1"/>
    <col min="12548" max="12548" width="9.42578125" style="64" customWidth="1"/>
    <col min="12549" max="12549" width="10.140625" style="64" bestFit="1" customWidth="1"/>
    <col min="12550" max="12551" width="9.140625" style="64"/>
    <col min="12552" max="12552" width="7.28515625" style="64" customWidth="1"/>
    <col min="12553" max="12558" width="7.42578125" style="64" customWidth="1"/>
    <col min="12559" max="12559" width="9.42578125" style="64" bestFit="1" customWidth="1"/>
    <col min="12560" max="12560" width="12" style="64" bestFit="1" customWidth="1"/>
    <col min="12561" max="12562" width="12" style="64" customWidth="1"/>
    <col min="12563" max="12563" width="13.140625" style="64" bestFit="1" customWidth="1"/>
    <col min="12564" max="12565" width="13.140625" style="64" customWidth="1"/>
    <col min="12566" max="12567" width="14.42578125" style="64" bestFit="1" customWidth="1"/>
    <col min="12568" max="12569" width="9.140625" style="64" customWidth="1"/>
    <col min="12570" max="12570" width="9.5703125" style="64" customWidth="1"/>
    <col min="12571" max="12572" width="9.5703125" style="64" bestFit="1" customWidth="1"/>
    <col min="12573" max="12574" width="10.140625" style="64" bestFit="1" customWidth="1"/>
    <col min="12575" max="12575" width="9.5703125" style="64" bestFit="1" customWidth="1"/>
    <col min="12576" max="12576" width="9.5703125" style="64" customWidth="1"/>
    <col min="12577" max="12577" width="9" style="64" customWidth="1"/>
    <col min="12578" max="12578" width="10.5703125" style="64" bestFit="1" customWidth="1"/>
    <col min="12579" max="12579" width="11.42578125" style="64" bestFit="1" customWidth="1"/>
    <col min="12580" max="12580" width="18" style="64" bestFit="1" customWidth="1"/>
    <col min="12581" max="12798" width="9.140625" style="64"/>
    <col min="12799" max="12799" width="41" style="64" customWidth="1"/>
    <col min="12800" max="12800" width="19.5703125" style="64" bestFit="1" customWidth="1"/>
    <col min="12801" max="12801" width="10.140625" style="64" customWidth="1"/>
    <col min="12802" max="12802" width="10.42578125" style="64" bestFit="1" customWidth="1"/>
    <col min="12803" max="12803" width="11.28515625" style="64" customWidth="1"/>
    <col min="12804" max="12804" width="9.42578125" style="64" customWidth="1"/>
    <col min="12805" max="12805" width="10.140625" style="64" bestFit="1" customWidth="1"/>
    <col min="12806" max="12807" width="9.140625" style="64"/>
    <col min="12808" max="12808" width="7.28515625" style="64" customWidth="1"/>
    <col min="12809" max="12814" width="7.42578125" style="64" customWidth="1"/>
    <col min="12815" max="12815" width="9.42578125" style="64" bestFit="1" customWidth="1"/>
    <col min="12816" max="12816" width="12" style="64" bestFit="1" customWidth="1"/>
    <col min="12817" max="12818" width="12" style="64" customWidth="1"/>
    <col min="12819" max="12819" width="13.140625" style="64" bestFit="1" customWidth="1"/>
    <col min="12820" max="12821" width="13.140625" style="64" customWidth="1"/>
    <col min="12822" max="12823" width="14.42578125" style="64" bestFit="1" customWidth="1"/>
    <col min="12824" max="12825" width="9.140625" style="64" customWidth="1"/>
    <col min="12826" max="12826" width="9.5703125" style="64" customWidth="1"/>
    <col min="12827" max="12828" width="9.5703125" style="64" bestFit="1" customWidth="1"/>
    <col min="12829" max="12830" width="10.140625" style="64" bestFit="1" customWidth="1"/>
    <col min="12831" max="12831" width="9.5703125" style="64" bestFit="1" customWidth="1"/>
    <col min="12832" max="12832" width="9.5703125" style="64" customWidth="1"/>
    <col min="12833" max="12833" width="9" style="64" customWidth="1"/>
    <col min="12834" max="12834" width="10.5703125" style="64" bestFit="1" customWidth="1"/>
    <col min="12835" max="12835" width="11.42578125" style="64" bestFit="1" customWidth="1"/>
    <col min="12836" max="12836" width="18" style="64" bestFit="1" customWidth="1"/>
    <col min="12837" max="13054" width="9.140625" style="64"/>
    <col min="13055" max="13055" width="41" style="64" customWidth="1"/>
    <col min="13056" max="13056" width="19.5703125" style="64" bestFit="1" customWidth="1"/>
    <col min="13057" max="13057" width="10.140625" style="64" customWidth="1"/>
    <col min="13058" max="13058" width="10.42578125" style="64" bestFit="1" customWidth="1"/>
    <col min="13059" max="13059" width="11.28515625" style="64" customWidth="1"/>
    <col min="13060" max="13060" width="9.42578125" style="64" customWidth="1"/>
    <col min="13061" max="13061" width="10.140625" style="64" bestFit="1" customWidth="1"/>
    <col min="13062" max="13063" width="9.140625" style="64"/>
    <col min="13064" max="13064" width="7.28515625" style="64" customWidth="1"/>
    <col min="13065" max="13070" width="7.42578125" style="64" customWidth="1"/>
    <col min="13071" max="13071" width="9.42578125" style="64" bestFit="1" customWidth="1"/>
    <col min="13072" max="13072" width="12" style="64" bestFit="1" customWidth="1"/>
    <col min="13073" max="13074" width="12" style="64" customWidth="1"/>
    <col min="13075" max="13075" width="13.140625" style="64" bestFit="1" customWidth="1"/>
    <col min="13076" max="13077" width="13.140625" style="64" customWidth="1"/>
    <col min="13078" max="13079" width="14.42578125" style="64" bestFit="1" customWidth="1"/>
    <col min="13080" max="13081" width="9.140625" style="64" customWidth="1"/>
    <col min="13082" max="13082" width="9.5703125" style="64" customWidth="1"/>
    <col min="13083" max="13084" width="9.5703125" style="64" bestFit="1" customWidth="1"/>
    <col min="13085" max="13086" width="10.140625" style="64" bestFit="1" customWidth="1"/>
    <col min="13087" max="13087" width="9.5703125" style="64" bestFit="1" customWidth="1"/>
    <col min="13088" max="13088" width="9.5703125" style="64" customWidth="1"/>
    <col min="13089" max="13089" width="9" style="64" customWidth="1"/>
    <col min="13090" max="13090" width="10.5703125" style="64" bestFit="1" customWidth="1"/>
    <col min="13091" max="13091" width="11.42578125" style="64" bestFit="1" customWidth="1"/>
    <col min="13092" max="13092" width="18" style="64" bestFit="1" customWidth="1"/>
    <col min="13093" max="13310" width="9.140625" style="64"/>
    <col min="13311" max="13311" width="41" style="64" customWidth="1"/>
    <col min="13312" max="13312" width="19.5703125" style="64" bestFit="1" customWidth="1"/>
    <col min="13313" max="13313" width="10.140625" style="64" customWidth="1"/>
    <col min="13314" max="13314" width="10.42578125" style="64" bestFit="1" customWidth="1"/>
    <col min="13315" max="13315" width="11.28515625" style="64" customWidth="1"/>
    <col min="13316" max="13316" width="9.42578125" style="64" customWidth="1"/>
    <col min="13317" max="13317" width="10.140625" style="64" bestFit="1" customWidth="1"/>
    <col min="13318" max="13319" width="9.140625" style="64"/>
    <col min="13320" max="13320" width="7.28515625" style="64" customWidth="1"/>
    <col min="13321" max="13326" width="7.42578125" style="64" customWidth="1"/>
    <col min="13327" max="13327" width="9.42578125" style="64" bestFit="1" customWidth="1"/>
    <col min="13328" max="13328" width="12" style="64" bestFit="1" customWidth="1"/>
    <col min="13329" max="13330" width="12" style="64" customWidth="1"/>
    <col min="13331" max="13331" width="13.140625" style="64" bestFit="1" customWidth="1"/>
    <col min="13332" max="13333" width="13.140625" style="64" customWidth="1"/>
    <col min="13334" max="13335" width="14.42578125" style="64" bestFit="1" customWidth="1"/>
    <col min="13336" max="13337" width="9.140625" style="64" customWidth="1"/>
    <col min="13338" max="13338" width="9.5703125" style="64" customWidth="1"/>
    <col min="13339" max="13340" width="9.5703125" style="64" bestFit="1" customWidth="1"/>
    <col min="13341" max="13342" width="10.140625" style="64" bestFit="1" customWidth="1"/>
    <col min="13343" max="13343" width="9.5703125" style="64" bestFit="1" customWidth="1"/>
    <col min="13344" max="13344" width="9.5703125" style="64" customWidth="1"/>
    <col min="13345" max="13345" width="9" style="64" customWidth="1"/>
    <col min="13346" max="13346" width="10.5703125" style="64" bestFit="1" customWidth="1"/>
    <col min="13347" max="13347" width="11.42578125" style="64" bestFit="1" customWidth="1"/>
    <col min="13348" max="13348" width="18" style="64" bestFit="1" customWidth="1"/>
    <col min="13349" max="13566" width="9.140625" style="64"/>
    <col min="13567" max="13567" width="41" style="64" customWidth="1"/>
    <col min="13568" max="13568" width="19.5703125" style="64" bestFit="1" customWidth="1"/>
    <col min="13569" max="13569" width="10.140625" style="64" customWidth="1"/>
    <col min="13570" max="13570" width="10.42578125" style="64" bestFit="1" customWidth="1"/>
    <col min="13571" max="13571" width="11.28515625" style="64" customWidth="1"/>
    <col min="13572" max="13572" width="9.42578125" style="64" customWidth="1"/>
    <col min="13573" max="13573" width="10.140625" style="64" bestFit="1" customWidth="1"/>
    <col min="13574" max="13575" width="9.140625" style="64"/>
    <col min="13576" max="13576" width="7.28515625" style="64" customWidth="1"/>
    <col min="13577" max="13582" width="7.42578125" style="64" customWidth="1"/>
    <col min="13583" max="13583" width="9.42578125" style="64" bestFit="1" customWidth="1"/>
    <col min="13584" max="13584" width="12" style="64" bestFit="1" customWidth="1"/>
    <col min="13585" max="13586" width="12" style="64" customWidth="1"/>
    <col min="13587" max="13587" width="13.140625" style="64" bestFit="1" customWidth="1"/>
    <col min="13588" max="13589" width="13.140625" style="64" customWidth="1"/>
    <col min="13590" max="13591" width="14.42578125" style="64" bestFit="1" customWidth="1"/>
    <col min="13592" max="13593" width="9.140625" style="64" customWidth="1"/>
    <col min="13594" max="13594" width="9.5703125" style="64" customWidth="1"/>
    <col min="13595" max="13596" width="9.5703125" style="64" bestFit="1" customWidth="1"/>
    <col min="13597" max="13598" width="10.140625" style="64" bestFit="1" customWidth="1"/>
    <col min="13599" max="13599" width="9.5703125" style="64" bestFit="1" customWidth="1"/>
    <col min="13600" max="13600" width="9.5703125" style="64" customWidth="1"/>
    <col min="13601" max="13601" width="9" style="64" customWidth="1"/>
    <col min="13602" max="13602" width="10.5703125" style="64" bestFit="1" customWidth="1"/>
    <col min="13603" max="13603" width="11.42578125" style="64" bestFit="1" customWidth="1"/>
    <col min="13604" max="13604" width="18" style="64" bestFit="1" customWidth="1"/>
    <col min="13605" max="13822" width="9.140625" style="64"/>
    <col min="13823" max="13823" width="41" style="64" customWidth="1"/>
    <col min="13824" max="13824" width="19.5703125" style="64" bestFit="1" customWidth="1"/>
    <col min="13825" max="13825" width="10.140625" style="64" customWidth="1"/>
    <col min="13826" max="13826" width="10.42578125" style="64" bestFit="1" customWidth="1"/>
    <col min="13827" max="13827" width="11.28515625" style="64" customWidth="1"/>
    <col min="13828" max="13828" width="9.42578125" style="64" customWidth="1"/>
    <col min="13829" max="13829" width="10.140625" style="64" bestFit="1" customWidth="1"/>
    <col min="13830" max="13831" width="9.140625" style="64"/>
    <col min="13832" max="13832" width="7.28515625" style="64" customWidth="1"/>
    <col min="13833" max="13838" width="7.42578125" style="64" customWidth="1"/>
    <col min="13839" max="13839" width="9.42578125" style="64" bestFit="1" customWidth="1"/>
    <col min="13840" max="13840" width="12" style="64" bestFit="1" customWidth="1"/>
    <col min="13841" max="13842" width="12" style="64" customWidth="1"/>
    <col min="13843" max="13843" width="13.140625" style="64" bestFit="1" customWidth="1"/>
    <col min="13844" max="13845" width="13.140625" style="64" customWidth="1"/>
    <col min="13846" max="13847" width="14.42578125" style="64" bestFit="1" customWidth="1"/>
    <col min="13848" max="13849" width="9.140625" style="64" customWidth="1"/>
    <col min="13850" max="13850" width="9.5703125" style="64" customWidth="1"/>
    <col min="13851" max="13852" width="9.5703125" style="64" bestFit="1" customWidth="1"/>
    <col min="13853" max="13854" width="10.140625" style="64" bestFit="1" customWidth="1"/>
    <col min="13855" max="13855" width="9.5703125" style="64" bestFit="1" customWidth="1"/>
    <col min="13856" max="13856" width="9.5703125" style="64" customWidth="1"/>
    <col min="13857" max="13857" width="9" style="64" customWidth="1"/>
    <col min="13858" max="13858" width="10.5703125" style="64" bestFit="1" customWidth="1"/>
    <col min="13859" max="13859" width="11.42578125" style="64" bestFit="1" customWidth="1"/>
    <col min="13860" max="13860" width="18" style="64" bestFit="1" customWidth="1"/>
    <col min="13861" max="14078" width="9.140625" style="64"/>
    <col min="14079" max="14079" width="41" style="64" customWidth="1"/>
    <col min="14080" max="14080" width="19.5703125" style="64" bestFit="1" customWidth="1"/>
    <col min="14081" max="14081" width="10.140625" style="64" customWidth="1"/>
    <col min="14082" max="14082" width="10.42578125" style="64" bestFit="1" customWidth="1"/>
    <col min="14083" max="14083" width="11.28515625" style="64" customWidth="1"/>
    <col min="14084" max="14084" width="9.42578125" style="64" customWidth="1"/>
    <col min="14085" max="14085" width="10.140625" style="64" bestFit="1" customWidth="1"/>
    <col min="14086" max="14087" width="9.140625" style="64"/>
    <col min="14088" max="14088" width="7.28515625" style="64" customWidth="1"/>
    <col min="14089" max="14094" width="7.42578125" style="64" customWidth="1"/>
    <col min="14095" max="14095" width="9.42578125" style="64" bestFit="1" customWidth="1"/>
    <col min="14096" max="14096" width="12" style="64" bestFit="1" customWidth="1"/>
    <col min="14097" max="14098" width="12" style="64" customWidth="1"/>
    <col min="14099" max="14099" width="13.140625" style="64" bestFit="1" customWidth="1"/>
    <col min="14100" max="14101" width="13.140625" style="64" customWidth="1"/>
    <col min="14102" max="14103" width="14.42578125" style="64" bestFit="1" customWidth="1"/>
    <col min="14104" max="14105" width="9.140625" style="64" customWidth="1"/>
    <col min="14106" max="14106" width="9.5703125" style="64" customWidth="1"/>
    <col min="14107" max="14108" width="9.5703125" style="64" bestFit="1" customWidth="1"/>
    <col min="14109" max="14110" width="10.140625" style="64" bestFit="1" customWidth="1"/>
    <col min="14111" max="14111" width="9.5703125" style="64" bestFit="1" customWidth="1"/>
    <col min="14112" max="14112" width="9.5703125" style="64" customWidth="1"/>
    <col min="14113" max="14113" width="9" style="64" customWidth="1"/>
    <col min="14114" max="14114" width="10.5703125" style="64" bestFit="1" customWidth="1"/>
    <col min="14115" max="14115" width="11.42578125" style="64" bestFit="1" customWidth="1"/>
    <col min="14116" max="14116" width="18" style="64" bestFit="1" customWidth="1"/>
    <col min="14117" max="14334" width="9.140625" style="64"/>
    <col min="14335" max="14335" width="41" style="64" customWidth="1"/>
    <col min="14336" max="14336" width="19.5703125" style="64" bestFit="1" customWidth="1"/>
    <col min="14337" max="14337" width="10.140625" style="64" customWidth="1"/>
    <col min="14338" max="14338" width="10.42578125" style="64" bestFit="1" customWidth="1"/>
    <col min="14339" max="14339" width="11.28515625" style="64" customWidth="1"/>
    <col min="14340" max="14340" width="9.42578125" style="64" customWidth="1"/>
    <col min="14341" max="14341" width="10.140625" style="64" bestFit="1" customWidth="1"/>
    <col min="14342" max="14343" width="9.140625" style="64"/>
    <col min="14344" max="14344" width="7.28515625" style="64" customWidth="1"/>
    <col min="14345" max="14350" width="7.42578125" style="64" customWidth="1"/>
    <col min="14351" max="14351" width="9.42578125" style="64" bestFit="1" customWidth="1"/>
    <col min="14352" max="14352" width="12" style="64" bestFit="1" customWidth="1"/>
    <col min="14353" max="14354" width="12" style="64" customWidth="1"/>
    <col min="14355" max="14355" width="13.140625" style="64" bestFit="1" customWidth="1"/>
    <col min="14356" max="14357" width="13.140625" style="64" customWidth="1"/>
    <col min="14358" max="14359" width="14.42578125" style="64" bestFit="1" customWidth="1"/>
    <col min="14360" max="14361" width="9.140625" style="64" customWidth="1"/>
    <col min="14362" max="14362" width="9.5703125" style="64" customWidth="1"/>
    <col min="14363" max="14364" width="9.5703125" style="64" bestFit="1" customWidth="1"/>
    <col min="14365" max="14366" width="10.140625" style="64" bestFit="1" customWidth="1"/>
    <col min="14367" max="14367" width="9.5703125" style="64" bestFit="1" customWidth="1"/>
    <col min="14368" max="14368" width="9.5703125" style="64" customWidth="1"/>
    <col min="14369" max="14369" width="9" style="64" customWidth="1"/>
    <col min="14370" max="14370" width="10.5703125" style="64" bestFit="1" customWidth="1"/>
    <col min="14371" max="14371" width="11.42578125" style="64" bestFit="1" customWidth="1"/>
    <col min="14372" max="14372" width="18" style="64" bestFit="1" customWidth="1"/>
    <col min="14373" max="14590" width="9.140625" style="64"/>
    <col min="14591" max="14591" width="41" style="64" customWidth="1"/>
    <col min="14592" max="14592" width="19.5703125" style="64" bestFit="1" customWidth="1"/>
    <col min="14593" max="14593" width="10.140625" style="64" customWidth="1"/>
    <col min="14594" max="14594" width="10.42578125" style="64" bestFit="1" customWidth="1"/>
    <col min="14595" max="14595" width="11.28515625" style="64" customWidth="1"/>
    <col min="14596" max="14596" width="9.42578125" style="64" customWidth="1"/>
    <col min="14597" max="14597" width="10.140625" style="64" bestFit="1" customWidth="1"/>
    <col min="14598" max="14599" width="9.140625" style="64"/>
    <col min="14600" max="14600" width="7.28515625" style="64" customWidth="1"/>
    <col min="14601" max="14606" width="7.42578125" style="64" customWidth="1"/>
    <col min="14607" max="14607" width="9.42578125" style="64" bestFit="1" customWidth="1"/>
    <col min="14608" max="14608" width="12" style="64" bestFit="1" customWidth="1"/>
    <col min="14609" max="14610" width="12" style="64" customWidth="1"/>
    <col min="14611" max="14611" width="13.140625" style="64" bestFit="1" customWidth="1"/>
    <col min="14612" max="14613" width="13.140625" style="64" customWidth="1"/>
    <col min="14614" max="14615" width="14.42578125" style="64" bestFit="1" customWidth="1"/>
    <col min="14616" max="14617" width="9.140625" style="64" customWidth="1"/>
    <col min="14618" max="14618" width="9.5703125" style="64" customWidth="1"/>
    <col min="14619" max="14620" width="9.5703125" style="64" bestFit="1" customWidth="1"/>
    <col min="14621" max="14622" width="10.140625" style="64" bestFit="1" customWidth="1"/>
    <col min="14623" max="14623" width="9.5703125" style="64" bestFit="1" customWidth="1"/>
    <col min="14624" max="14624" width="9.5703125" style="64" customWidth="1"/>
    <col min="14625" max="14625" width="9" style="64" customWidth="1"/>
    <col min="14626" max="14626" width="10.5703125" style="64" bestFit="1" customWidth="1"/>
    <col min="14627" max="14627" width="11.42578125" style="64" bestFit="1" customWidth="1"/>
    <col min="14628" max="14628" width="18" style="64" bestFit="1" customWidth="1"/>
    <col min="14629" max="14846" width="9.140625" style="64"/>
    <col min="14847" max="14847" width="41" style="64" customWidth="1"/>
    <col min="14848" max="14848" width="19.5703125" style="64" bestFit="1" customWidth="1"/>
    <col min="14849" max="14849" width="10.140625" style="64" customWidth="1"/>
    <col min="14850" max="14850" width="10.42578125" style="64" bestFit="1" customWidth="1"/>
    <col min="14851" max="14851" width="11.28515625" style="64" customWidth="1"/>
    <col min="14852" max="14852" width="9.42578125" style="64" customWidth="1"/>
    <col min="14853" max="14853" width="10.140625" style="64" bestFit="1" customWidth="1"/>
    <col min="14854" max="14855" width="9.140625" style="64"/>
    <col min="14856" max="14856" width="7.28515625" style="64" customWidth="1"/>
    <col min="14857" max="14862" width="7.42578125" style="64" customWidth="1"/>
    <col min="14863" max="14863" width="9.42578125" style="64" bestFit="1" customWidth="1"/>
    <col min="14864" max="14864" width="12" style="64" bestFit="1" customWidth="1"/>
    <col min="14865" max="14866" width="12" style="64" customWidth="1"/>
    <col min="14867" max="14867" width="13.140625" style="64" bestFit="1" customWidth="1"/>
    <col min="14868" max="14869" width="13.140625" style="64" customWidth="1"/>
    <col min="14870" max="14871" width="14.42578125" style="64" bestFit="1" customWidth="1"/>
    <col min="14872" max="14873" width="9.140625" style="64" customWidth="1"/>
    <col min="14874" max="14874" width="9.5703125" style="64" customWidth="1"/>
    <col min="14875" max="14876" width="9.5703125" style="64" bestFit="1" customWidth="1"/>
    <col min="14877" max="14878" width="10.140625" style="64" bestFit="1" customWidth="1"/>
    <col min="14879" max="14879" width="9.5703125" style="64" bestFit="1" customWidth="1"/>
    <col min="14880" max="14880" width="9.5703125" style="64" customWidth="1"/>
    <col min="14881" max="14881" width="9" style="64" customWidth="1"/>
    <col min="14882" max="14882" width="10.5703125" style="64" bestFit="1" customWidth="1"/>
    <col min="14883" max="14883" width="11.42578125" style="64" bestFit="1" customWidth="1"/>
    <col min="14884" max="14884" width="18" style="64" bestFit="1" customWidth="1"/>
    <col min="14885" max="15102" width="9.140625" style="64"/>
    <col min="15103" max="15103" width="41" style="64" customWidth="1"/>
    <col min="15104" max="15104" width="19.5703125" style="64" bestFit="1" customWidth="1"/>
    <col min="15105" max="15105" width="10.140625" style="64" customWidth="1"/>
    <col min="15106" max="15106" width="10.42578125" style="64" bestFit="1" customWidth="1"/>
    <col min="15107" max="15107" width="11.28515625" style="64" customWidth="1"/>
    <col min="15108" max="15108" width="9.42578125" style="64" customWidth="1"/>
    <col min="15109" max="15109" width="10.140625" style="64" bestFit="1" customWidth="1"/>
    <col min="15110" max="15111" width="9.140625" style="64"/>
    <col min="15112" max="15112" width="7.28515625" style="64" customWidth="1"/>
    <col min="15113" max="15118" width="7.42578125" style="64" customWidth="1"/>
    <col min="15119" max="15119" width="9.42578125" style="64" bestFit="1" customWidth="1"/>
    <col min="15120" max="15120" width="12" style="64" bestFit="1" customWidth="1"/>
    <col min="15121" max="15122" width="12" style="64" customWidth="1"/>
    <col min="15123" max="15123" width="13.140625" style="64" bestFit="1" customWidth="1"/>
    <col min="15124" max="15125" width="13.140625" style="64" customWidth="1"/>
    <col min="15126" max="15127" width="14.42578125" style="64" bestFit="1" customWidth="1"/>
    <col min="15128" max="15129" width="9.140625" style="64" customWidth="1"/>
    <col min="15130" max="15130" width="9.5703125" style="64" customWidth="1"/>
    <col min="15131" max="15132" width="9.5703125" style="64" bestFit="1" customWidth="1"/>
    <col min="15133" max="15134" width="10.140625" style="64" bestFit="1" customWidth="1"/>
    <col min="15135" max="15135" width="9.5703125" style="64" bestFit="1" customWidth="1"/>
    <col min="15136" max="15136" width="9.5703125" style="64" customWidth="1"/>
    <col min="15137" max="15137" width="9" style="64" customWidth="1"/>
    <col min="15138" max="15138" width="10.5703125" style="64" bestFit="1" customWidth="1"/>
    <col min="15139" max="15139" width="11.42578125" style="64" bestFit="1" customWidth="1"/>
    <col min="15140" max="15140" width="18" style="64" bestFit="1" customWidth="1"/>
    <col min="15141" max="15358" width="9.140625" style="64"/>
    <col min="15359" max="15359" width="41" style="64" customWidth="1"/>
    <col min="15360" max="15360" width="19.5703125" style="64" bestFit="1" customWidth="1"/>
    <col min="15361" max="15361" width="10.140625" style="64" customWidth="1"/>
    <col min="15362" max="15362" width="10.42578125" style="64" bestFit="1" customWidth="1"/>
    <col min="15363" max="15363" width="11.28515625" style="64" customWidth="1"/>
    <col min="15364" max="15364" width="9.42578125" style="64" customWidth="1"/>
    <col min="15365" max="15365" width="10.140625" style="64" bestFit="1" customWidth="1"/>
    <col min="15366" max="15367" width="9.140625" style="64"/>
    <col min="15368" max="15368" width="7.28515625" style="64" customWidth="1"/>
    <col min="15369" max="15374" width="7.42578125" style="64" customWidth="1"/>
    <col min="15375" max="15375" width="9.42578125" style="64" bestFit="1" customWidth="1"/>
    <col min="15376" max="15376" width="12" style="64" bestFit="1" customWidth="1"/>
    <col min="15377" max="15378" width="12" style="64" customWidth="1"/>
    <col min="15379" max="15379" width="13.140625" style="64" bestFit="1" customWidth="1"/>
    <col min="15380" max="15381" width="13.140625" style="64" customWidth="1"/>
    <col min="15382" max="15383" width="14.42578125" style="64" bestFit="1" customWidth="1"/>
    <col min="15384" max="15385" width="9.140625" style="64" customWidth="1"/>
    <col min="15386" max="15386" width="9.5703125" style="64" customWidth="1"/>
    <col min="15387" max="15388" width="9.5703125" style="64" bestFit="1" customWidth="1"/>
    <col min="15389" max="15390" width="10.140625" style="64" bestFit="1" customWidth="1"/>
    <col min="15391" max="15391" width="9.5703125" style="64" bestFit="1" customWidth="1"/>
    <col min="15392" max="15392" width="9.5703125" style="64" customWidth="1"/>
    <col min="15393" max="15393" width="9" style="64" customWidth="1"/>
    <col min="15394" max="15394" width="10.5703125" style="64" bestFit="1" customWidth="1"/>
    <col min="15395" max="15395" width="11.42578125" style="64" bestFit="1" customWidth="1"/>
    <col min="15396" max="15396" width="18" style="64" bestFit="1" customWidth="1"/>
    <col min="15397" max="15614" width="9.140625" style="64"/>
    <col min="15615" max="15615" width="41" style="64" customWidth="1"/>
    <col min="15616" max="15616" width="19.5703125" style="64" bestFit="1" customWidth="1"/>
    <col min="15617" max="15617" width="10.140625" style="64" customWidth="1"/>
    <col min="15618" max="15618" width="10.42578125" style="64" bestFit="1" customWidth="1"/>
    <col min="15619" max="15619" width="11.28515625" style="64" customWidth="1"/>
    <col min="15620" max="15620" width="9.42578125" style="64" customWidth="1"/>
    <col min="15621" max="15621" width="10.140625" style="64" bestFit="1" customWidth="1"/>
    <col min="15622" max="15623" width="9.140625" style="64"/>
    <col min="15624" max="15624" width="7.28515625" style="64" customWidth="1"/>
    <col min="15625" max="15630" width="7.42578125" style="64" customWidth="1"/>
    <col min="15631" max="15631" width="9.42578125" style="64" bestFit="1" customWidth="1"/>
    <col min="15632" max="15632" width="12" style="64" bestFit="1" customWidth="1"/>
    <col min="15633" max="15634" width="12" style="64" customWidth="1"/>
    <col min="15635" max="15635" width="13.140625" style="64" bestFit="1" customWidth="1"/>
    <col min="15636" max="15637" width="13.140625" style="64" customWidth="1"/>
    <col min="15638" max="15639" width="14.42578125" style="64" bestFit="1" customWidth="1"/>
    <col min="15640" max="15641" width="9.140625" style="64" customWidth="1"/>
    <col min="15642" max="15642" width="9.5703125" style="64" customWidth="1"/>
    <col min="15643" max="15644" width="9.5703125" style="64" bestFit="1" customWidth="1"/>
    <col min="15645" max="15646" width="10.140625" style="64" bestFit="1" customWidth="1"/>
    <col min="15647" max="15647" width="9.5703125" style="64" bestFit="1" customWidth="1"/>
    <col min="15648" max="15648" width="9.5703125" style="64" customWidth="1"/>
    <col min="15649" max="15649" width="9" style="64" customWidth="1"/>
    <col min="15650" max="15650" width="10.5703125" style="64" bestFit="1" customWidth="1"/>
    <col min="15651" max="15651" width="11.42578125" style="64" bestFit="1" customWidth="1"/>
    <col min="15652" max="15652" width="18" style="64" bestFit="1" customWidth="1"/>
    <col min="15653" max="15870" width="9.140625" style="64"/>
    <col min="15871" max="15871" width="41" style="64" customWidth="1"/>
    <col min="15872" max="15872" width="19.5703125" style="64" bestFit="1" customWidth="1"/>
    <col min="15873" max="15873" width="10.140625" style="64" customWidth="1"/>
    <col min="15874" max="15874" width="10.42578125" style="64" bestFit="1" customWidth="1"/>
    <col min="15875" max="15875" width="11.28515625" style="64" customWidth="1"/>
    <col min="15876" max="15876" width="9.42578125" style="64" customWidth="1"/>
    <col min="15877" max="15877" width="10.140625" style="64" bestFit="1" customWidth="1"/>
    <col min="15878" max="15879" width="9.140625" style="64"/>
    <col min="15880" max="15880" width="7.28515625" style="64" customWidth="1"/>
    <col min="15881" max="15886" width="7.42578125" style="64" customWidth="1"/>
    <col min="15887" max="15887" width="9.42578125" style="64" bestFit="1" customWidth="1"/>
    <col min="15888" max="15888" width="12" style="64" bestFit="1" customWidth="1"/>
    <col min="15889" max="15890" width="12" style="64" customWidth="1"/>
    <col min="15891" max="15891" width="13.140625" style="64" bestFit="1" customWidth="1"/>
    <col min="15892" max="15893" width="13.140625" style="64" customWidth="1"/>
    <col min="15894" max="15895" width="14.42578125" style="64" bestFit="1" customWidth="1"/>
    <col min="15896" max="15897" width="9.140625" style="64" customWidth="1"/>
    <col min="15898" max="15898" width="9.5703125" style="64" customWidth="1"/>
    <col min="15899" max="15900" width="9.5703125" style="64" bestFit="1" customWidth="1"/>
    <col min="15901" max="15902" width="10.140625" style="64" bestFit="1" customWidth="1"/>
    <col min="15903" max="15903" width="9.5703125" style="64" bestFit="1" customWidth="1"/>
    <col min="15904" max="15904" width="9.5703125" style="64" customWidth="1"/>
    <col min="15905" max="15905" width="9" style="64" customWidth="1"/>
    <col min="15906" max="15906" width="10.5703125" style="64" bestFit="1" customWidth="1"/>
    <col min="15907" max="15907" width="11.42578125" style="64" bestFit="1" customWidth="1"/>
    <col min="15908" max="15908" width="18" style="64" bestFit="1" customWidth="1"/>
    <col min="15909" max="16126" width="9.140625" style="64"/>
    <col min="16127" max="16127" width="41" style="64" customWidth="1"/>
    <col min="16128" max="16128" width="19.5703125" style="64" bestFit="1" customWidth="1"/>
    <col min="16129" max="16129" width="10.140625" style="64" customWidth="1"/>
    <col min="16130" max="16130" width="10.42578125" style="64" bestFit="1" customWidth="1"/>
    <col min="16131" max="16131" width="11.28515625" style="64" customWidth="1"/>
    <col min="16132" max="16132" width="9.42578125" style="64" customWidth="1"/>
    <col min="16133" max="16133" width="10.140625" style="64" bestFit="1" customWidth="1"/>
    <col min="16134" max="16135" width="9.140625" style="64"/>
    <col min="16136" max="16136" width="7.28515625" style="64" customWidth="1"/>
    <col min="16137" max="16142" width="7.42578125" style="64" customWidth="1"/>
    <col min="16143" max="16143" width="9.42578125" style="64" bestFit="1" customWidth="1"/>
    <col min="16144" max="16144" width="12" style="64" bestFit="1" customWidth="1"/>
    <col min="16145" max="16146" width="12" style="64" customWidth="1"/>
    <col min="16147" max="16147" width="13.140625" style="64" bestFit="1" customWidth="1"/>
    <col min="16148" max="16149" width="13.140625" style="64" customWidth="1"/>
    <col min="16150" max="16151" width="14.42578125" style="64" bestFit="1" customWidth="1"/>
    <col min="16152" max="16153" width="9.140625" style="64" customWidth="1"/>
    <col min="16154" max="16154" width="9.5703125" style="64" customWidth="1"/>
    <col min="16155" max="16156" width="9.5703125" style="64" bestFit="1" customWidth="1"/>
    <col min="16157" max="16158" width="10.140625" style="64" bestFit="1" customWidth="1"/>
    <col min="16159" max="16159" width="9.5703125" style="64" bestFit="1" customWidth="1"/>
    <col min="16160" max="16160" width="9.5703125" style="64" customWidth="1"/>
    <col min="16161" max="16161" width="9" style="64" customWidth="1"/>
    <col min="16162" max="16162" width="10.5703125" style="64" bestFit="1" customWidth="1"/>
    <col min="16163" max="16163" width="11.42578125" style="64" bestFit="1" customWidth="1"/>
    <col min="16164" max="16164" width="18" style="64" bestFit="1" customWidth="1"/>
    <col min="16165" max="16384" width="9.140625" style="64"/>
  </cols>
  <sheetData>
    <row r="1" spans="1:34" ht="24" customHeight="1" x14ac:dyDescent="0.2">
      <c r="A1" s="159" t="str">
        <f>'AUTO CALCULATION SHEET (2)'!A2:R2</f>
        <v>JHARKHAND BIJLI VITRAN NIGAM LIMITED</v>
      </c>
      <c r="B1" s="160"/>
      <c r="C1" s="160"/>
      <c r="D1" s="160"/>
      <c r="E1" s="160"/>
      <c r="F1" s="160"/>
      <c r="G1" s="160"/>
      <c r="H1" s="161"/>
      <c r="I1" s="60"/>
      <c r="J1" s="61"/>
      <c r="K1" s="61"/>
      <c r="L1" s="61"/>
      <c r="M1" s="61"/>
      <c r="N1" s="61"/>
      <c r="O1" s="61"/>
      <c r="P1" s="61"/>
      <c r="Q1" s="61"/>
      <c r="R1" s="61"/>
      <c r="S1" s="62"/>
      <c r="T1" s="62"/>
      <c r="U1" s="62"/>
      <c r="V1" s="62"/>
      <c r="W1" s="63"/>
      <c r="X1" s="63"/>
      <c r="Y1" s="63"/>
      <c r="Z1" s="63"/>
      <c r="AA1" s="63"/>
      <c r="AB1" s="63"/>
      <c r="AC1" s="63"/>
      <c r="AD1" s="63"/>
      <c r="AE1" s="63"/>
      <c r="AF1" s="63"/>
      <c r="AG1" s="63"/>
      <c r="AH1" s="63"/>
    </row>
    <row r="2" spans="1:34" ht="24.75" customHeight="1" x14ac:dyDescent="0.2">
      <c r="A2" s="65" t="s">
        <v>135</v>
      </c>
      <c r="B2" s="162">
        <v>45038</v>
      </c>
      <c r="C2" s="163"/>
      <c r="D2" s="163"/>
      <c r="E2" s="163"/>
      <c r="F2" s="163"/>
      <c r="G2" s="163"/>
      <c r="H2" s="163"/>
      <c r="I2" s="66"/>
      <c r="J2" s="67"/>
      <c r="K2" s="67"/>
      <c r="L2" s="67"/>
      <c r="M2" s="67"/>
      <c r="N2" s="67"/>
      <c r="O2" s="67"/>
      <c r="P2" s="67"/>
      <c r="Q2" s="67"/>
      <c r="R2" s="67"/>
      <c r="S2" s="62"/>
      <c r="T2" s="62"/>
      <c r="U2" s="62"/>
      <c r="V2" s="62"/>
      <c r="W2" s="63"/>
      <c r="X2" s="63"/>
      <c r="Y2" s="63"/>
      <c r="Z2" s="63"/>
      <c r="AA2" s="63"/>
      <c r="AB2" s="63"/>
      <c r="AC2" s="63"/>
      <c r="AD2" s="63"/>
      <c r="AE2" s="63"/>
      <c r="AF2" s="63"/>
      <c r="AG2" s="63"/>
      <c r="AH2" s="63"/>
    </row>
    <row r="3" spans="1:34" ht="107.25" customHeight="1" x14ac:dyDescent="0.2">
      <c r="A3" s="68" t="s">
        <v>223</v>
      </c>
      <c r="B3" s="164" t="s">
        <v>222</v>
      </c>
      <c r="C3" s="165"/>
      <c r="D3" s="165"/>
      <c r="E3" s="165"/>
      <c r="F3" s="165"/>
      <c r="G3" s="165"/>
      <c r="H3" s="165"/>
      <c r="I3" s="142"/>
      <c r="J3" s="142"/>
      <c r="K3" s="142"/>
      <c r="L3" s="142"/>
      <c r="M3" s="142"/>
      <c r="N3" s="142"/>
      <c r="O3" s="142"/>
      <c r="P3" s="142"/>
      <c r="Q3" s="142"/>
      <c r="R3" s="69"/>
      <c r="S3" s="62"/>
      <c r="T3" s="62"/>
      <c r="U3" s="62"/>
      <c r="V3" s="62"/>
      <c r="W3" s="63"/>
      <c r="X3" s="63"/>
      <c r="Y3" s="63"/>
      <c r="Z3" s="63"/>
      <c r="AA3" s="63"/>
      <c r="AB3" s="63"/>
      <c r="AC3" s="63"/>
      <c r="AD3" s="63"/>
      <c r="AE3" s="63"/>
      <c r="AF3" s="63"/>
      <c r="AG3" s="63"/>
      <c r="AH3" s="63"/>
    </row>
    <row r="4" spans="1:34" ht="18.75" customHeight="1" x14ac:dyDescent="0.2">
      <c r="A4" s="166" t="s">
        <v>168</v>
      </c>
      <c r="B4" s="166"/>
      <c r="C4" s="166"/>
      <c r="D4" s="166"/>
      <c r="E4" s="166"/>
      <c r="F4" s="166"/>
      <c r="G4" s="166"/>
      <c r="H4" s="166"/>
      <c r="I4" s="142"/>
      <c r="J4" s="142"/>
      <c r="K4" s="142"/>
      <c r="L4" s="142"/>
      <c r="M4" s="142"/>
      <c r="N4" s="142"/>
      <c r="O4" s="142"/>
      <c r="P4" s="142"/>
      <c r="Q4" s="142"/>
      <c r="R4" s="70"/>
      <c r="S4" s="70"/>
      <c r="T4" s="70"/>
      <c r="U4" s="70"/>
      <c r="V4" s="70"/>
      <c r="W4" s="63"/>
      <c r="X4" s="63"/>
      <c r="Y4" s="63"/>
      <c r="Z4" s="63"/>
      <c r="AA4" s="63"/>
      <c r="AB4" s="63"/>
      <c r="AC4" s="63"/>
      <c r="AD4" s="63"/>
      <c r="AE4" s="63"/>
      <c r="AF4" s="63"/>
      <c r="AG4" s="63"/>
      <c r="AH4" s="63"/>
    </row>
    <row r="5" spans="1:34" s="74" customFormat="1" ht="12.75" customHeight="1" x14ac:dyDescent="0.2">
      <c r="A5" s="167" t="s">
        <v>220</v>
      </c>
      <c r="B5" s="166"/>
      <c r="C5" s="166"/>
      <c r="D5" s="166"/>
      <c r="E5" s="166"/>
      <c r="F5" s="166"/>
      <c r="G5" s="166"/>
      <c r="H5" s="166"/>
      <c r="I5" s="142"/>
      <c r="J5" s="142"/>
      <c r="K5" s="142"/>
      <c r="L5" s="142"/>
      <c r="M5" s="142"/>
      <c r="N5" s="142"/>
      <c r="O5" s="142"/>
      <c r="P5" s="142"/>
      <c r="Q5" s="142"/>
      <c r="R5" s="71"/>
      <c r="S5" s="72"/>
      <c r="T5" s="72"/>
      <c r="U5" s="72"/>
      <c r="V5" s="72"/>
      <c r="W5" s="73"/>
      <c r="X5" s="73"/>
      <c r="Y5" s="73"/>
      <c r="Z5" s="73"/>
      <c r="AA5" s="73"/>
      <c r="AB5" s="73"/>
      <c r="AC5" s="73"/>
      <c r="AD5" s="73"/>
      <c r="AE5" s="73"/>
      <c r="AF5" s="73"/>
      <c r="AG5" s="73"/>
      <c r="AH5" s="73"/>
    </row>
    <row r="6" spans="1:34" s="74" customFormat="1" ht="18.75" customHeight="1" x14ac:dyDescent="0.2">
      <c r="A6" s="166"/>
      <c r="B6" s="166"/>
      <c r="C6" s="166"/>
      <c r="D6" s="166"/>
      <c r="E6" s="166"/>
      <c r="F6" s="166"/>
      <c r="G6" s="166"/>
      <c r="H6" s="166"/>
      <c r="I6" s="71"/>
      <c r="J6" s="71"/>
      <c r="K6" s="71"/>
      <c r="L6" s="71"/>
      <c r="M6" s="71"/>
      <c r="N6" s="71"/>
      <c r="O6" s="71"/>
      <c r="P6" s="71"/>
      <c r="Q6" s="71"/>
      <c r="R6" s="71"/>
      <c r="S6" s="168"/>
      <c r="T6" s="168"/>
      <c r="U6" s="168"/>
      <c r="V6" s="168"/>
      <c r="W6" s="73"/>
      <c r="X6" s="73"/>
      <c r="Y6" s="73"/>
      <c r="Z6" s="73"/>
      <c r="AA6" s="73"/>
      <c r="AB6" s="73"/>
      <c r="AC6" s="73"/>
      <c r="AD6" s="73"/>
      <c r="AE6" s="73"/>
      <c r="AF6" s="73"/>
      <c r="AG6" s="73"/>
      <c r="AH6" s="73"/>
    </row>
    <row r="7" spans="1:34" x14ac:dyDescent="0.2">
      <c r="A7" s="78" t="s">
        <v>169</v>
      </c>
      <c r="B7" s="79" t="s">
        <v>170</v>
      </c>
      <c r="C7" s="133"/>
      <c r="D7" s="76"/>
      <c r="E7" s="76"/>
      <c r="F7" s="76"/>
      <c r="G7" s="76"/>
      <c r="H7" s="76"/>
      <c r="I7" s="76"/>
      <c r="J7" s="76"/>
      <c r="K7" s="76"/>
      <c r="L7" s="76"/>
      <c r="M7" s="76"/>
      <c r="N7" s="76"/>
      <c r="O7" s="76"/>
      <c r="P7" s="76"/>
      <c r="Q7" s="76"/>
      <c r="R7" s="76"/>
      <c r="S7" s="77"/>
      <c r="T7" s="77"/>
      <c r="U7" s="77"/>
      <c r="V7" s="77"/>
      <c r="W7" s="63"/>
      <c r="X7" s="63"/>
      <c r="Y7" s="63"/>
      <c r="Z7" s="63"/>
      <c r="AA7" s="63"/>
      <c r="AB7" s="63"/>
      <c r="AC7" s="63"/>
      <c r="AD7" s="63"/>
      <c r="AE7" s="63"/>
      <c r="AF7" s="63"/>
      <c r="AG7" s="63"/>
      <c r="AH7" s="63"/>
    </row>
    <row r="8" spans="1:34" ht="25.5" x14ac:dyDescent="0.2">
      <c r="A8" s="80" t="str">
        <f>'AUTO CALCULATION SHEET (2)'!D19</f>
        <v>ACSR : RABBIT CONDUCTOR - 50 SQ. MM. (6/1/3.35)</v>
      </c>
      <c r="B8" s="81">
        <f>'AUTO CALCULATION SHEET (2)'!E19</f>
        <v>44483.067199999998</v>
      </c>
      <c r="C8" s="76"/>
      <c r="D8" s="76"/>
      <c r="E8" s="76"/>
      <c r="F8" s="76"/>
      <c r="G8" s="76"/>
      <c r="H8" s="76"/>
      <c r="I8" s="76"/>
      <c r="J8" s="76"/>
      <c r="K8" s="76"/>
      <c r="L8" s="82"/>
      <c r="M8" s="82"/>
      <c r="N8" s="76"/>
      <c r="O8" s="76"/>
      <c r="P8" s="76"/>
      <c r="Q8" s="76"/>
      <c r="R8" s="76"/>
      <c r="S8" s="77"/>
      <c r="T8" s="77"/>
      <c r="U8" s="77"/>
      <c r="V8" s="77"/>
      <c r="W8" s="63"/>
      <c r="X8" s="63"/>
      <c r="Y8" s="63"/>
      <c r="Z8" s="63"/>
      <c r="AA8" s="63"/>
      <c r="AB8" s="63"/>
      <c r="AC8" s="63"/>
      <c r="AD8" s="63"/>
      <c r="AE8" s="63"/>
      <c r="AF8" s="63"/>
      <c r="AG8" s="63"/>
      <c r="AH8" s="63"/>
    </row>
    <row r="9" spans="1:34" ht="15" x14ac:dyDescent="0.2">
      <c r="A9" s="83"/>
      <c r="B9" s="84"/>
      <c r="C9" s="75"/>
      <c r="D9" s="82"/>
      <c r="E9" s="82"/>
      <c r="F9" s="82"/>
      <c r="G9" s="82"/>
      <c r="H9" s="82"/>
      <c r="I9" s="82"/>
      <c r="J9" s="82"/>
      <c r="K9" s="82"/>
      <c r="L9" s="82"/>
      <c r="M9" s="82"/>
      <c r="N9" s="76"/>
      <c r="O9" s="76"/>
      <c r="P9" s="76"/>
      <c r="Q9" s="76"/>
      <c r="R9" s="76"/>
      <c r="S9" s="77"/>
      <c r="T9" s="77"/>
      <c r="U9" s="77"/>
      <c r="V9" s="77"/>
      <c r="W9" s="63"/>
      <c r="X9" s="63"/>
      <c r="Y9" s="63"/>
      <c r="Z9" s="63"/>
      <c r="AA9" s="63"/>
      <c r="AB9" s="63"/>
      <c r="AC9" s="63"/>
      <c r="AD9" s="63"/>
      <c r="AE9" s="63"/>
      <c r="AF9" s="63"/>
      <c r="AG9" s="63"/>
      <c r="AH9" s="63"/>
    </row>
    <row r="10" spans="1:34" ht="13.5" thickBot="1" x14ac:dyDescent="0.25">
      <c r="A10" s="63"/>
      <c r="B10" s="63"/>
      <c r="C10" s="63"/>
      <c r="D10" s="63"/>
      <c r="E10" s="85"/>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row>
    <row r="11" spans="1:34" ht="15" customHeight="1" x14ac:dyDescent="0.2">
      <c r="A11" s="169" t="s">
        <v>169</v>
      </c>
      <c r="B11" s="172" t="s">
        <v>171</v>
      </c>
      <c r="C11" s="174" t="s">
        <v>172</v>
      </c>
      <c r="D11" s="177" t="s">
        <v>173</v>
      </c>
      <c r="E11" s="178"/>
      <c r="F11" s="179"/>
      <c r="G11" s="177" t="s">
        <v>174</v>
      </c>
      <c r="H11" s="178"/>
      <c r="I11" s="179"/>
      <c r="J11" s="180" t="s">
        <v>175</v>
      </c>
      <c r="K11" s="174"/>
      <c r="L11" s="183" t="s">
        <v>176</v>
      </c>
      <c r="M11" s="186" t="s">
        <v>177</v>
      </c>
      <c r="N11" s="186" t="s">
        <v>178</v>
      </c>
      <c r="O11" s="186" t="s">
        <v>179</v>
      </c>
      <c r="P11" s="195" t="s">
        <v>180</v>
      </c>
      <c r="Q11" s="198" t="s">
        <v>181</v>
      </c>
      <c r="R11" s="199"/>
      <c r="S11" s="199"/>
      <c r="T11" s="199"/>
      <c r="U11" s="199"/>
      <c r="V11" s="199"/>
      <c r="W11" s="199"/>
      <c r="X11" s="199"/>
      <c r="Y11" s="199"/>
      <c r="Z11" s="199"/>
      <c r="AA11" s="200"/>
    </row>
    <row r="12" spans="1:34" ht="15.75" customHeight="1" thickBot="1" x14ac:dyDescent="0.25">
      <c r="A12" s="170"/>
      <c r="B12" s="173"/>
      <c r="C12" s="175"/>
      <c r="D12" s="204" t="s">
        <v>182</v>
      </c>
      <c r="E12" s="205" t="s">
        <v>183</v>
      </c>
      <c r="F12" s="205" t="s">
        <v>184</v>
      </c>
      <c r="G12" s="206" t="s">
        <v>182</v>
      </c>
      <c r="H12" s="205" t="s">
        <v>185</v>
      </c>
      <c r="I12" s="205" t="s">
        <v>186</v>
      </c>
      <c r="J12" s="181"/>
      <c r="K12" s="182"/>
      <c r="L12" s="184"/>
      <c r="M12" s="187"/>
      <c r="N12" s="187"/>
      <c r="O12" s="187"/>
      <c r="P12" s="196"/>
      <c r="Q12" s="201"/>
      <c r="R12" s="202"/>
      <c r="S12" s="202"/>
      <c r="T12" s="202"/>
      <c r="U12" s="202"/>
      <c r="V12" s="202"/>
      <c r="W12" s="202"/>
      <c r="X12" s="202"/>
      <c r="Y12" s="202"/>
      <c r="Z12" s="202"/>
      <c r="AA12" s="203"/>
    </row>
    <row r="13" spans="1:34" ht="15.75" customHeight="1" thickBot="1" x14ac:dyDescent="0.25">
      <c r="A13" s="171"/>
      <c r="B13" s="173"/>
      <c r="C13" s="176"/>
      <c r="D13" s="204"/>
      <c r="E13" s="205"/>
      <c r="F13" s="205"/>
      <c r="G13" s="207"/>
      <c r="H13" s="205"/>
      <c r="I13" s="205"/>
      <c r="J13" s="143" t="s">
        <v>187</v>
      </c>
      <c r="K13" s="143" t="s">
        <v>188</v>
      </c>
      <c r="L13" s="185"/>
      <c r="M13" s="188"/>
      <c r="N13" s="188"/>
      <c r="O13" s="188"/>
      <c r="P13" s="197"/>
      <c r="Q13" s="86" t="s">
        <v>189</v>
      </c>
      <c r="R13" s="86" t="s">
        <v>190</v>
      </c>
      <c r="S13" s="87" t="s">
        <v>191</v>
      </c>
      <c r="T13" s="87" t="s">
        <v>192</v>
      </c>
      <c r="U13" s="87" t="s">
        <v>193</v>
      </c>
      <c r="V13" s="87" t="s">
        <v>194</v>
      </c>
      <c r="W13" s="86" t="s">
        <v>195</v>
      </c>
      <c r="X13" s="88" t="s">
        <v>196</v>
      </c>
      <c r="Y13" s="88" t="s">
        <v>197</v>
      </c>
      <c r="Z13" s="88" t="s">
        <v>198</v>
      </c>
      <c r="AA13" s="89" t="s">
        <v>199</v>
      </c>
    </row>
    <row r="14" spans="1:34" ht="15" customHeight="1" x14ac:dyDescent="0.2">
      <c r="A14" s="90"/>
      <c r="B14" s="189"/>
      <c r="C14" s="91"/>
      <c r="D14" s="92"/>
      <c r="E14" s="93"/>
      <c r="F14" s="93"/>
      <c r="G14" s="94"/>
      <c r="H14" s="95"/>
      <c r="I14" s="95"/>
      <c r="J14" s="96"/>
      <c r="K14" s="96"/>
      <c r="L14" s="96"/>
      <c r="M14" s="97"/>
      <c r="N14" s="97"/>
      <c r="O14" s="98"/>
      <c r="P14" s="98"/>
      <c r="Q14" s="99">
        <v>221</v>
      </c>
      <c r="R14" s="100">
        <v>76</v>
      </c>
      <c r="S14" s="101"/>
      <c r="T14" s="101"/>
      <c r="U14" s="101"/>
      <c r="V14" s="101"/>
      <c r="W14" s="102"/>
      <c r="X14" s="103"/>
      <c r="Y14" s="104"/>
      <c r="Z14" s="103"/>
      <c r="AA14" s="105"/>
    </row>
    <row r="15" spans="1:34" ht="27" customHeight="1" thickBot="1" x14ac:dyDescent="0.25">
      <c r="A15" s="106" t="str">
        <f>A8</f>
        <v>ACSR : RABBIT CONDUCTOR - 50 SQ. MM. (6/1/3.35)</v>
      </c>
      <c r="B15" s="190"/>
      <c r="C15" s="107" t="s">
        <v>221</v>
      </c>
      <c r="D15" s="108" t="s">
        <v>224</v>
      </c>
      <c r="E15" s="109">
        <v>213277.76250000001</v>
      </c>
      <c r="F15" s="109">
        <v>85063</v>
      </c>
      <c r="G15" s="110">
        <f t="shared" ref="G15" si="0">$B$2</f>
        <v>45038</v>
      </c>
      <c r="H15" s="111">
        <v>225250</v>
      </c>
      <c r="I15" s="111">
        <v>85063</v>
      </c>
      <c r="J15" s="112">
        <v>0.14499999999999999</v>
      </c>
      <c r="K15" s="112">
        <v>6.9000000000000006E-2</v>
      </c>
      <c r="L15" s="113">
        <f>B8</f>
        <v>44483.067199999998</v>
      </c>
      <c r="M15" s="114">
        <f>J15*(E15-H15)</f>
        <v>-1735.9744374999982</v>
      </c>
      <c r="N15" s="114">
        <f>K15*(F15-I15)</f>
        <v>0</v>
      </c>
      <c r="O15" s="115">
        <f>M15+N15</f>
        <v>-1735.9744374999982</v>
      </c>
      <c r="P15" s="116">
        <f>L15+O15</f>
        <v>42747.092762499997</v>
      </c>
      <c r="Q15" s="117">
        <f>'AUTO CALCULATION SHEET (2)'!N19</f>
        <v>146</v>
      </c>
      <c r="R15" s="118">
        <f>'AUTO CALCULATION SHEET (2)'!AS19</f>
        <v>69</v>
      </c>
      <c r="S15" s="119">
        <f>SUMPRODUCT($Q$14:$R$14,Q15:R15)</f>
        <v>37510</v>
      </c>
      <c r="T15" s="120">
        <f>'AUTO CALCULATION SHEET (2)'!BZ19</f>
        <v>651</v>
      </c>
      <c r="U15" s="119">
        <f>S15+T15</f>
        <v>38161</v>
      </c>
      <c r="V15" s="120">
        <f>+P15-U15</f>
        <v>4586.0927624999968</v>
      </c>
      <c r="W15" s="121">
        <f>V15/P15*100%</f>
        <v>0.10728431961396821</v>
      </c>
      <c r="X15" s="122"/>
      <c r="Y15" s="122">
        <v>0.02</v>
      </c>
      <c r="Z15" s="122">
        <v>0.02</v>
      </c>
      <c r="AA15" s="123">
        <f t="shared" ref="AA15" si="1">W15-SUM(X15:Z15)</f>
        <v>6.7284319613968219E-2</v>
      </c>
    </row>
    <row r="16" spans="1:34" ht="15.75" customHeight="1" thickBot="1" x14ac:dyDescent="0.25">
      <c r="A16" s="124"/>
      <c r="B16" s="191"/>
      <c r="C16" s="125"/>
      <c r="D16" s="126"/>
      <c r="E16" s="127"/>
      <c r="F16" s="128"/>
      <c r="G16" s="129"/>
      <c r="H16" s="130"/>
      <c r="I16" s="130"/>
      <c r="J16" s="129"/>
      <c r="K16" s="129"/>
      <c r="L16" s="129"/>
      <c r="M16" s="131"/>
      <c r="N16" s="131"/>
      <c r="O16" s="131"/>
      <c r="P16" s="132"/>
      <c r="Q16" s="192"/>
      <c r="R16" s="193"/>
      <c r="S16" s="193"/>
      <c r="T16" s="193"/>
      <c r="U16" s="193"/>
      <c r="V16" s="193"/>
      <c r="W16" s="193"/>
      <c r="X16" s="193"/>
      <c r="Y16" s="193"/>
      <c r="Z16" s="193"/>
      <c r="AA16" s="194"/>
    </row>
  </sheetData>
  <mergeCells count="26">
    <mergeCell ref="B14:B16"/>
    <mergeCell ref="Q16:AA16"/>
    <mergeCell ref="N11:N13"/>
    <mergeCell ref="O11:O13"/>
    <mergeCell ref="P11:P13"/>
    <mergeCell ref="Q11:AA12"/>
    <mergeCell ref="D12:D13"/>
    <mergeCell ref="E12:E13"/>
    <mergeCell ref="F12:F13"/>
    <mergeCell ref="G12:G13"/>
    <mergeCell ref="H12:H13"/>
    <mergeCell ref="I12:I13"/>
    <mergeCell ref="S6:V6"/>
    <mergeCell ref="A11:A13"/>
    <mergeCell ref="B11:B13"/>
    <mergeCell ref="C11:C13"/>
    <mergeCell ref="D11:F11"/>
    <mergeCell ref="G11:I11"/>
    <mergeCell ref="J11:K12"/>
    <mergeCell ref="L11:L13"/>
    <mergeCell ref="M11:M13"/>
    <mergeCell ref="A1:H1"/>
    <mergeCell ref="B2:H2"/>
    <mergeCell ref="B3:H3"/>
    <mergeCell ref="A4:H4"/>
    <mergeCell ref="A5:H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CONDUCTOR</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cp:lastModifiedBy>
  <dcterms:created xsi:type="dcterms:W3CDTF">2021-04-03T12:13:55Z</dcterms:created>
  <dcterms:modified xsi:type="dcterms:W3CDTF">2023-05-20T06:30:16Z</dcterms:modified>
</cp:coreProperties>
</file>