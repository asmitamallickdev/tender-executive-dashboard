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450" yWindow="4890" windowWidth="20055" windowHeight="7710" firstSheet="1" activeTab="1"/>
  </bookViews>
  <sheets>
    <sheet name="Sheet1" sheetId="1" state="hidden" r:id="rId1"/>
    <sheet name="AUTO CALCULATION SHEET (2)" sheetId="4" r:id="rId2"/>
    <sheet name="LT POWER &amp; CONTROL" sheetId="6" r:id="rId3"/>
  </sheets>
  <definedNames>
    <definedName name="_xlnm._FilterDatabase" localSheetId="0" hidden="1">Sheet1!$A$1:$CU$1</definedName>
  </definedNames>
  <calcPr calcId="145621"/>
</workbook>
</file>

<file path=xl/calcChain.xml><?xml version="1.0" encoding="utf-8"?>
<calcChain xmlns="http://schemas.openxmlformats.org/spreadsheetml/2006/main">
  <c r="AP15" i="6" l="1"/>
  <c r="AP14" i="6"/>
  <c r="AO15" i="6"/>
  <c r="AO14" i="6"/>
  <c r="AN15" i="6"/>
  <c r="AN14" i="6"/>
  <c r="AL15" i="6"/>
  <c r="AL14" i="6"/>
  <c r="T15" i="6"/>
  <c r="T14" i="6"/>
  <c r="S15" i="6"/>
  <c r="S14" i="6"/>
  <c r="R15" i="6"/>
  <c r="R14" i="6"/>
  <c r="Q15" i="6"/>
  <c r="Q14" i="6"/>
  <c r="P15" i="6"/>
  <c r="P14" i="6"/>
  <c r="V15" i="6" l="1"/>
  <c r="AA15" i="6"/>
  <c r="AB15" i="6"/>
  <c r="AC15" i="6"/>
  <c r="AD15" i="6"/>
  <c r="AE15" i="6"/>
  <c r="AF15" i="6"/>
  <c r="AG15" i="6"/>
  <c r="AG14" i="6"/>
  <c r="AF14" i="6"/>
  <c r="AE14" i="6"/>
  <c r="AD14" i="6"/>
  <c r="AC14" i="6"/>
  <c r="AB14" i="6"/>
  <c r="AA14" i="6"/>
  <c r="V14" i="6"/>
  <c r="AM15" i="6"/>
  <c r="AM14" i="6"/>
  <c r="AG11" i="6"/>
  <c r="AF11" i="6"/>
  <c r="AE11" i="6"/>
  <c r="AD11" i="6"/>
  <c r="AC11" i="6"/>
  <c r="AB11" i="6"/>
  <c r="AA11" i="6"/>
  <c r="V11" i="6"/>
  <c r="A15" i="6"/>
  <c r="A14" i="6"/>
  <c r="H15" i="6"/>
  <c r="H14" i="6"/>
  <c r="D24" i="4" l="1"/>
  <c r="E24" i="4"/>
  <c r="J24" i="4"/>
  <c r="E23" i="4"/>
  <c r="D23" i="4"/>
  <c r="J23" i="4"/>
  <c r="K24" i="4" l="1"/>
  <c r="M24" i="4" s="1"/>
  <c r="K23" i="4"/>
  <c r="M23" i="4" s="1"/>
  <c r="L23" i="4" l="1"/>
  <c r="F19" i="4"/>
  <c r="L24" i="4"/>
  <c r="F20" i="4"/>
  <c r="BY19" i="4"/>
  <c r="BY20" i="4"/>
  <c r="BY17" i="4"/>
  <c r="A19" i="4" l="1"/>
  <c r="C19" i="4"/>
  <c r="D19" i="4"/>
  <c r="H19" i="4"/>
  <c r="K19" i="4"/>
  <c r="L19" i="4"/>
  <c r="N19" i="4"/>
  <c r="O19" i="4"/>
  <c r="Q19" i="4"/>
  <c r="R19" i="4"/>
  <c r="S19" i="4"/>
  <c r="T19" i="4"/>
  <c r="U19" i="4"/>
  <c r="V19" i="4"/>
  <c r="W19" i="4"/>
  <c r="X19" i="4"/>
  <c r="Y19" i="4"/>
  <c r="Z19" i="4"/>
  <c r="AA19" i="4"/>
  <c r="AB19" i="4"/>
  <c r="AC19" i="4"/>
  <c r="AD19" i="4"/>
  <c r="AE19" i="4"/>
  <c r="AF19" i="4"/>
  <c r="AH19" i="4"/>
  <c r="AI19" i="4"/>
  <c r="AJ19" i="4"/>
  <c r="AK19" i="4"/>
  <c r="AL19" i="4"/>
  <c r="AM19" i="4"/>
  <c r="AN19" i="4"/>
  <c r="AO19" i="4"/>
  <c r="AP19" i="4"/>
  <c r="AQ19" i="4"/>
  <c r="AR19" i="4"/>
  <c r="AS19" i="4"/>
  <c r="AT19" i="4"/>
  <c r="AU19" i="4"/>
  <c r="AV19" i="4"/>
  <c r="AW19" i="4"/>
  <c r="AX19" i="4"/>
  <c r="AY19" i="4"/>
  <c r="AZ19" i="4"/>
  <c r="BA19" i="4"/>
  <c r="BB19" i="4"/>
  <c r="BC19" i="4"/>
  <c r="BD19" i="4"/>
  <c r="BF19" i="4"/>
  <c r="BG19" i="4"/>
  <c r="BH19" i="4"/>
  <c r="BJ19" i="4"/>
  <c r="BK19" i="4"/>
  <c r="BL19" i="4"/>
  <c r="BM19" i="4"/>
  <c r="BN19" i="4"/>
  <c r="BO19" i="4"/>
  <c r="BP19" i="4"/>
  <c r="BQ19" i="4"/>
  <c r="BR19" i="4"/>
  <c r="BS19" i="4"/>
  <c r="BT19" i="4"/>
  <c r="BU19" i="4"/>
  <c r="BV19" i="4"/>
  <c r="BW19" i="4"/>
  <c r="BX19" i="4"/>
  <c r="BZ19" i="4"/>
  <c r="CB19" i="4"/>
  <c r="BX17" i="4" l="1"/>
  <c r="BW17" i="4"/>
  <c r="BV20" i="4"/>
  <c r="BV17" i="4"/>
  <c r="B17" i="4"/>
  <c r="T18" i="4" l="1"/>
  <c r="S18" i="4"/>
  <c r="AB20" i="4" l="1"/>
  <c r="AA20" i="4"/>
  <c r="Z20" i="4"/>
  <c r="Y20" i="4"/>
  <c r="X20" i="4"/>
  <c r="W20" i="4"/>
  <c r="V20" i="4"/>
  <c r="U20" i="4"/>
  <c r="T20" i="4"/>
  <c r="S20" i="4"/>
  <c r="BU20" i="4"/>
  <c r="BT20" i="4"/>
  <c r="BS20" i="4"/>
  <c r="BR20" i="4"/>
  <c r="BQ20" i="4"/>
  <c r="BP20" i="4"/>
  <c r="BO20" i="4"/>
  <c r="BN20" i="4"/>
  <c r="BS18" i="4"/>
  <c r="BT18" i="4"/>
  <c r="BU18" i="4"/>
  <c r="BR18" i="4"/>
  <c r="BQ18" i="4"/>
  <c r="BP18" i="4"/>
  <c r="BN18" i="4"/>
  <c r="BO18" i="4"/>
  <c r="BM18" i="4"/>
  <c r="BM20" i="4"/>
  <c r="BL20" i="4"/>
  <c r="BK20" i="4"/>
  <c r="BI20" i="4"/>
  <c r="BH20" i="4"/>
  <c r="BG20" i="4"/>
  <c r="BF20" i="4"/>
  <c r="BE20" i="4"/>
  <c r="BD20" i="4"/>
  <c r="BC20" i="4"/>
  <c r="BL18" i="4"/>
  <c r="BK18" i="4"/>
  <c r="BJ18" i="4"/>
  <c r="BI18" i="4"/>
  <c r="BH18" i="4"/>
  <c r="BG18" i="4"/>
  <c r="BF18" i="4"/>
  <c r="BE18" i="4"/>
  <c r="BD18" i="4"/>
  <c r="BC18" i="4"/>
  <c r="BB20" i="4"/>
  <c r="BA20" i="4"/>
  <c r="AZ20" i="4"/>
  <c r="AY20" i="4"/>
  <c r="AX20" i="4"/>
  <c r="AW20" i="4"/>
  <c r="AV20" i="4"/>
  <c r="AU20" i="4"/>
  <c r="AT20" i="4"/>
  <c r="AS20" i="4"/>
  <c r="BB18" i="4"/>
  <c r="BA18" i="4"/>
  <c r="AZ18" i="4"/>
  <c r="AY18" i="4"/>
  <c r="AX18" i="4"/>
  <c r="AW18" i="4"/>
  <c r="AV18" i="4"/>
  <c r="AU18" i="4"/>
  <c r="AT18" i="4"/>
  <c r="AS18" i="4"/>
  <c r="AR18" i="4"/>
  <c r="AR20" i="4"/>
  <c r="AP20" i="4"/>
  <c r="AO20" i="4"/>
  <c r="AN20" i="4"/>
  <c r="AM20" i="4"/>
  <c r="AL20" i="4"/>
  <c r="AQ18" i="4"/>
  <c r="AP18" i="4"/>
  <c r="AO18" i="4"/>
  <c r="AN18" i="4"/>
  <c r="AM18" i="4"/>
  <c r="AL18" i="4"/>
  <c r="AK20" i="4"/>
  <c r="AJ20" i="4"/>
  <c r="AI20" i="4"/>
  <c r="AH20" i="4"/>
  <c r="AG20" i="4"/>
  <c r="AE20" i="4"/>
  <c r="AJ18" i="4"/>
  <c r="AI18" i="4"/>
  <c r="AH18" i="4"/>
  <c r="AE18" i="4"/>
  <c r="AD18" i="4"/>
  <c r="AD20" i="4"/>
  <c r="AC20" i="4"/>
  <c r="AC18" i="4"/>
  <c r="N18" i="4"/>
  <c r="AB18" i="4" l="1"/>
  <c r="AA18" i="4"/>
  <c r="Z18" i="4"/>
  <c r="Y18" i="4"/>
  <c r="X18" i="4"/>
  <c r="W18" i="4"/>
  <c r="V18" i="4"/>
  <c r="U18" i="4"/>
  <c r="R18" i="4" l="1"/>
  <c r="Q18" i="4"/>
  <c r="O18" i="4"/>
  <c r="N20" i="4"/>
  <c r="R20" i="4"/>
  <c r="Q20" i="4"/>
  <c r="P20" i="4"/>
  <c r="O20" i="4"/>
  <c r="N16" i="4"/>
  <c r="L20" i="4"/>
  <c r="K20" i="4"/>
  <c r="H20" i="4"/>
  <c r="CB20" i="4"/>
  <c r="D20" i="4"/>
  <c r="C20" i="4"/>
  <c r="A20" i="4"/>
  <c r="CA19" i="4" l="1"/>
  <c r="CA20" i="4"/>
  <c r="CE19" i="4" l="1"/>
  <c r="CG19" i="4"/>
  <c r="CC19" i="4"/>
  <c r="CC20" i="4"/>
  <c r="CE20" i="4"/>
  <c r="CG20" i="4"/>
  <c r="CH19" i="4" l="1"/>
  <c r="CL19" i="4" s="1"/>
  <c r="CH20" i="4"/>
  <c r="CJ19" i="4" l="1"/>
  <c r="E19" i="4" s="1"/>
  <c r="CJ20" i="4"/>
  <c r="CL20" i="4"/>
  <c r="G19" i="4" l="1"/>
  <c r="I19" i="4" s="1"/>
  <c r="J19" i="4" s="1"/>
  <c r="M19" i="4" s="1"/>
  <c r="O14" i="6"/>
  <c r="AT14" i="6" s="1"/>
  <c r="E20" i="4"/>
  <c r="O15" i="6" s="1"/>
  <c r="AT15" i="6" s="1"/>
  <c r="G20" i="4" l="1"/>
  <c r="I20" i="4" s="1"/>
  <c r="J20" i="4" s="1"/>
  <c r="M20" i="4" s="1"/>
</calcChain>
</file>

<file path=xl/comments1.xml><?xml version="1.0" encoding="utf-8"?>
<comments xmlns="http://schemas.openxmlformats.org/spreadsheetml/2006/main">
  <authors>
    <author>Author</author>
  </authors>
  <commentList>
    <comment ref="I22" author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<sst xmlns="http://schemas.openxmlformats.org/spreadsheetml/2006/main" count="321" uniqueCount="229">
  <si>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</si>
  <si>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</si>
  <si>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</si>
  <si>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</si>
  <si>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</si>
  <si>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</si>
  <si>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</si>
  <si>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</si>
  <si>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</si>
  <si>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</si>
  <si>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</si>
  <si>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</si>
  <si>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</si>
  <si>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</si>
  <si>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</si>
  <si>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</si>
  <si>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</si>
  <si>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</si>
  <si>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</si>
  <si>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</si>
  <si>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</si>
  <si>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</si>
  <si>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</si>
  <si>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</si>
  <si>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</si>
  <si>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</si>
  <si>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</si>
  <si>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</si>
  <si>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</si>
  <si>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</si>
  <si>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</si>
  <si>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</si>
  <si>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</si>
  <si>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</si>
  <si>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</si>
  <si>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</si>
  <si>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</si>
  <si>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</si>
  <si>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</si>
  <si>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</si>
  <si>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</si>
  <si>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</si>
  <si>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</si>
  <si>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</si>
  <si>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</si>
  <si>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</si>
  <si>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</si>
  <si>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</si>
  <si>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</si>
  <si>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</si>
  <si>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</si>
  <si>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</si>
  <si>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</si>
  <si>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</si>
  <si>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</si>
  <si>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</si>
  <si>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</si>
  <si>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</si>
  <si>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</si>
  <si>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</si>
  <si>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</si>
  <si>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</si>
  <si>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</si>
  <si>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</si>
  <si>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</si>
  <si>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</si>
  <si>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</si>
  <si>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</si>
  <si>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</si>
  <si>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</si>
  <si>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</si>
  <si>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</si>
  <si>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</si>
  <si>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</si>
  <si>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</si>
  <si>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</si>
  <si>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</si>
  <si>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</si>
  <si>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</si>
  <si>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</si>
  <si>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</si>
  <si>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</si>
  <si>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</si>
  <si>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</si>
  <si>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</si>
  <si>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</si>
  <si>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</si>
  <si>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</si>
  <si>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</si>
  <si>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</si>
  <si>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</si>
  <si>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</si>
  <si>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</si>
  <si>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</si>
  <si>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</si>
  <si>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</si>
  <si>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</si>
  <si>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</si>
  <si>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</si>
  <si>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</si>
  <si>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</si>
  <si>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</si>
  <si>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</si>
  <si>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</si>
  <si>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</si>
  <si>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</si>
  <si>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</si>
  <si>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</si>
  <si>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</si>
  <si>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</si>
  <si>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</si>
  <si>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</si>
  <si>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</si>
  <si>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</si>
  <si>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</si>
  <si>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</si>
  <si>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</si>
  <si>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</si>
  <si>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</si>
  <si>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</si>
  <si>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</si>
  <si>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</si>
  <si>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</si>
  <si>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</si>
  <si>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</si>
  <si>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</si>
  <si>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</si>
  <si>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</si>
  <si>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</si>
  <si>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</si>
  <si>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</si>
  <si>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</si>
  <si>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</si>
  <si>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</si>
  <si>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</si>
  <si>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</si>
  <si>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</si>
  <si>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</si>
  <si>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112/PR/JBVNL/2023-24</t>
  </si>
  <si>
    <t>JHARKHAND BIJLI VITRAN NIGAM LIMITED</t>
  </si>
  <si>
    <t>1.1 KV, 2C x 6 Sq. mm. PVC Insulated &amp; PVC sheathed multi core un-armoured copper cable &amp; 1.1 KV, 12C x 2.5 Sq. mm, XLPE Insulated, PVC Sheathed Multi-stranded un-armoured cu. Cable.</t>
  </si>
  <si>
    <t xml:space="preserve">16.08.2023 </t>
  </si>
  <si>
    <t>Not mention.</t>
  </si>
  <si>
    <r>
      <t xml:space="preserve">Rate contract shall be done on L-1 rate with successful bidder for respective size of cables against NIT for the period of 02(two) years [ </t>
    </r>
    <r>
      <rPr>
        <b/>
        <sz val="11"/>
        <rFont val="Calibri"/>
        <family val="2"/>
        <scheme val="minor"/>
      </rPr>
      <t>1st year on FIRM Price + 2nd year on Variable Price</t>
    </r>
    <r>
      <rPr>
        <sz val="11"/>
        <rFont val="Calibri"/>
        <family val="2"/>
        <scheme val="minor"/>
      </rPr>
      <t xml:space="preserve">] which may be further extended for 01 year on variable Price on mutual agreement and satisfactory performance.
Price variation formula as circulated by IEEMA/CAMAI (For conductor) shall be considered for calculating the price with suitable base rate on the defined date. </t>
    </r>
  </si>
  <si>
    <t xml:space="preserve">100% payment will be made by Sr. Manager, JBVNL, Headquarter, Ranchi on submission of 5% Bank Guarantee from any Nationalised/Scheduled Bank of ordered value on non-judicial stamp Rs. 100/-(Rupees hundred) only valid for Guarantee period as per cl-38 and on receipt of SRV duly signed by the concerned consignee after receipt of the materials in good condition along with approved routine test certificate and duly filled check list for payment from Stores &amp; Purchase wing. </t>
  </si>
  <si>
    <t>Tenderer should specify the validity period of their offer which should not be less than 180 (One Hundred Eighty) days from the date of opening of tender, which may be extended on  discretion of the NIGAM. The offers with lesser validity period may be out- rightly rejected.</t>
  </si>
  <si>
    <t xml:space="preserve">The Cables shall be packed in non-returnable wooden drums. The wooden drums should be bearing distinguishing number with following information duly stenciled on the outer side of one flange.
</t>
  </si>
  <si>
    <t>The Cables shall be supplied in Drum lengths of 1000 + 5% Mtr. which shall be subject to tolerance of not more than + 5% and the variation in the total quantity of Cables due to tolerance in individual drum length shall be limited to+ 2.5% for all types of Cable. Non-standard drum length shall not be acceptable. However, before packing the Cables on Drums, the successful bidders will be required to obtain purchaser’s approval for the drum lengths.</t>
  </si>
  <si>
    <t xml:space="preserve">1.1 KV, 2C x 6 Sq. mm. PVC Insulated &amp; PVC sheathed multi core un-armoured copper cable -                1st month                              2nd month                              3rd month                                4th month
                                                                                                                                                                                                 15% of order quantity       25% of order quantity         30% of order quantity        30% of order quantity
1.1 KV, 12C x 2.5 Sq. mm, XLPE Insulated, PVC Sheathed Multi-stranded un armoured cu. cable -                1st month                         2nd month                              3rd month                                4th month
                                                                                                                                                                                                 20% of order quantity       40% of order quantity         40% of order quantity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</si>
  <si>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</si>
  <si>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</si>
  <si>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</si>
  <si>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</si>
  <si>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</si>
  <si>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</si>
  <si>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</si>
  <si>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</si>
  <si>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</si>
  <si>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</si>
  <si>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</si>
  <si>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</si>
  <si>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</si>
  <si>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</si>
  <si>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</si>
  <si>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</si>
  <si>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</si>
  <si>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</si>
  <si>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</si>
  <si>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ENQ-11011-22-23</t>
  </si>
  <si>
    <t>FA0300023</t>
  </si>
  <si>
    <t>12 CORE X 2.5 SQ. MM. CU/UNARD. (XLPE)</t>
  </si>
  <si>
    <t>WOOD</t>
  </si>
  <si>
    <t>KMS</t>
  </si>
  <si>
    <t>FA1000038</t>
  </si>
  <si>
    <t>2 CORE X 6 SQ. MM. CU/UNARD.(PVC)</t>
  </si>
  <si>
    <t>Type A PVC-1.45</t>
  </si>
  <si>
    <t>MD0100066</t>
  </si>
  <si>
    <t>DRUM - 40 X 15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</si>
  <si>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</si>
  <si>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</si>
  <si>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</si>
  <si>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</si>
  <si>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</si>
  <si>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</si>
  <si>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</si>
  <si>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</si>
  <si>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</si>
  <si>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</si>
  <si>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FORMULA</t>
  </si>
  <si>
    <t/>
  </si>
  <si>
    <t>VALUE ADDITION CALCULATION</t>
  </si>
  <si>
    <t>Item</t>
  </si>
  <si>
    <t>Calculation part</t>
  </si>
  <si>
    <t>Applicable Date</t>
  </si>
  <si>
    <t>BASE DATE</t>
  </si>
  <si>
    <t>Ex-Work
Po</t>
  </si>
  <si>
    <t>PVC of Cu</t>
  </si>
  <si>
    <t>PVC of XLPE</t>
  </si>
  <si>
    <t>PVC OF PVC</t>
  </si>
  <si>
    <t>PV/PKM</t>
  </si>
  <si>
    <t>Billing Price/PKM</t>
  </si>
  <si>
    <t>DIFF</t>
  </si>
  <si>
    <t>Date</t>
  </si>
  <si>
    <t>Cu</t>
  </si>
  <si>
    <t>Cc</t>
  </si>
  <si>
    <t>PVCc</t>
  </si>
  <si>
    <t>Cuo</t>
  </si>
  <si>
    <t>Cco</t>
  </si>
  <si>
    <t>PVCco</t>
  </si>
  <si>
    <t>RMC</t>
  </si>
  <si>
    <t>Drum</t>
  </si>
  <si>
    <t>RMC+Drum</t>
  </si>
  <si>
    <t>VA</t>
  </si>
  <si>
    <t>Groos VA%</t>
  </si>
  <si>
    <t>Mfg %</t>
  </si>
  <si>
    <t>Int %</t>
  </si>
  <si>
    <t>Ins%</t>
  </si>
  <si>
    <t>Net VA</t>
  </si>
  <si>
    <t>XLFAL</t>
  </si>
  <si>
    <t>CCFAI/
CCFCu</t>
  </si>
  <si>
    <t>Kg/Km</t>
  </si>
  <si>
    <t>P = Po + AIF (Al–Alo) + XLFAL (CC–Cco) + SMIF (SMIF1–SMIF0) + FeF (FeF1–FeF0) +
CCFAI (PVCc–PVCco)</t>
  </si>
  <si>
    <t>Base date for PV calculation: It is one month prior to the last date of submission of bid 
against the NIT i.e price is applicable on 1st working day of month, one month prior to date of 
tendering (due date of tender) i.e if due date of tender is in month sept’2022 then price indices 
shall be taken of 1st August’2022.</t>
  </si>
  <si>
    <t>Rate contract shall be done on L-1 rate with successful bidder for respective size of cables against NIT 
for the period of 02(two) years [ 1st year on FIRM Price + 2nd year on Variable Price] which may be 
further extended for 01 year on variable Price on mutual agreement and satisfactory performance.</t>
  </si>
  <si>
    <t>CuF</t>
  </si>
  <si>
    <t>Provisional</t>
  </si>
  <si>
    <t>MD0100137</t>
  </si>
  <si>
    <t>DRUM - 43 X 15 X 23 X 2.25</t>
  </si>
  <si>
    <t>SOMBHU SIR CONFIRMED OVERPHONE</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</si>
</sst>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1"/>
      <name val="Calibri"/>
      <family val="2"/>
      <scheme val="minor"/>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0"/>
      <color rgb="FF000000"/>
      <name val="Arial"/>
      <family val="2"/>
    </font>
    <font>
      <b/>
      <sz val="10"/>
      <name val="Arial"/>
      <family val="2"/>
    </font>
    <font>
      <sz val="10"/>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3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16" fillId="0" borderId="10" xfId="4" applyFont="1" applyFill="1" applyBorder="1" applyAlignment="1">
      <alignment horizontal="center" vertical="center"/>
    </xf>
    <xf numFmtId="0" fontId="17" fillId="0" borderId="0" xfId="4" applyFont="1" applyFill="1" applyAlignment="1">
      <alignment horizontal="center" vertical="center"/>
    </xf>
    <xf numFmtId="0" fontId="18" fillId="0" borderId="0" xfId="6" applyFont="1" applyFill="1" applyAlignment="1">
      <alignment horizontal="center" vertical="center"/>
    </xf>
    <xf numFmtId="0" fontId="11" fillId="0" borderId="0" xfId="4" applyFont="1" applyFill="1" applyAlignment="1">
      <alignment horizontal="center" vertical="center"/>
    </xf>
    <xf numFmtId="0" fontId="11" fillId="0" borderId="0" xfId="4" applyAlignment="1">
      <alignment horizontal="center" vertical="center"/>
    </xf>
    <xf numFmtId="0" fontId="17" fillId="0" borderId="0" xfId="4" applyFont="1" applyFill="1" applyBorder="1" applyAlignment="1">
      <alignment horizontal="left" vertical="center" wrapText="1"/>
    </xf>
    <xf numFmtId="0" fontId="17" fillId="0" borderId="0" xfId="4" applyFont="1" applyFill="1" applyBorder="1" applyAlignment="1"/>
    <xf numFmtId="0" fontId="18" fillId="0" borderId="0" xfId="6" applyFont="1" applyFill="1"/>
    <xf numFmtId="0" fontId="11" fillId="0" borderId="0" xfId="4" applyFont="1" applyFill="1"/>
    <xf numFmtId="0" fontId="11" fillId="0" borderId="0" xfId="4"/>
    <xf numFmtId="0" fontId="19" fillId="0" borderId="0" xfId="0" applyFont="1" applyBorder="1" applyAlignment="1">
      <alignment horizontal="center" vertical="center"/>
    </xf>
    <xf numFmtId="166" fontId="17" fillId="0" borderId="0" xfId="4" applyNumberFormat="1" applyFont="1" applyFill="1" applyBorder="1" applyAlignment="1">
      <alignment horizontal="center" vertical="center"/>
    </xf>
    <xf numFmtId="0" fontId="17" fillId="0" borderId="0" xfId="4" applyFont="1" applyFill="1" applyBorder="1" applyAlignment="1">
      <alignment horizontal="center" vertical="center"/>
    </xf>
    <xf numFmtId="0" fontId="11" fillId="0" borderId="0" xfId="4" applyFont="1" applyFill="1" applyBorder="1" applyAlignment="1">
      <alignment horizontal="center" vertical="center"/>
    </xf>
    <xf numFmtId="0" fontId="11" fillId="0" borderId="0" xfId="4" quotePrefix="1" applyFont="1" applyFill="1"/>
    <xf numFmtId="0" fontId="11" fillId="0" borderId="0" xfId="4" applyFont="1" applyFill="1" applyBorder="1"/>
    <xf numFmtId="0" fontId="18" fillId="0" borderId="0" xfId="4" applyFont="1" applyFill="1" applyBorder="1" applyAlignment="1">
      <alignment horizontal="center"/>
    </xf>
    <xf numFmtId="14" fontId="18" fillId="0" borderId="0" xfId="4" applyNumberFormat="1" applyFont="1" applyFill="1" applyBorder="1" applyAlignment="1">
      <alignment horizontal="center"/>
    </xf>
    <xf numFmtId="0" fontId="17" fillId="0" borderId="0" xfId="4" applyFont="1" applyFill="1" applyBorder="1" applyAlignment="1">
      <alignment vertical="center"/>
    </xf>
    <xf numFmtId="0" fontId="11" fillId="0" borderId="0" xfId="4" applyFont="1" applyFill="1" applyBorder="1" applyAlignment="1">
      <alignment horizontal="center"/>
    </xf>
    <xf numFmtId="0" fontId="20" fillId="0" borderId="36" xfId="6" applyFont="1" applyFill="1" applyBorder="1" applyAlignment="1">
      <alignment horizontal="center" vertical="center" wrapText="1"/>
    </xf>
    <xf numFmtId="0" fontId="20" fillId="0" borderId="23" xfId="6" applyFont="1" applyFill="1" applyBorder="1" applyAlignment="1">
      <alignment horizontal="center" vertical="center" wrapText="1"/>
    </xf>
    <xf numFmtId="0" fontId="17" fillId="0" borderId="42" xfId="6" applyFont="1" applyFill="1" applyBorder="1" applyAlignment="1">
      <alignment horizontal="center" vertical="center" wrapText="1"/>
    </xf>
    <xf numFmtId="0" fontId="17" fillId="0" borderId="33" xfId="6" applyFont="1" applyFill="1" applyBorder="1" applyAlignment="1">
      <alignment horizontal="center" vertical="center" wrapText="1"/>
    </xf>
    <xf numFmtId="0" fontId="17" fillId="0" borderId="34" xfId="6" applyFont="1" applyFill="1" applyBorder="1" applyAlignment="1">
      <alignment horizontal="center" vertical="center" wrapText="1"/>
    </xf>
    <xf numFmtId="0" fontId="17" fillId="0" borderId="43" xfId="6" applyFont="1" applyFill="1" applyBorder="1" applyAlignment="1">
      <alignment horizontal="center" vertical="center" wrapText="1"/>
    </xf>
    <xf numFmtId="167" fontId="20" fillId="0" borderId="6" xfId="6" applyNumberFormat="1" applyFont="1" applyFill="1" applyBorder="1" applyAlignment="1">
      <alignment horizontal="center" vertical="center" wrapText="1"/>
    </xf>
    <xf numFmtId="167" fontId="20" fillId="0" borderId="1" xfId="6" applyNumberFormat="1" applyFont="1" applyFill="1" applyBorder="1" applyAlignment="1">
      <alignment horizontal="center"/>
    </xf>
    <xf numFmtId="167" fontId="20" fillId="0" borderId="1" xfId="6" applyNumberFormat="1" applyFont="1" applyFill="1" applyBorder="1" applyAlignment="1">
      <alignment horizontal="center" vertical="center" wrapText="1"/>
    </xf>
    <xf numFmtId="167" fontId="20" fillId="0" borderId="4" xfId="6" applyNumberFormat="1" applyFont="1" applyFill="1" applyBorder="1" applyAlignment="1">
      <alignment horizontal="center"/>
    </xf>
    <xf numFmtId="0" fontId="11" fillId="0" borderId="28" xfId="4" applyFont="1" applyFill="1" applyBorder="1"/>
    <xf numFmtId="0" fontId="18" fillId="0" borderId="29" xfId="6" applyFont="1" applyFill="1" applyBorder="1"/>
    <xf numFmtId="0" fontId="18" fillId="0" borderId="44" xfId="6" applyFont="1" applyFill="1" applyBorder="1" applyAlignment="1">
      <alignment horizontal="left" vertical="center" wrapText="1"/>
    </xf>
    <xf numFmtId="14" fontId="18" fillId="0" borderId="34" xfId="6" applyNumberFormat="1" applyFont="1" applyFill="1" applyBorder="1" applyAlignment="1">
      <alignment horizontal="center" vertical="center" wrapText="1"/>
    </xf>
    <xf numFmtId="14" fontId="18" fillId="0" borderId="26" xfId="6" applyNumberFormat="1" applyFont="1" applyFill="1" applyBorder="1" applyAlignment="1">
      <alignment horizontal="center" vertical="center" wrapText="1"/>
    </xf>
    <xf numFmtId="14" fontId="18" fillId="0" borderId="0" xfId="6" applyNumberFormat="1" applyFont="1" applyFill="1" applyBorder="1" applyAlignment="1">
      <alignment horizontal="center" vertical="center" wrapText="1"/>
    </xf>
    <xf numFmtId="14" fontId="18" fillId="0" borderId="2" xfId="6" applyNumberFormat="1" applyFont="1" applyFill="1" applyBorder="1" applyAlignment="1">
      <alignment horizontal="center" vertical="center" wrapText="1"/>
    </xf>
    <xf numFmtId="14" fontId="18" fillId="0" borderId="25" xfId="6" applyNumberFormat="1" applyFont="1" applyFill="1" applyBorder="1" applyAlignment="1">
      <alignment horizontal="center" vertical="center" wrapText="1"/>
    </xf>
    <xf numFmtId="14" fontId="18" fillId="0" borderId="35" xfId="6" applyNumberFormat="1" applyFont="1" applyFill="1" applyBorder="1" applyAlignment="1">
      <alignment horizontal="center" vertical="center" wrapText="1"/>
    </xf>
    <xf numFmtId="2" fontId="17" fillId="0" borderId="45" xfId="6"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0" fontId="18" fillId="0" borderId="1" xfId="6" applyFont="1" applyFill="1" applyBorder="1" applyAlignment="1">
      <alignment horizontal="center" vertical="center" wrapText="1"/>
    </xf>
    <xf numFmtId="0" fontId="18" fillId="0" borderId="29" xfId="6" applyFont="1" applyFill="1" applyBorder="1" applyAlignment="1">
      <alignment horizontal="center" vertical="center" wrapText="1"/>
    </xf>
    <xf numFmtId="0" fontId="18" fillId="0" borderId="44" xfId="6" applyFont="1" applyFill="1" applyBorder="1" applyAlignment="1">
      <alignment horizontal="center" vertical="center" wrapText="1"/>
    </xf>
    <xf numFmtId="167" fontId="20" fillId="0" borderId="46" xfId="6" applyNumberFormat="1" applyFont="1" applyFill="1" applyBorder="1" applyAlignment="1">
      <alignment horizontal="center" vertical="center" wrapText="1"/>
    </xf>
    <xf numFmtId="167" fontId="20" fillId="0" borderId="47" xfId="6" applyNumberFormat="1" applyFont="1" applyFill="1" applyBorder="1" applyAlignment="1">
      <alignment horizontal="center" vertical="center" wrapText="1"/>
    </xf>
    <xf numFmtId="0" fontId="11" fillId="0" borderId="49" xfId="4" applyFont="1" applyFill="1" applyBorder="1" applyAlignment="1">
      <alignment horizontal="center" vertical="center" wrapText="1"/>
    </xf>
    <xf numFmtId="0" fontId="11" fillId="0" borderId="28" xfId="4" applyFont="1" applyFill="1" applyBorder="1" applyAlignment="1">
      <alignment wrapText="1"/>
    </xf>
    <xf numFmtId="168" fontId="18" fillId="0" borderId="2" xfId="6" applyNumberFormat="1" applyFont="1" applyFill="1" applyBorder="1" applyAlignment="1">
      <alignment horizontal="center" vertical="center" wrapText="1"/>
    </xf>
    <xf numFmtId="14" fontId="17" fillId="8" borderId="6" xfId="6" applyNumberFormat="1" applyFont="1" applyFill="1" applyBorder="1" applyAlignment="1">
      <alignment horizontal="center" vertical="center" wrapText="1"/>
    </xf>
    <xf numFmtId="169" fontId="18" fillId="0" borderId="1" xfId="6" applyNumberFormat="1" applyFont="1" applyFill="1" applyBorder="1" applyAlignment="1">
      <alignment horizontal="center" vertical="center" wrapText="1"/>
    </xf>
    <xf numFmtId="169" fontId="18" fillId="0" borderId="4" xfId="6" applyNumberFormat="1" applyFont="1" applyFill="1" applyBorder="1" applyAlignment="1">
      <alignment horizontal="center" vertical="center" wrapText="1"/>
    </xf>
    <xf numFmtId="2" fontId="18" fillId="7" borderId="1" xfId="6" applyNumberFormat="1" applyFont="1" applyFill="1" applyBorder="1" applyAlignment="1">
      <alignment horizontal="center" vertical="center" wrapText="1"/>
    </xf>
    <xf numFmtId="2" fontId="18" fillId="9" borderId="50" xfId="6" applyNumberFormat="1" applyFont="1" applyFill="1" applyBorder="1" applyAlignment="1">
      <alignment horizontal="center" vertical="center" wrapText="1"/>
    </xf>
    <xf numFmtId="2" fontId="17" fillId="0" borderId="28" xfId="6" applyNumberFormat="1" applyFont="1" applyFill="1" applyBorder="1" applyAlignment="1">
      <alignment horizontal="center" vertical="center" wrapText="1"/>
    </xf>
    <xf numFmtId="2" fontId="12" fillId="0" borderId="1" xfId="6" applyNumberFormat="1" applyFont="1" applyFill="1" applyBorder="1" applyAlignment="1">
      <alignment vertical="center"/>
    </xf>
    <xf numFmtId="2" fontId="12" fillId="0" borderId="10" xfId="6" applyNumberFormat="1" applyFont="1" applyFill="1" applyBorder="1" applyAlignment="1">
      <alignment vertical="center"/>
    </xf>
    <xf numFmtId="2" fontId="20" fillId="0" borderId="1" xfId="6" applyNumberFormat="1" applyFont="1" applyFill="1" applyBorder="1" applyAlignment="1">
      <alignment vertical="center"/>
    </xf>
    <xf numFmtId="2" fontId="20" fillId="0" borderId="27" xfId="6" applyNumberFormat="1" applyFont="1" applyFill="1" applyBorder="1" applyAlignment="1">
      <alignment vertical="center"/>
    </xf>
    <xf numFmtId="168" fontId="18" fillId="0" borderId="52" xfId="6" applyNumberFormat="1" applyFont="1" applyFill="1" applyBorder="1" applyAlignment="1">
      <alignment horizontal="center" vertical="center" wrapText="1"/>
    </xf>
    <xf numFmtId="168" fontId="18" fillId="0" borderId="53" xfId="6" applyNumberFormat="1" applyFont="1" applyFill="1" applyBorder="1" applyAlignment="1">
      <alignment horizontal="center" vertical="center" wrapText="1"/>
    </xf>
    <xf numFmtId="0" fontId="11" fillId="0" borderId="39" xfId="4" applyFont="1" applyFill="1" applyBorder="1" applyAlignment="1">
      <alignment wrapText="1"/>
    </xf>
    <xf numFmtId="14" fontId="18" fillId="0" borderId="54" xfId="6" applyNumberFormat="1" applyFont="1" applyFill="1" applyBorder="1" applyAlignment="1">
      <alignment horizontal="center" vertical="center" wrapText="1"/>
    </xf>
    <xf numFmtId="14" fontId="18" fillId="0" borderId="46" xfId="6" applyNumberFormat="1" applyFont="1" applyFill="1" applyBorder="1" applyAlignment="1">
      <alignment horizontal="center" vertical="center" wrapText="1"/>
    </xf>
    <xf numFmtId="2" fontId="18" fillId="0" borderId="47" xfId="6" applyNumberFormat="1" applyFont="1" applyFill="1" applyBorder="1" applyAlignment="1">
      <alignment horizontal="center" vertical="center" wrapText="1"/>
    </xf>
    <xf numFmtId="2" fontId="18" fillId="0" borderId="55" xfId="6" applyNumberFormat="1" applyFont="1" applyFill="1" applyBorder="1" applyAlignment="1">
      <alignment horizontal="center" vertical="center" wrapText="1"/>
    </xf>
    <xf numFmtId="2" fontId="18" fillId="0" borderId="46" xfId="6" applyNumberFormat="1" applyFont="1" applyFill="1" applyBorder="1" applyAlignment="1">
      <alignment horizontal="center" vertical="center" wrapText="1"/>
    </xf>
    <xf numFmtId="168" fontId="18" fillId="0" borderId="55" xfId="6" applyNumberFormat="1" applyFont="1" applyFill="1" applyBorder="1" applyAlignment="1">
      <alignment horizontal="center" vertical="center" wrapText="1"/>
    </xf>
    <xf numFmtId="168" fontId="18" fillId="0" borderId="56" xfId="6" applyNumberFormat="1" applyFont="1" applyFill="1" applyBorder="1" applyAlignment="1">
      <alignment horizontal="center" vertical="center" wrapText="1"/>
    </xf>
    <xf numFmtId="2" fontId="18" fillId="0" borderId="58" xfId="6" applyNumberFormat="1" applyFont="1" applyFill="1" applyBorder="1" applyAlignment="1">
      <alignment horizontal="center" vertical="center" wrapText="1"/>
    </xf>
    <xf numFmtId="2" fontId="18" fillId="0" borderId="60" xfId="6" applyNumberFormat="1" applyFont="1" applyFill="1" applyBorder="1" applyAlignment="1">
      <alignment horizontal="center" vertical="center" wrapText="1"/>
    </xf>
    <xf numFmtId="171" fontId="18" fillId="0" borderId="57" xfId="6" applyNumberFormat="1" applyFont="1" applyFill="1" applyBorder="1" applyAlignment="1">
      <alignment vertical="center" wrapText="1"/>
    </xf>
    <xf numFmtId="171" fontId="18" fillId="0" borderId="47" xfId="6" applyNumberFormat="1" applyFont="1" applyFill="1" applyBorder="1" applyAlignment="1">
      <alignment vertical="center" wrapText="1"/>
    </xf>
    <xf numFmtId="170" fontId="18" fillId="0" borderId="56" xfId="6" applyNumberFormat="1" applyFont="1" applyFill="1" applyBorder="1" applyAlignment="1">
      <alignment horizontal="center" vertical="center" wrapText="1"/>
    </xf>
    <xf numFmtId="2" fontId="18" fillId="0" borderId="54" xfId="6" applyNumberFormat="1" applyFont="1" applyFill="1" applyBorder="1" applyAlignment="1">
      <alignment horizontal="center" vertical="center" wrapText="1"/>
    </xf>
    <xf numFmtId="2" fontId="18" fillId="0" borderId="39" xfId="6" applyNumberFormat="1" applyFont="1" applyFill="1" applyBorder="1" applyAlignment="1">
      <alignment horizontal="center" vertical="center" wrapText="1"/>
    </xf>
    <xf numFmtId="0" fontId="11" fillId="0" borderId="31" xfId="4" applyFont="1" applyFill="1" applyBorder="1"/>
    <xf numFmtId="0" fontId="11" fillId="0" borderId="32" xfId="4" applyFont="1" applyFill="1" applyBorder="1"/>
    <xf numFmtId="0" fontId="11" fillId="0" borderId="61" xfId="4" applyFont="1" applyFill="1" applyBorder="1"/>
    <xf numFmtId="0" fontId="11" fillId="0" borderId="0" xfId="4" applyAlignment="1">
      <alignment wrapText="1"/>
    </xf>
    <xf numFmtId="0" fontId="16" fillId="0" borderId="0" xfId="4" applyFont="1" applyFill="1"/>
    <xf numFmtId="0" fontId="11" fillId="0" borderId="0" xfId="4" applyBorder="1"/>
    <xf numFmtId="170" fontId="18" fillId="0" borderId="6" xfId="6" applyNumberFormat="1" applyFont="1" applyFill="1" applyBorder="1" applyAlignment="1">
      <alignment horizontal="center" vertical="center" wrapText="1"/>
    </xf>
    <xf numFmtId="169" fontId="18" fillId="0" borderId="27" xfId="6" applyNumberFormat="1" applyFont="1" applyFill="1" applyBorder="1" applyAlignment="1">
      <alignment horizontal="center" vertical="center" wrapText="1"/>
    </xf>
    <xf numFmtId="2" fontId="18" fillId="0" borderId="31" xfId="6" applyNumberFormat="1" applyFont="1" applyFill="1" applyBorder="1" applyAlignment="1">
      <alignment horizontal="center" vertical="center" wrapText="1"/>
    </xf>
    <xf numFmtId="2" fontId="18" fillId="0" borderId="62" xfId="6" applyNumberFormat="1" applyFont="1" applyFill="1" applyBorder="1" applyAlignment="1">
      <alignment horizontal="center" vertical="center" wrapText="1"/>
    </xf>
    <xf numFmtId="2" fontId="12" fillId="0" borderId="63" xfId="6" applyNumberFormat="1" applyFont="1" applyFill="1" applyBorder="1" applyAlignment="1">
      <alignment vertical="center"/>
    </xf>
    <xf numFmtId="2" fontId="20" fillId="0" borderId="10" xfId="6" applyNumberFormat="1" applyFont="1" applyFill="1" applyBorder="1" applyAlignment="1">
      <alignment vertical="center"/>
    </xf>
    <xf numFmtId="2" fontId="20" fillId="0" borderId="48" xfId="6" applyNumberFormat="1" applyFont="1" applyFill="1" applyBorder="1" applyAlignment="1">
      <alignment vertical="center"/>
    </xf>
    <xf numFmtId="0" fontId="20" fillId="0" borderId="22" xfId="6" applyFont="1" applyFill="1" applyBorder="1" applyAlignment="1">
      <alignment horizontal="center" vertical="center" wrapText="1"/>
    </xf>
    <xf numFmtId="167" fontId="20" fillId="0" borderId="64" xfId="6" applyNumberFormat="1" applyFont="1" applyFill="1" applyBorder="1" applyAlignment="1">
      <alignment horizontal="center" vertical="center" wrapText="1"/>
    </xf>
    <xf numFmtId="2" fontId="21" fillId="0" borderId="26" xfId="6" applyNumberFormat="1" applyFont="1" applyFill="1" applyBorder="1" applyAlignment="1">
      <alignment horizontal="center" vertical="center" wrapText="1"/>
    </xf>
    <xf numFmtId="14" fontId="21" fillId="0" borderId="51" xfId="6" applyNumberFormat="1" applyFont="1" applyFill="1" applyBorder="1" applyAlignment="1">
      <alignment horizontal="center" vertical="center" wrapText="1"/>
    </xf>
    <xf numFmtId="170" fontId="18" fillId="0" borderId="6" xfId="6" applyNumberFormat="1" applyFont="1" applyFill="1" applyBorder="1" applyAlignment="1">
      <alignment vertical="center" wrapText="1"/>
    </xf>
    <xf numFmtId="171" fontId="18" fillId="0" borderId="46" xfId="6" applyNumberFormat="1" applyFont="1" applyFill="1" applyBorder="1" applyAlignment="1">
      <alignment vertical="center" wrapText="1"/>
    </xf>
    <xf numFmtId="165" fontId="0" fillId="0" borderId="1" xfId="0" applyNumberFormat="1" applyBorder="1" applyAlignment="1">
      <alignment wrapText="1"/>
    </xf>
    <xf numFmtId="0" fontId="0" fillId="0" borderId="0" xfId="0"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20" fillId="0" borderId="24" xfId="6" applyFont="1" applyFill="1" applyBorder="1" applyAlignment="1">
      <alignment horizontal="center" vertical="center" wrapText="1"/>
    </xf>
    <xf numFmtId="0" fontId="20" fillId="0" borderId="43" xfId="6" applyFont="1" applyFill="1" applyBorder="1" applyAlignment="1">
      <alignment horizontal="center" vertical="center" wrapText="1"/>
    </xf>
    <xf numFmtId="0" fontId="20" fillId="0" borderId="62" xfId="6" applyFont="1" applyFill="1" applyBorder="1" applyAlignment="1">
      <alignment horizontal="center" vertical="center" wrapText="1"/>
    </xf>
    <xf numFmtId="2" fontId="17" fillId="0" borderId="20" xfId="6" applyNumberFormat="1" applyFont="1" applyFill="1" applyBorder="1" applyAlignment="1">
      <alignment horizontal="center" vertical="center" wrapText="1"/>
    </xf>
    <xf numFmtId="2" fontId="17" fillId="0" borderId="21" xfId="6" applyNumberFormat="1" applyFont="1" applyFill="1" applyBorder="1" applyAlignment="1">
      <alignment horizontal="center" vertical="center" wrapText="1"/>
    </xf>
    <xf numFmtId="2" fontId="17" fillId="0" borderId="17" xfId="6" applyNumberFormat="1" applyFont="1" applyFill="1" applyBorder="1" applyAlignment="1">
      <alignment horizontal="center" vertical="center" wrapText="1"/>
    </xf>
    <xf numFmtId="0" fontId="18" fillId="0" borderId="1" xfId="4" applyFont="1" applyFill="1" applyBorder="1" applyAlignment="1">
      <alignment horizontal="center" vertical="center" wrapText="1"/>
    </xf>
    <xf numFmtId="0" fontId="17" fillId="0" borderId="1" xfId="4" applyFont="1" applyFill="1" applyBorder="1" applyAlignment="1">
      <alignment horizontal="center" vertical="center"/>
    </xf>
    <xf numFmtId="0" fontId="18" fillId="0" borderId="1" xfId="4" applyFont="1" applyFill="1" applyBorder="1" applyAlignment="1">
      <alignment horizontal="center" vertical="center"/>
    </xf>
    <xf numFmtId="0" fontId="20" fillId="0" borderId="23" xfId="6" applyFont="1" applyFill="1" applyBorder="1" applyAlignment="1">
      <alignment horizontal="center" vertical="center" wrapText="1"/>
    </xf>
    <xf numFmtId="0" fontId="20" fillId="0" borderId="34" xfId="6" applyFont="1" applyFill="1" applyBorder="1" applyAlignment="1">
      <alignment horizontal="center" vertical="center" wrapText="1"/>
    </xf>
    <xf numFmtId="0" fontId="20" fillId="0" borderId="59" xfId="6" applyFont="1" applyFill="1" applyBorder="1" applyAlignment="1">
      <alignment horizontal="center" vertical="center" wrapText="1"/>
    </xf>
    <xf numFmtId="0" fontId="17" fillId="0" borderId="26" xfId="6" applyFont="1" applyFill="1" applyBorder="1" applyAlignment="1">
      <alignment horizontal="center" vertical="center" wrapText="1"/>
    </xf>
    <xf numFmtId="0" fontId="17" fillId="0" borderId="10" xfId="6" applyFont="1" applyFill="1" applyBorder="1" applyAlignment="1">
      <alignment horizontal="center" vertical="center" wrapText="1"/>
    </xf>
    <xf numFmtId="0" fontId="17" fillId="0" borderId="2" xfId="6" applyFont="1" applyFill="1" applyBorder="1" applyAlignment="1">
      <alignment horizontal="center" vertical="center" wrapText="1"/>
    </xf>
    <xf numFmtId="0" fontId="17" fillId="0" borderId="30" xfId="6" applyFont="1" applyFill="1" applyBorder="1" applyAlignment="1">
      <alignment horizontal="center" vertical="center" wrapText="1"/>
    </xf>
    <xf numFmtId="0" fontId="17" fillId="0" borderId="41" xfId="6" applyFont="1" applyFill="1" applyBorder="1" applyAlignment="1">
      <alignment horizontal="center" vertical="center" wrapText="1"/>
    </xf>
    <xf numFmtId="0" fontId="17" fillId="0" borderId="36" xfId="6" applyFont="1" applyFill="1" applyBorder="1" applyAlignment="1">
      <alignment horizontal="center" vertical="center" wrapText="1"/>
    </xf>
    <xf numFmtId="0" fontId="17" fillId="0" borderId="42" xfId="6" applyFont="1" applyFill="1" applyBorder="1" applyAlignment="1">
      <alignment horizontal="center" vertical="center" wrapText="1"/>
    </xf>
    <xf numFmtId="0" fontId="17" fillId="0" borderId="63" xfId="6" applyFont="1" applyFill="1" applyBorder="1" applyAlignment="1">
      <alignment horizontal="center" vertical="center" wrapText="1"/>
    </xf>
    <xf numFmtId="0" fontId="17" fillId="0" borderId="23" xfId="6" applyFont="1" applyFill="1" applyBorder="1" applyAlignment="1">
      <alignment horizontal="center" vertical="center" wrapText="1"/>
    </xf>
    <xf numFmtId="0" fontId="17" fillId="0" borderId="34" xfId="6" applyFont="1" applyFill="1" applyBorder="1" applyAlignment="1">
      <alignment horizontal="center" vertical="center" wrapText="1"/>
    </xf>
    <xf numFmtId="0" fontId="17" fillId="0" borderId="14" xfId="6" applyFont="1" applyFill="1" applyBorder="1" applyAlignment="1">
      <alignment horizontal="center" vertical="center" wrapText="1"/>
    </xf>
    <xf numFmtId="0" fontId="17" fillId="0" borderId="1" xfId="6" applyFont="1" applyFill="1" applyBorder="1" applyAlignment="1">
      <alignment horizontal="center" vertical="center" wrapText="1"/>
    </xf>
    <xf numFmtId="14" fontId="16" fillId="5" borderId="11" xfId="4" applyNumberFormat="1" applyFont="1" applyFill="1" applyBorder="1" applyAlignment="1">
      <alignment horizontal="center" vertical="center"/>
    </xf>
    <xf numFmtId="0" fontId="16" fillId="5" borderId="12" xfId="4" applyFont="1" applyFill="1" applyBorder="1" applyAlignment="1">
      <alignment horizontal="center" vertical="center"/>
    </xf>
    <xf numFmtId="0" fontId="16" fillId="5" borderId="13" xfId="4" applyFont="1" applyFill="1" applyBorder="1" applyAlignment="1">
      <alignment horizontal="center" vertical="center"/>
    </xf>
    <xf numFmtId="0" fontId="20" fillId="0" borderId="5" xfId="6" applyFont="1" applyFill="1" applyBorder="1" applyAlignment="1">
      <alignment horizontal="center" vertical="center"/>
    </xf>
    <xf numFmtId="0" fontId="20" fillId="0" borderId="14" xfId="6" applyFont="1" applyFill="1" applyBorder="1" applyAlignment="1">
      <alignment horizontal="center" vertical="center"/>
    </xf>
    <xf numFmtId="0" fontId="20" fillId="0" borderId="15" xfId="6" applyFont="1" applyFill="1" applyBorder="1" applyAlignment="1">
      <alignment horizontal="center" vertical="center"/>
    </xf>
    <xf numFmtId="0" fontId="20" fillId="0" borderId="25" xfId="6" applyFont="1" applyFill="1" applyBorder="1" applyAlignment="1">
      <alignment horizontal="center" vertical="center"/>
    </xf>
    <xf numFmtId="0" fontId="20" fillId="0" borderId="26" xfId="6" applyFont="1" applyFill="1" applyBorder="1" applyAlignment="1">
      <alignment horizontal="center" vertical="center"/>
    </xf>
    <xf numFmtId="0" fontId="20" fillId="0" borderId="37" xfId="6" applyFont="1" applyFill="1" applyBorder="1" applyAlignment="1">
      <alignment horizontal="center" vertical="center"/>
    </xf>
    <xf numFmtId="0" fontId="16" fillId="0" borderId="16" xfId="4" applyFont="1" applyFill="1" applyBorder="1" applyAlignment="1">
      <alignment horizontal="center" vertical="center"/>
    </xf>
    <xf numFmtId="0" fontId="16" fillId="0" borderId="28" xfId="4" applyFont="1" applyFill="1" applyBorder="1" applyAlignment="1">
      <alignment horizontal="center" vertical="center"/>
    </xf>
    <xf numFmtId="0" fontId="16" fillId="0" borderId="38" xfId="4" applyFont="1" applyFill="1" applyBorder="1" applyAlignment="1">
      <alignment horizontal="center" vertical="center"/>
    </xf>
    <xf numFmtId="0" fontId="16" fillId="0" borderId="16" xfId="4" applyFont="1" applyFill="1" applyBorder="1" applyAlignment="1">
      <alignment horizontal="center" vertical="center" wrapText="1"/>
    </xf>
    <xf numFmtId="0" fontId="16" fillId="0" borderId="28" xfId="4" applyFont="1" applyFill="1" applyBorder="1" applyAlignment="1">
      <alignment horizontal="center" vertical="center" wrapText="1"/>
    </xf>
    <xf numFmtId="0" fontId="16" fillId="0" borderId="39" xfId="4" applyFont="1" applyFill="1" applyBorder="1" applyAlignment="1">
      <alignment horizontal="center" vertical="center" wrapText="1"/>
    </xf>
    <xf numFmtId="0" fontId="17" fillId="0" borderId="17" xfId="6" applyFont="1" applyFill="1" applyBorder="1" applyAlignment="1">
      <alignment horizontal="center" vertical="center" wrapText="1"/>
    </xf>
    <xf numFmtId="0" fontId="17" fillId="0" borderId="29" xfId="6" applyFont="1" applyFill="1" applyBorder="1" applyAlignment="1">
      <alignment horizontal="center" vertical="center" wrapText="1"/>
    </xf>
    <xf numFmtId="0" fontId="17" fillId="0" borderId="40" xfId="6" applyFont="1" applyFill="1" applyBorder="1" applyAlignment="1">
      <alignment horizontal="center" vertical="center" wrapText="1"/>
    </xf>
    <xf numFmtId="0" fontId="17" fillId="0" borderId="18" xfId="6" applyFont="1" applyFill="1" applyBorder="1" applyAlignment="1">
      <alignment horizontal="center" vertical="center" wrapText="1"/>
    </xf>
    <xf numFmtId="0" fontId="17" fillId="0" borderId="19" xfId="6" applyFont="1" applyFill="1" applyBorder="1" applyAlignment="1">
      <alignment horizontal="center" vertical="center" wrapText="1"/>
    </xf>
    <xf numFmtId="0" fontId="17" fillId="0" borderId="20" xfId="6" applyFont="1" applyFill="1" applyBorder="1" applyAlignment="1">
      <alignment horizontal="center" vertical="center" wrapText="1"/>
    </xf>
    <xf numFmtId="0" fontId="17" fillId="0" borderId="21" xfId="6" applyFont="1" applyFill="1" applyBorder="1" applyAlignment="1">
      <alignment horizontal="center" vertical="center" wrapText="1"/>
    </xf>
    <xf numFmtId="0" fontId="17" fillId="0" borderId="31" xfId="6" applyFont="1" applyFill="1" applyBorder="1" applyAlignment="1">
      <alignment horizontal="center" vertical="center" wrapText="1"/>
    </xf>
    <xf numFmtId="0" fontId="17" fillId="0" borderId="32" xfId="6" applyFont="1" applyFill="1" applyBorder="1" applyAlignment="1">
      <alignment horizontal="center" vertical="center" wrapText="1"/>
    </xf>
    <xf numFmtId="0" fontId="17" fillId="0" borderId="61" xfId="6" applyFont="1" applyFill="1" applyBorder="1" applyAlignment="1">
      <alignment horizontal="center" vertical="center" wrapText="1"/>
    </xf>
    <xf numFmtId="0" fontId="17" fillId="0" borderId="16" xfId="6" applyFont="1" applyFill="1" applyBorder="1" applyAlignment="1">
      <alignment horizontal="center" vertical="center" wrapText="1"/>
    </xf>
    <xf numFmtId="0" fontId="17" fillId="0" borderId="28" xfId="6" applyFont="1" applyFill="1" applyBorder="1" applyAlignment="1">
      <alignment horizontal="center" vertical="center" wrapText="1"/>
    </xf>
    <xf numFmtId="0" fontId="17" fillId="0" borderId="38" xfId="6" applyFont="1" applyFill="1" applyBorder="1" applyAlignment="1">
      <alignment horizontal="center" vertical="center" wrapText="1"/>
    </xf>
    <xf numFmtId="0" fontId="17" fillId="0" borderId="24" xfId="6" applyFont="1" applyFill="1" applyBorder="1" applyAlignment="1">
      <alignment horizontal="center" vertical="center" wrapText="1"/>
    </xf>
    <xf numFmtId="0" fontId="17" fillId="0" borderId="35" xfId="6" applyFont="1" applyFill="1" applyBorder="1" applyAlignment="1">
      <alignment horizontal="center" vertical="center" wrapText="1"/>
    </xf>
    <xf numFmtId="0" fontId="17" fillId="0" borderId="11" xfId="6" applyFont="1" applyFill="1" applyBorder="1" applyAlignment="1">
      <alignment horizontal="center" vertical="center" wrapText="1"/>
    </xf>
    <xf numFmtId="0" fontId="17" fillId="0" borderId="6" xfId="6"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1">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U1" workbookViewId="0">
      <selection activeCell="AN3" sqref="AN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21" width="8.85546875" customWidth="1"/>
    <col min="22" max="22" width="15.42578125" bestFit="1" customWidth="1"/>
    <col min="23" max="29" width="8.85546875" customWidth="1"/>
    <col min="30" max="30" width="14.5703125" bestFit="1" customWidth="1"/>
    <col min="3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167</v>
      </c>
    </row>
    <row r="2" spans="1:102" x14ac:dyDescent="0.25">
      <c r="A2" t="s">
        <v>168</v>
      </c>
      <c r="B2" s="60">
        <v>45148</v>
      </c>
      <c r="C2" t="s">
        <v>169</v>
      </c>
      <c r="D2" t="s">
        <v>170</v>
      </c>
      <c r="E2" t="s">
        <v>171</v>
      </c>
      <c r="J2" t="s">
        <v>82</v>
      </c>
      <c r="K2">
        <v>747</v>
      </c>
      <c r="L2">
        <v>264</v>
      </c>
      <c r="P2">
        <v>0</v>
      </c>
      <c r="T2">
        <v>0</v>
      </c>
      <c r="V2" t="s">
        <v>86</v>
      </c>
      <c r="W2">
        <v>111</v>
      </c>
      <c r="X2">
        <v>82</v>
      </c>
      <c r="Z2" t="s">
        <v>18</v>
      </c>
      <c r="AA2">
        <v>123</v>
      </c>
      <c r="AB2">
        <v>5</v>
      </c>
      <c r="AD2" t="s">
        <v>87</v>
      </c>
      <c r="AE2">
        <v>60</v>
      </c>
      <c r="AF2">
        <v>58</v>
      </c>
      <c r="AJ2">
        <v>0</v>
      </c>
      <c r="AL2" t="s">
        <v>87</v>
      </c>
      <c r="AM2">
        <v>60</v>
      </c>
      <c r="AN2">
        <v>175</v>
      </c>
      <c r="AR2">
        <v>0</v>
      </c>
      <c r="AV2">
        <v>0</v>
      </c>
      <c r="AZ2">
        <v>0</v>
      </c>
      <c r="BD2">
        <v>0</v>
      </c>
      <c r="BH2">
        <v>0</v>
      </c>
      <c r="BL2">
        <v>0</v>
      </c>
      <c r="BP2">
        <v>0</v>
      </c>
      <c r="BT2">
        <v>0</v>
      </c>
      <c r="BX2">
        <v>0</v>
      </c>
      <c r="CM2"/>
      <c r="CP2" s="61">
        <v>0.18</v>
      </c>
      <c r="CS2">
        <v>35</v>
      </c>
      <c r="CT2" t="s">
        <v>172</v>
      </c>
      <c r="CX2">
        <v>1000</v>
      </c>
    </row>
    <row r="3" spans="1:102" ht="38.25" x14ac:dyDescent="0.25">
      <c r="A3" t="s">
        <v>168</v>
      </c>
      <c r="B3" s="60">
        <v>45148</v>
      </c>
      <c r="C3" t="s">
        <v>173</v>
      </c>
      <c r="D3" t="s">
        <v>174</v>
      </c>
      <c r="E3" t="s">
        <v>171</v>
      </c>
      <c r="J3" t="s">
        <v>82</v>
      </c>
      <c r="K3">
        <v>747</v>
      </c>
      <c r="L3">
        <v>106.68</v>
      </c>
      <c r="P3">
        <v>0</v>
      </c>
      <c r="T3">
        <v>0</v>
      </c>
      <c r="V3" t="s">
        <v>175</v>
      </c>
      <c r="W3">
        <v>70</v>
      </c>
      <c r="X3">
        <v>40</v>
      </c>
      <c r="AB3">
        <v>0</v>
      </c>
      <c r="AD3" t="s">
        <v>104</v>
      </c>
      <c r="AE3">
        <v>58</v>
      </c>
      <c r="AF3">
        <v>68</v>
      </c>
      <c r="AJ3">
        <v>0</v>
      </c>
      <c r="AL3" s="24" t="s">
        <v>104</v>
      </c>
      <c r="AM3">
        <v>58</v>
      </c>
      <c r="AN3">
        <v>109</v>
      </c>
      <c r="AR3">
        <v>0</v>
      </c>
      <c r="AV3">
        <v>0</v>
      </c>
      <c r="AZ3">
        <v>0</v>
      </c>
      <c r="BD3">
        <v>0</v>
      </c>
      <c r="BH3">
        <v>0</v>
      </c>
      <c r="BL3">
        <v>16</v>
      </c>
      <c r="BP3">
        <v>0</v>
      </c>
      <c r="BT3">
        <v>0</v>
      </c>
      <c r="BX3">
        <v>0</v>
      </c>
      <c r="BZ3">
        <v>2239.7800000000002</v>
      </c>
      <c r="CA3">
        <v>2239.7800000000002</v>
      </c>
      <c r="CH3">
        <v>2239.7800000000002</v>
      </c>
      <c r="CM3">
        <v>2239.7800000000002</v>
      </c>
      <c r="CO3">
        <v>2239.7800000000002</v>
      </c>
      <c r="CP3" s="61">
        <v>0.18</v>
      </c>
      <c r="CQ3">
        <v>403.16</v>
      </c>
      <c r="CR3">
        <v>2642.94</v>
      </c>
      <c r="CS3">
        <v>3500</v>
      </c>
      <c r="CT3" t="s">
        <v>172</v>
      </c>
      <c r="CU3" s="62">
        <v>9250291</v>
      </c>
      <c r="CV3" t="s">
        <v>176</v>
      </c>
      <c r="CW3" t="s">
        <v>177</v>
      </c>
      <c r="CX3">
        <v>1000</v>
      </c>
    </row>
    <row r="4" spans="1:102"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5"/>
  <sheetViews>
    <sheetView tabSelected="1" topLeftCell="A13" workbookViewId="0">
      <selection activeCell="I33" sqref="I33"/>
    </sheetView>
  </sheetViews>
  <sheetFormatPr defaultRowHeight="15" x14ac:dyDescent="0.25"/>
  <cols>
    <col min="1" max="1" width="15.140625" bestFit="1" customWidth="1"/>
    <col min="2" max="2" width="11" customWidth="1"/>
    <col min="3" max="3" width="10.28515625" bestFit="1" customWidth="1"/>
    <col min="4" max="4" width="33.710937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5" width="7.85546875" style="30" hidden="1" customWidth="1"/>
    <col min="16" max="16" width="7.85546875" style="30" customWidth="1"/>
    <col min="17" max="31" width="7.85546875" style="30" hidden="1" customWidth="1"/>
    <col min="32" max="33" width="7.85546875" style="30" customWidth="1"/>
    <col min="34" max="36" width="7.85546875" style="30" hidden="1" customWidth="1"/>
    <col min="37" max="37" width="7.85546875" style="30" customWidth="1"/>
    <col min="38" max="40" width="7.85546875" style="30" hidden="1" customWidth="1"/>
    <col min="41" max="41" width="7.85546875" style="30" customWidth="1"/>
    <col min="42" max="42" width="7.85546875" style="30" hidden="1" customWidth="1"/>
    <col min="43" max="43" width="7.85546875" style="30" customWidth="1"/>
    <col min="44" max="60" width="7.85546875" style="30" hidden="1" customWidth="1"/>
    <col min="61" max="62" width="7.85546875" style="30" customWidth="1"/>
    <col min="63" max="73" width="7.85546875" style="30" hidden="1" customWidth="1"/>
    <col min="74" max="74" width="7.85546875" style="30" customWidth="1"/>
    <col min="75" max="75" width="10.7109375" style="30" customWidth="1"/>
    <col min="76" max="76" width="19.7109375" style="30" customWidth="1"/>
    <col min="77" max="77" width="11"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6" customFormat="1" ht="15.75" thickBot="1" x14ac:dyDescent="0.3"/>
    <row r="2" spans="1:89" s="46" customFormat="1" ht="23.25" thickBot="1" x14ac:dyDescent="0.5">
      <c r="A2" s="171" t="s">
        <v>139</v>
      </c>
      <c r="B2" s="172"/>
      <c r="C2" s="172"/>
      <c r="D2" s="172"/>
      <c r="E2" s="172"/>
      <c r="F2" s="172"/>
      <c r="G2" s="172"/>
      <c r="H2" s="172"/>
      <c r="I2" s="172"/>
      <c r="J2" s="172"/>
      <c r="K2" s="172"/>
      <c r="L2" s="172"/>
      <c r="M2" s="172"/>
      <c r="N2" s="172"/>
      <c r="O2" s="172"/>
      <c r="P2" s="172"/>
      <c r="Q2" s="172"/>
      <c r="R2" s="173"/>
      <c r="S2" s="52"/>
      <c r="T2" s="49"/>
    </row>
    <row r="3" spans="1:89" s="46" customFormat="1" ht="15.75" thickBot="1" x14ac:dyDescent="0.3">
      <c r="A3"/>
      <c r="B3"/>
      <c r="C3"/>
      <c r="D3"/>
      <c r="E3"/>
      <c r="F3"/>
      <c r="G3"/>
      <c r="H3"/>
      <c r="I3"/>
      <c r="J3"/>
      <c r="K3"/>
      <c r="L3"/>
      <c r="M3"/>
      <c r="N3"/>
      <c r="O3"/>
      <c r="P3"/>
      <c r="Q3"/>
      <c r="R3"/>
      <c r="S3"/>
    </row>
    <row r="4" spans="1:89" s="46" customFormat="1" ht="51.75" customHeight="1" thickBot="1" x14ac:dyDescent="0.3">
      <c r="A4" s="47" t="s">
        <v>124</v>
      </c>
      <c r="B4" s="167" t="s">
        <v>138</v>
      </c>
      <c r="C4" s="167"/>
      <c r="D4" s="167"/>
      <c r="E4" s="167"/>
      <c r="F4" s="167"/>
      <c r="G4" s="167"/>
      <c r="H4" s="167"/>
      <c r="I4" s="167"/>
      <c r="J4" s="167"/>
      <c r="K4" s="167"/>
      <c r="L4" s="167"/>
      <c r="M4" s="167"/>
      <c r="N4" s="167"/>
      <c r="O4" s="167"/>
      <c r="P4" s="167"/>
      <c r="Q4" s="167"/>
      <c r="R4" s="167"/>
      <c r="S4"/>
    </row>
    <row r="5" spans="1:89" s="46" customFormat="1" ht="34.5" customHeight="1" x14ac:dyDescent="0.25">
      <c r="A5" s="47" t="s">
        <v>125</v>
      </c>
      <c r="B5" s="167" t="s">
        <v>140</v>
      </c>
      <c r="C5" s="167"/>
      <c r="D5" s="167"/>
      <c r="E5" s="167"/>
      <c r="F5" s="167"/>
      <c r="G5" s="167"/>
      <c r="H5" s="167"/>
      <c r="I5" s="167"/>
      <c r="J5" s="167"/>
      <c r="K5" s="167"/>
      <c r="L5" s="167"/>
      <c r="M5" s="167"/>
      <c r="N5" s="167"/>
      <c r="O5" s="167"/>
      <c r="P5" s="167"/>
      <c r="Q5" s="167"/>
      <c r="R5" s="167"/>
      <c r="S5"/>
    </row>
    <row r="6" spans="1:89" s="46" customFormat="1" ht="48" customHeight="1" x14ac:dyDescent="0.25">
      <c r="A6" s="48" t="s">
        <v>126</v>
      </c>
      <c r="B6" s="166" t="s">
        <v>141</v>
      </c>
      <c r="C6" s="167"/>
      <c r="D6" s="167"/>
      <c r="E6" s="167"/>
      <c r="F6" s="167"/>
      <c r="G6" s="167"/>
      <c r="H6" s="167"/>
      <c r="I6" s="167"/>
      <c r="J6" s="167"/>
      <c r="K6" s="167"/>
      <c r="L6" s="167"/>
      <c r="M6" s="167"/>
      <c r="N6" s="167"/>
      <c r="O6" s="167"/>
      <c r="P6" s="167"/>
      <c r="Q6" s="167"/>
      <c r="R6" s="167"/>
      <c r="S6"/>
    </row>
    <row r="7" spans="1:89" s="46" customFormat="1" ht="30" x14ac:dyDescent="0.25">
      <c r="A7" s="48" t="s">
        <v>123</v>
      </c>
      <c r="B7" s="166" t="s">
        <v>142</v>
      </c>
      <c r="C7" s="167"/>
      <c r="D7" s="167"/>
      <c r="E7" s="167"/>
      <c r="F7" s="167"/>
      <c r="G7" s="167"/>
      <c r="H7" s="167"/>
      <c r="I7" s="167"/>
      <c r="J7" s="167"/>
      <c r="K7" s="167"/>
      <c r="L7" s="167"/>
      <c r="M7" s="167"/>
      <c r="N7" s="167"/>
      <c r="O7" s="167"/>
      <c r="P7" s="167"/>
      <c r="Q7" s="167"/>
      <c r="R7" s="167"/>
      <c r="S7"/>
    </row>
    <row r="8" spans="1:89" s="46" customFormat="1" ht="46.5" customHeight="1" x14ac:dyDescent="0.25">
      <c r="A8" s="48" t="s">
        <v>127</v>
      </c>
      <c r="B8" s="166" t="s">
        <v>143</v>
      </c>
      <c r="C8" s="166"/>
      <c r="D8" s="166"/>
      <c r="E8" s="166"/>
      <c r="F8" s="166"/>
      <c r="G8" s="166"/>
      <c r="H8" s="166"/>
      <c r="I8" s="166"/>
      <c r="J8" s="166"/>
      <c r="K8" s="166"/>
      <c r="L8" s="166"/>
      <c r="M8" s="166"/>
      <c r="N8" s="166"/>
      <c r="O8" s="166"/>
      <c r="P8" s="166"/>
      <c r="Q8" s="166"/>
      <c r="R8" s="166"/>
      <c r="S8"/>
    </row>
    <row r="9" spans="1:89" s="46" customFormat="1" ht="39.75" customHeight="1" x14ac:dyDescent="0.25">
      <c r="A9" s="48" t="s">
        <v>128</v>
      </c>
      <c r="B9" s="168" t="s">
        <v>145</v>
      </c>
      <c r="C9" s="169"/>
      <c r="D9" s="169"/>
      <c r="E9" s="169"/>
      <c r="F9" s="169"/>
      <c r="G9" s="169"/>
      <c r="H9" s="169"/>
      <c r="I9" s="169"/>
      <c r="J9" s="169"/>
      <c r="K9" s="169"/>
      <c r="L9" s="169"/>
      <c r="M9" s="169"/>
      <c r="N9" s="169"/>
      <c r="O9" s="169"/>
      <c r="P9" s="169"/>
      <c r="Q9" s="169"/>
      <c r="R9" s="170"/>
    </row>
    <row r="10" spans="1:89" s="46" customFormat="1" ht="96.75" customHeight="1" x14ac:dyDescent="0.25">
      <c r="A10" s="48" t="s">
        <v>129</v>
      </c>
      <c r="B10" s="166" t="s">
        <v>148</v>
      </c>
      <c r="C10" s="166"/>
      <c r="D10" s="166"/>
      <c r="E10" s="166"/>
      <c r="F10" s="166"/>
      <c r="G10" s="166"/>
      <c r="H10" s="166"/>
      <c r="I10" s="166"/>
      <c r="J10" s="166"/>
      <c r="K10" s="166"/>
      <c r="L10" s="166"/>
      <c r="M10" s="166"/>
      <c r="N10" s="166"/>
      <c r="O10" s="166"/>
      <c r="P10" s="166"/>
      <c r="Q10" s="166"/>
      <c r="R10" s="166"/>
      <c r="S10"/>
    </row>
    <row r="11" spans="1:89" s="46" customFormat="1" ht="48" customHeight="1" x14ac:dyDescent="0.25">
      <c r="A11" s="48" t="s">
        <v>130</v>
      </c>
      <c r="B11" s="177" t="s">
        <v>144</v>
      </c>
      <c r="C11" s="178"/>
      <c r="D11" s="178"/>
      <c r="E11" s="178"/>
      <c r="F11" s="178"/>
      <c r="G11" s="178"/>
      <c r="H11" s="178"/>
      <c r="I11" s="178"/>
      <c r="J11" s="178"/>
      <c r="K11" s="178"/>
      <c r="L11" s="178"/>
      <c r="M11" s="178"/>
      <c r="N11" s="178"/>
      <c r="O11" s="178"/>
      <c r="P11" s="178"/>
      <c r="Q11" s="178"/>
      <c r="R11" s="179"/>
      <c r="S11"/>
    </row>
    <row r="12" spans="1:89" s="46" customFormat="1" ht="36.75" customHeight="1" x14ac:dyDescent="0.25">
      <c r="A12" s="53" t="s">
        <v>131</v>
      </c>
      <c r="B12" s="180" t="s">
        <v>147</v>
      </c>
      <c r="C12" s="180"/>
      <c r="D12" s="180"/>
      <c r="E12" s="180"/>
      <c r="F12" s="180"/>
      <c r="G12" s="180"/>
      <c r="H12" s="180"/>
      <c r="I12" s="180"/>
      <c r="J12" s="180"/>
      <c r="K12" s="180"/>
      <c r="L12" s="180"/>
      <c r="M12" s="180"/>
      <c r="N12" s="180"/>
      <c r="O12" s="180"/>
      <c r="P12" s="180"/>
      <c r="Q12" s="180"/>
      <c r="R12" s="180"/>
    </row>
    <row r="13" spans="1:89" s="46" customFormat="1" ht="30.75" customHeight="1" x14ac:dyDescent="0.25">
      <c r="A13" s="53" t="s">
        <v>132</v>
      </c>
      <c r="B13" s="180" t="s">
        <v>146</v>
      </c>
      <c r="C13" s="180"/>
      <c r="D13" s="180"/>
      <c r="E13" s="180"/>
      <c r="F13" s="180"/>
      <c r="G13" s="180"/>
      <c r="H13" s="180"/>
      <c r="I13" s="180"/>
      <c r="J13" s="180"/>
      <c r="K13" s="180"/>
      <c r="L13" s="180"/>
      <c r="M13" s="180"/>
      <c r="N13" s="180"/>
      <c r="O13" s="180"/>
      <c r="P13" s="180"/>
      <c r="Q13" s="180"/>
      <c r="R13" s="180"/>
    </row>
    <row r="14" spans="1:89" s="46" customFormat="1" ht="30" x14ac:dyDescent="0.25">
      <c r="A14" s="54" t="s">
        <v>133</v>
      </c>
      <c r="B14" s="180"/>
      <c r="C14" s="180"/>
      <c r="D14" s="180"/>
      <c r="E14" s="180"/>
      <c r="F14" s="180"/>
      <c r="G14" s="180"/>
      <c r="H14" s="180"/>
      <c r="I14" s="180"/>
      <c r="J14" s="180"/>
      <c r="K14" s="180"/>
      <c r="L14" s="180"/>
      <c r="M14" s="180"/>
      <c r="N14" s="180"/>
      <c r="O14" s="180"/>
      <c r="P14" s="180"/>
      <c r="Q14" s="180"/>
      <c r="R14" s="180"/>
    </row>
    <row r="16" spans="1:89" s="37" customFormat="1" ht="28.9" customHeight="1" x14ac:dyDescent="0.25">
      <c r="E16" s="43"/>
      <c r="H16" s="44"/>
      <c r="N16" s="176" t="str">
        <f>Sheet1!J1</f>
        <v>Conductor</v>
      </c>
      <c r="O16" s="176"/>
      <c r="P16" s="176"/>
      <c r="Q16" s="176"/>
      <c r="R16" s="176"/>
      <c r="S16" s="176" t="s">
        <v>9</v>
      </c>
      <c r="T16" s="176"/>
      <c r="U16" s="176" t="s">
        <v>3</v>
      </c>
      <c r="V16" s="176"/>
      <c r="W16" s="176"/>
      <c r="X16" s="176"/>
      <c r="Y16" s="176"/>
      <c r="Z16" s="176"/>
      <c r="AA16" s="176"/>
      <c r="AB16" s="176"/>
      <c r="AC16" s="176" t="s">
        <v>12</v>
      </c>
      <c r="AD16" s="176"/>
      <c r="AE16" s="176" t="s">
        <v>15</v>
      </c>
      <c r="AF16" s="176"/>
      <c r="AG16" s="176"/>
      <c r="AH16" s="176"/>
      <c r="AI16" s="176"/>
      <c r="AJ16" s="176"/>
      <c r="AK16" s="38" t="s">
        <v>18</v>
      </c>
      <c r="AL16" s="174" t="s">
        <v>21</v>
      </c>
      <c r="AM16" s="175"/>
      <c r="AN16" s="175"/>
      <c r="AO16" s="175"/>
      <c r="AP16" s="175"/>
      <c r="AQ16" s="175"/>
      <c r="AR16" s="175"/>
      <c r="AS16" s="176" t="s">
        <v>24</v>
      </c>
      <c r="AT16" s="176"/>
      <c r="AU16" s="176"/>
      <c r="AV16" s="176"/>
      <c r="AW16" s="176"/>
      <c r="AX16" s="176"/>
      <c r="AY16" s="176"/>
      <c r="AZ16" s="176"/>
      <c r="BA16" s="176"/>
      <c r="BB16" s="176"/>
      <c r="BC16" s="176" t="s">
        <v>27</v>
      </c>
      <c r="BD16" s="176"/>
      <c r="BE16" s="176"/>
      <c r="BF16" s="176"/>
      <c r="BG16" s="176"/>
      <c r="BH16" s="176"/>
      <c r="BI16" s="176"/>
      <c r="BJ16" s="176"/>
      <c r="BK16" s="176"/>
      <c r="BL16" s="176"/>
      <c r="BM16" s="39" t="s">
        <v>30</v>
      </c>
      <c r="BN16" s="38" t="s">
        <v>33</v>
      </c>
      <c r="BO16" s="38" t="s">
        <v>36</v>
      </c>
      <c r="BP16" s="38" t="s">
        <v>39</v>
      </c>
      <c r="BQ16" s="38" t="s">
        <v>42</v>
      </c>
      <c r="BR16" s="38" t="s">
        <v>45</v>
      </c>
      <c r="BS16" s="38" t="s">
        <v>48</v>
      </c>
      <c r="BT16" s="38" t="s">
        <v>51</v>
      </c>
      <c r="BU16" s="38" t="s">
        <v>54</v>
      </c>
      <c r="BV16" s="50"/>
      <c r="BW16" s="50"/>
      <c r="BX16" s="50"/>
      <c r="BY16" s="59"/>
      <c r="BZ16" s="40" t="s">
        <v>57</v>
      </c>
      <c r="CA16" s="40" t="s">
        <v>58</v>
      </c>
      <c r="CB16" s="41" t="s">
        <v>79</v>
      </c>
      <c r="CC16" s="40" t="s">
        <v>122</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98</v>
      </c>
      <c r="X17" s="24" t="s">
        <v>103</v>
      </c>
      <c r="Y17" s="24" t="s">
        <v>107</v>
      </c>
      <c r="Z17" s="24" t="s">
        <v>111</v>
      </c>
      <c r="AA17" s="24" t="s">
        <v>114</v>
      </c>
      <c r="AB17" s="24" t="s">
        <v>116</v>
      </c>
      <c r="AC17" s="24" t="s">
        <v>91</v>
      </c>
      <c r="AD17" s="24" t="s">
        <v>95</v>
      </c>
      <c r="AE17" s="24" t="s">
        <v>90</v>
      </c>
      <c r="AF17" s="24" t="s">
        <v>86</v>
      </c>
      <c r="AG17" s="24" t="s">
        <v>175</v>
      </c>
      <c r="AH17" s="24" t="s">
        <v>102</v>
      </c>
      <c r="AI17" s="24" t="s">
        <v>106</v>
      </c>
      <c r="AJ17" s="24" t="s">
        <v>110</v>
      </c>
      <c r="AK17" s="20" t="s">
        <v>18</v>
      </c>
      <c r="AL17" s="24" t="s">
        <v>93</v>
      </c>
      <c r="AM17" s="24" t="s">
        <v>97</v>
      </c>
      <c r="AN17" s="24" t="s">
        <v>99</v>
      </c>
      <c r="AO17" s="24" t="s">
        <v>104</v>
      </c>
      <c r="AP17" s="24" t="s">
        <v>108</v>
      </c>
      <c r="AQ17" s="24" t="s">
        <v>87</v>
      </c>
      <c r="AR17" s="24" t="s">
        <v>115</v>
      </c>
      <c r="AS17" s="24" t="s">
        <v>94</v>
      </c>
      <c r="AT17" s="24" t="s">
        <v>81</v>
      </c>
      <c r="AU17" s="24" t="s">
        <v>100</v>
      </c>
      <c r="AV17" s="24" t="s">
        <v>105</v>
      </c>
      <c r="AW17" s="24" t="s">
        <v>112</v>
      </c>
      <c r="AX17" s="24" t="s">
        <v>88</v>
      </c>
      <c r="AY17" s="24" t="s">
        <v>117</v>
      </c>
      <c r="AZ17" s="24" t="s">
        <v>118</v>
      </c>
      <c r="BA17" s="24" t="s">
        <v>119</v>
      </c>
      <c r="BB17" s="24" t="s">
        <v>121</v>
      </c>
      <c r="BC17" s="24" t="s">
        <v>93</v>
      </c>
      <c r="BD17" s="24" t="s">
        <v>97</v>
      </c>
      <c r="BE17" s="24" t="s">
        <v>101</v>
      </c>
      <c r="BF17" s="24" t="s">
        <v>99</v>
      </c>
      <c r="BG17" s="24" t="s">
        <v>109</v>
      </c>
      <c r="BH17" s="24" t="s">
        <v>113</v>
      </c>
      <c r="BI17" s="24" t="s">
        <v>104</v>
      </c>
      <c r="BJ17" s="24" t="s">
        <v>87</v>
      </c>
      <c r="BK17" s="24" t="s">
        <v>115</v>
      </c>
      <c r="BL17" s="24" t="s">
        <v>120</v>
      </c>
      <c r="BM17" s="20" t="s">
        <v>30</v>
      </c>
      <c r="BN17" s="20" t="s">
        <v>89</v>
      </c>
      <c r="BO17" s="21" t="s">
        <v>36</v>
      </c>
      <c r="BP17" s="25" t="s">
        <v>39</v>
      </c>
      <c r="BQ17" s="21" t="s">
        <v>42</v>
      </c>
      <c r="BR17" s="21" t="s">
        <v>45</v>
      </c>
      <c r="BS17" s="21" t="s">
        <v>48</v>
      </c>
      <c r="BT17" s="25" t="s">
        <v>51</v>
      </c>
      <c r="BU17" s="21" t="s">
        <v>54</v>
      </c>
      <c r="BV17" s="21" t="str">
        <f>Sheet1!E1</f>
        <v>PROPOSE DRUM TYPE</v>
      </c>
      <c r="BW17" s="58" t="str">
        <f>Sheet1!CV1</f>
        <v>DRUM CODE</v>
      </c>
      <c r="BX17" s="58" t="str">
        <f>Sheet1!CW1</f>
        <v>DRUM SIZE (FxbXtx Ft)</v>
      </c>
      <c r="BY17" s="63"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f>+IFERROR(VLOOKUP($N$17,Sheet1!J:L,2,0),0)</f>
        <v>0</v>
      </c>
      <c r="O18" s="32">
        <f>+IFERROR(VLOOKUP($O$17,Sheet1!J:L,2,0),0)</f>
        <v>0</v>
      </c>
      <c r="P18" s="32">
        <v>749</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v>110</v>
      </c>
      <c r="AG18" s="33">
        <v>69</v>
      </c>
      <c r="AH18" s="33">
        <f>+IFERROR(VLOOKUP($AH$17,Sheet1!V:Y,2,0),0)</f>
        <v>0</v>
      </c>
      <c r="AI18" s="33">
        <f>+IFERROR(VLOOKUP($AI$17,Sheet1!V:Y,2,0),0)</f>
        <v>0</v>
      </c>
      <c r="AJ18" s="33">
        <f>+IFERROR(VLOOKUP($AJ$17,Sheet1!V:Y,2,0),0)</f>
        <v>0</v>
      </c>
      <c r="AK18" s="34">
        <v>122</v>
      </c>
      <c r="AL18" s="33">
        <f>+IFERROR(VLOOKUP($AL$17,Sheet1!AD2:AG840,2,0),0)</f>
        <v>0</v>
      </c>
      <c r="AM18" s="33">
        <f>+IFERROR(VLOOKUP($AM$17,Sheet1!AD2:AG840,2,0),0)</f>
        <v>0</v>
      </c>
      <c r="AN18" s="33">
        <f>+IFERROR(VLOOKUP($AN$17,Sheet1!AD2:AG840,2,0),0)</f>
        <v>0</v>
      </c>
      <c r="AO18" s="33">
        <f>+IFERROR(VLOOKUP($AO$17,Sheet1!AD2:AG840,2,0),0)</f>
        <v>58</v>
      </c>
      <c r="AP18" s="33">
        <f>+IFERROR(VLOOKUP($AP$17,Sheet1!AD2:AG840,2,0),0)</f>
        <v>0</v>
      </c>
      <c r="AQ18" s="33">
        <f>+IFERROR(VLOOKUP($AQ$17,Sheet1!AD2:AG840,2,0),0)</f>
        <v>60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58</v>
      </c>
      <c r="BJ18" s="33">
        <f>+IFERROR(VLOOKUP($BJ$17,Sheet1!AL2:AO840,2,0),0)</f>
        <v>60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7"/>
      <c r="BW18" s="57"/>
      <c r="BX18" s="57"/>
      <c r="BY18" s="57"/>
      <c r="CD18" s="5"/>
      <c r="CE18" s="5"/>
      <c r="CF18" s="5"/>
      <c r="CG18" s="5"/>
      <c r="CH18" s="5"/>
      <c r="CI18" s="5"/>
      <c r="CJ18" s="5"/>
      <c r="CK18" s="5"/>
      <c r="CL18" s="5"/>
    </row>
    <row r="19" spans="1:90" ht="30" x14ac:dyDescent="0.25">
      <c r="A19" s="1" t="str">
        <f>Sheet1!A3</f>
        <v>ENQ-11011-22-23</v>
      </c>
      <c r="B19" s="56">
        <v>45108</v>
      </c>
      <c r="C19" s="1" t="str">
        <f>Sheet1!C3</f>
        <v>FA1000038</v>
      </c>
      <c r="D19" s="1" t="str">
        <f>Sheet1!D3</f>
        <v>2 CORE X 6 SQ. MM. CU/UNARD.(PVC)</v>
      </c>
      <c r="E19" s="3">
        <f>CH19+CJ19+CL19</f>
        <v>122097.50279999999</v>
      </c>
      <c r="F19" s="164">
        <f>ROUNDUP(M23,0)</f>
        <v>728</v>
      </c>
      <c r="G19" s="9">
        <f>E19+F19</f>
        <v>122825.50279999999</v>
      </c>
      <c r="H19" s="7">
        <f>Sheet1!CP3</f>
        <v>0.18</v>
      </c>
      <c r="I19" s="9">
        <f>G19*H19</f>
        <v>22108.590503999996</v>
      </c>
      <c r="J19" s="9">
        <f>G19+I19</f>
        <v>144934.09330399998</v>
      </c>
      <c r="K19" s="1">
        <f>Sheet1!CS3</f>
        <v>3500</v>
      </c>
      <c r="L19" s="1" t="str">
        <f>Sheet1!CT3</f>
        <v>KMS</v>
      </c>
      <c r="M19" s="3">
        <f>J19*K19</f>
        <v>507269326.56399995</v>
      </c>
      <c r="N19" s="2">
        <f>+IFERROR(VLOOKUP($N$17,Sheet1!J3:L3,3,0),0)</f>
        <v>0</v>
      </c>
      <c r="O19" s="2">
        <f>+IFERROR(VLOOKUP($O$17,Sheet1!J3:L3,3,0),0)</f>
        <v>0</v>
      </c>
      <c r="P19" s="237">
        <v>107</v>
      </c>
      <c r="Q19" s="2">
        <f>+IFERROR(VLOOKUP($Q$17,Sheet1!J3:M3,3,0),0)</f>
        <v>0</v>
      </c>
      <c r="R19" s="2">
        <f>+IFERROR(VLOOKUP($R$17,Sheet1!J3:M3,3,0),0)</f>
        <v>0</v>
      </c>
      <c r="S19" s="2">
        <f>+IFERROR(VLOOKUP($S$17,Sheet1!N3:Q3,3,0),0)</f>
        <v>0</v>
      </c>
      <c r="T19" s="2">
        <f>+IFERROR(VLOOKUP($T$17,Sheet1!N3:Q3,3,0),0)</f>
        <v>0</v>
      </c>
      <c r="U19" s="2">
        <f>+IFERROR(VLOOKUP($U$17,Sheet1!F3:I3,3,0),0)</f>
        <v>0</v>
      </c>
      <c r="V19" s="2">
        <f>+IFERROR(VLOOKUP($V$17,Sheet1!F3:I3,3,0),0)</f>
        <v>0</v>
      </c>
      <c r="W19" s="2">
        <f>+IFERROR(VLOOKUP($W$17,Sheet1!F3:I3,3,0),0)</f>
        <v>0</v>
      </c>
      <c r="X19" s="2">
        <f>+IFERROR(VLOOKUP($X$17,Sheet1!F3:I3,3,0),0)</f>
        <v>0</v>
      </c>
      <c r="Y19" s="2">
        <f>+IFERROR(VLOOKUP($Y$17,Sheet1!F3:I3,3,0),0)</f>
        <v>0</v>
      </c>
      <c r="Z19" s="2">
        <f>+IFERROR(VLOOKUP($Z$17,Sheet1!F3:I3,3,0),0)</f>
        <v>0</v>
      </c>
      <c r="AA19" s="2">
        <f>+IFERROR(VLOOKUP($AA$17,Sheet1!F3:I3,3,0),0)</f>
        <v>0</v>
      </c>
      <c r="AB19" s="2">
        <f>+IFERROR(VLOOKUP($AB$17,Sheet1!F3:I3,3,0),0)</f>
        <v>0</v>
      </c>
      <c r="AC19" s="2">
        <f>+IFERROR(VLOOKUP($AC$17,Sheet1!R3:U3,3,0),0)</f>
        <v>0</v>
      </c>
      <c r="AD19" s="15">
        <f>+IFERROR(VLOOKUP($AD$17,Sheet1!R3:U3,2,0),0)</f>
        <v>0</v>
      </c>
      <c r="AE19" s="2">
        <f>+IFERROR(VLOOKUP($AE$17,Sheet1!V3:Y3,3,0),0)</f>
        <v>0</v>
      </c>
      <c r="AF19" s="15">
        <f>+IFERROR(VLOOKUP($AF$17,Sheet1!V3:Y3,3,0),0)</f>
        <v>0</v>
      </c>
      <c r="AG19" s="238">
        <v>44</v>
      </c>
      <c r="AH19" s="15">
        <f>+IFERROR(VLOOKUP($AH$17,Sheet1!V3:Y3,3,0),0)</f>
        <v>0</v>
      </c>
      <c r="AI19" s="15">
        <f>+IFERROR(VLOOKUP($AI$17,Sheet1!V3:Y3,3,0),0)</f>
        <v>0</v>
      </c>
      <c r="AJ19" s="15">
        <f>+IFERROR(VLOOKUP($AJ$17,Sheet1!V3:Y3,3,0),0)</f>
        <v>0</v>
      </c>
      <c r="AK19" s="15">
        <f>+IFERROR(VLOOKUP($AK$17,Sheet1!Z3:AB3,3,0),0)</f>
        <v>0</v>
      </c>
      <c r="AL19" s="15">
        <f>+IFERROR(VLOOKUP($AL$17,Sheet1!AD3:AG3,3,0),0)</f>
        <v>0</v>
      </c>
      <c r="AM19" s="15">
        <f>+IFERROR(VLOOKUP($AM$17,Sheet1!AD3:AG3,3,0),0)</f>
        <v>0</v>
      </c>
      <c r="AN19" s="15">
        <f>+IFERROR(VLOOKUP($AN$17,Sheet1!AD3:AG3,3,0),0)</f>
        <v>0</v>
      </c>
      <c r="AO19" s="238">
        <f>+IFERROR(VLOOKUP($AO$17,Sheet1!AD3:AG3,3,0),0)</f>
        <v>68</v>
      </c>
      <c r="AP19" s="15">
        <f>+IFERROR(VLOOKUP($AP$17,Sheet1!AD3:AG3,3,0),0)</f>
        <v>0</v>
      </c>
      <c r="AQ19" s="15">
        <f>+IFERROR(VLOOKUP($AQ$17,Sheet1!AD3:AG3,3,0),0)</f>
        <v>0</v>
      </c>
      <c r="AR19" s="15">
        <f>+IFERROR(VLOOKUP($AR$17,Sheet1!AD3:AG3,3,0),0)</f>
        <v>0</v>
      </c>
      <c r="AS19" s="15">
        <f>+IFERROR(VLOOKUP($AS$17,Sheet1!AH3:AK3,3,0),0)</f>
        <v>0</v>
      </c>
      <c r="AT19" s="15">
        <f>+IFERROR(VLOOKUP($AT$17,Sheet1!AH3:AK3,3,0),0)</f>
        <v>0</v>
      </c>
      <c r="AU19" s="15">
        <f>+IFERROR(VLOOKUP($AU$17,Sheet1!AH3:AK3,3,0),0)</f>
        <v>0</v>
      </c>
      <c r="AV19" s="15">
        <f>+IFERROR(VLOOKUP($AV$17,Sheet1!AH3:AK3,3,0),0)</f>
        <v>0</v>
      </c>
      <c r="AW19" s="15">
        <f>+IFERROR(VLOOKUP($AW$17,Sheet1!AH3:AK3,3,0),0)</f>
        <v>0</v>
      </c>
      <c r="AX19" s="15">
        <f>+IFERROR(VLOOKUP($AX$17,Sheet1!AH3:AK3,3,0),0)</f>
        <v>0</v>
      </c>
      <c r="AY19" s="15">
        <f>+IFERROR(VLOOKUP($AY$17,Sheet1!AH3:AK3,3,0),0)</f>
        <v>0</v>
      </c>
      <c r="AZ19" s="15">
        <f>+IFERROR(VLOOKUP($AZ$17,Sheet1!AH3:AK3,3,0),0)</f>
        <v>0</v>
      </c>
      <c r="BA19" s="15">
        <f>+IFERROR(VLOOKUP($BA$17,Sheet1!AH3:AK3,3,0),0)</f>
        <v>0</v>
      </c>
      <c r="BB19" s="15">
        <f>+IFERROR(VLOOKUP($BB$17,Sheet1!AH3:AK3,3,0),0)</f>
        <v>0</v>
      </c>
      <c r="BC19" s="15">
        <f>+IFERROR(VLOOKUP($BC$17,Sheet1!AL3:AO3,3,0),0)</f>
        <v>0</v>
      </c>
      <c r="BD19" s="15">
        <f>+IFERROR(VLOOKUP($BD$17,Sheet1!AL3:AO3,3,0),0)</f>
        <v>0</v>
      </c>
      <c r="BE19" s="15"/>
      <c r="BF19" s="15">
        <f>+IFERROR(VLOOKUP($BF$17,Sheet1!AL3:AO3,3,0),0)</f>
        <v>0</v>
      </c>
      <c r="BG19" s="15">
        <f>+IFERROR(VLOOKUP($BG$17,Sheet1!AL3:AO3,3,0),0)</f>
        <v>0</v>
      </c>
      <c r="BH19" s="15">
        <f>+IFERROR(VLOOKUP($BH$17,Sheet1!AL3:AO3,3,0),0)</f>
        <v>0</v>
      </c>
      <c r="BI19" s="238">
        <v>130</v>
      </c>
      <c r="BJ19" s="15">
        <f>+IFERROR(VLOOKUP($BJ$17,Sheet1!AL3:AO3,3,0),0)</f>
        <v>0</v>
      </c>
      <c r="BK19" s="15">
        <f>+IFERROR(VLOOKUP($BK$17,Sheet1!AL3:AO3,3,0),0)</f>
        <v>0</v>
      </c>
      <c r="BL19" s="15">
        <f>+IFERROR(VLOOKUP($BL$17,Sheet1!AL3:AO3,3,0),0)</f>
        <v>0</v>
      </c>
      <c r="BM19" s="15">
        <f>+IFERROR(VLOOKUP($BM$17,Sheet1!AP3:AS3,3,0),0)</f>
        <v>0</v>
      </c>
      <c r="BN19" s="15">
        <f>+IFERROR(VLOOKUP($BN$17,Sheet1!AT3:AW3,3,0),0)</f>
        <v>0</v>
      </c>
      <c r="BO19" s="15">
        <f>+IFERROR(VLOOKUP($BO$17,Sheet1!AX3:BA3,3,0),0)</f>
        <v>0</v>
      </c>
      <c r="BP19" s="15">
        <f>+IFERROR(VLOOKUP($BP$17,Sheet1!BB3:BE3,3,0),0)</f>
        <v>0</v>
      </c>
      <c r="BQ19" s="15">
        <f>+IFERROR(VLOOKUP($BQ$17,Sheet1!BF3:BI3,3,0),0)</f>
        <v>0</v>
      </c>
      <c r="BR19" s="15">
        <f>+IFERROR(VLOOKUP($BR$17,Sheet1!BJ3:BM3,3,0),0)</f>
        <v>0</v>
      </c>
      <c r="BS19" s="15">
        <f>+IFERROR(VLOOKUP($BS$17,Sheet1!BN3:BQ3,3,0),0)</f>
        <v>0</v>
      </c>
      <c r="BT19" s="15">
        <f>+IFERROR(VLOOKUP($BT$17,Sheet1!BR3:BU3,3,0),0)</f>
        <v>0</v>
      </c>
      <c r="BU19" s="15">
        <f>+IFERROR(VLOOKUP($BU$17,Sheet1!BV3:BY3,3,0),0)</f>
        <v>0</v>
      </c>
      <c r="BV19" s="15" t="str">
        <f>Sheet1!E3</f>
        <v>WOOD</v>
      </c>
      <c r="BW19" s="15" t="str">
        <f>Sheet1!CV3</f>
        <v>MD0100066</v>
      </c>
      <c r="BX19" s="15" t="str">
        <f>Sheet1!CW3</f>
        <v>DRUM - 40 X 15 X 23 X 2</v>
      </c>
      <c r="BY19" s="15">
        <f>Sheet1!CX3</f>
        <v>1000</v>
      </c>
      <c r="BZ19" s="3">
        <f>Sheet1!BZ3</f>
        <v>2239.7800000000002</v>
      </c>
      <c r="CA19" s="3">
        <f>SUMPRODUCT($N$18:$BU$18,N19:BU19)+BZ19</f>
        <v>96902.78</v>
      </c>
      <c r="CB19" s="27">
        <f>Sheet1!CB3</f>
        <v>0</v>
      </c>
      <c r="CC19" s="3">
        <f>CA19*CB19</f>
        <v>0</v>
      </c>
      <c r="CD19" s="51">
        <v>0.2</v>
      </c>
      <c r="CE19" s="3">
        <f>CA19*CD19</f>
        <v>19380.556</v>
      </c>
      <c r="CF19" s="51">
        <v>0</v>
      </c>
      <c r="CG19" s="3">
        <f>CA19*CF19</f>
        <v>0</v>
      </c>
      <c r="CH19" s="3">
        <f>CA19+CC19+CE19+CG19</f>
        <v>116283.336</v>
      </c>
      <c r="CI19" s="51">
        <v>0.02</v>
      </c>
      <c r="CJ19" s="1">
        <f>CH19*CI19</f>
        <v>2325.6667200000002</v>
      </c>
      <c r="CK19" s="51">
        <v>0.03</v>
      </c>
      <c r="CL19" s="1">
        <f>CH19*CK19</f>
        <v>3488.5000799999998</v>
      </c>
    </row>
    <row r="20" spans="1:90" ht="30" x14ac:dyDescent="0.25">
      <c r="A20" s="1" t="str">
        <f>Sheet1!A2</f>
        <v>ENQ-11011-22-23</v>
      </c>
      <c r="B20" s="56">
        <v>45108</v>
      </c>
      <c r="C20" s="1" t="str">
        <f>Sheet1!C2</f>
        <v>FA0300023</v>
      </c>
      <c r="D20" s="1" t="str">
        <f>Sheet1!D2</f>
        <v>12 CORE X 2.5 SQ. MM. CU/UNARD. (XLPE)</v>
      </c>
      <c r="E20" s="3">
        <f>CH20+CJ20+CL20</f>
        <v>280062.72000000003</v>
      </c>
      <c r="F20" s="164">
        <f>ROUNDUP(M24,0)</f>
        <v>1486</v>
      </c>
      <c r="G20" s="9">
        <f>E20+F20</f>
        <v>281548.72000000003</v>
      </c>
      <c r="H20" s="7">
        <f>Sheet1!CP2</f>
        <v>0.18</v>
      </c>
      <c r="I20" s="9">
        <f>G20*H20</f>
        <v>50678.769600000007</v>
      </c>
      <c r="J20" s="9">
        <f>G20+I20</f>
        <v>332227.48960000003</v>
      </c>
      <c r="K20" s="1">
        <f>Sheet1!CS2</f>
        <v>35</v>
      </c>
      <c r="L20" s="1" t="str">
        <f>Sheet1!CT2</f>
        <v>KMS</v>
      </c>
      <c r="M20" s="3">
        <f>J20*K20</f>
        <v>11627962.136000002</v>
      </c>
      <c r="N20" s="2">
        <f>+IFERROR(VLOOKUP($N$17,Sheet1!J2:L2,3,0),0)</f>
        <v>0</v>
      </c>
      <c r="O20" s="2">
        <f>+IFERROR(VLOOKUP($O$17,Sheet1!J2:L2,3,0),0)</f>
        <v>0</v>
      </c>
      <c r="P20" s="237">
        <f>+IFERROR(VLOOKUP($P$17,Sheet1!J2:M2,3,0),0)</f>
        <v>264</v>
      </c>
      <c r="Q20" s="2">
        <f>+IFERROR(VLOOKUP($Q$17,Sheet1!J2:M2,3,0),0)</f>
        <v>0</v>
      </c>
      <c r="R20" s="2">
        <f>+IFERROR(VLOOKUP($R$17,Sheet1!J2:M2,3,0),0)</f>
        <v>0</v>
      </c>
      <c r="S20" s="2">
        <f>+IFERROR(VLOOKUP($S$17,Sheet1!N2:Q2,3,0),0)</f>
        <v>0</v>
      </c>
      <c r="T20" s="2">
        <f>+IFERROR(VLOOKUP($T$17,Sheet1!N2:Q2,3,0),0)</f>
        <v>0</v>
      </c>
      <c r="U20" s="2">
        <f>+IFERROR(VLOOKUP($U$17,Sheet1!F2:I2,3,0),0)</f>
        <v>0</v>
      </c>
      <c r="V20" s="2">
        <f>+IFERROR(VLOOKUP($V$17,Sheet1!F2:I2,3,0),0)</f>
        <v>0</v>
      </c>
      <c r="W20" s="2">
        <f>+IFERROR(VLOOKUP($W$17,Sheet1!F2:I2,3,0),0)</f>
        <v>0</v>
      </c>
      <c r="X20" s="2">
        <f>+IFERROR(VLOOKUP($X$17,Sheet1!F2:I2,3,0),0)</f>
        <v>0</v>
      </c>
      <c r="Y20" s="2">
        <f>+IFERROR(VLOOKUP($Y$17,Sheet1!F2:I2,3,0),0)</f>
        <v>0</v>
      </c>
      <c r="Z20" s="2">
        <f>+IFERROR(VLOOKUP($Z$17,Sheet1!F2:I2,3,0),0)</f>
        <v>0</v>
      </c>
      <c r="AA20" s="2">
        <f>+IFERROR(VLOOKUP($AA$17,Sheet1!F2:I2,3,0),0)</f>
        <v>0</v>
      </c>
      <c r="AB20" s="2">
        <f>+IFERROR(VLOOKUP($AB$17,Sheet1!F2:I2,3,0),0)</f>
        <v>0</v>
      </c>
      <c r="AC20" s="2">
        <f>+IFERROR(VLOOKUP($AC$17,Sheet1!R2:U2,3,0),0)</f>
        <v>0</v>
      </c>
      <c r="AD20" s="15">
        <f>+IFERROR(VLOOKUP($AD$17,Sheet1!R2:U2,2,0),0)</f>
        <v>0</v>
      </c>
      <c r="AE20" s="2">
        <f>+IFERROR(VLOOKUP($AE$17,Sheet1!V2:Y2,3,0),0)</f>
        <v>0</v>
      </c>
      <c r="AF20" s="238">
        <v>84</v>
      </c>
      <c r="AG20" s="15">
        <f>+IFERROR(VLOOKUP($AG$17,Sheet1!V2:Y2,3,0),0)</f>
        <v>0</v>
      </c>
      <c r="AH20" s="15">
        <f>+IFERROR(VLOOKUP($AH$17,Sheet1!V2:Y2,3,0),0)</f>
        <v>0</v>
      </c>
      <c r="AI20" s="15">
        <f>+IFERROR(VLOOKUP($AI$17,Sheet1!V2:Y2,3,0),0)</f>
        <v>0</v>
      </c>
      <c r="AJ20" s="15">
        <f>+IFERROR(VLOOKUP($AJ$17,Sheet1!V2:Y2,3,0),0)</f>
        <v>0</v>
      </c>
      <c r="AK20" s="238">
        <f>+IFERROR(VLOOKUP($AK$17,Sheet1!Z2:AB2,3,0),0)</f>
        <v>5</v>
      </c>
      <c r="AL20" s="15">
        <f>+IFERROR(VLOOKUP($AL$17,Sheet1!AD2:AG2,3,0),0)</f>
        <v>0</v>
      </c>
      <c r="AM20" s="15">
        <f>+IFERROR(VLOOKUP($AM$17,Sheet1!AD2:AG2,3,0),0)</f>
        <v>0</v>
      </c>
      <c r="AN20" s="15">
        <f>+IFERROR(VLOOKUP($AN$17,Sheet1!AD2:AG2,3,0),0)</f>
        <v>0</v>
      </c>
      <c r="AO20" s="15">
        <f>+IFERROR(VLOOKUP($AO$17,Sheet1!AD2:AG2,3,0),0)</f>
        <v>0</v>
      </c>
      <c r="AP20" s="15">
        <f>+IFERROR(VLOOKUP($AP$17,Sheet1!AD2:AG2,3,0),0)</f>
        <v>0</v>
      </c>
      <c r="AQ20" s="238">
        <v>40</v>
      </c>
      <c r="AR20" s="15">
        <f>+IFERROR(VLOOKUP($AR$17,Sheet1!AD2:AG2,3,0),0)</f>
        <v>0</v>
      </c>
      <c r="AS20" s="15">
        <f>+IFERROR(VLOOKUP($AS$17,Sheet1!AH2:AK2,3,0),0)</f>
        <v>0</v>
      </c>
      <c r="AT20" s="15">
        <f>+IFERROR(VLOOKUP($AT$17,Sheet1!AH2:AK2,3,0),0)</f>
        <v>0</v>
      </c>
      <c r="AU20" s="15">
        <f>+IFERROR(VLOOKUP($AU$17,Sheet1!AH2:AK2,3,0),0)</f>
        <v>0</v>
      </c>
      <c r="AV20" s="15">
        <f>+IFERROR(VLOOKUP($AV$17,Sheet1!AH2:AK2,3,0),0)</f>
        <v>0</v>
      </c>
      <c r="AW20" s="15">
        <f>+IFERROR(VLOOKUP($AW$17,Sheet1!AH2:AK2,3,0),0)</f>
        <v>0</v>
      </c>
      <c r="AX20" s="15">
        <f>+IFERROR(VLOOKUP($AX$17,Sheet1!AH2:AK2,3,0),0)</f>
        <v>0</v>
      </c>
      <c r="AY20" s="15">
        <f>+IFERROR(VLOOKUP($AY$17,Sheet1!AH2:AK2,3,0),0)</f>
        <v>0</v>
      </c>
      <c r="AZ20" s="15">
        <f>+IFERROR(VLOOKUP($AZ$17,Sheet1!AH2:AK2,3,0),0)</f>
        <v>0</v>
      </c>
      <c r="BA20" s="15">
        <f>+IFERROR(VLOOKUP($BA$17,Sheet1!AH2:AK2,3,0),0)</f>
        <v>0</v>
      </c>
      <c r="BB20" s="15">
        <f>+IFERROR(VLOOKUP($BB$17,Sheet1!AH2:AK2,3,0),0)</f>
        <v>0</v>
      </c>
      <c r="BC20" s="15">
        <f>+IFERROR(VLOOKUP($BC$17,Sheet1!AL2:AO2,3,0),0)</f>
        <v>0</v>
      </c>
      <c r="BD20" s="15">
        <f>+IFERROR(VLOOKUP($BD$17,Sheet1!AL2:AO2,3,0),0)</f>
        <v>0</v>
      </c>
      <c r="BE20" s="15">
        <f>+IFERROR(VLOOKUP($BE$17,Sheet1!AL2:AO2,3,0),0)</f>
        <v>0</v>
      </c>
      <c r="BF20" s="15">
        <f>+IFERROR(VLOOKUP($BF$17,Sheet1!AL2:AO2,3,0),0)</f>
        <v>0</v>
      </c>
      <c r="BG20" s="15">
        <f>+IFERROR(VLOOKUP($BG$17,Sheet1!AL2:AO2,3,0),0)</f>
        <v>0</v>
      </c>
      <c r="BH20" s="15">
        <f>+IFERROR(VLOOKUP($BH$17,Sheet1!AL2:AO2,3,0),0)</f>
        <v>0</v>
      </c>
      <c r="BI20" s="15">
        <f>+IFERROR(VLOOKUP($BI$17,Sheet1!AL2:AO2,3,0),0)</f>
        <v>0</v>
      </c>
      <c r="BJ20" s="238">
        <v>160</v>
      </c>
      <c r="BK20" s="15">
        <f>+IFERROR(VLOOKUP($BK$17,Sheet1!AL2:AO2,3,0),0)</f>
        <v>0</v>
      </c>
      <c r="BL20" s="15">
        <f>+IFERROR(VLOOKUP($BL$17,Sheet1!AL2:AO2,3,0),0)</f>
        <v>0</v>
      </c>
      <c r="BM20" s="15">
        <f>+IFERROR(VLOOKUP($BM$17,Sheet1!AP2:AS2,3,0),0)</f>
        <v>0</v>
      </c>
      <c r="BN20" s="15">
        <f>+IFERROR(VLOOKUP($BN$17,Sheet1!AT2:AW2,3,0),0)</f>
        <v>0</v>
      </c>
      <c r="BO20" s="15">
        <f>+IFERROR(VLOOKUP($BO$17,Sheet1!AX2:BA2,3,0),0)</f>
        <v>0</v>
      </c>
      <c r="BP20" s="15">
        <f>+IFERROR(VLOOKUP($BP$17,Sheet1!BB2:BE2,3,0),0)</f>
        <v>0</v>
      </c>
      <c r="BQ20" s="15">
        <f>+IFERROR(VLOOKUP($BQ$17,Sheet1!BF2:BI2,3,0),0)</f>
        <v>0</v>
      </c>
      <c r="BR20" s="15">
        <f>+IFERROR(VLOOKUP($BR$17,Sheet1!BJ2:BM2,3,0),0)</f>
        <v>0</v>
      </c>
      <c r="BS20" s="15">
        <f>+IFERROR(VLOOKUP($BS$17,Sheet1!BN2:BQ2,3,0),0)</f>
        <v>0</v>
      </c>
      <c r="BT20" s="15">
        <f>+IFERROR(VLOOKUP($BT$17,Sheet1!BR2:BU2,3,0),0)</f>
        <v>0</v>
      </c>
      <c r="BU20" s="15">
        <f>+IFERROR(VLOOKUP($BU$17,Sheet1!BV2:BY2,3,0),0)</f>
        <v>0</v>
      </c>
      <c r="BV20" s="15" t="str">
        <f>Sheet1!E2</f>
        <v>WOOD</v>
      </c>
      <c r="BW20" s="15" t="s">
        <v>226</v>
      </c>
      <c r="BX20" s="15" t="s">
        <v>227</v>
      </c>
      <c r="BY20" s="15">
        <f>Sheet1!CX2</f>
        <v>1000</v>
      </c>
      <c r="BZ20" s="3">
        <v>2686</v>
      </c>
      <c r="CA20" s="3">
        <f>SUMPRODUCT($N$18:$BU$18,N20:BU20)+BZ20</f>
        <v>222272</v>
      </c>
      <c r="CB20" s="27">
        <f>Sheet1!CB2</f>
        <v>0</v>
      </c>
      <c r="CC20" s="3">
        <f>CA20*CB20</f>
        <v>0</v>
      </c>
      <c r="CD20" s="51">
        <v>0.2</v>
      </c>
      <c r="CE20" s="3">
        <f>CA20*CD20</f>
        <v>44454.400000000001</v>
      </c>
      <c r="CF20" s="51">
        <v>0</v>
      </c>
      <c r="CG20" s="3">
        <f>CA20*CF20</f>
        <v>0</v>
      </c>
      <c r="CH20" s="3">
        <f>CA20+CC20+CE20+CG20</f>
        <v>266726.40000000002</v>
      </c>
      <c r="CI20" s="51">
        <v>0.02</v>
      </c>
      <c r="CJ20" s="1">
        <f>CH20*CI20</f>
        <v>5334.5280000000002</v>
      </c>
      <c r="CK20" s="51">
        <v>0.03</v>
      </c>
      <c r="CL20" s="1">
        <f>CH20*CK20</f>
        <v>8001.7920000000004</v>
      </c>
    </row>
    <row r="22" spans="1:90" ht="30" x14ac:dyDescent="0.25">
      <c r="E22" s="2" t="s">
        <v>178</v>
      </c>
      <c r="F22" s="2" t="s">
        <v>179</v>
      </c>
      <c r="G22" s="64" t="s">
        <v>180</v>
      </c>
      <c r="H22" s="45" t="s">
        <v>181</v>
      </c>
      <c r="I22" s="2" t="s">
        <v>182</v>
      </c>
      <c r="J22" s="2" t="s">
        <v>183</v>
      </c>
      <c r="K22" s="2" t="s">
        <v>184</v>
      </c>
      <c r="L22" s="2" t="s">
        <v>185</v>
      </c>
      <c r="M22" s="65" t="s">
        <v>186</v>
      </c>
    </row>
    <row r="23" spans="1:90" ht="30" x14ac:dyDescent="0.25">
      <c r="D23" s="165" t="str">
        <f>D19</f>
        <v>2 CORE X 6 SQ. MM. CU/UNARD.(PVC)</v>
      </c>
      <c r="E23" s="64">
        <f>K19</f>
        <v>3500</v>
      </c>
      <c r="F23" s="66">
        <v>1</v>
      </c>
      <c r="G23" s="64" t="s">
        <v>187</v>
      </c>
      <c r="H23" s="67">
        <v>26000</v>
      </c>
      <c r="I23" s="66">
        <v>36</v>
      </c>
      <c r="J23" s="64">
        <f>F23*I23</f>
        <v>36</v>
      </c>
      <c r="K23" s="64">
        <f>ROUNDUP((E23/J23),0)</f>
        <v>98</v>
      </c>
      <c r="L23" s="64">
        <f>M23*E23</f>
        <v>2548000</v>
      </c>
      <c r="M23" s="68">
        <f>(H23*K23)/E23</f>
        <v>728</v>
      </c>
    </row>
    <row r="24" spans="1:90" ht="30" x14ac:dyDescent="0.25">
      <c r="D24" s="165" t="str">
        <f>D20</f>
        <v>12 CORE X 2.5 SQ. MM. CU/UNARD. (XLPE)</v>
      </c>
      <c r="E24" s="64">
        <f>K20</f>
        <v>35</v>
      </c>
      <c r="F24" s="66">
        <v>1</v>
      </c>
      <c r="G24" s="64" t="s">
        <v>187</v>
      </c>
      <c r="H24" s="67">
        <v>26000</v>
      </c>
      <c r="I24" s="66">
        <v>22</v>
      </c>
      <c r="J24" s="64">
        <f>F24*I24</f>
        <v>22</v>
      </c>
      <c r="K24" s="64">
        <f>ROUNDUP((E24/J24),0)</f>
        <v>2</v>
      </c>
      <c r="L24" s="64">
        <f>M24*E24</f>
        <v>52000</v>
      </c>
      <c r="M24" s="68">
        <f>(H24*K24)/E24</f>
        <v>1485.7142857142858</v>
      </c>
    </row>
    <row r="25" spans="1:90" x14ac:dyDescent="0.25">
      <c r="I25" t="s">
        <v>228</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3:G24">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T25"/>
  <sheetViews>
    <sheetView showZeros="0" topLeftCell="A4" zoomScaleNormal="100" workbookViewId="0">
      <selection activeCell="AP25" sqref="AP25"/>
    </sheetView>
  </sheetViews>
  <sheetFormatPr defaultRowHeight="12.75" x14ac:dyDescent="0.2"/>
  <cols>
    <col min="1" max="1" width="56.140625" style="78" customWidth="1"/>
    <col min="2" max="2" width="11" style="78" customWidth="1"/>
    <col min="3" max="4" width="12.42578125" style="78" customWidth="1"/>
    <col min="5" max="5" width="11.42578125" style="78" customWidth="1"/>
    <col min="6" max="6" width="11.140625" style="78" customWidth="1"/>
    <col min="7" max="7" width="9.42578125" style="78" customWidth="1"/>
    <col min="8" max="8" width="10.7109375" style="78" bestFit="1" customWidth="1"/>
    <col min="9" max="11" width="9.140625" style="78" customWidth="1"/>
    <col min="12" max="12" width="8.7109375" style="78" customWidth="1"/>
    <col min="13" max="14" width="7.42578125" style="78" customWidth="1"/>
    <col min="15" max="15" width="10.42578125" style="78" bestFit="1" customWidth="1"/>
    <col min="16" max="16" width="12" style="78" customWidth="1"/>
    <col min="17" max="17" width="11" style="78" bestFit="1" customWidth="1"/>
    <col min="18" max="18" width="12" style="78" bestFit="1" customWidth="1"/>
    <col min="19" max="19" width="11" style="78" bestFit="1" customWidth="1"/>
    <col min="20" max="20" width="14.42578125" style="78" bestFit="1" customWidth="1"/>
    <col min="21" max="21" width="14.42578125" style="78" hidden="1" customWidth="1"/>
    <col min="22" max="22" width="9.140625" style="78" customWidth="1"/>
    <col min="23" max="23" width="10.85546875" style="78" hidden="1" customWidth="1"/>
    <col min="24" max="24" width="9.5703125" style="78" hidden="1" customWidth="1"/>
    <col min="25" max="25" width="7.28515625" style="78" hidden="1" customWidth="1"/>
    <col min="26" max="26" width="7.5703125" style="78" hidden="1" customWidth="1"/>
    <col min="27" max="28" width="7.5703125" style="78" customWidth="1"/>
    <col min="29" max="29" width="9.140625" style="78" bestFit="1" customWidth="1"/>
    <col min="30" max="30" width="8.5703125" style="78" customWidth="1"/>
    <col min="31" max="33" width="9.5703125" style="78" customWidth="1"/>
    <col min="34" max="37" width="9.5703125" style="78" hidden="1" customWidth="1"/>
    <col min="38" max="38" width="10.5703125" style="78" bestFit="1" customWidth="1"/>
    <col min="39" max="39" width="9.5703125" style="78" bestFit="1" customWidth="1"/>
    <col min="40" max="41" width="11.140625" style="78" bestFit="1" customWidth="1"/>
    <col min="42" max="43" width="9.140625" style="78"/>
    <col min="44" max="44" width="8" style="78" customWidth="1"/>
    <col min="45" max="45" width="7.85546875" style="78" customWidth="1"/>
    <col min="46" max="259" width="9.140625" style="78"/>
    <col min="260" max="260" width="54.140625" style="78" bestFit="1" customWidth="1"/>
    <col min="261" max="261" width="14.7109375" style="78" customWidth="1"/>
    <col min="262" max="262" width="10.140625" style="78" customWidth="1"/>
    <col min="263" max="263" width="10.42578125" style="78" bestFit="1" customWidth="1"/>
    <col min="264" max="265" width="9.42578125" style="78" bestFit="1" customWidth="1"/>
    <col min="266" max="267" width="9.42578125" style="78" customWidth="1"/>
    <col min="268" max="268" width="10.140625" style="78" bestFit="1" customWidth="1"/>
    <col min="269" max="272" width="9.140625" style="78"/>
    <col min="273" max="273" width="7.28515625" style="78" customWidth="1"/>
    <col min="274" max="276" width="7.42578125" style="78" customWidth="1"/>
    <col min="277" max="277" width="10.42578125" style="78" bestFit="1" customWidth="1"/>
    <col min="278" max="278" width="12" style="78" bestFit="1" customWidth="1"/>
    <col min="279" max="279" width="11" style="78" bestFit="1" customWidth="1"/>
    <col min="280" max="281" width="11" style="78" customWidth="1"/>
    <col min="282" max="282" width="10" style="78" bestFit="1" customWidth="1"/>
    <col min="283" max="283" width="14.42578125" style="78" bestFit="1" customWidth="1"/>
    <col min="284" max="294" width="0" style="78" hidden="1" customWidth="1"/>
    <col min="295" max="515" width="9.140625" style="78"/>
    <col min="516" max="516" width="54.140625" style="78" bestFit="1" customWidth="1"/>
    <col min="517" max="517" width="14.7109375" style="78" customWidth="1"/>
    <col min="518" max="518" width="10.140625" style="78" customWidth="1"/>
    <col min="519" max="519" width="10.42578125" style="78" bestFit="1" customWidth="1"/>
    <col min="520" max="521" width="9.42578125" style="78" bestFit="1" customWidth="1"/>
    <col min="522" max="523" width="9.42578125" style="78" customWidth="1"/>
    <col min="524" max="524" width="10.140625" style="78" bestFit="1" customWidth="1"/>
    <col min="525" max="528" width="9.140625" style="78"/>
    <col min="529" max="529" width="7.28515625" style="78" customWidth="1"/>
    <col min="530" max="532" width="7.42578125" style="78" customWidth="1"/>
    <col min="533" max="533" width="10.42578125" style="78" bestFit="1" customWidth="1"/>
    <col min="534" max="534" width="12" style="78" bestFit="1" customWidth="1"/>
    <col min="535" max="535" width="11" style="78" bestFit="1" customWidth="1"/>
    <col min="536" max="537" width="11" style="78" customWidth="1"/>
    <col min="538" max="538" width="10" style="78" bestFit="1" customWidth="1"/>
    <col min="539" max="539" width="14.42578125" style="78" bestFit="1" customWidth="1"/>
    <col min="540" max="550" width="0" style="78" hidden="1" customWidth="1"/>
    <col min="551" max="771" width="9.140625" style="78"/>
    <col min="772" max="772" width="54.140625" style="78" bestFit="1" customWidth="1"/>
    <col min="773" max="773" width="14.7109375" style="78" customWidth="1"/>
    <col min="774" max="774" width="10.140625" style="78" customWidth="1"/>
    <col min="775" max="775" width="10.42578125" style="78" bestFit="1" customWidth="1"/>
    <col min="776" max="777" width="9.42578125" style="78" bestFit="1" customWidth="1"/>
    <col min="778" max="779" width="9.42578125" style="78" customWidth="1"/>
    <col min="780" max="780" width="10.140625" style="78" bestFit="1" customWidth="1"/>
    <col min="781" max="784" width="9.140625" style="78"/>
    <col min="785" max="785" width="7.28515625" style="78" customWidth="1"/>
    <col min="786" max="788" width="7.42578125" style="78" customWidth="1"/>
    <col min="789" max="789" width="10.42578125" style="78" bestFit="1" customWidth="1"/>
    <col min="790" max="790" width="12" style="78" bestFit="1" customWidth="1"/>
    <col min="791" max="791" width="11" style="78" bestFit="1" customWidth="1"/>
    <col min="792" max="793" width="11" style="78" customWidth="1"/>
    <col min="794" max="794" width="10" style="78" bestFit="1" customWidth="1"/>
    <col min="795" max="795" width="14.42578125" style="78" bestFit="1" customWidth="1"/>
    <col min="796" max="806" width="0" style="78" hidden="1" customWidth="1"/>
    <col min="807" max="1027" width="9.140625" style="78"/>
    <col min="1028" max="1028" width="54.140625" style="78" bestFit="1" customWidth="1"/>
    <col min="1029" max="1029" width="14.7109375" style="78" customWidth="1"/>
    <col min="1030" max="1030" width="10.140625" style="78" customWidth="1"/>
    <col min="1031" max="1031" width="10.42578125" style="78" bestFit="1" customWidth="1"/>
    <col min="1032" max="1033" width="9.42578125" style="78" bestFit="1" customWidth="1"/>
    <col min="1034" max="1035" width="9.42578125" style="78" customWidth="1"/>
    <col min="1036" max="1036" width="10.140625" style="78" bestFit="1" customWidth="1"/>
    <col min="1037" max="1040" width="9.140625" style="78"/>
    <col min="1041" max="1041" width="7.28515625" style="78" customWidth="1"/>
    <col min="1042" max="1044" width="7.42578125" style="78" customWidth="1"/>
    <col min="1045" max="1045" width="10.42578125" style="78" bestFit="1" customWidth="1"/>
    <col min="1046" max="1046" width="12" style="78" bestFit="1" customWidth="1"/>
    <col min="1047" max="1047" width="11" style="78" bestFit="1" customWidth="1"/>
    <col min="1048" max="1049" width="11" style="78" customWidth="1"/>
    <col min="1050" max="1050" width="10" style="78" bestFit="1" customWidth="1"/>
    <col min="1051" max="1051" width="14.42578125" style="78" bestFit="1" customWidth="1"/>
    <col min="1052" max="1062" width="0" style="78" hidden="1" customWidth="1"/>
    <col min="1063" max="1283" width="9.140625" style="78"/>
    <col min="1284" max="1284" width="54.140625" style="78" bestFit="1" customWidth="1"/>
    <col min="1285" max="1285" width="14.7109375" style="78" customWidth="1"/>
    <col min="1286" max="1286" width="10.140625" style="78" customWidth="1"/>
    <col min="1287" max="1287" width="10.42578125" style="78" bestFit="1" customWidth="1"/>
    <col min="1288" max="1289" width="9.42578125" style="78" bestFit="1" customWidth="1"/>
    <col min="1290" max="1291" width="9.42578125" style="78" customWidth="1"/>
    <col min="1292" max="1292" width="10.140625" style="78" bestFit="1" customWidth="1"/>
    <col min="1293" max="1296" width="9.140625" style="78"/>
    <col min="1297" max="1297" width="7.28515625" style="78" customWidth="1"/>
    <col min="1298" max="1300" width="7.42578125" style="78" customWidth="1"/>
    <col min="1301" max="1301" width="10.42578125" style="78" bestFit="1" customWidth="1"/>
    <col min="1302" max="1302" width="12" style="78" bestFit="1" customWidth="1"/>
    <col min="1303" max="1303" width="11" style="78" bestFit="1" customWidth="1"/>
    <col min="1304" max="1305" width="11" style="78" customWidth="1"/>
    <col min="1306" max="1306" width="10" style="78" bestFit="1" customWidth="1"/>
    <col min="1307" max="1307" width="14.42578125" style="78" bestFit="1" customWidth="1"/>
    <col min="1308" max="1318" width="0" style="78" hidden="1" customWidth="1"/>
    <col min="1319" max="1539" width="9.140625" style="78"/>
    <col min="1540" max="1540" width="54.140625" style="78" bestFit="1" customWidth="1"/>
    <col min="1541" max="1541" width="14.7109375" style="78" customWidth="1"/>
    <col min="1542" max="1542" width="10.140625" style="78" customWidth="1"/>
    <col min="1543" max="1543" width="10.42578125" style="78" bestFit="1" customWidth="1"/>
    <col min="1544" max="1545" width="9.42578125" style="78" bestFit="1" customWidth="1"/>
    <col min="1546" max="1547" width="9.42578125" style="78" customWidth="1"/>
    <col min="1548" max="1548" width="10.140625" style="78" bestFit="1" customWidth="1"/>
    <col min="1549" max="1552" width="9.140625" style="78"/>
    <col min="1553" max="1553" width="7.28515625" style="78" customWidth="1"/>
    <col min="1554" max="1556" width="7.42578125" style="78" customWidth="1"/>
    <col min="1557" max="1557" width="10.42578125" style="78" bestFit="1" customWidth="1"/>
    <col min="1558" max="1558" width="12" style="78" bestFit="1" customWidth="1"/>
    <col min="1559" max="1559" width="11" style="78" bestFit="1" customWidth="1"/>
    <col min="1560" max="1561" width="11" style="78" customWidth="1"/>
    <col min="1562" max="1562" width="10" style="78" bestFit="1" customWidth="1"/>
    <col min="1563" max="1563" width="14.42578125" style="78" bestFit="1" customWidth="1"/>
    <col min="1564" max="1574" width="0" style="78" hidden="1" customWidth="1"/>
    <col min="1575" max="1795" width="9.140625" style="78"/>
    <col min="1796" max="1796" width="54.140625" style="78" bestFit="1" customWidth="1"/>
    <col min="1797" max="1797" width="14.7109375" style="78" customWidth="1"/>
    <col min="1798" max="1798" width="10.140625" style="78" customWidth="1"/>
    <col min="1799" max="1799" width="10.42578125" style="78" bestFit="1" customWidth="1"/>
    <col min="1800" max="1801" width="9.42578125" style="78" bestFit="1" customWidth="1"/>
    <col min="1802" max="1803" width="9.42578125" style="78" customWidth="1"/>
    <col min="1804" max="1804" width="10.140625" style="78" bestFit="1" customWidth="1"/>
    <col min="1805" max="1808" width="9.140625" style="78"/>
    <col min="1809" max="1809" width="7.28515625" style="78" customWidth="1"/>
    <col min="1810" max="1812" width="7.42578125" style="78" customWidth="1"/>
    <col min="1813" max="1813" width="10.42578125" style="78" bestFit="1" customWidth="1"/>
    <col min="1814" max="1814" width="12" style="78" bestFit="1" customWidth="1"/>
    <col min="1815" max="1815" width="11" style="78" bestFit="1" customWidth="1"/>
    <col min="1816" max="1817" width="11" style="78" customWidth="1"/>
    <col min="1818" max="1818" width="10" style="78" bestFit="1" customWidth="1"/>
    <col min="1819" max="1819" width="14.42578125" style="78" bestFit="1" customWidth="1"/>
    <col min="1820" max="1830" width="0" style="78" hidden="1" customWidth="1"/>
    <col min="1831" max="2051" width="9.140625" style="78"/>
    <col min="2052" max="2052" width="54.140625" style="78" bestFit="1" customWidth="1"/>
    <col min="2053" max="2053" width="14.7109375" style="78" customWidth="1"/>
    <col min="2054" max="2054" width="10.140625" style="78" customWidth="1"/>
    <col min="2055" max="2055" width="10.42578125" style="78" bestFit="1" customWidth="1"/>
    <col min="2056" max="2057" width="9.42578125" style="78" bestFit="1" customWidth="1"/>
    <col min="2058" max="2059" width="9.42578125" style="78" customWidth="1"/>
    <col min="2060" max="2060" width="10.140625" style="78" bestFit="1" customWidth="1"/>
    <col min="2061" max="2064" width="9.140625" style="78"/>
    <col min="2065" max="2065" width="7.28515625" style="78" customWidth="1"/>
    <col min="2066" max="2068" width="7.42578125" style="78" customWidth="1"/>
    <col min="2069" max="2069" width="10.42578125" style="78" bestFit="1" customWidth="1"/>
    <col min="2070" max="2070" width="12" style="78" bestFit="1" customWidth="1"/>
    <col min="2071" max="2071" width="11" style="78" bestFit="1" customWidth="1"/>
    <col min="2072" max="2073" width="11" style="78" customWidth="1"/>
    <col min="2074" max="2074" width="10" style="78" bestFit="1" customWidth="1"/>
    <col min="2075" max="2075" width="14.42578125" style="78" bestFit="1" customWidth="1"/>
    <col min="2076" max="2086" width="0" style="78" hidden="1" customWidth="1"/>
    <col min="2087" max="2307" width="9.140625" style="78"/>
    <col min="2308" max="2308" width="54.140625" style="78" bestFit="1" customWidth="1"/>
    <col min="2309" max="2309" width="14.7109375" style="78" customWidth="1"/>
    <col min="2310" max="2310" width="10.140625" style="78" customWidth="1"/>
    <col min="2311" max="2311" width="10.42578125" style="78" bestFit="1" customWidth="1"/>
    <col min="2312" max="2313" width="9.42578125" style="78" bestFit="1" customWidth="1"/>
    <col min="2314" max="2315" width="9.42578125" style="78" customWidth="1"/>
    <col min="2316" max="2316" width="10.140625" style="78" bestFit="1" customWidth="1"/>
    <col min="2317" max="2320" width="9.140625" style="78"/>
    <col min="2321" max="2321" width="7.28515625" style="78" customWidth="1"/>
    <col min="2322" max="2324" width="7.42578125" style="78" customWidth="1"/>
    <col min="2325" max="2325" width="10.42578125" style="78" bestFit="1" customWidth="1"/>
    <col min="2326" max="2326" width="12" style="78" bestFit="1" customWidth="1"/>
    <col min="2327" max="2327" width="11" style="78" bestFit="1" customWidth="1"/>
    <col min="2328" max="2329" width="11" style="78" customWidth="1"/>
    <col min="2330" max="2330" width="10" style="78" bestFit="1" customWidth="1"/>
    <col min="2331" max="2331" width="14.42578125" style="78" bestFit="1" customWidth="1"/>
    <col min="2332" max="2342" width="0" style="78" hidden="1" customWidth="1"/>
    <col min="2343" max="2563" width="9.140625" style="78"/>
    <col min="2564" max="2564" width="54.140625" style="78" bestFit="1" customWidth="1"/>
    <col min="2565" max="2565" width="14.7109375" style="78" customWidth="1"/>
    <col min="2566" max="2566" width="10.140625" style="78" customWidth="1"/>
    <col min="2567" max="2567" width="10.42578125" style="78" bestFit="1" customWidth="1"/>
    <col min="2568" max="2569" width="9.42578125" style="78" bestFit="1" customWidth="1"/>
    <col min="2570" max="2571" width="9.42578125" style="78" customWidth="1"/>
    <col min="2572" max="2572" width="10.140625" style="78" bestFit="1" customWidth="1"/>
    <col min="2573" max="2576" width="9.140625" style="78"/>
    <col min="2577" max="2577" width="7.28515625" style="78" customWidth="1"/>
    <col min="2578" max="2580" width="7.42578125" style="78" customWidth="1"/>
    <col min="2581" max="2581" width="10.42578125" style="78" bestFit="1" customWidth="1"/>
    <col min="2582" max="2582" width="12" style="78" bestFit="1" customWidth="1"/>
    <col min="2583" max="2583" width="11" style="78" bestFit="1" customWidth="1"/>
    <col min="2584" max="2585" width="11" style="78" customWidth="1"/>
    <col min="2586" max="2586" width="10" style="78" bestFit="1" customWidth="1"/>
    <col min="2587" max="2587" width="14.42578125" style="78" bestFit="1" customWidth="1"/>
    <col min="2588" max="2598" width="0" style="78" hidden="1" customWidth="1"/>
    <col min="2599" max="2819" width="9.140625" style="78"/>
    <col min="2820" max="2820" width="54.140625" style="78" bestFit="1" customWidth="1"/>
    <col min="2821" max="2821" width="14.7109375" style="78" customWidth="1"/>
    <col min="2822" max="2822" width="10.140625" style="78" customWidth="1"/>
    <col min="2823" max="2823" width="10.42578125" style="78" bestFit="1" customWidth="1"/>
    <col min="2824" max="2825" width="9.42578125" style="78" bestFit="1" customWidth="1"/>
    <col min="2826" max="2827" width="9.42578125" style="78" customWidth="1"/>
    <col min="2828" max="2828" width="10.140625" style="78" bestFit="1" customWidth="1"/>
    <col min="2829" max="2832" width="9.140625" style="78"/>
    <col min="2833" max="2833" width="7.28515625" style="78" customWidth="1"/>
    <col min="2834" max="2836" width="7.42578125" style="78" customWidth="1"/>
    <col min="2837" max="2837" width="10.42578125" style="78" bestFit="1" customWidth="1"/>
    <col min="2838" max="2838" width="12" style="78" bestFit="1" customWidth="1"/>
    <col min="2839" max="2839" width="11" style="78" bestFit="1" customWidth="1"/>
    <col min="2840" max="2841" width="11" style="78" customWidth="1"/>
    <col min="2842" max="2842" width="10" style="78" bestFit="1" customWidth="1"/>
    <col min="2843" max="2843" width="14.42578125" style="78" bestFit="1" customWidth="1"/>
    <col min="2844" max="2854" width="0" style="78" hidden="1" customWidth="1"/>
    <col min="2855" max="3075" width="9.140625" style="78"/>
    <col min="3076" max="3076" width="54.140625" style="78" bestFit="1" customWidth="1"/>
    <col min="3077" max="3077" width="14.7109375" style="78" customWidth="1"/>
    <col min="3078" max="3078" width="10.140625" style="78" customWidth="1"/>
    <col min="3079" max="3079" width="10.42578125" style="78" bestFit="1" customWidth="1"/>
    <col min="3080" max="3081" width="9.42578125" style="78" bestFit="1" customWidth="1"/>
    <col min="3082" max="3083" width="9.42578125" style="78" customWidth="1"/>
    <col min="3084" max="3084" width="10.140625" style="78" bestFit="1" customWidth="1"/>
    <col min="3085" max="3088" width="9.140625" style="78"/>
    <col min="3089" max="3089" width="7.28515625" style="78" customWidth="1"/>
    <col min="3090" max="3092" width="7.42578125" style="78" customWidth="1"/>
    <col min="3093" max="3093" width="10.42578125" style="78" bestFit="1" customWidth="1"/>
    <col min="3094" max="3094" width="12" style="78" bestFit="1" customWidth="1"/>
    <col min="3095" max="3095" width="11" style="78" bestFit="1" customWidth="1"/>
    <col min="3096" max="3097" width="11" style="78" customWidth="1"/>
    <col min="3098" max="3098" width="10" style="78" bestFit="1" customWidth="1"/>
    <col min="3099" max="3099" width="14.42578125" style="78" bestFit="1" customWidth="1"/>
    <col min="3100" max="3110" width="0" style="78" hidden="1" customWidth="1"/>
    <col min="3111" max="3331" width="9.140625" style="78"/>
    <col min="3332" max="3332" width="54.140625" style="78" bestFit="1" customWidth="1"/>
    <col min="3333" max="3333" width="14.7109375" style="78" customWidth="1"/>
    <col min="3334" max="3334" width="10.140625" style="78" customWidth="1"/>
    <col min="3335" max="3335" width="10.42578125" style="78" bestFit="1" customWidth="1"/>
    <col min="3336" max="3337" width="9.42578125" style="78" bestFit="1" customWidth="1"/>
    <col min="3338" max="3339" width="9.42578125" style="78" customWidth="1"/>
    <col min="3340" max="3340" width="10.140625" style="78" bestFit="1" customWidth="1"/>
    <col min="3341" max="3344" width="9.140625" style="78"/>
    <col min="3345" max="3345" width="7.28515625" style="78" customWidth="1"/>
    <col min="3346" max="3348" width="7.42578125" style="78" customWidth="1"/>
    <col min="3349" max="3349" width="10.42578125" style="78" bestFit="1" customWidth="1"/>
    <col min="3350" max="3350" width="12" style="78" bestFit="1" customWidth="1"/>
    <col min="3351" max="3351" width="11" style="78" bestFit="1" customWidth="1"/>
    <col min="3352" max="3353" width="11" style="78" customWidth="1"/>
    <col min="3354" max="3354" width="10" style="78" bestFit="1" customWidth="1"/>
    <col min="3355" max="3355" width="14.42578125" style="78" bestFit="1" customWidth="1"/>
    <col min="3356" max="3366" width="0" style="78" hidden="1" customWidth="1"/>
    <col min="3367" max="3587" width="9.140625" style="78"/>
    <col min="3588" max="3588" width="54.140625" style="78" bestFit="1" customWidth="1"/>
    <col min="3589" max="3589" width="14.7109375" style="78" customWidth="1"/>
    <col min="3590" max="3590" width="10.140625" style="78" customWidth="1"/>
    <col min="3591" max="3591" width="10.42578125" style="78" bestFit="1" customWidth="1"/>
    <col min="3592" max="3593" width="9.42578125" style="78" bestFit="1" customWidth="1"/>
    <col min="3594" max="3595" width="9.42578125" style="78" customWidth="1"/>
    <col min="3596" max="3596" width="10.140625" style="78" bestFit="1" customWidth="1"/>
    <col min="3597" max="3600" width="9.140625" style="78"/>
    <col min="3601" max="3601" width="7.28515625" style="78" customWidth="1"/>
    <col min="3602" max="3604" width="7.42578125" style="78" customWidth="1"/>
    <col min="3605" max="3605" width="10.42578125" style="78" bestFit="1" customWidth="1"/>
    <col min="3606" max="3606" width="12" style="78" bestFit="1" customWidth="1"/>
    <col min="3607" max="3607" width="11" style="78" bestFit="1" customWidth="1"/>
    <col min="3608" max="3609" width="11" style="78" customWidth="1"/>
    <col min="3610" max="3610" width="10" style="78" bestFit="1" customWidth="1"/>
    <col min="3611" max="3611" width="14.42578125" style="78" bestFit="1" customWidth="1"/>
    <col min="3612" max="3622" width="0" style="78" hidden="1" customWidth="1"/>
    <col min="3623" max="3843" width="9.140625" style="78"/>
    <col min="3844" max="3844" width="54.140625" style="78" bestFit="1" customWidth="1"/>
    <col min="3845" max="3845" width="14.7109375" style="78" customWidth="1"/>
    <col min="3846" max="3846" width="10.140625" style="78" customWidth="1"/>
    <col min="3847" max="3847" width="10.42578125" style="78" bestFit="1" customWidth="1"/>
    <col min="3848" max="3849" width="9.42578125" style="78" bestFit="1" customWidth="1"/>
    <col min="3850" max="3851" width="9.42578125" style="78" customWidth="1"/>
    <col min="3852" max="3852" width="10.140625" style="78" bestFit="1" customWidth="1"/>
    <col min="3853" max="3856" width="9.140625" style="78"/>
    <col min="3857" max="3857" width="7.28515625" style="78" customWidth="1"/>
    <col min="3858" max="3860" width="7.42578125" style="78" customWidth="1"/>
    <col min="3861" max="3861" width="10.42578125" style="78" bestFit="1" customWidth="1"/>
    <col min="3862" max="3862" width="12" style="78" bestFit="1" customWidth="1"/>
    <col min="3863" max="3863" width="11" style="78" bestFit="1" customWidth="1"/>
    <col min="3864" max="3865" width="11" style="78" customWidth="1"/>
    <col min="3866" max="3866" width="10" style="78" bestFit="1" customWidth="1"/>
    <col min="3867" max="3867" width="14.42578125" style="78" bestFit="1" customWidth="1"/>
    <col min="3868" max="3878" width="0" style="78" hidden="1" customWidth="1"/>
    <col min="3879" max="4099" width="9.140625" style="78"/>
    <col min="4100" max="4100" width="54.140625" style="78" bestFit="1" customWidth="1"/>
    <col min="4101" max="4101" width="14.7109375" style="78" customWidth="1"/>
    <col min="4102" max="4102" width="10.140625" style="78" customWidth="1"/>
    <col min="4103" max="4103" width="10.42578125" style="78" bestFit="1" customWidth="1"/>
    <col min="4104" max="4105" width="9.42578125" style="78" bestFit="1" customWidth="1"/>
    <col min="4106" max="4107" width="9.42578125" style="78" customWidth="1"/>
    <col min="4108" max="4108" width="10.140625" style="78" bestFit="1" customWidth="1"/>
    <col min="4109" max="4112" width="9.140625" style="78"/>
    <col min="4113" max="4113" width="7.28515625" style="78" customWidth="1"/>
    <col min="4114" max="4116" width="7.42578125" style="78" customWidth="1"/>
    <col min="4117" max="4117" width="10.42578125" style="78" bestFit="1" customWidth="1"/>
    <col min="4118" max="4118" width="12" style="78" bestFit="1" customWidth="1"/>
    <col min="4119" max="4119" width="11" style="78" bestFit="1" customWidth="1"/>
    <col min="4120" max="4121" width="11" style="78" customWidth="1"/>
    <col min="4122" max="4122" width="10" style="78" bestFit="1" customWidth="1"/>
    <col min="4123" max="4123" width="14.42578125" style="78" bestFit="1" customWidth="1"/>
    <col min="4124" max="4134" width="0" style="78" hidden="1" customWidth="1"/>
    <col min="4135" max="4355" width="9.140625" style="78"/>
    <col min="4356" max="4356" width="54.140625" style="78" bestFit="1" customWidth="1"/>
    <col min="4357" max="4357" width="14.7109375" style="78" customWidth="1"/>
    <col min="4358" max="4358" width="10.140625" style="78" customWidth="1"/>
    <col min="4359" max="4359" width="10.42578125" style="78" bestFit="1" customWidth="1"/>
    <col min="4360" max="4361" width="9.42578125" style="78" bestFit="1" customWidth="1"/>
    <col min="4362" max="4363" width="9.42578125" style="78" customWidth="1"/>
    <col min="4364" max="4364" width="10.140625" style="78" bestFit="1" customWidth="1"/>
    <col min="4365" max="4368" width="9.140625" style="78"/>
    <col min="4369" max="4369" width="7.28515625" style="78" customWidth="1"/>
    <col min="4370" max="4372" width="7.42578125" style="78" customWidth="1"/>
    <col min="4373" max="4373" width="10.42578125" style="78" bestFit="1" customWidth="1"/>
    <col min="4374" max="4374" width="12" style="78" bestFit="1" customWidth="1"/>
    <col min="4375" max="4375" width="11" style="78" bestFit="1" customWidth="1"/>
    <col min="4376" max="4377" width="11" style="78" customWidth="1"/>
    <col min="4378" max="4378" width="10" style="78" bestFit="1" customWidth="1"/>
    <col min="4379" max="4379" width="14.42578125" style="78" bestFit="1" customWidth="1"/>
    <col min="4380" max="4390" width="0" style="78" hidden="1" customWidth="1"/>
    <col min="4391" max="4611" width="9.140625" style="78"/>
    <col min="4612" max="4612" width="54.140625" style="78" bestFit="1" customWidth="1"/>
    <col min="4613" max="4613" width="14.7109375" style="78" customWidth="1"/>
    <col min="4614" max="4614" width="10.140625" style="78" customWidth="1"/>
    <col min="4615" max="4615" width="10.42578125" style="78" bestFit="1" customWidth="1"/>
    <col min="4616" max="4617" width="9.42578125" style="78" bestFit="1" customWidth="1"/>
    <col min="4618" max="4619" width="9.42578125" style="78" customWidth="1"/>
    <col min="4620" max="4620" width="10.140625" style="78" bestFit="1" customWidth="1"/>
    <col min="4621" max="4624" width="9.140625" style="78"/>
    <col min="4625" max="4625" width="7.28515625" style="78" customWidth="1"/>
    <col min="4626" max="4628" width="7.42578125" style="78" customWidth="1"/>
    <col min="4629" max="4629" width="10.42578125" style="78" bestFit="1" customWidth="1"/>
    <col min="4630" max="4630" width="12" style="78" bestFit="1" customWidth="1"/>
    <col min="4631" max="4631" width="11" style="78" bestFit="1" customWidth="1"/>
    <col min="4632" max="4633" width="11" style="78" customWidth="1"/>
    <col min="4634" max="4634" width="10" style="78" bestFit="1" customWidth="1"/>
    <col min="4635" max="4635" width="14.42578125" style="78" bestFit="1" customWidth="1"/>
    <col min="4636" max="4646" width="0" style="78" hidden="1" customWidth="1"/>
    <col min="4647" max="4867" width="9.140625" style="78"/>
    <col min="4868" max="4868" width="54.140625" style="78" bestFit="1" customWidth="1"/>
    <col min="4869" max="4869" width="14.7109375" style="78" customWidth="1"/>
    <col min="4870" max="4870" width="10.140625" style="78" customWidth="1"/>
    <col min="4871" max="4871" width="10.42578125" style="78" bestFit="1" customWidth="1"/>
    <col min="4872" max="4873" width="9.42578125" style="78" bestFit="1" customWidth="1"/>
    <col min="4874" max="4875" width="9.42578125" style="78" customWidth="1"/>
    <col min="4876" max="4876" width="10.140625" style="78" bestFit="1" customWidth="1"/>
    <col min="4877" max="4880" width="9.140625" style="78"/>
    <col min="4881" max="4881" width="7.28515625" style="78" customWidth="1"/>
    <col min="4882" max="4884" width="7.42578125" style="78" customWidth="1"/>
    <col min="4885" max="4885" width="10.42578125" style="78" bestFit="1" customWidth="1"/>
    <col min="4886" max="4886" width="12" style="78" bestFit="1" customWidth="1"/>
    <col min="4887" max="4887" width="11" style="78" bestFit="1" customWidth="1"/>
    <col min="4888" max="4889" width="11" style="78" customWidth="1"/>
    <col min="4890" max="4890" width="10" style="78" bestFit="1" customWidth="1"/>
    <col min="4891" max="4891" width="14.42578125" style="78" bestFit="1" customWidth="1"/>
    <col min="4892" max="4902" width="0" style="78" hidden="1" customWidth="1"/>
    <col min="4903" max="5123" width="9.140625" style="78"/>
    <col min="5124" max="5124" width="54.140625" style="78" bestFit="1" customWidth="1"/>
    <col min="5125" max="5125" width="14.7109375" style="78" customWidth="1"/>
    <col min="5126" max="5126" width="10.140625" style="78" customWidth="1"/>
    <col min="5127" max="5127" width="10.42578125" style="78" bestFit="1" customWidth="1"/>
    <col min="5128" max="5129" width="9.42578125" style="78" bestFit="1" customWidth="1"/>
    <col min="5130" max="5131" width="9.42578125" style="78" customWidth="1"/>
    <col min="5132" max="5132" width="10.140625" style="78" bestFit="1" customWidth="1"/>
    <col min="5133" max="5136" width="9.140625" style="78"/>
    <col min="5137" max="5137" width="7.28515625" style="78" customWidth="1"/>
    <col min="5138" max="5140" width="7.42578125" style="78" customWidth="1"/>
    <col min="5141" max="5141" width="10.42578125" style="78" bestFit="1" customWidth="1"/>
    <col min="5142" max="5142" width="12" style="78" bestFit="1" customWidth="1"/>
    <col min="5143" max="5143" width="11" style="78" bestFit="1" customWidth="1"/>
    <col min="5144" max="5145" width="11" style="78" customWidth="1"/>
    <col min="5146" max="5146" width="10" style="78" bestFit="1" customWidth="1"/>
    <col min="5147" max="5147" width="14.42578125" style="78" bestFit="1" customWidth="1"/>
    <col min="5148" max="5158" width="0" style="78" hidden="1" customWidth="1"/>
    <col min="5159" max="5379" width="9.140625" style="78"/>
    <col min="5380" max="5380" width="54.140625" style="78" bestFit="1" customWidth="1"/>
    <col min="5381" max="5381" width="14.7109375" style="78" customWidth="1"/>
    <col min="5382" max="5382" width="10.140625" style="78" customWidth="1"/>
    <col min="5383" max="5383" width="10.42578125" style="78" bestFit="1" customWidth="1"/>
    <col min="5384" max="5385" width="9.42578125" style="78" bestFit="1" customWidth="1"/>
    <col min="5386" max="5387" width="9.42578125" style="78" customWidth="1"/>
    <col min="5388" max="5388" width="10.140625" style="78" bestFit="1" customWidth="1"/>
    <col min="5389" max="5392" width="9.140625" style="78"/>
    <col min="5393" max="5393" width="7.28515625" style="78" customWidth="1"/>
    <col min="5394" max="5396" width="7.42578125" style="78" customWidth="1"/>
    <col min="5397" max="5397" width="10.42578125" style="78" bestFit="1" customWidth="1"/>
    <col min="5398" max="5398" width="12" style="78" bestFit="1" customWidth="1"/>
    <col min="5399" max="5399" width="11" style="78" bestFit="1" customWidth="1"/>
    <col min="5400" max="5401" width="11" style="78" customWidth="1"/>
    <col min="5402" max="5402" width="10" style="78" bestFit="1" customWidth="1"/>
    <col min="5403" max="5403" width="14.42578125" style="78" bestFit="1" customWidth="1"/>
    <col min="5404" max="5414" width="0" style="78" hidden="1" customWidth="1"/>
    <col min="5415" max="5635" width="9.140625" style="78"/>
    <col min="5636" max="5636" width="54.140625" style="78" bestFit="1" customWidth="1"/>
    <col min="5637" max="5637" width="14.7109375" style="78" customWidth="1"/>
    <col min="5638" max="5638" width="10.140625" style="78" customWidth="1"/>
    <col min="5639" max="5639" width="10.42578125" style="78" bestFit="1" customWidth="1"/>
    <col min="5640" max="5641" width="9.42578125" style="78" bestFit="1" customWidth="1"/>
    <col min="5642" max="5643" width="9.42578125" style="78" customWidth="1"/>
    <col min="5644" max="5644" width="10.140625" style="78" bestFit="1" customWidth="1"/>
    <col min="5645" max="5648" width="9.140625" style="78"/>
    <col min="5649" max="5649" width="7.28515625" style="78" customWidth="1"/>
    <col min="5650" max="5652" width="7.42578125" style="78" customWidth="1"/>
    <col min="5653" max="5653" width="10.42578125" style="78" bestFit="1" customWidth="1"/>
    <col min="5654" max="5654" width="12" style="78" bestFit="1" customWidth="1"/>
    <col min="5655" max="5655" width="11" style="78" bestFit="1" customWidth="1"/>
    <col min="5656" max="5657" width="11" style="78" customWidth="1"/>
    <col min="5658" max="5658" width="10" style="78" bestFit="1" customWidth="1"/>
    <col min="5659" max="5659" width="14.42578125" style="78" bestFit="1" customWidth="1"/>
    <col min="5660" max="5670" width="0" style="78" hidden="1" customWidth="1"/>
    <col min="5671" max="5891" width="9.140625" style="78"/>
    <col min="5892" max="5892" width="54.140625" style="78" bestFit="1" customWidth="1"/>
    <col min="5893" max="5893" width="14.7109375" style="78" customWidth="1"/>
    <col min="5894" max="5894" width="10.140625" style="78" customWidth="1"/>
    <col min="5895" max="5895" width="10.42578125" style="78" bestFit="1" customWidth="1"/>
    <col min="5896" max="5897" width="9.42578125" style="78" bestFit="1" customWidth="1"/>
    <col min="5898" max="5899" width="9.42578125" style="78" customWidth="1"/>
    <col min="5900" max="5900" width="10.140625" style="78" bestFit="1" customWidth="1"/>
    <col min="5901" max="5904" width="9.140625" style="78"/>
    <col min="5905" max="5905" width="7.28515625" style="78" customWidth="1"/>
    <col min="5906" max="5908" width="7.42578125" style="78" customWidth="1"/>
    <col min="5909" max="5909" width="10.42578125" style="78" bestFit="1" customWidth="1"/>
    <col min="5910" max="5910" width="12" style="78" bestFit="1" customWidth="1"/>
    <col min="5911" max="5911" width="11" style="78" bestFit="1" customWidth="1"/>
    <col min="5912" max="5913" width="11" style="78" customWidth="1"/>
    <col min="5914" max="5914" width="10" style="78" bestFit="1" customWidth="1"/>
    <col min="5915" max="5915" width="14.42578125" style="78" bestFit="1" customWidth="1"/>
    <col min="5916" max="5926" width="0" style="78" hidden="1" customWidth="1"/>
    <col min="5927" max="6147" width="9.140625" style="78"/>
    <col min="6148" max="6148" width="54.140625" style="78" bestFit="1" customWidth="1"/>
    <col min="6149" max="6149" width="14.7109375" style="78" customWidth="1"/>
    <col min="6150" max="6150" width="10.140625" style="78" customWidth="1"/>
    <col min="6151" max="6151" width="10.42578125" style="78" bestFit="1" customWidth="1"/>
    <col min="6152" max="6153" width="9.42578125" style="78" bestFit="1" customWidth="1"/>
    <col min="6154" max="6155" width="9.42578125" style="78" customWidth="1"/>
    <col min="6156" max="6156" width="10.140625" style="78" bestFit="1" customWidth="1"/>
    <col min="6157" max="6160" width="9.140625" style="78"/>
    <col min="6161" max="6161" width="7.28515625" style="78" customWidth="1"/>
    <col min="6162" max="6164" width="7.42578125" style="78" customWidth="1"/>
    <col min="6165" max="6165" width="10.42578125" style="78" bestFit="1" customWidth="1"/>
    <col min="6166" max="6166" width="12" style="78" bestFit="1" customWidth="1"/>
    <col min="6167" max="6167" width="11" style="78" bestFit="1" customWidth="1"/>
    <col min="6168" max="6169" width="11" style="78" customWidth="1"/>
    <col min="6170" max="6170" width="10" style="78" bestFit="1" customWidth="1"/>
    <col min="6171" max="6171" width="14.42578125" style="78" bestFit="1" customWidth="1"/>
    <col min="6172" max="6182" width="0" style="78" hidden="1" customWidth="1"/>
    <col min="6183" max="6403" width="9.140625" style="78"/>
    <col min="6404" max="6404" width="54.140625" style="78" bestFit="1" customWidth="1"/>
    <col min="6405" max="6405" width="14.7109375" style="78" customWidth="1"/>
    <col min="6406" max="6406" width="10.140625" style="78" customWidth="1"/>
    <col min="6407" max="6407" width="10.42578125" style="78" bestFit="1" customWidth="1"/>
    <col min="6408" max="6409" width="9.42578125" style="78" bestFit="1" customWidth="1"/>
    <col min="6410" max="6411" width="9.42578125" style="78" customWidth="1"/>
    <col min="6412" max="6412" width="10.140625" style="78" bestFit="1" customWidth="1"/>
    <col min="6413" max="6416" width="9.140625" style="78"/>
    <col min="6417" max="6417" width="7.28515625" style="78" customWidth="1"/>
    <col min="6418" max="6420" width="7.42578125" style="78" customWidth="1"/>
    <col min="6421" max="6421" width="10.42578125" style="78" bestFit="1" customWidth="1"/>
    <col min="6422" max="6422" width="12" style="78" bestFit="1" customWidth="1"/>
    <col min="6423" max="6423" width="11" style="78" bestFit="1" customWidth="1"/>
    <col min="6424" max="6425" width="11" style="78" customWidth="1"/>
    <col min="6426" max="6426" width="10" style="78" bestFit="1" customWidth="1"/>
    <col min="6427" max="6427" width="14.42578125" style="78" bestFit="1" customWidth="1"/>
    <col min="6428" max="6438" width="0" style="78" hidden="1" customWidth="1"/>
    <col min="6439" max="6659" width="9.140625" style="78"/>
    <col min="6660" max="6660" width="54.140625" style="78" bestFit="1" customWidth="1"/>
    <col min="6661" max="6661" width="14.7109375" style="78" customWidth="1"/>
    <col min="6662" max="6662" width="10.140625" style="78" customWidth="1"/>
    <col min="6663" max="6663" width="10.42578125" style="78" bestFit="1" customWidth="1"/>
    <col min="6664" max="6665" width="9.42578125" style="78" bestFit="1" customWidth="1"/>
    <col min="6666" max="6667" width="9.42578125" style="78" customWidth="1"/>
    <col min="6668" max="6668" width="10.140625" style="78" bestFit="1" customWidth="1"/>
    <col min="6669" max="6672" width="9.140625" style="78"/>
    <col min="6673" max="6673" width="7.28515625" style="78" customWidth="1"/>
    <col min="6674" max="6676" width="7.42578125" style="78" customWidth="1"/>
    <col min="6677" max="6677" width="10.42578125" style="78" bestFit="1" customWidth="1"/>
    <col min="6678" max="6678" width="12" style="78" bestFit="1" customWidth="1"/>
    <col min="6679" max="6679" width="11" style="78" bestFit="1" customWidth="1"/>
    <col min="6680" max="6681" width="11" style="78" customWidth="1"/>
    <col min="6682" max="6682" width="10" style="78" bestFit="1" customWidth="1"/>
    <col min="6683" max="6683" width="14.42578125" style="78" bestFit="1" customWidth="1"/>
    <col min="6684" max="6694" width="0" style="78" hidden="1" customWidth="1"/>
    <col min="6695" max="6915" width="9.140625" style="78"/>
    <col min="6916" max="6916" width="54.140625" style="78" bestFit="1" customWidth="1"/>
    <col min="6917" max="6917" width="14.7109375" style="78" customWidth="1"/>
    <col min="6918" max="6918" width="10.140625" style="78" customWidth="1"/>
    <col min="6919" max="6919" width="10.42578125" style="78" bestFit="1" customWidth="1"/>
    <col min="6920" max="6921" width="9.42578125" style="78" bestFit="1" customWidth="1"/>
    <col min="6922" max="6923" width="9.42578125" style="78" customWidth="1"/>
    <col min="6924" max="6924" width="10.140625" style="78" bestFit="1" customWidth="1"/>
    <col min="6925" max="6928" width="9.140625" style="78"/>
    <col min="6929" max="6929" width="7.28515625" style="78" customWidth="1"/>
    <col min="6930" max="6932" width="7.42578125" style="78" customWidth="1"/>
    <col min="6933" max="6933" width="10.42578125" style="78" bestFit="1" customWidth="1"/>
    <col min="6934" max="6934" width="12" style="78" bestFit="1" customWidth="1"/>
    <col min="6935" max="6935" width="11" style="78" bestFit="1" customWidth="1"/>
    <col min="6936" max="6937" width="11" style="78" customWidth="1"/>
    <col min="6938" max="6938" width="10" style="78" bestFit="1" customWidth="1"/>
    <col min="6939" max="6939" width="14.42578125" style="78" bestFit="1" customWidth="1"/>
    <col min="6940" max="6950" width="0" style="78" hidden="1" customWidth="1"/>
    <col min="6951" max="7171" width="9.140625" style="78"/>
    <col min="7172" max="7172" width="54.140625" style="78" bestFit="1" customWidth="1"/>
    <col min="7173" max="7173" width="14.7109375" style="78" customWidth="1"/>
    <col min="7174" max="7174" width="10.140625" style="78" customWidth="1"/>
    <col min="7175" max="7175" width="10.42578125" style="78" bestFit="1" customWidth="1"/>
    <col min="7176" max="7177" width="9.42578125" style="78" bestFit="1" customWidth="1"/>
    <col min="7178" max="7179" width="9.42578125" style="78" customWidth="1"/>
    <col min="7180" max="7180" width="10.140625" style="78" bestFit="1" customWidth="1"/>
    <col min="7181" max="7184" width="9.140625" style="78"/>
    <col min="7185" max="7185" width="7.28515625" style="78" customWidth="1"/>
    <col min="7186" max="7188" width="7.42578125" style="78" customWidth="1"/>
    <col min="7189" max="7189" width="10.42578125" style="78" bestFit="1" customWidth="1"/>
    <col min="7190" max="7190" width="12" style="78" bestFit="1" customWidth="1"/>
    <col min="7191" max="7191" width="11" style="78" bestFit="1" customWidth="1"/>
    <col min="7192" max="7193" width="11" style="78" customWidth="1"/>
    <col min="7194" max="7194" width="10" style="78" bestFit="1" customWidth="1"/>
    <col min="7195" max="7195" width="14.42578125" style="78" bestFit="1" customWidth="1"/>
    <col min="7196" max="7206" width="0" style="78" hidden="1" customWidth="1"/>
    <col min="7207" max="7427" width="9.140625" style="78"/>
    <col min="7428" max="7428" width="54.140625" style="78" bestFit="1" customWidth="1"/>
    <col min="7429" max="7429" width="14.7109375" style="78" customWidth="1"/>
    <col min="7430" max="7430" width="10.140625" style="78" customWidth="1"/>
    <col min="7431" max="7431" width="10.42578125" style="78" bestFit="1" customWidth="1"/>
    <col min="7432" max="7433" width="9.42578125" style="78" bestFit="1" customWidth="1"/>
    <col min="7434" max="7435" width="9.42578125" style="78" customWidth="1"/>
    <col min="7436" max="7436" width="10.140625" style="78" bestFit="1" customWidth="1"/>
    <col min="7437" max="7440" width="9.140625" style="78"/>
    <col min="7441" max="7441" width="7.28515625" style="78" customWidth="1"/>
    <col min="7442" max="7444" width="7.42578125" style="78" customWidth="1"/>
    <col min="7445" max="7445" width="10.42578125" style="78" bestFit="1" customWidth="1"/>
    <col min="7446" max="7446" width="12" style="78" bestFit="1" customWidth="1"/>
    <col min="7447" max="7447" width="11" style="78" bestFit="1" customWidth="1"/>
    <col min="7448" max="7449" width="11" style="78" customWidth="1"/>
    <col min="7450" max="7450" width="10" style="78" bestFit="1" customWidth="1"/>
    <col min="7451" max="7451" width="14.42578125" style="78" bestFit="1" customWidth="1"/>
    <col min="7452" max="7462" width="0" style="78" hidden="1" customWidth="1"/>
    <col min="7463" max="7683" width="9.140625" style="78"/>
    <col min="7684" max="7684" width="54.140625" style="78" bestFit="1" customWidth="1"/>
    <col min="7685" max="7685" width="14.7109375" style="78" customWidth="1"/>
    <col min="7686" max="7686" width="10.140625" style="78" customWidth="1"/>
    <col min="7687" max="7687" width="10.42578125" style="78" bestFit="1" customWidth="1"/>
    <col min="7688" max="7689" width="9.42578125" style="78" bestFit="1" customWidth="1"/>
    <col min="7690" max="7691" width="9.42578125" style="78" customWidth="1"/>
    <col min="7692" max="7692" width="10.140625" style="78" bestFit="1" customWidth="1"/>
    <col min="7693" max="7696" width="9.140625" style="78"/>
    <col min="7697" max="7697" width="7.28515625" style="78" customWidth="1"/>
    <col min="7698" max="7700" width="7.42578125" style="78" customWidth="1"/>
    <col min="7701" max="7701" width="10.42578125" style="78" bestFit="1" customWidth="1"/>
    <col min="7702" max="7702" width="12" style="78" bestFit="1" customWidth="1"/>
    <col min="7703" max="7703" width="11" style="78" bestFit="1" customWidth="1"/>
    <col min="7704" max="7705" width="11" style="78" customWidth="1"/>
    <col min="7706" max="7706" width="10" style="78" bestFit="1" customWidth="1"/>
    <col min="7707" max="7707" width="14.42578125" style="78" bestFit="1" customWidth="1"/>
    <col min="7708" max="7718" width="0" style="78" hidden="1" customWidth="1"/>
    <col min="7719" max="7939" width="9.140625" style="78"/>
    <col min="7940" max="7940" width="54.140625" style="78" bestFit="1" customWidth="1"/>
    <col min="7941" max="7941" width="14.7109375" style="78" customWidth="1"/>
    <col min="7942" max="7942" width="10.140625" style="78" customWidth="1"/>
    <col min="7943" max="7943" width="10.42578125" style="78" bestFit="1" customWidth="1"/>
    <col min="7944" max="7945" width="9.42578125" style="78" bestFit="1" customWidth="1"/>
    <col min="7946" max="7947" width="9.42578125" style="78" customWidth="1"/>
    <col min="7948" max="7948" width="10.140625" style="78" bestFit="1" customWidth="1"/>
    <col min="7949" max="7952" width="9.140625" style="78"/>
    <col min="7953" max="7953" width="7.28515625" style="78" customWidth="1"/>
    <col min="7954" max="7956" width="7.42578125" style="78" customWidth="1"/>
    <col min="7957" max="7957" width="10.42578125" style="78" bestFit="1" customWidth="1"/>
    <col min="7958" max="7958" width="12" style="78" bestFit="1" customWidth="1"/>
    <col min="7959" max="7959" width="11" style="78" bestFit="1" customWidth="1"/>
    <col min="7960" max="7961" width="11" style="78" customWidth="1"/>
    <col min="7962" max="7962" width="10" style="78" bestFit="1" customWidth="1"/>
    <col min="7963" max="7963" width="14.42578125" style="78" bestFit="1" customWidth="1"/>
    <col min="7964" max="7974" width="0" style="78" hidden="1" customWidth="1"/>
    <col min="7975" max="8195" width="9.140625" style="78"/>
    <col min="8196" max="8196" width="54.140625" style="78" bestFit="1" customWidth="1"/>
    <col min="8197" max="8197" width="14.7109375" style="78" customWidth="1"/>
    <col min="8198" max="8198" width="10.140625" style="78" customWidth="1"/>
    <col min="8199" max="8199" width="10.42578125" style="78" bestFit="1" customWidth="1"/>
    <col min="8200" max="8201" width="9.42578125" style="78" bestFit="1" customWidth="1"/>
    <col min="8202" max="8203" width="9.42578125" style="78" customWidth="1"/>
    <col min="8204" max="8204" width="10.140625" style="78" bestFit="1" customWidth="1"/>
    <col min="8205" max="8208" width="9.140625" style="78"/>
    <col min="8209" max="8209" width="7.28515625" style="78" customWidth="1"/>
    <col min="8210" max="8212" width="7.42578125" style="78" customWidth="1"/>
    <col min="8213" max="8213" width="10.42578125" style="78" bestFit="1" customWidth="1"/>
    <col min="8214" max="8214" width="12" style="78" bestFit="1" customWidth="1"/>
    <col min="8215" max="8215" width="11" style="78" bestFit="1" customWidth="1"/>
    <col min="8216" max="8217" width="11" style="78" customWidth="1"/>
    <col min="8218" max="8218" width="10" style="78" bestFit="1" customWidth="1"/>
    <col min="8219" max="8219" width="14.42578125" style="78" bestFit="1" customWidth="1"/>
    <col min="8220" max="8230" width="0" style="78" hidden="1" customWidth="1"/>
    <col min="8231" max="8451" width="9.140625" style="78"/>
    <col min="8452" max="8452" width="54.140625" style="78" bestFit="1" customWidth="1"/>
    <col min="8453" max="8453" width="14.7109375" style="78" customWidth="1"/>
    <col min="8454" max="8454" width="10.140625" style="78" customWidth="1"/>
    <col min="8455" max="8455" width="10.42578125" style="78" bestFit="1" customWidth="1"/>
    <col min="8456" max="8457" width="9.42578125" style="78" bestFit="1" customWidth="1"/>
    <col min="8458" max="8459" width="9.42578125" style="78" customWidth="1"/>
    <col min="8460" max="8460" width="10.140625" style="78" bestFit="1" customWidth="1"/>
    <col min="8461" max="8464" width="9.140625" style="78"/>
    <col min="8465" max="8465" width="7.28515625" style="78" customWidth="1"/>
    <col min="8466" max="8468" width="7.42578125" style="78" customWidth="1"/>
    <col min="8469" max="8469" width="10.42578125" style="78" bestFit="1" customWidth="1"/>
    <col min="8470" max="8470" width="12" style="78" bestFit="1" customWidth="1"/>
    <col min="8471" max="8471" width="11" style="78" bestFit="1" customWidth="1"/>
    <col min="8472" max="8473" width="11" style="78" customWidth="1"/>
    <col min="8474" max="8474" width="10" style="78" bestFit="1" customWidth="1"/>
    <col min="8475" max="8475" width="14.42578125" style="78" bestFit="1" customWidth="1"/>
    <col min="8476" max="8486" width="0" style="78" hidden="1" customWidth="1"/>
    <col min="8487" max="8707" width="9.140625" style="78"/>
    <col min="8708" max="8708" width="54.140625" style="78" bestFit="1" customWidth="1"/>
    <col min="8709" max="8709" width="14.7109375" style="78" customWidth="1"/>
    <col min="8710" max="8710" width="10.140625" style="78" customWidth="1"/>
    <col min="8711" max="8711" width="10.42578125" style="78" bestFit="1" customWidth="1"/>
    <col min="8712" max="8713" width="9.42578125" style="78" bestFit="1" customWidth="1"/>
    <col min="8714" max="8715" width="9.42578125" style="78" customWidth="1"/>
    <col min="8716" max="8716" width="10.140625" style="78" bestFit="1" customWidth="1"/>
    <col min="8717" max="8720" width="9.140625" style="78"/>
    <col min="8721" max="8721" width="7.28515625" style="78" customWidth="1"/>
    <col min="8722" max="8724" width="7.42578125" style="78" customWidth="1"/>
    <col min="8725" max="8725" width="10.42578125" style="78" bestFit="1" customWidth="1"/>
    <col min="8726" max="8726" width="12" style="78" bestFit="1" customWidth="1"/>
    <col min="8727" max="8727" width="11" style="78" bestFit="1" customWidth="1"/>
    <col min="8728" max="8729" width="11" style="78" customWidth="1"/>
    <col min="8730" max="8730" width="10" style="78" bestFit="1" customWidth="1"/>
    <col min="8731" max="8731" width="14.42578125" style="78" bestFit="1" customWidth="1"/>
    <col min="8732" max="8742" width="0" style="78" hidden="1" customWidth="1"/>
    <col min="8743" max="8963" width="9.140625" style="78"/>
    <col min="8964" max="8964" width="54.140625" style="78" bestFit="1" customWidth="1"/>
    <col min="8965" max="8965" width="14.7109375" style="78" customWidth="1"/>
    <col min="8966" max="8966" width="10.140625" style="78" customWidth="1"/>
    <col min="8967" max="8967" width="10.42578125" style="78" bestFit="1" customWidth="1"/>
    <col min="8968" max="8969" width="9.42578125" style="78" bestFit="1" customWidth="1"/>
    <col min="8970" max="8971" width="9.42578125" style="78" customWidth="1"/>
    <col min="8972" max="8972" width="10.140625" style="78" bestFit="1" customWidth="1"/>
    <col min="8973" max="8976" width="9.140625" style="78"/>
    <col min="8977" max="8977" width="7.28515625" style="78" customWidth="1"/>
    <col min="8978" max="8980" width="7.42578125" style="78" customWidth="1"/>
    <col min="8981" max="8981" width="10.42578125" style="78" bestFit="1" customWidth="1"/>
    <col min="8982" max="8982" width="12" style="78" bestFit="1" customWidth="1"/>
    <col min="8983" max="8983" width="11" style="78" bestFit="1" customWidth="1"/>
    <col min="8984" max="8985" width="11" style="78" customWidth="1"/>
    <col min="8986" max="8986" width="10" style="78" bestFit="1" customWidth="1"/>
    <col min="8987" max="8987" width="14.42578125" style="78" bestFit="1" customWidth="1"/>
    <col min="8988" max="8998" width="0" style="78" hidden="1" customWidth="1"/>
    <col min="8999" max="9219" width="9.140625" style="78"/>
    <col min="9220" max="9220" width="54.140625" style="78" bestFit="1" customWidth="1"/>
    <col min="9221" max="9221" width="14.7109375" style="78" customWidth="1"/>
    <col min="9222" max="9222" width="10.140625" style="78" customWidth="1"/>
    <col min="9223" max="9223" width="10.42578125" style="78" bestFit="1" customWidth="1"/>
    <col min="9224" max="9225" width="9.42578125" style="78" bestFit="1" customWidth="1"/>
    <col min="9226" max="9227" width="9.42578125" style="78" customWidth="1"/>
    <col min="9228" max="9228" width="10.140625" style="78" bestFit="1" customWidth="1"/>
    <col min="9229" max="9232" width="9.140625" style="78"/>
    <col min="9233" max="9233" width="7.28515625" style="78" customWidth="1"/>
    <col min="9234" max="9236" width="7.42578125" style="78" customWidth="1"/>
    <col min="9237" max="9237" width="10.42578125" style="78" bestFit="1" customWidth="1"/>
    <col min="9238" max="9238" width="12" style="78" bestFit="1" customWidth="1"/>
    <col min="9239" max="9239" width="11" style="78" bestFit="1" customWidth="1"/>
    <col min="9240" max="9241" width="11" style="78" customWidth="1"/>
    <col min="9242" max="9242" width="10" style="78" bestFit="1" customWidth="1"/>
    <col min="9243" max="9243" width="14.42578125" style="78" bestFit="1" customWidth="1"/>
    <col min="9244" max="9254" width="0" style="78" hidden="1" customWidth="1"/>
    <col min="9255" max="9475" width="9.140625" style="78"/>
    <col min="9476" max="9476" width="54.140625" style="78" bestFit="1" customWidth="1"/>
    <col min="9477" max="9477" width="14.7109375" style="78" customWidth="1"/>
    <col min="9478" max="9478" width="10.140625" style="78" customWidth="1"/>
    <col min="9479" max="9479" width="10.42578125" style="78" bestFit="1" customWidth="1"/>
    <col min="9480" max="9481" width="9.42578125" style="78" bestFit="1" customWidth="1"/>
    <col min="9482" max="9483" width="9.42578125" style="78" customWidth="1"/>
    <col min="9484" max="9484" width="10.140625" style="78" bestFit="1" customWidth="1"/>
    <col min="9485" max="9488" width="9.140625" style="78"/>
    <col min="9489" max="9489" width="7.28515625" style="78" customWidth="1"/>
    <col min="9490" max="9492" width="7.42578125" style="78" customWidth="1"/>
    <col min="9493" max="9493" width="10.42578125" style="78" bestFit="1" customWidth="1"/>
    <col min="9494" max="9494" width="12" style="78" bestFit="1" customWidth="1"/>
    <col min="9495" max="9495" width="11" style="78" bestFit="1" customWidth="1"/>
    <col min="9496" max="9497" width="11" style="78" customWidth="1"/>
    <col min="9498" max="9498" width="10" style="78" bestFit="1" customWidth="1"/>
    <col min="9499" max="9499" width="14.42578125" style="78" bestFit="1" customWidth="1"/>
    <col min="9500" max="9510" width="0" style="78" hidden="1" customWidth="1"/>
    <col min="9511" max="9731" width="9.140625" style="78"/>
    <col min="9732" max="9732" width="54.140625" style="78" bestFit="1" customWidth="1"/>
    <col min="9733" max="9733" width="14.7109375" style="78" customWidth="1"/>
    <col min="9734" max="9734" width="10.140625" style="78" customWidth="1"/>
    <col min="9735" max="9735" width="10.42578125" style="78" bestFit="1" customWidth="1"/>
    <col min="9736" max="9737" width="9.42578125" style="78" bestFit="1" customWidth="1"/>
    <col min="9738" max="9739" width="9.42578125" style="78" customWidth="1"/>
    <col min="9740" max="9740" width="10.140625" style="78" bestFit="1" customWidth="1"/>
    <col min="9741" max="9744" width="9.140625" style="78"/>
    <col min="9745" max="9745" width="7.28515625" style="78" customWidth="1"/>
    <col min="9746" max="9748" width="7.42578125" style="78" customWidth="1"/>
    <col min="9749" max="9749" width="10.42578125" style="78" bestFit="1" customWidth="1"/>
    <col min="9750" max="9750" width="12" style="78" bestFit="1" customWidth="1"/>
    <col min="9751" max="9751" width="11" style="78" bestFit="1" customWidth="1"/>
    <col min="9752" max="9753" width="11" style="78" customWidth="1"/>
    <col min="9754" max="9754" width="10" style="78" bestFit="1" customWidth="1"/>
    <col min="9755" max="9755" width="14.42578125" style="78" bestFit="1" customWidth="1"/>
    <col min="9756" max="9766" width="0" style="78" hidden="1" customWidth="1"/>
    <col min="9767" max="9987" width="9.140625" style="78"/>
    <col min="9988" max="9988" width="54.140625" style="78" bestFit="1" customWidth="1"/>
    <col min="9989" max="9989" width="14.7109375" style="78" customWidth="1"/>
    <col min="9990" max="9990" width="10.140625" style="78" customWidth="1"/>
    <col min="9991" max="9991" width="10.42578125" style="78" bestFit="1" customWidth="1"/>
    <col min="9992" max="9993" width="9.42578125" style="78" bestFit="1" customWidth="1"/>
    <col min="9994" max="9995" width="9.42578125" style="78" customWidth="1"/>
    <col min="9996" max="9996" width="10.140625" style="78" bestFit="1" customWidth="1"/>
    <col min="9997" max="10000" width="9.140625" style="78"/>
    <col min="10001" max="10001" width="7.28515625" style="78" customWidth="1"/>
    <col min="10002" max="10004" width="7.42578125" style="78" customWidth="1"/>
    <col min="10005" max="10005" width="10.42578125" style="78" bestFit="1" customWidth="1"/>
    <col min="10006" max="10006" width="12" style="78" bestFit="1" customWidth="1"/>
    <col min="10007" max="10007" width="11" style="78" bestFit="1" customWidth="1"/>
    <col min="10008" max="10009" width="11" style="78" customWidth="1"/>
    <col min="10010" max="10010" width="10" style="78" bestFit="1" customWidth="1"/>
    <col min="10011" max="10011" width="14.42578125" style="78" bestFit="1" customWidth="1"/>
    <col min="10012" max="10022" width="0" style="78" hidden="1" customWidth="1"/>
    <col min="10023" max="10243" width="9.140625" style="78"/>
    <col min="10244" max="10244" width="54.140625" style="78" bestFit="1" customWidth="1"/>
    <col min="10245" max="10245" width="14.7109375" style="78" customWidth="1"/>
    <col min="10246" max="10246" width="10.140625" style="78" customWidth="1"/>
    <col min="10247" max="10247" width="10.42578125" style="78" bestFit="1" customWidth="1"/>
    <col min="10248" max="10249" width="9.42578125" style="78" bestFit="1" customWidth="1"/>
    <col min="10250" max="10251" width="9.42578125" style="78" customWidth="1"/>
    <col min="10252" max="10252" width="10.140625" style="78" bestFit="1" customWidth="1"/>
    <col min="10253" max="10256" width="9.140625" style="78"/>
    <col min="10257" max="10257" width="7.28515625" style="78" customWidth="1"/>
    <col min="10258" max="10260" width="7.42578125" style="78" customWidth="1"/>
    <col min="10261" max="10261" width="10.42578125" style="78" bestFit="1" customWidth="1"/>
    <col min="10262" max="10262" width="12" style="78" bestFit="1" customWidth="1"/>
    <col min="10263" max="10263" width="11" style="78" bestFit="1" customWidth="1"/>
    <col min="10264" max="10265" width="11" style="78" customWidth="1"/>
    <col min="10266" max="10266" width="10" style="78" bestFit="1" customWidth="1"/>
    <col min="10267" max="10267" width="14.42578125" style="78" bestFit="1" customWidth="1"/>
    <col min="10268" max="10278" width="0" style="78" hidden="1" customWidth="1"/>
    <col min="10279" max="10499" width="9.140625" style="78"/>
    <col min="10500" max="10500" width="54.140625" style="78" bestFit="1" customWidth="1"/>
    <col min="10501" max="10501" width="14.7109375" style="78" customWidth="1"/>
    <col min="10502" max="10502" width="10.140625" style="78" customWidth="1"/>
    <col min="10503" max="10503" width="10.42578125" style="78" bestFit="1" customWidth="1"/>
    <col min="10504" max="10505" width="9.42578125" style="78" bestFit="1" customWidth="1"/>
    <col min="10506" max="10507" width="9.42578125" style="78" customWidth="1"/>
    <col min="10508" max="10508" width="10.140625" style="78" bestFit="1" customWidth="1"/>
    <col min="10509" max="10512" width="9.140625" style="78"/>
    <col min="10513" max="10513" width="7.28515625" style="78" customWidth="1"/>
    <col min="10514" max="10516" width="7.42578125" style="78" customWidth="1"/>
    <col min="10517" max="10517" width="10.42578125" style="78" bestFit="1" customWidth="1"/>
    <col min="10518" max="10518" width="12" style="78" bestFit="1" customWidth="1"/>
    <col min="10519" max="10519" width="11" style="78" bestFit="1" customWidth="1"/>
    <col min="10520" max="10521" width="11" style="78" customWidth="1"/>
    <col min="10522" max="10522" width="10" style="78" bestFit="1" customWidth="1"/>
    <col min="10523" max="10523" width="14.42578125" style="78" bestFit="1" customWidth="1"/>
    <col min="10524" max="10534" width="0" style="78" hidden="1" customWidth="1"/>
    <col min="10535" max="10755" width="9.140625" style="78"/>
    <col min="10756" max="10756" width="54.140625" style="78" bestFit="1" customWidth="1"/>
    <col min="10757" max="10757" width="14.7109375" style="78" customWidth="1"/>
    <col min="10758" max="10758" width="10.140625" style="78" customWidth="1"/>
    <col min="10759" max="10759" width="10.42578125" style="78" bestFit="1" customWidth="1"/>
    <col min="10760" max="10761" width="9.42578125" style="78" bestFit="1" customWidth="1"/>
    <col min="10762" max="10763" width="9.42578125" style="78" customWidth="1"/>
    <col min="10764" max="10764" width="10.140625" style="78" bestFit="1" customWidth="1"/>
    <col min="10765" max="10768" width="9.140625" style="78"/>
    <col min="10769" max="10769" width="7.28515625" style="78" customWidth="1"/>
    <col min="10770" max="10772" width="7.42578125" style="78" customWidth="1"/>
    <col min="10773" max="10773" width="10.42578125" style="78" bestFit="1" customWidth="1"/>
    <col min="10774" max="10774" width="12" style="78" bestFit="1" customWidth="1"/>
    <col min="10775" max="10775" width="11" style="78" bestFit="1" customWidth="1"/>
    <col min="10776" max="10777" width="11" style="78" customWidth="1"/>
    <col min="10778" max="10778" width="10" style="78" bestFit="1" customWidth="1"/>
    <col min="10779" max="10779" width="14.42578125" style="78" bestFit="1" customWidth="1"/>
    <col min="10780" max="10790" width="0" style="78" hidden="1" customWidth="1"/>
    <col min="10791" max="11011" width="9.140625" style="78"/>
    <col min="11012" max="11012" width="54.140625" style="78" bestFit="1" customWidth="1"/>
    <col min="11013" max="11013" width="14.7109375" style="78" customWidth="1"/>
    <col min="11014" max="11014" width="10.140625" style="78" customWidth="1"/>
    <col min="11015" max="11015" width="10.42578125" style="78" bestFit="1" customWidth="1"/>
    <col min="11016" max="11017" width="9.42578125" style="78" bestFit="1" customWidth="1"/>
    <col min="11018" max="11019" width="9.42578125" style="78" customWidth="1"/>
    <col min="11020" max="11020" width="10.140625" style="78" bestFit="1" customWidth="1"/>
    <col min="11021" max="11024" width="9.140625" style="78"/>
    <col min="11025" max="11025" width="7.28515625" style="78" customWidth="1"/>
    <col min="11026" max="11028" width="7.42578125" style="78" customWidth="1"/>
    <col min="11029" max="11029" width="10.42578125" style="78" bestFit="1" customWidth="1"/>
    <col min="11030" max="11030" width="12" style="78" bestFit="1" customWidth="1"/>
    <col min="11031" max="11031" width="11" style="78" bestFit="1" customWidth="1"/>
    <col min="11032" max="11033" width="11" style="78" customWidth="1"/>
    <col min="11034" max="11034" width="10" style="78" bestFit="1" customWidth="1"/>
    <col min="11035" max="11035" width="14.42578125" style="78" bestFit="1" customWidth="1"/>
    <col min="11036" max="11046" width="0" style="78" hidden="1" customWidth="1"/>
    <col min="11047" max="11267" width="9.140625" style="78"/>
    <col min="11268" max="11268" width="54.140625" style="78" bestFit="1" customWidth="1"/>
    <col min="11269" max="11269" width="14.7109375" style="78" customWidth="1"/>
    <col min="11270" max="11270" width="10.140625" style="78" customWidth="1"/>
    <col min="11271" max="11271" width="10.42578125" style="78" bestFit="1" customWidth="1"/>
    <col min="11272" max="11273" width="9.42578125" style="78" bestFit="1" customWidth="1"/>
    <col min="11274" max="11275" width="9.42578125" style="78" customWidth="1"/>
    <col min="11276" max="11276" width="10.140625" style="78" bestFit="1" customWidth="1"/>
    <col min="11277" max="11280" width="9.140625" style="78"/>
    <col min="11281" max="11281" width="7.28515625" style="78" customWidth="1"/>
    <col min="11282" max="11284" width="7.42578125" style="78" customWidth="1"/>
    <col min="11285" max="11285" width="10.42578125" style="78" bestFit="1" customWidth="1"/>
    <col min="11286" max="11286" width="12" style="78" bestFit="1" customWidth="1"/>
    <col min="11287" max="11287" width="11" style="78" bestFit="1" customWidth="1"/>
    <col min="11288" max="11289" width="11" style="78" customWidth="1"/>
    <col min="11290" max="11290" width="10" style="78" bestFit="1" customWidth="1"/>
    <col min="11291" max="11291" width="14.42578125" style="78" bestFit="1" customWidth="1"/>
    <col min="11292" max="11302" width="0" style="78" hidden="1" customWidth="1"/>
    <col min="11303" max="11523" width="9.140625" style="78"/>
    <col min="11524" max="11524" width="54.140625" style="78" bestFit="1" customWidth="1"/>
    <col min="11525" max="11525" width="14.7109375" style="78" customWidth="1"/>
    <col min="11526" max="11526" width="10.140625" style="78" customWidth="1"/>
    <col min="11527" max="11527" width="10.42578125" style="78" bestFit="1" customWidth="1"/>
    <col min="11528" max="11529" width="9.42578125" style="78" bestFit="1" customWidth="1"/>
    <col min="11530" max="11531" width="9.42578125" style="78" customWidth="1"/>
    <col min="11532" max="11532" width="10.140625" style="78" bestFit="1" customWidth="1"/>
    <col min="11533" max="11536" width="9.140625" style="78"/>
    <col min="11537" max="11537" width="7.28515625" style="78" customWidth="1"/>
    <col min="11538" max="11540" width="7.42578125" style="78" customWidth="1"/>
    <col min="11541" max="11541" width="10.42578125" style="78" bestFit="1" customWidth="1"/>
    <col min="11542" max="11542" width="12" style="78" bestFit="1" customWidth="1"/>
    <col min="11543" max="11543" width="11" style="78" bestFit="1" customWidth="1"/>
    <col min="11544" max="11545" width="11" style="78" customWidth="1"/>
    <col min="11546" max="11546" width="10" style="78" bestFit="1" customWidth="1"/>
    <col min="11547" max="11547" width="14.42578125" style="78" bestFit="1" customWidth="1"/>
    <col min="11548" max="11558" width="0" style="78" hidden="1" customWidth="1"/>
    <col min="11559" max="11779" width="9.140625" style="78"/>
    <col min="11780" max="11780" width="54.140625" style="78" bestFit="1" customWidth="1"/>
    <col min="11781" max="11781" width="14.7109375" style="78" customWidth="1"/>
    <col min="11782" max="11782" width="10.140625" style="78" customWidth="1"/>
    <col min="11783" max="11783" width="10.42578125" style="78" bestFit="1" customWidth="1"/>
    <col min="11784" max="11785" width="9.42578125" style="78" bestFit="1" customWidth="1"/>
    <col min="11786" max="11787" width="9.42578125" style="78" customWidth="1"/>
    <col min="11788" max="11788" width="10.140625" style="78" bestFit="1" customWidth="1"/>
    <col min="11789" max="11792" width="9.140625" style="78"/>
    <col min="11793" max="11793" width="7.28515625" style="78" customWidth="1"/>
    <col min="11794" max="11796" width="7.42578125" style="78" customWidth="1"/>
    <col min="11797" max="11797" width="10.42578125" style="78" bestFit="1" customWidth="1"/>
    <col min="11798" max="11798" width="12" style="78" bestFit="1" customWidth="1"/>
    <col min="11799" max="11799" width="11" style="78" bestFit="1" customWidth="1"/>
    <col min="11800" max="11801" width="11" style="78" customWidth="1"/>
    <col min="11802" max="11802" width="10" style="78" bestFit="1" customWidth="1"/>
    <col min="11803" max="11803" width="14.42578125" style="78" bestFit="1" customWidth="1"/>
    <col min="11804" max="11814" width="0" style="78" hidden="1" customWidth="1"/>
    <col min="11815" max="12035" width="9.140625" style="78"/>
    <col min="12036" max="12036" width="54.140625" style="78" bestFit="1" customWidth="1"/>
    <col min="12037" max="12037" width="14.7109375" style="78" customWidth="1"/>
    <col min="12038" max="12038" width="10.140625" style="78" customWidth="1"/>
    <col min="12039" max="12039" width="10.42578125" style="78" bestFit="1" customWidth="1"/>
    <col min="12040" max="12041" width="9.42578125" style="78" bestFit="1" customWidth="1"/>
    <col min="12042" max="12043" width="9.42578125" style="78" customWidth="1"/>
    <col min="12044" max="12044" width="10.140625" style="78" bestFit="1" customWidth="1"/>
    <col min="12045" max="12048" width="9.140625" style="78"/>
    <col min="12049" max="12049" width="7.28515625" style="78" customWidth="1"/>
    <col min="12050" max="12052" width="7.42578125" style="78" customWidth="1"/>
    <col min="12053" max="12053" width="10.42578125" style="78" bestFit="1" customWidth="1"/>
    <col min="12054" max="12054" width="12" style="78" bestFit="1" customWidth="1"/>
    <col min="12055" max="12055" width="11" style="78" bestFit="1" customWidth="1"/>
    <col min="12056" max="12057" width="11" style="78" customWidth="1"/>
    <col min="12058" max="12058" width="10" style="78" bestFit="1" customWidth="1"/>
    <col min="12059" max="12059" width="14.42578125" style="78" bestFit="1" customWidth="1"/>
    <col min="12060" max="12070" width="0" style="78" hidden="1" customWidth="1"/>
    <col min="12071" max="12291" width="9.140625" style="78"/>
    <col min="12292" max="12292" width="54.140625" style="78" bestFit="1" customWidth="1"/>
    <col min="12293" max="12293" width="14.7109375" style="78" customWidth="1"/>
    <col min="12294" max="12294" width="10.140625" style="78" customWidth="1"/>
    <col min="12295" max="12295" width="10.42578125" style="78" bestFit="1" customWidth="1"/>
    <col min="12296" max="12297" width="9.42578125" style="78" bestFit="1" customWidth="1"/>
    <col min="12298" max="12299" width="9.42578125" style="78" customWidth="1"/>
    <col min="12300" max="12300" width="10.140625" style="78" bestFit="1" customWidth="1"/>
    <col min="12301" max="12304" width="9.140625" style="78"/>
    <col min="12305" max="12305" width="7.28515625" style="78" customWidth="1"/>
    <col min="12306" max="12308" width="7.42578125" style="78" customWidth="1"/>
    <col min="12309" max="12309" width="10.42578125" style="78" bestFit="1" customWidth="1"/>
    <col min="12310" max="12310" width="12" style="78" bestFit="1" customWidth="1"/>
    <col min="12311" max="12311" width="11" style="78" bestFit="1" customWidth="1"/>
    <col min="12312" max="12313" width="11" style="78" customWidth="1"/>
    <col min="12314" max="12314" width="10" style="78" bestFit="1" customWidth="1"/>
    <col min="12315" max="12315" width="14.42578125" style="78" bestFit="1" customWidth="1"/>
    <col min="12316" max="12326" width="0" style="78" hidden="1" customWidth="1"/>
    <col min="12327" max="12547" width="9.140625" style="78"/>
    <col min="12548" max="12548" width="54.140625" style="78" bestFit="1" customWidth="1"/>
    <col min="12549" max="12549" width="14.7109375" style="78" customWidth="1"/>
    <col min="12550" max="12550" width="10.140625" style="78" customWidth="1"/>
    <col min="12551" max="12551" width="10.42578125" style="78" bestFit="1" customWidth="1"/>
    <col min="12552" max="12553" width="9.42578125" style="78" bestFit="1" customWidth="1"/>
    <col min="12554" max="12555" width="9.42578125" style="78" customWidth="1"/>
    <col min="12556" max="12556" width="10.140625" style="78" bestFit="1" customWidth="1"/>
    <col min="12557" max="12560" width="9.140625" style="78"/>
    <col min="12561" max="12561" width="7.28515625" style="78" customWidth="1"/>
    <col min="12562" max="12564" width="7.42578125" style="78" customWidth="1"/>
    <col min="12565" max="12565" width="10.42578125" style="78" bestFit="1" customWidth="1"/>
    <col min="12566" max="12566" width="12" style="78" bestFit="1" customWidth="1"/>
    <col min="12567" max="12567" width="11" style="78" bestFit="1" customWidth="1"/>
    <col min="12568" max="12569" width="11" style="78" customWidth="1"/>
    <col min="12570" max="12570" width="10" style="78" bestFit="1" customWidth="1"/>
    <col min="12571" max="12571" width="14.42578125" style="78" bestFit="1" customWidth="1"/>
    <col min="12572" max="12582" width="0" style="78" hidden="1" customWidth="1"/>
    <col min="12583" max="12803" width="9.140625" style="78"/>
    <col min="12804" max="12804" width="54.140625" style="78" bestFit="1" customWidth="1"/>
    <col min="12805" max="12805" width="14.7109375" style="78" customWidth="1"/>
    <col min="12806" max="12806" width="10.140625" style="78" customWidth="1"/>
    <col min="12807" max="12807" width="10.42578125" style="78" bestFit="1" customWidth="1"/>
    <col min="12808" max="12809" width="9.42578125" style="78" bestFit="1" customWidth="1"/>
    <col min="12810" max="12811" width="9.42578125" style="78" customWidth="1"/>
    <col min="12812" max="12812" width="10.140625" style="78" bestFit="1" customWidth="1"/>
    <col min="12813" max="12816" width="9.140625" style="78"/>
    <col min="12817" max="12817" width="7.28515625" style="78" customWidth="1"/>
    <col min="12818" max="12820" width="7.42578125" style="78" customWidth="1"/>
    <col min="12821" max="12821" width="10.42578125" style="78" bestFit="1" customWidth="1"/>
    <col min="12822" max="12822" width="12" style="78" bestFit="1" customWidth="1"/>
    <col min="12823" max="12823" width="11" style="78" bestFit="1" customWidth="1"/>
    <col min="12824" max="12825" width="11" style="78" customWidth="1"/>
    <col min="12826" max="12826" width="10" style="78" bestFit="1" customWidth="1"/>
    <col min="12827" max="12827" width="14.42578125" style="78" bestFit="1" customWidth="1"/>
    <col min="12828" max="12838" width="0" style="78" hidden="1" customWidth="1"/>
    <col min="12839" max="13059" width="9.140625" style="78"/>
    <col min="13060" max="13060" width="54.140625" style="78" bestFit="1" customWidth="1"/>
    <col min="13061" max="13061" width="14.7109375" style="78" customWidth="1"/>
    <col min="13062" max="13062" width="10.140625" style="78" customWidth="1"/>
    <col min="13063" max="13063" width="10.42578125" style="78" bestFit="1" customWidth="1"/>
    <col min="13064" max="13065" width="9.42578125" style="78" bestFit="1" customWidth="1"/>
    <col min="13066" max="13067" width="9.42578125" style="78" customWidth="1"/>
    <col min="13068" max="13068" width="10.140625" style="78" bestFit="1" customWidth="1"/>
    <col min="13069" max="13072" width="9.140625" style="78"/>
    <col min="13073" max="13073" width="7.28515625" style="78" customWidth="1"/>
    <col min="13074" max="13076" width="7.42578125" style="78" customWidth="1"/>
    <col min="13077" max="13077" width="10.42578125" style="78" bestFit="1" customWidth="1"/>
    <col min="13078" max="13078" width="12" style="78" bestFit="1" customWidth="1"/>
    <col min="13079" max="13079" width="11" style="78" bestFit="1" customWidth="1"/>
    <col min="13080" max="13081" width="11" style="78" customWidth="1"/>
    <col min="13082" max="13082" width="10" style="78" bestFit="1" customWidth="1"/>
    <col min="13083" max="13083" width="14.42578125" style="78" bestFit="1" customWidth="1"/>
    <col min="13084" max="13094" width="0" style="78" hidden="1" customWidth="1"/>
    <col min="13095" max="13315" width="9.140625" style="78"/>
    <col min="13316" max="13316" width="54.140625" style="78" bestFit="1" customWidth="1"/>
    <col min="13317" max="13317" width="14.7109375" style="78" customWidth="1"/>
    <col min="13318" max="13318" width="10.140625" style="78" customWidth="1"/>
    <col min="13319" max="13319" width="10.42578125" style="78" bestFit="1" customWidth="1"/>
    <col min="13320" max="13321" width="9.42578125" style="78" bestFit="1" customWidth="1"/>
    <col min="13322" max="13323" width="9.42578125" style="78" customWidth="1"/>
    <col min="13324" max="13324" width="10.140625" style="78" bestFit="1" customWidth="1"/>
    <col min="13325" max="13328" width="9.140625" style="78"/>
    <col min="13329" max="13329" width="7.28515625" style="78" customWidth="1"/>
    <col min="13330" max="13332" width="7.42578125" style="78" customWidth="1"/>
    <col min="13333" max="13333" width="10.42578125" style="78" bestFit="1" customWidth="1"/>
    <col min="13334" max="13334" width="12" style="78" bestFit="1" customWidth="1"/>
    <col min="13335" max="13335" width="11" style="78" bestFit="1" customWidth="1"/>
    <col min="13336" max="13337" width="11" style="78" customWidth="1"/>
    <col min="13338" max="13338" width="10" style="78" bestFit="1" customWidth="1"/>
    <col min="13339" max="13339" width="14.42578125" style="78" bestFit="1" customWidth="1"/>
    <col min="13340" max="13350" width="0" style="78" hidden="1" customWidth="1"/>
    <col min="13351" max="13571" width="9.140625" style="78"/>
    <col min="13572" max="13572" width="54.140625" style="78" bestFit="1" customWidth="1"/>
    <col min="13573" max="13573" width="14.7109375" style="78" customWidth="1"/>
    <col min="13574" max="13574" width="10.140625" style="78" customWidth="1"/>
    <col min="13575" max="13575" width="10.42578125" style="78" bestFit="1" customWidth="1"/>
    <col min="13576" max="13577" width="9.42578125" style="78" bestFit="1" customWidth="1"/>
    <col min="13578" max="13579" width="9.42578125" style="78" customWidth="1"/>
    <col min="13580" max="13580" width="10.140625" style="78" bestFit="1" customWidth="1"/>
    <col min="13581" max="13584" width="9.140625" style="78"/>
    <col min="13585" max="13585" width="7.28515625" style="78" customWidth="1"/>
    <col min="13586" max="13588" width="7.42578125" style="78" customWidth="1"/>
    <col min="13589" max="13589" width="10.42578125" style="78" bestFit="1" customWidth="1"/>
    <col min="13590" max="13590" width="12" style="78" bestFit="1" customWidth="1"/>
    <col min="13591" max="13591" width="11" style="78" bestFit="1" customWidth="1"/>
    <col min="13592" max="13593" width="11" style="78" customWidth="1"/>
    <col min="13594" max="13594" width="10" style="78" bestFit="1" customWidth="1"/>
    <col min="13595" max="13595" width="14.42578125" style="78" bestFit="1" customWidth="1"/>
    <col min="13596" max="13606" width="0" style="78" hidden="1" customWidth="1"/>
    <col min="13607" max="13827" width="9.140625" style="78"/>
    <col min="13828" max="13828" width="54.140625" style="78" bestFit="1" customWidth="1"/>
    <col min="13829" max="13829" width="14.7109375" style="78" customWidth="1"/>
    <col min="13830" max="13830" width="10.140625" style="78" customWidth="1"/>
    <col min="13831" max="13831" width="10.42578125" style="78" bestFit="1" customWidth="1"/>
    <col min="13832" max="13833" width="9.42578125" style="78" bestFit="1" customWidth="1"/>
    <col min="13834" max="13835" width="9.42578125" style="78" customWidth="1"/>
    <col min="13836" max="13836" width="10.140625" style="78" bestFit="1" customWidth="1"/>
    <col min="13837" max="13840" width="9.140625" style="78"/>
    <col min="13841" max="13841" width="7.28515625" style="78" customWidth="1"/>
    <col min="13842" max="13844" width="7.42578125" style="78" customWidth="1"/>
    <col min="13845" max="13845" width="10.42578125" style="78" bestFit="1" customWidth="1"/>
    <col min="13846" max="13846" width="12" style="78" bestFit="1" customWidth="1"/>
    <col min="13847" max="13847" width="11" style="78" bestFit="1" customWidth="1"/>
    <col min="13848" max="13849" width="11" style="78" customWidth="1"/>
    <col min="13850" max="13850" width="10" style="78" bestFit="1" customWidth="1"/>
    <col min="13851" max="13851" width="14.42578125" style="78" bestFit="1" customWidth="1"/>
    <col min="13852" max="13862" width="0" style="78" hidden="1" customWidth="1"/>
    <col min="13863" max="14083" width="9.140625" style="78"/>
    <col min="14084" max="14084" width="54.140625" style="78" bestFit="1" customWidth="1"/>
    <col min="14085" max="14085" width="14.7109375" style="78" customWidth="1"/>
    <col min="14086" max="14086" width="10.140625" style="78" customWidth="1"/>
    <col min="14087" max="14087" width="10.42578125" style="78" bestFit="1" customWidth="1"/>
    <col min="14088" max="14089" width="9.42578125" style="78" bestFit="1" customWidth="1"/>
    <col min="14090" max="14091" width="9.42578125" style="78" customWidth="1"/>
    <col min="14092" max="14092" width="10.140625" style="78" bestFit="1" customWidth="1"/>
    <col min="14093" max="14096" width="9.140625" style="78"/>
    <col min="14097" max="14097" width="7.28515625" style="78" customWidth="1"/>
    <col min="14098" max="14100" width="7.42578125" style="78" customWidth="1"/>
    <col min="14101" max="14101" width="10.42578125" style="78" bestFit="1" customWidth="1"/>
    <col min="14102" max="14102" width="12" style="78" bestFit="1" customWidth="1"/>
    <col min="14103" max="14103" width="11" style="78" bestFit="1" customWidth="1"/>
    <col min="14104" max="14105" width="11" style="78" customWidth="1"/>
    <col min="14106" max="14106" width="10" style="78" bestFit="1" customWidth="1"/>
    <col min="14107" max="14107" width="14.42578125" style="78" bestFit="1" customWidth="1"/>
    <col min="14108" max="14118" width="0" style="78" hidden="1" customWidth="1"/>
    <col min="14119" max="14339" width="9.140625" style="78"/>
    <col min="14340" max="14340" width="54.140625" style="78" bestFit="1" customWidth="1"/>
    <col min="14341" max="14341" width="14.7109375" style="78" customWidth="1"/>
    <col min="14342" max="14342" width="10.140625" style="78" customWidth="1"/>
    <col min="14343" max="14343" width="10.42578125" style="78" bestFit="1" customWidth="1"/>
    <col min="14344" max="14345" width="9.42578125" style="78" bestFit="1" customWidth="1"/>
    <col min="14346" max="14347" width="9.42578125" style="78" customWidth="1"/>
    <col min="14348" max="14348" width="10.140625" style="78" bestFit="1" customWidth="1"/>
    <col min="14349" max="14352" width="9.140625" style="78"/>
    <col min="14353" max="14353" width="7.28515625" style="78" customWidth="1"/>
    <col min="14354" max="14356" width="7.42578125" style="78" customWidth="1"/>
    <col min="14357" max="14357" width="10.42578125" style="78" bestFit="1" customWidth="1"/>
    <col min="14358" max="14358" width="12" style="78" bestFit="1" customWidth="1"/>
    <col min="14359" max="14359" width="11" style="78" bestFit="1" customWidth="1"/>
    <col min="14360" max="14361" width="11" style="78" customWidth="1"/>
    <col min="14362" max="14362" width="10" style="78" bestFit="1" customWidth="1"/>
    <col min="14363" max="14363" width="14.42578125" style="78" bestFit="1" customWidth="1"/>
    <col min="14364" max="14374" width="0" style="78" hidden="1" customWidth="1"/>
    <col min="14375" max="14595" width="9.140625" style="78"/>
    <col min="14596" max="14596" width="54.140625" style="78" bestFit="1" customWidth="1"/>
    <col min="14597" max="14597" width="14.7109375" style="78" customWidth="1"/>
    <col min="14598" max="14598" width="10.140625" style="78" customWidth="1"/>
    <col min="14599" max="14599" width="10.42578125" style="78" bestFit="1" customWidth="1"/>
    <col min="14600" max="14601" width="9.42578125" style="78" bestFit="1" customWidth="1"/>
    <col min="14602" max="14603" width="9.42578125" style="78" customWidth="1"/>
    <col min="14604" max="14604" width="10.140625" style="78" bestFit="1" customWidth="1"/>
    <col min="14605" max="14608" width="9.140625" style="78"/>
    <col min="14609" max="14609" width="7.28515625" style="78" customWidth="1"/>
    <col min="14610" max="14612" width="7.42578125" style="78" customWidth="1"/>
    <col min="14613" max="14613" width="10.42578125" style="78" bestFit="1" customWidth="1"/>
    <col min="14614" max="14614" width="12" style="78" bestFit="1" customWidth="1"/>
    <col min="14615" max="14615" width="11" style="78" bestFit="1" customWidth="1"/>
    <col min="14616" max="14617" width="11" style="78" customWidth="1"/>
    <col min="14618" max="14618" width="10" style="78" bestFit="1" customWidth="1"/>
    <col min="14619" max="14619" width="14.42578125" style="78" bestFit="1" customWidth="1"/>
    <col min="14620" max="14630" width="0" style="78" hidden="1" customWidth="1"/>
    <col min="14631" max="14851" width="9.140625" style="78"/>
    <col min="14852" max="14852" width="54.140625" style="78" bestFit="1" customWidth="1"/>
    <col min="14853" max="14853" width="14.7109375" style="78" customWidth="1"/>
    <col min="14854" max="14854" width="10.140625" style="78" customWidth="1"/>
    <col min="14855" max="14855" width="10.42578125" style="78" bestFit="1" customWidth="1"/>
    <col min="14856" max="14857" width="9.42578125" style="78" bestFit="1" customWidth="1"/>
    <col min="14858" max="14859" width="9.42578125" style="78" customWidth="1"/>
    <col min="14860" max="14860" width="10.140625" style="78" bestFit="1" customWidth="1"/>
    <col min="14861" max="14864" width="9.140625" style="78"/>
    <col min="14865" max="14865" width="7.28515625" style="78" customWidth="1"/>
    <col min="14866" max="14868" width="7.42578125" style="78" customWidth="1"/>
    <col min="14869" max="14869" width="10.42578125" style="78" bestFit="1" customWidth="1"/>
    <col min="14870" max="14870" width="12" style="78" bestFit="1" customWidth="1"/>
    <col min="14871" max="14871" width="11" style="78" bestFit="1" customWidth="1"/>
    <col min="14872" max="14873" width="11" style="78" customWidth="1"/>
    <col min="14874" max="14874" width="10" style="78" bestFit="1" customWidth="1"/>
    <col min="14875" max="14875" width="14.42578125" style="78" bestFit="1" customWidth="1"/>
    <col min="14876" max="14886" width="0" style="78" hidden="1" customWidth="1"/>
    <col min="14887" max="15107" width="9.140625" style="78"/>
    <col min="15108" max="15108" width="54.140625" style="78" bestFit="1" customWidth="1"/>
    <col min="15109" max="15109" width="14.7109375" style="78" customWidth="1"/>
    <col min="15110" max="15110" width="10.140625" style="78" customWidth="1"/>
    <col min="15111" max="15111" width="10.42578125" style="78" bestFit="1" customWidth="1"/>
    <col min="15112" max="15113" width="9.42578125" style="78" bestFit="1" customWidth="1"/>
    <col min="15114" max="15115" width="9.42578125" style="78" customWidth="1"/>
    <col min="15116" max="15116" width="10.140625" style="78" bestFit="1" customWidth="1"/>
    <col min="15117" max="15120" width="9.140625" style="78"/>
    <col min="15121" max="15121" width="7.28515625" style="78" customWidth="1"/>
    <col min="15122" max="15124" width="7.42578125" style="78" customWidth="1"/>
    <col min="15125" max="15125" width="10.42578125" style="78" bestFit="1" customWidth="1"/>
    <col min="15126" max="15126" width="12" style="78" bestFit="1" customWidth="1"/>
    <col min="15127" max="15127" width="11" style="78" bestFit="1" customWidth="1"/>
    <col min="15128" max="15129" width="11" style="78" customWidth="1"/>
    <col min="15130" max="15130" width="10" style="78" bestFit="1" customWidth="1"/>
    <col min="15131" max="15131" width="14.42578125" style="78" bestFit="1" customWidth="1"/>
    <col min="15132" max="15142" width="0" style="78" hidden="1" customWidth="1"/>
    <col min="15143" max="15363" width="9.140625" style="78"/>
    <col min="15364" max="15364" width="54.140625" style="78" bestFit="1" customWidth="1"/>
    <col min="15365" max="15365" width="14.7109375" style="78" customWidth="1"/>
    <col min="15366" max="15366" width="10.140625" style="78" customWidth="1"/>
    <col min="15367" max="15367" width="10.42578125" style="78" bestFit="1" customWidth="1"/>
    <col min="15368" max="15369" width="9.42578125" style="78" bestFit="1" customWidth="1"/>
    <col min="15370" max="15371" width="9.42578125" style="78" customWidth="1"/>
    <col min="15372" max="15372" width="10.140625" style="78" bestFit="1" customWidth="1"/>
    <col min="15373" max="15376" width="9.140625" style="78"/>
    <col min="15377" max="15377" width="7.28515625" style="78" customWidth="1"/>
    <col min="15378" max="15380" width="7.42578125" style="78" customWidth="1"/>
    <col min="15381" max="15381" width="10.42578125" style="78" bestFit="1" customWidth="1"/>
    <col min="15382" max="15382" width="12" style="78" bestFit="1" customWidth="1"/>
    <col min="15383" max="15383" width="11" style="78" bestFit="1" customWidth="1"/>
    <col min="15384" max="15385" width="11" style="78" customWidth="1"/>
    <col min="15386" max="15386" width="10" style="78" bestFit="1" customWidth="1"/>
    <col min="15387" max="15387" width="14.42578125" style="78" bestFit="1" customWidth="1"/>
    <col min="15388" max="15398" width="0" style="78" hidden="1" customWidth="1"/>
    <col min="15399" max="15619" width="9.140625" style="78"/>
    <col min="15620" max="15620" width="54.140625" style="78" bestFit="1" customWidth="1"/>
    <col min="15621" max="15621" width="14.7109375" style="78" customWidth="1"/>
    <col min="15622" max="15622" width="10.140625" style="78" customWidth="1"/>
    <col min="15623" max="15623" width="10.42578125" style="78" bestFit="1" customWidth="1"/>
    <col min="15624" max="15625" width="9.42578125" style="78" bestFit="1" customWidth="1"/>
    <col min="15626" max="15627" width="9.42578125" style="78" customWidth="1"/>
    <col min="15628" max="15628" width="10.140625" style="78" bestFit="1" customWidth="1"/>
    <col min="15629" max="15632" width="9.140625" style="78"/>
    <col min="15633" max="15633" width="7.28515625" style="78" customWidth="1"/>
    <col min="15634" max="15636" width="7.42578125" style="78" customWidth="1"/>
    <col min="15637" max="15637" width="10.42578125" style="78" bestFit="1" customWidth="1"/>
    <col min="15638" max="15638" width="12" style="78" bestFit="1" customWidth="1"/>
    <col min="15639" max="15639" width="11" style="78" bestFit="1" customWidth="1"/>
    <col min="15640" max="15641" width="11" style="78" customWidth="1"/>
    <col min="15642" max="15642" width="10" style="78" bestFit="1" customWidth="1"/>
    <col min="15643" max="15643" width="14.42578125" style="78" bestFit="1" customWidth="1"/>
    <col min="15644" max="15654" width="0" style="78" hidden="1" customWidth="1"/>
    <col min="15655" max="15875" width="9.140625" style="78"/>
    <col min="15876" max="15876" width="54.140625" style="78" bestFit="1" customWidth="1"/>
    <col min="15877" max="15877" width="14.7109375" style="78" customWidth="1"/>
    <col min="15878" max="15878" width="10.140625" style="78" customWidth="1"/>
    <col min="15879" max="15879" width="10.42578125" style="78" bestFit="1" customWidth="1"/>
    <col min="15880" max="15881" width="9.42578125" style="78" bestFit="1" customWidth="1"/>
    <col min="15882" max="15883" width="9.42578125" style="78" customWidth="1"/>
    <col min="15884" max="15884" width="10.140625" style="78" bestFit="1" customWidth="1"/>
    <col min="15885" max="15888" width="9.140625" style="78"/>
    <col min="15889" max="15889" width="7.28515625" style="78" customWidth="1"/>
    <col min="15890" max="15892" width="7.42578125" style="78" customWidth="1"/>
    <col min="15893" max="15893" width="10.42578125" style="78" bestFit="1" customWidth="1"/>
    <col min="15894" max="15894" width="12" style="78" bestFit="1" customWidth="1"/>
    <col min="15895" max="15895" width="11" style="78" bestFit="1" customWidth="1"/>
    <col min="15896" max="15897" width="11" style="78" customWidth="1"/>
    <col min="15898" max="15898" width="10" style="78" bestFit="1" customWidth="1"/>
    <col min="15899" max="15899" width="14.42578125" style="78" bestFit="1" customWidth="1"/>
    <col min="15900" max="15910" width="0" style="78" hidden="1" customWidth="1"/>
    <col min="15911" max="16131" width="9.140625" style="78"/>
    <col min="16132" max="16132" width="54.140625" style="78" bestFit="1" customWidth="1"/>
    <col min="16133" max="16133" width="14.7109375" style="78" customWidth="1"/>
    <col min="16134" max="16134" width="10.140625" style="78" customWidth="1"/>
    <col min="16135" max="16135" width="10.42578125" style="78" bestFit="1" customWidth="1"/>
    <col min="16136" max="16137" width="9.42578125" style="78" bestFit="1" customWidth="1"/>
    <col min="16138" max="16139" width="9.42578125" style="78" customWidth="1"/>
    <col min="16140" max="16140" width="10.140625" style="78" bestFit="1" customWidth="1"/>
    <col min="16141" max="16144" width="9.140625" style="78"/>
    <col min="16145" max="16145" width="7.28515625" style="78" customWidth="1"/>
    <col min="16146" max="16148" width="7.42578125" style="78" customWidth="1"/>
    <col min="16149" max="16149" width="10.42578125" style="78" bestFit="1" customWidth="1"/>
    <col min="16150" max="16150" width="12" style="78" bestFit="1" customWidth="1"/>
    <col min="16151" max="16151" width="11" style="78" bestFit="1" customWidth="1"/>
    <col min="16152" max="16153" width="11" style="78" customWidth="1"/>
    <col min="16154" max="16154" width="10" style="78" bestFit="1" customWidth="1"/>
    <col min="16155" max="16155" width="14.42578125" style="78" bestFit="1" customWidth="1"/>
    <col min="16156" max="16166" width="0" style="78" hidden="1" customWidth="1"/>
    <col min="16167" max="16384" width="9.140625" style="78"/>
  </cols>
  <sheetData>
    <row r="1" spans="1:46" s="73" customFormat="1" ht="45.75" customHeight="1" x14ac:dyDescent="0.25">
      <c r="A1" s="69" t="s">
        <v>134</v>
      </c>
      <c r="B1" s="205">
        <v>45108</v>
      </c>
      <c r="C1" s="206"/>
      <c r="D1" s="206"/>
      <c r="E1" s="206"/>
      <c r="F1" s="206"/>
      <c r="G1" s="206"/>
      <c r="H1" s="206"/>
      <c r="I1" s="206"/>
      <c r="J1" s="207"/>
      <c r="K1" s="70"/>
      <c r="L1" s="70"/>
      <c r="M1" s="70"/>
      <c r="N1" s="70"/>
      <c r="O1" s="70"/>
      <c r="P1" s="70"/>
      <c r="Q1" s="70"/>
      <c r="R1" s="70"/>
      <c r="S1" s="71"/>
      <c r="T1" s="71"/>
      <c r="U1" s="71"/>
      <c r="V1" s="72"/>
      <c r="W1" s="72"/>
      <c r="X1" s="72"/>
      <c r="Y1" s="72"/>
      <c r="Z1" s="72"/>
      <c r="AA1" s="72"/>
      <c r="AB1" s="72"/>
      <c r="AC1" s="72"/>
      <c r="AD1" s="72"/>
      <c r="AE1" s="72"/>
      <c r="AF1" s="72"/>
      <c r="AG1" s="72"/>
      <c r="AH1" s="72"/>
      <c r="AI1" s="72"/>
      <c r="AJ1" s="72"/>
      <c r="AK1" s="72"/>
      <c r="AL1" s="72"/>
    </row>
    <row r="2" spans="1:46" ht="28.5" customHeight="1" x14ac:dyDescent="0.2">
      <c r="A2" s="188" t="s">
        <v>188</v>
      </c>
      <c r="B2" s="188"/>
      <c r="C2" s="188"/>
      <c r="D2" s="188"/>
      <c r="E2" s="188"/>
      <c r="F2" s="188"/>
      <c r="G2" s="188"/>
      <c r="H2" s="188"/>
      <c r="I2" s="188"/>
      <c r="J2" s="188"/>
      <c r="K2" s="74"/>
      <c r="L2" s="75"/>
      <c r="M2" s="75"/>
      <c r="N2" s="75"/>
      <c r="O2" s="75"/>
      <c r="P2" s="75"/>
      <c r="Q2" s="75"/>
      <c r="R2" s="75"/>
      <c r="S2" s="76"/>
      <c r="T2" s="76"/>
      <c r="U2" s="76"/>
      <c r="V2" s="77"/>
      <c r="W2" s="77"/>
      <c r="X2" s="77"/>
      <c r="Y2" s="77"/>
      <c r="Z2" s="77"/>
      <c r="AA2" s="77"/>
      <c r="AB2" s="77"/>
      <c r="AC2" s="77"/>
      <c r="AD2" s="77"/>
      <c r="AE2" s="77"/>
      <c r="AF2" s="77"/>
      <c r="AG2" s="77"/>
      <c r="AH2" s="77"/>
      <c r="AI2" s="77"/>
      <c r="AJ2" s="77"/>
      <c r="AK2" s="77"/>
      <c r="AL2" s="77"/>
    </row>
    <row r="3" spans="1:46" ht="28.5" customHeight="1" x14ac:dyDescent="0.2">
      <c r="A3" s="187" t="s">
        <v>221</v>
      </c>
      <c r="B3" s="187"/>
      <c r="C3" s="187"/>
      <c r="D3" s="187"/>
      <c r="E3" s="187"/>
      <c r="F3" s="187"/>
      <c r="G3" s="187"/>
      <c r="H3" s="187"/>
      <c r="I3" s="187"/>
      <c r="J3" s="187"/>
      <c r="K3" s="74"/>
      <c r="L3" s="75"/>
      <c r="M3" s="75"/>
      <c r="N3" s="75"/>
      <c r="O3" s="75"/>
      <c r="P3" s="75"/>
      <c r="Q3" s="75"/>
      <c r="R3" s="75"/>
      <c r="S3" s="76"/>
      <c r="T3" s="76"/>
      <c r="U3" s="76"/>
      <c r="V3" s="77"/>
      <c r="W3" s="77"/>
      <c r="X3" s="77"/>
      <c r="Y3" s="77"/>
      <c r="Z3" s="77"/>
      <c r="AA3" s="77"/>
      <c r="AB3" s="77"/>
      <c r="AC3" s="77"/>
      <c r="AD3" s="77"/>
      <c r="AE3" s="77"/>
      <c r="AF3" s="77"/>
      <c r="AG3" s="77"/>
      <c r="AH3" s="77"/>
      <c r="AI3" s="77"/>
      <c r="AJ3" s="77"/>
      <c r="AK3" s="77"/>
      <c r="AL3" s="77"/>
    </row>
    <row r="4" spans="1:46" ht="28.5" customHeight="1" x14ac:dyDescent="0.2">
      <c r="A4" s="187" t="s">
        <v>223</v>
      </c>
      <c r="B4" s="187" t="s">
        <v>222</v>
      </c>
      <c r="C4" s="188"/>
      <c r="D4" s="188"/>
      <c r="E4" s="188"/>
      <c r="F4" s="188"/>
      <c r="G4" s="188"/>
      <c r="H4" s="188"/>
      <c r="I4" s="188"/>
      <c r="J4" s="188"/>
      <c r="K4" s="74"/>
      <c r="L4" s="75"/>
      <c r="M4" s="75"/>
      <c r="N4" s="75"/>
      <c r="O4" s="75"/>
      <c r="P4" s="75"/>
      <c r="Q4" s="75"/>
      <c r="R4" s="75"/>
      <c r="S4" s="76"/>
      <c r="T4" s="76"/>
      <c r="U4" s="76"/>
      <c r="V4" s="77"/>
      <c r="W4" s="77"/>
      <c r="X4" s="77"/>
      <c r="Y4" s="77"/>
      <c r="Z4" s="77"/>
      <c r="AA4" s="77"/>
      <c r="AB4" s="77"/>
      <c r="AC4" s="77"/>
      <c r="AD4" s="77"/>
      <c r="AE4" s="77"/>
      <c r="AF4" s="77"/>
      <c r="AG4" s="77"/>
      <c r="AH4" s="77"/>
      <c r="AI4" s="77"/>
      <c r="AJ4" s="77"/>
      <c r="AK4" s="77"/>
      <c r="AL4" s="77"/>
    </row>
    <row r="5" spans="1:46" ht="28.5" customHeight="1" x14ac:dyDescent="0.2">
      <c r="A5" s="189"/>
      <c r="B5" s="188"/>
      <c r="C5" s="188"/>
      <c r="D5" s="188"/>
      <c r="E5" s="188"/>
      <c r="F5" s="188"/>
      <c r="G5" s="188"/>
      <c r="H5" s="188"/>
      <c r="I5" s="188"/>
      <c r="J5" s="188"/>
      <c r="K5" s="74"/>
      <c r="L5" s="75"/>
      <c r="M5" s="75"/>
      <c r="N5" s="75"/>
      <c r="O5" s="75"/>
      <c r="P5" s="75"/>
      <c r="Q5" s="75"/>
      <c r="R5" s="75"/>
      <c r="S5" s="76"/>
      <c r="T5" s="76"/>
      <c r="U5" s="76"/>
      <c r="V5" s="77"/>
      <c r="W5" s="77"/>
      <c r="X5" s="77"/>
      <c r="Y5" s="77"/>
      <c r="Z5" s="77"/>
      <c r="AA5" s="77"/>
      <c r="AB5" s="77"/>
      <c r="AC5" s="77"/>
      <c r="AD5" s="77"/>
      <c r="AE5" s="77"/>
      <c r="AF5" s="77"/>
      <c r="AG5" s="77"/>
      <c r="AH5" s="77"/>
      <c r="AI5" s="77"/>
      <c r="AJ5" s="77"/>
      <c r="AK5" s="77"/>
      <c r="AL5" s="77"/>
    </row>
    <row r="6" spans="1:46" ht="28.5" customHeight="1" x14ac:dyDescent="0.2">
      <c r="A6" s="189"/>
      <c r="B6" s="188"/>
      <c r="C6" s="188"/>
      <c r="D6" s="188"/>
      <c r="E6" s="188"/>
      <c r="F6" s="188"/>
      <c r="G6" s="188"/>
      <c r="H6" s="188"/>
      <c r="I6" s="188"/>
      <c r="J6" s="188"/>
      <c r="K6" s="74"/>
      <c r="L6" s="75"/>
      <c r="M6" s="75"/>
      <c r="N6" s="75"/>
      <c r="O6" s="75"/>
      <c r="P6" s="75"/>
      <c r="Q6" s="75"/>
      <c r="R6" s="75"/>
      <c r="S6" s="76"/>
      <c r="T6" s="76"/>
      <c r="U6" s="76"/>
      <c r="V6" s="77"/>
      <c r="W6" s="77"/>
      <c r="X6" s="77"/>
      <c r="Y6" s="77"/>
      <c r="Z6" s="77"/>
      <c r="AA6" s="77"/>
      <c r="AB6" s="77"/>
      <c r="AC6" s="77"/>
      <c r="AD6" s="77"/>
      <c r="AE6" s="77"/>
      <c r="AF6" s="77"/>
      <c r="AG6" s="77"/>
      <c r="AH6" s="77"/>
      <c r="AI6" s="77"/>
      <c r="AJ6" s="77"/>
      <c r="AK6" s="77"/>
      <c r="AL6" s="77"/>
    </row>
    <row r="7" spans="1:46" ht="28.5" customHeight="1" x14ac:dyDescent="0.2">
      <c r="A7" s="81"/>
      <c r="B7" s="81"/>
      <c r="C7" s="81"/>
      <c r="D7" s="81"/>
      <c r="E7" s="81"/>
      <c r="F7" s="81"/>
      <c r="G7" s="81"/>
      <c r="H7" s="81"/>
      <c r="I7" s="81"/>
      <c r="J7" s="81"/>
      <c r="K7" s="74"/>
      <c r="L7" s="75"/>
      <c r="M7" s="75"/>
      <c r="N7" s="75"/>
      <c r="O7" s="75"/>
      <c r="P7" s="75"/>
      <c r="Q7" s="75"/>
      <c r="R7" s="75"/>
      <c r="S7" s="76"/>
      <c r="T7" s="76"/>
      <c r="U7" s="76"/>
      <c r="V7" s="77"/>
      <c r="W7" s="77"/>
      <c r="X7" s="77"/>
      <c r="Y7" s="77"/>
      <c r="Z7" s="77"/>
      <c r="AA7" s="77"/>
      <c r="AB7" s="77"/>
      <c r="AC7" s="77"/>
      <c r="AD7" s="77"/>
      <c r="AE7" s="77"/>
      <c r="AF7" s="77"/>
      <c r="AG7" s="77"/>
      <c r="AH7" s="77"/>
      <c r="AI7" s="77"/>
      <c r="AJ7" s="77"/>
      <c r="AK7" s="77"/>
      <c r="AL7" s="77"/>
    </row>
    <row r="8" spans="1:46" s="73" customFormat="1" ht="31.5" customHeight="1" thickBot="1" x14ac:dyDescent="0.3">
      <c r="A8" s="79"/>
      <c r="B8" s="80"/>
      <c r="C8" s="81"/>
      <c r="D8" s="81"/>
      <c r="E8" s="81"/>
      <c r="F8" s="81"/>
      <c r="G8" s="81"/>
      <c r="H8" s="81"/>
      <c r="I8" s="81"/>
      <c r="J8" s="81"/>
      <c r="K8" s="81"/>
      <c r="L8" s="81"/>
      <c r="M8" s="81"/>
      <c r="N8" s="81"/>
      <c r="O8" s="81"/>
      <c r="P8" s="81"/>
      <c r="Q8" s="81"/>
      <c r="R8" s="81"/>
      <c r="S8" s="82"/>
      <c r="T8" s="82"/>
      <c r="U8" s="82"/>
      <c r="V8" s="72"/>
      <c r="W8" s="72"/>
      <c r="X8" s="72"/>
      <c r="Y8" s="72"/>
      <c r="Z8" s="72"/>
      <c r="AA8" s="72"/>
      <c r="AB8" s="72"/>
      <c r="AC8" s="72"/>
      <c r="AD8" s="72"/>
      <c r="AE8" s="72"/>
      <c r="AF8" s="72"/>
      <c r="AG8" s="72"/>
      <c r="AH8" s="72"/>
      <c r="AI8" s="72"/>
      <c r="AJ8" s="72"/>
      <c r="AK8" s="72"/>
      <c r="AL8" s="72"/>
    </row>
    <row r="9" spans="1:46" ht="13.5" thickBot="1" x14ac:dyDescent="0.25">
      <c r="A9" s="83" t="s">
        <v>189</v>
      </c>
      <c r="B9" s="84"/>
      <c r="C9" s="85"/>
      <c r="D9" s="86"/>
      <c r="E9" s="87"/>
      <c r="F9" s="87"/>
      <c r="G9" s="87"/>
      <c r="H9" s="87"/>
      <c r="I9" s="87"/>
      <c r="J9" s="87"/>
      <c r="K9" s="81"/>
      <c r="L9" s="87"/>
      <c r="M9" s="87"/>
      <c r="N9" s="87"/>
      <c r="O9" s="87"/>
      <c r="P9" s="87"/>
      <c r="Q9" s="87"/>
      <c r="R9" s="87"/>
      <c r="S9" s="88"/>
      <c r="T9" s="88"/>
      <c r="U9" s="88"/>
      <c r="V9" s="208" t="s">
        <v>190</v>
      </c>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10"/>
    </row>
    <row r="10" spans="1:46" ht="26.25" customHeight="1" thickBot="1" x14ac:dyDescent="0.25">
      <c r="A10" s="214" t="s">
        <v>191</v>
      </c>
      <c r="B10" s="217" t="s">
        <v>192</v>
      </c>
      <c r="C10" s="220"/>
      <c r="D10" s="223" t="s">
        <v>193</v>
      </c>
      <c r="E10" s="224"/>
      <c r="F10" s="224"/>
      <c r="G10" s="224"/>
      <c r="H10" s="223" t="s">
        <v>194</v>
      </c>
      <c r="I10" s="224"/>
      <c r="J10" s="224"/>
      <c r="K10" s="224"/>
      <c r="L10" s="225"/>
      <c r="M10" s="226"/>
      <c r="N10" s="220"/>
      <c r="O10" s="230" t="s">
        <v>195</v>
      </c>
      <c r="P10" s="198" t="s">
        <v>196</v>
      </c>
      <c r="Q10" s="201" t="s">
        <v>197</v>
      </c>
      <c r="R10" s="201" t="s">
        <v>198</v>
      </c>
      <c r="S10" s="203" t="s">
        <v>199</v>
      </c>
      <c r="T10" s="220" t="s">
        <v>200</v>
      </c>
      <c r="U10" s="233" t="s">
        <v>201</v>
      </c>
      <c r="V10" s="211"/>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3"/>
    </row>
    <row r="11" spans="1:46" ht="38.25" customHeight="1" thickBot="1" x14ac:dyDescent="0.25">
      <c r="A11" s="215"/>
      <c r="B11" s="218"/>
      <c r="C11" s="221"/>
      <c r="D11" s="236" t="s">
        <v>202</v>
      </c>
      <c r="E11" s="204" t="s">
        <v>203</v>
      </c>
      <c r="F11" s="195" t="s">
        <v>204</v>
      </c>
      <c r="G11" s="195" t="s">
        <v>205</v>
      </c>
      <c r="H11" s="196" t="s">
        <v>202</v>
      </c>
      <c r="I11" s="193" t="s">
        <v>206</v>
      </c>
      <c r="J11" s="195" t="s">
        <v>207</v>
      </c>
      <c r="K11" s="195" t="s">
        <v>208</v>
      </c>
      <c r="L11" s="227"/>
      <c r="M11" s="228"/>
      <c r="N11" s="229"/>
      <c r="O11" s="231"/>
      <c r="P11" s="199"/>
      <c r="Q11" s="202"/>
      <c r="R11" s="202"/>
      <c r="S11" s="204"/>
      <c r="T11" s="221"/>
      <c r="U11" s="234"/>
      <c r="V11" s="89" t="str">
        <f>'AUTO CALCULATION SHEET (2)'!P17</f>
        <v>Copper</v>
      </c>
      <c r="W11" s="90" t="s">
        <v>85</v>
      </c>
      <c r="X11" s="90" t="s">
        <v>96</v>
      </c>
      <c r="Y11" s="90" t="s">
        <v>91</v>
      </c>
      <c r="Z11" s="90" t="s">
        <v>90</v>
      </c>
      <c r="AA11" s="90" t="str">
        <f>'AUTO CALCULATION SHEET (2)'!AF17</f>
        <v>LT-XLPE</v>
      </c>
      <c r="AB11" s="90" t="str">
        <f>'AUTO CALCULATION SHEET (2)'!AG17</f>
        <v>Type A PVC-1.45</v>
      </c>
      <c r="AC11" s="90" t="str">
        <f>'AUTO CALCULATION SHEET (2)'!AK17</f>
        <v>POLY TAPE</v>
      </c>
      <c r="AD11" s="90" t="str">
        <f>'AUTO CALCULATION SHEET (2)'!AO17</f>
        <v>PVC Type ST-1</v>
      </c>
      <c r="AE11" s="90" t="str">
        <f>'AUTO CALCULATION SHEET (2)'!AQ17</f>
        <v>PVC Type ST-2</v>
      </c>
      <c r="AF11" s="90" t="str">
        <f>'AUTO CALCULATION SHEET (2)'!BI17</f>
        <v>PVC Type ST-1</v>
      </c>
      <c r="AG11" s="90" t="str">
        <f>'AUTO CALCULATION SHEET (2)'!BJ17</f>
        <v>PVC Type ST-2</v>
      </c>
      <c r="AH11" s="158" t="s">
        <v>120</v>
      </c>
      <c r="AI11" s="90" t="s">
        <v>30</v>
      </c>
      <c r="AJ11" s="90" t="s">
        <v>39</v>
      </c>
      <c r="AK11" s="90" t="s">
        <v>54</v>
      </c>
      <c r="AL11" s="190" t="s">
        <v>209</v>
      </c>
      <c r="AM11" s="190" t="s">
        <v>210</v>
      </c>
      <c r="AN11" s="190" t="s">
        <v>211</v>
      </c>
      <c r="AO11" s="190" t="s">
        <v>212</v>
      </c>
      <c r="AP11" s="190" t="s">
        <v>213</v>
      </c>
      <c r="AQ11" s="190" t="s">
        <v>214</v>
      </c>
      <c r="AR11" s="190" t="s">
        <v>215</v>
      </c>
      <c r="AS11" s="190" t="s">
        <v>216</v>
      </c>
      <c r="AT11" s="181" t="s">
        <v>217</v>
      </c>
    </row>
    <row r="12" spans="1:46" ht="26.25" thickBot="1" x14ac:dyDescent="0.25">
      <c r="A12" s="216"/>
      <c r="B12" s="219"/>
      <c r="C12" s="222"/>
      <c r="D12" s="236"/>
      <c r="E12" s="204"/>
      <c r="F12" s="195"/>
      <c r="G12" s="195"/>
      <c r="H12" s="197"/>
      <c r="I12" s="194"/>
      <c r="J12" s="195"/>
      <c r="K12" s="195"/>
      <c r="L12" s="91" t="s">
        <v>224</v>
      </c>
      <c r="M12" s="93" t="s">
        <v>218</v>
      </c>
      <c r="N12" s="94" t="s">
        <v>219</v>
      </c>
      <c r="O12" s="232"/>
      <c r="P12" s="200"/>
      <c r="Q12" s="194"/>
      <c r="R12" s="194"/>
      <c r="S12" s="204"/>
      <c r="T12" s="222"/>
      <c r="U12" s="235"/>
      <c r="V12" s="95">
        <v>762</v>
      </c>
      <c r="W12" s="96"/>
      <c r="X12" s="97"/>
      <c r="Y12" s="97"/>
      <c r="Z12" s="97"/>
      <c r="AA12" s="97">
        <v>116</v>
      </c>
      <c r="AB12" s="97">
        <v>71</v>
      </c>
      <c r="AC12" s="97">
        <v>122</v>
      </c>
      <c r="AD12" s="97">
        <v>59</v>
      </c>
      <c r="AE12" s="97">
        <v>61</v>
      </c>
      <c r="AF12" s="97">
        <v>59</v>
      </c>
      <c r="AG12" s="97">
        <v>61</v>
      </c>
      <c r="AH12" s="98"/>
      <c r="AI12" s="96"/>
      <c r="AJ12" s="96"/>
      <c r="AK12" s="96"/>
      <c r="AL12" s="191"/>
      <c r="AM12" s="191"/>
      <c r="AN12" s="191"/>
      <c r="AO12" s="191"/>
      <c r="AP12" s="191"/>
      <c r="AQ12" s="191"/>
      <c r="AR12" s="191"/>
      <c r="AS12" s="191"/>
      <c r="AT12" s="182"/>
    </row>
    <row r="13" spans="1:46" ht="25.5" customHeight="1" thickBot="1" x14ac:dyDescent="0.25">
      <c r="A13" s="99"/>
      <c r="B13" s="99"/>
      <c r="C13" s="100"/>
      <c r="D13" s="101"/>
      <c r="E13" s="102"/>
      <c r="F13" s="103"/>
      <c r="G13" s="104"/>
      <c r="H13" s="106"/>
      <c r="I13" s="104"/>
      <c r="J13" s="107"/>
      <c r="K13" s="105"/>
      <c r="L13" s="184"/>
      <c r="M13" s="185"/>
      <c r="N13" s="186"/>
      <c r="O13" s="108"/>
      <c r="P13" s="91"/>
      <c r="Q13" s="92"/>
      <c r="R13" s="109"/>
      <c r="S13" s="110"/>
      <c r="T13" s="111"/>
      <c r="U13" s="112"/>
      <c r="V13" s="113" t="s">
        <v>220</v>
      </c>
      <c r="W13" s="114" t="s">
        <v>220</v>
      </c>
      <c r="X13" s="114" t="s">
        <v>220</v>
      </c>
      <c r="Y13" s="114" t="s">
        <v>220</v>
      </c>
      <c r="Z13" s="114" t="s">
        <v>220</v>
      </c>
      <c r="AA13" s="113" t="s">
        <v>220</v>
      </c>
      <c r="AB13" s="114" t="s">
        <v>220</v>
      </c>
      <c r="AC13" s="114" t="s">
        <v>220</v>
      </c>
      <c r="AD13" s="114" t="s">
        <v>220</v>
      </c>
      <c r="AE13" s="114" t="s">
        <v>220</v>
      </c>
      <c r="AF13" s="114" t="s">
        <v>220</v>
      </c>
      <c r="AG13" s="114" t="s">
        <v>220</v>
      </c>
      <c r="AH13" s="159"/>
      <c r="AI13" s="159"/>
      <c r="AJ13" s="159"/>
      <c r="AK13" s="159"/>
      <c r="AL13" s="192"/>
      <c r="AM13" s="192"/>
      <c r="AN13" s="192"/>
      <c r="AO13" s="192"/>
      <c r="AP13" s="192"/>
      <c r="AQ13" s="192"/>
      <c r="AR13" s="192"/>
      <c r="AS13" s="192"/>
      <c r="AT13" s="183"/>
    </row>
    <row r="14" spans="1:46" ht="20.25" customHeight="1" x14ac:dyDescent="0.2">
      <c r="A14" s="115" t="str">
        <f>'AUTO CALCULATION SHEET (2)'!D19</f>
        <v>2 CORE X 6 SQ. MM. CU/UNARD.(PVC)</v>
      </c>
      <c r="B14" s="116"/>
      <c r="C14" s="161" t="s">
        <v>225</v>
      </c>
      <c r="D14" s="118">
        <v>45145</v>
      </c>
      <c r="E14" s="160">
        <v>762365.04</v>
      </c>
      <c r="F14" s="128"/>
      <c r="G14" s="117">
        <v>150075</v>
      </c>
      <c r="H14" s="118">
        <f t="shared" ref="H14:H15" si="0">$B$1</f>
        <v>45108</v>
      </c>
      <c r="I14" s="129">
        <v>755667</v>
      </c>
      <c r="J14" s="128"/>
      <c r="K14" s="117">
        <v>150075</v>
      </c>
      <c r="L14" s="151">
        <v>0.112</v>
      </c>
      <c r="M14" s="119"/>
      <c r="N14" s="152">
        <v>0.154</v>
      </c>
      <c r="O14" s="108">
        <f>'AUTO CALCULATION SHEET (2)'!E19</f>
        <v>122097.50279999999</v>
      </c>
      <c r="P14" s="162">
        <f>L14*(E14-I14)</f>
        <v>750.1804800000042</v>
      </c>
      <c r="Q14" s="120">
        <f>(M14*(F14-J14))</f>
        <v>0</v>
      </c>
      <c r="R14" s="119">
        <f>(N14*(G14-K14))</f>
        <v>0</v>
      </c>
      <c r="S14" s="121">
        <f>P14+Q14+R14</f>
        <v>750.1804800000042</v>
      </c>
      <c r="T14" s="122">
        <f>O14+S14</f>
        <v>122847.68328</v>
      </c>
      <c r="U14" s="123"/>
      <c r="V14" s="155">
        <f>'AUTO CALCULATION SHEET (2)'!P19</f>
        <v>107</v>
      </c>
      <c r="W14" s="125"/>
      <c r="X14" s="125"/>
      <c r="Y14" s="125"/>
      <c r="Z14" s="125"/>
      <c r="AA14" s="125">
        <f>'AUTO CALCULATION SHEET (2)'!AF19</f>
        <v>0</v>
      </c>
      <c r="AB14" s="125">
        <f>'AUTO CALCULATION SHEET (2)'!AG19</f>
        <v>44</v>
      </c>
      <c r="AC14" s="125">
        <f>'AUTO CALCULATION SHEET (2)'!AK19</f>
        <v>0</v>
      </c>
      <c r="AD14" s="125">
        <f>'AUTO CALCULATION SHEET (2)'!AO19</f>
        <v>68</v>
      </c>
      <c r="AE14" s="125">
        <f>'AUTO CALCULATION SHEET (2)'!AQ19</f>
        <v>0</v>
      </c>
      <c r="AF14" s="125">
        <f>'AUTO CALCULATION SHEET (2)'!BI19</f>
        <v>130</v>
      </c>
      <c r="AG14" s="125">
        <f>'AUTO CALCULATION SHEET (2)'!BJ19</f>
        <v>0</v>
      </c>
      <c r="AH14" s="125">
        <v>0</v>
      </c>
      <c r="AI14" s="125">
        <v>0</v>
      </c>
      <c r="AJ14" s="125">
        <v>0</v>
      </c>
      <c r="AK14" s="125">
        <v>0</v>
      </c>
      <c r="AL14" s="156">
        <f>SUMPRODUCT(V14:AK14,$V$12:AK$12)</f>
        <v>96340</v>
      </c>
      <c r="AM14" s="125">
        <f>'AUTO CALCULATION SHEET (2)'!BZ19</f>
        <v>2239.7800000000002</v>
      </c>
      <c r="AN14" s="156">
        <f>AL14+AM14</f>
        <v>98579.78</v>
      </c>
      <c r="AO14" s="125">
        <f>T14-AN14</f>
        <v>24267.903279999999</v>
      </c>
      <c r="AP14" s="156">
        <f>ROUND((AO14/AN14)*100,2)</f>
        <v>24.62</v>
      </c>
      <c r="AQ14" s="125"/>
      <c r="AR14" s="125">
        <v>2</v>
      </c>
      <c r="AS14" s="125">
        <v>3</v>
      </c>
      <c r="AT14" s="157">
        <f t="shared" ref="AT14:AT15" si="1">AP14-AQ14-AR14-AS14</f>
        <v>19.62</v>
      </c>
    </row>
    <row r="15" spans="1:46" ht="26.25" customHeight="1" x14ac:dyDescent="0.2">
      <c r="A15" s="115" t="str">
        <f>'AUTO CALCULATION SHEET (2)'!D20</f>
        <v>12 CORE X 2.5 SQ. MM. CU/UNARD. (XLPE)</v>
      </c>
      <c r="B15" s="116"/>
      <c r="C15" s="161" t="s">
        <v>225</v>
      </c>
      <c r="D15" s="118">
        <v>45145</v>
      </c>
      <c r="E15" s="160">
        <v>762365.04</v>
      </c>
      <c r="F15" s="128">
        <v>147876</v>
      </c>
      <c r="G15" s="117">
        <v>150075</v>
      </c>
      <c r="H15" s="118">
        <f t="shared" si="0"/>
        <v>45108</v>
      </c>
      <c r="I15" s="129">
        <v>755667</v>
      </c>
      <c r="J15" s="128">
        <v>147876</v>
      </c>
      <c r="K15" s="117">
        <v>150075</v>
      </c>
      <c r="L15" s="151">
        <v>0.28199999999999997</v>
      </c>
      <c r="M15" s="119">
        <v>7.3999999999999996E-2</v>
      </c>
      <c r="N15" s="152">
        <v>0.33400000000000002</v>
      </c>
      <c r="O15" s="108">
        <f>'AUTO CALCULATION SHEET (2)'!E20</f>
        <v>280062.72000000003</v>
      </c>
      <c r="P15" s="162">
        <f>L15*(E15-I15)</f>
        <v>1888.8472800000104</v>
      </c>
      <c r="Q15" s="120">
        <f>(M15*(F15-J15))</f>
        <v>0</v>
      </c>
      <c r="R15" s="119">
        <f>(N15*(G15-K15))</f>
        <v>0</v>
      </c>
      <c r="S15" s="121">
        <f>P15+Q15+R15</f>
        <v>1888.8472800000104</v>
      </c>
      <c r="T15" s="122">
        <f>O15+S15</f>
        <v>281951.56728000002</v>
      </c>
      <c r="U15" s="123"/>
      <c r="V15" s="155">
        <f>'AUTO CALCULATION SHEET (2)'!P20</f>
        <v>264</v>
      </c>
      <c r="W15" s="125"/>
      <c r="X15" s="125"/>
      <c r="Y15" s="125"/>
      <c r="Z15" s="125"/>
      <c r="AA15" s="125">
        <f>'AUTO CALCULATION SHEET (2)'!AF20</f>
        <v>84</v>
      </c>
      <c r="AB15" s="125">
        <f>'AUTO CALCULATION SHEET (2)'!AG20</f>
        <v>0</v>
      </c>
      <c r="AC15" s="125">
        <f>'AUTO CALCULATION SHEET (2)'!AK20</f>
        <v>5</v>
      </c>
      <c r="AD15" s="125">
        <f>'AUTO CALCULATION SHEET (2)'!AO20</f>
        <v>0</v>
      </c>
      <c r="AE15" s="125">
        <f>'AUTO CALCULATION SHEET (2)'!AQ20</f>
        <v>40</v>
      </c>
      <c r="AF15" s="125">
        <f>'AUTO CALCULATION SHEET (2)'!BI20</f>
        <v>0</v>
      </c>
      <c r="AG15" s="125">
        <f>'AUTO CALCULATION SHEET (2)'!BJ20</f>
        <v>160</v>
      </c>
      <c r="AH15" s="124">
        <v>0</v>
      </c>
      <c r="AI15" s="124">
        <v>0</v>
      </c>
      <c r="AJ15" s="124">
        <v>0</v>
      </c>
      <c r="AK15" s="124">
        <v>0</v>
      </c>
      <c r="AL15" s="126">
        <f>SUMPRODUCT(V15:AK15,$V$12:AK$12)</f>
        <v>223722</v>
      </c>
      <c r="AM15" s="125">
        <f>'AUTO CALCULATION SHEET (2)'!BZ20</f>
        <v>2686</v>
      </c>
      <c r="AN15" s="126">
        <f>AL15+AM15</f>
        <v>226408</v>
      </c>
      <c r="AO15" s="124">
        <f>T15-AN15</f>
        <v>55543.567280000017</v>
      </c>
      <c r="AP15" s="156">
        <f>ROUND((AO15/AN15)*100,2)</f>
        <v>24.53</v>
      </c>
      <c r="AQ15" s="124"/>
      <c r="AR15" s="124">
        <v>2</v>
      </c>
      <c r="AS15" s="124">
        <v>3</v>
      </c>
      <c r="AT15" s="127">
        <f t="shared" si="1"/>
        <v>19.53</v>
      </c>
    </row>
    <row r="16" spans="1:46" s="148" customFormat="1" ht="31.5" customHeight="1" thickBot="1" x14ac:dyDescent="0.25">
      <c r="A16" s="130"/>
      <c r="B16" s="130"/>
      <c r="C16" s="131"/>
      <c r="D16" s="132"/>
      <c r="E16" s="133"/>
      <c r="F16" s="133"/>
      <c r="G16" s="134"/>
      <c r="H16" s="135"/>
      <c r="I16" s="136"/>
      <c r="J16" s="137"/>
      <c r="K16" s="137"/>
      <c r="L16" s="153"/>
      <c r="M16" s="138"/>
      <c r="N16" s="154"/>
      <c r="O16" s="139"/>
      <c r="P16" s="163"/>
      <c r="Q16" s="140"/>
      <c r="R16" s="141"/>
      <c r="S16" s="142"/>
      <c r="T16" s="143"/>
      <c r="U16" s="144"/>
      <c r="V16" s="145"/>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6"/>
      <c r="AS16" s="146"/>
      <c r="AT16" s="147"/>
    </row>
    <row r="17" spans="1:38" s="148" customFormat="1" x14ac:dyDescent="0.2">
      <c r="A17" s="77"/>
      <c r="B17" s="77"/>
      <c r="C17" s="77"/>
      <c r="D17" s="77"/>
      <c r="E17" s="149"/>
      <c r="F17" s="77"/>
      <c r="G17" s="77"/>
      <c r="H17" s="77"/>
      <c r="I17" s="77"/>
      <c r="J17" s="77"/>
    </row>
    <row r="18" spans="1:38" x14ac:dyDescent="0.2">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row>
    <row r="24" spans="1:38" x14ac:dyDescent="0.2">
      <c r="V24" s="84"/>
      <c r="W24" s="84"/>
      <c r="X24" s="84"/>
      <c r="Y24" s="84"/>
      <c r="Z24" s="84"/>
      <c r="AA24" s="84"/>
      <c r="AB24" s="84"/>
      <c r="AC24" s="84"/>
      <c r="AD24" s="84"/>
      <c r="AE24" s="84"/>
      <c r="AF24" s="84"/>
      <c r="AG24" s="84"/>
      <c r="AH24" s="84"/>
      <c r="AI24" s="84"/>
      <c r="AJ24" s="84"/>
      <c r="AK24" s="84"/>
      <c r="AL24" s="84"/>
    </row>
    <row r="25" spans="1:38" x14ac:dyDescent="0.2">
      <c r="V25" s="150"/>
      <c r="W25" s="150"/>
      <c r="X25" s="150"/>
      <c r="Y25" s="150"/>
      <c r="Z25" s="150"/>
      <c r="AA25" s="150"/>
      <c r="AB25" s="150"/>
      <c r="AC25" s="150"/>
      <c r="AD25" s="150"/>
      <c r="AE25" s="150"/>
      <c r="AF25" s="150"/>
      <c r="AG25" s="150"/>
      <c r="AH25" s="150"/>
      <c r="AI25" s="150"/>
      <c r="AJ25" s="150"/>
      <c r="AK25" s="150"/>
      <c r="AL25" s="150"/>
    </row>
  </sheetData>
  <mergeCells count="37">
    <mergeCell ref="B1:J1"/>
    <mergeCell ref="A2:J2"/>
    <mergeCell ref="V9:AT10"/>
    <mergeCell ref="A10:A12"/>
    <mergeCell ref="B10:B12"/>
    <mergeCell ref="C10:C12"/>
    <mergeCell ref="D10:G10"/>
    <mergeCell ref="H10:K10"/>
    <mergeCell ref="L10:N11"/>
    <mergeCell ref="O10:O12"/>
    <mergeCell ref="T10:T12"/>
    <mergeCell ref="U10:U12"/>
    <mergeCell ref="D11:D12"/>
    <mergeCell ref="E11:E12"/>
    <mergeCell ref="F11:F12"/>
    <mergeCell ref="G11:G12"/>
    <mergeCell ref="H11:H12"/>
    <mergeCell ref="P10:P12"/>
    <mergeCell ref="Q10:Q12"/>
    <mergeCell ref="R10:R12"/>
    <mergeCell ref="S10:S12"/>
    <mergeCell ref="AT11:AT13"/>
    <mergeCell ref="L13:N13"/>
    <mergeCell ref="B4:J6"/>
    <mergeCell ref="A4:A6"/>
    <mergeCell ref="A3:J3"/>
    <mergeCell ref="AN11:AN13"/>
    <mergeCell ref="AO11:AO13"/>
    <mergeCell ref="AP11:AP13"/>
    <mergeCell ref="AQ11:AQ13"/>
    <mergeCell ref="AR11:AR13"/>
    <mergeCell ref="AS11:AS13"/>
    <mergeCell ref="I11:I12"/>
    <mergeCell ref="J11:J12"/>
    <mergeCell ref="K11:K12"/>
    <mergeCell ref="AL11:AL13"/>
    <mergeCell ref="AM11:AM13"/>
  </mergeCells>
  <conditionalFormatting sqref="U14:U15">
    <cfRule type="cellIs" dxfId="0" priority="1" operator="greaterThan">
      <formula>20</formula>
    </cfRule>
  </conditionalFormatting>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POWER &amp; CONTROL</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2023-08-11T07:24:06Z</dcterms:modified>
</cp:coreProperties>
</file>