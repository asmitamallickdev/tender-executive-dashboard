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5_MAY 2026\JBVNL_PR-19_ACSRDOG-19376\"/>
    </mc:Choice>
  </mc:AlternateContent>
  <xr:revisionPtr revIDLastSave="0" documentId="13_ncr:1_{F97D88AA-6981-48E9-B205-9D12A2D16EC1}" xr6:coauthVersionLast="47" xr6:coauthVersionMax="47" xr10:uidLastSave="{00000000-0000-0000-0000-000000000000}"/>
  <bookViews>
    <workbookView xWindow="0" yWindow="6645" windowWidth="28770" windowHeight="8310" firstSheet="1" activeTab="1" xr2:uid="{00000000-000D-0000-FFFF-FFFF00000000}"/>
  </bookViews>
  <sheets>
    <sheet name="Sheet1" sheetId="1" state="hidden" r:id="rId1"/>
    <sheet name="AUTO CALCULATION SHEET (2)"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K20" i="4" l="1"/>
  <c r="CI25" i="4" l="1"/>
  <c r="CH25" i="4"/>
  <c r="CG25" i="4"/>
  <c r="BB25" i="4"/>
  <c r="CJ20" i="4" l="1"/>
  <c r="F25" i="4" s="1"/>
  <c r="J25" i="4" s="1"/>
  <c r="S20" i="4" l="1"/>
  <c r="S19" i="4"/>
  <c r="R20" i="4"/>
  <c r="R19" i="4"/>
  <c r="AT20" i="4"/>
  <c r="AT19" i="4"/>
  <c r="Q20" i="4"/>
  <c r="Q19" i="4"/>
  <c r="BU20" i="4"/>
  <c r="BU19" i="4"/>
  <c r="AY20" i="4"/>
  <c r="AY19" i="4"/>
  <c r="L20" i="4"/>
  <c r="K20" i="4"/>
  <c r="E25" i="4" s="1"/>
  <c r="K25" i="4" s="1"/>
  <c r="L25" i="4" s="1"/>
  <c r="M25" i="4" s="1"/>
  <c r="F20" i="4" s="1"/>
  <c r="H20" i="4"/>
  <c r="CX20" i="4"/>
  <c r="BP20" i="4" l="1"/>
  <c r="BP19" i="4"/>
  <c r="BE20" i="4" l="1"/>
  <c r="BE19" i="4"/>
  <c r="AN20" i="4" l="1"/>
  <c r="AN19" i="4"/>
  <c r="AM20" i="4"/>
  <c r="AM19" i="4"/>
  <c r="AO20" i="4"/>
  <c r="AO19" i="4"/>
  <c r="CG20" i="4" l="1"/>
  <c r="AG20" i="4" l="1"/>
  <c r="CM20" i="4" l="1"/>
  <c r="A20" i="4" l="1"/>
  <c r="W19" i="4" l="1"/>
  <c r="V19" i="4"/>
  <c r="AE20" i="4" l="1"/>
  <c r="AD20" i="4"/>
  <c r="AC20" i="4"/>
  <c r="AB20" i="4"/>
  <c r="AA20" i="4"/>
  <c r="Z20" i="4"/>
  <c r="Y20" i="4"/>
  <c r="X20" i="4"/>
  <c r="W20" i="4"/>
  <c r="V20" i="4"/>
  <c r="CF20" i="4"/>
  <c r="CE20" i="4"/>
  <c r="CD20" i="4"/>
  <c r="CC20" i="4"/>
  <c r="CB20" i="4"/>
  <c r="CA20" i="4"/>
  <c r="BZ20" i="4"/>
  <c r="BY20" i="4"/>
  <c r="CD19" i="4"/>
  <c r="CE19" i="4"/>
  <c r="CF19" i="4"/>
  <c r="CC19" i="4"/>
  <c r="CB19" i="4"/>
  <c r="CA19" i="4"/>
  <c r="BY19" i="4"/>
  <c r="BZ19" i="4"/>
  <c r="BX19" i="4"/>
  <c r="BX20" i="4"/>
  <c r="BW20" i="4"/>
  <c r="BV20" i="4"/>
  <c r="BT20" i="4"/>
  <c r="BS20" i="4"/>
  <c r="BR20" i="4"/>
  <c r="BQ20" i="4"/>
  <c r="BO20" i="4"/>
  <c r="BN20" i="4"/>
  <c r="BM20" i="4"/>
  <c r="BL20" i="4"/>
  <c r="BW19" i="4"/>
  <c r="BV19" i="4"/>
  <c r="BT19" i="4"/>
  <c r="BS19" i="4"/>
  <c r="BR19" i="4"/>
  <c r="BQ19" i="4"/>
  <c r="BO19" i="4"/>
  <c r="BN19" i="4"/>
  <c r="BM19" i="4"/>
  <c r="BL19" i="4"/>
  <c r="BK20" i="4"/>
  <c r="BJ20" i="4"/>
  <c r="BI20" i="4"/>
  <c r="BH20" i="4"/>
  <c r="BG20" i="4"/>
  <c r="BF20" i="4"/>
  <c r="BD20" i="4"/>
  <c r="BC20" i="4"/>
  <c r="BB20" i="4"/>
  <c r="BA20" i="4"/>
  <c r="BK19" i="4"/>
  <c r="BJ19" i="4"/>
  <c r="BI19" i="4"/>
  <c r="BH19" i="4"/>
  <c r="BG19" i="4"/>
  <c r="BF19" i="4"/>
  <c r="BD19" i="4"/>
  <c r="BC19" i="4"/>
  <c r="BA19" i="4"/>
  <c r="AZ19" i="4"/>
  <c r="AZ20" i="4"/>
  <c r="AX20" i="4"/>
  <c r="AW20" i="4"/>
  <c r="AV20" i="4"/>
  <c r="AU20" i="4"/>
  <c r="AS20" i="4"/>
  <c r="AR20" i="4"/>
  <c r="AX19" i="4"/>
  <c r="AW19" i="4"/>
  <c r="AV19" i="4"/>
  <c r="AU19" i="4"/>
  <c r="AS19" i="4"/>
  <c r="AR19" i="4"/>
  <c r="AQ19" i="4"/>
  <c r="AQ20" i="4"/>
  <c r="AP20" i="4"/>
  <c r="AL20" i="4"/>
  <c r="AK20" i="4"/>
  <c r="AJ20" i="4"/>
  <c r="AI20" i="4"/>
  <c r="AH20" i="4"/>
  <c r="AP19" i="4"/>
  <c r="AL19" i="4"/>
  <c r="AK19" i="4"/>
  <c r="AH19" i="4"/>
  <c r="AJ19" i="4"/>
  <c r="AI19" i="4"/>
  <c r="AG19" i="4"/>
  <c r="AF20" i="4"/>
  <c r="AF19" i="4"/>
  <c r="AE19" i="4" l="1"/>
  <c r="AD19" i="4"/>
  <c r="AC19" i="4"/>
  <c r="AB19" i="4"/>
  <c r="AA19" i="4"/>
  <c r="Z19" i="4"/>
  <c r="Y19" i="4"/>
  <c r="X19" i="4"/>
  <c r="U19" i="4" l="1"/>
  <c r="T19" i="4"/>
  <c r="P19" i="4"/>
  <c r="O19" i="4"/>
  <c r="N20" i="4"/>
  <c r="U20" i="4"/>
  <c r="T20" i="4"/>
  <c r="P20" i="4"/>
  <c r="O20" i="4"/>
  <c r="D20" i="4"/>
  <c r="C20" i="4"/>
  <c r="CL20" i="4" l="1"/>
  <c r="CN20" i="4" l="1"/>
  <c r="CP20" i="4"/>
  <c r="CR20" i="4"/>
  <c r="CS20" i="4" l="1"/>
  <c r="CY20" i="4" l="1"/>
  <c r="CU20" i="4"/>
  <c r="CW20" i="4"/>
  <c r="E20" i="4" l="1"/>
  <c r="G20" i="4" s="1"/>
  <c r="I20" i="4" l="1"/>
  <c r="J20" i="4" s="1"/>
  <c r="M2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<sst xmlns="http://schemas.openxmlformats.org/spreadsheetml/2006/main" count="297" uniqueCount="256">
  <si>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</si>
  <si>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</si>
  <si>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</si>
  <si>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</si>
  <si>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</si>
  <si>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</si>
  <si>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</si>
  <si>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</si>
  <si>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</si>
  <si>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</si>
  <si>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</si>
  <si>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</si>
  <si>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</si>
  <si>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</si>
  <si>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</si>
  <si>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</si>
  <si>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</si>
  <si>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</si>
  <si>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</si>
  <si>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</si>
  <si>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</si>
  <si>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</si>
  <si>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</si>
  <si>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</si>
  <si>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</si>
  <si>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</si>
  <si>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</si>
  <si>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</si>
  <si>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</si>
  <si>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</si>
  <si>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</si>
  <si>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</si>
  <si>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</si>
  <si>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</si>
  <si>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</si>
  <si>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</si>
  <si>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</si>
  <si>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</si>
  <si>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</si>
  <si>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</si>
  <si>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</si>
  <si>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</si>
  <si>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</si>
  <si>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</si>
  <si>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</si>
  <si>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</si>
  <si>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</si>
  <si>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</si>
  <si>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</si>
  <si>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</si>
  <si>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</si>
  <si>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</si>
  <si>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</si>
  <si>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</si>
  <si>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</si>
  <si>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</si>
  <si>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</si>
  <si>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</si>
  <si>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</si>
  <si>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</si>
  <si>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</si>
  <si>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</si>
  <si>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</si>
  <si>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</si>
  <si>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</si>
  <si>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</si>
  <si>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</si>
  <si>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</si>
  <si>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</si>
  <si>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</si>
  <si>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</si>
  <si>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</si>
  <si>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</si>
  <si>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</si>
  <si>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</si>
  <si>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</si>
  <si>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</si>
  <si>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</si>
  <si>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</si>
  <si>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</si>
  <si>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</si>
  <si>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</si>
  <si>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</si>
  <si>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</si>
  <si>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</si>
  <si>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</si>
  <si>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</si>
  <si>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</si>
  <si>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</si>
  <si>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</si>
  <si>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</si>
  <si>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</si>
  <si>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</si>
  <si>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</si>
  <si>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</si>
  <si>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</si>
  <si>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</si>
  <si>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</si>
  <si>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</si>
  <si>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</si>
  <si>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</si>
  <si>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</si>
  <si>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</si>
  <si>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</si>
  <si>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</si>
  <si>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</si>
  <si>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</si>
  <si>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</si>
  <si>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</si>
  <si>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</si>
  <si>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</si>
  <si>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</si>
  <si>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</si>
  <si>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</si>
  <si>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</si>
  <si>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</si>
  <si>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</si>
  <si>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</si>
  <si>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</si>
  <si>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</si>
  <si>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</si>
  <si>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</si>
  <si>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</si>
  <si>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</si>
  <si>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</si>
  <si>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</si>
  <si>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</si>
  <si>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</si>
  <si>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</si>
  <si>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</si>
  <si>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</si>
  <si>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</si>
  <si>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</si>
  <si>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</si>
  <si>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</si>
  <si>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</si>
  <si>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</si>
  <si>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</si>
  <si>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</si>
  <si>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</si>
  <si>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</si>
  <si>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</si>
  <si>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</si>
  <si>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</si>
  <si>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</si>
  <si>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</si>
  <si>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</si>
  <si>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</si>
  <si>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</si>
  <si>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</si>
  <si>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</si>
  <si>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</si>
  <si>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</si>
  <si>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</si>
  <si>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</si>
  <si>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</si>
  <si>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</si>
  <si>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</si>
  <si>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</si>
  <si>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</si>
  <si>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</si>
  <si>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</si>
  <si>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</si>
  <si>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</si>
  <si>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</si>
  <si>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</si>
  <si>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</si>
  <si>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</si>
  <si>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</si>
  <si>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</si>
  <si>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</si>
  <si>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</si>
  <si>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</si>
  <si>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</si>
  <si>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</si>
  <si>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</si>
  <si>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</si>
  <si>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</si>
  <si>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</si>
  <si>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</si>
  <si>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</si>
  <si>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</si>
  <si>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</si>
  <si>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</si>
  <si>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</si>
  <si>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</si>
  <si>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</si>
  <si>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</si>
  <si>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</si>
  <si>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</si>
  <si>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</si>
  <si>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</si>
  <si>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</si>
  <si>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</si>
  <si>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</si>
  <si>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</si>
  <si>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</si>
  <si>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</si>
  <si>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</si>
  <si>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</si>
  <si>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</si>
  <si>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</si>
  <si>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</si>
  <si>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</si>
  <si>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</si>
  <si>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</si>
  <si>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</si>
  <si>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</si>
  <si>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</si>
  <si>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</si>
  <si>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</si>
  <si>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</si>
  <si>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</si>
  <si>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</si>
  <si>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</si>
  <si>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</si>
  <si>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</si>
  <si>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</si>
  <si>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</si>
  <si>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</si>
  <si>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ENQ-19376-25-26</t>
  </si>
  <si>
    <t>FC6200002</t>
  </si>
  <si>
    <t>ACSR : DOG CONDUCTOR - 100 SQ. MM. (6/4.72/7/1.57)</t>
  </si>
  <si>
    <t>WOOD</t>
  </si>
  <si>
    <t>KMS</t>
  </si>
  <si>
    <t>MD0100015</t>
  </si>
  <si>
    <t>DRUM - 48 X 20 X 28 X 2.25 - RDSO</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</si>
  <si>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</si>
  <si>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</si>
  <si>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</si>
  <si>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</si>
  <si>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</si>
  <si>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</si>
  <si>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</si>
  <si>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</si>
  <si>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</si>
  <si>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</si>
  <si>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</si>
  <si>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JHARKHAND BIJLI VITRAN NIGAM LIMITED (JBVNL)</t>
  </si>
  <si>
    <t>19/PR/JBVNL/2026-27 (2026_JSEB_113059_1)</t>
  </si>
  <si>
    <t>ISI marked ACSR Dog Conductor</t>
  </si>
  <si>
    <t>05-May-2026 06:00 PM
OPENING ON 06-May-2026 06:05 PM</t>
  </si>
  <si>
    <t>Not Mention</t>
  </si>
  <si>
    <t>Rate in figures and in words must be quoted in the enclosed proforma of price part on ‘FIRM PRICE’, subject to any statutory change in due course of time, indicating therein Ex-factory price, freight element up to destination, input tax credit under section -171 of CGST/SGST act or scheme to be retained by the supplier.</t>
  </si>
  <si>
    <t>Early delivery may be preferred.
Monthly delivery schedule for tender quantity i.e. 800 Km.
1st month = Nil, 2nd month = 150 Km, 3rd month = 150 Km, 4th month = 150 Km, 5th month = 150 Km, 6th month = 100 Km, 7th month= 100 km</t>
  </si>
  <si>
    <t>Tenderer should specify the validity period of their offer which should not be less than 180 (One Hundred Eighty) days from the date of opening of tender.</t>
  </si>
  <si>
    <t>100% payment will be made by Sr. Manager, JBVNL, Headquarter, Ranchi on submission of 5% Bank Guarantee(0.5% for MSE unit of Jharkhand only) from any Nationalized/Scheduled Bank of ordered value on non-judicial stamp Rs. 100/- (Rupees hundred) only valid for Guarantee period and on receipt of SRV duly signed by the concerned consignee after receipt of the materials in good condition along with approved routine test certificate and duly filled check list for payment from Stores &amp; Purchase wing.</t>
  </si>
  <si>
    <t>Normal wire length of conductor is 1.25 Km, longer length will be acceptable (short length not less than 1 KM shall be acceptable to the maximum extent of 10% of the quantity ordered.)
No. of length in each drum ---- 1 to 4</t>
  </si>
  <si>
    <t>The conductors shall be wound in non-returnable reels of drums confirming to ISS : 1778 / 1961 Specification for reels/drums for Bare wire</t>
  </si>
  <si>
    <t>16 MT</t>
  </si>
  <si>
    <t>conductor wegiht</t>
  </si>
  <si>
    <t>drum weight</t>
  </si>
  <si>
    <t>MD0100013</t>
  </si>
  <si>
    <t>DRUM-1220 X 600 X 710</t>
  </si>
  <si>
    <t>conductor+drum weight</t>
  </si>
  <si>
    <t>truck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</si>
</sst>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1"/>
      <name val="Calibri"/>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cellStyleXfs>
  <cellXfs count="13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2" fillId="8" borderId="1" xfId="0" applyFont="1" applyFill="1" applyBorder="1" applyAlignment="1">
      <alignment vertical="top" wrapText="1"/>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164" fontId="0" fillId="0" borderId="1" xfId="1" applyFont="1" applyBorder="1" applyAlignment="1">
      <alignment vertical="center" wrapText="1"/>
    </xf>
    <xf numFmtId="0" fontId="0" fillId="0" borderId="1" xfId="0" applyBorder="1" applyAlignment="1">
      <alignment vertical="center" wrapText="1"/>
    </xf>
    <xf numFmtId="0" fontId="52"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9" sqref="D9"/>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288</v>
      </c>
      <c r="M2" s="53"/>
      <c r="N2" s="52"/>
      <c r="O2" s="52"/>
      <c r="P2" s="52">
        <v>0</v>
      </c>
      <c r="Q2" s="52"/>
      <c r="R2" s="56"/>
      <c r="S2" s="56"/>
      <c r="T2" s="56">
        <v>0</v>
      </c>
      <c r="U2" s="56"/>
      <c r="V2" s="55"/>
      <c r="W2" s="55"/>
      <c r="X2" s="55">
        <v>0</v>
      </c>
      <c r="Y2" s="55"/>
      <c r="Z2" s="1"/>
      <c r="AA2" s="1"/>
      <c r="AB2" s="1">
        <v>0</v>
      </c>
      <c r="AC2" s="1"/>
      <c r="AD2" s="54"/>
      <c r="AE2" s="54"/>
      <c r="AF2" s="54">
        <v>0</v>
      </c>
      <c r="AG2" s="54"/>
      <c r="AH2" s="55" t="s">
        <v>42</v>
      </c>
      <c r="AI2" s="55"/>
      <c r="AJ2" s="55">
        <v>106</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1774.8</v>
      </c>
      <c r="CA2" s="1">
        <v>1774.8</v>
      </c>
      <c r="CB2" s="60"/>
      <c r="CC2" s="1"/>
      <c r="CD2" s="60"/>
      <c r="CE2" s="1"/>
      <c r="CF2" s="60"/>
      <c r="CG2" s="1"/>
      <c r="CH2" s="1">
        <v>1774.8</v>
      </c>
      <c r="CI2" s="60"/>
      <c r="CJ2" s="1"/>
      <c r="CK2" s="60"/>
      <c r="CL2" s="1"/>
      <c r="CM2" s="1"/>
      <c r="CN2" s="1"/>
      <c r="CO2" s="1">
        <v>1774.8</v>
      </c>
      <c r="CP2" s="60"/>
      <c r="CQ2" s="1">
        <v>1774.8</v>
      </c>
      <c r="CR2" s="60">
        <v>0.18</v>
      </c>
      <c r="CS2" s="1">
        <v>319.45999999999998</v>
      </c>
      <c r="CT2" s="1">
        <v>2094.2600000000002</v>
      </c>
      <c r="CU2" s="59">
        <v>800</v>
      </c>
      <c r="CV2" s="59" t="s">
        <v>224</v>
      </c>
      <c r="CW2" s="59">
        <v>1675411</v>
      </c>
      <c r="CX2" s="1">
        <v>2500</v>
      </c>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2"/>
  <sheetViews>
    <sheetView showZeros="0" tabSelected="1" topLeftCell="A18" zoomScale="85" zoomScaleNormal="85" workbookViewId="0">
      <selection activeCell="H26" sqref="H26"/>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9.28515625" bestFit="1" customWidth="1"/>
    <col min="7" max="7" width="15.42578125" bestFit="1" customWidth="1"/>
    <col min="8" max="8" width="13.140625" style="5" customWidth="1"/>
    <col min="9" max="9" width="10.28515625" bestFit="1" customWidth="1"/>
    <col min="10" max="10" width="13.140625" bestFit="1" customWidth="1"/>
    <col min="11" max="11" width="10.28515625" bestFit="1" customWidth="1"/>
    <col min="12" max="12" width="10.140625" customWidth="1"/>
    <col min="13" max="13" width="15.7109375" customWidth="1"/>
    <col min="14" max="14" width="7.85546875" style="15" customWidth="1"/>
    <col min="15" max="53" width="7.85546875" style="15" hidden="1" customWidth="1"/>
    <col min="54" max="54" width="7.85546875" style="15" customWidth="1"/>
    <col min="55" max="84" width="7.85546875" style="15" hidden="1" customWidth="1"/>
    <col min="85" max="85" width="7.85546875" style="15" customWidth="1"/>
    <col min="86" max="86" width="11" style="15" customWidth="1"/>
    <col min="87" max="87" width="10.7109375" style="15" bestFit="1"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98"/>
      <c r="B1" s="98"/>
      <c r="C1" s="98"/>
      <c r="D1" s="98"/>
      <c r="E1" s="98"/>
      <c r="F1" s="98"/>
      <c r="G1" s="98"/>
      <c r="H1" s="98"/>
      <c r="I1" s="98"/>
      <c r="J1" s="98"/>
      <c r="K1" s="98"/>
      <c r="L1" s="98"/>
      <c r="M1" s="98"/>
      <c r="N1" s="98"/>
      <c r="O1" s="98"/>
      <c r="P1" s="98"/>
      <c r="Q1" s="98"/>
      <c r="R1" s="98"/>
    </row>
    <row r="2" spans="1:18" ht="23.25" thickBot="1" x14ac:dyDescent="0.5">
      <c r="A2" s="113" t="s">
        <v>238</v>
      </c>
      <c r="B2" s="114"/>
      <c r="C2" s="114"/>
      <c r="D2" s="114"/>
      <c r="E2" s="114"/>
      <c r="F2" s="114"/>
      <c r="G2" s="114"/>
      <c r="H2" s="114"/>
      <c r="I2" s="114"/>
      <c r="J2" s="114"/>
      <c r="K2" s="114"/>
      <c r="L2" s="114"/>
      <c r="M2" s="114"/>
      <c r="N2" s="114"/>
      <c r="O2" s="114"/>
      <c r="P2" s="114"/>
      <c r="Q2" s="114"/>
      <c r="R2" s="115"/>
    </row>
    <row r="3" spans="1:18" x14ac:dyDescent="0.25">
      <c r="B3"/>
      <c r="E3"/>
      <c r="H3"/>
      <c r="N3"/>
      <c r="O3"/>
      <c r="P3"/>
      <c r="Q3"/>
      <c r="R3"/>
    </row>
    <row r="4" spans="1:18" ht="45" x14ac:dyDescent="0.25">
      <c r="A4" s="99" t="s">
        <v>227</v>
      </c>
      <c r="B4" s="116" t="s">
        <v>239</v>
      </c>
      <c r="C4" s="116"/>
      <c r="D4" s="116"/>
      <c r="E4" s="116"/>
      <c r="F4" s="116"/>
      <c r="G4" s="116"/>
      <c r="H4" s="116"/>
      <c r="I4" s="116"/>
      <c r="J4" s="116"/>
      <c r="K4" s="116"/>
      <c r="L4" s="116"/>
      <c r="M4" s="116"/>
      <c r="N4" s="116"/>
      <c r="O4" s="116"/>
      <c r="P4" s="116"/>
      <c r="Q4" s="116"/>
      <c r="R4" s="116"/>
    </row>
    <row r="5" spans="1:18" ht="45" x14ac:dyDescent="0.25">
      <c r="A5" s="100" t="s">
        <v>228</v>
      </c>
      <c r="B5" s="116" t="s">
        <v>240</v>
      </c>
      <c r="C5" s="116"/>
      <c r="D5" s="116"/>
      <c r="E5" s="116"/>
      <c r="F5" s="116"/>
      <c r="G5" s="116"/>
      <c r="H5" s="116"/>
      <c r="I5" s="116"/>
      <c r="J5" s="116"/>
      <c r="K5" s="116"/>
      <c r="L5" s="116"/>
      <c r="M5" s="116"/>
      <c r="N5" s="116"/>
      <c r="O5" s="116"/>
      <c r="P5" s="116"/>
      <c r="Q5" s="116"/>
      <c r="R5" s="116"/>
    </row>
    <row r="6" spans="1:18" ht="45" x14ac:dyDescent="0.25">
      <c r="A6" s="101" t="s">
        <v>229</v>
      </c>
      <c r="B6" s="117" t="s">
        <v>241</v>
      </c>
      <c r="C6" s="116"/>
      <c r="D6" s="116"/>
      <c r="E6" s="116"/>
      <c r="F6" s="116"/>
      <c r="G6" s="116"/>
      <c r="H6" s="116"/>
      <c r="I6" s="116"/>
      <c r="J6" s="116"/>
      <c r="K6" s="116"/>
      <c r="L6" s="116"/>
      <c r="M6" s="116"/>
      <c r="N6" s="116"/>
      <c r="O6" s="116"/>
      <c r="P6" s="116"/>
      <c r="Q6" s="116"/>
      <c r="R6" s="116"/>
    </row>
    <row r="7" spans="1:18" ht="30" x14ac:dyDescent="0.25">
      <c r="A7" s="101" t="s">
        <v>230</v>
      </c>
      <c r="B7" s="117" t="s">
        <v>242</v>
      </c>
      <c r="C7" s="116"/>
      <c r="D7" s="116"/>
      <c r="E7" s="116"/>
      <c r="F7" s="116"/>
      <c r="G7" s="116"/>
      <c r="H7" s="116"/>
      <c r="I7" s="116"/>
      <c r="J7" s="116"/>
      <c r="K7" s="116"/>
      <c r="L7" s="116"/>
      <c r="M7" s="116"/>
      <c r="N7" s="116"/>
      <c r="O7" s="116"/>
      <c r="P7" s="116"/>
      <c r="Q7" s="116"/>
      <c r="R7" s="116"/>
    </row>
    <row r="8" spans="1:18" ht="36" customHeight="1" x14ac:dyDescent="0.25">
      <c r="A8" s="101" t="s">
        <v>231</v>
      </c>
      <c r="B8" s="106" t="s">
        <v>243</v>
      </c>
      <c r="C8" s="106"/>
      <c r="D8" s="106"/>
      <c r="E8" s="106"/>
      <c r="F8" s="106"/>
      <c r="G8" s="106"/>
      <c r="H8" s="106"/>
      <c r="I8" s="106"/>
      <c r="J8" s="106"/>
      <c r="K8" s="106"/>
      <c r="L8" s="106"/>
      <c r="M8" s="106"/>
      <c r="N8" s="106"/>
      <c r="O8" s="106"/>
      <c r="P8" s="106"/>
      <c r="Q8" s="106"/>
      <c r="R8" s="106"/>
    </row>
    <row r="9" spans="1:18" ht="21.75" customHeight="1" x14ac:dyDescent="0.25">
      <c r="A9" s="101" t="s">
        <v>232</v>
      </c>
      <c r="B9" s="107" t="s">
        <v>245</v>
      </c>
      <c r="C9" s="108"/>
      <c r="D9" s="108"/>
      <c r="E9" s="108"/>
      <c r="F9" s="108"/>
      <c r="G9" s="108"/>
      <c r="H9" s="108"/>
      <c r="I9" s="108"/>
      <c r="J9" s="108"/>
      <c r="K9" s="108"/>
      <c r="L9" s="108"/>
      <c r="M9" s="108"/>
      <c r="N9" s="108"/>
      <c r="O9" s="108"/>
      <c r="P9" s="108"/>
      <c r="Q9" s="108"/>
      <c r="R9" s="109"/>
    </row>
    <row r="10" spans="1:18" ht="30" x14ac:dyDescent="0.25">
      <c r="A10" s="101" t="s">
        <v>233</v>
      </c>
      <c r="B10" s="107" t="s">
        <v>244</v>
      </c>
      <c r="C10" s="108"/>
      <c r="D10" s="108"/>
      <c r="E10" s="108"/>
      <c r="F10" s="108"/>
      <c r="G10" s="108"/>
      <c r="H10" s="108"/>
      <c r="I10" s="108"/>
      <c r="J10" s="108"/>
      <c r="K10" s="108"/>
      <c r="L10" s="108"/>
      <c r="M10" s="108"/>
      <c r="N10" s="108"/>
      <c r="O10" s="108"/>
      <c r="P10" s="108"/>
      <c r="Q10" s="108"/>
      <c r="R10" s="109"/>
    </row>
    <row r="11" spans="1:18" ht="50.25" customHeight="1" x14ac:dyDescent="0.25">
      <c r="A11" s="101" t="s">
        <v>234</v>
      </c>
      <c r="B11" s="110" t="s">
        <v>246</v>
      </c>
      <c r="C11" s="111"/>
      <c r="D11" s="111"/>
      <c r="E11" s="111"/>
      <c r="F11" s="111"/>
      <c r="G11" s="111"/>
      <c r="H11" s="111"/>
      <c r="I11" s="111"/>
      <c r="J11" s="111"/>
      <c r="K11" s="111"/>
      <c r="L11" s="111"/>
      <c r="M11" s="111"/>
      <c r="N11" s="111"/>
      <c r="O11" s="111"/>
      <c r="P11" s="111"/>
      <c r="Q11" s="111"/>
      <c r="R11" s="112"/>
    </row>
    <row r="12" spans="1:18" ht="30" x14ac:dyDescent="0.25">
      <c r="A12" s="102" t="s">
        <v>235</v>
      </c>
      <c r="B12" s="105" t="s">
        <v>247</v>
      </c>
      <c r="C12" s="105"/>
      <c r="D12" s="105"/>
      <c r="E12" s="105"/>
      <c r="F12" s="105"/>
      <c r="G12" s="105"/>
      <c r="H12" s="105"/>
      <c r="I12" s="105"/>
      <c r="J12" s="105"/>
      <c r="K12" s="105"/>
      <c r="L12" s="105"/>
      <c r="M12" s="105"/>
      <c r="N12" s="105"/>
      <c r="O12" s="105"/>
      <c r="P12" s="105"/>
      <c r="Q12" s="105"/>
      <c r="R12" s="105"/>
    </row>
    <row r="13" spans="1:18" ht="24.75" customHeight="1" x14ac:dyDescent="0.25">
      <c r="A13" s="102" t="s">
        <v>236</v>
      </c>
      <c r="B13" s="105" t="s">
        <v>248</v>
      </c>
      <c r="C13" s="105"/>
      <c r="D13" s="105"/>
      <c r="E13" s="105"/>
      <c r="F13" s="105"/>
      <c r="G13" s="105"/>
      <c r="H13" s="105"/>
      <c r="I13" s="105"/>
      <c r="J13" s="105"/>
      <c r="K13" s="105"/>
      <c r="L13" s="105"/>
      <c r="M13" s="105"/>
      <c r="N13" s="105"/>
      <c r="O13" s="105"/>
      <c r="P13" s="105"/>
      <c r="Q13" s="105"/>
      <c r="R13" s="105"/>
    </row>
    <row r="14" spans="1:18" ht="30" x14ac:dyDescent="0.25">
      <c r="A14" s="103" t="s">
        <v>237</v>
      </c>
      <c r="B14" s="105"/>
      <c r="C14" s="105"/>
      <c r="D14" s="105"/>
      <c r="E14" s="105"/>
      <c r="F14" s="105"/>
      <c r="G14" s="105"/>
      <c r="H14" s="105"/>
      <c r="I14" s="105"/>
      <c r="J14" s="105"/>
      <c r="K14" s="105"/>
      <c r="L14" s="105"/>
      <c r="M14" s="105"/>
      <c r="N14" s="105"/>
      <c r="O14" s="105"/>
      <c r="P14" s="105"/>
      <c r="Q14" s="105"/>
      <c r="R14" s="105"/>
    </row>
    <row r="17" spans="1:104" s="22" customFormat="1" ht="28.9" customHeight="1" x14ac:dyDescent="0.25">
      <c r="A17" s="88"/>
      <c r="B17" s="88"/>
      <c r="C17" s="89"/>
      <c r="D17" s="89"/>
      <c r="E17" s="26"/>
      <c r="H17" s="27"/>
      <c r="N17" s="125" t="s">
        <v>82</v>
      </c>
      <c r="O17" s="125"/>
      <c r="P17" s="125"/>
      <c r="Q17" s="125"/>
      <c r="R17" s="125"/>
      <c r="S17" s="125"/>
      <c r="T17" s="125"/>
      <c r="U17" s="125"/>
      <c r="V17" s="126" t="s">
        <v>4</v>
      </c>
      <c r="W17" s="126"/>
      <c r="X17" s="127" t="s">
        <v>3</v>
      </c>
      <c r="Y17" s="127"/>
      <c r="Z17" s="127"/>
      <c r="AA17" s="127"/>
      <c r="AB17" s="127"/>
      <c r="AC17" s="127"/>
      <c r="AD17" s="127"/>
      <c r="AE17" s="127"/>
      <c r="AF17" s="128" t="s">
        <v>5</v>
      </c>
      <c r="AG17" s="128"/>
      <c r="AH17" s="129" t="s">
        <v>6</v>
      </c>
      <c r="AI17" s="129"/>
      <c r="AJ17" s="129"/>
      <c r="AK17" s="129"/>
      <c r="AL17" s="129"/>
      <c r="AM17" s="129"/>
      <c r="AN17" s="129"/>
      <c r="AO17" s="129"/>
      <c r="AP17" s="129"/>
      <c r="AQ17" s="35" t="s">
        <v>7</v>
      </c>
      <c r="AR17" s="121" t="s">
        <v>8</v>
      </c>
      <c r="AS17" s="122"/>
      <c r="AT17" s="122"/>
      <c r="AU17" s="122"/>
      <c r="AV17" s="122"/>
      <c r="AW17" s="122"/>
      <c r="AX17" s="122"/>
      <c r="AY17" s="122"/>
      <c r="AZ17" s="122"/>
      <c r="BA17" s="123" t="s">
        <v>9</v>
      </c>
      <c r="BB17" s="123"/>
      <c r="BC17" s="123"/>
      <c r="BD17" s="123"/>
      <c r="BE17" s="123"/>
      <c r="BF17" s="123"/>
      <c r="BG17" s="123"/>
      <c r="BH17" s="123"/>
      <c r="BI17" s="123"/>
      <c r="BJ17" s="123"/>
      <c r="BK17" s="123"/>
      <c r="BL17" s="124" t="s">
        <v>10</v>
      </c>
      <c r="BM17" s="124"/>
      <c r="BN17" s="124"/>
      <c r="BO17" s="124"/>
      <c r="BP17" s="124"/>
      <c r="BQ17" s="124"/>
      <c r="BR17" s="124"/>
      <c r="BS17" s="124"/>
      <c r="BT17" s="124"/>
      <c r="BU17" s="124"/>
      <c r="BV17" s="124"/>
      <c r="BW17" s="124"/>
      <c r="BX17" s="39" t="s">
        <v>11</v>
      </c>
      <c r="BY17" s="42" t="s">
        <v>12</v>
      </c>
      <c r="BZ17" s="30" t="s">
        <v>13</v>
      </c>
      <c r="CA17" s="34" t="s">
        <v>14</v>
      </c>
      <c r="CB17" s="31" t="s">
        <v>15</v>
      </c>
      <c r="CC17" s="45" t="s">
        <v>16</v>
      </c>
      <c r="CD17" s="47" t="s">
        <v>17</v>
      </c>
      <c r="CE17" s="41" t="s">
        <v>18</v>
      </c>
      <c r="CF17" s="30" t="s">
        <v>19</v>
      </c>
      <c r="CG17" s="118" t="s">
        <v>84</v>
      </c>
      <c r="CH17" s="119"/>
      <c r="CI17" s="119"/>
      <c r="CJ17" s="120"/>
      <c r="CK17" s="65" t="s">
        <v>20</v>
      </c>
      <c r="CL17" s="23" t="s">
        <v>21</v>
      </c>
      <c r="CM17" s="24" t="s">
        <v>40</v>
      </c>
      <c r="CN17" s="23" t="s">
        <v>81</v>
      </c>
      <c r="CO17" s="25"/>
      <c r="CP17" s="26"/>
      <c r="CQ17" s="27"/>
      <c r="CR17" s="26"/>
      <c r="CS17" s="26"/>
      <c r="CT17" s="27"/>
      <c r="CV17" s="27"/>
      <c r="CZ17" s="22" t="s">
        <v>126</v>
      </c>
    </row>
    <row r="18" spans="1:104"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82" t="s">
        <v>41</v>
      </c>
      <c r="O18" s="82" t="s">
        <v>46</v>
      </c>
      <c r="P18" s="82" t="s">
        <v>43</v>
      </c>
      <c r="Q18" s="82" t="s">
        <v>123</v>
      </c>
      <c r="R18" s="82" t="s">
        <v>124</v>
      </c>
      <c r="S18" s="82" t="s">
        <v>125</v>
      </c>
      <c r="T18" s="82" t="s">
        <v>44</v>
      </c>
      <c r="U18" s="82" t="s">
        <v>45</v>
      </c>
      <c r="V18" s="82" t="s">
        <v>41</v>
      </c>
      <c r="W18" s="82" t="s">
        <v>46</v>
      </c>
      <c r="X18" s="83" t="s">
        <v>53</v>
      </c>
      <c r="Y18" s="83" t="s">
        <v>57</v>
      </c>
      <c r="Z18" s="83" t="s">
        <v>60</v>
      </c>
      <c r="AA18" s="83" t="s">
        <v>65</v>
      </c>
      <c r="AB18" s="83" t="s">
        <v>69</v>
      </c>
      <c r="AC18" s="83" t="s">
        <v>71</v>
      </c>
      <c r="AD18" s="83" t="s">
        <v>73</v>
      </c>
      <c r="AE18" s="83" t="s">
        <v>75</v>
      </c>
      <c r="AF18" s="83" t="s">
        <v>52</v>
      </c>
      <c r="AG18" s="83" t="s">
        <v>56</v>
      </c>
      <c r="AH18" s="83" t="s">
        <v>51</v>
      </c>
      <c r="AI18" s="83" t="s">
        <v>47</v>
      </c>
      <c r="AJ18" s="83" t="s">
        <v>59</v>
      </c>
      <c r="AK18" s="83" t="s">
        <v>64</v>
      </c>
      <c r="AL18" s="83" t="s">
        <v>68</v>
      </c>
      <c r="AM18" s="83" t="s">
        <v>87</v>
      </c>
      <c r="AN18" s="83" t="s">
        <v>88</v>
      </c>
      <c r="AO18" s="83" t="s">
        <v>86</v>
      </c>
      <c r="AP18" s="83" t="s">
        <v>94</v>
      </c>
      <c r="AQ18" s="84" t="s">
        <v>7</v>
      </c>
      <c r="AR18" s="83" t="s">
        <v>54</v>
      </c>
      <c r="AS18" s="83" t="s">
        <v>58</v>
      </c>
      <c r="AT18" s="83" t="s">
        <v>63</v>
      </c>
      <c r="AU18" s="83" t="s">
        <v>61</v>
      </c>
      <c r="AV18" s="83" t="s">
        <v>66</v>
      </c>
      <c r="AW18" s="83" t="s">
        <v>70</v>
      </c>
      <c r="AX18" s="83" t="s">
        <v>48</v>
      </c>
      <c r="AY18" s="83" t="s">
        <v>122</v>
      </c>
      <c r="AZ18" s="83" t="s">
        <v>74</v>
      </c>
      <c r="BA18" s="83" t="s">
        <v>55</v>
      </c>
      <c r="BB18" s="83" t="s">
        <v>42</v>
      </c>
      <c r="BC18" s="83" t="s">
        <v>62</v>
      </c>
      <c r="BD18" s="83" t="s">
        <v>67</v>
      </c>
      <c r="BE18" s="83" t="s">
        <v>89</v>
      </c>
      <c r="BF18" s="83" t="s">
        <v>72</v>
      </c>
      <c r="BG18" s="83" t="s">
        <v>49</v>
      </c>
      <c r="BH18" s="83" t="s">
        <v>76</v>
      </c>
      <c r="BI18" s="83" t="s">
        <v>77</v>
      </c>
      <c r="BJ18" s="83" t="s">
        <v>78</v>
      </c>
      <c r="BK18" s="83" t="s">
        <v>80</v>
      </c>
      <c r="BL18" s="83" t="s">
        <v>54</v>
      </c>
      <c r="BM18" s="83" t="s">
        <v>58</v>
      </c>
      <c r="BN18" s="83" t="s">
        <v>63</v>
      </c>
      <c r="BO18" s="83" t="s">
        <v>61</v>
      </c>
      <c r="BP18" s="83" t="s">
        <v>90</v>
      </c>
      <c r="BQ18" s="83" t="s">
        <v>95</v>
      </c>
      <c r="BR18" s="83" t="s">
        <v>91</v>
      </c>
      <c r="BS18" s="83" t="s">
        <v>66</v>
      </c>
      <c r="BT18" s="83" t="s">
        <v>48</v>
      </c>
      <c r="BU18" s="83" t="s">
        <v>122</v>
      </c>
      <c r="BV18" s="83" t="s">
        <v>74</v>
      </c>
      <c r="BW18" s="83" t="s">
        <v>79</v>
      </c>
      <c r="BX18" s="84" t="s">
        <v>11</v>
      </c>
      <c r="BY18" s="84" t="s">
        <v>50</v>
      </c>
      <c r="BZ18" s="85" t="s">
        <v>13</v>
      </c>
      <c r="CA18" s="86" t="s">
        <v>14</v>
      </c>
      <c r="CB18" s="85" t="s">
        <v>15</v>
      </c>
      <c r="CC18" s="85" t="s">
        <v>16</v>
      </c>
      <c r="CD18" s="85" t="s">
        <v>17</v>
      </c>
      <c r="CE18" s="86" t="s">
        <v>18</v>
      </c>
      <c r="CF18" s="85" t="s">
        <v>19</v>
      </c>
      <c r="CG18" s="69" t="s">
        <v>83</v>
      </c>
      <c r="CH18" s="69" t="s">
        <v>92</v>
      </c>
      <c r="CI18" s="69" t="s">
        <v>93</v>
      </c>
      <c r="CJ18" s="69"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61"/>
      <c r="C19" s="16"/>
      <c r="D19" s="16"/>
      <c r="E19" s="3"/>
      <c r="F19" s="77"/>
      <c r="G19" s="64"/>
      <c r="H19" s="3"/>
      <c r="I19" s="3"/>
      <c r="J19" s="3"/>
      <c r="K19" s="78"/>
      <c r="L19" s="3"/>
      <c r="M19" s="3"/>
      <c r="N19" s="17">
        <v>392</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+IFERROR(VLOOKUP($W$18,Sheet1!N:O,2,0),0)</f>
        <v>0</v>
      </c>
      <c r="X19" s="18">
        <f>+IFERROR(VLOOKUP($X$18,Sheet1!F:I,2,0),0)</f>
        <v>0</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+IFERROR(VLOOKUP($AF$18,Sheet1!R:U,2,0),0)</f>
        <v>0</v>
      </c>
      <c r="AG19" s="18">
        <f>+IFERROR(VLOOKUP($AG$18,Sheet1!R:U,2,0),0)</f>
        <v>0</v>
      </c>
      <c r="AH19" s="18">
        <f>+IFERROR(VLOOKUP($AH$18,Sheet1!V:Y,2,0),0)</f>
        <v>0</v>
      </c>
      <c r="AI19" s="18">
        <f>+IFERROR(VLOOKUP($AI$18,Sheet1!V:Y,2,0),0)</f>
        <v>0</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+IFERROR(VLOOKUP($BA$18,Sheet1!AH2:AK840,2,0),0)</f>
        <v>0</v>
      </c>
      <c r="BB19" s="18">
        <v>102</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f>+IFERROR(VLOOKUP($BX$18,Sheet1!AP2:AS840,2,0),0)</f>
        <v>0</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f>+IFERROR(VLOOKUP($CE$18,Sheet1!BR2:BU840,2,0),0)</f>
        <v>0</v>
      </c>
      <c r="CF19" s="20">
        <f>+IFERROR(VLOOKUP($CF$18,Sheet1!BV2:BY840,2,0),0)</f>
        <v>0</v>
      </c>
      <c r="CG19" s="66"/>
      <c r="CH19" s="66"/>
      <c r="CI19" s="66"/>
      <c r="CJ19" s="66"/>
      <c r="CO19" s="3"/>
      <c r="CP19" s="3"/>
      <c r="CQ19" s="3"/>
      <c r="CR19" s="3"/>
      <c r="CS19" s="3"/>
      <c r="CT19" s="3"/>
      <c r="CU19" s="3"/>
      <c r="CV19" s="3"/>
      <c r="CW19" s="3"/>
      <c r="CX19" s="3"/>
      <c r="CY19" s="3"/>
    </row>
    <row r="20" spans="1:104" s="22" customFormat="1" ht="30" x14ac:dyDescent="0.25">
      <c r="A20" s="6" t="str">
        <f>Sheet1!A2</f>
        <v>ENQ-19376-25-26</v>
      </c>
      <c r="B20" s="87">
        <v>46144</v>
      </c>
      <c r="C20" s="6" t="str">
        <f>Sheet1!C2</f>
        <v>FC6200002</v>
      </c>
      <c r="D20" s="6" t="str">
        <f>Sheet1!D2</f>
        <v>ACSR : DOG CONDUCTOR - 100 SQ. MM. (6/4.72/7/1.57)</v>
      </c>
      <c r="E20" s="23">
        <f>CS20+CU20+CW20+CY20</f>
        <v>149339.25760000001</v>
      </c>
      <c r="F20" s="104">
        <f>ROUNDUP(M25,0)</f>
        <v>1093</v>
      </c>
      <c r="G20" s="28">
        <f>E20+F20</f>
        <v>150432.25760000001</v>
      </c>
      <c r="H20" s="29">
        <f>Sheet1!CR2</f>
        <v>0.18</v>
      </c>
      <c r="I20" s="28">
        <f>G20*H20</f>
        <v>27077.806368000001</v>
      </c>
      <c r="J20" s="28">
        <f>G20+I20</f>
        <v>177510.063968</v>
      </c>
      <c r="K20" s="79">
        <f>Sheet1!CU2</f>
        <v>800</v>
      </c>
      <c r="L20" s="76" t="str">
        <f>Sheet1!CV2</f>
        <v>KMS</v>
      </c>
      <c r="M20" s="23">
        <f>J20*K20</f>
        <v>142008051.1744</v>
      </c>
      <c r="N20" s="71">
        <f>+IFERROR(VLOOKUP($N$18,Sheet1!J2:L2,3,0),0)</f>
        <v>288</v>
      </c>
      <c r="O20" s="71">
        <f>+IFERROR(VLOOKUP($O$18,Sheet1!J2:L2,3,0),0)</f>
        <v>0</v>
      </c>
      <c r="P20" s="71">
        <f>+IFERROR(VLOOKUP($P$18,Sheet1!J2:M2,3,0),0)</f>
        <v>0</v>
      </c>
      <c r="Q20" s="71">
        <f>+IFERROR(VLOOKUP($Q$18,Sheet1!J2:M2,3,0),0)</f>
        <v>0</v>
      </c>
      <c r="R20" s="71">
        <f>+IFERROR(VLOOKUP($R$18,Sheet1!J2:M2,3,0),0)</f>
        <v>0</v>
      </c>
      <c r="S20" s="71">
        <f>+IFERROR(VLOOKUP($S$18,Sheet1!J2:M2,3,0),0)</f>
        <v>0</v>
      </c>
      <c r="T20" s="71">
        <f>+IFERROR(VLOOKUP($T$18,Sheet1!J2:M2,3,0),0)</f>
        <v>0</v>
      </c>
      <c r="U20" s="71">
        <f>+IFERROR(VLOOKUP($U$18,Sheet1!J2:M2,3,0),0)</f>
        <v>0</v>
      </c>
      <c r="V20" s="72">
        <f>+IFERROR(VLOOKUP($V$18,Sheet1!N2:Q2,3,0),0)</f>
        <v>0</v>
      </c>
      <c r="W20" s="72">
        <f>+IFERROR(VLOOKUP($W$18,Sheet1!N2:Q2,3,0),0)</f>
        <v>0</v>
      </c>
      <c r="X20" s="73">
        <f>+IFERROR(VLOOKUP($X$18,Sheet1!F2:I2,3,0),0)</f>
        <v>0</v>
      </c>
      <c r="Y20" s="73">
        <f>+IFERROR(VLOOKUP($Y$18,Sheet1!F2:I2,3,0),0)</f>
        <v>0</v>
      </c>
      <c r="Z20" s="73">
        <f>+IFERROR(VLOOKUP($Z$18,Sheet1!F2:I2,3,0),0)</f>
        <v>0</v>
      </c>
      <c r="AA20" s="73">
        <f>+IFERROR(VLOOKUP($AA$18,Sheet1!F2:I2,3,0),0)</f>
        <v>0</v>
      </c>
      <c r="AB20" s="73">
        <f>+IFERROR(VLOOKUP($AB$18,Sheet1!F2:I2,3,0),0)</f>
        <v>0</v>
      </c>
      <c r="AC20" s="73">
        <f>+IFERROR(VLOOKUP($AC$18,Sheet1!F2:I2,3,0),0)</f>
        <v>0</v>
      </c>
      <c r="AD20" s="73">
        <f>+IFERROR(VLOOKUP($AD$18,Sheet1!F2:I2,3,0),0)</f>
        <v>0</v>
      </c>
      <c r="AE20" s="73">
        <f>+IFERROR(VLOOKUP($AE$18,Sheet1!F2:I2,3,0),0)</f>
        <v>0</v>
      </c>
      <c r="AF20" s="74">
        <f>+IFERROR(VLOOKUP($AF$18,Sheet1!R2:U2,3,0),0)</f>
        <v>0</v>
      </c>
      <c r="AG20" s="32">
        <f>+IFERROR(VLOOKUP($AG$18,Sheet1!R2:U2,3,0),0)</f>
        <v>0</v>
      </c>
      <c r="AH20" s="75">
        <f>+IFERROR(VLOOKUP($AH$18,Sheet1!V2:Y2,3,0),0)</f>
        <v>0</v>
      </c>
      <c r="AI20" s="33">
        <f>+IFERROR(VLOOKUP($AI$18,Sheet1!V2:Y2,3,0),0)</f>
        <v>0</v>
      </c>
      <c r="AJ20" s="33">
        <f>+IFERROR(VLOOKUP($AJ$18,Sheet1!V2:Y2,3,0),0)</f>
        <v>0</v>
      </c>
      <c r="AK20" s="33">
        <f>+IFERROR(VLOOKUP($AK$18,Sheet1!V2:Y2,3,0),0)</f>
        <v>0</v>
      </c>
      <c r="AL20" s="33">
        <f>+IFERROR(VLOOKUP($AL$18,Sheet1!V2:Y2,3,0),0)</f>
        <v>0</v>
      </c>
      <c r="AM20" s="33">
        <f>+IFERROR(VLOOKUP($AM$18,Sheet1!V2:Y2,3,0),0)</f>
        <v>0</v>
      </c>
      <c r="AN20" s="33">
        <f>+IFERROR(VLOOKUP($AN$18,Sheet1!V2:Y2,3,0),0)</f>
        <v>0</v>
      </c>
      <c r="AO20" s="33">
        <f>+IFERROR(VLOOKUP($AO$18,Sheet1!V2:Y2,3,0),0)</f>
        <v>0</v>
      </c>
      <c r="AP20" s="33">
        <f>+IFERROR(VLOOKUP($AP$18,Sheet1!V2:Y2,3,0),0)</f>
        <v>0</v>
      </c>
      <c r="AQ20" s="36">
        <f>+IFERROR(VLOOKUP($AQ$18,Sheet1!Z2:AB2,3,0),0)</f>
        <v>0</v>
      </c>
      <c r="AR20" s="37">
        <f>+IFERROR(VLOOKUP($AR$18,Sheet1!AD2:AG2,3,0),0)</f>
        <v>0</v>
      </c>
      <c r="AS20" s="37">
        <f>+IFERROR(VLOOKUP($AS$18,Sheet1!AD2:AG2,3,0),0)</f>
        <v>0</v>
      </c>
      <c r="AT20" s="37">
        <f>+IFERROR(VLOOKUP($AT$18,Sheet1!AD2:AG2,3,0),0)</f>
        <v>0</v>
      </c>
      <c r="AU20" s="37">
        <f>+IFERROR(VLOOKUP($AU$18,Sheet1!AD2:AG2,3,0),0)</f>
        <v>0</v>
      </c>
      <c r="AV20" s="37">
        <f>+IFERROR(VLOOKUP($AV$18,Sheet1!AD2:AG2,3,0),0)</f>
        <v>0</v>
      </c>
      <c r="AW20" s="37">
        <f>+IFERROR(VLOOKUP($AW$18,Sheet1!AD2:AG2,3,0),0)</f>
        <v>0</v>
      </c>
      <c r="AX20" s="37">
        <f>+IFERROR(VLOOKUP($AX$18,Sheet1!AD2:AG2,3,0),0)</f>
        <v>0</v>
      </c>
      <c r="AY20" s="37">
        <f>+IFERROR(VLOOKUP($AY$18,Sheet1!AD2:AG2,3,0),0)</f>
        <v>0</v>
      </c>
      <c r="AZ20" s="37">
        <f>+IFERROR(VLOOKUP($AZ$18,Sheet1!AD2:AG2,3,0),0)</f>
        <v>0</v>
      </c>
      <c r="BA20" s="36">
        <f>+IFERROR(VLOOKUP($BA$18,Sheet1!AH2:AK2,3,0),0)</f>
        <v>0</v>
      </c>
      <c r="BB20" s="36">
        <f>+IFERROR(VLOOKUP($BB$18,Sheet1!AH2:AK2,3,0),0)</f>
        <v>106</v>
      </c>
      <c r="BC20" s="36">
        <f>+IFERROR(VLOOKUP($BC$18,Sheet1!AH2:AK2,3,0),0)</f>
        <v>0</v>
      </c>
      <c r="BD20" s="36">
        <f>+IFERROR(VLOOKUP($BD$18,Sheet1!AH2:AK2,3,0),0)</f>
        <v>0</v>
      </c>
      <c r="BE20" s="36">
        <f>+IFERROR(VLOOKUP($BE$18,Sheet1!AH2:AK2,3,0),0)</f>
        <v>0</v>
      </c>
      <c r="BF20" s="36">
        <f>+IFERROR(VLOOKUP($BF$18,Sheet1!AH2:AK2,3,0),0)</f>
        <v>0</v>
      </c>
      <c r="BG20" s="36">
        <f>+IFERROR(VLOOKUP($BG$18,Sheet1!AH2:AK2,3,0),0)</f>
        <v>0</v>
      </c>
      <c r="BH20" s="36">
        <f>+IFERROR(VLOOKUP($BH$18,Sheet1!AH2:AK2,3,0),0)</f>
        <v>0</v>
      </c>
      <c r="BI20" s="36">
        <f>+IFERROR(VLOOKUP($BI$18,Sheet1!AH2:AK2,3,0),0)</f>
        <v>0</v>
      </c>
      <c r="BJ20" s="36">
        <f>+IFERROR(VLOOKUP($BJ$18,Sheet1!AH2:AK2,3,0),0)</f>
        <v>0</v>
      </c>
      <c r="BK20" s="36">
        <f>+IFERROR(VLOOKUP($BK$18,Sheet1!AH2:AK2,3,0),0)</f>
        <v>0</v>
      </c>
      <c r="BL20" s="9">
        <f>+IFERROR(VLOOKUP($BL$18,Sheet1!AL2:AO2,3,0),0)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40">
        <f>+IFERROR(VLOOKUP($BX$18,Sheet1!AP2:AS2,3,0),0)</f>
        <v>0</v>
      </c>
      <c r="BY20" s="43">
        <f>+IFERROR(VLOOKUP($BY$18,Sheet1!AT2:AW2,3,0),0)</f>
        <v>0</v>
      </c>
      <c r="BZ20" s="44">
        <f>+IFERROR(VLOOKUP($BZ$18,Sheet1!AX2:BA2,3,0),0)</f>
        <v>0</v>
      </c>
      <c r="CA20" s="46">
        <f>+IFERROR(VLOOKUP($CA$18,Sheet1!BB2:BE2,3,0),0)</f>
        <v>0</v>
      </c>
      <c r="CB20" s="48">
        <f>+IFERROR(VLOOKUP($CB$18,Sheet1!BF2:BI2,3,0),0)</f>
        <v>0</v>
      </c>
      <c r="CC20" s="49">
        <f>+IFERROR(VLOOKUP($CC$18,Sheet1!BJ2:BM2,3,0),0)</f>
        <v>0</v>
      </c>
      <c r="CD20" s="50">
        <f>+IFERROR(VLOOKUP($CD$18,Sheet1!BN2:BQ2,3,0),0)</f>
        <v>0</v>
      </c>
      <c r="CE20" s="38">
        <f>+IFERROR(VLOOKUP($CE$18,Sheet1!BR2:BU2,3,0),0)</f>
        <v>0</v>
      </c>
      <c r="CF20" s="44">
        <f>+IFERROR(VLOOKUP($CF$18,Sheet1!BV2:BY2,3,0),0)</f>
        <v>0</v>
      </c>
      <c r="CG20" s="67" t="str">
        <f>Sheet1!E2</f>
        <v>WOOD</v>
      </c>
      <c r="CH20" s="68" t="s">
        <v>252</v>
      </c>
      <c r="CI20" s="68" t="s">
        <v>253</v>
      </c>
      <c r="CJ20" s="68">
        <f>Sheet1!CX2</f>
        <v>2500</v>
      </c>
      <c r="CK20" s="23">
        <f>2894/2.5</f>
        <v>1157.5999999999999</v>
      </c>
      <c r="CL20" s="23">
        <f>SUMPRODUCT($N$19:$CF$19,N20:CF20)+CK20</f>
        <v>124865.60000000001</v>
      </c>
      <c r="CM20" s="24">
        <f>Sheet1!CB2</f>
        <v>0</v>
      </c>
      <c r="CN20" s="23">
        <f>CL20*CM20</f>
        <v>0</v>
      </c>
      <c r="CO20" s="95">
        <v>0.15</v>
      </c>
      <c r="CP20" s="23">
        <f>CL20*CO20</f>
        <v>18729.84</v>
      </c>
      <c r="CQ20" s="95">
        <v>0</v>
      </c>
      <c r="CR20" s="23">
        <f>CL20*CQ20</f>
        <v>0</v>
      </c>
      <c r="CS20" s="23">
        <f>CL20+CN20+CP20+CR20</f>
        <v>143595.44</v>
      </c>
      <c r="CT20" s="95">
        <v>0.02</v>
      </c>
      <c r="CU20" s="6">
        <f>CS20*CT20</f>
        <v>2871.9088000000002</v>
      </c>
      <c r="CV20" s="95">
        <v>0.02</v>
      </c>
      <c r="CW20" s="6">
        <f>CS20*CV20</f>
        <v>2871.9088000000002</v>
      </c>
      <c r="CX20" s="95">
        <f>Sheet1!CM2</f>
        <v>0</v>
      </c>
      <c r="CY20" s="6">
        <f>CX20*CS20</f>
        <v>0</v>
      </c>
    </row>
    <row r="24" spans="1:104" ht="45" x14ac:dyDescent="0.25">
      <c r="E24" s="1" t="s">
        <v>127</v>
      </c>
      <c r="F24" s="1" t="s">
        <v>128</v>
      </c>
      <c r="G24" s="90" t="s">
        <v>129</v>
      </c>
      <c r="H24" s="1" t="s">
        <v>130</v>
      </c>
      <c r="I24" s="1" t="s">
        <v>131</v>
      </c>
      <c r="J24" s="1" t="s">
        <v>132</v>
      </c>
      <c r="K24" s="1" t="s">
        <v>133</v>
      </c>
      <c r="L24" s="1" t="s">
        <v>134</v>
      </c>
      <c r="M24" s="91" t="s">
        <v>135</v>
      </c>
      <c r="BB24" s="15" t="s">
        <v>250</v>
      </c>
      <c r="CG24" s="15" t="s">
        <v>251</v>
      </c>
      <c r="CH24" s="15" t="s">
        <v>254</v>
      </c>
      <c r="CI24" s="15" t="s">
        <v>255</v>
      </c>
    </row>
    <row r="25" spans="1:104" x14ac:dyDescent="0.25">
      <c r="E25" s="92">
        <f>K20</f>
        <v>800</v>
      </c>
      <c r="F25" s="93">
        <f>CJ20/1000</f>
        <v>2.5</v>
      </c>
      <c r="G25" s="90" t="s">
        <v>249</v>
      </c>
      <c r="H25" s="94">
        <v>38000</v>
      </c>
      <c r="I25" s="93">
        <v>14</v>
      </c>
      <c r="J25" s="90">
        <f>F25*I25</f>
        <v>35</v>
      </c>
      <c r="K25" s="90">
        <f>ROUNDUP((E25/J25),0)</f>
        <v>23</v>
      </c>
      <c r="L25" s="90">
        <f>H25*K25</f>
        <v>874000</v>
      </c>
      <c r="M25" s="96">
        <f>L25/E25</f>
        <v>1092.5</v>
      </c>
      <c r="BB25" s="15">
        <f>N20+BB20</f>
        <v>394</v>
      </c>
      <c r="CG25" s="15">
        <f>125+25</f>
        <v>150</v>
      </c>
      <c r="CH25" s="15">
        <f>((BB25*F25)+CG25)</f>
        <v>1135</v>
      </c>
      <c r="CI25" s="15">
        <f>CH25*I25</f>
        <v>15890</v>
      </c>
    </row>
    <row r="26" spans="1:104" x14ac:dyDescent="0.25">
      <c r="M26" s="97"/>
    </row>
    <row r="27" spans="1:104" x14ac:dyDescent="0.25">
      <c r="M27" s="97"/>
    </row>
    <row r="28" spans="1:104" x14ac:dyDescent="0.25">
      <c r="M28" s="97"/>
    </row>
    <row r="29" spans="1:104" x14ac:dyDescent="0.25">
      <c r="M29" s="97"/>
    </row>
    <row r="30" spans="1:104" x14ac:dyDescent="0.25">
      <c r="M30" s="97"/>
    </row>
    <row r="31" spans="1:104" x14ac:dyDescent="0.25">
      <c r="M31" s="97"/>
    </row>
    <row r="32" spans="1:104"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sheetData>
  <mergeCells count="21">
    <mergeCell ref="CG17:CJ17"/>
    <mergeCell ref="AR17:AZ17"/>
    <mergeCell ref="BA17:BK17"/>
    <mergeCell ref="BL17:BW17"/>
    <mergeCell ref="N17:U17"/>
    <mergeCell ref="V17:W17"/>
    <mergeCell ref="X17:AE17"/>
    <mergeCell ref="AF17:AG17"/>
    <mergeCell ref="AH17:AP17"/>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2026-05-04T04:27:39Z</dcterms:modified>
</cp:coreProperties>
</file>