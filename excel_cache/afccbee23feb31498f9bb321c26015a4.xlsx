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WBPDCL-CC-11204\"/>
    </mc:Choice>
  </mc:AlternateContent>
  <bookViews>
    <workbookView xWindow="0" yWindow="0" windowWidth="20055" windowHeight="9510" firstSheet="1" activeTab="1"/>
  </bookViews>
  <sheets>
    <sheet name="Sheet1" sheetId="1" state="hidden" r:id="rId1"/>
    <sheet name="AUTO CALCULATION SHEET (2)" sheetId="4" r:id="rId2"/>
  </sheets>
  <definedNames>
    <definedName name="_xlnm._FilterDatabase" localSheetId="0" hidden="1">Sheet1!$A$1:$CU$1</definedName>
  </definedNames>
  <calcPr calcId="162913"/>
</workbook>
</file>

<file path=xl/calcChain.xml><?xml version="1.0" encoding="utf-8"?>
<calcChain xmlns="http://schemas.openxmlformats.org/spreadsheetml/2006/main">
  <c r="F20" i="4" l="1"/>
  <c r="F19" i="4"/>
  <c r="F21" i="4"/>
  <c r="K32" i="4" l="1"/>
  <c r="K33" i="4"/>
  <c r="K31" i="4"/>
  <c r="H32" i="4"/>
  <c r="H33" i="4"/>
  <c r="H31" i="4"/>
  <c r="E32" i="4"/>
  <c r="F32" i="4"/>
  <c r="G32" i="4" s="1"/>
  <c r="E33" i="4"/>
  <c r="F33" i="4"/>
  <c r="G33" i="4" s="1"/>
  <c r="G31" i="4"/>
  <c r="F31" i="4"/>
  <c r="E31" i="4"/>
  <c r="A32" i="4"/>
  <c r="B32" i="4"/>
  <c r="C32" i="4"/>
  <c r="D32" i="4"/>
  <c r="A33" i="4"/>
  <c r="B33" i="4"/>
  <c r="C33" i="4"/>
  <c r="D33" i="4"/>
  <c r="D31" i="4"/>
  <c r="C31" i="4"/>
  <c r="B31" i="4"/>
  <c r="A31" i="4"/>
  <c r="Q18" i="4"/>
  <c r="I31" i="4" l="1"/>
  <c r="J31" i="4"/>
  <c r="M31" i="4" s="1"/>
  <c r="I32" i="4"/>
  <c r="J32" i="4"/>
  <c r="M32" i="4" s="1"/>
  <c r="I33" i="4"/>
  <c r="J33" i="4"/>
  <c r="M33" i="4" s="1"/>
  <c r="K3" i="1"/>
  <c r="K4" i="1"/>
  <c r="K2" i="1"/>
  <c r="F25" i="4" l="1"/>
  <c r="J25" i="4"/>
  <c r="F26" i="4"/>
  <c r="J26" i="4"/>
  <c r="F24" i="4"/>
  <c r="J24" i="4" s="1"/>
  <c r="BY17" i="4" l="1"/>
  <c r="A20" i="4" l="1"/>
  <c r="B20" i="4"/>
  <c r="C20" i="4"/>
  <c r="D20" i="4"/>
  <c r="D25" i="4" s="1"/>
  <c r="H20" i="4"/>
  <c r="K20" i="4"/>
  <c r="E25" i="4" s="1"/>
  <c r="K25" i="4" s="1"/>
  <c r="M25" i="4" s="1"/>
  <c r="L25" i="4" s="1"/>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CB20" i="4"/>
  <c r="A21" i="4"/>
  <c r="B21" i="4"/>
  <c r="C21" i="4"/>
  <c r="D21" i="4"/>
  <c r="D26" i="4" s="1"/>
  <c r="H21" i="4"/>
  <c r="K21" i="4"/>
  <c r="E26" i="4" s="1"/>
  <c r="K26" i="4" s="1"/>
  <c r="M26" i="4" s="1"/>
  <c r="L26" i="4" s="1"/>
  <c r="L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G21" i="4"/>
  <c r="BH21" i="4"/>
  <c r="BI21" i="4"/>
  <c r="BJ21" i="4"/>
  <c r="BK21" i="4"/>
  <c r="BL21" i="4"/>
  <c r="BM21" i="4"/>
  <c r="BN21" i="4"/>
  <c r="BO21" i="4"/>
  <c r="BP21" i="4"/>
  <c r="BQ21" i="4"/>
  <c r="BR21" i="4"/>
  <c r="BS21" i="4"/>
  <c r="BT21" i="4"/>
  <c r="BU21" i="4"/>
  <c r="BV21" i="4"/>
  <c r="CB21" i="4"/>
  <c r="B19" i="4" l="1"/>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E18" i="4"/>
  <c r="BD18" i="4"/>
  <c r="BC18" i="4"/>
  <c r="BB19" i="4"/>
  <c r="BA19" i="4"/>
  <c r="AZ19" i="4"/>
  <c r="AY19" i="4"/>
  <c r="AX19" i="4"/>
  <c r="AW19" i="4"/>
  <c r="AV19" i="4"/>
  <c r="AU19" i="4"/>
  <c r="AT19" i="4"/>
  <c r="AS19" i="4"/>
  <c r="BB18" i="4"/>
  <c r="AZ18" i="4"/>
  <c r="AY18" i="4"/>
  <c r="AX18" i="4"/>
  <c r="AW18" i="4"/>
  <c r="AV18" i="4"/>
  <c r="AU18" i="4"/>
  <c r="AT18" i="4"/>
  <c r="AS18" i="4"/>
  <c r="AR18" i="4"/>
  <c r="AR19" i="4"/>
  <c r="AQ19" i="4"/>
  <c r="AP19" i="4"/>
  <c r="AO19" i="4"/>
  <c r="AN19" i="4"/>
  <c r="AM19" i="4"/>
  <c r="AL19" i="4"/>
  <c r="AQ18" i="4"/>
  <c r="AP18" i="4"/>
  <c r="AO18" i="4"/>
  <c r="AM18" i="4"/>
  <c r="AL18" i="4"/>
  <c r="AK19" i="4"/>
  <c r="AJ19" i="4"/>
  <c r="AI19" i="4"/>
  <c r="AH19" i="4"/>
  <c r="AG19" i="4"/>
  <c r="AF19" i="4"/>
  <c r="AE19" i="4"/>
  <c r="AJ18" i="4"/>
  <c r="AI18" i="4"/>
  <c r="AH18" i="4"/>
  <c r="AE18" i="4"/>
  <c r="AG18" i="4"/>
  <c r="AF18" i="4"/>
  <c r="AD18" i="4"/>
  <c r="AD19" i="4"/>
  <c r="AC19" i="4"/>
  <c r="AC18" i="4"/>
  <c r="N18" i="4"/>
  <c r="AB18" i="4" l="1"/>
  <c r="AA18" i="4"/>
  <c r="Z18" i="4"/>
  <c r="Y18" i="4"/>
  <c r="X18" i="4"/>
  <c r="W18" i="4"/>
  <c r="V18" i="4"/>
  <c r="U18" i="4"/>
  <c r="R18" i="4" l="1"/>
  <c r="P18" i="4"/>
  <c r="O18" i="4"/>
  <c r="N19" i="4"/>
  <c r="R19" i="4"/>
  <c r="Q19" i="4"/>
  <c r="P19" i="4"/>
  <c r="O19" i="4"/>
  <c r="N16" i="4"/>
  <c r="L19" i="4"/>
  <c r="K19" i="4"/>
  <c r="E24" i="4" s="1"/>
  <c r="K24" i="4" s="1"/>
  <c r="M24" i="4" s="1"/>
  <c r="L24" i="4" s="1"/>
  <c r="H19" i="4"/>
  <c r="CB19" i="4"/>
  <c r="D19" i="4"/>
  <c r="D24" i="4" s="1"/>
  <c r="C19" i="4"/>
  <c r="A19" i="4"/>
  <c r="CA21" i="4" l="1"/>
  <c r="CA20" i="4"/>
  <c r="CA19" i="4"/>
  <c r="CE20" i="4" l="1"/>
  <c r="CG20" i="4"/>
  <c r="CC20" i="4"/>
  <c r="CC21" i="4"/>
  <c r="CG21" i="4"/>
  <c r="CE21" i="4"/>
  <c r="CC19" i="4"/>
  <c r="CE19" i="4"/>
  <c r="CG19" i="4"/>
  <c r="CH20" i="4" l="1"/>
  <c r="CL20" i="4" s="1"/>
  <c r="CH21" i="4"/>
  <c r="CH19" i="4"/>
  <c r="CJ20" i="4" l="1"/>
  <c r="E20" i="4" s="1"/>
  <c r="G20" i="4" s="1"/>
  <c r="I20" i="4" s="1"/>
  <c r="J20" i="4" s="1"/>
  <c r="M20" i="4" s="1"/>
  <c r="CJ21" i="4"/>
  <c r="CL21" i="4"/>
  <c r="CJ19" i="4"/>
  <c r="CL19" i="4"/>
  <c r="E21" i="4" l="1"/>
  <c r="G21" i="4" s="1"/>
  <c r="I21" i="4" s="1"/>
  <c r="J21" i="4" s="1"/>
  <c r="M21" i="4" s="1"/>
  <c r="E19" i="4"/>
  <c r="G19" i="4" l="1"/>
  <c r="I19" i="4" s="1"/>
  <c r="J19" i="4" s="1"/>
  <c r="M19" i="4" s="1"/>
</calcChain>
</file>

<file path=xl/comments1.xml><?xml version="1.0" encoding="utf-8"?>
<comments xmlns="http://schemas.openxmlformats.org/spreadsheetml/2006/main">
  <authors>
    <author>Author</author>
  </authors>
  <commentList>
    <comment ref="I23"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<sst xmlns="http://schemas.openxmlformats.org/spreadsheetml/2006/main" count="299" uniqueCount="201">
  <si>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</si>
  <si>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</si>
  <si>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</si>
  <si>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</si>
  <si>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</si>
  <si>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</si>
  <si>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</si>
  <si>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</si>
  <si>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</si>
  <si>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</si>
  <si>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</si>
  <si>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</si>
  <si>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</si>
  <si>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</si>
  <si>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</si>
  <si>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</si>
  <si>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</si>
  <si>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</si>
  <si>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</si>
  <si>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</si>
  <si>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</si>
  <si>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</si>
  <si>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</si>
  <si>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</si>
  <si>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</si>
  <si>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</si>
  <si>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</si>
  <si>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</si>
  <si>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</si>
  <si>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</si>
  <si>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</si>
  <si>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</si>
  <si>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</si>
  <si>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</si>
  <si>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</si>
  <si>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</si>
  <si>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</si>
  <si>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</si>
  <si>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</si>
  <si>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</si>
  <si>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</si>
  <si>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</si>
  <si>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</si>
  <si>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</si>
  <si>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</si>
  <si>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</si>
  <si>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</si>
  <si>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</si>
  <si>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</si>
  <si>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</si>
  <si>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</si>
  <si>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</si>
  <si>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</si>
  <si>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</si>
  <si>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</si>
  <si>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</si>
  <si>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</si>
  <si>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</si>
  <si>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</si>
  <si>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</si>
  <si>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</si>
  <si>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</si>
  <si>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</si>
  <si>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</si>
  <si>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</si>
  <si>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</si>
  <si>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</si>
  <si>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</si>
  <si>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</si>
  <si>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</si>
  <si>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</si>
  <si>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</si>
  <si>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</si>
  <si>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</si>
  <si>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</si>
  <si>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</si>
  <si>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</si>
  <si>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</si>
  <si>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</si>
  <si>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</si>
  <si>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</si>
  <si>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</si>
  <si>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</si>
  <si>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</si>
  <si>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</si>
  <si>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</si>
  <si>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</si>
  <si>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</si>
  <si>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</si>
  <si>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</si>
  <si>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</si>
  <si>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</si>
  <si>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</si>
  <si>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</si>
  <si>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</si>
  <si>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</si>
  <si>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</si>
  <si>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</si>
  <si>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</si>
  <si>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</si>
  <si>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</si>
  <si>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</si>
  <si>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</si>
  <si>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</si>
  <si>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</si>
  <si>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</si>
  <si>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</si>
  <si>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</si>
  <si>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</si>
  <si>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</si>
  <si>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</si>
  <si>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</si>
  <si>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</si>
  <si>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</si>
  <si>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</si>
  <si>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</si>
  <si>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</si>
  <si>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</si>
  <si>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</si>
  <si>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</si>
  <si>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</si>
  <si>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</si>
  <si>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</si>
  <si>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</si>
  <si>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</si>
  <si>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</si>
  <si>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</si>
  <si>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</si>
  <si>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</si>
  <si>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</si>
  <si>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</si>
  <si>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</si>
  <si>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</si>
  <si>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</si>
  <si>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</si>
  <si>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</si>
  <si>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</si>
  <si>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</si>
  <si>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THE WEST BENGAL POWER DEVELOPMENT CORPORATION LIMITED</t>
  </si>
  <si>
    <t>WBPDCL/KTPS/NIT/E-2662/23-24.</t>
  </si>
  <si>
    <t>Procurement of 1.1 KV, copper armoured PVC control cables for KTPS through CAPEX-2023-24.</t>
  </si>
  <si>
    <t>25.09.2023 up to 15.00 Hrs.</t>
  </si>
  <si>
    <t>Not Mention.</t>
  </si>
  <si>
    <t>100% payment will be made within 45 days from the date of submission of bill in triplicate with receipted challan, signed GRN and PBG (10 % of Basic value of PO ) to Sr.Manager (Purchase),KTPS. 
PBG shall remain valid for 24 months from the date of last material receipt at KTPS with additional claim period of 03 months.</t>
  </si>
  <si>
    <t>All materials should be ready within the next 06 months for factory acceptance tests. FAT call should be raised at least 21 days in advance and local transit should be arranged by the vendor. The purchaser may ask for remote FAT and the vendor must have the necessary infrastructure for doing so.
Complete delivery should be done within 01 month.</t>
  </si>
  <si>
    <t>Bid shall remain open for acceptance by the Owner for a period of 120 (One hundred twenty) days, from the date of opening of the Bid. During this period the Bidder shall not withdraw or amend his Bid.</t>
  </si>
  <si>
    <t>The quoted prices shall remain firm till completion of the contract.
Firm, F.O.R.at Kolaghat Thermal Power Station.</t>
  </si>
  <si>
    <t>The Cables shall be wound on a drum (Ref. IS: 10418-1972 and its amendments) of suitable size and packed. The ends of cable shall be sealed by means of non-hygroscopic sealing material. The Cables shall be packed in non-returnable wooden drums. The wooden drums should be bearing distinguishing number with following information duly stenciled on the outer side of one flange.</t>
  </si>
  <si>
    <t>9CX2.5MM2 - Drum length of 1300+1300 meter.
16CX1.5 SQMM - Drum length of 1500+1300 meter.
5CX1.5 MM2 - Drum length of 1300+1600+1600+1300+900+900+900 meter.</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</si>
  <si>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</si>
  <si>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</si>
  <si>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</si>
  <si>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</si>
  <si>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</si>
  <si>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</si>
  <si>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</si>
  <si>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</si>
  <si>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</si>
  <si>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</si>
  <si>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</si>
  <si>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</si>
  <si>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</si>
  <si>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</si>
  <si>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</si>
  <si>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</si>
  <si>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</si>
  <si>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</si>
  <si>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</si>
  <si>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ENQ-11204-22-23</t>
  </si>
  <si>
    <t>FA0200049</t>
  </si>
  <si>
    <t>9 CORE X 2.5 SQ. MM. CU/ARD - WIRE (PVC)</t>
  </si>
  <si>
    <t>WOOD</t>
  </si>
  <si>
    <t>KMS</t>
  </si>
  <si>
    <t>MD0100005</t>
  </si>
  <si>
    <t>DRUM - 36 X 14 X 23 X 2</t>
  </si>
  <si>
    <t>FA0200068</t>
  </si>
  <si>
    <t>16 CORE X 1.5 SQ. MM. CU/ARD - WIRE (PVC)</t>
  </si>
  <si>
    <t>MD0100066</t>
  </si>
  <si>
    <t>DRUM - 40 X 15 X 23 X 2</t>
  </si>
  <si>
    <t>FA0200015</t>
  </si>
  <si>
    <t>5 CORE X 1.5 SQ. MM. CU/ARD - WIRE (PVC)</t>
  </si>
  <si>
    <t>MD0100003</t>
  </si>
  <si>
    <t>DRUM - 28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</si>
  <si>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</si>
  <si>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</si>
  <si>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</si>
  <si>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</si>
  <si>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</si>
  <si>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</si>
  <si>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</si>
  <si>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</si>
  <si>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</si>
  <si>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</si>
  <si>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MD0100135</t>
  </si>
  <si>
    <t>DRUM - 48 X 12 X 38 X 2.25</t>
  </si>
  <si>
    <t>Tinned Copper</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</si>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</sst>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0.000%"/>
    <numFmt numFmtId="165" formatCode="_(* #,##0.00_);_(* \(#,##0.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8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3" fillId="8" borderId="1" xfId="0" applyFont="1" applyFill="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10" fillId="0" borderId="1" xfId="0" applyFont="1" applyFill="1" applyBorder="1" applyAlignment="1">
      <alignment horizontal="left" vertical="top"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165" fontId="0" fillId="0" borderId="1" xfId="0" applyNumberFormat="1" applyBorder="1" applyAlignment="1">
      <alignment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Y1" workbookViewId="0">
      <selection activeCell="AM2" sqref="AM2:AM4"/>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21" width="8.85546875" customWidth="1"/>
    <col min="22" max="22" width="12.140625" bestFit="1" customWidth="1"/>
    <col min="23" max="29" width="8.85546875" customWidth="1"/>
    <col min="30" max="30" width="14.5703125" bestFit="1" customWidth="1"/>
    <col min="31" max="33" width="8.85546875" customWidth="1"/>
    <col min="34" max="34" width="27.140625" bestFit="1" customWidth="1"/>
    <col min="35" max="37" width="8.85546875" customWidth="1"/>
    <col min="38" max="38" width="15" bestFit="1" customWidth="1"/>
    <col min="39"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167</v>
      </c>
    </row>
    <row r="2" spans="1:102" ht="25.5" x14ac:dyDescent="0.25">
      <c r="A2" t="s">
        <v>168</v>
      </c>
      <c r="B2" s="58">
        <v>45188</v>
      </c>
      <c r="C2" t="s">
        <v>169</v>
      </c>
      <c r="D2" t="s">
        <v>170</v>
      </c>
      <c r="E2" t="s">
        <v>171</v>
      </c>
      <c r="J2" t="s">
        <v>195</v>
      </c>
      <c r="K2">
        <f>749+100</f>
        <v>849</v>
      </c>
      <c r="L2">
        <v>198</v>
      </c>
      <c r="M2">
        <v>148302</v>
      </c>
      <c r="P2">
        <v>0</v>
      </c>
      <c r="T2">
        <v>0</v>
      </c>
      <c r="V2" s="24" t="s">
        <v>106</v>
      </c>
      <c r="W2">
        <v>104</v>
      </c>
      <c r="X2">
        <v>117</v>
      </c>
      <c r="Y2">
        <v>8605.35</v>
      </c>
      <c r="Z2" t="s">
        <v>18</v>
      </c>
      <c r="AA2">
        <v>122.4</v>
      </c>
      <c r="AB2">
        <v>4</v>
      </c>
      <c r="AC2">
        <v>489.6</v>
      </c>
      <c r="AD2" s="24" t="s">
        <v>99</v>
      </c>
      <c r="AE2">
        <v>107</v>
      </c>
      <c r="AF2">
        <v>33</v>
      </c>
      <c r="AG2">
        <v>1948.98</v>
      </c>
      <c r="AH2" t="s">
        <v>119</v>
      </c>
      <c r="AI2">
        <v>89.02</v>
      </c>
      <c r="AJ2">
        <v>388</v>
      </c>
      <c r="AK2">
        <v>34539.760000000002</v>
      </c>
      <c r="AL2" s="24" t="s">
        <v>99</v>
      </c>
      <c r="AM2">
        <v>107</v>
      </c>
      <c r="AN2">
        <v>140</v>
      </c>
      <c r="AO2">
        <v>8268.4</v>
      </c>
      <c r="AR2">
        <v>0</v>
      </c>
      <c r="AV2">
        <v>0</v>
      </c>
      <c r="AZ2">
        <v>0</v>
      </c>
      <c r="BD2">
        <v>0</v>
      </c>
      <c r="BH2">
        <v>0</v>
      </c>
      <c r="BL2">
        <v>0</v>
      </c>
      <c r="BP2">
        <v>0</v>
      </c>
      <c r="BT2">
        <v>0</v>
      </c>
      <c r="BX2">
        <v>0</v>
      </c>
      <c r="BZ2">
        <v>4610.79</v>
      </c>
      <c r="CA2">
        <v>206764.88</v>
      </c>
      <c r="CH2">
        <v>206764.88</v>
      </c>
      <c r="CM2">
        <v>206764.88</v>
      </c>
      <c r="CN2">
        <v>6538.46</v>
      </c>
      <c r="CO2">
        <v>213303.34</v>
      </c>
      <c r="CP2" s="59">
        <v>0.18</v>
      </c>
      <c r="CQ2">
        <v>38394.6</v>
      </c>
      <c r="CR2">
        <v>251697.94</v>
      </c>
      <c r="CS2">
        <v>2.6</v>
      </c>
      <c r="CT2" t="s">
        <v>172</v>
      </c>
      <c r="CU2" s="60">
        <v>654415</v>
      </c>
      <c r="CV2" t="s">
        <v>173</v>
      </c>
      <c r="CW2" t="s">
        <v>174</v>
      </c>
    </row>
    <row r="3" spans="1:102" ht="25.5" x14ac:dyDescent="0.25">
      <c r="A3" t="s">
        <v>168</v>
      </c>
      <c r="B3" s="58">
        <v>45188</v>
      </c>
      <c r="C3" t="s">
        <v>175</v>
      </c>
      <c r="D3" t="s">
        <v>176</v>
      </c>
      <c r="E3" t="s">
        <v>171</v>
      </c>
      <c r="J3" t="s">
        <v>195</v>
      </c>
      <c r="K3">
        <f t="shared" ref="K3:K4" si="0">749+100</f>
        <v>849</v>
      </c>
      <c r="L3">
        <v>212.8</v>
      </c>
      <c r="M3">
        <v>159387.20000000001</v>
      </c>
      <c r="P3">
        <v>0</v>
      </c>
      <c r="T3">
        <v>0</v>
      </c>
      <c r="V3" s="24" t="s">
        <v>106</v>
      </c>
      <c r="W3">
        <v>104</v>
      </c>
      <c r="X3">
        <v>152</v>
      </c>
      <c r="Y3">
        <v>11179.6</v>
      </c>
      <c r="Z3" t="s">
        <v>18</v>
      </c>
      <c r="AA3">
        <v>122.4</v>
      </c>
      <c r="AB3">
        <v>5</v>
      </c>
      <c r="AC3">
        <v>612</v>
      </c>
      <c r="AD3" s="24" t="s">
        <v>99</v>
      </c>
      <c r="AE3">
        <v>107</v>
      </c>
      <c r="AF3">
        <v>38</v>
      </c>
      <c r="AG3">
        <v>2244.2800000000002</v>
      </c>
      <c r="AH3" t="s">
        <v>119</v>
      </c>
      <c r="AI3">
        <v>89.02</v>
      </c>
      <c r="AJ3">
        <v>509</v>
      </c>
      <c r="AK3">
        <v>45311.18</v>
      </c>
      <c r="AL3" s="24" t="s">
        <v>99</v>
      </c>
      <c r="AM3">
        <v>107</v>
      </c>
      <c r="AN3">
        <v>169</v>
      </c>
      <c r="AO3">
        <v>9981.14</v>
      </c>
      <c r="AR3">
        <v>0</v>
      </c>
      <c r="AV3">
        <v>0</v>
      </c>
      <c r="AZ3">
        <v>0</v>
      </c>
      <c r="BD3">
        <v>0</v>
      </c>
      <c r="BH3">
        <v>0</v>
      </c>
      <c r="BL3">
        <v>0</v>
      </c>
      <c r="BP3">
        <v>0</v>
      </c>
      <c r="BT3">
        <v>0</v>
      </c>
      <c r="BX3">
        <v>0</v>
      </c>
      <c r="BZ3">
        <v>5151.4799999999996</v>
      </c>
      <c r="CA3">
        <v>233866.88</v>
      </c>
      <c r="CH3">
        <v>233866.88</v>
      </c>
      <c r="CM3">
        <v>233866.88</v>
      </c>
      <c r="CN3">
        <v>6071.43</v>
      </c>
      <c r="CO3">
        <v>239938.31</v>
      </c>
      <c r="CP3" s="59">
        <v>0.18</v>
      </c>
      <c r="CQ3">
        <v>43188.9</v>
      </c>
      <c r="CR3">
        <v>283127.2</v>
      </c>
      <c r="CS3">
        <v>2.8</v>
      </c>
      <c r="CT3" t="s">
        <v>172</v>
      </c>
      <c r="CU3" s="60">
        <v>792756</v>
      </c>
      <c r="CV3" t="s">
        <v>177</v>
      </c>
      <c r="CW3" t="s">
        <v>178</v>
      </c>
    </row>
    <row r="4" spans="1:102" ht="25.5" x14ac:dyDescent="0.25">
      <c r="A4" t="s">
        <v>168</v>
      </c>
      <c r="B4" s="58">
        <v>45188</v>
      </c>
      <c r="C4" t="s">
        <v>179</v>
      </c>
      <c r="D4" t="s">
        <v>180</v>
      </c>
      <c r="E4" t="s">
        <v>171</v>
      </c>
      <c r="J4" t="s">
        <v>195</v>
      </c>
      <c r="K4">
        <f t="shared" si="0"/>
        <v>849</v>
      </c>
      <c r="L4">
        <v>67</v>
      </c>
      <c r="M4">
        <v>50183</v>
      </c>
      <c r="P4">
        <v>0</v>
      </c>
      <c r="T4">
        <v>0</v>
      </c>
      <c r="V4" s="24" t="s">
        <v>106</v>
      </c>
      <c r="W4">
        <v>104</v>
      </c>
      <c r="X4">
        <v>48</v>
      </c>
      <c r="Y4">
        <v>3530.4</v>
      </c>
      <c r="Z4" t="s">
        <v>18</v>
      </c>
      <c r="AA4">
        <v>122.4</v>
      </c>
      <c r="AB4">
        <v>4</v>
      </c>
      <c r="AC4">
        <v>489.6</v>
      </c>
      <c r="AD4" s="24" t="s">
        <v>99</v>
      </c>
      <c r="AE4">
        <v>107</v>
      </c>
      <c r="AF4">
        <v>24</v>
      </c>
      <c r="AG4">
        <v>1417.44</v>
      </c>
      <c r="AH4" t="s">
        <v>119</v>
      </c>
      <c r="AI4">
        <v>89.02</v>
      </c>
      <c r="AJ4">
        <v>276</v>
      </c>
      <c r="AK4">
        <v>24569.52</v>
      </c>
      <c r="AL4" s="24" t="s">
        <v>99</v>
      </c>
      <c r="AM4">
        <v>107</v>
      </c>
      <c r="AN4">
        <v>103</v>
      </c>
      <c r="AO4">
        <v>6083.18</v>
      </c>
      <c r="AR4">
        <v>0</v>
      </c>
      <c r="AV4">
        <v>0</v>
      </c>
      <c r="AZ4">
        <v>0</v>
      </c>
      <c r="BD4">
        <v>0</v>
      </c>
      <c r="BH4">
        <v>0</v>
      </c>
      <c r="BL4">
        <v>0</v>
      </c>
      <c r="BP4">
        <v>0</v>
      </c>
      <c r="BT4">
        <v>0</v>
      </c>
      <c r="BX4">
        <v>0</v>
      </c>
      <c r="BZ4">
        <v>3850.93</v>
      </c>
      <c r="CA4">
        <v>90124.07</v>
      </c>
      <c r="CH4">
        <v>90124.07</v>
      </c>
      <c r="CM4">
        <v>90124.07</v>
      </c>
      <c r="CN4">
        <v>2000</v>
      </c>
      <c r="CO4">
        <v>92124.07</v>
      </c>
      <c r="CP4" s="59">
        <v>0.18</v>
      </c>
      <c r="CQ4">
        <v>16582.330000000002</v>
      </c>
      <c r="CR4">
        <v>108706.4</v>
      </c>
      <c r="CS4">
        <v>8.5</v>
      </c>
      <c r="CT4" t="s">
        <v>172</v>
      </c>
      <c r="CU4" s="60">
        <v>924004</v>
      </c>
      <c r="CV4" t="s">
        <v>181</v>
      </c>
      <c r="CW4" t="s">
        <v>182</v>
      </c>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33"/>
  <sheetViews>
    <sheetView tabSelected="1" topLeftCell="A9" workbookViewId="0">
      <selection activeCell="AK29" sqref="AK2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6" width="7.85546875" style="30" hidden="1" customWidth="1"/>
    <col min="17" max="17" width="7.85546875" style="30" customWidth="1"/>
    <col min="18" max="34" width="7.85546875" style="30" hidden="1" customWidth="1"/>
    <col min="35" max="35" width="7.85546875" style="30" customWidth="1"/>
    <col min="36" max="36" width="7.85546875" style="30" hidden="1" customWidth="1"/>
    <col min="37" max="37" width="7.85546875" style="30" customWidth="1"/>
    <col min="38" max="39" width="7.85546875" style="30" hidden="1" customWidth="1"/>
    <col min="40" max="40" width="7.85546875" style="30" customWidth="1"/>
    <col min="41" max="52" width="7.85546875" style="30" hidden="1" customWidth="1"/>
    <col min="53" max="53" width="7.85546875" style="30" customWidth="1"/>
    <col min="54" max="57" width="7.85546875" style="30" hidden="1" customWidth="1"/>
    <col min="58" max="58" width="7.85546875" style="30" customWidth="1"/>
    <col min="59" max="73" width="7.85546875" style="30" hidden="1" customWidth="1"/>
    <col min="74" max="74" width="7.85546875" style="30" customWidth="1"/>
    <col min="75" max="75" width="10.7109375" style="30" bestFit="1" customWidth="1"/>
    <col min="76" max="76" width="20.140625" style="30" bestFit="1" customWidth="1"/>
    <col min="77" max="77" width="9.57031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5" customFormat="1" ht="15.75" thickBot="1" x14ac:dyDescent="0.3"/>
    <row r="2" spans="1:89" s="45" customFormat="1" ht="23.25" thickBot="1" x14ac:dyDescent="0.5">
      <c r="A2" s="80" t="s">
        <v>138</v>
      </c>
      <c r="B2" s="81"/>
      <c r="C2" s="81"/>
      <c r="D2" s="81"/>
      <c r="E2" s="81"/>
      <c r="F2" s="81"/>
      <c r="G2" s="81"/>
      <c r="H2" s="81"/>
      <c r="I2" s="81"/>
      <c r="J2" s="81"/>
      <c r="K2" s="81"/>
      <c r="L2" s="81"/>
      <c r="M2" s="81"/>
      <c r="N2" s="81"/>
      <c r="O2" s="81"/>
      <c r="P2" s="81"/>
      <c r="Q2" s="81"/>
      <c r="R2" s="82"/>
      <c r="S2" s="51"/>
      <c r="T2" s="48"/>
    </row>
    <row r="3" spans="1:89" s="45" customFormat="1" ht="15.75" thickBot="1" x14ac:dyDescent="0.3">
      <c r="A3"/>
      <c r="B3"/>
      <c r="C3"/>
      <c r="D3"/>
      <c r="E3"/>
      <c r="F3"/>
      <c r="G3"/>
      <c r="H3"/>
      <c r="I3"/>
      <c r="J3"/>
      <c r="K3"/>
      <c r="L3"/>
      <c r="M3"/>
      <c r="N3"/>
      <c r="O3"/>
      <c r="P3"/>
      <c r="Q3"/>
      <c r="R3"/>
      <c r="S3"/>
    </row>
    <row r="4" spans="1:89" s="45" customFormat="1" ht="51.75" customHeight="1" thickBot="1" x14ac:dyDescent="0.3">
      <c r="A4" s="46" t="s">
        <v>124</v>
      </c>
      <c r="B4" s="72" t="s">
        <v>139</v>
      </c>
      <c r="C4" s="72"/>
      <c r="D4" s="72"/>
      <c r="E4" s="72"/>
      <c r="F4" s="72"/>
      <c r="G4" s="72"/>
      <c r="H4" s="72"/>
      <c r="I4" s="72"/>
      <c r="J4" s="72"/>
      <c r="K4" s="72"/>
      <c r="L4" s="72"/>
      <c r="M4" s="72"/>
      <c r="N4" s="72"/>
      <c r="O4" s="72"/>
      <c r="P4" s="72"/>
      <c r="Q4" s="72"/>
      <c r="R4" s="72"/>
      <c r="S4"/>
    </row>
    <row r="5" spans="1:89" s="45" customFormat="1" ht="34.5" customHeight="1" x14ac:dyDescent="0.25">
      <c r="A5" s="46" t="s">
        <v>125</v>
      </c>
      <c r="B5" s="72" t="s">
        <v>140</v>
      </c>
      <c r="C5" s="72"/>
      <c r="D5" s="72"/>
      <c r="E5" s="72"/>
      <c r="F5" s="72"/>
      <c r="G5" s="72"/>
      <c r="H5" s="72"/>
      <c r="I5" s="72"/>
      <c r="J5" s="72"/>
      <c r="K5" s="72"/>
      <c r="L5" s="72"/>
      <c r="M5" s="72"/>
      <c r="N5" s="72"/>
      <c r="O5" s="72"/>
      <c r="P5" s="72"/>
      <c r="Q5" s="72"/>
      <c r="R5" s="72"/>
      <c r="S5"/>
    </row>
    <row r="6" spans="1:89" s="45" customFormat="1" ht="48" customHeight="1" x14ac:dyDescent="0.25">
      <c r="A6" s="47" t="s">
        <v>126</v>
      </c>
      <c r="B6" s="73" t="s">
        <v>141</v>
      </c>
      <c r="C6" s="72"/>
      <c r="D6" s="72"/>
      <c r="E6" s="72"/>
      <c r="F6" s="72"/>
      <c r="G6" s="72"/>
      <c r="H6" s="72"/>
      <c r="I6" s="72"/>
      <c r="J6" s="72"/>
      <c r="K6" s="72"/>
      <c r="L6" s="72"/>
      <c r="M6" s="72"/>
      <c r="N6" s="72"/>
      <c r="O6" s="72"/>
      <c r="P6" s="72"/>
      <c r="Q6" s="72"/>
      <c r="R6" s="72"/>
      <c r="S6"/>
    </row>
    <row r="7" spans="1:89" s="45" customFormat="1" ht="30" x14ac:dyDescent="0.25">
      <c r="A7" s="47" t="s">
        <v>123</v>
      </c>
      <c r="B7" s="73" t="s">
        <v>142</v>
      </c>
      <c r="C7" s="72"/>
      <c r="D7" s="72"/>
      <c r="E7" s="72"/>
      <c r="F7" s="72"/>
      <c r="G7" s="72"/>
      <c r="H7" s="72"/>
      <c r="I7" s="72"/>
      <c r="J7" s="72"/>
      <c r="K7" s="72"/>
      <c r="L7" s="72"/>
      <c r="M7" s="72"/>
      <c r="N7" s="72"/>
      <c r="O7" s="72"/>
      <c r="P7" s="72"/>
      <c r="Q7" s="72"/>
      <c r="R7" s="72"/>
      <c r="S7"/>
    </row>
    <row r="8" spans="1:89" s="45" customFormat="1" ht="35.25" customHeight="1" x14ac:dyDescent="0.25">
      <c r="A8" s="47" t="s">
        <v>127</v>
      </c>
      <c r="B8" s="73" t="s">
        <v>146</v>
      </c>
      <c r="C8" s="73"/>
      <c r="D8" s="73"/>
      <c r="E8" s="73"/>
      <c r="F8" s="73"/>
      <c r="G8" s="73"/>
      <c r="H8" s="73"/>
      <c r="I8" s="73"/>
      <c r="J8" s="73"/>
      <c r="K8" s="73"/>
      <c r="L8" s="73"/>
      <c r="M8" s="73"/>
      <c r="N8" s="73"/>
      <c r="O8" s="73"/>
      <c r="P8" s="73"/>
      <c r="Q8" s="73"/>
      <c r="R8" s="73"/>
      <c r="S8"/>
    </row>
    <row r="9" spans="1:89" s="45" customFormat="1" ht="22.5" customHeight="1" x14ac:dyDescent="0.25">
      <c r="A9" s="47" t="s">
        <v>128</v>
      </c>
      <c r="B9" s="77" t="s">
        <v>145</v>
      </c>
      <c r="C9" s="78"/>
      <c r="D9" s="78"/>
      <c r="E9" s="78"/>
      <c r="F9" s="78"/>
      <c r="G9" s="78"/>
      <c r="H9" s="78"/>
      <c r="I9" s="78"/>
      <c r="J9" s="78"/>
      <c r="K9" s="78"/>
      <c r="L9" s="78"/>
      <c r="M9" s="78"/>
      <c r="N9" s="78"/>
      <c r="O9" s="78"/>
      <c r="P9" s="78"/>
      <c r="Q9" s="78"/>
      <c r="R9" s="79"/>
    </row>
    <row r="10" spans="1:89" s="45" customFormat="1" ht="48" customHeight="1" x14ac:dyDescent="0.25">
      <c r="A10" s="47" t="s">
        <v>129</v>
      </c>
      <c r="B10" s="73" t="s">
        <v>144</v>
      </c>
      <c r="C10" s="73"/>
      <c r="D10" s="73"/>
      <c r="E10" s="73"/>
      <c r="F10" s="73"/>
      <c r="G10" s="73"/>
      <c r="H10" s="73"/>
      <c r="I10" s="73"/>
      <c r="J10" s="73"/>
      <c r="K10" s="73"/>
      <c r="L10" s="73"/>
      <c r="M10" s="73"/>
      <c r="N10" s="73"/>
      <c r="O10" s="73"/>
      <c r="P10" s="73"/>
      <c r="Q10" s="73"/>
      <c r="R10" s="73"/>
      <c r="S10"/>
    </row>
    <row r="11" spans="1:89" s="45" customFormat="1" ht="35.25" customHeight="1" x14ac:dyDescent="0.25">
      <c r="A11" s="47" t="s">
        <v>130</v>
      </c>
      <c r="B11" s="68" t="s">
        <v>143</v>
      </c>
      <c r="C11" s="69"/>
      <c r="D11" s="69"/>
      <c r="E11" s="69"/>
      <c r="F11" s="69"/>
      <c r="G11" s="69"/>
      <c r="H11" s="69"/>
      <c r="I11" s="69"/>
      <c r="J11" s="69"/>
      <c r="K11" s="69"/>
      <c r="L11" s="69"/>
      <c r="M11" s="69"/>
      <c r="N11" s="69"/>
      <c r="O11" s="69"/>
      <c r="P11" s="69"/>
      <c r="Q11" s="69"/>
      <c r="R11" s="70"/>
      <c r="S11"/>
    </row>
    <row r="12" spans="1:89" s="45" customFormat="1" ht="48.75" customHeight="1" x14ac:dyDescent="0.25">
      <c r="A12" s="52" t="s">
        <v>131</v>
      </c>
      <c r="B12" s="71" t="s">
        <v>148</v>
      </c>
      <c r="C12" s="71"/>
      <c r="D12" s="71"/>
      <c r="E12" s="71"/>
      <c r="F12" s="71"/>
      <c r="G12" s="71"/>
      <c r="H12" s="71"/>
      <c r="I12" s="71"/>
      <c r="J12" s="71"/>
      <c r="K12" s="71"/>
      <c r="L12" s="71"/>
      <c r="M12" s="71"/>
      <c r="N12" s="71"/>
      <c r="O12" s="71"/>
      <c r="P12" s="71"/>
      <c r="Q12" s="71"/>
      <c r="R12" s="71"/>
    </row>
    <row r="13" spans="1:89" s="45" customFormat="1" ht="46.5" customHeight="1" x14ac:dyDescent="0.25">
      <c r="A13" s="52" t="s">
        <v>132</v>
      </c>
      <c r="B13" s="71" t="s">
        <v>147</v>
      </c>
      <c r="C13" s="71"/>
      <c r="D13" s="71"/>
      <c r="E13" s="71"/>
      <c r="F13" s="71"/>
      <c r="G13" s="71"/>
      <c r="H13" s="71"/>
      <c r="I13" s="71"/>
      <c r="J13" s="71"/>
      <c r="K13" s="71"/>
      <c r="L13" s="71"/>
      <c r="M13" s="71"/>
      <c r="N13" s="71"/>
      <c r="O13" s="71"/>
      <c r="P13" s="71"/>
      <c r="Q13" s="71"/>
      <c r="R13" s="71"/>
    </row>
    <row r="14" spans="1:89" s="45" customFormat="1" ht="30" x14ac:dyDescent="0.25">
      <c r="A14" s="53" t="s">
        <v>133</v>
      </c>
      <c r="B14" s="71"/>
      <c r="C14" s="71"/>
      <c r="D14" s="71"/>
      <c r="E14" s="71"/>
      <c r="F14" s="71"/>
      <c r="G14" s="71"/>
      <c r="H14" s="71"/>
      <c r="I14" s="71"/>
      <c r="J14" s="71"/>
      <c r="K14" s="71"/>
      <c r="L14" s="71"/>
      <c r="M14" s="71"/>
      <c r="N14" s="71"/>
      <c r="O14" s="71"/>
      <c r="P14" s="71"/>
      <c r="Q14" s="71"/>
      <c r="R14" s="71"/>
    </row>
    <row r="16" spans="1:89" s="37" customFormat="1" ht="28.9" customHeight="1" x14ac:dyDescent="0.25">
      <c r="E16" s="43"/>
      <c r="H16" s="44"/>
      <c r="N16" s="76" t="str">
        <f>Sheet1!J1</f>
        <v>Conductor</v>
      </c>
      <c r="O16" s="76"/>
      <c r="P16" s="76"/>
      <c r="Q16" s="76"/>
      <c r="R16" s="76"/>
      <c r="S16" s="76" t="s">
        <v>9</v>
      </c>
      <c r="T16" s="76"/>
      <c r="U16" s="76" t="s">
        <v>3</v>
      </c>
      <c r="V16" s="76"/>
      <c r="W16" s="76"/>
      <c r="X16" s="76"/>
      <c r="Y16" s="76"/>
      <c r="Z16" s="76"/>
      <c r="AA16" s="76"/>
      <c r="AB16" s="76"/>
      <c r="AC16" s="76" t="s">
        <v>12</v>
      </c>
      <c r="AD16" s="76"/>
      <c r="AE16" s="76" t="s">
        <v>15</v>
      </c>
      <c r="AF16" s="76"/>
      <c r="AG16" s="76"/>
      <c r="AH16" s="76"/>
      <c r="AI16" s="76"/>
      <c r="AJ16" s="76"/>
      <c r="AK16" s="38" t="s">
        <v>18</v>
      </c>
      <c r="AL16" s="74" t="s">
        <v>21</v>
      </c>
      <c r="AM16" s="75"/>
      <c r="AN16" s="75"/>
      <c r="AO16" s="75"/>
      <c r="AP16" s="75"/>
      <c r="AQ16" s="75"/>
      <c r="AR16" s="75"/>
      <c r="AS16" s="76" t="s">
        <v>24</v>
      </c>
      <c r="AT16" s="76"/>
      <c r="AU16" s="76"/>
      <c r="AV16" s="76"/>
      <c r="AW16" s="76"/>
      <c r="AX16" s="76"/>
      <c r="AY16" s="76"/>
      <c r="AZ16" s="76"/>
      <c r="BA16" s="76"/>
      <c r="BB16" s="76"/>
      <c r="BC16" s="76" t="s">
        <v>27</v>
      </c>
      <c r="BD16" s="76"/>
      <c r="BE16" s="76"/>
      <c r="BF16" s="76"/>
      <c r="BG16" s="76"/>
      <c r="BH16" s="76"/>
      <c r="BI16" s="76"/>
      <c r="BJ16" s="76"/>
      <c r="BK16" s="76"/>
      <c r="BL16" s="76"/>
      <c r="BM16" s="39" t="s">
        <v>30</v>
      </c>
      <c r="BN16" s="38" t="s">
        <v>33</v>
      </c>
      <c r="BO16" s="38" t="s">
        <v>36</v>
      </c>
      <c r="BP16" s="38" t="s">
        <v>39</v>
      </c>
      <c r="BQ16" s="38" t="s">
        <v>42</v>
      </c>
      <c r="BR16" s="38" t="s">
        <v>45</v>
      </c>
      <c r="BS16" s="38" t="s">
        <v>48</v>
      </c>
      <c r="BT16" s="38" t="s">
        <v>51</v>
      </c>
      <c r="BU16" s="38" t="s">
        <v>54</v>
      </c>
      <c r="BV16" s="49"/>
      <c r="BW16" s="49"/>
      <c r="BX16" s="49"/>
      <c r="BY16" s="57"/>
      <c r="BZ16" s="40" t="s">
        <v>57</v>
      </c>
      <c r="CA16" s="40" t="s">
        <v>58</v>
      </c>
      <c r="CB16" s="41" t="s">
        <v>79</v>
      </c>
      <c r="CC16" s="40" t="s">
        <v>122</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84</v>
      </c>
      <c r="P17" s="23" t="s">
        <v>82</v>
      </c>
      <c r="Q17" s="23" t="s">
        <v>195</v>
      </c>
      <c r="R17" s="23" t="s">
        <v>83</v>
      </c>
      <c r="S17" s="23" t="s">
        <v>80</v>
      </c>
      <c r="T17" s="23" t="s">
        <v>84</v>
      </c>
      <c r="U17" s="24" t="s">
        <v>91</v>
      </c>
      <c r="V17" s="24" t="s">
        <v>95</v>
      </c>
      <c r="W17" s="24" t="s">
        <v>98</v>
      </c>
      <c r="X17" s="24" t="s">
        <v>103</v>
      </c>
      <c r="Y17" s="24" t="s">
        <v>107</v>
      </c>
      <c r="Z17" s="24" t="s">
        <v>111</v>
      </c>
      <c r="AA17" s="24" t="s">
        <v>114</v>
      </c>
      <c r="AB17" s="24" t="s">
        <v>116</v>
      </c>
      <c r="AC17" s="24" t="s">
        <v>90</v>
      </c>
      <c r="AD17" s="24" t="s">
        <v>94</v>
      </c>
      <c r="AE17" s="24" t="s">
        <v>89</v>
      </c>
      <c r="AF17" s="24" t="s">
        <v>85</v>
      </c>
      <c r="AG17" s="24" t="s">
        <v>97</v>
      </c>
      <c r="AH17" s="24" t="s">
        <v>102</v>
      </c>
      <c r="AI17" s="24" t="s">
        <v>106</v>
      </c>
      <c r="AJ17" s="24" t="s">
        <v>110</v>
      </c>
      <c r="AK17" s="20" t="s">
        <v>18</v>
      </c>
      <c r="AL17" s="24" t="s">
        <v>92</v>
      </c>
      <c r="AM17" s="24" t="s">
        <v>96</v>
      </c>
      <c r="AN17" s="24" t="s">
        <v>99</v>
      </c>
      <c r="AO17" s="24" t="s">
        <v>104</v>
      </c>
      <c r="AP17" s="24" t="s">
        <v>108</v>
      </c>
      <c r="AQ17" s="24" t="s">
        <v>86</v>
      </c>
      <c r="AR17" s="24" t="s">
        <v>115</v>
      </c>
      <c r="AS17" s="24" t="s">
        <v>93</v>
      </c>
      <c r="AT17" s="24" t="s">
        <v>81</v>
      </c>
      <c r="AU17" s="24" t="s">
        <v>100</v>
      </c>
      <c r="AV17" s="24" t="s">
        <v>105</v>
      </c>
      <c r="AW17" s="24" t="s">
        <v>112</v>
      </c>
      <c r="AX17" s="24" t="s">
        <v>87</v>
      </c>
      <c r="AY17" s="24" t="s">
        <v>117</v>
      </c>
      <c r="AZ17" s="24" t="s">
        <v>118</v>
      </c>
      <c r="BA17" s="24" t="s">
        <v>119</v>
      </c>
      <c r="BB17" s="24" t="s">
        <v>121</v>
      </c>
      <c r="BC17" s="24" t="s">
        <v>92</v>
      </c>
      <c r="BD17" s="24" t="s">
        <v>96</v>
      </c>
      <c r="BE17" s="24" t="s">
        <v>101</v>
      </c>
      <c r="BF17" s="24" t="s">
        <v>99</v>
      </c>
      <c r="BG17" s="24" t="s">
        <v>109</v>
      </c>
      <c r="BH17" s="24" t="s">
        <v>113</v>
      </c>
      <c r="BI17" s="24" t="s">
        <v>104</v>
      </c>
      <c r="BJ17" s="24" t="s">
        <v>86</v>
      </c>
      <c r="BK17" s="24" t="s">
        <v>115</v>
      </c>
      <c r="BL17" s="24" t="s">
        <v>120</v>
      </c>
      <c r="BM17" s="20" t="s">
        <v>30</v>
      </c>
      <c r="BN17" s="20" t="s">
        <v>88</v>
      </c>
      <c r="BO17" s="21" t="s">
        <v>36</v>
      </c>
      <c r="BP17" s="25" t="s">
        <v>39</v>
      </c>
      <c r="BQ17" s="21" t="s">
        <v>42</v>
      </c>
      <c r="BR17" s="21" t="s">
        <v>45</v>
      </c>
      <c r="BS17" s="21" t="s">
        <v>48</v>
      </c>
      <c r="BT17" s="25" t="s">
        <v>51</v>
      </c>
      <c r="BU17" s="21" t="s">
        <v>54</v>
      </c>
      <c r="BV17" s="21" t="str">
        <f>Sheet1!E1</f>
        <v>PROPOSE DRUM TYPE</v>
      </c>
      <c r="BW17" s="56" t="str">
        <f>Sheet1!CV1</f>
        <v>DRUM CODE</v>
      </c>
      <c r="BX17" s="56" t="str">
        <f>Sheet1!CW1</f>
        <v>DRUM SIZE (FxbXtx Ft)</v>
      </c>
      <c r="BY17" s="56"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f>+IFERROR(VLOOKUP($N$17,Sheet1!J:L,2,0),0)</f>
        <v>0</v>
      </c>
      <c r="O18" s="32">
        <f>+IFERROR(VLOOKUP($O$17,Sheet1!J:L,2,0),0)</f>
        <v>0</v>
      </c>
      <c r="P18" s="32">
        <f>+IFERROR(VLOOKUP($P$17,Sheet1!J:M,2,0),0)</f>
        <v>0</v>
      </c>
      <c r="Q18" s="32">
        <f>760+100</f>
        <v>860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104</v>
      </c>
      <c r="AJ18" s="33">
        <f>+IFERROR(VLOOKUP($AJ$17,Sheet1!V:Y,2,0),0)</f>
        <v>0</v>
      </c>
      <c r="AK18" s="34">
        <v>122</v>
      </c>
      <c r="AL18" s="33">
        <f>+IFERROR(VLOOKUP($AL$17,Sheet1!AD2:AG840,2,0),0)</f>
        <v>0</v>
      </c>
      <c r="AM18" s="33">
        <f>+IFERROR(VLOOKUP($AM$17,Sheet1!AD2:AG840,2,0),0)</f>
        <v>0</v>
      </c>
      <c r="AN18" s="33">
        <v>95</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v>89</v>
      </c>
      <c r="BB18" s="33">
        <f>+IFERROR(VLOOKUP($BB$17,Sheet1!AH2:AK840,2,0),0)</f>
        <v>0</v>
      </c>
      <c r="BC18" s="33">
        <f>+IFERROR(VLOOKUP($BC$17,Sheet1!AL2:AO840,2,0),0)</f>
        <v>0</v>
      </c>
      <c r="BD18" s="33">
        <f>+IFERROR(VLOOKUP($BD$17,Sheet1!AL2:AO840,2,0),0)</f>
        <v>0</v>
      </c>
      <c r="BE18" s="33">
        <f>+IFERROR(VLOOKUP($BE$17,Sheet1!AL2:AO840,2,0),0)</f>
        <v>0</v>
      </c>
      <c r="BF18" s="33">
        <v>95</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5"/>
      <c r="BW18" s="55"/>
      <c r="BX18" s="55"/>
      <c r="BY18" s="55"/>
      <c r="CD18" s="5"/>
      <c r="CE18" s="5"/>
      <c r="CF18" s="5"/>
      <c r="CG18" s="5"/>
      <c r="CH18" s="5"/>
      <c r="CI18" s="5"/>
      <c r="CJ18" s="5"/>
      <c r="CK18" s="5"/>
      <c r="CL18" s="5"/>
    </row>
    <row r="19" spans="1:90" ht="30" x14ac:dyDescent="0.25">
      <c r="A19" s="1" t="str">
        <f>Sheet1!A2</f>
        <v>ENQ-11204-22-23</v>
      </c>
      <c r="B19" s="54">
        <f>Sheet1!B2</f>
        <v>45188</v>
      </c>
      <c r="C19" s="1" t="str">
        <f>Sheet1!C2</f>
        <v>FA0200049</v>
      </c>
      <c r="D19" s="1" t="str">
        <f>Sheet1!D2</f>
        <v>9 CORE X 2.5 SQ. MM. CU/ARD - WIRE (PVC)</v>
      </c>
      <c r="E19" s="3">
        <f>CH19+CJ19+CL19</f>
        <v>330086.62350000005</v>
      </c>
      <c r="F19" s="83">
        <f>ROUNDUP(M24,2)</f>
        <v>6538.47</v>
      </c>
      <c r="G19" s="9">
        <f>E19+F19</f>
        <v>336625.09350000002</v>
      </c>
      <c r="H19" s="7">
        <f>Sheet1!CP2</f>
        <v>0.18</v>
      </c>
      <c r="I19" s="9">
        <f>G19*H19</f>
        <v>60592.51683</v>
      </c>
      <c r="J19" s="9">
        <f>G19+I19</f>
        <v>397217.61033</v>
      </c>
      <c r="K19" s="1">
        <f>Sheet1!CS2</f>
        <v>2.6</v>
      </c>
      <c r="L19" s="1" t="str">
        <f>Sheet1!CT2</f>
        <v>KMS</v>
      </c>
      <c r="M19" s="3">
        <f>J19*K19</f>
        <v>1032765.786858</v>
      </c>
      <c r="N19" s="2">
        <f>+IFERROR(VLOOKUP($N$17,Sheet1!J2:L2,3,0),0)</f>
        <v>0</v>
      </c>
      <c r="O19" s="2">
        <f>+IFERROR(VLOOKUP($O$17,Sheet1!J2:L2,3,0),0)</f>
        <v>0</v>
      </c>
      <c r="P19" s="2">
        <f>+IFERROR(VLOOKUP($P$17,Sheet1!J2:M2,3,0),0)</f>
        <v>0</v>
      </c>
      <c r="Q19" s="2">
        <f>+IFERROR(VLOOKUP($Q$17,Sheet1!J2:M2,3,0),0)</f>
        <v>198</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117</v>
      </c>
      <c r="AJ19" s="15">
        <f>+IFERROR(VLOOKUP($AJ$17,Sheet1!V2:Y2,3,0),0)</f>
        <v>0</v>
      </c>
      <c r="AK19" s="15">
        <f>+IFERROR(VLOOKUP($AK$17,Sheet1!Z2:AB2,3,0),0)</f>
        <v>4</v>
      </c>
      <c r="AL19" s="15">
        <f>+IFERROR(VLOOKUP($AL$17,Sheet1!AD2:AG2,3,0),0)</f>
        <v>0</v>
      </c>
      <c r="AM19" s="15">
        <f>+IFERROR(VLOOKUP($AM$17,Sheet1!AD2:AG2,3,0),0)</f>
        <v>0</v>
      </c>
      <c r="AN19" s="15">
        <f>+IFERROR(VLOOKUP($AN$17,Sheet1!AD2:AG2,3,0),0)</f>
        <v>33</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388</v>
      </c>
      <c r="BB19" s="15">
        <f>+IFERROR(VLOOKUP($BB$17,Sheet1!AH2:AK2,3,0),0)</f>
        <v>0</v>
      </c>
      <c r="BC19" s="15">
        <f>+IFERROR(VLOOKUP($BC$17,Sheet1!AL2:AO2,3,0),0)</f>
        <v>0</v>
      </c>
      <c r="BD19" s="15">
        <f>+IFERROR(VLOOKUP($BD$17,Sheet1!AL2:AO2,3,0),0)</f>
        <v>0</v>
      </c>
      <c r="BE19" s="15">
        <f>+IFERROR(VLOOKUP($BE$17,Sheet1!AL2:AO2,3,0),0)</f>
        <v>0</v>
      </c>
      <c r="BF19" s="15">
        <f>+IFERROR(VLOOKUP($BF$17,Sheet1!AL2:AO2,3,0),0)</f>
        <v>140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193</v>
      </c>
      <c r="BX19" s="15" t="s">
        <v>194</v>
      </c>
      <c r="BY19" s="15">
        <v>1300</v>
      </c>
      <c r="BZ19" s="3">
        <v>3484</v>
      </c>
      <c r="CA19" s="3">
        <f>SUMPRODUCT($N$18:$BU$18,N19:BU19)+BZ19</f>
        <v>237387</v>
      </c>
      <c r="CB19" s="27">
        <f>Sheet1!CB2</f>
        <v>0</v>
      </c>
      <c r="CC19" s="3">
        <f>CA19*CB19</f>
        <v>0</v>
      </c>
      <c r="CD19" s="50">
        <v>0.35</v>
      </c>
      <c r="CE19" s="3">
        <f>CA19*CD19</f>
        <v>83085.45</v>
      </c>
      <c r="CF19" s="50">
        <v>0</v>
      </c>
      <c r="CG19" s="3">
        <f>CA19*CF19</f>
        <v>0</v>
      </c>
      <c r="CH19" s="3">
        <f>CA19+CC19+CE19+CG19</f>
        <v>320472.45</v>
      </c>
      <c r="CI19" s="50">
        <v>0.02</v>
      </c>
      <c r="CJ19" s="1">
        <f>CH19*CI19</f>
        <v>6409.4490000000005</v>
      </c>
      <c r="CK19" s="50">
        <v>0.01</v>
      </c>
      <c r="CL19" s="1">
        <f>CH19*CK19</f>
        <v>3204.7245000000003</v>
      </c>
    </row>
    <row r="20" spans="1:90" ht="30" x14ac:dyDescent="0.25">
      <c r="A20" s="1" t="str">
        <f>Sheet1!A3</f>
        <v>ENQ-11204-22-23</v>
      </c>
      <c r="B20" s="54">
        <f>Sheet1!B3</f>
        <v>45188</v>
      </c>
      <c r="C20" s="1" t="str">
        <f>Sheet1!C3</f>
        <v>FA0200068</v>
      </c>
      <c r="D20" s="1" t="str">
        <f>Sheet1!D3</f>
        <v>16 CORE X 1.5 SQ. MM. CU/ARD - WIRE (PVC)</v>
      </c>
      <c r="E20" s="3">
        <f>CH20+CJ20+CL20</f>
        <v>372481.57799999998</v>
      </c>
      <c r="F20" s="83">
        <f>ROUNDUP(M25,2)</f>
        <v>6071.43</v>
      </c>
      <c r="G20" s="9">
        <f t="shared" ref="G20:G21" si="0">E20+F20</f>
        <v>378553.00799999997</v>
      </c>
      <c r="H20" s="7">
        <f>Sheet1!CP3</f>
        <v>0.18</v>
      </c>
      <c r="I20" s="9">
        <f t="shared" ref="I20:I21" si="1">G20*H20</f>
        <v>68139.541439999986</v>
      </c>
      <c r="J20" s="9">
        <f t="shared" ref="J20:J21" si="2">G20+I20</f>
        <v>446692.54943999997</v>
      </c>
      <c r="K20" s="1">
        <f>Sheet1!CS3</f>
        <v>2.8</v>
      </c>
      <c r="L20" s="1" t="str">
        <f>Sheet1!CT3</f>
        <v>KMS</v>
      </c>
      <c r="M20" s="3">
        <f t="shared" ref="M20:M21" si="3">J20*K20</f>
        <v>1250739.1384319998</v>
      </c>
      <c r="N20" s="2">
        <f>+IFERROR(VLOOKUP($N$17,Sheet1!J3:L3,3,0),0)</f>
        <v>0</v>
      </c>
      <c r="O20" s="2">
        <f>+IFERROR(VLOOKUP($O$17,Sheet1!J3:L3,3,0),0)</f>
        <v>0</v>
      </c>
      <c r="P20" s="2">
        <f>+IFERROR(VLOOKUP($P$17,Sheet1!J3:M3,3,0),0)</f>
        <v>0</v>
      </c>
      <c r="Q20" s="2">
        <f>+IFERROR(VLOOKUP($Q$17,Sheet1!J3:M3,3,0),0)</f>
        <v>212.8</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0</v>
      </c>
      <c r="AD20" s="15">
        <f>+IFERROR(VLOOKUP($AD$17,Sheet1!R3:U3,2,0),0)</f>
        <v>0</v>
      </c>
      <c r="AE20" s="2">
        <f>+IFERROR(VLOOKUP($AE$17,Sheet1!V3:Y3,3,0),0)</f>
        <v>0</v>
      </c>
      <c r="AF20" s="15">
        <f>+IFERROR(VLOOKUP($AF$17,Sheet1!V3:Y3,3,0),0)</f>
        <v>0</v>
      </c>
      <c r="AG20" s="15">
        <f>+IFERROR(VLOOKUP($AG$17,Sheet1!V3:Y3,3,0),0)</f>
        <v>0</v>
      </c>
      <c r="AH20" s="15">
        <f>+IFERROR(VLOOKUP($AH$17,Sheet1!V3:Y3,3,0),0)</f>
        <v>0</v>
      </c>
      <c r="AI20" s="15">
        <f>+IFERROR(VLOOKUP($AI$17,Sheet1!V3:Y3,3,0),0)</f>
        <v>152</v>
      </c>
      <c r="AJ20" s="15">
        <f>+IFERROR(VLOOKUP($AJ$17,Sheet1!V3:Y3,3,0),0)</f>
        <v>0</v>
      </c>
      <c r="AK20" s="15">
        <f>+IFERROR(VLOOKUP($AK$17,Sheet1!Z3:AB3,3,0),0)</f>
        <v>5</v>
      </c>
      <c r="AL20" s="15">
        <f>+IFERROR(VLOOKUP($AL$17,Sheet1!AD3:AG3,3,0),0)</f>
        <v>0</v>
      </c>
      <c r="AM20" s="15">
        <f>+IFERROR(VLOOKUP($AM$17,Sheet1!AD3:AG3,3,0),0)</f>
        <v>0</v>
      </c>
      <c r="AN20" s="15">
        <f>+IFERROR(VLOOKUP($AN$17,Sheet1!AD3:AG3,3,0),0)</f>
        <v>38</v>
      </c>
      <c r="AO20" s="15">
        <f>+IFERROR(VLOOKUP($AO$17,Sheet1!AD3:AG3,3,0),0)</f>
        <v>0</v>
      </c>
      <c r="AP20" s="15">
        <f>+IFERROR(VLOOKUP($AP$17,Sheet1!AD3:AG3,3,0),0)</f>
        <v>0</v>
      </c>
      <c r="AQ20" s="15">
        <f>+IFERROR(VLOOKUP($AQ$17,Sheet1!AD3:AG3,3,0),0)</f>
        <v>0</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509</v>
      </c>
      <c r="BB20" s="15">
        <f>+IFERROR(VLOOKUP($BB$17,Sheet1!AH3:AK3,3,0),0)</f>
        <v>0</v>
      </c>
      <c r="BC20" s="15">
        <f>+IFERROR(VLOOKUP($BC$17,Sheet1!AL3:AO3,3,0),0)</f>
        <v>0</v>
      </c>
      <c r="BD20" s="15">
        <f>+IFERROR(VLOOKUP($BD$17,Sheet1!AL3:AO3,3,0),0)</f>
        <v>0</v>
      </c>
      <c r="BE20" s="15">
        <f>+IFERROR(VLOOKUP($BE$17,Sheet1!AL3:AO3,3,0),0)</f>
        <v>0</v>
      </c>
      <c r="BF20" s="15">
        <f>+IFERROR(VLOOKUP($BF$17,Sheet1!AL3:AO3,3,0),0)</f>
        <v>169</v>
      </c>
      <c r="BG20" s="15">
        <f>+IFERROR(VLOOKUP($BG$17,Sheet1!AL3:AO3,3,0),0)</f>
        <v>0</v>
      </c>
      <c r="BH20" s="15">
        <f>+IFERROR(VLOOKUP($BH$17,Sheet1!AL3:AO3,3,0),0)</f>
        <v>0</v>
      </c>
      <c r="BI20" s="15">
        <f>+IFERROR(VLOOKUP($BI$17,Sheet1!AL3:AO3,3,0),0)</f>
        <v>0</v>
      </c>
      <c r="BJ20" s="15">
        <f>+IFERROR(VLOOKUP($BJ$17,Sheet1!AL3:AO3,3,0),0)</f>
        <v>0</v>
      </c>
      <c r="BK20" s="15">
        <f>+IFERROR(VLOOKUP($BK$17,Sheet1!AL3:AO3,3,0),0)</f>
        <v>0</v>
      </c>
      <c r="BL20" s="15">
        <f>+IFERROR(VLOOKUP($BL$17,Sheet1!AL3:AO3,3,0),0)</f>
        <v>0</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tr">
        <f>Sheet1!E3</f>
        <v>WOOD</v>
      </c>
      <c r="BW20" s="15" t="s">
        <v>193</v>
      </c>
      <c r="BX20" s="15" t="s">
        <v>194</v>
      </c>
      <c r="BY20" s="15">
        <v>1300</v>
      </c>
      <c r="BZ20" s="3">
        <v>3484</v>
      </c>
      <c r="CA20" s="3">
        <f>SUMPRODUCT($N$18:$BU$18,N20:BU20)+BZ20</f>
        <v>267876</v>
      </c>
      <c r="CB20" s="27">
        <f>Sheet1!CB3</f>
        <v>0</v>
      </c>
      <c r="CC20" s="3">
        <f t="shared" ref="CC20:CC21" si="4">CA20*CB20</f>
        <v>0</v>
      </c>
      <c r="CD20" s="50">
        <v>0.35</v>
      </c>
      <c r="CE20" s="3">
        <f t="shared" ref="CE20:CE21" si="5">CA20*CD20</f>
        <v>93756.599999999991</v>
      </c>
      <c r="CF20" s="50">
        <v>0</v>
      </c>
      <c r="CG20" s="3">
        <f t="shared" ref="CG20:CG21" si="6">CA20*CF20</f>
        <v>0</v>
      </c>
      <c r="CH20" s="3">
        <f t="shared" ref="CH20:CH21" si="7">CA20+CC20+CE20+CG20</f>
        <v>361632.6</v>
      </c>
      <c r="CI20" s="50">
        <v>0.02</v>
      </c>
      <c r="CJ20" s="1">
        <f t="shared" ref="CJ20:CJ21" si="8">CH20*CI20</f>
        <v>7232.652</v>
      </c>
      <c r="CK20" s="50">
        <v>0.01</v>
      </c>
      <c r="CL20" s="1">
        <f t="shared" ref="CL20:CL21" si="9">CH20*CK20</f>
        <v>3616.326</v>
      </c>
    </row>
    <row r="21" spans="1:90" ht="30" x14ac:dyDescent="0.25">
      <c r="A21" s="1" t="str">
        <f>Sheet1!A4</f>
        <v>ENQ-11204-22-23</v>
      </c>
      <c r="B21" s="54">
        <f>Sheet1!B4</f>
        <v>45188</v>
      </c>
      <c r="C21" s="1" t="str">
        <f>Sheet1!C4</f>
        <v>FA0200015</v>
      </c>
      <c r="D21" s="1" t="str">
        <f>Sheet1!D4</f>
        <v>5 CORE X 1.5 SQ. MM. CU/ARD - WIRE (PVC)</v>
      </c>
      <c r="E21" s="3">
        <f>CH21+CJ21+CL21</f>
        <v>144217.098</v>
      </c>
      <c r="F21" s="83">
        <f t="shared" ref="F20:F21" si="10">ROUNDUP(M26,2)</f>
        <v>2000</v>
      </c>
      <c r="G21" s="9">
        <f t="shared" si="0"/>
        <v>146217.098</v>
      </c>
      <c r="H21" s="7">
        <f>Sheet1!CP4</f>
        <v>0.18</v>
      </c>
      <c r="I21" s="9">
        <f t="shared" si="1"/>
        <v>26319.07764</v>
      </c>
      <c r="J21" s="9">
        <f t="shared" si="2"/>
        <v>172536.17564</v>
      </c>
      <c r="K21" s="1">
        <f>Sheet1!CS4</f>
        <v>8.5</v>
      </c>
      <c r="L21" s="1" t="str">
        <f>Sheet1!CT4</f>
        <v>KMS</v>
      </c>
      <c r="M21" s="3">
        <f t="shared" si="3"/>
        <v>1466557.49294</v>
      </c>
      <c r="N21" s="2">
        <f>+IFERROR(VLOOKUP($N$17,Sheet1!J4:L4,3,0),0)</f>
        <v>0</v>
      </c>
      <c r="O21" s="2">
        <f>+IFERROR(VLOOKUP($O$17,Sheet1!J4:L4,3,0),0)</f>
        <v>0</v>
      </c>
      <c r="P21" s="2">
        <f>+IFERROR(VLOOKUP($P$17,Sheet1!J4:M4,3,0),0)</f>
        <v>0</v>
      </c>
      <c r="Q21" s="2">
        <f>+IFERROR(VLOOKUP($Q$17,Sheet1!J4:M4,3,0),0)</f>
        <v>67</v>
      </c>
      <c r="R21" s="2">
        <f>+IFERROR(VLOOKUP($R$17,Sheet1!J4:M4,3,0),0)</f>
        <v>0</v>
      </c>
      <c r="S21" s="2">
        <f>+IFERROR(VLOOKUP($S$17,Sheet1!N4:Q4,3,0),0)</f>
        <v>0</v>
      </c>
      <c r="T21" s="2">
        <f>+IFERROR(VLOOKUP($T$17,Sheet1!N4:Q4,3,0),0)</f>
        <v>0</v>
      </c>
      <c r="U21" s="2">
        <f>+IFERROR(VLOOKUP($U$17,Sheet1!F4:I4,3,0),0)</f>
        <v>0</v>
      </c>
      <c r="V21" s="2">
        <f>+IFERROR(VLOOKUP($V$17,Sheet1!F4:I4,3,0),0)</f>
        <v>0</v>
      </c>
      <c r="W21" s="2">
        <f>+IFERROR(VLOOKUP($W$17,Sheet1!F4:I4,3,0),0)</f>
        <v>0</v>
      </c>
      <c r="X21" s="2">
        <f>+IFERROR(VLOOKUP($X$17,Sheet1!F4:I4,3,0),0)</f>
        <v>0</v>
      </c>
      <c r="Y21" s="2">
        <f>+IFERROR(VLOOKUP($Y$17,Sheet1!F4:I4,3,0),0)</f>
        <v>0</v>
      </c>
      <c r="Z21" s="2">
        <f>+IFERROR(VLOOKUP($Z$17,Sheet1!F4:I4,3,0),0)</f>
        <v>0</v>
      </c>
      <c r="AA21" s="2">
        <f>+IFERROR(VLOOKUP($AA$17,Sheet1!F4:I4,3,0),0)</f>
        <v>0</v>
      </c>
      <c r="AB21" s="2">
        <f>+IFERROR(VLOOKUP($AB$17,Sheet1!F4:I4,3,0),0)</f>
        <v>0</v>
      </c>
      <c r="AC21" s="2">
        <f>+IFERROR(VLOOKUP($AC$17,Sheet1!R4:U4,3,0),0)</f>
        <v>0</v>
      </c>
      <c r="AD21" s="15">
        <f>+IFERROR(VLOOKUP($AD$17,Sheet1!R4:U4,2,0),0)</f>
        <v>0</v>
      </c>
      <c r="AE21" s="2">
        <f>+IFERROR(VLOOKUP($AE$17,Sheet1!V4:Y4,3,0),0)</f>
        <v>0</v>
      </c>
      <c r="AF21" s="15">
        <f>+IFERROR(VLOOKUP($AF$17,Sheet1!V4:Y4,3,0),0)</f>
        <v>0</v>
      </c>
      <c r="AG21" s="15">
        <f>+IFERROR(VLOOKUP($AG$17,Sheet1!V4:Y4,3,0),0)</f>
        <v>0</v>
      </c>
      <c r="AH21" s="15">
        <f>+IFERROR(VLOOKUP($AH$17,Sheet1!V4:Y4,3,0),0)</f>
        <v>0</v>
      </c>
      <c r="AI21" s="15">
        <f>+IFERROR(VLOOKUP($AI$17,Sheet1!V4:Y4,3,0),0)</f>
        <v>48</v>
      </c>
      <c r="AJ21" s="15">
        <f>+IFERROR(VLOOKUP($AJ$17,Sheet1!V4:Y4,3,0),0)</f>
        <v>0</v>
      </c>
      <c r="AK21" s="15">
        <f>+IFERROR(VLOOKUP($AK$17,Sheet1!Z4:AB4,3,0),0)</f>
        <v>4</v>
      </c>
      <c r="AL21" s="15">
        <f>+IFERROR(VLOOKUP($AL$17,Sheet1!AD4:AG4,3,0),0)</f>
        <v>0</v>
      </c>
      <c r="AM21" s="15">
        <f>+IFERROR(VLOOKUP($AM$17,Sheet1!AD4:AG4,3,0),0)</f>
        <v>0</v>
      </c>
      <c r="AN21" s="15">
        <f>+IFERROR(VLOOKUP($AN$17,Sheet1!AD4:AG4,3,0),0)</f>
        <v>24</v>
      </c>
      <c r="AO21" s="15">
        <f>+IFERROR(VLOOKUP($AO$17,Sheet1!AD4:AG4,3,0),0)</f>
        <v>0</v>
      </c>
      <c r="AP21" s="15">
        <f>+IFERROR(VLOOKUP($AP$17,Sheet1!AD4:AG4,3,0),0)</f>
        <v>0</v>
      </c>
      <c r="AQ21" s="15">
        <f>+IFERROR(VLOOKUP($AQ$17,Sheet1!AD4:AG4,3,0),0)</f>
        <v>0</v>
      </c>
      <c r="AR21" s="15">
        <f>+IFERROR(VLOOKUP($AR$17,Sheet1!AD4:AG4,3,0),0)</f>
        <v>0</v>
      </c>
      <c r="AS21" s="15">
        <f>+IFERROR(VLOOKUP($AS$17,Sheet1!AH4:AK4,3,0),0)</f>
        <v>0</v>
      </c>
      <c r="AT21" s="15">
        <f>+IFERROR(VLOOKUP($AT$17,Sheet1!AH4:AK4,3,0),0)</f>
        <v>0</v>
      </c>
      <c r="AU21" s="15">
        <f>+IFERROR(VLOOKUP($AU$17,Sheet1!AH4:AK4,3,0),0)</f>
        <v>0</v>
      </c>
      <c r="AV21" s="15">
        <f>+IFERROR(VLOOKUP($AV$17,Sheet1!AH4:AK4,3,0),0)</f>
        <v>0</v>
      </c>
      <c r="AW21" s="15">
        <f>+IFERROR(VLOOKUP($AW$17,Sheet1!AH4:AK4,3,0),0)</f>
        <v>0</v>
      </c>
      <c r="AX21" s="15">
        <f>+IFERROR(VLOOKUP($AX$17,Sheet1!AH4:AK4,3,0),0)</f>
        <v>0</v>
      </c>
      <c r="AY21" s="15">
        <f>+IFERROR(VLOOKUP($AY$17,Sheet1!AH4:AK4,3,0),0)</f>
        <v>0</v>
      </c>
      <c r="AZ21" s="15">
        <f>+IFERROR(VLOOKUP($AZ$17,Sheet1!AH4:AK4,3,0),0)</f>
        <v>0</v>
      </c>
      <c r="BA21" s="15">
        <f>+IFERROR(VLOOKUP($BA$17,Sheet1!AH4:AK4,3,0),0)</f>
        <v>276</v>
      </c>
      <c r="BB21" s="15">
        <f>+IFERROR(VLOOKUP($BB$17,Sheet1!AH4:AK4,3,0),0)</f>
        <v>0</v>
      </c>
      <c r="BC21" s="15">
        <f>+IFERROR(VLOOKUP($BC$17,Sheet1!AL4:AO4,3,0),0)</f>
        <v>0</v>
      </c>
      <c r="BD21" s="15">
        <f>+IFERROR(VLOOKUP($BD$17,Sheet1!AL4:AO4,3,0),0)</f>
        <v>0</v>
      </c>
      <c r="BE21" s="15">
        <f>+IFERROR(VLOOKUP($BE$17,Sheet1!AL4:AO4,3,0),0)</f>
        <v>0</v>
      </c>
      <c r="BF21" s="67">
        <v>118</v>
      </c>
      <c r="BG21" s="15">
        <f>+IFERROR(VLOOKUP($BG$17,Sheet1!AL4:AO4,3,0),0)</f>
        <v>0</v>
      </c>
      <c r="BH21" s="15">
        <f>+IFERROR(VLOOKUP($BH$17,Sheet1!AL4:AO4,3,0),0)</f>
        <v>0</v>
      </c>
      <c r="BI21" s="15">
        <f>+IFERROR(VLOOKUP($BI$17,Sheet1!AL4:AO4,3,0),0)</f>
        <v>0</v>
      </c>
      <c r="BJ21" s="15">
        <f>+IFERROR(VLOOKUP($BJ$17,Sheet1!AL4:AO4,3,0),0)</f>
        <v>0</v>
      </c>
      <c r="BK21" s="15">
        <f>+IFERROR(VLOOKUP($BK$17,Sheet1!AL4:AO4,3,0),0)</f>
        <v>0</v>
      </c>
      <c r="BL21" s="15">
        <f>+IFERROR(VLOOKUP($BL$17,Sheet1!AL4:AO4,3,0),0)</f>
        <v>0</v>
      </c>
      <c r="BM21" s="15">
        <f>+IFERROR(VLOOKUP($BM$17,Sheet1!AP4:AS4,3,0),0)</f>
        <v>0</v>
      </c>
      <c r="BN21" s="15">
        <f>+IFERROR(VLOOKUP($BN$17,Sheet1!AT4:AW4,3,0),0)</f>
        <v>0</v>
      </c>
      <c r="BO21" s="15">
        <f>+IFERROR(VLOOKUP($BO$17,Sheet1!AX4:BA4,3,0),0)</f>
        <v>0</v>
      </c>
      <c r="BP21" s="15">
        <f>+IFERROR(VLOOKUP($BP$17,Sheet1!BB4:BE4,3,0),0)</f>
        <v>0</v>
      </c>
      <c r="BQ21" s="15">
        <f>+IFERROR(VLOOKUP($BQ$17,Sheet1!BF4:BI4,3,0),0)</f>
        <v>0</v>
      </c>
      <c r="BR21" s="15">
        <f>+IFERROR(VLOOKUP($BR$17,Sheet1!BJ4:BM4,3,0),0)</f>
        <v>0</v>
      </c>
      <c r="BS21" s="15">
        <f>+IFERROR(VLOOKUP($BS$17,Sheet1!BN4:BQ4,3,0),0)</f>
        <v>0</v>
      </c>
      <c r="BT21" s="15">
        <f>+IFERROR(VLOOKUP($BT$17,Sheet1!BR4:BU4,3,0),0)</f>
        <v>0</v>
      </c>
      <c r="BU21" s="15">
        <f>+IFERROR(VLOOKUP($BU$17,Sheet1!BV4:BY4,3,0),0)</f>
        <v>0</v>
      </c>
      <c r="BV21" s="15" t="str">
        <f>Sheet1!E4</f>
        <v>WOOD</v>
      </c>
      <c r="BW21" s="15" t="s">
        <v>173</v>
      </c>
      <c r="BX21" s="15" t="s">
        <v>174</v>
      </c>
      <c r="BY21" s="15">
        <v>900</v>
      </c>
      <c r="BZ21" s="3">
        <v>2562</v>
      </c>
      <c r="CA21" s="3">
        <f>SUMPRODUCT($N$18:$BU$18,N21:BU21)+BZ21</f>
        <v>103716</v>
      </c>
      <c r="CB21" s="27">
        <f>Sheet1!CB4</f>
        <v>0</v>
      </c>
      <c r="CC21" s="3">
        <f t="shared" si="4"/>
        <v>0</v>
      </c>
      <c r="CD21" s="50">
        <v>0.35</v>
      </c>
      <c r="CE21" s="3">
        <f t="shared" si="5"/>
        <v>36300.6</v>
      </c>
      <c r="CF21" s="50">
        <v>0</v>
      </c>
      <c r="CG21" s="3">
        <f t="shared" si="6"/>
        <v>0</v>
      </c>
      <c r="CH21" s="3">
        <f t="shared" si="7"/>
        <v>140016.6</v>
      </c>
      <c r="CI21" s="50">
        <v>0.02</v>
      </c>
      <c r="CJ21" s="1">
        <f t="shared" si="8"/>
        <v>2800.3320000000003</v>
      </c>
      <c r="CK21" s="50">
        <v>0.01</v>
      </c>
      <c r="CL21" s="1">
        <f t="shared" si="9"/>
        <v>1400.1660000000002</v>
      </c>
    </row>
    <row r="23" spans="1:90" ht="30" x14ac:dyDescent="0.25">
      <c r="E23" s="2" t="s">
        <v>183</v>
      </c>
      <c r="F23" s="2" t="s">
        <v>184</v>
      </c>
      <c r="G23" s="61" t="s">
        <v>185</v>
      </c>
      <c r="H23" s="62" t="s">
        <v>186</v>
      </c>
      <c r="I23" s="2" t="s">
        <v>187</v>
      </c>
      <c r="J23" s="2" t="s">
        <v>188</v>
      </c>
      <c r="K23" s="2" t="s">
        <v>189</v>
      </c>
      <c r="L23" s="2" t="s">
        <v>190</v>
      </c>
      <c r="M23" s="63" t="s">
        <v>191</v>
      </c>
    </row>
    <row r="24" spans="1:90" ht="30" x14ac:dyDescent="0.25">
      <c r="D24" s="30" t="str">
        <f>D19</f>
        <v>9 CORE X 2.5 SQ. MM. CU/ARD - WIRE (PVC)</v>
      </c>
      <c r="E24" s="61">
        <f>K19</f>
        <v>2.6</v>
      </c>
      <c r="F24" s="64">
        <f>BY19/1000</f>
        <v>1.3</v>
      </c>
      <c r="G24" s="61" t="s">
        <v>192</v>
      </c>
      <c r="H24" s="65">
        <v>17000</v>
      </c>
      <c r="I24" s="64">
        <v>10</v>
      </c>
      <c r="J24" s="61">
        <f>F24*I24</f>
        <v>13</v>
      </c>
      <c r="K24" s="61">
        <f>ROUNDUP((E24/J24),0)</f>
        <v>1</v>
      </c>
      <c r="L24" s="61">
        <f>M24*E24</f>
        <v>17000</v>
      </c>
      <c r="M24" s="66">
        <f>(H24*K24)/E24</f>
        <v>6538.4615384615381</v>
      </c>
    </row>
    <row r="25" spans="1:90" ht="30" x14ac:dyDescent="0.25">
      <c r="D25" s="30" t="str">
        <f t="shared" ref="D25:D26" si="11">D20</f>
        <v>16 CORE X 1.5 SQ. MM. CU/ARD - WIRE (PVC)</v>
      </c>
      <c r="E25" s="61">
        <f t="shared" ref="E25:E26" si="12">K20</f>
        <v>2.8</v>
      </c>
      <c r="F25" s="64">
        <f t="shared" ref="F25:F26" si="13">BY20/1000</f>
        <v>1.3</v>
      </c>
      <c r="G25" s="61" t="s">
        <v>192</v>
      </c>
      <c r="H25" s="65">
        <v>17000</v>
      </c>
      <c r="I25" s="64">
        <v>10</v>
      </c>
      <c r="J25" s="61">
        <f t="shared" ref="J25:J26" si="14">F25*I25</f>
        <v>13</v>
      </c>
      <c r="K25" s="61">
        <f t="shared" ref="K25:K26" si="15">ROUNDUP((E25/J25),0)</f>
        <v>1</v>
      </c>
      <c r="L25" s="61">
        <f t="shared" ref="L25:L26" si="16">M25*E25</f>
        <v>17000</v>
      </c>
      <c r="M25" s="66">
        <f t="shared" ref="M25:M26" si="17">(H25*K25)/E25</f>
        <v>6071.4285714285716</v>
      </c>
    </row>
    <row r="26" spans="1:90" ht="30" x14ac:dyDescent="0.25">
      <c r="D26" s="30" t="str">
        <f t="shared" si="11"/>
        <v>5 CORE X 1.5 SQ. MM. CU/ARD - WIRE (PVC)</v>
      </c>
      <c r="E26" s="61">
        <f t="shared" si="12"/>
        <v>8.5</v>
      </c>
      <c r="F26" s="64">
        <f t="shared" si="13"/>
        <v>0.9</v>
      </c>
      <c r="G26" s="61" t="s">
        <v>192</v>
      </c>
      <c r="H26" s="65">
        <v>17000</v>
      </c>
      <c r="I26" s="64">
        <v>30</v>
      </c>
      <c r="J26" s="61">
        <f t="shared" si="14"/>
        <v>27</v>
      </c>
      <c r="K26" s="61">
        <f t="shared" si="15"/>
        <v>1</v>
      </c>
      <c r="L26" s="61">
        <f t="shared" si="16"/>
        <v>17000</v>
      </c>
      <c r="M26" s="66">
        <f t="shared" si="17"/>
        <v>2000</v>
      </c>
    </row>
    <row r="29" spans="1:90" ht="51" x14ac:dyDescent="0.25">
      <c r="A29" s="22" t="s">
        <v>0</v>
      </c>
      <c r="B29" s="22" t="s">
        <v>134</v>
      </c>
      <c r="C29" s="22" t="s">
        <v>1</v>
      </c>
      <c r="D29" s="22" t="s">
        <v>2</v>
      </c>
      <c r="E29" s="5" t="s">
        <v>196</v>
      </c>
      <c r="F29" s="15" t="s">
        <v>197</v>
      </c>
      <c r="G29" s="15" t="s">
        <v>198</v>
      </c>
      <c r="H29" s="6" t="s">
        <v>73</v>
      </c>
      <c r="I29" s="15" t="s">
        <v>74</v>
      </c>
      <c r="J29" s="15" t="s">
        <v>199</v>
      </c>
      <c r="K29" s="15" t="s">
        <v>76</v>
      </c>
      <c r="L29" s="15" t="s">
        <v>77</v>
      </c>
      <c r="M29" s="15" t="s">
        <v>78</v>
      </c>
    </row>
    <row r="30" spans="1:90" x14ac:dyDescent="0.25">
      <c r="A30" s="31"/>
      <c r="B30" s="31"/>
      <c r="C30" s="31"/>
      <c r="D30" s="31"/>
      <c r="E30" s="5"/>
      <c r="F30" s="5"/>
      <c r="G30" s="5"/>
      <c r="H30" s="5"/>
      <c r="I30" s="5"/>
      <c r="J30" s="5"/>
      <c r="K30" s="5"/>
      <c r="L30" s="5"/>
      <c r="M30" s="5"/>
    </row>
    <row r="31" spans="1:90" ht="30" x14ac:dyDescent="0.25">
      <c r="A31" s="1" t="str">
        <f>A19</f>
        <v>ENQ-11204-22-23</v>
      </c>
      <c r="B31" s="54">
        <f>B19</f>
        <v>45188</v>
      </c>
      <c r="C31" s="1" t="str">
        <f>C19</f>
        <v>FA0200049</v>
      </c>
      <c r="D31" s="1" t="str">
        <f>D19</f>
        <v>9 CORE X 2.5 SQ. MM. CU/ARD - WIRE (PVC)</v>
      </c>
      <c r="E31" s="3">
        <f>ROUNDUP(E19/1000,2)</f>
        <v>330.09</v>
      </c>
      <c r="F31" s="1">
        <f>ROUNDUP(F19/1000,2)</f>
        <v>6.54</v>
      </c>
      <c r="G31" s="9">
        <f>E31+F31</f>
        <v>336.63</v>
      </c>
      <c r="H31" s="7">
        <f>H19</f>
        <v>0.18</v>
      </c>
      <c r="I31" s="9">
        <f>G31*H31</f>
        <v>60.593399999999995</v>
      </c>
      <c r="J31" s="9">
        <f>G31+I31</f>
        <v>397.22339999999997</v>
      </c>
      <c r="K31" s="1">
        <f>K19*1000</f>
        <v>2600</v>
      </c>
      <c r="L31" s="1" t="s">
        <v>200</v>
      </c>
      <c r="M31" s="3">
        <f>J31*K31</f>
        <v>1032780.84</v>
      </c>
    </row>
    <row r="32" spans="1:90" ht="30" x14ac:dyDescent="0.25">
      <c r="A32" s="1" t="str">
        <f t="shared" ref="A32:D32" si="18">A20</f>
        <v>ENQ-11204-22-23</v>
      </c>
      <c r="B32" s="54">
        <f t="shared" si="18"/>
        <v>45188</v>
      </c>
      <c r="C32" s="1" t="str">
        <f t="shared" si="18"/>
        <v>FA0200068</v>
      </c>
      <c r="D32" s="1" t="str">
        <f t="shared" si="18"/>
        <v>16 CORE X 1.5 SQ. MM. CU/ARD - WIRE (PVC)</v>
      </c>
      <c r="E32" s="3">
        <f t="shared" ref="E32:F32" si="19">ROUNDUP(E20/1000,2)</f>
        <v>372.49</v>
      </c>
      <c r="F32" s="1">
        <f t="shared" si="19"/>
        <v>6.08</v>
      </c>
      <c r="G32" s="9">
        <f t="shared" ref="G32:G33" si="20">E32+F32</f>
        <v>378.57</v>
      </c>
      <c r="H32" s="7">
        <f t="shared" ref="H32:H33" si="21">H20</f>
        <v>0.18</v>
      </c>
      <c r="I32" s="9">
        <f t="shared" ref="I32:I33" si="22">G32*H32</f>
        <v>68.142600000000002</v>
      </c>
      <c r="J32" s="9">
        <f t="shared" ref="J32:J33" si="23">G32+I32</f>
        <v>446.71260000000001</v>
      </c>
      <c r="K32" s="1">
        <f t="shared" ref="K32:K33" si="24">K20*1000</f>
        <v>2800</v>
      </c>
      <c r="L32" s="1" t="s">
        <v>200</v>
      </c>
      <c r="M32" s="3">
        <f t="shared" ref="M32:M33" si="25">J32*K32</f>
        <v>1250795.28</v>
      </c>
    </row>
    <row r="33" spans="1:13" ht="30" x14ac:dyDescent="0.25">
      <c r="A33" s="1" t="str">
        <f t="shared" ref="A33:D33" si="26">A21</f>
        <v>ENQ-11204-22-23</v>
      </c>
      <c r="B33" s="54">
        <f t="shared" si="26"/>
        <v>45188</v>
      </c>
      <c r="C33" s="1" t="str">
        <f t="shared" si="26"/>
        <v>FA0200015</v>
      </c>
      <c r="D33" s="1" t="str">
        <f t="shared" si="26"/>
        <v>5 CORE X 1.5 SQ. MM. CU/ARD - WIRE (PVC)</v>
      </c>
      <c r="E33" s="3">
        <f t="shared" ref="E33:F33" si="27">ROUNDUP(E21/1000,2)</f>
        <v>144.22</v>
      </c>
      <c r="F33" s="1">
        <f t="shared" si="27"/>
        <v>2</v>
      </c>
      <c r="G33" s="9">
        <f t="shared" si="20"/>
        <v>146.22</v>
      </c>
      <c r="H33" s="7">
        <f t="shared" si="21"/>
        <v>0.18</v>
      </c>
      <c r="I33" s="9">
        <f t="shared" si="22"/>
        <v>26.319599999999998</v>
      </c>
      <c r="J33" s="9">
        <f t="shared" si="23"/>
        <v>172.53960000000001</v>
      </c>
      <c r="K33" s="1">
        <f t="shared" si="24"/>
        <v>8500</v>
      </c>
      <c r="L33" s="1" t="s">
        <v>200</v>
      </c>
      <c r="M33" s="3">
        <f t="shared" si="25"/>
        <v>1466586.6</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4:G26">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2023-09-23T05:47:32Z</dcterms:modified>
</cp:coreProperties>
</file>