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ANDAN PAUL\Desktop\LASER TENDER\20128\"/>
    </mc:Choice>
  </mc:AlternateContent>
  <xr:revisionPtr revIDLastSave="0" documentId="13_ncr:1_{9A874FC9-DACC-4963-8332-AEDC3EAA9E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AUTO CALCULATION SHEET (2)" sheetId="4" r:id="rId2"/>
    <sheet name="NORMAL" sheetId="6" state="hidden" r:id="rId3"/>
    <sheet name="terms" sheetId="5" state="hidden" r:id="rId4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4" i="4" l="1"/>
  <c r="CI4" i="4"/>
  <c r="CW4" i="6" l="1"/>
  <c r="CU4" i="6"/>
  <c r="CK4" i="6"/>
  <c r="F9" i="6" s="1"/>
  <c r="B9" i="6"/>
  <c r="I9" i="6"/>
  <c r="H9" i="6"/>
  <c r="G9" i="6"/>
  <c r="CY4" i="6"/>
  <c r="CN4" i="6"/>
  <c r="CJ4" i="6"/>
  <c r="CI4" i="6"/>
  <c r="CH4" i="6"/>
  <c r="A9" i="6"/>
  <c r="L4" i="6"/>
  <c r="K4" i="6"/>
  <c r="K15" i="6" s="1"/>
  <c r="H4" i="6"/>
  <c r="H15" i="6" s="1"/>
  <c r="D4" i="6"/>
  <c r="D15" i="6" s="1"/>
  <c r="C4" i="6"/>
  <c r="C15" i="6" s="1"/>
  <c r="A4" i="6"/>
  <c r="A15" i="6" s="1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F9" i="4"/>
  <c r="T4" i="4"/>
  <c r="T3" i="4"/>
  <c r="S4" i="4"/>
  <c r="S3" i="4"/>
  <c r="AU4" i="4"/>
  <c r="AU3" i="4"/>
  <c r="R4" i="4"/>
  <c r="R3" i="4"/>
  <c r="BV4" i="4"/>
  <c r="BV3" i="4"/>
  <c r="AZ4" i="4"/>
  <c r="AZ3" i="4"/>
  <c r="L4" i="4"/>
  <c r="K4" i="4"/>
  <c r="K15" i="4" s="1"/>
  <c r="H4" i="4"/>
  <c r="H15" i="4" s="1"/>
  <c r="CY4" i="4"/>
  <c r="C9" i="6" l="1"/>
  <c r="D9" i="6" s="1"/>
  <c r="J9" i="6"/>
  <c r="E9" i="6"/>
  <c r="J9" i="4"/>
  <c r="E9" i="4"/>
  <c r="CL4" i="6"/>
  <c r="CM4" i="6" s="1"/>
  <c r="CM5" i="6" s="1"/>
  <c r="CS4" i="6" l="1"/>
  <c r="CQ4" i="6"/>
  <c r="CO4" i="6"/>
  <c r="K9" i="4"/>
  <c r="BQ4" i="4"/>
  <c r="BQ3" i="4"/>
  <c r="L9" i="4" l="1"/>
  <c r="M9" i="4" s="1"/>
  <c r="K9" i="6"/>
  <c r="L9" i="6" s="1"/>
  <c r="M9" i="6" s="1"/>
  <c r="CT4" i="6"/>
  <c r="CX4" i="6" s="1"/>
  <c r="CV4" i="6"/>
  <c r="F4" i="4"/>
  <c r="F15" i="4" s="1"/>
  <c r="BF4" i="4"/>
  <c r="BF3" i="4"/>
  <c r="CZ4" i="6" l="1"/>
  <c r="F4" i="6"/>
  <c r="F15" i="6" s="1"/>
  <c r="E4" i="6"/>
  <c r="E15" i="6" s="1"/>
  <c r="AO4" i="4"/>
  <c r="AO3" i="4"/>
  <c r="AN4" i="4"/>
  <c r="AN3" i="4"/>
  <c r="AP4" i="4"/>
  <c r="AP3" i="4"/>
  <c r="G15" i="6" l="1"/>
  <c r="G4" i="6"/>
  <c r="I4" i="6" s="1"/>
  <c r="J4" i="6" s="1"/>
  <c r="M4" i="6" s="1"/>
  <c r="I15" i="6"/>
  <c r="J15" i="6" s="1"/>
  <c r="M15" i="6" s="1"/>
  <c r="B15" i="4" l="1"/>
  <c r="B4" i="6"/>
  <c r="B15" i="6" s="1"/>
  <c r="M17" i="6"/>
  <c r="AH4" i="4" l="1"/>
  <c r="CN4" i="4" l="1"/>
  <c r="A4" i="4" l="1"/>
  <c r="A15" i="4" s="1"/>
  <c r="X3" i="4" l="1"/>
  <c r="W3" i="4"/>
  <c r="AF4" i="4" l="1"/>
  <c r="AE4" i="4"/>
  <c r="AD4" i="4"/>
  <c r="AC4" i="4"/>
  <c r="AB4" i="4"/>
  <c r="AA4" i="4"/>
  <c r="Z4" i="4"/>
  <c r="Y4" i="4"/>
  <c r="X4" i="4"/>
  <c r="W4" i="4"/>
  <c r="CG4" i="4"/>
  <c r="CF4" i="4"/>
  <c r="CE4" i="4"/>
  <c r="CD4" i="4"/>
  <c r="CC4" i="4"/>
  <c r="CB4" i="4"/>
  <c r="CA4" i="4"/>
  <c r="BZ4" i="4"/>
  <c r="CE3" i="4"/>
  <c r="CF3" i="4"/>
  <c r="CG3" i="4"/>
  <c r="CD3" i="4"/>
  <c r="CC3" i="4"/>
  <c r="CB3" i="4"/>
  <c r="BZ3" i="4"/>
  <c r="CA3" i="4"/>
  <c r="BY4" i="4"/>
  <c r="BX4" i="4"/>
  <c r="BW4" i="4"/>
  <c r="BU4" i="4"/>
  <c r="BT4" i="4"/>
  <c r="BS4" i="4"/>
  <c r="BR4" i="4"/>
  <c r="BP4" i="4"/>
  <c r="BO4" i="4"/>
  <c r="BN4" i="4"/>
  <c r="BM4" i="4"/>
  <c r="BX3" i="4"/>
  <c r="BW3" i="4"/>
  <c r="BU3" i="4"/>
  <c r="BT3" i="4"/>
  <c r="BS3" i="4"/>
  <c r="BR3" i="4"/>
  <c r="BO3" i="4"/>
  <c r="BN3" i="4"/>
  <c r="BM3" i="4"/>
  <c r="BL4" i="4"/>
  <c r="BK4" i="4"/>
  <c r="BJ4" i="4"/>
  <c r="BI4" i="4"/>
  <c r="BH4" i="4"/>
  <c r="BG4" i="4"/>
  <c r="BE4" i="4"/>
  <c r="BD4" i="4"/>
  <c r="BC4" i="4"/>
  <c r="BB4" i="4"/>
  <c r="BL3" i="4"/>
  <c r="BK3" i="4"/>
  <c r="BJ3" i="4"/>
  <c r="BI3" i="4"/>
  <c r="BG3" i="4"/>
  <c r="BE3" i="4"/>
  <c r="BD3" i="4"/>
  <c r="BC3" i="4"/>
  <c r="BB3" i="4"/>
  <c r="BA3" i="4"/>
  <c r="BA4" i="4"/>
  <c r="AY4" i="4"/>
  <c r="AX4" i="4"/>
  <c r="AW4" i="4"/>
  <c r="AV4" i="4"/>
  <c r="AT4" i="4"/>
  <c r="AS4" i="4"/>
  <c r="AX3" i="4"/>
  <c r="AW3" i="4"/>
  <c r="AV3" i="4"/>
  <c r="AT3" i="4"/>
  <c r="AS3" i="4"/>
  <c r="AR3" i="4"/>
  <c r="AR4" i="4"/>
  <c r="AQ4" i="4"/>
  <c r="AM4" i="4"/>
  <c r="AL4" i="4"/>
  <c r="AK4" i="4"/>
  <c r="AJ4" i="4"/>
  <c r="AI4" i="4"/>
  <c r="AQ3" i="4"/>
  <c r="AM3" i="4"/>
  <c r="AL3" i="4"/>
  <c r="AK3" i="4"/>
  <c r="AJ3" i="4"/>
  <c r="AH3" i="4"/>
  <c r="AG4" i="4"/>
  <c r="AF3" i="4" l="1"/>
  <c r="AE3" i="4"/>
  <c r="AD3" i="4"/>
  <c r="AC3" i="4"/>
  <c r="AB3" i="4"/>
  <c r="AA3" i="4"/>
  <c r="Y3" i="4"/>
  <c r="V3" i="4" l="1"/>
  <c r="U3" i="4"/>
  <c r="Q3" i="4"/>
  <c r="P3" i="4"/>
  <c r="O4" i="4"/>
  <c r="V4" i="4"/>
  <c r="U4" i="4"/>
  <c r="Q4" i="4"/>
  <c r="P4" i="4"/>
  <c r="D4" i="4"/>
  <c r="D15" i="4" s="1"/>
  <c r="C4" i="4"/>
  <c r="C15" i="4" s="1"/>
  <c r="A9" i="4" l="1"/>
  <c r="C9" i="4" s="1"/>
  <c r="CM4" i="4"/>
  <c r="CO4" i="4" l="1"/>
  <c r="CQ4" i="4"/>
  <c r="CS4" i="4"/>
  <c r="CT4" i="4" l="1"/>
  <c r="CZ4" i="4" l="1"/>
  <c r="CV4" i="4"/>
  <c r="CX4" i="4"/>
  <c r="E4" i="4" l="1"/>
  <c r="E17" i="6" s="1"/>
  <c r="G4" i="4" l="1"/>
  <c r="I4" i="4" s="1"/>
  <c r="J4" i="4" s="1"/>
  <c r="M4" i="4" s="1"/>
  <c r="E15" i="4"/>
  <c r="G15" i="4" s="1"/>
  <c r="I15" i="4" s="1"/>
  <c r="J15" i="4" s="1"/>
  <c r="M15" i="4" s="1"/>
  <c r="M1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8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8" authorId="0" shapeId="0" xr:uid="{5A7C4BC7-1110-4540-97F7-2A81B31196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<sst xmlns="http://schemas.openxmlformats.org/spreadsheetml/2006/main" count="447" uniqueCount="240">
  <si>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</si>
  <si>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</si>
  <si>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</si>
  <si>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</si>
  <si>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</si>
  <si>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</si>
  <si>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</si>
  <si>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</si>
  <si>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</si>
  <si>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</si>
  <si>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</si>
  <si>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</si>
  <si>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</si>
  <si>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</si>
  <si>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</si>
  <si>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</si>
  <si>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</si>
  <si>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</si>
  <si>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</si>
  <si>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</si>
  <si>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</si>
  <si>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</si>
  <si>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</si>
  <si>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</si>
  <si>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</si>
  <si>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</si>
  <si>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</si>
  <si>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</si>
  <si>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</si>
  <si>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</si>
  <si>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</si>
  <si>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</si>
  <si>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</si>
  <si>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</si>
  <si>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</si>
  <si>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</si>
  <si>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</si>
  <si>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</si>
  <si>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</si>
  <si>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</si>
  <si>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</si>
  <si>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</si>
  <si>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</si>
  <si>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</si>
  <si>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</si>
  <si>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</si>
  <si>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</si>
  <si>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</si>
  <si>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</si>
  <si>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</si>
  <si>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</si>
  <si>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</si>
  <si>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</si>
  <si>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</si>
  <si>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</si>
  <si>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</si>
  <si>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</si>
  <si>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</si>
  <si>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</si>
  <si>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</si>
  <si>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</si>
  <si>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</si>
  <si>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</si>
  <si>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</si>
  <si>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</si>
  <si>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</si>
  <si>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</si>
  <si>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</si>
  <si>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</si>
  <si>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</si>
  <si>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</si>
  <si>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</si>
  <si>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</si>
  <si>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</si>
  <si>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</si>
  <si>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</si>
  <si>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</si>
  <si>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</si>
  <si>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</si>
  <si>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</si>
  <si>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</si>
  <si>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</si>
  <si>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</si>
  <si>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</si>
  <si>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</si>
  <si>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</si>
  <si>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</si>
  <si>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</si>
  <si>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</si>
  <si>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</si>
  <si>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</si>
  <si>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</si>
  <si>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</si>
  <si>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</si>
  <si>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</si>
  <si>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</si>
  <si>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</si>
  <si>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</si>
  <si>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</si>
  <si>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</si>
  <si>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</si>
  <si>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</si>
  <si>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</si>
  <si>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</si>
  <si>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</si>
  <si>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</si>
  <si>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</si>
  <si>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</si>
  <si>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</si>
  <si>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</si>
  <si>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</si>
  <si>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</si>
  <si>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</si>
  <si>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</si>
  <si>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</si>
  <si>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</si>
  <si>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</si>
  <si>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</si>
  <si>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</si>
  <si>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</si>
  <si>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</si>
  <si>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</si>
  <si>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</si>
  <si>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</si>
  <si>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</si>
  <si>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</si>
  <si>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</si>
  <si>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</si>
  <si>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</si>
  <si>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</si>
  <si>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</si>
  <si>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</si>
  <si>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</si>
  <si>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</si>
  <si>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</si>
  <si>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</si>
  <si>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EX-WORKS (PER MTR)</t>
  </si>
  <si>
    <t>FREIGHT PER MTR</t>
  </si>
  <si>
    <t>PRICE INCLUDING FREIGHT (PER MTR)</t>
  </si>
  <si>
    <t>PRICE INCLUDING GST &amp; FREIGHT (PER MTR)</t>
  </si>
  <si>
    <t>MTR</t>
  </si>
  <si>
    <t>Cable Weight</t>
  </si>
  <si>
    <t>Drum Weight</t>
  </si>
  <si>
    <t>Cable + Drum Weight</t>
  </si>
  <si>
    <t>Truck Weight</t>
  </si>
  <si>
    <t>NON CHAIN BOM ID</t>
  </si>
  <si>
    <t>IS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</si>
  <si>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</si>
  <si>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</si>
  <si>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</si>
  <si>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</si>
  <si>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</si>
  <si>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</si>
  <si>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</si>
  <si>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</si>
  <si>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</si>
  <si>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</si>
  <si>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</si>
  <si>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</si>
  <si>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</si>
  <si>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</si>
  <si>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</si>
  <si>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</si>
  <si>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</si>
  <si>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</si>
  <si>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</si>
  <si>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</si>
  <si>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</si>
  <si>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</si>
  <si>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</si>
  <si>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</si>
  <si>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</si>
  <si>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</si>
  <si>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</si>
  <si>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</si>
  <si>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</si>
  <si>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</si>
  <si>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</si>
  <si>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</si>
  <si>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</si>
  <si>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</si>
  <si>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</si>
  <si>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</si>
  <si>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</si>
  <si>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</si>
  <si>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</si>
  <si>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</si>
  <si>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</si>
  <si>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</si>
  <si>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</si>
  <si>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</si>
  <si>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</si>
  <si>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</si>
  <si>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</si>
  <si>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</si>
  <si>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</si>
  <si>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</si>
  <si>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</si>
  <si>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</si>
  <si>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</si>
  <si>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</si>
  <si>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</si>
  <si>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</si>
  <si>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</si>
  <si>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</si>
  <si>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</si>
  <si>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</si>
  <si>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</si>
  <si>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</si>
  <si>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</si>
  <si>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</si>
  <si>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</si>
  <si>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</si>
  <si>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</si>
  <si>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</si>
  <si>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</si>
  <si>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</si>
  <si>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</si>
  <si>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</si>
  <si>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</si>
  <si>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</si>
  <si>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</si>
  <si>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</si>
  <si>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</si>
  <si>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</si>
  <si>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</si>
  <si>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</si>
  <si>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</si>
  <si>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</si>
  <si>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</si>
  <si>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</si>
  <si>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ENQ-20128-25-26</t>
  </si>
  <si>
    <t>FA1300002</t>
  </si>
  <si>
    <t>3 CORE X 185 SQ. MM AL/ARM - STRIP (XLPE) - 11 KV</t>
  </si>
  <si>
    <t>STEEL</t>
  </si>
  <si>
    <t>Extruded Semiconductive</t>
  </si>
  <si>
    <t>KMS</t>
  </si>
  <si>
    <t>SP0400123</t>
  </si>
  <si>
    <t>CORRUGATED DISPATCH STEEL DRUM 2000 X 1000 X 1200 MM</t>
  </si>
  <si>
    <t>16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</si>
</sst>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0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7" fillId="0" borderId="0"/>
    <xf numFmtId="164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3" fontId="0" fillId="0" borderId="0" xfId="1" applyFont="1"/>
    <xf numFmtId="43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43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43" fontId="3" fillId="3" borderId="1" xfId="1" applyFont="1" applyFill="1" applyBorder="1" applyAlignment="1">
      <alignment vertical="center" wrapText="1"/>
    </xf>
    <xf numFmtId="43" fontId="5" fillId="3" borderId="1" xfId="1" applyFont="1" applyFill="1" applyBorder="1" applyAlignment="1">
      <alignment vertical="center" wrapText="1"/>
    </xf>
    <xf numFmtId="43" fontId="7" fillId="2" borderId="1" xfId="1" applyFont="1" applyFill="1" applyBorder="1" applyAlignment="1">
      <alignment vertical="center" wrapText="1"/>
    </xf>
    <xf numFmtId="43" fontId="8" fillId="4" borderId="1" xfId="1" applyFont="1" applyFill="1" applyBorder="1" applyAlignment="1">
      <alignment vertical="center" wrapText="1"/>
    </xf>
    <xf numFmtId="43" fontId="8" fillId="3" borderId="1" xfId="1" applyFont="1" applyFill="1" applyBorder="1" applyAlignment="1">
      <alignment vertical="center" wrapText="1"/>
    </xf>
    <xf numFmtId="43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43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43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0" fillId="0" borderId="4" xfId="1" applyFont="1" applyBorder="1" applyAlignment="1">
      <alignment horizontal="center" vertical="center" wrapText="1"/>
    </xf>
    <xf numFmtId="43" fontId="8" fillId="5" borderId="1" xfId="1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vertical="center" wrapText="1"/>
    </xf>
    <xf numFmtId="43" fontId="3" fillId="0" borderId="1" xfId="1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3" fontId="3" fillId="0" borderId="0" xfId="1" applyFont="1" applyBorder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3" fontId="3" fillId="8" borderId="1" xfId="1" applyFont="1" applyFill="1" applyBorder="1" applyAlignment="1">
      <alignment horizontal="center" vertical="center" wrapText="1"/>
    </xf>
    <xf numFmtId="43" fontId="0" fillId="8" borderId="1" xfId="1" applyFont="1" applyFill="1" applyBorder="1" applyAlignment="1">
      <alignment horizontal="center" vertical="center" wrapText="1"/>
    </xf>
    <xf numFmtId="2" fontId="2" fillId="0" borderId="0" xfId="5" applyNumberFormat="1" applyFont="1" applyFill="1" applyBorder="1" applyAlignment="1">
      <alignment horizontal="center" vertical="center"/>
    </xf>
    <xf numFmtId="10" fontId="0" fillId="0" borderId="4" xfId="2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6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CR1" activePane="topRight" state="frozen"/>
      <selection pane="topRight" activeCell="CY2" sqref="CY2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51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41.25" customHeight="1" x14ac:dyDescent="0.25">
      <c r="A1" s="6" t="s">
        <v>0</v>
      </c>
      <c r="B1" s="6" t="s">
        <v>147</v>
      </c>
      <c r="C1" s="1" t="s">
        <v>1</v>
      </c>
      <c r="D1" s="1" t="s">
        <v>2</v>
      </c>
      <c r="E1" s="1" t="s">
        <v>148</v>
      </c>
      <c r="F1" s="58" t="s">
        <v>149</v>
      </c>
      <c r="G1" s="58" t="s">
        <v>150</v>
      </c>
      <c r="H1" s="58" t="s">
        <v>151</v>
      </c>
      <c r="I1" s="58" t="s">
        <v>152</v>
      </c>
      <c r="J1" s="53" t="s">
        <v>82</v>
      </c>
      <c r="K1" s="53" t="s">
        <v>153</v>
      </c>
      <c r="L1" s="53" t="s">
        <v>154</v>
      </c>
      <c r="M1" s="53" t="s">
        <v>155</v>
      </c>
      <c r="N1" s="52" t="s">
        <v>4</v>
      </c>
      <c r="O1" s="52" t="s">
        <v>156</v>
      </c>
      <c r="P1" s="52" t="s">
        <v>157</v>
      </c>
      <c r="Q1" s="52" t="s">
        <v>158</v>
      </c>
      <c r="R1" s="56" t="s">
        <v>159</v>
      </c>
      <c r="S1" s="56" t="s">
        <v>160</v>
      </c>
      <c r="T1" s="56" t="s">
        <v>161</v>
      </c>
      <c r="U1" s="56" t="s">
        <v>162</v>
      </c>
      <c r="V1" s="55" t="s">
        <v>6</v>
      </c>
      <c r="W1" s="55" t="s">
        <v>163</v>
      </c>
      <c r="X1" s="55" t="s">
        <v>164</v>
      </c>
      <c r="Y1" s="55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54" t="s">
        <v>8</v>
      </c>
      <c r="AE1" s="54" t="s">
        <v>170</v>
      </c>
      <c r="AF1" s="54" t="s">
        <v>171</v>
      </c>
      <c r="AG1" s="54" t="s">
        <v>172</v>
      </c>
      <c r="AH1" s="55" t="s">
        <v>9</v>
      </c>
      <c r="AI1" s="55" t="s">
        <v>173</v>
      </c>
      <c r="AJ1" s="55" t="s">
        <v>174</v>
      </c>
      <c r="AK1" s="55" t="s">
        <v>175</v>
      </c>
      <c r="AL1" s="1" t="s">
        <v>10</v>
      </c>
      <c r="AM1" s="1" t="s">
        <v>176</v>
      </c>
      <c r="AN1" s="1" t="s">
        <v>177</v>
      </c>
      <c r="AO1" s="1" t="s">
        <v>178</v>
      </c>
      <c r="AP1" s="57" t="s">
        <v>179</v>
      </c>
      <c r="AQ1" s="57" t="s">
        <v>180</v>
      </c>
      <c r="AR1" s="57" t="s">
        <v>181</v>
      </c>
      <c r="AS1" s="57" t="s">
        <v>182</v>
      </c>
      <c r="AT1" s="1" t="s">
        <v>50</v>
      </c>
      <c r="AU1" s="1" t="s">
        <v>183</v>
      </c>
      <c r="AV1" s="1" t="s">
        <v>184</v>
      </c>
      <c r="AW1" s="1" t="s">
        <v>185</v>
      </c>
      <c r="AX1" s="1" t="s">
        <v>186</v>
      </c>
      <c r="AY1" s="1" t="s">
        <v>187</v>
      </c>
      <c r="AZ1" s="1" t="s">
        <v>188</v>
      </c>
      <c r="BA1" s="1" t="s">
        <v>189</v>
      </c>
      <c r="BB1" s="1" t="s">
        <v>190</v>
      </c>
      <c r="BC1" s="1" t="s">
        <v>191</v>
      </c>
      <c r="BD1" s="1" t="s">
        <v>192</v>
      </c>
      <c r="BE1" s="1" t="s">
        <v>193</v>
      </c>
      <c r="BF1" s="1" t="s">
        <v>194</v>
      </c>
      <c r="BG1" s="1" t="s">
        <v>195</v>
      </c>
      <c r="BH1" s="1" t="s">
        <v>196</v>
      </c>
      <c r="BI1" s="1" t="s">
        <v>197</v>
      </c>
      <c r="BJ1" s="1" t="s">
        <v>198</v>
      </c>
      <c r="BK1" s="1" t="s">
        <v>199</v>
      </c>
      <c r="BL1" s="1" t="s">
        <v>200</v>
      </c>
      <c r="BM1" s="1" t="s">
        <v>201</v>
      </c>
      <c r="BN1" s="1" t="s">
        <v>202</v>
      </c>
      <c r="BO1" s="1" t="s">
        <v>203</v>
      </c>
      <c r="BP1" s="1" t="s">
        <v>204</v>
      </c>
      <c r="BQ1" s="1" t="s">
        <v>205</v>
      </c>
      <c r="BR1" s="1" t="s">
        <v>206</v>
      </c>
      <c r="BS1" s="1" t="s">
        <v>207</v>
      </c>
      <c r="BT1" s="1" t="s">
        <v>208</v>
      </c>
      <c r="BU1" s="1" t="s">
        <v>209</v>
      </c>
      <c r="BV1" s="1" t="s">
        <v>19</v>
      </c>
      <c r="BW1" s="1" t="s">
        <v>210</v>
      </c>
      <c r="BX1" s="1" t="s">
        <v>211</v>
      </c>
      <c r="BY1" s="1" t="s">
        <v>212</v>
      </c>
      <c r="BZ1" s="1" t="s">
        <v>213</v>
      </c>
      <c r="CA1" s="1" t="s">
        <v>214</v>
      </c>
      <c r="CB1" s="1" t="s">
        <v>215</v>
      </c>
      <c r="CC1" s="1" t="s">
        <v>216</v>
      </c>
      <c r="CD1" s="1" t="s">
        <v>22</v>
      </c>
      <c r="CE1" s="1" t="s">
        <v>217</v>
      </c>
      <c r="CF1" s="1" t="s">
        <v>24</v>
      </c>
      <c r="CG1" s="1" t="s">
        <v>218</v>
      </c>
      <c r="CH1" s="1" t="s">
        <v>219</v>
      </c>
      <c r="CI1" s="1" t="s">
        <v>27</v>
      </c>
      <c r="CJ1" s="1" t="s">
        <v>220</v>
      </c>
      <c r="CK1" s="1" t="s">
        <v>29</v>
      </c>
      <c r="CL1" s="1" t="s">
        <v>221</v>
      </c>
      <c r="CM1" s="1" t="s">
        <v>222</v>
      </c>
      <c r="CN1" s="1" t="s">
        <v>223</v>
      </c>
      <c r="CO1" s="1" t="s">
        <v>224</v>
      </c>
      <c r="CP1" s="1" t="s">
        <v>225</v>
      </c>
      <c r="CQ1" s="1" t="s">
        <v>226</v>
      </c>
      <c r="CR1" s="1" t="s">
        <v>34</v>
      </c>
      <c r="CS1" s="1" t="s">
        <v>227</v>
      </c>
      <c r="CT1" s="1" t="s">
        <v>228</v>
      </c>
      <c r="CU1" s="1" t="s">
        <v>37</v>
      </c>
      <c r="CV1" s="1" t="s">
        <v>38</v>
      </c>
      <c r="CW1" s="1" t="s">
        <v>229</v>
      </c>
      <c r="CX1" s="1" t="s">
        <v>230</v>
      </c>
      <c r="CY1" s="10" t="s">
        <v>92</v>
      </c>
      <c r="CZ1" s="10" t="s">
        <v>93</v>
      </c>
    </row>
    <row r="2" spans="1:104" s="10" customFormat="1" ht="36.75" customHeight="1" x14ac:dyDescent="0.25">
      <c r="A2" s="6" t="s">
        <v>231</v>
      </c>
      <c r="B2" s="63"/>
      <c r="C2" s="1" t="s">
        <v>232</v>
      </c>
      <c r="D2" s="1" t="s">
        <v>233</v>
      </c>
      <c r="E2" s="1" t="s">
        <v>234</v>
      </c>
      <c r="F2" s="58" t="s">
        <v>57</v>
      </c>
      <c r="G2" s="58"/>
      <c r="H2" s="58">
        <v>75</v>
      </c>
      <c r="I2" s="58"/>
      <c r="J2" s="53" t="s">
        <v>41</v>
      </c>
      <c r="K2" s="53"/>
      <c r="L2" s="53">
        <v>1499</v>
      </c>
      <c r="M2" s="53"/>
      <c r="N2" s="52"/>
      <c r="O2" s="52"/>
      <c r="P2" s="52">
        <v>0</v>
      </c>
      <c r="Q2" s="52"/>
      <c r="R2" s="56" t="s">
        <v>235</v>
      </c>
      <c r="S2" s="56"/>
      <c r="T2" s="56">
        <v>276</v>
      </c>
      <c r="U2" s="56"/>
      <c r="V2" s="55" t="s">
        <v>51</v>
      </c>
      <c r="W2" s="55"/>
      <c r="X2" s="55">
        <v>663</v>
      </c>
      <c r="Y2" s="55"/>
      <c r="Z2" s="1"/>
      <c r="AA2" s="1"/>
      <c r="AB2" s="1">
        <v>0</v>
      </c>
      <c r="AC2" s="1"/>
      <c r="AD2" s="54" t="s">
        <v>48</v>
      </c>
      <c r="AE2" s="54"/>
      <c r="AF2" s="54">
        <v>237</v>
      </c>
      <c r="AG2" s="54"/>
      <c r="AH2" s="55" t="s">
        <v>49</v>
      </c>
      <c r="AI2" s="55"/>
      <c r="AJ2" s="55">
        <v>975</v>
      </c>
      <c r="AK2" s="55"/>
      <c r="AL2" s="1" t="s">
        <v>61</v>
      </c>
      <c r="AM2" s="1"/>
      <c r="AN2" s="1">
        <v>755</v>
      </c>
      <c r="AO2" s="1"/>
      <c r="AP2" s="57" t="s">
        <v>11</v>
      </c>
      <c r="AQ2" s="57"/>
      <c r="AR2" s="57">
        <v>914</v>
      </c>
      <c r="AS2" s="57"/>
      <c r="AT2" s="1"/>
      <c r="AU2" s="1"/>
      <c r="AV2" s="1">
        <v>0</v>
      </c>
      <c r="AW2" s="1"/>
      <c r="AX2" s="1"/>
      <c r="AY2" s="1"/>
      <c r="AZ2" s="1">
        <v>92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72</v>
      </c>
      <c r="BM2" s="70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54000</v>
      </c>
      <c r="CA2" s="1">
        <v>54000</v>
      </c>
      <c r="CB2" s="60"/>
      <c r="CC2" s="1"/>
      <c r="CD2" s="60"/>
      <c r="CE2" s="1"/>
      <c r="CF2" s="60"/>
      <c r="CG2" s="1"/>
      <c r="CH2" s="1">
        <v>54000</v>
      </c>
      <c r="CI2" s="60"/>
      <c r="CJ2" s="1"/>
      <c r="CK2" s="60"/>
      <c r="CL2" s="1"/>
      <c r="CM2" s="1"/>
      <c r="CN2" s="1"/>
      <c r="CO2" s="1">
        <v>54000</v>
      </c>
      <c r="CP2" s="60"/>
      <c r="CQ2" s="1">
        <v>54000</v>
      </c>
      <c r="CR2" s="60">
        <v>0.18</v>
      </c>
      <c r="CS2" s="1">
        <v>9720</v>
      </c>
      <c r="CT2" s="1">
        <v>63720</v>
      </c>
      <c r="CU2" s="59">
        <v>2.5</v>
      </c>
      <c r="CV2" s="59" t="s">
        <v>236</v>
      </c>
      <c r="CW2" s="59">
        <v>159300</v>
      </c>
      <c r="CX2" s="1"/>
      <c r="CY2" s="10" t="s">
        <v>237</v>
      </c>
      <c r="CZ2" s="10" t="s">
        <v>238</v>
      </c>
    </row>
    <row r="3" spans="1:104" s="10" customFormat="1" ht="18" customHeight="1" x14ac:dyDescent="0.25">
      <c r="A3" s="6"/>
      <c r="B3" s="63"/>
      <c r="C3" s="1"/>
      <c r="D3" s="1"/>
      <c r="E3" s="1"/>
      <c r="F3" s="58"/>
      <c r="G3" s="58"/>
      <c r="H3" s="58"/>
      <c r="I3" s="58"/>
      <c r="J3" s="53"/>
      <c r="K3" s="53"/>
      <c r="L3" s="53"/>
      <c r="M3" s="53"/>
      <c r="N3" s="52"/>
      <c r="O3" s="52"/>
      <c r="P3" s="52"/>
      <c r="Q3" s="52"/>
      <c r="R3" s="56"/>
      <c r="S3" s="56"/>
      <c r="T3" s="56"/>
      <c r="U3" s="56"/>
      <c r="V3" s="55"/>
      <c r="W3" s="55"/>
      <c r="X3" s="55"/>
      <c r="Y3" s="55"/>
      <c r="Z3" s="1"/>
      <c r="AA3" s="1"/>
      <c r="AB3" s="1"/>
      <c r="AC3" s="1"/>
      <c r="AD3" s="54"/>
      <c r="AE3" s="54"/>
      <c r="AF3" s="54"/>
      <c r="AG3" s="54"/>
      <c r="AH3" s="55"/>
      <c r="AI3" s="55"/>
      <c r="AJ3" s="55"/>
      <c r="AK3" s="55"/>
      <c r="AL3" s="1"/>
      <c r="AM3" s="1"/>
      <c r="AN3" s="1"/>
      <c r="AO3" s="1"/>
      <c r="AP3" s="57"/>
      <c r="AQ3" s="57"/>
      <c r="AR3" s="57"/>
      <c r="AS3" s="57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70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60"/>
      <c r="CC3" s="1"/>
      <c r="CD3" s="60"/>
      <c r="CE3" s="1"/>
      <c r="CF3" s="60"/>
      <c r="CG3" s="1"/>
      <c r="CH3" s="1"/>
      <c r="CI3" s="60"/>
      <c r="CJ3" s="1"/>
      <c r="CK3" s="60"/>
      <c r="CL3" s="1"/>
      <c r="CM3" s="1"/>
      <c r="CN3" s="1"/>
      <c r="CO3" s="1"/>
      <c r="CP3" s="60"/>
      <c r="CQ3" s="1"/>
      <c r="CR3" s="60"/>
      <c r="CS3" s="1"/>
      <c r="CT3" s="1"/>
      <c r="CU3" s="59"/>
      <c r="CV3" s="59"/>
      <c r="CW3" s="59"/>
      <c r="CX3" s="1"/>
    </row>
    <row r="4" spans="1:104" s="10" customFormat="1" ht="18" customHeight="1" x14ac:dyDescent="0.25">
      <c r="A4" s="6"/>
      <c r="B4" s="63"/>
      <c r="C4" s="1"/>
      <c r="D4" s="1"/>
      <c r="E4" s="1"/>
      <c r="F4" s="58"/>
      <c r="G4" s="58"/>
      <c r="H4" s="58"/>
      <c r="I4" s="58"/>
      <c r="J4" s="53"/>
      <c r="K4" s="53"/>
      <c r="L4" s="53"/>
      <c r="M4" s="53"/>
      <c r="N4" s="52"/>
      <c r="O4" s="52"/>
      <c r="P4" s="52"/>
      <c r="Q4" s="52"/>
      <c r="R4" s="56"/>
      <c r="S4" s="56"/>
      <c r="T4" s="56"/>
      <c r="U4" s="56"/>
      <c r="V4" s="55"/>
      <c r="W4" s="55"/>
      <c r="X4" s="55"/>
      <c r="Y4" s="55"/>
      <c r="Z4" s="1"/>
      <c r="AA4" s="1"/>
      <c r="AB4" s="1"/>
      <c r="AC4" s="1"/>
      <c r="AD4" s="54"/>
      <c r="AE4" s="54"/>
      <c r="AF4" s="54"/>
      <c r="AG4" s="54"/>
      <c r="AH4" s="55"/>
      <c r="AI4" s="55"/>
      <c r="AJ4" s="55"/>
      <c r="AK4" s="55"/>
      <c r="AL4" s="1"/>
      <c r="AM4" s="1"/>
      <c r="AN4" s="1"/>
      <c r="AO4" s="1"/>
      <c r="AP4" s="57"/>
      <c r="AQ4" s="57"/>
      <c r="AR4" s="57"/>
      <c r="AS4" s="57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70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60"/>
      <c r="CC4" s="1"/>
      <c r="CD4" s="60"/>
      <c r="CE4" s="1"/>
      <c r="CF4" s="60"/>
      <c r="CG4" s="1"/>
      <c r="CH4" s="1"/>
      <c r="CI4" s="60"/>
      <c r="CJ4" s="1"/>
      <c r="CK4" s="60"/>
      <c r="CL4" s="1"/>
      <c r="CM4" s="1"/>
      <c r="CN4" s="1"/>
      <c r="CO4" s="1"/>
      <c r="CP4" s="60"/>
      <c r="CQ4" s="1"/>
      <c r="CR4" s="60"/>
      <c r="CS4" s="1"/>
      <c r="CT4" s="1"/>
      <c r="CU4" s="59"/>
      <c r="CV4" s="59"/>
      <c r="CW4" s="59"/>
      <c r="CX4" s="1"/>
    </row>
    <row r="5" spans="1:104" s="10" customFormat="1" ht="18" customHeight="1" x14ac:dyDescent="0.25">
      <c r="A5" s="6"/>
      <c r="B5" s="63"/>
      <c r="C5" s="1"/>
      <c r="D5" s="1"/>
      <c r="E5" s="1"/>
      <c r="F5" s="58"/>
      <c r="G5" s="58"/>
      <c r="H5" s="58"/>
      <c r="I5" s="58"/>
      <c r="J5" s="53"/>
      <c r="K5" s="53"/>
      <c r="L5" s="53"/>
      <c r="M5" s="53"/>
      <c r="N5" s="52"/>
      <c r="O5" s="52"/>
      <c r="P5" s="52"/>
      <c r="Q5" s="52"/>
      <c r="R5" s="56"/>
      <c r="S5" s="56"/>
      <c r="T5" s="56"/>
      <c r="U5" s="56"/>
      <c r="V5" s="55"/>
      <c r="W5" s="55"/>
      <c r="X5" s="55"/>
      <c r="Y5" s="55"/>
      <c r="Z5" s="1"/>
      <c r="AA5" s="1"/>
      <c r="AB5" s="1"/>
      <c r="AC5" s="1"/>
      <c r="AD5" s="54"/>
      <c r="AE5" s="54"/>
      <c r="AF5" s="54"/>
      <c r="AG5" s="54"/>
      <c r="AH5" s="55"/>
      <c r="AI5" s="55"/>
      <c r="AJ5" s="55"/>
      <c r="AK5" s="55"/>
      <c r="AL5" s="1"/>
      <c r="AM5" s="1"/>
      <c r="AN5" s="1"/>
      <c r="AO5" s="1"/>
      <c r="AP5" s="57"/>
      <c r="AQ5" s="57"/>
      <c r="AR5" s="57"/>
      <c r="AS5" s="57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60"/>
      <c r="CC5" s="1"/>
      <c r="CD5" s="60"/>
      <c r="CE5" s="1"/>
      <c r="CF5" s="60"/>
      <c r="CG5" s="1"/>
      <c r="CH5" s="1"/>
      <c r="CI5" s="60"/>
      <c r="CJ5" s="1"/>
      <c r="CK5" s="60"/>
      <c r="CL5" s="1"/>
      <c r="CM5" s="1"/>
      <c r="CN5" s="1"/>
      <c r="CO5" s="1"/>
      <c r="CP5" s="60"/>
      <c r="CQ5" s="1"/>
      <c r="CR5" s="1"/>
      <c r="CS5" s="1"/>
      <c r="CT5" s="1"/>
      <c r="CU5" s="59"/>
      <c r="CV5" s="59"/>
      <c r="CW5" s="59"/>
      <c r="CX5" s="1"/>
    </row>
    <row r="6" spans="1:104" s="10" customFormat="1" ht="18" customHeight="1" x14ac:dyDescent="0.25">
      <c r="A6" s="6"/>
      <c r="B6" s="63"/>
      <c r="C6" s="1"/>
      <c r="D6" s="1"/>
      <c r="E6" s="1"/>
      <c r="F6" s="58"/>
      <c r="G6" s="58"/>
      <c r="H6" s="58"/>
      <c r="I6" s="58"/>
      <c r="J6" s="53"/>
      <c r="K6" s="53"/>
      <c r="L6" s="53"/>
      <c r="M6" s="53"/>
      <c r="N6" s="52"/>
      <c r="O6" s="52"/>
      <c r="P6" s="52"/>
      <c r="Q6" s="52"/>
      <c r="R6" s="56"/>
      <c r="S6" s="56"/>
      <c r="T6" s="56"/>
      <c r="U6" s="56"/>
      <c r="V6" s="55"/>
      <c r="W6" s="55"/>
      <c r="X6" s="55"/>
      <c r="Y6" s="55"/>
      <c r="Z6" s="1"/>
      <c r="AA6" s="1"/>
      <c r="AB6" s="1"/>
      <c r="AC6" s="1"/>
      <c r="AD6" s="54"/>
      <c r="AE6" s="54"/>
      <c r="AF6" s="54"/>
      <c r="AG6" s="54"/>
      <c r="AH6" s="55"/>
      <c r="AI6" s="55"/>
      <c r="AJ6" s="55"/>
      <c r="AK6" s="55"/>
      <c r="AL6" s="1"/>
      <c r="AM6" s="1"/>
      <c r="AN6" s="1"/>
      <c r="AO6" s="1"/>
      <c r="AP6" s="57"/>
      <c r="AQ6" s="57"/>
      <c r="AR6" s="57"/>
      <c r="AS6" s="57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60"/>
      <c r="CC6" s="1"/>
      <c r="CD6" s="60"/>
      <c r="CE6" s="1"/>
      <c r="CF6" s="60"/>
      <c r="CG6" s="1"/>
      <c r="CH6" s="1"/>
      <c r="CI6" s="60"/>
      <c r="CJ6" s="1"/>
      <c r="CK6" s="60"/>
      <c r="CL6" s="1"/>
      <c r="CM6" s="1"/>
      <c r="CN6" s="1"/>
      <c r="CO6" s="1"/>
      <c r="CP6" s="60"/>
      <c r="CQ6" s="1"/>
      <c r="CR6" s="1"/>
      <c r="CS6" s="1"/>
      <c r="CT6" s="1"/>
      <c r="CU6" s="59"/>
      <c r="CV6" s="59"/>
      <c r="CW6" s="59"/>
      <c r="CX6" s="1"/>
    </row>
    <row r="7" spans="1:104" s="10" customFormat="1" ht="18" customHeight="1" x14ac:dyDescent="0.25">
      <c r="A7" s="6"/>
      <c r="B7" s="63"/>
      <c r="C7" s="1"/>
      <c r="D7" s="1"/>
      <c r="E7" s="1"/>
      <c r="F7" s="58"/>
      <c r="G7" s="58"/>
      <c r="H7" s="58"/>
      <c r="I7" s="58"/>
      <c r="J7" s="53"/>
      <c r="K7" s="53"/>
      <c r="L7" s="53"/>
      <c r="M7" s="53"/>
      <c r="N7" s="52"/>
      <c r="O7" s="52"/>
      <c r="P7" s="52"/>
      <c r="Q7" s="52"/>
      <c r="R7" s="56"/>
      <c r="S7" s="56"/>
      <c r="T7" s="56"/>
      <c r="U7" s="56"/>
      <c r="V7" s="55"/>
      <c r="W7" s="55"/>
      <c r="X7" s="55"/>
      <c r="Y7" s="55"/>
      <c r="Z7" s="1"/>
      <c r="AA7" s="1"/>
      <c r="AB7" s="1"/>
      <c r="AC7" s="1"/>
      <c r="AD7" s="54"/>
      <c r="AE7" s="54"/>
      <c r="AF7" s="54"/>
      <c r="AG7" s="54"/>
      <c r="AH7" s="55"/>
      <c r="AI7" s="55"/>
      <c r="AJ7" s="55"/>
      <c r="AK7" s="55"/>
      <c r="AL7" s="1"/>
      <c r="AM7" s="1"/>
      <c r="AN7" s="1"/>
      <c r="AO7" s="1"/>
      <c r="AP7" s="57"/>
      <c r="AQ7" s="57"/>
      <c r="AR7" s="57"/>
      <c r="AS7" s="57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60"/>
      <c r="CC7" s="1"/>
      <c r="CD7" s="60"/>
      <c r="CE7" s="1"/>
      <c r="CF7" s="60"/>
      <c r="CG7" s="1"/>
      <c r="CH7" s="1"/>
      <c r="CI7" s="60"/>
      <c r="CJ7" s="1"/>
      <c r="CK7" s="60"/>
      <c r="CL7" s="1"/>
      <c r="CM7" s="1"/>
      <c r="CN7" s="1"/>
      <c r="CO7" s="1"/>
      <c r="CP7" s="60"/>
      <c r="CQ7" s="1"/>
      <c r="CR7" s="1"/>
      <c r="CS7" s="1"/>
      <c r="CT7" s="1"/>
      <c r="CU7" s="59"/>
      <c r="CV7" s="59"/>
      <c r="CW7" s="59"/>
      <c r="CX7" s="1"/>
    </row>
    <row r="8" spans="1:104" s="10" customFormat="1" ht="18" customHeight="1" x14ac:dyDescent="0.25">
      <c r="A8" s="6"/>
      <c r="B8" s="63"/>
      <c r="C8" s="1"/>
      <c r="D8" s="1"/>
      <c r="E8" s="1"/>
      <c r="F8" s="58"/>
      <c r="G8" s="58"/>
      <c r="H8" s="58"/>
      <c r="I8" s="58"/>
      <c r="J8" s="53"/>
      <c r="K8" s="53"/>
      <c r="L8" s="53"/>
      <c r="M8" s="53"/>
      <c r="N8" s="52"/>
      <c r="O8" s="52"/>
      <c r="P8" s="52"/>
      <c r="Q8" s="52"/>
      <c r="R8" s="56"/>
      <c r="S8" s="56"/>
      <c r="T8" s="56"/>
      <c r="U8" s="56"/>
      <c r="V8" s="55"/>
      <c r="W8" s="55"/>
      <c r="X8" s="55"/>
      <c r="Y8" s="55"/>
      <c r="Z8" s="1"/>
      <c r="AA8" s="1"/>
      <c r="AB8" s="1"/>
      <c r="AC8" s="1"/>
      <c r="AD8" s="54"/>
      <c r="AE8" s="54"/>
      <c r="AF8" s="54"/>
      <c r="AG8" s="54"/>
      <c r="AH8" s="55"/>
      <c r="AI8" s="55"/>
      <c r="AJ8" s="55"/>
      <c r="AK8" s="55"/>
      <c r="AL8" s="1"/>
      <c r="AM8" s="1"/>
      <c r="AN8" s="1"/>
      <c r="AO8" s="1"/>
      <c r="AP8" s="57"/>
      <c r="AQ8" s="57"/>
      <c r="AR8" s="57"/>
      <c r="AS8" s="57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60"/>
      <c r="CC8" s="1"/>
      <c r="CD8" s="60"/>
      <c r="CE8" s="1"/>
      <c r="CF8" s="60"/>
      <c r="CG8" s="1"/>
      <c r="CH8" s="1"/>
      <c r="CI8" s="60"/>
      <c r="CJ8" s="1"/>
      <c r="CK8" s="60"/>
      <c r="CL8" s="1"/>
      <c r="CM8" s="1"/>
      <c r="CN8" s="1"/>
      <c r="CO8" s="1"/>
      <c r="CP8" s="60"/>
      <c r="CQ8" s="1"/>
      <c r="CR8" s="1"/>
      <c r="CS8" s="1"/>
      <c r="CT8" s="1"/>
      <c r="CU8" s="59"/>
      <c r="CV8" s="59"/>
      <c r="CW8" s="59"/>
      <c r="CX8" s="1"/>
    </row>
    <row r="9" spans="1:104" s="10" customFormat="1" ht="18" customHeight="1" x14ac:dyDescent="0.25">
      <c r="A9" s="6"/>
      <c r="B9" s="63"/>
      <c r="C9" s="1"/>
      <c r="D9" s="1"/>
      <c r="E9" s="1"/>
      <c r="F9" s="58"/>
      <c r="G9" s="58"/>
      <c r="H9" s="58"/>
      <c r="I9" s="58"/>
      <c r="J9" s="53"/>
      <c r="K9" s="53"/>
      <c r="L9" s="53"/>
      <c r="M9" s="53"/>
      <c r="N9" s="52"/>
      <c r="O9" s="52"/>
      <c r="P9" s="52"/>
      <c r="Q9" s="52"/>
      <c r="R9" s="56"/>
      <c r="S9" s="56"/>
      <c r="T9" s="56"/>
      <c r="U9" s="56"/>
      <c r="V9" s="55"/>
      <c r="W9" s="55"/>
      <c r="X9" s="55"/>
      <c r="Y9" s="55"/>
      <c r="Z9" s="1"/>
      <c r="AA9" s="1"/>
      <c r="AB9" s="1"/>
      <c r="AC9" s="1"/>
      <c r="AD9" s="54"/>
      <c r="AE9" s="54"/>
      <c r="AF9" s="54"/>
      <c r="AG9" s="54"/>
      <c r="AH9" s="55"/>
      <c r="AI9" s="55"/>
      <c r="AJ9" s="55"/>
      <c r="AK9" s="55"/>
      <c r="AL9" s="1"/>
      <c r="AM9" s="1"/>
      <c r="AN9" s="1"/>
      <c r="AO9" s="1"/>
      <c r="AP9" s="57"/>
      <c r="AQ9" s="57"/>
      <c r="AR9" s="57"/>
      <c r="AS9" s="57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60"/>
      <c r="CC9" s="1"/>
      <c r="CD9" s="60"/>
      <c r="CE9" s="1"/>
      <c r="CF9" s="60"/>
      <c r="CG9" s="1"/>
      <c r="CH9" s="1"/>
      <c r="CI9" s="60"/>
      <c r="CJ9" s="1"/>
      <c r="CK9" s="60"/>
      <c r="CL9" s="1"/>
      <c r="CM9" s="1"/>
      <c r="CN9" s="1"/>
      <c r="CO9" s="1"/>
      <c r="CP9" s="60"/>
      <c r="CQ9" s="1"/>
      <c r="CR9" s="1"/>
      <c r="CS9" s="1"/>
      <c r="CT9" s="1"/>
      <c r="CU9" s="59"/>
      <c r="CV9" s="59"/>
      <c r="CW9" s="59"/>
      <c r="CX9" s="1"/>
    </row>
    <row r="10" spans="1:104" s="10" customFormat="1" ht="18" customHeight="1" x14ac:dyDescent="0.25">
      <c r="A10" s="6"/>
      <c r="B10" s="63"/>
      <c r="C10" s="1"/>
      <c r="D10" s="1"/>
      <c r="E10" s="1"/>
      <c r="F10" s="58"/>
      <c r="G10" s="58"/>
      <c r="H10" s="58"/>
      <c r="I10" s="58"/>
      <c r="J10" s="53"/>
      <c r="K10" s="53"/>
      <c r="L10" s="53"/>
      <c r="M10" s="53"/>
      <c r="N10" s="52"/>
      <c r="O10" s="52"/>
      <c r="P10" s="52"/>
      <c r="Q10" s="52"/>
      <c r="R10" s="56"/>
      <c r="S10" s="56"/>
      <c r="T10" s="56"/>
      <c r="U10" s="56"/>
      <c r="V10" s="55"/>
      <c r="W10" s="55"/>
      <c r="X10" s="55"/>
      <c r="Y10" s="55"/>
      <c r="Z10" s="1"/>
      <c r="AA10" s="1"/>
      <c r="AB10" s="1"/>
      <c r="AC10" s="1"/>
      <c r="AD10" s="54"/>
      <c r="AE10" s="54"/>
      <c r="AF10" s="54"/>
      <c r="AG10" s="54"/>
      <c r="AH10" s="55"/>
      <c r="AI10" s="55"/>
      <c r="AJ10" s="55"/>
      <c r="AK10" s="55"/>
      <c r="AL10" s="1"/>
      <c r="AM10" s="1"/>
      <c r="AN10" s="1"/>
      <c r="AO10" s="1"/>
      <c r="AP10" s="57"/>
      <c r="AQ10" s="57"/>
      <c r="AR10" s="57"/>
      <c r="AS10" s="57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60"/>
      <c r="CC10" s="1"/>
      <c r="CD10" s="60"/>
      <c r="CE10" s="1"/>
      <c r="CF10" s="60"/>
      <c r="CG10" s="1"/>
      <c r="CH10" s="1"/>
      <c r="CI10" s="60"/>
      <c r="CJ10" s="1"/>
      <c r="CK10" s="60"/>
      <c r="CL10" s="1"/>
      <c r="CM10" s="1"/>
      <c r="CN10" s="1"/>
      <c r="CO10" s="1"/>
      <c r="CP10" s="60"/>
      <c r="CQ10" s="1"/>
      <c r="CR10" s="1"/>
      <c r="CS10" s="1"/>
      <c r="CT10" s="1"/>
      <c r="CU10" s="59"/>
      <c r="CV10" s="59"/>
      <c r="CW10" s="59"/>
      <c r="CX10" s="1"/>
    </row>
    <row r="11" spans="1:104" s="10" customFormat="1" ht="18" customHeight="1" x14ac:dyDescent="0.25">
      <c r="A11" s="6"/>
      <c r="B11" s="63"/>
      <c r="C11" s="1"/>
      <c r="D11" s="1"/>
      <c r="E11" s="1"/>
      <c r="F11" s="58"/>
      <c r="G11" s="58"/>
      <c r="H11" s="58"/>
      <c r="I11" s="58"/>
      <c r="J11" s="53"/>
      <c r="K11" s="53"/>
      <c r="L11" s="53"/>
      <c r="M11" s="53"/>
      <c r="N11" s="52"/>
      <c r="O11" s="52"/>
      <c r="P11" s="52"/>
      <c r="Q11" s="52"/>
      <c r="R11" s="56"/>
      <c r="S11" s="56"/>
      <c r="T11" s="56"/>
      <c r="U11" s="56"/>
      <c r="V11" s="55"/>
      <c r="W11" s="55"/>
      <c r="X11" s="55"/>
      <c r="Y11" s="55"/>
      <c r="Z11" s="1"/>
      <c r="AA11" s="1"/>
      <c r="AB11" s="1"/>
      <c r="AC11" s="1"/>
      <c r="AD11" s="54"/>
      <c r="AE11" s="54"/>
      <c r="AF11" s="54"/>
      <c r="AG11" s="54"/>
      <c r="AH11" s="55"/>
      <c r="AI11" s="55"/>
      <c r="AJ11" s="55"/>
      <c r="AK11" s="55"/>
      <c r="AL11" s="1"/>
      <c r="AM11" s="1"/>
      <c r="AN11" s="1"/>
      <c r="AO11" s="1"/>
      <c r="AP11" s="57"/>
      <c r="AQ11" s="57"/>
      <c r="AR11" s="57"/>
      <c r="AS11" s="57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60"/>
      <c r="CC11" s="1"/>
      <c r="CD11" s="60"/>
      <c r="CE11" s="1"/>
      <c r="CF11" s="60"/>
      <c r="CG11" s="1"/>
      <c r="CH11" s="1"/>
      <c r="CI11" s="60"/>
      <c r="CJ11" s="1"/>
      <c r="CK11" s="60"/>
      <c r="CL11" s="1"/>
      <c r="CM11" s="1"/>
      <c r="CN11" s="1"/>
      <c r="CO11" s="1"/>
      <c r="CP11" s="60"/>
      <c r="CQ11" s="1"/>
      <c r="CR11" s="1"/>
      <c r="CS11" s="1"/>
      <c r="CT11" s="1"/>
      <c r="CU11" s="59"/>
      <c r="CV11" s="59"/>
      <c r="CW11" s="59"/>
      <c r="CX11" s="1"/>
    </row>
    <row r="12" spans="1:104" s="10" customFormat="1" ht="18" customHeight="1" x14ac:dyDescent="0.25">
      <c r="A12" s="6"/>
      <c r="B12" s="63"/>
      <c r="C12" s="1"/>
      <c r="D12" s="1"/>
      <c r="E12" s="1"/>
      <c r="F12" s="58"/>
      <c r="G12" s="58"/>
      <c r="H12" s="58"/>
      <c r="I12" s="58"/>
      <c r="J12" s="53"/>
      <c r="K12" s="53"/>
      <c r="L12" s="53"/>
      <c r="M12" s="53"/>
      <c r="N12" s="52"/>
      <c r="O12" s="52"/>
      <c r="P12" s="52"/>
      <c r="Q12" s="52"/>
      <c r="R12" s="56"/>
      <c r="S12" s="56"/>
      <c r="T12" s="56"/>
      <c r="U12" s="56"/>
      <c r="V12" s="55"/>
      <c r="W12" s="55"/>
      <c r="X12" s="55"/>
      <c r="Y12" s="55"/>
      <c r="Z12" s="1"/>
      <c r="AA12" s="1"/>
      <c r="AB12" s="1"/>
      <c r="AC12" s="1"/>
      <c r="AD12" s="54"/>
      <c r="AE12" s="54"/>
      <c r="AF12" s="54"/>
      <c r="AG12" s="54"/>
      <c r="AH12" s="55"/>
      <c r="AI12" s="55"/>
      <c r="AJ12" s="55"/>
      <c r="AK12" s="55"/>
      <c r="AL12" s="1"/>
      <c r="AM12" s="1"/>
      <c r="AN12" s="1"/>
      <c r="AO12" s="1"/>
      <c r="AP12" s="57"/>
      <c r="AQ12" s="57"/>
      <c r="AR12" s="57"/>
      <c r="AS12" s="57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60"/>
      <c r="CC12" s="1"/>
      <c r="CD12" s="60"/>
      <c r="CE12" s="1"/>
      <c r="CF12" s="60"/>
      <c r="CG12" s="1"/>
      <c r="CH12" s="1"/>
      <c r="CI12" s="60"/>
      <c r="CJ12" s="1"/>
      <c r="CK12" s="60"/>
      <c r="CL12" s="1"/>
      <c r="CM12" s="1"/>
      <c r="CN12" s="1"/>
      <c r="CO12" s="1"/>
      <c r="CP12" s="60"/>
      <c r="CQ12" s="1"/>
      <c r="CR12" s="1"/>
      <c r="CS12" s="1"/>
      <c r="CT12" s="1"/>
      <c r="CU12" s="59"/>
      <c r="CV12" s="59"/>
      <c r="CW12" s="59"/>
      <c r="CX12" s="1"/>
    </row>
    <row r="13" spans="1:104" s="10" customFormat="1" ht="18" customHeight="1" x14ac:dyDescent="0.25">
      <c r="A13" s="6"/>
      <c r="B13" s="63"/>
      <c r="C13" s="1"/>
      <c r="D13" s="1"/>
      <c r="E13" s="1"/>
      <c r="F13" s="58"/>
      <c r="G13" s="58"/>
      <c r="H13" s="58"/>
      <c r="I13" s="58"/>
      <c r="J13" s="53"/>
      <c r="K13" s="53"/>
      <c r="L13" s="53"/>
      <c r="M13" s="53"/>
      <c r="N13" s="52"/>
      <c r="O13" s="52"/>
      <c r="P13" s="52"/>
      <c r="Q13" s="52"/>
      <c r="R13" s="56"/>
      <c r="S13" s="56"/>
      <c r="T13" s="56"/>
      <c r="U13" s="56"/>
      <c r="V13" s="55"/>
      <c r="W13" s="55"/>
      <c r="X13" s="55"/>
      <c r="Y13" s="55"/>
      <c r="Z13" s="1"/>
      <c r="AA13" s="1"/>
      <c r="AB13" s="1"/>
      <c r="AC13" s="1"/>
      <c r="AD13" s="54"/>
      <c r="AE13" s="54"/>
      <c r="AF13" s="54"/>
      <c r="AG13" s="54"/>
      <c r="AH13" s="55"/>
      <c r="AI13" s="55"/>
      <c r="AJ13" s="55"/>
      <c r="AK13" s="55"/>
      <c r="AL13" s="1"/>
      <c r="AM13" s="1"/>
      <c r="AN13" s="1"/>
      <c r="AO13" s="1"/>
      <c r="AP13" s="57"/>
      <c r="AQ13" s="57"/>
      <c r="AR13" s="57"/>
      <c r="AS13" s="57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60"/>
      <c r="CC13" s="1"/>
      <c r="CD13" s="60"/>
      <c r="CE13" s="1"/>
      <c r="CF13" s="60"/>
      <c r="CG13" s="1"/>
      <c r="CH13" s="1"/>
      <c r="CI13" s="60"/>
      <c r="CJ13" s="1"/>
      <c r="CK13" s="60"/>
      <c r="CL13" s="1"/>
      <c r="CM13" s="1"/>
      <c r="CN13" s="1"/>
      <c r="CO13" s="1"/>
      <c r="CP13" s="60"/>
      <c r="CQ13" s="1"/>
      <c r="CR13" s="1"/>
      <c r="CS13" s="1"/>
      <c r="CT13" s="1"/>
      <c r="CU13" s="59"/>
      <c r="CV13" s="59"/>
      <c r="CW13" s="59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8"/>
      <c r="G14" s="58"/>
      <c r="H14" s="58"/>
      <c r="I14" s="58"/>
      <c r="J14" s="53"/>
      <c r="K14" s="53"/>
      <c r="L14" s="53"/>
      <c r="M14" s="53"/>
      <c r="N14" s="52"/>
      <c r="O14" s="52"/>
      <c r="P14" s="52"/>
      <c r="Q14" s="52"/>
      <c r="R14" s="56"/>
      <c r="S14" s="56"/>
      <c r="T14" s="56"/>
      <c r="U14" s="56"/>
      <c r="V14" s="55"/>
      <c r="W14" s="55"/>
      <c r="X14" s="55"/>
      <c r="Y14" s="55"/>
      <c r="Z14" s="1"/>
      <c r="AA14" s="1"/>
      <c r="AB14" s="1"/>
      <c r="AC14" s="1"/>
      <c r="AD14" s="54"/>
      <c r="AE14" s="54"/>
      <c r="AF14" s="54"/>
      <c r="AG14" s="54"/>
      <c r="AH14" s="55"/>
      <c r="AI14" s="55"/>
      <c r="AJ14" s="55"/>
      <c r="AK14" s="55"/>
      <c r="AL14" s="1"/>
      <c r="AM14" s="1"/>
      <c r="AN14" s="1"/>
      <c r="AO14" s="1"/>
      <c r="AP14" s="57"/>
      <c r="AQ14" s="57"/>
      <c r="AR14" s="57"/>
      <c r="AS14" s="57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9"/>
      <c r="CW14" s="59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8"/>
      <c r="G15" s="58"/>
      <c r="H15" s="58"/>
      <c r="I15" s="58"/>
      <c r="J15" s="53"/>
      <c r="K15" s="53"/>
      <c r="L15" s="53"/>
      <c r="M15" s="53"/>
      <c r="N15" s="52"/>
      <c r="O15" s="52"/>
      <c r="P15" s="52"/>
      <c r="Q15" s="52"/>
      <c r="R15" s="56"/>
      <c r="S15" s="56"/>
      <c r="T15" s="56"/>
      <c r="U15" s="56"/>
      <c r="V15" s="55"/>
      <c r="W15" s="55"/>
      <c r="X15" s="55"/>
      <c r="Y15" s="55"/>
      <c r="Z15" s="1"/>
      <c r="AA15" s="1"/>
      <c r="AB15" s="1"/>
      <c r="AC15" s="1"/>
      <c r="AD15" s="54"/>
      <c r="AE15" s="54"/>
      <c r="AF15" s="54"/>
      <c r="AG15" s="54"/>
      <c r="AH15" s="55"/>
      <c r="AI15" s="55"/>
      <c r="AJ15" s="55"/>
      <c r="AK15" s="55"/>
      <c r="AL15" s="1"/>
      <c r="AM15" s="1"/>
      <c r="AN15" s="1"/>
      <c r="AO15" s="1"/>
      <c r="AP15" s="57"/>
      <c r="AQ15" s="57"/>
      <c r="AR15" s="57"/>
      <c r="AS15" s="57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9"/>
      <c r="CW15" s="59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8"/>
      <c r="G16" s="58"/>
      <c r="H16" s="58"/>
      <c r="I16" s="58"/>
      <c r="J16" s="53"/>
      <c r="K16" s="53"/>
      <c r="L16" s="53"/>
      <c r="M16" s="53"/>
      <c r="N16" s="52"/>
      <c r="O16" s="52"/>
      <c r="P16" s="52"/>
      <c r="Q16" s="52"/>
      <c r="R16" s="56"/>
      <c r="S16" s="56"/>
      <c r="T16" s="56"/>
      <c r="U16" s="56"/>
      <c r="V16" s="55"/>
      <c r="W16" s="55"/>
      <c r="X16" s="55"/>
      <c r="Y16" s="55"/>
      <c r="Z16" s="1"/>
      <c r="AA16" s="1"/>
      <c r="AB16" s="1"/>
      <c r="AC16" s="1"/>
      <c r="AD16" s="54"/>
      <c r="AE16" s="54"/>
      <c r="AF16" s="54"/>
      <c r="AG16" s="54"/>
      <c r="AH16" s="55"/>
      <c r="AI16" s="55"/>
      <c r="AJ16" s="55"/>
      <c r="AK16" s="55"/>
      <c r="AL16" s="1"/>
      <c r="AM16" s="1"/>
      <c r="AN16" s="1"/>
      <c r="AO16" s="1"/>
      <c r="AP16" s="57"/>
      <c r="AQ16" s="57"/>
      <c r="AR16" s="57"/>
      <c r="AS16" s="57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9"/>
      <c r="CW16" s="59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8"/>
      <c r="G17" s="58"/>
      <c r="H17" s="58"/>
      <c r="I17" s="58"/>
      <c r="J17" s="53"/>
      <c r="K17" s="53"/>
      <c r="L17" s="53"/>
      <c r="M17" s="53"/>
      <c r="N17" s="52"/>
      <c r="O17" s="52"/>
      <c r="P17" s="52"/>
      <c r="Q17" s="52"/>
      <c r="R17" s="56"/>
      <c r="S17" s="56"/>
      <c r="T17" s="56"/>
      <c r="U17" s="56"/>
      <c r="V17" s="55"/>
      <c r="W17" s="55"/>
      <c r="X17" s="55"/>
      <c r="Y17" s="55"/>
      <c r="Z17" s="1"/>
      <c r="AA17" s="1"/>
      <c r="AB17" s="1"/>
      <c r="AC17" s="1"/>
      <c r="AD17" s="54"/>
      <c r="AE17" s="54"/>
      <c r="AF17" s="54"/>
      <c r="AG17" s="54"/>
      <c r="AH17" s="55"/>
      <c r="AI17" s="55"/>
      <c r="AJ17" s="55"/>
      <c r="AK17" s="55"/>
      <c r="AL17" s="1"/>
      <c r="AM17" s="1"/>
      <c r="AN17" s="1"/>
      <c r="AO17" s="1"/>
      <c r="AP17" s="57"/>
      <c r="AQ17" s="57"/>
      <c r="AR17" s="57"/>
      <c r="AS17" s="57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9"/>
      <c r="CW17" s="59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8"/>
      <c r="G18" s="58"/>
      <c r="H18" s="58"/>
      <c r="I18" s="58"/>
      <c r="J18" s="53"/>
      <c r="K18" s="53"/>
      <c r="L18" s="53"/>
      <c r="M18" s="53"/>
      <c r="N18" s="52"/>
      <c r="O18" s="52"/>
      <c r="P18" s="52"/>
      <c r="Q18" s="52"/>
      <c r="R18" s="56"/>
      <c r="S18" s="56"/>
      <c r="T18" s="56"/>
      <c r="U18" s="56"/>
      <c r="V18" s="55"/>
      <c r="W18" s="55"/>
      <c r="X18" s="55"/>
      <c r="Y18" s="55"/>
      <c r="Z18" s="1"/>
      <c r="AA18" s="1"/>
      <c r="AB18" s="1"/>
      <c r="AC18" s="1"/>
      <c r="AD18" s="54"/>
      <c r="AE18" s="54"/>
      <c r="AF18" s="54"/>
      <c r="AG18" s="54"/>
      <c r="AH18" s="55"/>
      <c r="AI18" s="55"/>
      <c r="AJ18" s="55"/>
      <c r="AK18" s="55"/>
      <c r="AL18" s="1"/>
      <c r="AM18" s="1"/>
      <c r="AN18" s="1"/>
      <c r="AO18" s="1"/>
      <c r="AP18" s="57"/>
      <c r="AQ18" s="57"/>
      <c r="AR18" s="57"/>
      <c r="AS18" s="57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9"/>
      <c r="CW18" s="59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8"/>
      <c r="G19" s="58"/>
      <c r="H19" s="58"/>
      <c r="I19" s="58"/>
      <c r="J19" s="53"/>
      <c r="K19" s="53"/>
      <c r="L19" s="53"/>
      <c r="M19" s="53"/>
      <c r="N19" s="52"/>
      <c r="O19" s="52"/>
      <c r="P19" s="52"/>
      <c r="Q19" s="52"/>
      <c r="R19" s="56"/>
      <c r="S19" s="56"/>
      <c r="T19" s="56"/>
      <c r="U19" s="56"/>
      <c r="V19" s="55"/>
      <c r="W19" s="55"/>
      <c r="X19" s="55"/>
      <c r="Y19" s="55"/>
      <c r="Z19" s="1"/>
      <c r="AA19" s="1"/>
      <c r="AB19" s="1"/>
      <c r="AC19" s="1"/>
      <c r="AD19" s="54"/>
      <c r="AE19" s="54"/>
      <c r="AF19" s="54"/>
      <c r="AG19" s="54"/>
      <c r="AH19" s="55"/>
      <c r="AI19" s="55"/>
      <c r="AJ19" s="55"/>
      <c r="AK19" s="55"/>
      <c r="AL19" s="1"/>
      <c r="AM19" s="1"/>
      <c r="AN19" s="1"/>
      <c r="AO19" s="1"/>
      <c r="AP19" s="57"/>
      <c r="AQ19" s="57"/>
      <c r="AR19" s="57"/>
      <c r="AS19" s="5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9"/>
      <c r="CW19" s="59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8"/>
      <c r="G20" s="58"/>
      <c r="H20" s="58"/>
      <c r="I20" s="58"/>
      <c r="J20" s="53"/>
      <c r="K20" s="53"/>
      <c r="L20" s="53"/>
      <c r="M20" s="53"/>
      <c r="N20" s="52"/>
      <c r="O20" s="52"/>
      <c r="P20" s="52"/>
      <c r="Q20" s="52"/>
      <c r="R20" s="56"/>
      <c r="S20" s="56"/>
      <c r="T20" s="56"/>
      <c r="U20" s="56"/>
      <c r="V20" s="55"/>
      <c r="W20" s="55"/>
      <c r="X20" s="55"/>
      <c r="Y20" s="55"/>
      <c r="Z20" s="1"/>
      <c r="AA20" s="1"/>
      <c r="AB20" s="1"/>
      <c r="AC20" s="1"/>
      <c r="AD20" s="54"/>
      <c r="AE20" s="54"/>
      <c r="AF20" s="54"/>
      <c r="AG20" s="54"/>
      <c r="AH20" s="55"/>
      <c r="AI20" s="55"/>
      <c r="AJ20" s="55"/>
      <c r="AK20" s="55"/>
      <c r="AL20" s="1"/>
      <c r="AM20" s="1"/>
      <c r="AN20" s="1"/>
      <c r="AO20" s="1"/>
      <c r="AP20" s="57"/>
      <c r="AQ20" s="57"/>
      <c r="AR20" s="57"/>
      <c r="AS20" s="57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9"/>
      <c r="CW20" s="59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8"/>
      <c r="G21" s="58"/>
      <c r="H21" s="58"/>
      <c r="I21" s="58"/>
      <c r="J21" s="53"/>
      <c r="K21" s="53"/>
      <c r="L21" s="53"/>
      <c r="M21" s="53"/>
      <c r="N21" s="52"/>
      <c r="O21" s="52"/>
      <c r="P21" s="52"/>
      <c r="Q21" s="52"/>
      <c r="R21" s="56"/>
      <c r="S21" s="56"/>
      <c r="T21" s="56"/>
      <c r="U21" s="56"/>
      <c r="V21" s="55"/>
      <c r="W21" s="55"/>
      <c r="X21" s="55"/>
      <c r="Y21" s="55"/>
      <c r="Z21" s="1"/>
      <c r="AA21" s="1"/>
      <c r="AB21" s="1"/>
      <c r="AC21" s="1"/>
      <c r="AD21" s="54"/>
      <c r="AE21" s="54"/>
      <c r="AF21" s="54"/>
      <c r="AG21" s="54"/>
      <c r="AH21" s="55"/>
      <c r="AI21" s="55"/>
      <c r="AJ21" s="55"/>
      <c r="AK21" s="55"/>
      <c r="AL21" s="1"/>
      <c r="AM21" s="1"/>
      <c r="AN21" s="1"/>
      <c r="AO21" s="1"/>
      <c r="AP21" s="57"/>
      <c r="AQ21" s="57"/>
      <c r="AR21" s="57"/>
      <c r="AS21" s="57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9"/>
      <c r="CW21" s="59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8"/>
      <c r="G22" s="58"/>
      <c r="H22" s="58"/>
      <c r="I22" s="58"/>
      <c r="J22" s="53"/>
      <c r="K22" s="53"/>
      <c r="L22" s="53"/>
      <c r="M22" s="53"/>
      <c r="N22" s="52"/>
      <c r="O22" s="52"/>
      <c r="P22" s="52"/>
      <c r="Q22" s="52"/>
      <c r="R22" s="56"/>
      <c r="S22" s="56"/>
      <c r="T22" s="56"/>
      <c r="U22" s="56"/>
      <c r="V22" s="55"/>
      <c r="W22" s="55"/>
      <c r="X22" s="55"/>
      <c r="Y22" s="55"/>
      <c r="Z22" s="1"/>
      <c r="AA22" s="1"/>
      <c r="AB22" s="1"/>
      <c r="AC22" s="1"/>
      <c r="AD22" s="54"/>
      <c r="AE22" s="54"/>
      <c r="AF22" s="54"/>
      <c r="AG22" s="54"/>
      <c r="AH22" s="55"/>
      <c r="AI22" s="55"/>
      <c r="AJ22" s="55"/>
      <c r="AK22" s="55"/>
      <c r="AL22" s="1"/>
      <c r="AM22" s="1"/>
      <c r="AN22" s="1"/>
      <c r="AO22" s="1"/>
      <c r="AP22" s="57"/>
      <c r="AQ22" s="57"/>
      <c r="AR22" s="57"/>
      <c r="AS22" s="57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9"/>
      <c r="CW22" s="59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8"/>
      <c r="G23" s="58"/>
      <c r="H23" s="58"/>
      <c r="I23" s="58"/>
      <c r="J23" s="53"/>
      <c r="K23" s="53"/>
      <c r="L23" s="53"/>
      <c r="M23" s="53"/>
      <c r="N23" s="52"/>
      <c r="O23" s="52"/>
      <c r="P23" s="52"/>
      <c r="Q23" s="52"/>
      <c r="R23" s="56"/>
      <c r="S23" s="56"/>
      <c r="T23" s="56"/>
      <c r="U23" s="56"/>
      <c r="V23" s="55"/>
      <c r="W23" s="55"/>
      <c r="X23" s="55"/>
      <c r="Y23" s="55"/>
      <c r="Z23" s="1"/>
      <c r="AA23" s="1"/>
      <c r="AB23" s="1"/>
      <c r="AC23" s="1"/>
      <c r="AD23" s="54"/>
      <c r="AE23" s="54"/>
      <c r="AF23" s="54"/>
      <c r="AG23" s="54"/>
      <c r="AH23" s="55"/>
      <c r="AI23" s="55"/>
      <c r="AJ23" s="55"/>
      <c r="AK23" s="55"/>
      <c r="AL23" s="1"/>
      <c r="AM23" s="1"/>
      <c r="AN23" s="1"/>
      <c r="AO23" s="1"/>
      <c r="AP23" s="57"/>
      <c r="AQ23" s="57"/>
      <c r="AR23" s="57"/>
      <c r="AS23" s="57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9"/>
      <c r="CW23" s="59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8"/>
      <c r="G24" s="58"/>
      <c r="H24" s="58"/>
      <c r="I24" s="58"/>
      <c r="J24" s="53"/>
      <c r="K24" s="53"/>
      <c r="L24" s="53"/>
      <c r="M24" s="53"/>
      <c r="N24" s="52"/>
      <c r="O24" s="52"/>
      <c r="P24" s="52"/>
      <c r="Q24" s="52"/>
      <c r="R24" s="56"/>
      <c r="S24" s="56"/>
      <c r="T24" s="56"/>
      <c r="U24" s="56"/>
      <c r="V24" s="55"/>
      <c r="W24" s="55"/>
      <c r="X24" s="55"/>
      <c r="Y24" s="55"/>
      <c r="Z24" s="1"/>
      <c r="AA24" s="1"/>
      <c r="AB24" s="1"/>
      <c r="AC24" s="1"/>
      <c r="AD24" s="54"/>
      <c r="AE24" s="54"/>
      <c r="AF24" s="54"/>
      <c r="AG24" s="54"/>
      <c r="AH24" s="55"/>
      <c r="AI24" s="55"/>
      <c r="AJ24" s="55"/>
      <c r="AK24" s="55"/>
      <c r="AL24" s="1"/>
      <c r="AM24" s="1"/>
      <c r="AN24" s="1"/>
      <c r="AO24" s="1"/>
      <c r="AP24" s="57"/>
      <c r="AQ24" s="57"/>
      <c r="AR24" s="57"/>
      <c r="AS24" s="5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9"/>
      <c r="CW24" s="59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8"/>
      <c r="G25" s="58"/>
      <c r="H25" s="58"/>
      <c r="I25" s="58"/>
      <c r="J25" s="53"/>
      <c r="K25" s="53"/>
      <c r="L25" s="53"/>
      <c r="M25" s="53"/>
      <c r="N25" s="52"/>
      <c r="O25" s="52"/>
      <c r="P25" s="52"/>
      <c r="Q25" s="52"/>
      <c r="R25" s="56"/>
      <c r="S25" s="56"/>
      <c r="T25" s="56"/>
      <c r="U25" s="56"/>
      <c r="V25" s="55"/>
      <c r="W25" s="55"/>
      <c r="X25" s="55"/>
      <c r="Y25" s="55"/>
      <c r="Z25" s="1"/>
      <c r="AA25" s="1"/>
      <c r="AB25" s="1"/>
      <c r="AC25" s="1"/>
      <c r="AD25" s="54"/>
      <c r="AE25" s="54"/>
      <c r="AF25" s="54"/>
      <c r="AG25" s="54"/>
      <c r="AH25" s="55"/>
      <c r="AI25" s="55"/>
      <c r="AJ25" s="55"/>
      <c r="AK25" s="55"/>
      <c r="AL25" s="1"/>
      <c r="AM25" s="1"/>
      <c r="AN25" s="1"/>
      <c r="AO25" s="1"/>
      <c r="AP25" s="57"/>
      <c r="AQ25" s="57"/>
      <c r="AR25" s="57"/>
      <c r="AS25" s="57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9"/>
      <c r="CW25" s="59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8"/>
      <c r="G26" s="58"/>
      <c r="H26" s="58"/>
      <c r="I26" s="58"/>
      <c r="J26" s="53"/>
      <c r="K26" s="53"/>
      <c r="L26" s="53"/>
      <c r="M26" s="53"/>
      <c r="N26" s="52"/>
      <c r="O26" s="52"/>
      <c r="P26" s="52"/>
      <c r="Q26" s="52"/>
      <c r="R26" s="56"/>
      <c r="S26" s="56"/>
      <c r="T26" s="56"/>
      <c r="U26" s="56"/>
      <c r="V26" s="55"/>
      <c r="W26" s="55"/>
      <c r="X26" s="55"/>
      <c r="Y26" s="55"/>
      <c r="Z26" s="1"/>
      <c r="AA26" s="1"/>
      <c r="AB26" s="1"/>
      <c r="AC26" s="1"/>
      <c r="AD26" s="54"/>
      <c r="AE26" s="54"/>
      <c r="AF26" s="54"/>
      <c r="AG26" s="54"/>
      <c r="AH26" s="55"/>
      <c r="AI26" s="55"/>
      <c r="AJ26" s="55"/>
      <c r="AK26" s="55"/>
      <c r="AL26" s="1"/>
      <c r="AM26" s="1"/>
      <c r="AN26" s="1"/>
      <c r="AO26" s="1"/>
      <c r="AP26" s="57"/>
      <c r="AQ26" s="57"/>
      <c r="AR26" s="57"/>
      <c r="AS26" s="57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9"/>
      <c r="CW26" s="59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8"/>
      <c r="G27" s="58"/>
      <c r="H27" s="58"/>
      <c r="I27" s="58"/>
      <c r="J27" s="53"/>
      <c r="K27" s="53"/>
      <c r="L27" s="53"/>
      <c r="M27" s="53"/>
      <c r="N27" s="52"/>
      <c r="O27" s="52"/>
      <c r="P27" s="52"/>
      <c r="Q27" s="52"/>
      <c r="R27" s="56"/>
      <c r="S27" s="56"/>
      <c r="T27" s="56"/>
      <c r="U27" s="56"/>
      <c r="V27" s="55"/>
      <c r="W27" s="55"/>
      <c r="X27" s="55"/>
      <c r="Y27" s="55"/>
      <c r="Z27" s="1"/>
      <c r="AA27" s="1"/>
      <c r="AB27" s="1"/>
      <c r="AC27" s="1"/>
      <c r="AD27" s="54"/>
      <c r="AE27" s="54"/>
      <c r="AF27" s="54"/>
      <c r="AG27" s="54"/>
      <c r="AH27" s="55"/>
      <c r="AI27" s="55"/>
      <c r="AJ27" s="55"/>
      <c r="AK27" s="55"/>
      <c r="AL27" s="1"/>
      <c r="AM27" s="1"/>
      <c r="AN27" s="1"/>
      <c r="AO27" s="1"/>
      <c r="AP27" s="57"/>
      <c r="AQ27" s="57"/>
      <c r="AR27" s="57"/>
      <c r="AS27" s="57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9"/>
      <c r="CW27" s="59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8"/>
      <c r="G28" s="58"/>
      <c r="H28" s="58"/>
      <c r="I28" s="58"/>
      <c r="J28" s="53"/>
      <c r="K28" s="53"/>
      <c r="L28" s="53"/>
      <c r="M28" s="53"/>
      <c r="N28" s="52"/>
      <c r="O28" s="52"/>
      <c r="P28" s="52"/>
      <c r="Q28" s="52"/>
      <c r="R28" s="56"/>
      <c r="S28" s="56"/>
      <c r="T28" s="56"/>
      <c r="U28" s="56"/>
      <c r="V28" s="55"/>
      <c r="W28" s="55"/>
      <c r="X28" s="55"/>
      <c r="Y28" s="55"/>
      <c r="Z28" s="1"/>
      <c r="AA28" s="1"/>
      <c r="AB28" s="1"/>
      <c r="AC28" s="1"/>
      <c r="AD28" s="54"/>
      <c r="AE28" s="54"/>
      <c r="AF28" s="54"/>
      <c r="AG28" s="54"/>
      <c r="AH28" s="55"/>
      <c r="AI28" s="55"/>
      <c r="AJ28" s="55"/>
      <c r="AK28" s="55"/>
      <c r="AL28" s="1"/>
      <c r="AM28" s="1"/>
      <c r="AN28" s="1"/>
      <c r="AO28" s="1"/>
      <c r="AP28" s="57"/>
      <c r="AQ28" s="57"/>
      <c r="AR28" s="57"/>
      <c r="AS28" s="57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9"/>
      <c r="CW28" s="59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8"/>
      <c r="G29" s="58"/>
      <c r="H29" s="58"/>
      <c r="I29" s="58"/>
      <c r="J29" s="53"/>
      <c r="K29" s="53"/>
      <c r="L29" s="53"/>
      <c r="M29" s="53"/>
      <c r="N29" s="52"/>
      <c r="O29" s="52"/>
      <c r="P29" s="52"/>
      <c r="Q29" s="52"/>
      <c r="R29" s="56"/>
      <c r="S29" s="56"/>
      <c r="T29" s="56"/>
      <c r="U29" s="56"/>
      <c r="V29" s="55"/>
      <c r="W29" s="55"/>
      <c r="X29" s="55"/>
      <c r="Y29" s="55"/>
      <c r="Z29" s="1"/>
      <c r="AA29" s="1"/>
      <c r="AB29" s="1"/>
      <c r="AC29" s="1"/>
      <c r="AD29" s="54"/>
      <c r="AE29" s="54"/>
      <c r="AF29" s="54"/>
      <c r="AG29" s="54"/>
      <c r="AH29" s="55"/>
      <c r="AI29" s="55"/>
      <c r="AJ29" s="55"/>
      <c r="AK29" s="55"/>
      <c r="AL29" s="1"/>
      <c r="AM29" s="1"/>
      <c r="AN29" s="1"/>
      <c r="AO29" s="1"/>
      <c r="AP29" s="57"/>
      <c r="AQ29" s="57"/>
      <c r="AR29" s="57"/>
      <c r="AS29" s="57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9"/>
      <c r="CW29" s="59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8"/>
      <c r="G30" s="58"/>
      <c r="H30" s="58"/>
      <c r="I30" s="58"/>
      <c r="J30" s="53"/>
      <c r="K30" s="53"/>
      <c r="L30" s="53"/>
      <c r="M30" s="53"/>
      <c r="N30" s="52"/>
      <c r="O30" s="52"/>
      <c r="P30" s="52"/>
      <c r="Q30" s="52"/>
      <c r="R30" s="56"/>
      <c r="S30" s="56"/>
      <c r="T30" s="56"/>
      <c r="U30" s="56"/>
      <c r="V30" s="55"/>
      <c r="W30" s="55"/>
      <c r="X30" s="55"/>
      <c r="Y30" s="55"/>
      <c r="Z30" s="1"/>
      <c r="AA30" s="1"/>
      <c r="AB30" s="1"/>
      <c r="AC30" s="1"/>
      <c r="AD30" s="54"/>
      <c r="AE30" s="54"/>
      <c r="AF30" s="54"/>
      <c r="AG30" s="54"/>
      <c r="AH30" s="55"/>
      <c r="AI30" s="55"/>
      <c r="AJ30" s="55"/>
      <c r="AK30" s="55"/>
      <c r="AL30" s="1"/>
      <c r="AM30" s="1"/>
      <c r="AN30" s="1"/>
      <c r="AO30" s="1"/>
      <c r="AP30" s="57"/>
      <c r="AQ30" s="57"/>
      <c r="AR30" s="57"/>
      <c r="AS30" s="57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9"/>
      <c r="CW30" s="59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8"/>
      <c r="G31" s="58"/>
      <c r="H31" s="58"/>
      <c r="I31" s="58"/>
      <c r="J31" s="53"/>
      <c r="K31" s="53"/>
      <c r="L31" s="53"/>
      <c r="M31" s="53"/>
      <c r="N31" s="52"/>
      <c r="O31" s="52"/>
      <c r="P31" s="52"/>
      <c r="Q31" s="52"/>
      <c r="R31" s="56"/>
      <c r="S31" s="56"/>
      <c r="T31" s="56"/>
      <c r="U31" s="56"/>
      <c r="V31" s="55"/>
      <c r="W31" s="55"/>
      <c r="X31" s="55"/>
      <c r="Y31" s="55"/>
      <c r="Z31" s="1"/>
      <c r="AA31" s="1"/>
      <c r="AB31" s="1"/>
      <c r="AC31" s="1"/>
      <c r="AD31" s="54"/>
      <c r="AE31" s="54"/>
      <c r="AF31" s="54"/>
      <c r="AG31" s="54"/>
      <c r="AH31" s="55"/>
      <c r="AI31" s="55"/>
      <c r="AJ31" s="55"/>
      <c r="AK31" s="55"/>
      <c r="AL31" s="1"/>
      <c r="AM31" s="1"/>
      <c r="AN31" s="1"/>
      <c r="AO31" s="1"/>
      <c r="AP31" s="57"/>
      <c r="AQ31" s="57"/>
      <c r="AR31" s="57"/>
      <c r="AS31" s="57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9"/>
      <c r="CW31" s="59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8"/>
      <c r="G32" s="58"/>
      <c r="H32" s="58"/>
      <c r="I32" s="58"/>
      <c r="J32" s="53"/>
      <c r="K32" s="53"/>
      <c r="L32" s="53"/>
      <c r="M32" s="53"/>
      <c r="N32" s="52"/>
      <c r="O32" s="52"/>
      <c r="P32" s="52"/>
      <c r="Q32" s="52"/>
      <c r="R32" s="56"/>
      <c r="S32" s="56"/>
      <c r="T32" s="56"/>
      <c r="U32" s="56"/>
      <c r="V32" s="55"/>
      <c r="W32" s="55"/>
      <c r="X32" s="55"/>
      <c r="Y32" s="55"/>
      <c r="Z32" s="1"/>
      <c r="AA32" s="1"/>
      <c r="AB32" s="1"/>
      <c r="AC32" s="1"/>
      <c r="AD32" s="54"/>
      <c r="AE32" s="54"/>
      <c r="AF32" s="54"/>
      <c r="AG32" s="54"/>
      <c r="AH32" s="55"/>
      <c r="AI32" s="55"/>
      <c r="AJ32" s="55"/>
      <c r="AK32" s="55"/>
      <c r="AL32" s="1"/>
      <c r="AM32" s="1"/>
      <c r="AN32" s="1"/>
      <c r="AO32" s="1"/>
      <c r="AP32" s="57"/>
      <c r="AQ32" s="57"/>
      <c r="AR32" s="57"/>
      <c r="AS32" s="57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9"/>
      <c r="CW32" s="59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8"/>
      <c r="G33" s="58"/>
      <c r="H33" s="58"/>
      <c r="I33" s="58"/>
      <c r="J33" s="53"/>
      <c r="K33" s="53"/>
      <c r="L33" s="53"/>
      <c r="M33" s="53"/>
      <c r="N33" s="52"/>
      <c r="O33" s="52"/>
      <c r="P33" s="52"/>
      <c r="Q33" s="52"/>
      <c r="R33" s="56"/>
      <c r="S33" s="56"/>
      <c r="T33" s="56"/>
      <c r="U33" s="56"/>
      <c r="V33" s="55"/>
      <c r="W33" s="55"/>
      <c r="X33" s="55"/>
      <c r="Y33" s="55"/>
      <c r="Z33" s="1"/>
      <c r="AA33" s="1"/>
      <c r="AB33" s="1"/>
      <c r="AC33" s="1"/>
      <c r="AD33" s="54"/>
      <c r="AE33" s="54"/>
      <c r="AF33" s="54"/>
      <c r="AG33" s="54"/>
      <c r="AH33" s="55"/>
      <c r="AI33" s="55"/>
      <c r="AJ33" s="55"/>
      <c r="AK33" s="55"/>
      <c r="AL33" s="1"/>
      <c r="AM33" s="1"/>
      <c r="AN33" s="1"/>
      <c r="AO33" s="1"/>
      <c r="AP33" s="57"/>
      <c r="AQ33" s="57"/>
      <c r="AR33" s="57"/>
      <c r="AS33" s="57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9"/>
      <c r="CW33" s="59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8"/>
      <c r="G34" s="58"/>
      <c r="H34" s="58"/>
      <c r="I34" s="58"/>
      <c r="J34" s="53"/>
      <c r="K34" s="53"/>
      <c r="L34" s="53"/>
      <c r="M34" s="53"/>
      <c r="N34" s="52"/>
      <c r="O34" s="52"/>
      <c r="P34" s="52"/>
      <c r="Q34" s="52"/>
      <c r="R34" s="56"/>
      <c r="S34" s="56"/>
      <c r="T34" s="56"/>
      <c r="U34" s="56"/>
      <c r="V34" s="55"/>
      <c r="W34" s="55"/>
      <c r="X34" s="55"/>
      <c r="Y34" s="55"/>
      <c r="Z34" s="1"/>
      <c r="AA34" s="1"/>
      <c r="AB34" s="1"/>
      <c r="AC34" s="1"/>
      <c r="AD34" s="54"/>
      <c r="AE34" s="54"/>
      <c r="AF34" s="54"/>
      <c r="AG34" s="54"/>
      <c r="AH34" s="55"/>
      <c r="AI34" s="55"/>
      <c r="AJ34" s="55"/>
      <c r="AK34" s="55"/>
      <c r="AL34" s="1"/>
      <c r="AM34" s="1"/>
      <c r="AN34" s="1"/>
      <c r="AO34" s="1"/>
      <c r="AP34" s="57"/>
      <c r="AQ34" s="57"/>
      <c r="AR34" s="57"/>
      <c r="AS34" s="57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9"/>
      <c r="CW34" s="59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8"/>
      <c r="G35" s="58"/>
      <c r="H35" s="58"/>
      <c r="I35" s="58"/>
      <c r="J35" s="53"/>
      <c r="K35" s="53"/>
      <c r="L35" s="53"/>
      <c r="M35" s="53"/>
      <c r="N35" s="52"/>
      <c r="O35" s="52"/>
      <c r="P35" s="52"/>
      <c r="Q35" s="52"/>
      <c r="R35" s="56"/>
      <c r="S35" s="56"/>
      <c r="T35" s="56"/>
      <c r="U35" s="56"/>
      <c r="V35" s="55"/>
      <c r="W35" s="55"/>
      <c r="X35" s="55"/>
      <c r="Y35" s="55"/>
      <c r="Z35" s="1"/>
      <c r="AA35" s="1"/>
      <c r="AB35" s="1"/>
      <c r="AC35" s="1"/>
      <c r="AD35" s="54"/>
      <c r="AE35" s="54"/>
      <c r="AF35" s="54"/>
      <c r="AG35" s="54"/>
      <c r="AH35" s="55"/>
      <c r="AI35" s="55"/>
      <c r="AJ35" s="55"/>
      <c r="AK35" s="55"/>
      <c r="AL35" s="1"/>
      <c r="AM35" s="1"/>
      <c r="AN35" s="1"/>
      <c r="AO35" s="1"/>
      <c r="AP35" s="57"/>
      <c r="AQ35" s="57"/>
      <c r="AR35" s="57"/>
      <c r="AS35" s="57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9"/>
      <c r="CW35" s="59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8"/>
      <c r="G36" s="58"/>
      <c r="H36" s="58"/>
      <c r="I36" s="58"/>
      <c r="J36" s="53"/>
      <c r="K36" s="53"/>
      <c r="L36" s="53"/>
      <c r="M36" s="53"/>
      <c r="N36" s="52"/>
      <c r="O36" s="52"/>
      <c r="P36" s="52"/>
      <c r="Q36" s="52"/>
      <c r="R36" s="56"/>
      <c r="S36" s="56"/>
      <c r="T36" s="56"/>
      <c r="U36" s="56"/>
      <c r="V36" s="55"/>
      <c r="W36" s="55"/>
      <c r="X36" s="55"/>
      <c r="Y36" s="55"/>
      <c r="Z36" s="1"/>
      <c r="AA36" s="1"/>
      <c r="AB36" s="1"/>
      <c r="AC36" s="1"/>
      <c r="AD36" s="54"/>
      <c r="AE36" s="54"/>
      <c r="AF36" s="54"/>
      <c r="AG36" s="54"/>
      <c r="AH36" s="55"/>
      <c r="AI36" s="55"/>
      <c r="AJ36" s="55"/>
      <c r="AK36" s="55"/>
      <c r="AL36" s="1"/>
      <c r="AM36" s="1"/>
      <c r="AN36" s="1"/>
      <c r="AO36" s="1"/>
      <c r="AP36" s="57"/>
      <c r="AQ36" s="57"/>
      <c r="AR36" s="57"/>
      <c r="AS36" s="57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9"/>
      <c r="CW36" s="59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8"/>
      <c r="G37" s="58"/>
      <c r="H37" s="58"/>
      <c r="I37" s="58"/>
      <c r="J37" s="53"/>
      <c r="K37" s="53"/>
      <c r="L37" s="53"/>
      <c r="M37" s="53"/>
      <c r="N37" s="52"/>
      <c r="O37" s="52"/>
      <c r="P37" s="52"/>
      <c r="Q37" s="52"/>
      <c r="R37" s="56"/>
      <c r="S37" s="56"/>
      <c r="T37" s="56"/>
      <c r="U37" s="56"/>
      <c r="V37" s="55"/>
      <c r="W37" s="55"/>
      <c r="X37" s="55"/>
      <c r="Y37" s="55"/>
      <c r="Z37" s="1"/>
      <c r="AA37" s="1"/>
      <c r="AB37" s="1"/>
      <c r="AC37" s="1"/>
      <c r="AD37" s="54"/>
      <c r="AE37" s="54"/>
      <c r="AF37" s="54"/>
      <c r="AG37" s="54"/>
      <c r="AH37" s="55"/>
      <c r="AI37" s="55"/>
      <c r="AJ37" s="55"/>
      <c r="AK37" s="55"/>
      <c r="AL37" s="1"/>
      <c r="AM37" s="1"/>
      <c r="AN37" s="1"/>
      <c r="AO37" s="1"/>
      <c r="AP37" s="57"/>
      <c r="AQ37" s="57"/>
      <c r="AR37" s="57"/>
      <c r="AS37" s="57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9"/>
      <c r="CW37" s="59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8"/>
      <c r="G38" s="58"/>
      <c r="H38" s="58"/>
      <c r="I38" s="58"/>
      <c r="J38" s="53"/>
      <c r="K38" s="53"/>
      <c r="L38" s="53"/>
      <c r="M38" s="53"/>
      <c r="N38" s="52"/>
      <c r="O38" s="52"/>
      <c r="P38" s="52"/>
      <c r="Q38" s="52"/>
      <c r="R38" s="56"/>
      <c r="S38" s="56"/>
      <c r="T38" s="56"/>
      <c r="U38" s="56"/>
      <c r="V38" s="55"/>
      <c r="W38" s="55"/>
      <c r="X38" s="55"/>
      <c r="Y38" s="55"/>
      <c r="Z38" s="1"/>
      <c r="AA38" s="1"/>
      <c r="AB38" s="1"/>
      <c r="AC38" s="1"/>
      <c r="AD38" s="54"/>
      <c r="AE38" s="54"/>
      <c r="AF38" s="54"/>
      <c r="AG38" s="54"/>
      <c r="AH38" s="55"/>
      <c r="AI38" s="55"/>
      <c r="AJ38" s="55"/>
      <c r="AK38" s="55"/>
      <c r="AL38" s="1"/>
      <c r="AM38" s="1"/>
      <c r="AN38" s="1"/>
      <c r="AO38" s="1"/>
      <c r="AP38" s="57"/>
      <c r="AQ38" s="57"/>
      <c r="AR38" s="57"/>
      <c r="AS38" s="57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9"/>
      <c r="CW38" s="59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8"/>
      <c r="G39" s="58"/>
      <c r="H39" s="58"/>
      <c r="I39" s="58"/>
      <c r="J39" s="53"/>
      <c r="K39" s="53"/>
      <c r="L39" s="53"/>
      <c r="M39" s="53"/>
      <c r="N39" s="52"/>
      <c r="O39" s="52"/>
      <c r="P39" s="52"/>
      <c r="Q39" s="52"/>
      <c r="R39" s="56"/>
      <c r="S39" s="56"/>
      <c r="T39" s="56"/>
      <c r="U39" s="56"/>
      <c r="V39" s="55"/>
      <c r="W39" s="55"/>
      <c r="X39" s="55"/>
      <c r="Y39" s="55"/>
      <c r="Z39" s="1"/>
      <c r="AA39" s="1"/>
      <c r="AB39" s="1"/>
      <c r="AC39" s="1"/>
      <c r="AD39" s="54"/>
      <c r="AE39" s="54"/>
      <c r="AF39" s="54"/>
      <c r="AG39" s="54"/>
      <c r="AH39" s="55"/>
      <c r="AI39" s="55"/>
      <c r="AJ39" s="55"/>
      <c r="AK39" s="55"/>
      <c r="AL39" s="1"/>
      <c r="AM39" s="1"/>
      <c r="AN39" s="1"/>
      <c r="AO39" s="1"/>
      <c r="AP39" s="57"/>
      <c r="AQ39" s="57"/>
      <c r="AR39" s="57"/>
      <c r="AS39" s="57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9"/>
      <c r="CW39" s="59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8"/>
      <c r="G40" s="58"/>
      <c r="H40" s="58"/>
      <c r="I40" s="58"/>
      <c r="J40" s="53"/>
      <c r="K40" s="53"/>
      <c r="L40" s="53"/>
      <c r="M40" s="53"/>
      <c r="N40" s="52"/>
      <c r="O40" s="52"/>
      <c r="P40" s="52"/>
      <c r="Q40" s="52"/>
      <c r="R40" s="56"/>
      <c r="S40" s="56"/>
      <c r="T40" s="56"/>
      <c r="U40" s="56"/>
      <c r="V40" s="55"/>
      <c r="W40" s="55"/>
      <c r="X40" s="55"/>
      <c r="Y40" s="55"/>
      <c r="Z40" s="1"/>
      <c r="AA40" s="1"/>
      <c r="AB40" s="1"/>
      <c r="AC40" s="1"/>
      <c r="AD40" s="54"/>
      <c r="AE40" s="54"/>
      <c r="AF40" s="54"/>
      <c r="AG40" s="54"/>
      <c r="AH40" s="55"/>
      <c r="AI40" s="55"/>
      <c r="AJ40" s="55"/>
      <c r="AK40" s="55"/>
      <c r="AL40" s="1"/>
      <c r="AM40" s="1"/>
      <c r="AN40" s="1"/>
      <c r="AO40" s="1"/>
      <c r="AP40" s="57"/>
      <c r="AQ40" s="57"/>
      <c r="AR40" s="57"/>
      <c r="AS40" s="57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9"/>
      <c r="CW40" s="59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8"/>
      <c r="G41" s="58"/>
      <c r="H41" s="58"/>
      <c r="I41" s="58"/>
      <c r="J41" s="53"/>
      <c r="K41" s="53"/>
      <c r="L41" s="53"/>
      <c r="M41" s="53"/>
      <c r="N41" s="52"/>
      <c r="O41" s="52"/>
      <c r="P41" s="52"/>
      <c r="Q41" s="52"/>
      <c r="R41" s="56"/>
      <c r="S41" s="56"/>
      <c r="T41" s="56"/>
      <c r="U41" s="56"/>
      <c r="V41" s="55"/>
      <c r="W41" s="55"/>
      <c r="X41" s="55"/>
      <c r="Y41" s="55"/>
      <c r="Z41" s="1"/>
      <c r="AA41" s="1"/>
      <c r="AB41" s="1"/>
      <c r="AC41" s="1"/>
      <c r="AD41" s="54"/>
      <c r="AE41" s="54"/>
      <c r="AF41" s="54"/>
      <c r="AG41" s="54"/>
      <c r="AH41" s="55"/>
      <c r="AI41" s="55"/>
      <c r="AJ41" s="55"/>
      <c r="AK41" s="55"/>
      <c r="AL41" s="1"/>
      <c r="AM41" s="1"/>
      <c r="AN41" s="1"/>
      <c r="AO41" s="1"/>
      <c r="AP41" s="57"/>
      <c r="AQ41" s="57"/>
      <c r="AR41" s="57"/>
      <c r="AS41" s="57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9"/>
      <c r="CW41" s="59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8"/>
      <c r="G42" s="58"/>
      <c r="H42" s="58"/>
      <c r="I42" s="58"/>
      <c r="J42" s="53"/>
      <c r="K42" s="53"/>
      <c r="L42" s="53"/>
      <c r="M42" s="53"/>
      <c r="N42" s="52"/>
      <c r="O42" s="52"/>
      <c r="P42" s="52"/>
      <c r="Q42" s="52"/>
      <c r="R42" s="56"/>
      <c r="S42" s="56"/>
      <c r="T42" s="56"/>
      <c r="U42" s="56"/>
      <c r="V42" s="55"/>
      <c r="W42" s="55"/>
      <c r="X42" s="55"/>
      <c r="Y42" s="55"/>
      <c r="Z42" s="1"/>
      <c r="AA42" s="1"/>
      <c r="AB42" s="1"/>
      <c r="AC42" s="1"/>
      <c r="AD42" s="54"/>
      <c r="AE42" s="54"/>
      <c r="AF42" s="54"/>
      <c r="AG42" s="54"/>
      <c r="AH42" s="55"/>
      <c r="AI42" s="55"/>
      <c r="AJ42" s="55"/>
      <c r="AK42" s="55"/>
      <c r="AL42" s="1"/>
      <c r="AM42" s="1"/>
      <c r="AN42" s="1"/>
      <c r="AO42" s="1"/>
      <c r="AP42" s="57"/>
      <c r="AQ42" s="57"/>
      <c r="AR42" s="57"/>
      <c r="AS42" s="57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9"/>
      <c r="CW42" s="59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8"/>
      <c r="G43" s="58"/>
      <c r="H43" s="58"/>
      <c r="I43" s="58"/>
      <c r="J43" s="53"/>
      <c r="K43" s="53"/>
      <c r="L43" s="53"/>
      <c r="M43" s="53"/>
      <c r="N43" s="52"/>
      <c r="O43" s="52"/>
      <c r="P43" s="52"/>
      <c r="Q43" s="52"/>
      <c r="R43" s="56"/>
      <c r="S43" s="56"/>
      <c r="T43" s="56"/>
      <c r="U43" s="56"/>
      <c r="V43" s="55"/>
      <c r="W43" s="55"/>
      <c r="X43" s="55"/>
      <c r="Y43" s="55"/>
      <c r="Z43" s="1"/>
      <c r="AA43" s="1"/>
      <c r="AB43" s="1"/>
      <c r="AC43" s="1"/>
      <c r="AD43" s="54"/>
      <c r="AE43" s="54"/>
      <c r="AF43" s="54"/>
      <c r="AG43" s="54"/>
      <c r="AH43" s="55"/>
      <c r="AI43" s="55"/>
      <c r="AJ43" s="55"/>
      <c r="AK43" s="55"/>
      <c r="AL43" s="1"/>
      <c r="AM43" s="1"/>
      <c r="AN43" s="1"/>
      <c r="AO43" s="1"/>
      <c r="AP43" s="57"/>
      <c r="AQ43" s="57"/>
      <c r="AR43" s="57"/>
      <c r="AS43" s="57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9"/>
      <c r="CW43" s="59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8"/>
      <c r="G44" s="58"/>
      <c r="H44" s="58"/>
      <c r="I44" s="58"/>
      <c r="J44" s="53"/>
      <c r="K44" s="53"/>
      <c r="L44" s="53"/>
      <c r="M44" s="53"/>
      <c r="N44" s="52"/>
      <c r="O44" s="52"/>
      <c r="P44" s="52"/>
      <c r="Q44" s="52"/>
      <c r="R44" s="56"/>
      <c r="S44" s="56"/>
      <c r="T44" s="56"/>
      <c r="U44" s="56"/>
      <c r="V44" s="55"/>
      <c r="W44" s="55"/>
      <c r="X44" s="55"/>
      <c r="Y44" s="55"/>
      <c r="Z44" s="1"/>
      <c r="AA44" s="1"/>
      <c r="AB44" s="1"/>
      <c r="AC44" s="1"/>
      <c r="AD44" s="54"/>
      <c r="AE44" s="54"/>
      <c r="AF44" s="54"/>
      <c r="AG44" s="54"/>
      <c r="AH44" s="55"/>
      <c r="AI44" s="55"/>
      <c r="AJ44" s="55"/>
      <c r="AK44" s="55"/>
      <c r="AL44" s="1"/>
      <c r="AM44" s="1"/>
      <c r="AN44" s="1"/>
      <c r="AO44" s="1"/>
      <c r="AP44" s="57"/>
      <c r="AQ44" s="57"/>
      <c r="AR44" s="57"/>
      <c r="AS44" s="57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9"/>
      <c r="CW44" s="59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A45"/>
  <sheetViews>
    <sheetView showZeros="0" tabSelected="1" zoomScale="85" zoomScaleNormal="85" workbookViewId="0">
      <selection activeCell="CH9" sqref="CH9"/>
    </sheetView>
  </sheetViews>
  <sheetFormatPr defaultRowHeight="15" x14ac:dyDescent="0.25"/>
  <cols>
    <col min="1" max="1" width="14.140625" bestFit="1" customWidth="1"/>
    <col min="2" max="2" width="15.7109375" style="62" customWidth="1"/>
    <col min="3" max="3" width="16.7109375" customWidth="1"/>
    <col min="4" max="4" width="23.28515625" customWidth="1"/>
    <col min="5" max="5" width="13.7109375" style="2" bestFit="1" customWidth="1"/>
    <col min="6" max="6" width="12.28515625" customWidth="1"/>
    <col min="7" max="7" width="15.42578125" bestFit="1" customWidth="1"/>
    <col min="8" max="8" width="10.85546875" style="5" customWidth="1"/>
    <col min="9" max="9" width="11.85546875" customWidth="1"/>
    <col min="10" max="10" width="13.140625" bestFit="1" customWidth="1"/>
    <col min="11" max="11" width="10.28515625" bestFit="1" customWidth="1"/>
    <col min="12" max="12" width="11.7109375" customWidth="1"/>
    <col min="13" max="13" width="16.5703125" customWidth="1"/>
    <col min="14" max="14" width="11.7109375" customWidth="1"/>
    <col min="15" max="15" width="7.85546875" style="15" customWidth="1"/>
    <col min="16" max="25" width="7.85546875" style="15" hidden="1" customWidth="1"/>
    <col min="26" max="26" width="9.42578125" style="15" customWidth="1"/>
    <col min="27" max="32" width="7.85546875" style="15" hidden="1" customWidth="1"/>
    <col min="33" max="33" width="7.85546875" style="15" customWidth="1"/>
    <col min="34" max="34" width="7.85546875" style="15" hidden="1" customWidth="1"/>
    <col min="35" max="35" width="7.85546875" style="15" customWidth="1"/>
    <col min="36" max="50" width="7.85546875" style="15" hidden="1" customWidth="1"/>
    <col min="51" max="51" width="7.85546875" style="15" customWidth="1"/>
    <col min="52" max="59" width="7.85546875" style="15" hidden="1" customWidth="1"/>
    <col min="60" max="60" width="7.85546875" style="15" customWidth="1"/>
    <col min="61" max="67" width="7.85546875" style="15" hidden="1" customWidth="1"/>
    <col min="68" max="68" width="7.85546875" style="15" customWidth="1"/>
    <col min="69" max="76" width="7.85546875" style="15" hidden="1" customWidth="1"/>
    <col min="77" max="77" width="7.85546875" style="15" customWidth="1"/>
    <col min="78" max="85" width="7.85546875" style="15" hidden="1" customWidth="1"/>
    <col min="86" max="86" width="9.14062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hidden="1" customWidth="1"/>
    <col min="93" max="93" width="9.140625" style="2" hidden="1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  <col min="103" max="104" width="0" hidden="1" customWidth="1"/>
  </cols>
  <sheetData>
    <row r="1" spans="1:105" s="22" customFormat="1" ht="28.9" customHeight="1" x14ac:dyDescent="0.25">
      <c r="A1" s="88"/>
      <c r="B1" s="88"/>
      <c r="C1" s="89"/>
      <c r="D1" s="89"/>
      <c r="E1" s="26"/>
      <c r="H1" s="27"/>
      <c r="O1" s="119" t="s">
        <v>82</v>
      </c>
      <c r="P1" s="119"/>
      <c r="Q1" s="119"/>
      <c r="R1" s="119"/>
      <c r="S1" s="119"/>
      <c r="T1" s="119"/>
      <c r="U1" s="119"/>
      <c r="V1" s="119"/>
      <c r="W1" s="120" t="s">
        <v>4</v>
      </c>
      <c r="X1" s="120"/>
      <c r="Y1" s="121" t="s">
        <v>3</v>
      </c>
      <c r="Z1" s="121"/>
      <c r="AA1" s="121"/>
      <c r="AB1" s="121"/>
      <c r="AC1" s="121"/>
      <c r="AD1" s="121"/>
      <c r="AE1" s="121"/>
      <c r="AF1" s="121"/>
      <c r="AG1" s="122" t="s">
        <v>5</v>
      </c>
      <c r="AH1" s="122"/>
      <c r="AI1" s="123" t="s">
        <v>6</v>
      </c>
      <c r="AJ1" s="123"/>
      <c r="AK1" s="123"/>
      <c r="AL1" s="123"/>
      <c r="AM1" s="123"/>
      <c r="AN1" s="123"/>
      <c r="AO1" s="123"/>
      <c r="AP1" s="123"/>
      <c r="AQ1" s="123"/>
      <c r="AR1" s="35" t="s">
        <v>7</v>
      </c>
      <c r="AS1" s="115" t="s">
        <v>8</v>
      </c>
      <c r="AT1" s="116"/>
      <c r="AU1" s="116"/>
      <c r="AV1" s="116"/>
      <c r="AW1" s="116"/>
      <c r="AX1" s="116"/>
      <c r="AY1" s="116"/>
      <c r="AZ1" s="116"/>
      <c r="BA1" s="116"/>
      <c r="BB1" s="117" t="s">
        <v>9</v>
      </c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8" t="s">
        <v>10</v>
      </c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39" t="s">
        <v>11</v>
      </c>
      <c r="BZ1" s="42" t="s">
        <v>12</v>
      </c>
      <c r="CA1" s="30" t="s">
        <v>13</v>
      </c>
      <c r="CB1" s="34" t="s">
        <v>14</v>
      </c>
      <c r="CC1" s="31" t="s">
        <v>15</v>
      </c>
      <c r="CD1" s="45" t="s">
        <v>16</v>
      </c>
      <c r="CE1" s="47" t="s">
        <v>17</v>
      </c>
      <c r="CF1" s="41" t="s">
        <v>18</v>
      </c>
      <c r="CG1" s="30" t="s">
        <v>19</v>
      </c>
      <c r="CH1" s="112" t="s">
        <v>84</v>
      </c>
      <c r="CI1" s="113"/>
      <c r="CJ1" s="113"/>
      <c r="CK1" s="114"/>
      <c r="CL1" s="65" t="s">
        <v>20</v>
      </c>
      <c r="CM1" s="23" t="s">
        <v>21</v>
      </c>
      <c r="CN1" s="24" t="s">
        <v>40</v>
      </c>
      <c r="CO1" s="23" t="s">
        <v>81</v>
      </c>
      <c r="CP1" s="25"/>
      <c r="CQ1" s="26"/>
      <c r="CR1" s="27"/>
      <c r="CS1" s="26"/>
      <c r="CT1" s="26"/>
      <c r="CU1" s="27"/>
      <c r="CW1" s="27"/>
      <c r="DA1" s="22" t="s">
        <v>126</v>
      </c>
    </row>
    <row r="2" spans="1:105" s="11" customFormat="1" ht="89.25" x14ac:dyDescent="0.25">
      <c r="A2" s="80" t="s">
        <v>0</v>
      </c>
      <c r="B2" s="81" t="s">
        <v>85</v>
      </c>
      <c r="C2" s="80" t="s">
        <v>1</v>
      </c>
      <c r="D2" s="80" t="s">
        <v>2</v>
      </c>
      <c r="E2" s="3" t="s">
        <v>31</v>
      </c>
      <c r="F2" s="9" t="s">
        <v>32</v>
      </c>
      <c r="G2" s="9" t="s">
        <v>33</v>
      </c>
      <c r="H2" s="4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  <c r="N2" s="106" t="s">
        <v>145</v>
      </c>
      <c r="O2" s="82" t="s">
        <v>41</v>
      </c>
      <c r="P2" s="82" t="s">
        <v>46</v>
      </c>
      <c r="Q2" s="82" t="s">
        <v>43</v>
      </c>
      <c r="R2" s="82" t="s">
        <v>123</v>
      </c>
      <c r="S2" s="82" t="s">
        <v>124</v>
      </c>
      <c r="T2" s="82" t="s">
        <v>125</v>
      </c>
      <c r="U2" s="82" t="s">
        <v>44</v>
      </c>
      <c r="V2" s="82" t="s">
        <v>45</v>
      </c>
      <c r="W2" s="82" t="s">
        <v>41</v>
      </c>
      <c r="X2" s="82" t="s">
        <v>46</v>
      </c>
      <c r="Y2" s="83" t="s">
        <v>53</v>
      </c>
      <c r="Z2" s="83" t="s">
        <v>57</v>
      </c>
      <c r="AA2" s="83" t="s">
        <v>60</v>
      </c>
      <c r="AB2" s="83" t="s">
        <v>65</v>
      </c>
      <c r="AC2" s="83" t="s">
        <v>69</v>
      </c>
      <c r="AD2" s="83" t="s">
        <v>71</v>
      </c>
      <c r="AE2" s="83" t="s">
        <v>73</v>
      </c>
      <c r="AF2" s="83" t="s">
        <v>75</v>
      </c>
      <c r="AG2" s="83" t="s">
        <v>52</v>
      </c>
      <c r="AH2" s="83" t="s">
        <v>56</v>
      </c>
      <c r="AI2" s="83" t="s">
        <v>51</v>
      </c>
      <c r="AJ2" s="83" t="s">
        <v>47</v>
      </c>
      <c r="AK2" s="83" t="s">
        <v>59</v>
      </c>
      <c r="AL2" s="83" t="s">
        <v>64</v>
      </c>
      <c r="AM2" s="83" t="s">
        <v>68</v>
      </c>
      <c r="AN2" s="83" t="s">
        <v>87</v>
      </c>
      <c r="AO2" s="83" t="s">
        <v>88</v>
      </c>
      <c r="AP2" s="83" t="s">
        <v>86</v>
      </c>
      <c r="AQ2" s="83" t="s">
        <v>94</v>
      </c>
      <c r="AR2" s="84" t="s">
        <v>7</v>
      </c>
      <c r="AS2" s="83" t="s">
        <v>54</v>
      </c>
      <c r="AT2" s="83" t="s">
        <v>58</v>
      </c>
      <c r="AU2" s="83" t="s">
        <v>63</v>
      </c>
      <c r="AV2" s="83" t="s">
        <v>61</v>
      </c>
      <c r="AW2" s="83" t="s">
        <v>66</v>
      </c>
      <c r="AX2" s="83" t="s">
        <v>70</v>
      </c>
      <c r="AY2" s="83" t="s">
        <v>48</v>
      </c>
      <c r="AZ2" s="83" t="s">
        <v>122</v>
      </c>
      <c r="BA2" s="83" t="s">
        <v>74</v>
      </c>
      <c r="BB2" s="83" t="s">
        <v>55</v>
      </c>
      <c r="BC2" s="83" t="s">
        <v>42</v>
      </c>
      <c r="BD2" s="83" t="s">
        <v>62</v>
      </c>
      <c r="BE2" s="83" t="s">
        <v>67</v>
      </c>
      <c r="BF2" s="83" t="s">
        <v>89</v>
      </c>
      <c r="BG2" s="83" t="s">
        <v>72</v>
      </c>
      <c r="BH2" s="83" t="s">
        <v>49</v>
      </c>
      <c r="BI2" s="83" t="s">
        <v>76</v>
      </c>
      <c r="BJ2" s="83" t="s">
        <v>77</v>
      </c>
      <c r="BK2" s="83" t="s">
        <v>78</v>
      </c>
      <c r="BL2" s="83" t="s">
        <v>80</v>
      </c>
      <c r="BM2" s="83" t="s">
        <v>54</v>
      </c>
      <c r="BN2" s="83" t="s">
        <v>58</v>
      </c>
      <c r="BO2" s="83" t="s">
        <v>63</v>
      </c>
      <c r="BP2" s="83" t="s">
        <v>61</v>
      </c>
      <c r="BQ2" s="83" t="s">
        <v>90</v>
      </c>
      <c r="BR2" s="83" t="s">
        <v>95</v>
      </c>
      <c r="BS2" s="83" t="s">
        <v>91</v>
      </c>
      <c r="BT2" s="83" t="s">
        <v>66</v>
      </c>
      <c r="BU2" s="83" t="s">
        <v>48</v>
      </c>
      <c r="BV2" s="83" t="s">
        <v>122</v>
      </c>
      <c r="BW2" s="83" t="s">
        <v>74</v>
      </c>
      <c r="BX2" s="83" t="s">
        <v>79</v>
      </c>
      <c r="BY2" s="84" t="s">
        <v>11</v>
      </c>
      <c r="BZ2" s="84" t="s">
        <v>50</v>
      </c>
      <c r="CA2" s="85" t="s">
        <v>13</v>
      </c>
      <c r="CB2" s="86" t="s">
        <v>14</v>
      </c>
      <c r="CC2" s="85" t="s">
        <v>15</v>
      </c>
      <c r="CD2" s="85" t="s">
        <v>16</v>
      </c>
      <c r="CE2" s="85" t="s">
        <v>17</v>
      </c>
      <c r="CF2" s="86" t="s">
        <v>18</v>
      </c>
      <c r="CG2" s="85" t="s">
        <v>19</v>
      </c>
      <c r="CH2" s="69" t="s">
        <v>83</v>
      </c>
      <c r="CI2" s="69" t="s">
        <v>92</v>
      </c>
      <c r="CJ2" s="69" t="s">
        <v>93</v>
      </c>
      <c r="CK2" s="69" t="s">
        <v>96</v>
      </c>
      <c r="CL2" s="111"/>
      <c r="CM2" s="111"/>
      <c r="CN2" s="12"/>
      <c r="CO2" s="14"/>
      <c r="CP2" s="7" t="s">
        <v>22</v>
      </c>
      <c r="CQ2" s="3" t="s">
        <v>23</v>
      </c>
      <c r="CR2" s="4" t="s">
        <v>24</v>
      </c>
      <c r="CS2" s="3" t="s">
        <v>25</v>
      </c>
      <c r="CT2" s="3" t="s">
        <v>26</v>
      </c>
      <c r="CU2" s="4" t="s">
        <v>27</v>
      </c>
      <c r="CV2" s="9" t="s">
        <v>28</v>
      </c>
      <c r="CW2" s="4" t="s">
        <v>29</v>
      </c>
      <c r="CX2" s="9" t="s">
        <v>30</v>
      </c>
      <c r="CY2" s="4" t="s">
        <v>97</v>
      </c>
      <c r="CZ2" s="9" t="s">
        <v>98</v>
      </c>
    </row>
    <row r="3" spans="1:105" s="14" customFormat="1" x14ac:dyDescent="0.25">
      <c r="A3" s="16"/>
      <c r="B3" s="61"/>
      <c r="C3" s="16"/>
      <c r="D3" s="16"/>
      <c r="E3" s="3"/>
      <c r="F3" s="77"/>
      <c r="G3" s="64"/>
      <c r="H3" s="3"/>
      <c r="I3" s="3"/>
      <c r="J3" s="3"/>
      <c r="K3" s="78"/>
      <c r="L3" s="3"/>
      <c r="M3" s="3"/>
      <c r="N3" s="107"/>
      <c r="O3" s="17">
        <v>385</v>
      </c>
      <c r="P3" s="17">
        <f>+IFERROR(VLOOKUP($P$2,Sheet1!J:L,2,0),0)</f>
        <v>0</v>
      </c>
      <c r="Q3" s="17">
        <f>+IFERROR(VLOOKUP($Q$2,Sheet1!J:M,2,0),0)</f>
        <v>0</v>
      </c>
      <c r="R3" s="17">
        <f>+IFERROR(VLOOKUP($R$2,Sheet1!J:M,2,0),0)</f>
        <v>0</v>
      </c>
      <c r="S3" s="17">
        <f>+IFERROR(VLOOKUP($S$2,Sheet1!J:M,2,0),0)</f>
        <v>0</v>
      </c>
      <c r="T3" s="17">
        <f>+IFERROR(VLOOKUP($T$2,Sheet1!J:M,2,0),0)</f>
        <v>0</v>
      </c>
      <c r="U3" s="17">
        <f>+IFERROR(VLOOKUP($U$2,Sheet1!J:M,2,0),0)</f>
        <v>0</v>
      </c>
      <c r="V3" s="17">
        <f>+IFERROR(VLOOKUP($V$2,Sheet1!J:M,2,0),0)</f>
        <v>0</v>
      </c>
      <c r="W3" s="17">
        <f>+IFERROR(VLOOKUP($W$2,Sheet1!N:Q,2,0),0)</f>
        <v>0</v>
      </c>
      <c r="X3" s="17">
        <f>+IFERROR(VLOOKUP($X$2,Sheet1!N:O,2,0),0)</f>
        <v>0</v>
      </c>
      <c r="Y3" s="18">
        <f>+IFERROR(VLOOKUP($Y$2,Sheet1!F:I,2,0),0)</f>
        <v>0</v>
      </c>
      <c r="Z3" s="18">
        <v>1529</v>
      </c>
      <c r="AA3" s="18">
        <f>+IFERROR(VLOOKUP($AA$2,Sheet1!F:I,2,0),0)</f>
        <v>0</v>
      </c>
      <c r="AB3" s="18">
        <f>+IFERROR(VLOOKUP($AB$2,Sheet1!F:I,2,0),0)</f>
        <v>0</v>
      </c>
      <c r="AC3" s="18">
        <f>+IFERROR(VLOOKUP($AC$2,Sheet1!F:I,2,0),0)</f>
        <v>0</v>
      </c>
      <c r="AD3" s="18">
        <f>+IFERROR(VLOOKUP($AD$2,Sheet1!F:I,2,0),0)</f>
        <v>0</v>
      </c>
      <c r="AE3" s="18">
        <f>+IFERROR(VLOOKUP($AE$2,Sheet1!F:I,2,0),0)</f>
        <v>0</v>
      </c>
      <c r="AF3" s="18">
        <f>+IFERROR(VLOOKUP($AF$2,Sheet1!F:I,2,0),0)</f>
        <v>0</v>
      </c>
      <c r="AG3" s="18">
        <v>209</v>
      </c>
      <c r="AH3" s="18">
        <f>+IFERROR(VLOOKUP($AH$2,Sheet1!R:U,2,0),0)</f>
        <v>0</v>
      </c>
      <c r="AI3" s="18">
        <v>199</v>
      </c>
      <c r="AJ3" s="18">
        <f>+IFERROR(VLOOKUP($AJ$2,Sheet1!V:Y,2,0),0)</f>
        <v>0</v>
      </c>
      <c r="AK3" s="18">
        <f>+IFERROR(VLOOKUP($AK$2,Sheet1!V:Y,2,0),0)</f>
        <v>0</v>
      </c>
      <c r="AL3" s="18">
        <f>+IFERROR(VLOOKUP($AL$2,Sheet1!V:Y,2,0),0)</f>
        <v>0</v>
      </c>
      <c r="AM3" s="18">
        <f>+IFERROR(VLOOKUP($AM$2,Sheet1!V:Y,2,0),0)</f>
        <v>0</v>
      </c>
      <c r="AN3" s="18">
        <f>+IFERROR(VLOOKUP($AN$2,Sheet1!V:Y,2,0),0)</f>
        <v>0</v>
      </c>
      <c r="AO3" s="18">
        <f>+IFERROR(VLOOKUP($AO$2,Sheet1!V:Y,2,0),0)</f>
        <v>0</v>
      </c>
      <c r="AP3" s="18">
        <f>+IFERROR(VLOOKUP($AP$2,Sheet1!V:Y,2,0),0)</f>
        <v>0</v>
      </c>
      <c r="AQ3" s="18">
        <f>+IFERROR(VLOOKUP($AQ$2,Sheet1!V:Y,2,0),0)</f>
        <v>0</v>
      </c>
      <c r="AR3" s="19">
        <f>+IFERROR(VLOOKUP($AR$2,Sheet1!Z2:AA840,2,0),0)</f>
        <v>0</v>
      </c>
      <c r="AS3" s="18">
        <f>+IFERROR(VLOOKUP($AS$2,Sheet1!AD2:AG840,2,0),0)</f>
        <v>0</v>
      </c>
      <c r="AT3" s="18">
        <f>+IFERROR(VLOOKUP($AT$2,Sheet1!AD2:AG840,2,0),0)</f>
        <v>0</v>
      </c>
      <c r="AU3" s="18">
        <f>+IFERROR(VLOOKUP($AU$2,Sheet1!AD2:AG840,2,0),0)</f>
        <v>0</v>
      </c>
      <c r="AV3" s="18">
        <f>+IFERROR(VLOOKUP($AV$2,Sheet1!AD2:AG840,2,0),0)</f>
        <v>0</v>
      </c>
      <c r="AW3" s="18">
        <f>+IFERROR(VLOOKUP($AW$2,Sheet1!AD2:AG840,2,0),0)</f>
        <v>0</v>
      </c>
      <c r="AX3" s="18">
        <f>+IFERROR(VLOOKUP($AX$2,Sheet1!AD2:AG840,2,0),0)</f>
        <v>0</v>
      </c>
      <c r="AY3" s="18">
        <v>77</v>
      </c>
      <c r="AZ3" s="18">
        <f>+IFERROR(VLOOKUP($AZ$2,Sheet1!AD2:AG840,2,0),0)</f>
        <v>0</v>
      </c>
      <c r="BA3" s="18">
        <f>+IFERROR(VLOOKUP($BA$2,Sheet1!AD2:AG840,2,0),0)</f>
        <v>0</v>
      </c>
      <c r="BB3" s="18">
        <f>+IFERROR(VLOOKUP($BB$2,Sheet1!AH2:AK840,2,0),0)</f>
        <v>0</v>
      </c>
      <c r="BC3" s="18">
        <f>+IFERROR(VLOOKUP($BC$2,Sheet1!AH2:AK840,2,0),0)</f>
        <v>0</v>
      </c>
      <c r="BD3" s="18">
        <f>+IFERROR(VLOOKUP($BD$2,Sheet1!AH2:AK840,2,0),0)</f>
        <v>0</v>
      </c>
      <c r="BE3" s="18">
        <f>+IFERROR(VLOOKUP($BE$2,Sheet1!AH2:AK840,2,0),0)</f>
        <v>0</v>
      </c>
      <c r="BF3" s="18">
        <f>+IFERROR(VLOOKUP($BF$2,Sheet1!AH2:AK840,2,0),0)</f>
        <v>0</v>
      </c>
      <c r="BG3" s="18">
        <f>+IFERROR(VLOOKUP($BG$2,Sheet1!AH2:AK840,2,0),0)</f>
        <v>0</v>
      </c>
      <c r="BH3" s="18">
        <v>90</v>
      </c>
      <c r="BI3" s="18">
        <f>+IFERROR(VLOOKUP($BI$2,Sheet1!AH2:AK840,2,0),0)</f>
        <v>0</v>
      </c>
      <c r="BJ3" s="18">
        <f>+IFERROR(VLOOKUP($BJ$2,Sheet1!AH2:AK840,2,0),0)</f>
        <v>0</v>
      </c>
      <c r="BK3" s="18">
        <f>+IFERROR(VLOOKUP($BK$2,Sheet1!AH2:AK840,2,0),0)</f>
        <v>0</v>
      </c>
      <c r="BL3" s="18">
        <f>+IFERROR(VLOOKUP($BL$2,Sheet1!AH2:AK840,2,0),0)</f>
        <v>0</v>
      </c>
      <c r="BM3" s="18">
        <f>+IFERROR(VLOOKUP($BM$2,Sheet1!AL2:AO840,2,0),0)</f>
        <v>0</v>
      </c>
      <c r="BN3" s="18">
        <f>+IFERROR(VLOOKUP($BN$2,Sheet1!AL2:AO840,2,0),0)</f>
        <v>0</v>
      </c>
      <c r="BO3" s="18">
        <f>+IFERROR(VLOOKUP($BO$2,Sheet1!AL2:AO840,2,0),0)</f>
        <v>0</v>
      </c>
      <c r="BP3" s="18">
        <v>97</v>
      </c>
      <c r="BQ3" s="18">
        <f>+IFERROR(VLOOKUP($BQ$2,Sheet1!AL2:AO840,2,0),0)</f>
        <v>0</v>
      </c>
      <c r="BR3" s="18">
        <f>+IFERROR(VLOOKUP($BR$2,Sheet1!AL2:AO840,2,0),0)</f>
        <v>0</v>
      </c>
      <c r="BS3" s="18">
        <f>+IFERROR(VLOOKUP($BS$2,Sheet1!AL2:AO840,2,0),0)</f>
        <v>0</v>
      </c>
      <c r="BT3" s="18">
        <f>+IFERROR(VLOOKUP($BT$2,Sheet1!AL2:AO840,2,0),0)</f>
        <v>0</v>
      </c>
      <c r="BU3" s="18">
        <f>+IFERROR(VLOOKUP($BU$2,Sheet1!AL2:AO840,2,0),0)</f>
        <v>0</v>
      </c>
      <c r="BV3" s="18">
        <f>+IFERROR(VLOOKUP($BV$2,Sheet1!AL2:AO840,2,0),0)</f>
        <v>0</v>
      </c>
      <c r="BW3" s="18">
        <f>+IFERROR(VLOOKUP($BW$2,Sheet1!AL2:AO840,2,0),0)</f>
        <v>0</v>
      </c>
      <c r="BX3" s="18">
        <f>+IFERROR(VLOOKUP($BX$2,Sheet1!AL2:AO840,2,0),0)</f>
        <v>0</v>
      </c>
      <c r="BY3" s="19">
        <v>32</v>
      </c>
      <c r="BZ3" s="19">
        <f>+IFERROR(VLOOKUP($BZ$2,Sheet1!AT2:AW840,2,0),0)</f>
        <v>0</v>
      </c>
      <c r="CA3" s="20">
        <f>+IFERROR(VLOOKUP($CA$2,Sheet1!AX2:BA840,2,0),0)</f>
        <v>0</v>
      </c>
      <c r="CB3" s="21">
        <f>+IFERROR(VLOOKUP($CB$2,Sheet1!BB2:BE840,2,0),0)</f>
        <v>0</v>
      </c>
      <c r="CC3" s="20">
        <f>+IFERROR(VLOOKUP($CC$2,Sheet1!BF2:BI840,2,0),0)</f>
        <v>0</v>
      </c>
      <c r="CD3" s="20">
        <f>+IFERROR(VLOOKUP($CD$2,Sheet1!BJ2:BM840,2,0),0)</f>
        <v>0</v>
      </c>
      <c r="CE3" s="20">
        <f>+IFERROR(VLOOKUP($CE$2,Sheet1!BN2:BQ840,2,0),0)</f>
        <v>0</v>
      </c>
      <c r="CF3" s="21">
        <f>+IFERROR(VLOOKUP($CF$2,Sheet1!BR2:BU840,2,0),0)</f>
        <v>0</v>
      </c>
      <c r="CG3" s="20">
        <f>+IFERROR(VLOOKUP($CG$2,Sheet1!BV2:BY840,2,0),0)</f>
        <v>0</v>
      </c>
      <c r="CH3" s="66"/>
      <c r="CI3" s="66"/>
      <c r="CJ3" s="66"/>
      <c r="CK3" s="66"/>
      <c r="CL3" s="111"/>
      <c r="CM3" s="111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</row>
    <row r="4" spans="1:105" s="22" customFormat="1" ht="71.25" customHeight="1" x14ac:dyDescent="0.25">
      <c r="A4" s="6" t="str">
        <f>Sheet1!A2</f>
        <v>ENQ-20128-25-26</v>
      </c>
      <c r="B4" s="87">
        <v>46197</v>
      </c>
      <c r="C4" s="6" t="str">
        <f>Sheet1!C2</f>
        <v>FA1300002</v>
      </c>
      <c r="D4" s="6" t="str">
        <f>Sheet1!D2</f>
        <v>3 CORE X 185 SQ. MM AL/ARM - STRIP (XLPE) - 11 KV</v>
      </c>
      <c r="E4" s="23">
        <f>CT4+CV4+CX4+CZ4</f>
        <v>1291437.2292499999</v>
      </c>
      <c r="F4" s="98">
        <f>ROUNDUP($M$9,0)</f>
        <v>18000</v>
      </c>
      <c r="G4" s="28">
        <f>E4+F4</f>
        <v>1309437.2292499999</v>
      </c>
      <c r="H4" s="29">
        <f>Sheet1!CR2</f>
        <v>0.18</v>
      </c>
      <c r="I4" s="28">
        <f>G4*H4</f>
        <v>235698.70126499995</v>
      </c>
      <c r="J4" s="28">
        <f>G4+I4</f>
        <v>1545135.9305149999</v>
      </c>
      <c r="K4" s="79">
        <f>Sheet1!CU2</f>
        <v>2.5</v>
      </c>
      <c r="L4" s="76" t="str">
        <f>Sheet1!CV2</f>
        <v>KMS</v>
      </c>
      <c r="M4" s="23">
        <f>J4*K4</f>
        <v>3862839.8262874996</v>
      </c>
      <c r="N4" s="108" t="s">
        <v>146</v>
      </c>
      <c r="O4" s="71">
        <f>+IFERROR(VLOOKUP($O$2,Sheet1!J2:L2,3,0),0)</f>
        <v>1499</v>
      </c>
      <c r="P4" s="71">
        <f>+IFERROR(VLOOKUP($P$2,Sheet1!J2:L2,3,0),0)</f>
        <v>0</v>
      </c>
      <c r="Q4" s="71">
        <f>+IFERROR(VLOOKUP($Q$2,Sheet1!J2:M2,3,0),0)</f>
        <v>0</v>
      </c>
      <c r="R4" s="71">
        <f>+IFERROR(VLOOKUP($R$2,Sheet1!J2:M2,3,0),0)</f>
        <v>0</v>
      </c>
      <c r="S4" s="71">
        <f>+IFERROR(VLOOKUP($S$2,Sheet1!J2:M2,3,0),0)</f>
        <v>0</v>
      </c>
      <c r="T4" s="71">
        <f>+IFERROR(VLOOKUP($T$2,Sheet1!J2:M2,3,0),0)</f>
        <v>0</v>
      </c>
      <c r="U4" s="71">
        <f>+IFERROR(VLOOKUP($U$2,Sheet1!J2:M2,3,0),0)</f>
        <v>0</v>
      </c>
      <c r="V4" s="71">
        <f>+IFERROR(VLOOKUP($V$2,Sheet1!J2:M2,3,0),0)</f>
        <v>0</v>
      </c>
      <c r="W4" s="72">
        <f>+IFERROR(VLOOKUP($W$2,Sheet1!N2:Q2,3,0),0)</f>
        <v>0</v>
      </c>
      <c r="X4" s="72">
        <f>+IFERROR(VLOOKUP($X$2,Sheet1!N2:Q2,3,0),0)</f>
        <v>0</v>
      </c>
      <c r="Y4" s="73">
        <f>+IFERROR(VLOOKUP($Y$2,Sheet1!F2:I2,3,0),0)</f>
        <v>0</v>
      </c>
      <c r="Z4" s="73">
        <f>+IFERROR(VLOOKUP($Z$2,Sheet1!F2:I2,3,0),0)</f>
        <v>75</v>
      </c>
      <c r="AA4" s="73">
        <f>+IFERROR(VLOOKUP($AA$2,Sheet1!F2:I2,3,0),0)</f>
        <v>0</v>
      </c>
      <c r="AB4" s="73">
        <f>+IFERROR(VLOOKUP($AB$2,Sheet1!F2:I2,3,0),0)</f>
        <v>0</v>
      </c>
      <c r="AC4" s="73">
        <f>+IFERROR(VLOOKUP($AC$2,Sheet1!F2:I2,3,0),0)</f>
        <v>0</v>
      </c>
      <c r="AD4" s="73">
        <f>+IFERROR(VLOOKUP($AD$2,Sheet1!F2:I2,3,0),0)</f>
        <v>0</v>
      </c>
      <c r="AE4" s="73">
        <f>+IFERROR(VLOOKUP($AE$2,Sheet1!F2:I2,3,0),0)</f>
        <v>0</v>
      </c>
      <c r="AF4" s="73">
        <f>+IFERROR(VLOOKUP($AF$2,Sheet1!F2:I2,3,0),0)</f>
        <v>0</v>
      </c>
      <c r="AG4" s="74">
        <f>+IFERROR(VLOOKUP($AG$2,Sheet1!R2:U2,3,0),0)</f>
        <v>276</v>
      </c>
      <c r="AH4" s="32">
        <f>+IFERROR(VLOOKUP($AH$2,Sheet1!R2:U2,3,0),0)</f>
        <v>0</v>
      </c>
      <c r="AI4" s="75">
        <f>+IFERROR(VLOOKUP($AI$2,Sheet1!V2:Y2,3,0),0)</f>
        <v>663</v>
      </c>
      <c r="AJ4" s="33">
        <f>+IFERROR(VLOOKUP($AJ$2,Sheet1!V2:Y2,3,0),0)</f>
        <v>0</v>
      </c>
      <c r="AK4" s="33">
        <f>+IFERROR(VLOOKUP($AK$2,Sheet1!V2:Y2,3,0),0)</f>
        <v>0</v>
      </c>
      <c r="AL4" s="33">
        <f>+IFERROR(VLOOKUP($AL$2,Sheet1!V2:Y2,3,0),0)</f>
        <v>0</v>
      </c>
      <c r="AM4" s="33">
        <f>+IFERROR(VLOOKUP($AM$2,Sheet1!V2:Y2,3,0),0)</f>
        <v>0</v>
      </c>
      <c r="AN4" s="33">
        <f>+IFERROR(VLOOKUP($AN$2,Sheet1!V2:Y2,3,0),0)</f>
        <v>0</v>
      </c>
      <c r="AO4" s="33">
        <f>+IFERROR(VLOOKUP($AO$2,Sheet1!V2:Y2,3,0),0)</f>
        <v>0</v>
      </c>
      <c r="AP4" s="33">
        <f>+IFERROR(VLOOKUP($AP$2,Sheet1!V2:Y2,3,0),0)</f>
        <v>0</v>
      </c>
      <c r="AQ4" s="33">
        <f>+IFERROR(VLOOKUP($AQ$2,Sheet1!V2:Y2,3,0),0)</f>
        <v>0</v>
      </c>
      <c r="AR4" s="36">
        <f>+IFERROR(VLOOKUP($AR$2,Sheet1!Z2:AB2,3,0),0)</f>
        <v>0</v>
      </c>
      <c r="AS4" s="37">
        <f>+IFERROR(VLOOKUP($AS$2,Sheet1!AD2:AG2,3,0),0)</f>
        <v>0</v>
      </c>
      <c r="AT4" s="37">
        <f>+IFERROR(VLOOKUP($AT$2,Sheet1!AD2:AG2,3,0),0)</f>
        <v>0</v>
      </c>
      <c r="AU4" s="37">
        <f>+IFERROR(VLOOKUP($AU$2,Sheet1!AD2:AG2,3,0),0)</f>
        <v>0</v>
      </c>
      <c r="AV4" s="37">
        <f>+IFERROR(VLOOKUP($AV$2,Sheet1!AD2:AG2,3,0),0)</f>
        <v>0</v>
      </c>
      <c r="AW4" s="37">
        <f>+IFERROR(VLOOKUP($AW$2,Sheet1!AD2:AG2,3,0),0)</f>
        <v>0</v>
      </c>
      <c r="AX4" s="37">
        <f>+IFERROR(VLOOKUP($AX$2,Sheet1!AD2:AG2,3,0),0)</f>
        <v>0</v>
      </c>
      <c r="AY4" s="37">
        <f>+IFERROR(VLOOKUP($AY$2,Sheet1!AD2:AG2,3,0),0)</f>
        <v>237</v>
      </c>
      <c r="AZ4" s="37">
        <f>+IFERROR(VLOOKUP($AZ$2,Sheet1!AD2:AG2,3,0),0)</f>
        <v>0</v>
      </c>
      <c r="BA4" s="37">
        <f>+IFERROR(VLOOKUP($BA$2,Sheet1!AD2:AG2,3,0),0)</f>
        <v>0</v>
      </c>
      <c r="BB4" s="36">
        <f>+IFERROR(VLOOKUP($BB$2,Sheet1!AH2:AK2,3,0),0)</f>
        <v>0</v>
      </c>
      <c r="BC4" s="36">
        <f>+IFERROR(VLOOKUP($BC$2,Sheet1!AH2:AK2,3,0),0)</f>
        <v>0</v>
      </c>
      <c r="BD4" s="36">
        <f>+IFERROR(VLOOKUP($BD$2,Sheet1!AH2:AK2,3,0),0)</f>
        <v>0</v>
      </c>
      <c r="BE4" s="36">
        <f>+IFERROR(VLOOKUP($BE$2,Sheet1!AH2:AK2,3,0),0)</f>
        <v>0</v>
      </c>
      <c r="BF4" s="36">
        <f>+IFERROR(VLOOKUP($BF$2,Sheet1!AH2:AK2,3,0),0)</f>
        <v>0</v>
      </c>
      <c r="BG4" s="36">
        <f>+IFERROR(VLOOKUP($BG$2,Sheet1!AH2:AK2,3,0),0)</f>
        <v>0</v>
      </c>
      <c r="BH4" s="36">
        <f>+IFERROR(VLOOKUP($BH$2,Sheet1!AH2:AK2,3,0),0)</f>
        <v>975</v>
      </c>
      <c r="BI4" s="36">
        <f>+IFERROR(VLOOKUP($BI$2,Sheet1!AH2:AK2,3,0),0)</f>
        <v>0</v>
      </c>
      <c r="BJ4" s="36">
        <f>+IFERROR(VLOOKUP($BJ$2,Sheet1!AH2:AK2,3,0),0)</f>
        <v>0</v>
      </c>
      <c r="BK4" s="36">
        <f>+IFERROR(VLOOKUP($BK$2,Sheet1!AH2:AK2,3,0),0)</f>
        <v>0</v>
      </c>
      <c r="BL4" s="36">
        <f>+IFERROR(VLOOKUP($BL$2,Sheet1!AH2:AK2,3,0),0)</f>
        <v>0</v>
      </c>
      <c r="BM4" s="9">
        <f>+IFERROR(VLOOKUP($BM$2,Sheet1!AL2:AO2,3,0),0)</f>
        <v>0</v>
      </c>
      <c r="BN4" s="9">
        <f>+IFERROR(VLOOKUP($BN$2,Sheet1!AL2:AO2,3,0),0)</f>
        <v>0</v>
      </c>
      <c r="BO4" s="9">
        <f>+IFERROR(VLOOKUP($BO$2,Sheet1!AL2:AO2,3,0),0)</f>
        <v>0</v>
      </c>
      <c r="BP4" s="9">
        <f>+IFERROR(VLOOKUP($BP$2,Sheet1!AL2:AO2,3,0),0)</f>
        <v>755</v>
      </c>
      <c r="BQ4" s="9">
        <f>+IFERROR(VLOOKUP($BQ$2,Sheet1!AL2:AO2,3,0),0)</f>
        <v>0</v>
      </c>
      <c r="BR4" s="9">
        <f>+IFERROR(VLOOKUP($BR$2,Sheet1!AL2:AO2,3,0),0)</f>
        <v>0</v>
      </c>
      <c r="BS4" s="9">
        <f>+IFERROR(VLOOKUP($BS$2,Sheet1!AL2:AO2,3,0),0)</f>
        <v>0</v>
      </c>
      <c r="BT4" s="9">
        <f>+IFERROR(VLOOKUP($BT$2,Sheet1!AL2:AO2,3,0),0)</f>
        <v>0</v>
      </c>
      <c r="BU4" s="9">
        <f>+IFERROR(VLOOKUP($BU$2,Sheet1!AL2:AO2,3,0),0)</f>
        <v>0</v>
      </c>
      <c r="BV4" s="9">
        <f>+IFERROR(VLOOKUP($BV$2,Sheet1!AL2:AO2,3,0),0)</f>
        <v>0</v>
      </c>
      <c r="BW4" s="9">
        <f>+IFERROR(VLOOKUP($BW$2,Sheet1!AL2:AO2,3,0),0)</f>
        <v>0</v>
      </c>
      <c r="BX4" s="9">
        <f>+IFERROR(VLOOKUP($BX$2,Sheet1!AL2:AO2,3,0),0)</f>
        <v>0</v>
      </c>
      <c r="BY4" s="40">
        <f>+IFERROR(VLOOKUP($BY$2,Sheet1!AP2:AS2,3,0),0)</f>
        <v>914</v>
      </c>
      <c r="BZ4" s="43">
        <f>+IFERROR(VLOOKUP($BZ$2,Sheet1!AT2:AW2,3,0),0)</f>
        <v>0</v>
      </c>
      <c r="CA4" s="44">
        <f>+IFERROR(VLOOKUP($CA$2,Sheet1!AX2:BA2,3,0),0)</f>
        <v>0</v>
      </c>
      <c r="CB4" s="46">
        <f>+IFERROR(VLOOKUP($CB$2,Sheet1!BB2:BE2,3,0),0)</f>
        <v>0</v>
      </c>
      <c r="CC4" s="48">
        <f>+IFERROR(VLOOKUP($CC$2,Sheet1!BF2:BI2,3,0),0)</f>
        <v>0</v>
      </c>
      <c r="CD4" s="49">
        <f>+IFERROR(VLOOKUP($CD$2,Sheet1!BJ2:BM2,3,0),0)</f>
        <v>0</v>
      </c>
      <c r="CE4" s="50">
        <f>+IFERROR(VLOOKUP($CE$2,Sheet1!BN2:BQ2,3,0),0)</f>
        <v>0</v>
      </c>
      <c r="CF4" s="38">
        <f>+IFERROR(VLOOKUP($CF$2,Sheet1!BR2:BU2,3,0),0)</f>
        <v>0</v>
      </c>
      <c r="CG4" s="44">
        <f>+IFERROR(VLOOKUP($CG$2,Sheet1!BV2:BY2,3,0),0)</f>
        <v>0</v>
      </c>
      <c r="CH4" s="67" t="s">
        <v>234</v>
      </c>
      <c r="CI4" s="68" t="str">
        <f>Sheet1!CY2</f>
        <v>SP0400123</v>
      </c>
      <c r="CJ4" s="68" t="str">
        <f>Sheet1!CZ2</f>
        <v>CORRUGATED DISPATCH STEEL DRUM 2000 X 1000 X 1200 MM</v>
      </c>
      <c r="CK4" s="68">
        <v>500</v>
      </c>
      <c r="CL4" s="23">
        <v>16500</v>
      </c>
      <c r="CM4" s="23">
        <f>SUMPRODUCT($O$3:$CG$3,O4:CG4)+CL4</f>
        <v>1106393</v>
      </c>
      <c r="CN4" s="110">
        <f>Sheet1!CB2</f>
        <v>0</v>
      </c>
      <c r="CO4" s="23">
        <f>CM4*CN4</f>
        <v>0</v>
      </c>
      <c r="CP4" s="95">
        <v>0.15</v>
      </c>
      <c r="CQ4" s="23">
        <f>CM4*CP4</f>
        <v>165958.94999999998</v>
      </c>
      <c r="CR4" s="95">
        <v>0</v>
      </c>
      <c r="CS4" s="23">
        <f>CM4*CR4</f>
        <v>0</v>
      </c>
      <c r="CT4" s="23">
        <f>CM4+CO4+CQ4+CS4</f>
        <v>1272351.95</v>
      </c>
      <c r="CU4" s="95">
        <v>0.01</v>
      </c>
      <c r="CV4" s="6">
        <f>CT4*CU4</f>
        <v>12723.5195</v>
      </c>
      <c r="CW4" s="95">
        <v>5.0000000000000001E-3</v>
      </c>
      <c r="CX4" s="6">
        <f>CT4*CW4</f>
        <v>6361.7597500000002</v>
      </c>
      <c r="CY4" s="95">
        <f>Sheet1!CM2</f>
        <v>0</v>
      </c>
      <c r="CZ4" s="6">
        <f>CY4*CT4</f>
        <v>0</v>
      </c>
    </row>
    <row r="8" spans="1:105" ht="45" x14ac:dyDescent="0.25">
      <c r="A8" s="101" t="s">
        <v>141</v>
      </c>
      <c r="B8" s="102" t="s">
        <v>142</v>
      </c>
      <c r="C8" s="6" t="s">
        <v>143</v>
      </c>
      <c r="D8" s="101" t="s">
        <v>144</v>
      </c>
      <c r="E8" s="1" t="s">
        <v>127</v>
      </c>
      <c r="F8" s="1" t="s">
        <v>128</v>
      </c>
      <c r="G8" s="90" t="s">
        <v>129</v>
      </c>
      <c r="H8" s="1" t="s">
        <v>130</v>
      </c>
      <c r="I8" s="1" t="s">
        <v>131</v>
      </c>
      <c r="J8" s="1" t="s">
        <v>132</v>
      </c>
      <c r="K8" s="1" t="s">
        <v>133</v>
      </c>
      <c r="L8" s="1" t="s">
        <v>134</v>
      </c>
      <c r="M8" s="91" t="s">
        <v>135</v>
      </c>
      <c r="N8" s="10"/>
    </row>
    <row r="9" spans="1:105" ht="54" customHeight="1" x14ac:dyDescent="0.25">
      <c r="A9" s="101">
        <f>SUM(O4:CG4)</f>
        <v>5394</v>
      </c>
      <c r="B9" s="101">
        <v>280</v>
      </c>
      <c r="C9" s="101">
        <f>((A9*F9)+B9)</f>
        <v>2977</v>
      </c>
      <c r="D9" s="101">
        <v>555</v>
      </c>
      <c r="E9" s="92">
        <f>K4</f>
        <v>2.5</v>
      </c>
      <c r="F9" s="93">
        <f>CK4/1000</f>
        <v>0.5</v>
      </c>
      <c r="G9" s="90" t="s">
        <v>239</v>
      </c>
      <c r="H9" s="94">
        <v>15000</v>
      </c>
      <c r="I9" s="93">
        <v>2</v>
      </c>
      <c r="J9" s="90">
        <f>F9*I9</f>
        <v>1</v>
      </c>
      <c r="K9" s="90">
        <f>ROUNDUP((E9/J9),0)</f>
        <v>3</v>
      </c>
      <c r="L9" s="90">
        <f>H9*K9</f>
        <v>45000</v>
      </c>
      <c r="M9" s="96">
        <f>L9/E9</f>
        <v>18000</v>
      </c>
      <c r="N9" s="109"/>
    </row>
    <row r="10" spans="1:105" x14ac:dyDescent="0.25">
      <c r="M10" s="97"/>
      <c r="N10" s="97"/>
    </row>
    <row r="11" spans="1:105" x14ac:dyDescent="0.25">
      <c r="M11" s="97"/>
      <c r="N11" s="97"/>
    </row>
    <row r="12" spans="1:105" x14ac:dyDescent="0.25">
      <c r="M12" s="97"/>
      <c r="N12" s="97"/>
    </row>
    <row r="13" spans="1:105" ht="51" x14ac:dyDescent="0.25">
      <c r="A13" s="80" t="s">
        <v>0</v>
      </c>
      <c r="B13" s="81" t="s">
        <v>85</v>
      </c>
      <c r="C13" s="80" t="s">
        <v>1</v>
      </c>
      <c r="D13" s="80" t="s">
        <v>2</v>
      </c>
      <c r="E13" s="99" t="s">
        <v>136</v>
      </c>
      <c r="F13" s="100" t="s">
        <v>137</v>
      </c>
      <c r="G13" s="100" t="s">
        <v>138</v>
      </c>
      <c r="H13" s="4" t="s">
        <v>34</v>
      </c>
      <c r="I13" s="9" t="s">
        <v>35</v>
      </c>
      <c r="J13" s="100" t="s">
        <v>139</v>
      </c>
      <c r="K13" s="9" t="s">
        <v>37</v>
      </c>
      <c r="L13" s="100" t="s">
        <v>38</v>
      </c>
      <c r="M13" s="9" t="s">
        <v>39</v>
      </c>
      <c r="N13" s="103"/>
    </row>
    <row r="14" spans="1:105" x14ac:dyDescent="0.25">
      <c r="A14" s="16"/>
      <c r="B14" s="61"/>
      <c r="C14" s="16"/>
      <c r="D14" s="16"/>
      <c r="E14" s="3"/>
      <c r="F14" s="77"/>
      <c r="G14" s="64"/>
      <c r="H14" s="3"/>
      <c r="I14" s="3"/>
      <c r="J14" s="3"/>
      <c r="K14" s="78"/>
      <c r="L14" s="3"/>
      <c r="M14" s="3"/>
      <c r="N14" s="104"/>
    </row>
    <row r="15" spans="1:105" ht="50.25" customHeight="1" x14ac:dyDescent="0.25">
      <c r="A15" s="6" t="str">
        <f>A4</f>
        <v>ENQ-20128-25-26</v>
      </c>
      <c r="B15" s="87">
        <f>B4</f>
        <v>46197</v>
      </c>
      <c r="C15" s="6" t="str">
        <f>C4</f>
        <v>FA1300002</v>
      </c>
      <c r="D15" s="6" t="str">
        <f>D4</f>
        <v>3 CORE X 185 SQ. MM AL/ARM - STRIP (XLPE) - 11 KV</v>
      </c>
      <c r="E15" s="23">
        <f>ROUNDUP(E4/1000,0)</f>
        <v>1292</v>
      </c>
      <c r="F15" s="98">
        <f>ROUNDUP(F4/1000,0)</f>
        <v>18</v>
      </c>
      <c r="G15" s="28">
        <f>E15+F15</f>
        <v>1310</v>
      </c>
      <c r="H15" s="29">
        <f>H4</f>
        <v>0.18</v>
      </c>
      <c r="I15" s="28">
        <f>G15*H15</f>
        <v>235.79999999999998</v>
      </c>
      <c r="J15" s="28">
        <f>G15+I15</f>
        <v>1545.8</v>
      </c>
      <c r="K15" s="79">
        <f>K4*1000</f>
        <v>2500</v>
      </c>
      <c r="L15" s="76" t="s">
        <v>140</v>
      </c>
      <c r="M15" s="23">
        <f>J15*K15</f>
        <v>3864500</v>
      </c>
      <c r="N15" s="105"/>
    </row>
    <row r="16" spans="1:105" x14ac:dyDescent="0.25">
      <c r="M16" s="97"/>
      <c r="N16" s="97"/>
    </row>
    <row r="17" spans="13:14" x14ac:dyDescent="0.25">
      <c r="M17" s="97"/>
      <c r="N17" s="97"/>
    </row>
    <row r="18" spans="13:14" x14ac:dyDescent="0.25">
      <c r="M18" s="97">
        <f>M15-M4</f>
        <v>1660.173712500371</v>
      </c>
      <c r="N18" s="97"/>
    </row>
    <row r="19" spans="13:14" x14ac:dyDescent="0.25">
      <c r="M19" s="97"/>
      <c r="N19" s="97"/>
    </row>
    <row r="20" spans="13:14" x14ac:dyDescent="0.25">
      <c r="M20" s="97"/>
      <c r="N20" s="97"/>
    </row>
    <row r="21" spans="13:14" x14ac:dyDescent="0.25">
      <c r="M21" s="97"/>
      <c r="N21" s="97"/>
    </row>
    <row r="22" spans="13:14" x14ac:dyDescent="0.25">
      <c r="M22" s="97"/>
      <c r="N22" s="97"/>
    </row>
    <row r="23" spans="13:14" x14ac:dyDescent="0.25">
      <c r="M23" s="97"/>
      <c r="N23" s="97"/>
    </row>
    <row r="24" spans="13:14" x14ac:dyDescent="0.25">
      <c r="M24" s="97"/>
      <c r="N24" s="97"/>
    </row>
    <row r="25" spans="13:14" x14ac:dyDescent="0.25">
      <c r="M25" s="97"/>
      <c r="N25" s="97"/>
    </row>
    <row r="26" spans="13:14" x14ac:dyDescent="0.25">
      <c r="M26" s="97"/>
      <c r="N26" s="97"/>
    </row>
    <row r="27" spans="13:14" x14ac:dyDescent="0.25">
      <c r="M27" s="97"/>
      <c r="N27" s="97"/>
    </row>
    <row r="28" spans="13:14" x14ac:dyDescent="0.25">
      <c r="M28" s="97"/>
      <c r="N28" s="97"/>
    </row>
    <row r="29" spans="13:14" x14ac:dyDescent="0.25">
      <c r="M29" s="97"/>
      <c r="N29" s="97"/>
    </row>
    <row r="30" spans="13:14" x14ac:dyDescent="0.25">
      <c r="M30" s="97"/>
      <c r="N30" s="97"/>
    </row>
    <row r="31" spans="13:14" x14ac:dyDescent="0.25">
      <c r="M31" s="97"/>
      <c r="N31" s="97"/>
    </row>
    <row r="32" spans="13:14" x14ac:dyDescent="0.25">
      <c r="M32" s="97"/>
      <c r="N32" s="97"/>
    </row>
    <row r="33" spans="13:14" x14ac:dyDescent="0.25">
      <c r="M33" s="97"/>
      <c r="N33" s="97"/>
    </row>
    <row r="34" spans="13:14" x14ac:dyDescent="0.25">
      <c r="M34" s="97"/>
      <c r="N34" s="97"/>
    </row>
    <row r="35" spans="13:14" x14ac:dyDescent="0.25">
      <c r="M35" s="97"/>
      <c r="N35" s="97"/>
    </row>
    <row r="36" spans="13:14" x14ac:dyDescent="0.25">
      <c r="M36" s="97"/>
      <c r="N36" s="97"/>
    </row>
    <row r="37" spans="13:14" x14ac:dyDescent="0.25">
      <c r="M37" s="97"/>
      <c r="N37" s="97"/>
    </row>
    <row r="38" spans="13:14" x14ac:dyDescent="0.25">
      <c r="M38" s="97"/>
      <c r="N38" s="97"/>
    </row>
    <row r="39" spans="13:14" x14ac:dyDescent="0.25">
      <c r="M39" s="97"/>
      <c r="N39" s="97"/>
    </row>
    <row r="40" spans="13:14" x14ac:dyDescent="0.25">
      <c r="M40" s="97"/>
      <c r="N40" s="97"/>
    </row>
    <row r="41" spans="13:14" x14ac:dyDescent="0.25">
      <c r="M41" s="97"/>
      <c r="N41" s="97"/>
    </row>
    <row r="42" spans="13:14" x14ac:dyDescent="0.25">
      <c r="M42" s="97"/>
      <c r="N42" s="97"/>
    </row>
    <row r="43" spans="13:14" x14ac:dyDescent="0.25">
      <c r="M43" s="97"/>
      <c r="N43" s="97"/>
    </row>
    <row r="44" spans="13:14" x14ac:dyDescent="0.25">
      <c r="M44" s="97"/>
      <c r="N44" s="97"/>
    </row>
    <row r="45" spans="13:14" x14ac:dyDescent="0.25">
      <c r="M45" s="97"/>
      <c r="N45" s="97"/>
    </row>
  </sheetData>
  <mergeCells count="9">
    <mergeCell ref="CH1:CK1"/>
    <mergeCell ref="AS1:BA1"/>
    <mergeCell ref="BB1:BL1"/>
    <mergeCell ref="BM1:BX1"/>
    <mergeCell ref="O1:V1"/>
    <mergeCell ref="W1:X1"/>
    <mergeCell ref="Y1:AF1"/>
    <mergeCell ref="AG1:AH1"/>
    <mergeCell ref="AI1:AQ1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32DC-2435-418C-9E78-AF3430A29B0D}">
  <dimension ref="A1:DA45"/>
  <sheetViews>
    <sheetView showZeros="0" topLeftCell="A2" zoomScale="85" zoomScaleNormal="85" workbookViewId="0">
      <selection activeCell="S15" sqref="S15"/>
    </sheetView>
  </sheetViews>
  <sheetFormatPr defaultRowHeight="15" x14ac:dyDescent="0.25"/>
  <cols>
    <col min="1" max="1" width="14.140625" bestFit="1" customWidth="1"/>
    <col min="2" max="2" width="15.7109375" style="62" customWidth="1"/>
    <col min="3" max="3" width="16.7109375" customWidth="1"/>
    <col min="4" max="4" width="23.28515625" customWidth="1"/>
    <col min="5" max="5" width="13.7109375" style="2" bestFit="1" customWidth="1"/>
    <col min="6" max="6" width="12.28515625" customWidth="1"/>
    <col min="7" max="7" width="15.42578125" bestFit="1" customWidth="1"/>
    <col min="8" max="8" width="10.85546875" style="5" customWidth="1"/>
    <col min="9" max="9" width="11.85546875" customWidth="1"/>
    <col min="10" max="10" width="13.140625" bestFit="1" customWidth="1"/>
    <col min="11" max="11" width="10.28515625" bestFit="1" customWidth="1"/>
    <col min="12" max="12" width="11.7109375" customWidth="1"/>
    <col min="13" max="13" width="16.5703125" customWidth="1"/>
    <col min="14" max="14" width="11.7109375" customWidth="1"/>
    <col min="15" max="85" width="7.85546875" style="15" customWidth="1"/>
    <col min="86" max="86" width="10.4257812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hidden="1" customWidth="1"/>
    <col min="93" max="93" width="9.140625" style="2" hidden="1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  <col min="103" max="104" width="0" hidden="1" customWidth="1"/>
  </cols>
  <sheetData>
    <row r="1" spans="1:105" s="22" customFormat="1" ht="28.9" customHeight="1" x14ac:dyDescent="0.25">
      <c r="A1" s="88"/>
      <c r="B1" s="88"/>
      <c r="C1" s="89"/>
      <c r="D1" s="89"/>
      <c r="E1" s="26"/>
      <c r="H1" s="27"/>
      <c r="O1" s="119" t="s">
        <v>82</v>
      </c>
      <c r="P1" s="119"/>
      <c r="Q1" s="119"/>
      <c r="R1" s="119"/>
      <c r="S1" s="119"/>
      <c r="T1" s="119"/>
      <c r="U1" s="119"/>
      <c r="V1" s="119"/>
      <c r="W1" s="120" t="s">
        <v>4</v>
      </c>
      <c r="X1" s="120"/>
      <c r="Y1" s="121" t="s">
        <v>3</v>
      </c>
      <c r="Z1" s="121"/>
      <c r="AA1" s="121"/>
      <c r="AB1" s="121"/>
      <c r="AC1" s="121"/>
      <c r="AD1" s="121"/>
      <c r="AE1" s="121"/>
      <c r="AF1" s="121"/>
      <c r="AG1" s="122" t="s">
        <v>5</v>
      </c>
      <c r="AH1" s="122"/>
      <c r="AI1" s="123" t="s">
        <v>6</v>
      </c>
      <c r="AJ1" s="123"/>
      <c r="AK1" s="123"/>
      <c r="AL1" s="123"/>
      <c r="AM1" s="123"/>
      <c r="AN1" s="123"/>
      <c r="AO1" s="123"/>
      <c r="AP1" s="123"/>
      <c r="AQ1" s="123"/>
      <c r="AR1" s="35" t="s">
        <v>7</v>
      </c>
      <c r="AS1" s="115" t="s">
        <v>8</v>
      </c>
      <c r="AT1" s="116"/>
      <c r="AU1" s="116"/>
      <c r="AV1" s="116"/>
      <c r="AW1" s="116"/>
      <c r="AX1" s="116"/>
      <c r="AY1" s="116"/>
      <c r="AZ1" s="116"/>
      <c r="BA1" s="116"/>
      <c r="BB1" s="117" t="s">
        <v>9</v>
      </c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8" t="s">
        <v>10</v>
      </c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39" t="s">
        <v>11</v>
      </c>
      <c r="BZ1" s="42" t="s">
        <v>12</v>
      </c>
      <c r="CA1" s="30" t="s">
        <v>13</v>
      </c>
      <c r="CB1" s="34" t="s">
        <v>14</v>
      </c>
      <c r="CC1" s="31" t="s">
        <v>15</v>
      </c>
      <c r="CD1" s="45" t="s">
        <v>16</v>
      </c>
      <c r="CE1" s="47" t="s">
        <v>17</v>
      </c>
      <c r="CF1" s="41" t="s">
        <v>18</v>
      </c>
      <c r="CG1" s="30" t="s">
        <v>19</v>
      </c>
      <c r="CH1" s="112" t="s">
        <v>84</v>
      </c>
      <c r="CI1" s="113"/>
      <c r="CJ1" s="113"/>
      <c r="CK1" s="114"/>
      <c r="CL1" s="65" t="s">
        <v>20</v>
      </c>
      <c r="CM1" s="23" t="s">
        <v>21</v>
      </c>
      <c r="CN1" s="24" t="s">
        <v>40</v>
      </c>
      <c r="CO1" s="23" t="s">
        <v>81</v>
      </c>
      <c r="CP1" s="25"/>
      <c r="CQ1" s="26"/>
      <c r="CR1" s="27"/>
      <c r="CS1" s="26"/>
      <c r="CT1" s="26"/>
      <c r="CU1" s="27"/>
      <c r="CW1" s="27"/>
      <c r="DA1" s="22" t="s">
        <v>126</v>
      </c>
    </row>
    <row r="2" spans="1:105" s="11" customFormat="1" ht="89.25" x14ac:dyDescent="0.25">
      <c r="A2" s="80" t="s">
        <v>0</v>
      </c>
      <c r="B2" s="81" t="s">
        <v>85</v>
      </c>
      <c r="C2" s="80" t="s">
        <v>1</v>
      </c>
      <c r="D2" s="80" t="s">
        <v>2</v>
      </c>
      <c r="E2" s="3" t="s">
        <v>31</v>
      </c>
      <c r="F2" s="9" t="s">
        <v>32</v>
      </c>
      <c r="G2" s="9" t="s">
        <v>33</v>
      </c>
      <c r="H2" s="4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  <c r="N2" s="106" t="s">
        <v>145</v>
      </c>
      <c r="O2" s="82" t="s">
        <v>41</v>
      </c>
      <c r="P2" s="82" t="s">
        <v>46</v>
      </c>
      <c r="Q2" s="82" t="s">
        <v>43</v>
      </c>
      <c r="R2" s="82" t="s">
        <v>123</v>
      </c>
      <c r="S2" s="82" t="s">
        <v>124</v>
      </c>
      <c r="T2" s="82" t="s">
        <v>125</v>
      </c>
      <c r="U2" s="82" t="s">
        <v>44</v>
      </c>
      <c r="V2" s="82" t="s">
        <v>45</v>
      </c>
      <c r="W2" s="82" t="s">
        <v>41</v>
      </c>
      <c r="X2" s="82" t="s">
        <v>46</v>
      </c>
      <c r="Y2" s="83" t="s">
        <v>53</v>
      </c>
      <c r="Z2" s="83" t="s">
        <v>57</v>
      </c>
      <c r="AA2" s="83" t="s">
        <v>60</v>
      </c>
      <c r="AB2" s="83" t="s">
        <v>65</v>
      </c>
      <c r="AC2" s="83" t="s">
        <v>69</v>
      </c>
      <c r="AD2" s="83" t="s">
        <v>71</v>
      </c>
      <c r="AE2" s="83" t="s">
        <v>73</v>
      </c>
      <c r="AF2" s="83" t="s">
        <v>75</v>
      </c>
      <c r="AG2" s="83" t="s">
        <v>52</v>
      </c>
      <c r="AH2" s="83" t="s">
        <v>56</v>
      </c>
      <c r="AI2" s="83" t="s">
        <v>51</v>
      </c>
      <c r="AJ2" s="83" t="s">
        <v>47</v>
      </c>
      <c r="AK2" s="83" t="s">
        <v>59</v>
      </c>
      <c r="AL2" s="83" t="s">
        <v>64</v>
      </c>
      <c r="AM2" s="83" t="s">
        <v>68</v>
      </c>
      <c r="AN2" s="83" t="s">
        <v>87</v>
      </c>
      <c r="AO2" s="83" t="s">
        <v>88</v>
      </c>
      <c r="AP2" s="83" t="s">
        <v>86</v>
      </c>
      <c r="AQ2" s="83" t="s">
        <v>94</v>
      </c>
      <c r="AR2" s="84" t="s">
        <v>7</v>
      </c>
      <c r="AS2" s="83" t="s">
        <v>54</v>
      </c>
      <c r="AT2" s="83" t="s">
        <v>58</v>
      </c>
      <c r="AU2" s="83" t="s">
        <v>63</v>
      </c>
      <c r="AV2" s="83" t="s">
        <v>61</v>
      </c>
      <c r="AW2" s="83" t="s">
        <v>66</v>
      </c>
      <c r="AX2" s="83" t="s">
        <v>70</v>
      </c>
      <c r="AY2" s="83" t="s">
        <v>48</v>
      </c>
      <c r="AZ2" s="83" t="s">
        <v>122</v>
      </c>
      <c r="BA2" s="83" t="s">
        <v>74</v>
      </c>
      <c r="BB2" s="83" t="s">
        <v>55</v>
      </c>
      <c r="BC2" s="83" t="s">
        <v>42</v>
      </c>
      <c r="BD2" s="83" t="s">
        <v>62</v>
      </c>
      <c r="BE2" s="83" t="s">
        <v>67</v>
      </c>
      <c r="BF2" s="83" t="s">
        <v>89</v>
      </c>
      <c r="BG2" s="83" t="s">
        <v>72</v>
      </c>
      <c r="BH2" s="83" t="s">
        <v>49</v>
      </c>
      <c r="BI2" s="83" t="s">
        <v>76</v>
      </c>
      <c r="BJ2" s="83" t="s">
        <v>77</v>
      </c>
      <c r="BK2" s="83" t="s">
        <v>78</v>
      </c>
      <c r="BL2" s="83" t="s">
        <v>80</v>
      </c>
      <c r="BM2" s="83" t="s">
        <v>54</v>
      </c>
      <c r="BN2" s="83" t="s">
        <v>58</v>
      </c>
      <c r="BO2" s="83" t="s">
        <v>63</v>
      </c>
      <c r="BP2" s="83" t="s">
        <v>61</v>
      </c>
      <c r="BQ2" s="83" t="s">
        <v>90</v>
      </c>
      <c r="BR2" s="83" t="s">
        <v>95</v>
      </c>
      <c r="BS2" s="83" t="s">
        <v>91</v>
      </c>
      <c r="BT2" s="83" t="s">
        <v>66</v>
      </c>
      <c r="BU2" s="83" t="s">
        <v>48</v>
      </c>
      <c r="BV2" s="83" t="s">
        <v>122</v>
      </c>
      <c r="BW2" s="83" t="s">
        <v>74</v>
      </c>
      <c r="BX2" s="83" t="s">
        <v>79</v>
      </c>
      <c r="BY2" s="84" t="s">
        <v>11</v>
      </c>
      <c r="BZ2" s="84" t="s">
        <v>50</v>
      </c>
      <c r="CA2" s="85" t="s">
        <v>13</v>
      </c>
      <c r="CB2" s="86" t="s">
        <v>14</v>
      </c>
      <c r="CC2" s="85" t="s">
        <v>15</v>
      </c>
      <c r="CD2" s="85" t="s">
        <v>16</v>
      </c>
      <c r="CE2" s="85" t="s">
        <v>17</v>
      </c>
      <c r="CF2" s="86" t="s">
        <v>18</v>
      </c>
      <c r="CG2" s="85" t="s">
        <v>19</v>
      </c>
      <c r="CH2" s="69" t="s">
        <v>83</v>
      </c>
      <c r="CI2" s="69" t="s">
        <v>92</v>
      </c>
      <c r="CJ2" s="69" t="s">
        <v>93</v>
      </c>
      <c r="CK2" s="69" t="s">
        <v>96</v>
      </c>
      <c r="CL2" s="111"/>
      <c r="CM2" s="111"/>
      <c r="CN2" s="12"/>
      <c r="CO2" s="14"/>
      <c r="CP2" s="7" t="s">
        <v>22</v>
      </c>
      <c r="CQ2" s="3" t="s">
        <v>23</v>
      </c>
      <c r="CR2" s="4" t="s">
        <v>24</v>
      </c>
      <c r="CS2" s="3" t="s">
        <v>25</v>
      </c>
      <c r="CT2" s="3" t="s">
        <v>26</v>
      </c>
      <c r="CU2" s="4" t="s">
        <v>27</v>
      </c>
      <c r="CV2" s="9" t="s">
        <v>28</v>
      </c>
      <c r="CW2" s="4" t="s">
        <v>29</v>
      </c>
      <c r="CX2" s="9" t="s">
        <v>30</v>
      </c>
      <c r="CY2" s="4" t="s">
        <v>97</v>
      </c>
      <c r="CZ2" s="9" t="s">
        <v>98</v>
      </c>
    </row>
    <row r="3" spans="1:105" s="14" customFormat="1" x14ac:dyDescent="0.25">
      <c r="A3" s="16"/>
      <c r="B3" s="61"/>
      <c r="C3" s="16"/>
      <c r="D3" s="16"/>
      <c r="E3" s="3"/>
      <c r="F3" s="77"/>
      <c r="G3" s="64"/>
      <c r="H3" s="3"/>
      <c r="I3" s="3"/>
      <c r="J3" s="3"/>
      <c r="K3" s="78"/>
      <c r="L3" s="3"/>
      <c r="M3" s="3"/>
      <c r="N3" s="107"/>
      <c r="O3" s="17">
        <f>+IFERROR(VLOOKUP($O$2,Sheet1!J:L,2,0),0)</f>
        <v>0</v>
      </c>
      <c r="P3" s="17">
        <f>+IFERROR(VLOOKUP($P$2,Sheet1!J:L,2,0),0)</f>
        <v>0</v>
      </c>
      <c r="Q3" s="17">
        <f>+IFERROR(VLOOKUP($Q$2,Sheet1!J:M,2,0),0)</f>
        <v>0</v>
      </c>
      <c r="R3" s="17">
        <f>+IFERROR(VLOOKUP($R$2,Sheet1!J:M,2,0),0)</f>
        <v>0</v>
      </c>
      <c r="S3" s="17">
        <f>+IFERROR(VLOOKUP($S$2,Sheet1!J:M,2,0),0)</f>
        <v>0</v>
      </c>
      <c r="T3" s="17">
        <f>+IFERROR(VLOOKUP($T$2,Sheet1!J:M,2,0),0)</f>
        <v>0</v>
      </c>
      <c r="U3" s="17">
        <f>+IFERROR(VLOOKUP($U$2,Sheet1!J:M,2,0),0)</f>
        <v>0</v>
      </c>
      <c r="V3" s="17">
        <f>+IFERROR(VLOOKUP($V$2,Sheet1!J:M,2,0),0)</f>
        <v>0</v>
      </c>
      <c r="W3" s="17">
        <f>+IFERROR(VLOOKUP($W$2,Sheet1!N:Q,2,0),0)</f>
        <v>0</v>
      </c>
      <c r="X3" s="17">
        <f>+IFERROR(VLOOKUP($X$2,Sheet1!N:O,2,0),0)</f>
        <v>0</v>
      </c>
      <c r="Y3" s="18">
        <f>+IFERROR(VLOOKUP($Y$2,Sheet1!F:I,2,0),0)</f>
        <v>0</v>
      </c>
      <c r="Z3" s="18">
        <f>+IFERROR(VLOOKUP($Z$2,Sheet1!F:I,2,0),0)</f>
        <v>0</v>
      </c>
      <c r="AA3" s="18">
        <f>+IFERROR(VLOOKUP($AA$2,Sheet1!F:I,2,0),0)</f>
        <v>0</v>
      </c>
      <c r="AB3" s="18">
        <f>+IFERROR(VLOOKUP($AB$2,Sheet1!F:I,2,0),0)</f>
        <v>0</v>
      </c>
      <c r="AC3" s="18">
        <f>+IFERROR(VLOOKUP($AC$2,Sheet1!F:I,2,0),0)</f>
        <v>0</v>
      </c>
      <c r="AD3" s="18">
        <f>+IFERROR(VLOOKUP($AD$2,Sheet1!F:I,2,0),0)</f>
        <v>0</v>
      </c>
      <c r="AE3" s="18">
        <f>+IFERROR(VLOOKUP($AE$2,Sheet1!F:I,2,0),0)</f>
        <v>0</v>
      </c>
      <c r="AF3" s="18">
        <f>+IFERROR(VLOOKUP($AF$2,Sheet1!F:I,2,0),0)</f>
        <v>0</v>
      </c>
      <c r="AG3" s="18">
        <f>+IFERROR(VLOOKUP($AG$2,Sheet1!R:U,2,0),0)</f>
        <v>0</v>
      </c>
      <c r="AH3" s="18">
        <f>+IFERROR(VLOOKUP($AH$2,Sheet1!R:U,2,0),0)</f>
        <v>0</v>
      </c>
      <c r="AI3" s="18">
        <f>+IFERROR(VLOOKUP($AI$2,Sheet1!V:Y,2,0),0)</f>
        <v>0</v>
      </c>
      <c r="AJ3" s="18">
        <f>+IFERROR(VLOOKUP($AJ$2,Sheet1!V:Y,2,0),0)</f>
        <v>0</v>
      </c>
      <c r="AK3" s="18">
        <f>+IFERROR(VLOOKUP($AK$2,Sheet1!V:Y,2,0),0)</f>
        <v>0</v>
      </c>
      <c r="AL3" s="18">
        <f>+IFERROR(VLOOKUP($AL$2,Sheet1!V:Y,2,0),0)</f>
        <v>0</v>
      </c>
      <c r="AM3" s="18">
        <f>+IFERROR(VLOOKUP($AM$2,Sheet1!V:Y,2,0),0)</f>
        <v>0</v>
      </c>
      <c r="AN3" s="18">
        <f>+IFERROR(VLOOKUP($AN$2,Sheet1!V:Y,2,0),0)</f>
        <v>0</v>
      </c>
      <c r="AO3" s="18">
        <f>+IFERROR(VLOOKUP($AO$2,Sheet1!V:Y,2,0),0)</f>
        <v>0</v>
      </c>
      <c r="AP3" s="18">
        <f>+IFERROR(VLOOKUP($AP$2,Sheet1!V:Y,2,0),0)</f>
        <v>0</v>
      </c>
      <c r="AQ3" s="18">
        <f>+IFERROR(VLOOKUP($AQ$2,Sheet1!V:Y,2,0),0)</f>
        <v>0</v>
      </c>
      <c r="AR3" s="19">
        <f>+IFERROR(VLOOKUP($AR$2,Sheet1!Z2:AA840,2,0),0)</f>
        <v>0</v>
      </c>
      <c r="AS3" s="18">
        <f>+IFERROR(VLOOKUP($AS$2,Sheet1!AD2:AG840,2,0),0)</f>
        <v>0</v>
      </c>
      <c r="AT3" s="18">
        <f>+IFERROR(VLOOKUP($AT$2,Sheet1!AD2:AG840,2,0),0)</f>
        <v>0</v>
      </c>
      <c r="AU3" s="18">
        <f>+IFERROR(VLOOKUP($AU$2,Sheet1!AD2:AG840,2,0),0)</f>
        <v>0</v>
      </c>
      <c r="AV3" s="18">
        <f>+IFERROR(VLOOKUP($AV$2,Sheet1!AD2:AG840,2,0),0)</f>
        <v>0</v>
      </c>
      <c r="AW3" s="18">
        <f>+IFERROR(VLOOKUP($AW$2,Sheet1!AD2:AG840,2,0),0)</f>
        <v>0</v>
      </c>
      <c r="AX3" s="18">
        <f>+IFERROR(VLOOKUP($AX$2,Sheet1!AD2:AG840,2,0),0)</f>
        <v>0</v>
      </c>
      <c r="AY3" s="18">
        <f>+IFERROR(VLOOKUP($AY$2,Sheet1!AD2:AG840,2,0),0)</f>
        <v>0</v>
      </c>
      <c r="AZ3" s="18">
        <f>+IFERROR(VLOOKUP($AZ$2,Sheet1!AD2:AG840,2,0),0)</f>
        <v>0</v>
      </c>
      <c r="BA3" s="18">
        <f>+IFERROR(VLOOKUP($BA$2,Sheet1!AD2:AG840,2,0),0)</f>
        <v>0</v>
      </c>
      <c r="BB3" s="18">
        <f>+IFERROR(VLOOKUP($BB$2,Sheet1!AH2:AK840,2,0),0)</f>
        <v>0</v>
      </c>
      <c r="BC3" s="18">
        <f>+IFERROR(VLOOKUP($BC$2,Sheet1!AH2:AK840,2,0),0)</f>
        <v>0</v>
      </c>
      <c r="BD3" s="18">
        <f>+IFERROR(VLOOKUP($BD$2,Sheet1!AH2:AK840,2,0),0)</f>
        <v>0</v>
      </c>
      <c r="BE3" s="18">
        <f>+IFERROR(VLOOKUP($BE$2,Sheet1!AH2:AK840,2,0),0)</f>
        <v>0</v>
      </c>
      <c r="BF3" s="18">
        <f>+IFERROR(VLOOKUP($BF$2,Sheet1!AH2:AK840,2,0),0)</f>
        <v>0</v>
      </c>
      <c r="BG3" s="18">
        <f>+IFERROR(VLOOKUP($BG$2,Sheet1!AH2:AK840,2,0),0)</f>
        <v>0</v>
      </c>
      <c r="BH3" s="18">
        <f>+IFERROR(VLOOKUP($BH$2,Sheet1!AH2:AK840,2,0),0)</f>
        <v>0</v>
      </c>
      <c r="BI3" s="18">
        <f>+IFERROR(VLOOKUP($BI$2,Sheet1!AH2:AK840,2,0),0)</f>
        <v>0</v>
      </c>
      <c r="BJ3" s="18">
        <f>+IFERROR(VLOOKUP($BJ$2,Sheet1!AH2:AK840,2,0),0)</f>
        <v>0</v>
      </c>
      <c r="BK3" s="18">
        <f>+IFERROR(VLOOKUP($BK$2,Sheet1!AH2:AK840,2,0),0)</f>
        <v>0</v>
      </c>
      <c r="BL3" s="18">
        <f>+IFERROR(VLOOKUP($BL$2,Sheet1!AH2:AK840,2,0),0)</f>
        <v>0</v>
      </c>
      <c r="BM3" s="18">
        <f>+IFERROR(VLOOKUP($BM$2,Sheet1!AL2:AO840,2,0),0)</f>
        <v>0</v>
      </c>
      <c r="BN3" s="18">
        <f>+IFERROR(VLOOKUP($BN$2,Sheet1!AL2:AO840,2,0),0)</f>
        <v>0</v>
      </c>
      <c r="BO3" s="18">
        <f>+IFERROR(VLOOKUP($BO$2,Sheet1!AL2:AO840,2,0),0)</f>
        <v>0</v>
      </c>
      <c r="BP3" s="18">
        <f>+IFERROR(VLOOKUP($BP$2,Sheet1!AL2:AO840,2,0),0)</f>
        <v>0</v>
      </c>
      <c r="BQ3" s="18">
        <f>+IFERROR(VLOOKUP($BQ$2,Sheet1!AL2:AO840,2,0),0)</f>
        <v>0</v>
      </c>
      <c r="BR3" s="18">
        <f>+IFERROR(VLOOKUP($BR$2,Sheet1!AL2:AO840,2,0),0)</f>
        <v>0</v>
      </c>
      <c r="BS3" s="18">
        <f>+IFERROR(VLOOKUP($BS$2,Sheet1!AL2:AO840,2,0),0)</f>
        <v>0</v>
      </c>
      <c r="BT3" s="18">
        <f>+IFERROR(VLOOKUP($BT$2,Sheet1!AL2:AO840,2,0),0)</f>
        <v>0</v>
      </c>
      <c r="BU3" s="18">
        <f>+IFERROR(VLOOKUP($BU$2,Sheet1!AL2:AO840,2,0),0)</f>
        <v>0</v>
      </c>
      <c r="BV3" s="18">
        <f>+IFERROR(VLOOKUP($BV$2,Sheet1!AL2:AO840,2,0),0)</f>
        <v>0</v>
      </c>
      <c r="BW3" s="18">
        <f>+IFERROR(VLOOKUP($BW$2,Sheet1!AL2:AO840,2,0),0)</f>
        <v>0</v>
      </c>
      <c r="BX3" s="18">
        <f>+IFERROR(VLOOKUP($BX$2,Sheet1!AL2:AO840,2,0),0)</f>
        <v>0</v>
      </c>
      <c r="BY3" s="19">
        <f>+IFERROR(VLOOKUP($BY$2,Sheet1!AP2:AS840,2,0),0)</f>
        <v>0</v>
      </c>
      <c r="BZ3" s="19">
        <f>+IFERROR(VLOOKUP($BZ$2,Sheet1!AT2:AW840,2,0),0)</f>
        <v>0</v>
      </c>
      <c r="CA3" s="20">
        <f>+IFERROR(VLOOKUP($CA$2,Sheet1!AX2:BA840,2,0),0)</f>
        <v>0</v>
      </c>
      <c r="CB3" s="21">
        <f>+IFERROR(VLOOKUP($CB$2,Sheet1!BB2:BE840,2,0),0)</f>
        <v>0</v>
      </c>
      <c r="CC3" s="20">
        <f>+IFERROR(VLOOKUP($CC$2,Sheet1!BF2:BI840,2,0),0)</f>
        <v>0</v>
      </c>
      <c r="CD3" s="20">
        <f>+IFERROR(VLOOKUP($CD$2,Sheet1!BJ2:BM840,2,0),0)</f>
        <v>0</v>
      </c>
      <c r="CE3" s="20">
        <f>+IFERROR(VLOOKUP($CE$2,Sheet1!BN2:BQ840,2,0),0)</f>
        <v>0</v>
      </c>
      <c r="CF3" s="21">
        <f>+IFERROR(VLOOKUP($CF$2,Sheet1!BR2:BU840,2,0),0)</f>
        <v>0</v>
      </c>
      <c r="CG3" s="20">
        <f>+IFERROR(VLOOKUP($CG$2,Sheet1!BV2:BY840,2,0),0)</f>
        <v>0</v>
      </c>
      <c r="CH3" s="66"/>
      <c r="CI3" s="66"/>
      <c r="CJ3" s="66"/>
      <c r="CK3" s="66"/>
      <c r="CL3" s="111"/>
      <c r="CM3" s="111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</row>
    <row r="4" spans="1:105" s="22" customFormat="1" ht="56.25" customHeight="1" x14ac:dyDescent="0.25">
      <c r="A4" s="6" t="str">
        <f>Sheet1!A2</f>
        <v>ENQ-20128-25-26</v>
      </c>
      <c r="B4" s="87">
        <f>'AUTO CALCULATION SHEET (2)'!B4</f>
        <v>46197</v>
      </c>
      <c r="C4" s="6" t="str">
        <f>Sheet1!C2</f>
        <v>FA1300002</v>
      </c>
      <c r="D4" s="6" t="str">
        <f>Sheet1!D2</f>
        <v>3 CORE X 185 SQ. MM AL/ARM - STRIP (XLPE) - 11 KV</v>
      </c>
      <c r="E4" s="23">
        <f>CT4+CV4+CX4+CZ4</f>
        <v>18422.25</v>
      </c>
      <c r="F4" s="98">
        <f>ROUNDUP($M$9,0)</f>
        <v>18000</v>
      </c>
      <c r="G4" s="28">
        <f>E4+F4</f>
        <v>36422.25</v>
      </c>
      <c r="H4" s="29">
        <f>Sheet1!CR2</f>
        <v>0.18</v>
      </c>
      <c r="I4" s="28">
        <f>G4*H4</f>
        <v>6556.0050000000001</v>
      </c>
      <c r="J4" s="28">
        <f>G4+I4</f>
        <v>42978.254999999997</v>
      </c>
      <c r="K4" s="79">
        <f>Sheet1!CU2</f>
        <v>2.5</v>
      </c>
      <c r="L4" s="76" t="str">
        <f>Sheet1!CV2</f>
        <v>KMS</v>
      </c>
      <c r="M4" s="23">
        <f>J4*K4</f>
        <v>107445.6375</v>
      </c>
      <c r="N4" s="108"/>
      <c r="O4" s="71"/>
      <c r="P4" s="71"/>
      <c r="Q4" s="71"/>
      <c r="R4" s="71"/>
      <c r="S4" s="71"/>
      <c r="T4" s="71"/>
      <c r="U4" s="71"/>
      <c r="V4" s="71"/>
      <c r="W4" s="72"/>
      <c r="X4" s="72"/>
      <c r="Y4" s="73"/>
      <c r="Z4" s="73"/>
      <c r="AA4" s="73"/>
      <c r="AB4" s="73"/>
      <c r="AC4" s="73"/>
      <c r="AD4" s="73"/>
      <c r="AE4" s="73"/>
      <c r="AF4" s="73"/>
      <c r="AG4" s="74"/>
      <c r="AH4" s="32"/>
      <c r="AI4" s="75"/>
      <c r="AJ4" s="33"/>
      <c r="AK4" s="33"/>
      <c r="AL4" s="33"/>
      <c r="AM4" s="33"/>
      <c r="AN4" s="33"/>
      <c r="AO4" s="33"/>
      <c r="AP4" s="33"/>
      <c r="AQ4" s="33"/>
      <c r="AR4" s="36"/>
      <c r="AS4" s="37"/>
      <c r="AT4" s="37"/>
      <c r="AU4" s="37"/>
      <c r="AV4" s="37"/>
      <c r="AW4" s="37"/>
      <c r="AX4" s="37"/>
      <c r="AY4" s="37"/>
      <c r="AZ4" s="37"/>
      <c r="BA4" s="37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40"/>
      <c r="BZ4" s="43"/>
      <c r="CA4" s="44"/>
      <c r="CB4" s="46"/>
      <c r="CC4" s="48"/>
      <c r="CD4" s="49"/>
      <c r="CE4" s="50"/>
      <c r="CF4" s="38"/>
      <c r="CG4" s="44"/>
      <c r="CH4" s="67" t="str">
        <f>Sheet1!E2</f>
        <v>STEEL</v>
      </c>
      <c r="CI4" s="68" t="str">
        <f>Sheet1!CY2</f>
        <v>SP0400123</v>
      </c>
      <c r="CJ4" s="68" t="str">
        <f>Sheet1!CZ2</f>
        <v>CORRUGATED DISPATCH STEEL DRUM 2000 X 1000 X 1200 MM</v>
      </c>
      <c r="CK4" s="68">
        <f>'AUTO CALCULATION SHEET (2)'!CK4</f>
        <v>500</v>
      </c>
      <c r="CL4" s="23">
        <f>'AUTO CALCULATION SHEET (2)'!CL4</f>
        <v>16500</v>
      </c>
      <c r="CM4" s="23">
        <f>SUMPRODUCT($O$3:$CG$3,O4:CG4)+CL4</f>
        <v>16500</v>
      </c>
      <c r="CN4" s="110">
        <f>Sheet1!CB2</f>
        <v>0</v>
      </c>
      <c r="CO4" s="23">
        <f>CM4*CN4</f>
        <v>0</v>
      </c>
      <c r="CP4" s="95">
        <v>0.1</v>
      </c>
      <c r="CQ4" s="23">
        <f>CM4*CP4</f>
        <v>1650</v>
      </c>
      <c r="CR4" s="95">
        <v>0</v>
      </c>
      <c r="CS4" s="23">
        <f>CM4*CR4</f>
        <v>0</v>
      </c>
      <c r="CT4" s="23">
        <f>CM4+CO4+CQ4+CS4</f>
        <v>18150</v>
      </c>
      <c r="CU4" s="95">
        <f>'AUTO CALCULATION SHEET (2)'!CU4</f>
        <v>0.01</v>
      </c>
      <c r="CV4" s="6">
        <f>CT4*CU4</f>
        <v>181.5</v>
      </c>
      <c r="CW4" s="95">
        <f>'AUTO CALCULATION SHEET (2)'!CW4</f>
        <v>5.0000000000000001E-3</v>
      </c>
      <c r="CX4" s="6">
        <f>CT4*CW4</f>
        <v>90.75</v>
      </c>
      <c r="CY4" s="95">
        <f>Sheet1!CM2</f>
        <v>0</v>
      </c>
      <c r="CZ4" s="6">
        <f>CY4*CT4</f>
        <v>0</v>
      </c>
    </row>
    <row r="5" spans="1:105" ht="39.75" customHeight="1" x14ac:dyDescent="0.25">
      <c r="CM5" s="2">
        <f>CM4-CL4</f>
        <v>0</v>
      </c>
    </row>
    <row r="8" spans="1:105" ht="45" x14ac:dyDescent="0.25">
      <c r="A8" s="101" t="s">
        <v>141</v>
      </c>
      <c r="B8" s="102" t="s">
        <v>142</v>
      </c>
      <c r="C8" s="6" t="s">
        <v>143</v>
      </c>
      <c r="D8" s="101" t="s">
        <v>144</v>
      </c>
      <c r="E8" s="1" t="s">
        <v>127</v>
      </c>
      <c r="F8" s="1" t="s">
        <v>128</v>
      </c>
      <c r="G8" s="90" t="s">
        <v>129</v>
      </c>
      <c r="H8" s="1" t="s">
        <v>130</v>
      </c>
      <c r="I8" s="1" t="s">
        <v>131</v>
      </c>
      <c r="J8" s="1" t="s">
        <v>132</v>
      </c>
      <c r="K8" s="1" t="s">
        <v>133</v>
      </c>
      <c r="L8" s="1" t="s">
        <v>134</v>
      </c>
      <c r="M8" s="91" t="s">
        <v>135</v>
      </c>
      <c r="N8" s="10"/>
    </row>
    <row r="9" spans="1:105" ht="54" customHeight="1" x14ac:dyDescent="0.25">
      <c r="A9" s="101">
        <f>SUM(O4:CG4)</f>
        <v>0</v>
      </c>
      <c r="B9" s="101">
        <f>'AUTO CALCULATION SHEET (2)'!B9</f>
        <v>280</v>
      </c>
      <c r="C9" s="101">
        <f>((A9*F9)+B9)</f>
        <v>280</v>
      </c>
      <c r="D9" s="101">
        <f>C9*I9</f>
        <v>560</v>
      </c>
      <c r="E9" s="92">
        <f>K4</f>
        <v>2.5</v>
      </c>
      <c r="F9" s="93">
        <f>CK4/1000</f>
        <v>0.5</v>
      </c>
      <c r="G9" s="90" t="str">
        <f>'AUTO CALCULATION SHEET (2)'!G9</f>
        <v>16 MT</v>
      </c>
      <c r="H9" s="94">
        <f>'AUTO CALCULATION SHEET (2)'!H9</f>
        <v>15000</v>
      </c>
      <c r="I9" s="93">
        <f>'AUTO CALCULATION SHEET (2)'!I9</f>
        <v>2</v>
      </c>
      <c r="J9" s="90">
        <f>F9*I9</f>
        <v>1</v>
      </c>
      <c r="K9" s="90">
        <f>'AUTO CALCULATION SHEET (2)'!K9</f>
        <v>3</v>
      </c>
      <c r="L9" s="90">
        <f>H9*K9</f>
        <v>45000</v>
      </c>
      <c r="M9" s="96">
        <f>L9/E9</f>
        <v>18000</v>
      </c>
      <c r="N9" s="109"/>
    </row>
    <row r="10" spans="1:105" x14ac:dyDescent="0.25">
      <c r="M10" s="97"/>
      <c r="N10" s="97"/>
    </row>
    <row r="11" spans="1:105" x14ac:dyDescent="0.25">
      <c r="M11" s="97"/>
      <c r="N11" s="97"/>
    </row>
    <row r="12" spans="1:105" x14ac:dyDescent="0.25">
      <c r="M12" s="97"/>
      <c r="N12" s="97"/>
    </row>
    <row r="13" spans="1:105" ht="51" x14ac:dyDescent="0.25">
      <c r="A13" s="80" t="s">
        <v>0</v>
      </c>
      <c r="B13" s="81" t="s">
        <v>85</v>
      </c>
      <c r="C13" s="80" t="s">
        <v>1</v>
      </c>
      <c r="D13" s="80" t="s">
        <v>2</v>
      </c>
      <c r="E13" s="99" t="s">
        <v>136</v>
      </c>
      <c r="F13" s="100" t="s">
        <v>137</v>
      </c>
      <c r="G13" s="100" t="s">
        <v>138</v>
      </c>
      <c r="H13" s="4" t="s">
        <v>34</v>
      </c>
      <c r="I13" s="9" t="s">
        <v>35</v>
      </c>
      <c r="J13" s="100" t="s">
        <v>139</v>
      </c>
      <c r="K13" s="9" t="s">
        <v>37</v>
      </c>
      <c r="L13" s="100" t="s">
        <v>38</v>
      </c>
      <c r="M13" s="9" t="s">
        <v>39</v>
      </c>
      <c r="N13" s="103"/>
    </row>
    <row r="14" spans="1:105" x14ac:dyDescent="0.25">
      <c r="A14" s="16"/>
      <c r="B14" s="61"/>
      <c r="C14" s="16"/>
      <c r="D14" s="16"/>
      <c r="E14" s="3"/>
      <c r="F14" s="77"/>
      <c r="G14" s="64"/>
      <c r="H14" s="3"/>
      <c r="I14" s="3"/>
      <c r="J14" s="3"/>
      <c r="K14" s="78"/>
      <c r="L14" s="3"/>
      <c r="M14" s="3"/>
      <c r="N14" s="104"/>
    </row>
    <row r="15" spans="1:105" ht="44.25" customHeight="1" x14ac:dyDescent="0.25">
      <c r="A15" s="6" t="str">
        <f>A4</f>
        <v>ENQ-20128-25-26</v>
      </c>
      <c r="B15" s="87">
        <f>B4</f>
        <v>46197</v>
      </c>
      <c r="C15" s="6" t="str">
        <f>C4</f>
        <v>FA1300002</v>
      </c>
      <c r="D15" s="6" t="str">
        <f>D4</f>
        <v>3 CORE X 185 SQ. MM AL/ARM - STRIP (XLPE) - 11 KV</v>
      </c>
      <c r="E15" s="23">
        <f>ROUNDUP(E4/1000,0)</f>
        <v>19</v>
      </c>
      <c r="F15" s="98">
        <f>ROUNDUP(F4/1000,0)</f>
        <v>18</v>
      </c>
      <c r="G15" s="28">
        <f>E15+F15</f>
        <v>37</v>
      </c>
      <c r="H15" s="29">
        <f>H4</f>
        <v>0.18</v>
      </c>
      <c r="I15" s="28">
        <f>G15*H15</f>
        <v>6.66</v>
      </c>
      <c r="J15" s="28">
        <f>G15+I15</f>
        <v>43.66</v>
      </c>
      <c r="K15" s="79">
        <f>K4*1000</f>
        <v>2500</v>
      </c>
      <c r="L15" s="76" t="s">
        <v>140</v>
      </c>
      <c r="M15" s="23">
        <f>J15*K15</f>
        <v>109149.99999999999</v>
      </c>
      <c r="N15" s="105"/>
    </row>
    <row r="16" spans="1:105" x14ac:dyDescent="0.25">
      <c r="M16" s="97"/>
      <c r="N16" s="97"/>
    </row>
    <row r="17" spans="5:14" x14ac:dyDescent="0.25">
      <c r="E17" s="2">
        <f>'AUTO CALCULATION SHEET (2)'!E4</f>
        <v>1291437.2292499999</v>
      </c>
      <c r="M17" s="97">
        <f>M15-M4</f>
        <v>1704.3624999999884</v>
      </c>
      <c r="N17" s="97"/>
    </row>
    <row r="18" spans="5:14" x14ac:dyDescent="0.25">
      <c r="M18" s="97"/>
      <c r="N18" s="97"/>
    </row>
    <row r="19" spans="5:14" x14ac:dyDescent="0.25">
      <c r="M19" s="97"/>
      <c r="N19" s="97"/>
    </row>
    <row r="20" spans="5:14" x14ac:dyDescent="0.25">
      <c r="M20" s="97"/>
      <c r="N20" s="97"/>
    </row>
    <row r="21" spans="5:14" x14ac:dyDescent="0.25">
      <c r="M21" s="97"/>
      <c r="N21" s="97"/>
    </row>
    <row r="22" spans="5:14" x14ac:dyDescent="0.25">
      <c r="M22" s="97"/>
      <c r="N22" s="97"/>
    </row>
    <row r="23" spans="5:14" x14ac:dyDescent="0.25">
      <c r="M23" s="97"/>
      <c r="N23" s="97"/>
    </row>
    <row r="24" spans="5:14" x14ac:dyDescent="0.25">
      <c r="M24" s="97"/>
      <c r="N24" s="97"/>
    </row>
    <row r="25" spans="5:14" x14ac:dyDescent="0.25">
      <c r="M25" s="97"/>
      <c r="N25" s="97"/>
    </row>
    <row r="26" spans="5:14" x14ac:dyDescent="0.25">
      <c r="M26" s="97"/>
      <c r="N26" s="97"/>
    </row>
    <row r="27" spans="5:14" x14ac:dyDescent="0.25">
      <c r="M27" s="97"/>
      <c r="N27" s="97"/>
    </row>
    <row r="28" spans="5:14" x14ac:dyDescent="0.25">
      <c r="M28" s="97"/>
      <c r="N28" s="97"/>
    </row>
    <row r="29" spans="5:14" x14ac:dyDescent="0.25">
      <c r="M29" s="97"/>
      <c r="N29" s="97"/>
    </row>
    <row r="30" spans="5:14" x14ac:dyDescent="0.25">
      <c r="M30" s="97"/>
      <c r="N30" s="97"/>
    </row>
    <row r="31" spans="5:14" x14ac:dyDescent="0.25">
      <c r="M31" s="97"/>
      <c r="N31" s="97"/>
    </row>
    <row r="32" spans="5:14" x14ac:dyDescent="0.25">
      <c r="M32" s="97"/>
      <c r="N32" s="97"/>
    </row>
    <row r="33" spans="13:14" x14ac:dyDescent="0.25">
      <c r="M33" s="97"/>
      <c r="N33" s="97"/>
    </row>
    <row r="34" spans="13:14" x14ac:dyDescent="0.25">
      <c r="M34" s="97"/>
      <c r="N34" s="97"/>
    </row>
    <row r="35" spans="13:14" x14ac:dyDescent="0.25">
      <c r="M35" s="97"/>
      <c r="N35" s="97"/>
    </row>
    <row r="36" spans="13:14" x14ac:dyDescent="0.25">
      <c r="M36" s="97"/>
      <c r="N36" s="97"/>
    </row>
    <row r="37" spans="13:14" x14ac:dyDescent="0.25">
      <c r="M37" s="97"/>
      <c r="N37" s="97"/>
    </row>
    <row r="38" spans="13:14" x14ac:dyDescent="0.25">
      <c r="M38" s="97"/>
      <c r="N38" s="97"/>
    </row>
    <row r="39" spans="13:14" x14ac:dyDescent="0.25">
      <c r="M39" s="97"/>
      <c r="N39" s="97"/>
    </row>
    <row r="40" spans="13:14" x14ac:dyDescent="0.25">
      <c r="M40" s="97"/>
      <c r="N40" s="97"/>
    </row>
    <row r="41" spans="13:14" x14ac:dyDescent="0.25">
      <c r="M41" s="97"/>
      <c r="N41" s="97"/>
    </row>
    <row r="42" spans="13:14" x14ac:dyDescent="0.25">
      <c r="M42" s="97"/>
      <c r="N42" s="97"/>
    </row>
    <row r="43" spans="13:14" x14ac:dyDescent="0.25">
      <c r="M43" s="97"/>
      <c r="N43" s="97"/>
    </row>
    <row r="44" spans="13:14" x14ac:dyDescent="0.25">
      <c r="M44" s="97"/>
      <c r="N44" s="97"/>
    </row>
    <row r="45" spans="13:14" x14ac:dyDescent="0.25">
      <c r="M45" s="97"/>
      <c r="N45" s="97"/>
    </row>
  </sheetData>
  <mergeCells count="9">
    <mergeCell ref="BB1:BL1"/>
    <mergeCell ref="BM1:BX1"/>
    <mergeCell ref="CH1:CK1"/>
    <mergeCell ref="O1:V1"/>
    <mergeCell ref="W1:X1"/>
    <mergeCell ref="Y1:AF1"/>
    <mergeCell ref="AG1:AH1"/>
    <mergeCell ref="AI1:AQ1"/>
    <mergeCell ref="AS1:BA1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AUTO CALCULATION SHEET (2)</vt:lpstr>
      <vt:lpstr>NORMAL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CHANDAN PAUL</cp:lastModifiedBy>
  <dcterms:created xsi:type="dcterms:W3CDTF">2021-04-03T12:13:55Z</dcterms:created>
  <dcterms:modified xsi:type="dcterms:W3CDTF">2026-06-24T13:11:25Z</dcterms:modified>
</cp:coreProperties>
</file>