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3_MARCH 2026\JVVNL-TN5028-11KV3CX185&amp;120-18639\"/>
    </mc:Choice>
  </mc:AlternateContent>
  <xr:revisionPtr revIDLastSave="0" documentId="13_ncr:1_{122BE0F1-F371-4DE5-A137-35650F6B08E6}"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1" hidden="1">'AUTO CALCULATION SHEET (2)'!$A$20:$CY$21</definedName>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7" i="4" l="1"/>
  <c r="J36" i="4"/>
  <c r="I37" i="4"/>
  <c r="I36" i="4"/>
  <c r="AP14" i="6"/>
  <c r="AP13" i="6"/>
  <c r="AN14" i="6"/>
  <c r="AN13" i="6"/>
  <c r="AM14" i="6"/>
  <c r="AM13" i="6"/>
  <c r="AL14" i="6"/>
  <c r="AL13" i="6"/>
  <c r="AK14" i="6"/>
  <c r="AK13" i="6"/>
  <c r="AJ14" i="6"/>
  <c r="AJ13" i="6"/>
  <c r="AI14" i="6"/>
  <c r="AI13" i="6"/>
  <c r="AH14" i="6"/>
  <c r="AH13" i="6"/>
  <c r="AG14" i="6"/>
  <c r="AG13" i="6"/>
  <c r="AO13" i="6" s="1"/>
  <c r="AQ13" i="6" s="1"/>
  <c r="AF14" i="6"/>
  <c r="AF13" i="6"/>
  <c r="AN10" i="6"/>
  <c r="AM10" i="6"/>
  <c r="AL10" i="6"/>
  <c r="AK10" i="6"/>
  <c r="AJ10" i="6"/>
  <c r="AI10" i="6"/>
  <c r="AH10" i="6"/>
  <c r="AG10" i="6"/>
  <c r="AF10" i="6"/>
  <c r="AC14" i="6"/>
  <c r="AC13" i="6"/>
  <c r="AB14" i="6"/>
  <c r="AB13" i="6"/>
  <c r="AA14" i="6"/>
  <c r="AA13" i="6"/>
  <c r="Z14" i="6"/>
  <c r="Z13" i="6"/>
  <c r="Y14" i="6"/>
  <c r="Y13" i="6"/>
  <c r="X14" i="6"/>
  <c r="AD14" i="6" s="1"/>
  <c r="X13" i="6"/>
  <c r="AD13" i="6" s="1"/>
  <c r="W14" i="6"/>
  <c r="AE14" i="6" s="1"/>
  <c r="W13" i="6"/>
  <c r="AE13" i="6" s="1"/>
  <c r="A14" i="6"/>
  <c r="A13" i="6"/>
  <c r="AO14" i="6"/>
  <c r="AQ14" i="6" s="1"/>
  <c r="J14" i="6"/>
  <c r="J13" i="6"/>
  <c r="AR14" i="6" l="1"/>
  <c r="AS14" i="6" s="1"/>
  <c r="AW14" i="6" s="1"/>
  <c r="AR13" i="6"/>
  <c r="AS13" i="6" s="1"/>
  <c r="AW13" i="6" s="1"/>
  <c r="D37" i="4"/>
  <c r="D36" i="4"/>
  <c r="AX27" i="4" l="1"/>
  <c r="AX26" i="4"/>
  <c r="AF27" i="4"/>
  <c r="AF26" i="4"/>
  <c r="AH27" i="4" l="1"/>
  <c r="AH26" i="4"/>
  <c r="Y27" i="4"/>
  <c r="Y26" i="4"/>
  <c r="N27" i="4"/>
  <c r="N26" i="4"/>
  <c r="CH20" i="4" l="1"/>
  <c r="CI20" i="4"/>
  <c r="CJ20" i="4"/>
  <c r="CJ21" i="4"/>
  <c r="CI21" i="4"/>
  <c r="CH21" i="4"/>
  <c r="F26" i="4" l="1"/>
  <c r="J26" i="4" s="1"/>
  <c r="F27" i="4"/>
  <c r="J27" i="4" s="1"/>
  <c r="CX20" i="4"/>
  <c r="CQ20" i="4"/>
  <c r="CM20" i="4"/>
  <c r="CK20" i="4"/>
  <c r="CG20" i="4"/>
  <c r="CF20" i="4"/>
  <c r="CD20" i="4"/>
  <c r="CC20" i="4"/>
  <c r="CB20" i="4"/>
  <c r="CA20" i="4"/>
  <c r="BZ20" i="4"/>
  <c r="BY20" i="4"/>
  <c r="BW20" i="4"/>
  <c r="BV20" i="4"/>
  <c r="BU20" i="4"/>
  <c r="BT20" i="4"/>
  <c r="BS20" i="4"/>
  <c r="BR20" i="4"/>
  <c r="BQ20" i="4"/>
  <c r="BP20" i="4"/>
  <c r="BO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L20" i="4"/>
  <c r="K20" i="4"/>
  <c r="H20" i="4"/>
  <c r="D20" i="4"/>
  <c r="D26" i="4" s="1"/>
  <c r="C20" i="4"/>
  <c r="A20" i="4"/>
  <c r="S21" i="4"/>
  <c r="S19" i="4"/>
  <c r="R21" i="4"/>
  <c r="R19" i="4"/>
  <c r="AT21" i="4"/>
  <c r="AT19" i="4"/>
  <c r="Q21" i="4"/>
  <c r="Q19" i="4"/>
  <c r="BU21" i="4"/>
  <c r="BU19" i="4"/>
  <c r="AY21" i="4"/>
  <c r="AY19" i="4"/>
  <c r="L21" i="4"/>
  <c r="K21" i="4"/>
  <c r="H21" i="4"/>
  <c r="CX21" i="4"/>
  <c r="E26" i="4" l="1"/>
  <c r="K26" i="4" s="1"/>
  <c r="L26" i="4" s="1"/>
  <c r="M26" i="4" s="1"/>
  <c r="F20" i="4" s="1"/>
  <c r="E27" i="4"/>
  <c r="K27" i="4" s="1"/>
  <c r="L27" i="4" s="1"/>
  <c r="M27" i="4" s="1"/>
  <c r="F21" i="4" s="1"/>
  <c r="CK21" i="4"/>
  <c r="BP21" i="4" l="1"/>
  <c r="BP19" i="4"/>
  <c r="BE21" i="4" l="1"/>
  <c r="BE19" i="4"/>
  <c r="AN21" i="4" l="1"/>
  <c r="AN19" i="4"/>
  <c r="AM21" i="4"/>
  <c r="AM19" i="4"/>
  <c r="AO21" i="4"/>
  <c r="AO19" i="4"/>
  <c r="CG21" i="4" l="1"/>
  <c r="AG21" i="4" l="1"/>
  <c r="CM21" i="4" l="1"/>
  <c r="A21" i="4" l="1"/>
  <c r="W19" i="4" l="1"/>
  <c r="V19" i="4"/>
  <c r="AE21" i="4" l="1"/>
  <c r="AD21" i="4"/>
  <c r="AC21" i="4"/>
  <c r="AB21" i="4"/>
  <c r="AA21" i="4"/>
  <c r="Z21" i="4"/>
  <c r="Y21" i="4"/>
  <c r="X21" i="4"/>
  <c r="W21" i="4"/>
  <c r="V21" i="4"/>
  <c r="CF21" i="4"/>
  <c r="CD21" i="4"/>
  <c r="CC21" i="4"/>
  <c r="CB21" i="4"/>
  <c r="CA21" i="4"/>
  <c r="BZ21" i="4"/>
  <c r="BY21" i="4"/>
  <c r="CD19" i="4"/>
  <c r="CF19" i="4"/>
  <c r="CC19" i="4"/>
  <c r="CB19" i="4"/>
  <c r="CA19" i="4"/>
  <c r="BY19" i="4"/>
  <c r="BZ19" i="4"/>
  <c r="BW21" i="4"/>
  <c r="BV21" i="4"/>
  <c r="BT21" i="4"/>
  <c r="BS21" i="4"/>
  <c r="BR21" i="4"/>
  <c r="BQ21" i="4"/>
  <c r="BO21" i="4"/>
  <c r="BN21" i="4"/>
  <c r="BM21" i="4"/>
  <c r="BL21" i="4"/>
  <c r="BW19" i="4"/>
  <c r="BV19" i="4"/>
  <c r="BS19" i="4"/>
  <c r="BR19" i="4"/>
  <c r="BQ19" i="4"/>
  <c r="BO19" i="4"/>
  <c r="BN19" i="4"/>
  <c r="BM19" i="4"/>
  <c r="BL19" i="4"/>
  <c r="BK21" i="4"/>
  <c r="BJ21" i="4"/>
  <c r="BI21" i="4"/>
  <c r="BH21" i="4"/>
  <c r="BG21" i="4"/>
  <c r="BF21" i="4"/>
  <c r="BD21" i="4"/>
  <c r="BC21" i="4"/>
  <c r="BB21" i="4"/>
  <c r="BA21" i="4"/>
  <c r="BK19" i="4"/>
  <c r="BJ19" i="4"/>
  <c r="BI19" i="4"/>
  <c r="BH19" i="4"/>
  <c r="BF19" i="4"/>
  <c r="BD19" i="4"/>
  <c r="BC19" i="4"/>
  <c r="BB19" i="4"/>
  <c r="BA19" i="4"/>
  <c r="AZ19" i="4"/>
  <c r="AZ21" i="4"/>
  <c r="AX21" i="4"/>
  <c r="AW21" i="4"/>
  <c r="AV21" i="4"/>
  <c r="AU21" i="4"/>
  <c r="AS21" i="4"/>
  <c r="AR21" i="4"/>
  <c r="AW19" i="4"/>
  <c r="AV19" i="4"/>
  <c r="AU19" i="4"/>
  <c r="AS19" i="4"/>
  <c r="AR19" i="4"/>
  <c r="AQ19" i="4"/>
  <c r="CQ21" i="4"/>
  <c r="AQ21" i="4"/>
  <c r="AP21" i="4"/>
  <c r="AL21" i="4"/>
  <c r="AK21" i="4"/>
  <c r="AJ21" i="4"/>
  <c r="AI21" i="4"/>
  <c r="AH21" i="4"/>
  <c r="AP19" i="4"/>
  <c r="AL19" i="4"/>
  <c r="AK19" i="4"/>
  <c r="AJ19" i="4"/>
  <c r="AI19" i="4"/>
  <c r="AG19" i="4"/>
  <c r="AF21" i="4"/>
  <c r="AE19" i="4" l="1"/>
  <c r="AD19" i="4"/>
  <c r="AC19" i="4"/>
  <c r="AB19" i="4"/>
  <c r="AA19" i="4"/>
  <c r="Z19" i="4"/>
  <c r="X19" i="4"/>
  <c r="U19" i="4" l="1"/>
  <c r="T19" i="4"/>
  <c r="P19" i="4"/>
  <c r="O19" i="4"/>
  <c r="U21" i="4"/>
  <c r="T21" i="4"/>
  <c r="P21" i="4"/>
  <c r="O21" i="4"/>
  <c r="D21" i="4"/>
  <c r="D27" i="4" s="1"/>
  <c r="C21" i="4"/>
  <c r="CL20" i="4" l="1"/>
  <c r="CL21" i="4"/>
  <c r="CP20" i="4" l="1"/>
  <c r="CN20" i="4"/>
  <c r="CR20" i="4"/>
  <c r="CN21" i="4"/>
  <c r="CP21" i="4"/>
  <c r="CR21" i="4"/>
  <c r="CS20" i="4" l="1"/>
  <c r="CY20" i="4" s="1"/>
  <c r="CS21" i="4"/>
  <c r="CW20" i="4" l="1"/>
  <c r="CU20" i="4"/>
  <c r="CY21" i="4"/>
  <c r="CU21" i="4"/>
  <c r="CW21" i="4"/>
  <c r="E20" i="4" l="1"/>
  <c r="E21" i="4"/>
  <c r="G21" i="4" s="1"/>
  <c r="G20" i="4" l="1"/>
  <c r="I20" i="4" s="1"/>
  <c r="J20" i="4" s="1"/>
  <c r="I21" i="4"/>
  <c r="J21" i="4" s="1"/>
  <c r="M20" i="4" l="1"/>
  <c r="F36" i="4"/>
  <c r="G36" i="4" s="1"/>
  <c r="M21" i="4"/>
  <c r="F37" i="4"/>
  <c r="G37" i="4" s="1"/>
  <c r="M22" i="4"/>
  <c r="F32" i="4" s="1"/>
  <c r="G3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<sst xmlns="http://schemas.openxmlformats.org/spreadsheetml/2006/main" count="392" uniqueCount="313">
  <si>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</si>
  <si>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</si>
  <si>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</si>
  <si>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</si>
  <si>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</si>
  <si>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</si>
  <si>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</si>
  <si>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</si>
  <si>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</si>
  <si>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</si>
  <si>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</si>
  <si>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</si>
  <si>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</si>
  <si>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</si>
  <si>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</si>
  <si>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</si>
  <si>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</si>
  <si>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</si>
  <si>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</si>
  <si>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</si>
  <si>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</si>
  <si>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</si>
  <si>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</si>
  <si>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</si>
  <si>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</si>
  <si>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</si>
  <si>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</si>
  <si>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</si>
  <si>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</si>
  <si>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</si>
  <si>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</si>
  <si>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</si>
  <si>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</si>
  <si>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</si>
  <si>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</si>
  <si>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</si>
  <si>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</si>
  <si>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</si>
  <si>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</si>
  <si>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</si>
  <si>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</si>
  <si>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</si>
  <si>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</si>
  <si>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</si>
  <si>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</si>
  <si>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</si>
  <si>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</si>
  <si>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</si>
  <si>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</si>
  <si>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</si>
  <si>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</si>
  <si>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</si>
  <si>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</si>
  <si>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</si>
  <si>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</si>
  <si>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</si>
  <si>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</si>
  <si>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</si>
  <si>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</si>
  <si>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</si>
  <si>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</si>
  <si>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</si>
  <si>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</si>
  <si>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</si>
  <si>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</si>
  <si>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</si>
  <si>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</si>
  <si>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</si>
  <si>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</si>
  <si>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</si>
  <si>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</si>
  <si>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</si>
  <si>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</si>
  <si>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</si>
  <si>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</si>
  <si>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</si>
  <si>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</si>
  <si>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</si>
  <si>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</si>
  <si>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</si>
  <si>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</si>
  <si>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</si>
  <si>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</si>
  <si>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</si>
  <si>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</si>
  <si>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</si>
  <si>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</si>
  <si>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</si>
  <si>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</si>
  <si>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</si>
  <si>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</si>
  <si>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</si>
  <si>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</si>
  <si>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</si>
  <si>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</si>
  <si>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</si>
  <si>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</si>
  <si>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</si>
  <si>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</si>
  <si>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</si>
  <si>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</si>
  <si>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</si>
  <si>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</si>
  <si>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</si>
  <si>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</si>
  <si>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</si>
  <si>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</si>
  <si>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</si>
  <si>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</si>
  <si>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</si>
  <si>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</si>
  <si>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</si>
  <si>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</si>
  <si>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</si>
  <si>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</si>
  <si>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</si>
  <si>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</si>
  <si>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</si>
  <si>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</si>
  <si>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</si>
  <si>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</si>
  <si>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</si>
  <si>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</si>
  <si>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</si>
  <si>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</si>
  <si>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</si>
  <si>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</si>
  <si>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</si>
  <si>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</si>
  <si>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</si>
  <si>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</si>
  <si>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</si>
  <si>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</si>
  <si>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</si>
  <si>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</si>
  <si>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</si>
  <si>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</si>
  <si>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</si>
  <si>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</si>
  <si>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</si>
  <si>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</si>
  <si>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</si>
  <si>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</si>
  <si>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</si>
  <si>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</si>
  <si>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</si>
  <si>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</si>
  <si>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</si>
  <si>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</si>
  <si>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</si>
  <si>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</si>
  <si>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</si>
  <si>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</si>
  <si>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</si>
  <si>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</si>
  <si>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</si>
  <si>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</si>
  <si>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</si>
  <si>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</si>
  <si>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</si>
  <si>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</si>
  <si>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</si>
  <si>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</si>
  <si>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</si>
  <si>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</si>
  <si>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</si>
  <si>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</si>
  <si>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</si>
  <si>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</si>
  <si>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</si>
  <si>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</si>
  <si>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</si>
  <si>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</si>
  <si>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</si>
  <si>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</si>
  <si>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</si>
  <si>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</si>
  <si>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</si>
  <si>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</si>
  <si>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</si>
  <si>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</si>
  <si>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</si>
  <si>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</si>
  <si>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</si>
  <si>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</si>
  <si>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</si>
  <si>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</si>
  <si>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</si>
  <si>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</si>
  <si>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</si>
  <si>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</si>
  <si>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</si>
  <si>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</si>
  <si>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</si>
  <si>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</si>
  <si>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</si>
  <si>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</si>
  <si>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</si>
  <si>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</si>
  <si>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</si>
  <si>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</si>
  <si>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</si>
  <si>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</si>
  <si>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</si>
  <si>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</si>
  <si>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</si>
  <si>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</si>
  <si>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</si>
  <si>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</si>
  <si>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</si>
  <si>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</si>
  <si>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</si>
  <si>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</si>
  <si>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</si>
  <si>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</si>
  <si>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</si>
  <si>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</si>
  <si>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</si>
  <si>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</si>
  <si>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</si>
  <si>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ENQ-18639-25-26</t>
  </si>
  <si>
    <t>FA1300001</t>
  </si>
  <si>
    <t>3 CORE X 120 SQ. MM. AL/ARM - STRIP (XLPE) - 11 KV</t>
  </si>
  <si>
    <t>WOOD</t>
  </si>
  <si>
    <t>Extruded Semiconductive</t>
  </si>
  <si>
    <t>KMS</t>
  </si>
  <si>
    <t>MD0100029</t>
  </si>
  <si>
    <t>DRUM - 80 X 35 X 39 X 3"+ EXTRA SEGMENT</t>
  </si>
  <si>
    <t>FA1300002</t>
  </si>
  <si>
    <t>3 CORE X 185 SQ. MM AL/ARM - STRIP (XLPE) - 11 KV</t>
  </si>
  <si>
    <t>MD0100023</t>
  </si>
  <si>
    <t>DRUM - 68 X 34 X 36 X 3</t>
  </si>
  <si>
    <t>TENDER SPECIFICATION NO ()</t>
  </si>
  <si>
    <t>TENDER DESCRIPTION  ()</t>
  </si>
  <si>
    <t>Last Date &amp; Time of Submission ()</t>
  </si>
  <si>
    <t>REVERSE AUCTION</t>
  </si>
  <si>
    <t>Price ()</t>
  </si>
  <si>
    <t>Validity  ()</t>
  </si>
  <si>
    <t>Delivery Period  ()</t>
  </si>
  <si>
    <t>Commencement : After 30 days from the date of receipt of purchase order.
Completion : In Six months thereafter at equal monthly rate.</t>
  </si>
  <si>
    <t>Payment Terms ()</t>
  </si>
  <si>
    <t>1. The 70% payment shall be released after receipt of successful Test reports from CTL, Jaipur for the mandatory test checking on the samples selected from the material received at stores against first lot and subsequent lot(s) in anticipation of successful type test reports.
2. The balance 30% payment shall be released after receipt of successful type test reports on the samples selected from the material received in the stores.</t>
  </si>
  <si>
    <t>Standard length ()</t>
  </si>
  <si>
    <t>Packing  ()</t>
  </si>
  <si>
    <t>Technical Specification</t>
  </si>
  <si>
    <t>JAIPUR VIDYUT VITRAN NIGAM LIMITED (JVVNL)</t>
  </si>
  <si>
    <t>TN-5028 (2026_JVVNL_537588_2)</t>
  </si>
  <si>
    <t>11 KV, 3CX185 Sq.mm and 3CX120 Sq.mm ALUMINIUM CONDUCTOR SCREENED CROSS-LINKED POLYETHYLENE (XLPE) INSULATED ARMOURED SHIELDED PVC SHEATHED POWER CABLE</t>
  </si>
  <si>
    <t>09-Mar-2026 05:00 PM
OPENING ON 10-Mar-2026 03:00 PM</t>
  </si>
  <si>
    <t>Not Mention</t>
  </si>
  <si>
    <t>120 DAYS FROM THE NEXT DATE OF OPENING OF TECHNO-COMMERCIAL BID</t>
  </si>
  <si>
    <t>The cable shall be supplied in standard length of 250 Mtrs in one Drum for size 11 KV, 3CX185 Sq.mm , and 500 Mtrs in one Drum for 3Cx120 Sq.mm .</t>
  </si>
  <si>
    <t>The cable shall be wound on a non returnable wooden drum conforming to IS: 10418/1982 of suitable size.</t>
  </si>
  <si>
    <t>CABLE WEIGHT KG/KM</t>
  </si>
  <si>
    <t>DRUM WEIGHT</t>
  </si>
  <si>
    <t>CABLE + DRUM WEIGHT</t>
  </si>
  <si>
    <t>TRUCK WEIGHT</t>
  </si>
  <si>
    <t>confirmed from sombhu sir overphone</t>
  </si>
  <si>
    <t>Estimated cost</t>
  </si>
  <si>
    <t>our cost</t>
  </si>
  <si>
    <t>including GST</t>
  </si>
  <si>
    <t>diff % from our cost</t>
  </si>
  <si>
    <t>Estimated unit FOR Destination price (in Rs.)</t>
  </si>
  <si>
    <t>our price</t>
  </si>
  <si>
    <t>PV FORMULA</t>
  </si>
  <si>
    <t>VALUE ADDITION CALCULATION</t>
  </si>
  <si>
    <t>Item</t>
  </si>
  <si>
    <t>Calculation part</t>
  </si>
  <si>
    <t>Date of Inspection</t>
  </si>
  <si>
    <t>Applicable Date</t>
  </si>
  <si>
    <t>FACTORS</t>
  </si>
  <si>
    <t>Ex-Work
Po</t>
  </si>
  <si>
    <t>PVC of al</t>
  </si>
  <si>
    <t>PVC of Cu</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</si>
  <si>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</si>
  <si>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</si>
  <si>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</si>
  <si>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</si>
  <si>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</si>
  <si>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</si>
  <si>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</si>
  <si>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</si>
  <si>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</si>
  <si>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</si>
  <si>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</si>
  <si>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</si>
  <si>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</si>
  <si>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</si>
  <si>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</si>
  <si>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</si>
  <si>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</si>
  <si>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</si>
  <si>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</si>
  <si>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</si>
  <si>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</si>
  <si>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</si>
  <si>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</si>
  <si>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</si>
  <si>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</si>
  <si>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</si>
  <si>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Alf</t>
  </si>
  <si>
    <t>XLFAL</t>
  </si>
  <si>
    <t>CCFAI</t>
  </si>
  <si>
    <t>CCFCu</t>
  </si>
  <si>
    <t>FeF</t>
  </si>
  <si>
    <t>Smif</t>
  </si>
  <si>
    <t>Kg/Km</t>
  </si>
  <si>
    <t>PROVISIONAL</t>
  </si>
  <si>
    <t xml:space="preserve">P = Po + AIF (Al–Alo) + XLFAL (CC–Cco) + SMIF (SMIF1–SMIF0) + FeF (FeF1–FeF0) + CCFAI (PVCc–PVCco) </t>
  </si>
  <si>
    <r>
      <rPr>
        <b/>
        <sz val="11"/>
        <rFont val="Calibri"/>
        <family val="2"/>
        <scheme val="minor"/>
      </rPr>
      <t xml:space="preserve">The prices quoted shall be variable as per PV formula given in the specification at Schedule-II without any ceiling with Base Date as 01.02.2026 </t>
    </r>
    <r>
      <rPr>
        <sz val="11"/>
        <rFont val="Calibri"/>
        <family val="2"/>
        <scheme val="minor"/>
      </rPr>
      <t>The Price Variation shall be governed by Clause No. 1.10 of Section-I (Instruction to Bidder).</t>
    </r>
  </si>
  <si>
    <t xml:space="preserve">The prices quoted shall be variable as per PV formula given in the specification at Schedule-II without any ceiling with Base Date as 01.02.2026 </t>
  </si>
  <si>
    <t>16 MT</t>
  </si>
  <si>
    <t>excluding 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</si>
</sst>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
    <numFmt numFmtId="171" formatCode="&quot;Rs.&quot;#,##0"/>
    <numFmt numFmtId="172" formatCode="0.0"/>
    <numFmt numFmtId="173" formatCode="0.000"/>
    <numFmt numFmtId="174" formatCode="0.00000"/>
  </numFmts>
  <fonts count="5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sz val="11"/>
      <color rgb="FF009900"/>
      <name val="Calibri"/>
      <family val="2"/>
      <scheme val="minor"/>
    </font>
    <font>
      <sz val="11"/>
      <color theme="1" tint="0.499984740745262"/>
      <name val="Calibri"/>
      <family val="2"/>
      <scheme val="minor"/>
    </font>
    <font>
      <sz val="11"/>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sz val="11"/>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b/>
      <sz val="11"/>
      <name val="Calibri"/>
      <family val="2"/>
      <scheme val="minor"/>
    </font>
    <font>
      <b/>
      <sz val="10"/>
      <name val="Verdana"/>
      <family val="2"/>
    </font>
    <font>
      <sz val="10"/>
      <name val="Arial"/>
      <family val="2"/>
    </font>
    <font>
      <sz val="10"/>
      <name val="Calibri"/>
      <family val="2"/>
      <scheme val="minor"/>
    </font>
    <font>
      <b/>
      <sz val="12"/>
      <color theme="1"/>
      <name val="Times New Roman"/>
      <family val="1"/>
    </font>
    <font>
      <sz val="11"/>
      <color theme="1"/>
      <name val="Times New Roman"/>
      <family val="1"/>
    </font>
    <font>
      <sz val="12"/>
      <color theme="1"/>
      <name val="Times New Roman"/>
      <family val="1"/>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36" fillId="0" borderId="0"/>
    <xf numFmtId="43" fontId="1" fillId="0" borderId="0" applyFont="0" applyFill="0" applyBorder="0" applyAlignment="0" applyProtection="0"/>
    <xf numFmtId="0" fontId="36" fillId="0" borderId="0"/>
    <xf numFmtId="0" fontId="44" fillId="0" borderId="0"/>
  </cellStyleXfs>
  <cellXfs count="250">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164" fontId="0" fillId="0" borderId="0" xfId="1" applyFont="1" applyAlignment="1">
      <alignment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35" fillId="5" borderId="1" xfId="0" applyFont="1" applyFill="1" applyBorder="1" applyAlignment="1">
      <alignment horizontal="center" vertical="center" wrapText="1"/>
    </xf>
    <xf numFmtId="3" fontId="35"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26"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0" fillId="0" borderId="0" xfId="0" applyAlignment="1">
      <alignment vertical="center"/>
    </xf>
    <xf numFmtId="0" fontId="39" fillId="0" borderId="0" xfId="0" applyFont="1"/>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3" fontId="0" fillId="0" borderId="0" xfId="0" applyNumberFormat="1" applyAlignment="1">
      <alignment wrapText="1"/>
    </xf>
    <xf numFmtId="164" fontId="0" fillId="0" borderId="1" xfId="1" applyFont="1" applyBorder="1" applyAlignment="1">
      <alignment vertical="center" wrapText="1"/>
    </xf>
    <xf numFmtId="164" fontId="0" fillId="0" borderId="0" xfId="0" applyNumberFormat="1"/>
    <xf numFmtId="0" fontId="0" fillId="0" borderId="0" xfId="0" applyAlignment="1">
      <alignment vertical="top" wrapText="1"/>
    </xf>
    <xf numFmtId="164" fontId="2" fillId="0" borderId="1" xfId="1"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164" fontId="2" fillId="0" borderId="1" xfId="0" applyNumberFormat="1" applyFont="1" applyBorder="1" applyAlignment="1">
      <alignment horizontal="center" vertical="top"/>
    </xf>
    <xf numFmtId="2" fontId="2" fillId="0" borderId="1" xfId="0" applyNumberFormat="1" applyFont="1" applyBorder="1" applyAlignment="1">
      <alignment horizontal="center" vertical="top"/>
    </xf>
    <xf numFmtId="164" fontId="2" fillId="0" borderId="1" xfId="1" applyFont="1" applyBorder="1" applyAlignment="1">
      <alignment horizontal="center" vertical="center" wrapText="1"/>
    </xf>
    <xf numFmtId="164" fontId="2" fillId="0" borderId="1" xfId="1" applyFont="1" applyBorder="1" applyAlignment="1">
      <alignment horizontal="center" vertical="center"/>
    </xf>
    <xf numFmtId="2" fontId="2" fillId="0" borderId="1" xfId="0" applyNumberFormat="1" applyFont="1" applyBorder="1" applyAlignment="1">
      <alignment horizontal="center" vertical="center"/>
    </xf>
    <xf numFmtId="9" fontId="2" fillId="0" borderId="0" xfId="2" applyFont="1"/>
    <xf numFmtId="9" fontId="2" fillId="0" borderId="0" xfId="2" applyFont="1" applyAlignment="1">
      <alignment vertical="center"/>
    </xf>
    <xf numFmtId="0" fontId="36" fillId="0" borderId="1" xfId="6" applyBorder="1" applyAlignment="1">
      <alignment horizontal="center" vertical="center"/>
    </xf>
    <xf numFmtId="0" fontId="41" fillId="0" borderId="0" xfId="6" applyFont="1" applyAlignment="1">
      <alignment horizontal="center" vertical="center"/>
    </xf>
    <xf numFmtId="0" fontId="45" fillId="0" borderId="0" xfId="7" applyFont="1" applyAlignment="1">
      <alignment horizontal="center" vertical="center"/>
    </xf>
    <xf numFmtId="0" fontId="36" fillId="0" borderId="0" xfId="6" applyAlignment="1">
      <alignment horizontal="center" vertical="center"/>
    </xf>
    <xf numFmtId="0" fontId="46" fillId="0" borderId="13" xfId="0" applyFont="1" applyBorder="1" applyAlignment="1">
      <alignment vertical="center"/>
    </xf>
    <xf numFmtId="0" fontId="46" fillId="0" borderId="0" xfId="0" applyFont="1" applyAlignment="1">
      <alignment vertical="center"/>
    </xf>
    <xf numFmtId="0" fontId="46" fillId="0" borderId="0" xfId="0" applyFont="1" applyAlignment="1">
      <alignment horizontal="center" vertical="center"/>
    </xf>
    <xf numFmtId="0" fontId="41" fillId="0" borderId="0" xfId="6" applyFont="1"/>
    <xf numFmtId="0" fontId="45" fillId="0" borderId="0" xfId="7" applyFont="1"/>
    <xf numFmtId="0" fontId="36" fillId="0" borderId="0" xfId="6"/>
    <xf numFmtId="0" fontId="47" fillId="0" borderId="13" xfId="0" applyFont="1" applyBorder="1" applyAlignment="1">
      <alignment horizontal="justify" vertical="center"/>
    </xf>
    <xf numFmtId="0" fontId="48" fillId="0" borderId="0" xfId="0" applyFont="1" applyAlignment="1">
      <alignment vertical="center"/>
    </xf>
    <xf numFmtId="0" fontId="41" fillId="0" borderId="0" xfId="6" applyFont="1" applyAlignment="1">
      <alignment vertical="center"/>
    </xf>
    <xf numFmtId="0" fontId="36" fillId="0" borderId="0" xfId="6" applyAlignment="1">
      <alignment horizontal="center"/>
    </xf>
    <xf numFmtId="170" fontId="41" fillId="0" borderId="0" xfId="6" applyNumberFormat="1" applyFont="1" applyAlignment="1">
      <alignment vertical="center"/>
    </xf>
    <xf numFmtId="0" fontId="45" fillId="0" borderId="0" xfId="6" applyFont="1" applyAlignment="1">
      <alignment horizontal="center"/>
    </xf>
    <xf numFmtId="14" fontId="45" fillId="0" borderId="0" xfId="6" applyNumberFormat="1" applyFont="1" applyAlignment="1">
      <alignment horizontal="center"/>
    </xf>
    <xf numFmtId="0" fontId="41" fillId="0" borderId="10" xfId="7" applyFont="1" applyBorder="1" applyAlignment="1">
      <alignment horizontal="center" vertical="center" wrapText="1"/>
    </xf>
    <xf numFmtId="0" fontId="41" fillId="0" borderId="1" xfId="7" applyFont="1" applyBorder="1" applyAlignment="1">
      <alignment horizontal="center" vertical="center" wrapText="1"/>
    </xf>
    <xf numFmtId="0" fontId="41" fillId="0" borderId="20" xfId="7" applyFont="1" applyBorder="1" applyAlignment="1">
      <alignment horizontal="center" vertical="center" wrapText="1"/>
    </xf>
    <xf numFmtId="0" fontId="49" fillId="0" borderId="4" xfId="7" applyFont="1" applyBorder="1" applyAlignment="1">
      <alignment horizontal="center" vertical="center" wrapText="1"/>
    </xf>
    <xf numFmtId="0" fontId="49" fillId="0" borderId="1" xfId="7" applyFont="1" applyBorder="1" applyAlignment="1">
      <alignment horizontal="center" vertical="center" wrapText="1"/>
    </xf>
    <xf numFmtId="171" fontId="49" fillId="0" borderId="4" xfId="7" applyNumberFormat="1" applyFont="1" applyBorder="1" applyAlignment="1">
      <alignment horizontal="center" vertical="center" wrapText="1"/>
    </xf>
    <xf numFmtId="0" fontId="36" fillId="0" borderId="16" xfId="6" applyBorder="1"/>
    <xf numFmtId="0" fontId="45" fillId="0" borderId="10" xfId="7" applyFont="1" applyBorder="1" applyAlignment="1">
      <alignment horizontal="left" vertical="center" wrapText="1"/>
    </xf>
    <xf numFmtId="14" fontId="45" fillId="0" borderId="1" xfId="7" applyNumberFormat="1" applyFont="1" applyBorder="1" applyAlignment="1">
      <alignment horizontal="center" vertical="center" wrapText="1"/>
    </xf>
    <xf numFmtId="14" fontId="45" fillId="0" borderId="20" xfId="7" applyNumberFormat="1" applyFont="1" applyBorder="1" applyAlignment="1">
      <alignment horizontal="center" vertical="center" wrapText="1"/>
    </xf>
    <xf numFmtId="14" fontId="45" fillId="0" borderId="10" xfId="7" applyNumberFormat="1" applyFont="1" applyBorder="1" applyAlignment="1">
      <alignment horizontal="center" vertical="center" wrapText="1"/>
    </xf>
    <xf numFmtId="14" fontId="45" fillId="0" borderId="2" xfId="7" applyNumberFormat="1" applyFont="1" applyBorder="1" applyAlignment="1">
      <alignment horizontal="center" vertical="center" wrapText="1"/>
    </xf>
    <xf numFmtId="2" fontId="41" fillId="0" borderId="10" xfId="7" applyNumberFormat="1" applyFont="1" applyBorder="1" applyAlignment="1">
      <alignment horizontal="center" vertical="center" wrapText="1"/>
    </xf>
    <xf numFmtId="2" fontId="41" fillId="0" borderId="1" xfId="7" applyNumberFormat="1" applyFont="1" applyBorder="1" applyAlignment="1">
      <alignment horizontal="center" vertical="center" wrapText="1"/>
    </xf>
    <xf numFmtId="2" fontId="41" fillId="0" borderId="20" xfId="7" applyNumberFormat="1" applyFont="1" applyBorder="1" applyAlignment="1">
      <alignment horizontal="center" vertical="center" wrapText="1"/>
    </xf>
    <xf numFmtId="2" fontId="41" fillId="0" borderId="24" xfId="7" applyNumberFormat="1" applyFont="1" applyBorder="1" applyAlignment="1">
      <alignment horizontal="center" vertical="center" wrapText="1"/>
    </xf>
    <xf numFmtId="0" fontId="45" fillId="0" borderId="24" xfId="7" applyFont="1" applyBorder="1" applyAlignment="1">
      <alignment horizontal="center" vertical="center" wrapText="1"/>
    </xf>
    <xf numFmtId="0" fontId="36" fillId="0" borderId="24" xfId="6" applyBorder="1" applyAlignment="1">
      <alignment wrapText="1"/>
    </xf>
    <xf numFmtId="0" fontId="36" fillId="0" borderId="24" xfId="6" applyBorder="1"/>
    <xf numFmtId="14" fontId="50" fillId="0" borderId="31" xfId="7" applyNumberFormat="1" applyFont="1" applyBorder="1" applyAlignment="1">
      <alignment horizontal="center" vertical="center" wrapText="1"/>
    </xf>
    <xf numFmtId="14" fontId="50" fillId="9" borderId="10" xfId="7" applyNumberFormat="1" applyFont="1" applyFill="1" applyBorder="1" applyAlignment="1">
      <alignment horizontal="center" vertical="center" wrapText="1"/>
    </xf>
    <xf numFmtId="14" fontId="41" fillId="9" borderId="10" xfId="7" applyNumberFormat="1" applyFont="1" applyFill="1" applyBorder="1" applyAlignment="1">
      <alignment horizontal="center" vertical="center" wrapText="1"/>
    </xf>
    <xf numFmtId="173" fontId="45" fillId="0" borderId="10" xfId="7" applyNumberFormat="1" applyFont="1" applyBorder="1" applyAlignment="1">
      <alignment horizontal="center" vertical="center" wrapText="1"/>
    </xf>
    <xf numFmtId="173" fontId="45" fillId="0" borderId="1" xfId="7" applyNumberFormat="1" applyFont="1" applyBorder="1" applyAlignment="1">
      <alignment horizontal="center" vertical="center" wrapText="1"/>
    </xf>
    <xf numFmtId="170" fontId="45" fillId="0" borderId="20" xfId="7" applyNumberFormat="1" applyFont="1" applyBorder="1" applyAlignment="1">
      <alignment horizontal="center" vertical="center" wrapText="1"/>
    </xf>
    <xf numFmtId="2" fontId="45" fillId="0" borderId="24" xfId="7" applyNumberFormat="1" applyFont="1" applyBorder="1" applyAlignment="1">
      <alignment horizontal="center" vertical="center" wrapText="1"/>
    </xf>
    <xf numFmtId="170" fontId="45" fillId="0" borderId="10" xfId="7" applyNumberFormat="1" applyFont="1" applyBorder="1" applyAlignment="1">
      <alignment vertical="center" wrapText="1"/>
    </xf>
    <xf numFmtId="170" fontId="45" fillId="0" borderId="1" xfId="7" applyNumberFormat="1" applyFont="1" applyBorder="1" applyAlignment="1">
      <alignment vertical="center" wrapText="1"/>
    </xf>
    <xf numFmtId="173" fontId="45" fillId="0" borderId="20" xfId="7" applyNumberFormat="1" applyFont="1" applyBorder="1" applyAlignment="1">
      <alignment horizontal="center" vertical="center" wrapText="1"/>
    </xf>
    <xf numFmtId="2" fontId="45" fillId="10" borderId="24" xfId="7" applyNumberFormat="1" applyFont="1" applyFill="1" applyBorder="1" applyAlignment="1">
      <alignment horizontal="center" vertical="center" wrapText="1"/>
    </xf>
    <xf numFmtId="173" fontId="44" fillId="0" borderId="4" xfId="7" applyNumberFormat="1" applyBorder="1" applyAlignment="1">
      <alignment vertical="center"/>
    </xf>
    <xf numFmtId="173" fontId="44" fillId="0" borderId="1" xfId="7" applyNumberFormat="1" applyBorder="1" applyAlignment="1">
      <alignment vertical="center"/>
    </xf>
    <xf numFmtId="2" fontId="44" fillId="0" borderId="1" xfId="7" applyNumberFormat="1" applyBorder="1" applyAlignment="1">
      <alignment vertical="center"/>
    </xf>
    <xf numFmtId="2" fontId="49" fillId="0" borderId="20" xfId="7" applyNumberFormat="1" applyFont="1" applyBorder="1" applyAlignment="1">
      <alignment vertical="center"/>
    </xf>
    <xf numFmtId="0" fontId="36" fillId="0" borderId="32" xfId="6" applyBorder="1" applyAlignment="1">
      <alignment wrapText="1"/>
    </xf>
    <xf numFmtId="14" fontId="45" fillId="0" borderId="33" xfId="7" applyNumberFormat="1" applyFont="1" applyBorder="1" applyAlignment="1">
      <alignment horizontal="center" vertical="center" wrapText="1"/>
    </xf>
    <xf numFmtId="14" fontId="45" fillId="0" borderId="34" xfId="7" applyNumberFormat="1" applyFont="1" applyBorder="1" applyAlignment="1">
      <alignment horizontal="center" vertical="center" wrapText="1"/>
    </xf>
    <xf numFmtId="2" fontId="45" fillId="0" borderId="35" xfId="7" applyNumberFormat="1" applyFont="1" applyBorder="1" applyAlignment="1">
      <alignment horizontal="center" vertical="center" wrapText="1"/>
    </xf>
    <xf numFmtId="2" fontId="45" fillId="0" borderId="36" xfId="7" applyNumberFormat="1" applyFont="1" applyBorder="1" applyAlignment="1">
      <alignment horizontal="center" vertical="center" wrapText="1"/>
    </xf>
    <xf numFmtId="2" fontId="45" fillId="0" borderId="34" xfId="7" applyNumberFormat="1" applyFont="1" applyBorder="1" applyAlignment="1">
      <alignment horizontal="center" vertical="center" wrapText="1"/>
    </xf>
    <xf numFmtId="172" fontId="45" fillId="0" borderId="35" xfId="7" applyNumberFormat="1" applyFont="1" applyBorder="1" applyAlignment="1">
      <alignment horizontal="center" vertical="center" wrapText="1"/>
    </xf>
    <xf numFmtId="172" fontId="45" fillId="0" borderId="37" xfId="7" applyNumberFormat="1" applyFont="1" applyBorder="1" applyAlignment="1">
      <alignment horizontal="center" vertical="center" wrapText="1"/>
    </xf>
    <xf numFmtId="2" fontId="45" fillId="0" borderId="38" xfId="7" applyNumberFormat="1" applyFont="1" applyBorder="1" applyAlignment="1">
      <alignment horizontal="center" vertical="center" wrapText="1"/>
    </xf>
    <xf numFmtId="174" fontId="45" fillId="0" borderId="34" xfId="7" applyNumberFormat="1" applyFont="1" applyBorder="1" applyAlignment="1">
      <alignment vertical="center" wrapText="1"/>
    </xf>
    <xf numFmtId="174" fontId="45" fillId="0" borderId="35" xfId="7" applyNumberFormat="1" applyFont="1" applyBorder="1" applyAlignment="1">
      <alignment vertical="center" wrapText="1"/>
    </xf>
    <xf numFmtId="174" fontId="45" fillId="0" borderId="36" xfId="7" applyNumberFormat="1" applyFont="1" applyBorder="1" applyAlignment="1">
      <alignment vertical="center" wrapText="1"/>
    </xf>
    <xf numFmtId="170" fontId="45" fillId="0" borderId="38" xfId="7" applyNumberFormat="1" applyFont="1" applyBorder="1" applyAlignment="1">
      <alignment horizontal="center" vertical="center" wrapText="1"/>
    </xf>
    <xf numFmtId="0" fontId="36" fillId="0" borderId="39" xfId="6" applyBorder="1"/>
    <xf numFmtId="0" fontId="36" fillId="0" borderId="40" xfId="6" applyBorder="1"/>
    <xf numFmtId="0" fontId="36" fillId="0" borderId="0" xfId="6" applyAlignment="1">
      <alignment wrapText="1"/>
    </xf>
    <xf numFmtId="0" fontId="43" fillId="0" borderId="0" xfId="6" applyFont="1"/>
    <xf numFmtId="14" fontId="36" fillId="0" borderId="0" xfId="6" applyNumberFormat="1"/>
    <xf numFmtId="164" fontId="45" fillId="0" borderId="1" xfId="1" applyFont="1" applyBorder="1" applyAlignment="1">
      <alignment horizontal="center" vertical="center" wrapText="1"/>
    </xf>
    <xf numFmtId="164" fontId="45" fillId="0" borderId="2" xfId="1" applyFont="1" applyBorder="1" applyAlignment="1">
      <alignment horizontal="center" vertical="center" wrapText="1"/>
    </xf>
    <xf numFmtId="164" fontId="50" fillId="0" borderId="4" xfId="1" applyFont="1" applyBorder="1" applyAlignment="1">
      <alignment horizontal="center" vertical="center" wrapText="1"/>
    </xf>
    <xf numFmtId="164" fontId="50" fillId="0" borderId="1" xfId="1" applyFont="1" applyBorder="1" applyAlignment="1">
      <alignment horizontal="center" vertical="center" wrapText="1"/>
    </xf>
    <xf numFmtId="164" fontId="45" fillId="0" borderId="24" xfId="1" applyFont="1" applyBorder="1" applyAlignment="1">
      <alignment horizontal="center" vertical="center" wrapText="1"/>
    </xf>
    <xf numFmtId="164" fontId="44" fillId="0" borderId="1" xfId="1" applyFont="1" applyBorder="1" applyAlignment="1">
      <alignment vertical="center"/>
    </xf>
    <xf numFmtId="164" fontId="49" fillId="0" borderId="1" xfId="1" applyFont="1" applyBorder="1" applyAlignment="1">
      <alignment vertical="center"/>
    </xf>
    <xf numFmtId="0" fontId="42" fillId="11" borderId="1" xfId="0" applyFont="1" applyFill="1" applyBorder="1" applyAlignment="1">
      <alignment horizontal="center" vertical="center" wrapText="1"/>
    </xf>
    <xf numFmtId="0" fontId="41" fillId="11" borderId="1" xfId="0" applyFont="1" applyFill="1" applyBorder="1" applyAlignment="1">
      <alignment horizontal="center" vertical="center" wrapText="1"/>
    </xf>
    <xf numFmtId="0" fontId="0" fillId="0" borderId="1" xfId="0" applyBorder="1" applyAlignment="1">
      <alignment vertical="center" wrapText="1"/>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40" fillId="0" borderId="1" xfId="0" applyFont="1" applyBorder="1" applyAlignment="1">
      <alignment horizontal="left" vertical="top" wrapText="1"/>
    </xf>
    <xf numFmtId="0" fontId="40" fillId="0" borderId="2" xfId="0" applyFont="1" applyBorder="1" applyAlignment="1">
      <alignment horizontal="left" vertical="top" wrapText="1"/>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40" fillId="0" borderId="2" xfId="0" applyFont="1" applyBorder="1" applyAlignment="1">
      <alignment horizontal="justify" vertical="top" wrapText="1"/>
    </xf>
    <xf numFmtId="0" fontId="40" fillId="0" borderId="3" xfId="0" applyFont="1" applyBorder="1" applyAlignment="1">
      <alignment horizontal="justify" vertical="top" wrapText="1"/>
    </xf>
    <xf numFmtId="0" fontId="40" fillId="0" borderId="4" xfId="0" applyFont="1" applyBorder="1" applyAlignment="1">
      <alignment horizontal="justify" vertical="top" wrapText="1"/>
    </xf>
    <xf numFmtId="0" fontId="39" fillId="0" borderId="6" xfId="0" applyFont="1" applyBorder="1" applyAlignment="1">
      <alignment horizontal="center"/>
    </xf>
    <xf numFmtId="0" fontId="39" fillId="0" borderId="7" xfId="0" applyFont="1" applyBorder="1" applyAlignment="1">
      <alignment horizontal="center"/>
    </xf>
    <xf numFmtId="0" fontId="39" fillId="0" borderId="8" xfId="0" applyFont="1" applyBorder="1" applyAlignment="1">
      <alignment horizontal="center"/>
    </xf>
    <xf numFmtId="0" fontId="40" fillId="0" borderId="1" xfId="0" applyFont="1" applyBorder="1" applyAlignment="1">
      <alignment horizontal="left" vertical="top"/>
    </xf>
    <xf numFmtId="0" fontId="40" fillId="0" borderId="1" xfId="0" quotePrefix="1" applyFont="1" applyBorder="1" applyAlignment="1">
      <alignment horizontal="left" vertical="top" wrapText="1"/>
    </xf>
    <xf numFmtId="0" fontId="34" fillId="5" borderId="2" xfId="0" applyFont="1" applyFill="1" applyBorder="1" applyAlignment="1">
      <alignment horizontal="center" vertical="center" wrapText="1"/>
    </xf>
    <xf numFmtId="0" fontId="34" fillId="5" borderId="3" xfId="0" applyFont="1" applyFill="1" applyBorder="1" applyAlignment="1">
      <alignment horizontal="center" vertical="center" wrapText="1"/>
    </xf>
    <xf numFmtId="0" fontId="34" fillId="5" borderId="4"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14" fontId="43" fillId="8" borderId="2" xfId="6" applyNumberFormat="1" applyFont="1" applyFill="1" applyBorder="1" applyAlignment="1">
      <alignment horizontal="center" vertical="center"/>
    </xf>
    <xf numFmtId="0" fontId="43" fillId="8" borderId="3" xfId="6" applyFont="1" applyFill="1" applyBorder="1" applyAlignment="1">
      <alignment horizontal="center" vertical="center"/>
    </xf>
    <xf numFmtId="0" fontId="43" fillId="8" borderId="4" xfId="6" applyFont="1" applyFill="1" applyBorder="1" applyAlignment="1">
      <alignment horizontal="center" vertical="center"/>
    </xf>
    <xf numFmtId="0" fontId="41" fillId="0" borderId="1" xfId="6" applyFont="1" applyBorder="1" applyAlignment="1">
      <alignment horizontal="center" vertical="center"/>
    </xf>
    <xf numFmtId="0" fontId="41" fillId="0" borderId="2" xfId="6" applyFont="1" applyBorder="1" applyAlignment="1">
      <alignment horizontal="center" vertical="center"/>
    </xf>
    <xf numFmtId="0" fontId="41" fillId="0" borderId="1" xfId="6" applyFont="1" applyBorder="1" applyAlignment="1">
      <alignment horizontal="center" vertical="center" wrapText="1"/>
    </xf>
    <xf numFmtId="0" fontId="36" fillId="0" borderId="0" xfId="6" applyAlignment="1">
      <alignment horizontal="center"/>
    </xf>
    <xf numFmtId="0" fontId="49" fillId="0" borderId="9" xfId="7" applyFont="1" applyBorder="1" applyAlignment="1">
      <alignment horizontal="center" vertical="center"/>
    </xf>
    <xf numFmtId="0" fontId="49" fillId="0" borderId="14" xfId="7" applyFont="1" applyBorder="1" applyAlignment="1">
      <alignment horizontal="center" vertical="center"/>
    </xf>
    <xf numFmtId="0" fontId="49" fillId="0" borderId="15" xfId="7" applyFont="1" applyBorder="1" applyAlignment="1">
      <alignment horizontal="center" vertical="center"/>
    </xf>
    <xf numFmtId="0" fontId="49" fillId="0" borderId="4" xfId="7" applyFont="1" applyBorder="1" applyAlignment="1">
      <alignment horizontal="center" vertical="center"/>
    </xf>
    <xf numFmtId="0" fontId="49" fillId="0" borderId="1" xfId="7" applyFont="1" applyBorder="1" applyAlignment="1">
      <alignment horizontal="center" vertical="center"/>
    </xf>
    <xf numFmtId="0" fontId="49" fillId="0" borderId="20" xfId="7" applyFont="1" applyBorder="1" applyAlignment="1">
      <alignment horizontal="center" vertical="center"/>
    </xf>
    <xf numFmtId="0" fontId="43" fillId="0" borderId="16" xfId="6" applyFont="1" applyBorder="1" applyAlignment="1">
      <alignment horizontal="center" vertical="center"/>
    </xf>
    <xf numFmtId="0" fontId="43" fillId="0" borderId="21" xfId="6" applyFont="1" applyBorder="1" applyAlignment="1">
      <alignment horizontal="center" vertical="center"/>
    </xf>
    <xf numFmtId="0" fontId="43" fillId="0" borderId="16" xfId="6" applyFont="1" applyBorder="1" applyAlignment="1">
      <alignment horizontal="center" vertical="center" wrapText="1"/>
    </xf>
    <xf numFmtId="0" fontId="43" fillId="0" borderId="21" xfId="6" applyFont="1" applyBorder="1" applyAlignment="1">
      <alignment horizontal="center" vertical="center" wrapText="1"/>
    </xf>
    <xf numFmtId="0" fontId="41" fillId="0" borderId="17" xfId="7" applyFont="1" applyBorder="1" applyAlignment="1">
      <alignment horizontal="center" vertical="center" wrapText="1"/>
    </xf>
    <xf numFmtId="0" fontId="41" fillId="0" borderId="0" xfId="7" applyFont="1" applyAlignment="1">
      <alignment horizontal="center" vertical="center" wrapText="1"/>
    </xf>
    <xf numFmtId="0" fontId="41" fillId="0" borderId="5" xfId="7" applyFont="1" applyBorder="1" applyAlignment="1">
      <alignment horizontal="center" vertical="center" wrapText="1"/>
    </xf>
    <xf numFmtId="0" fontId="41" fillId="0" borderId="9" xfId="7" applyFont="1" applyBorder="1" applyAlignment="1">
      <alignment horizontal="center" vertical="center" wrapText="1"/>
    </xf>
    <xf numFmtId="0" fontId="41" fillId="0" borderId="14" xfId="7" applyFont="1" applyBorder="1" applyAlignment="1">
      <alignment horizontal="center" vertical="center" wrapText="1"/>
    </xf>
    <xf numFmtId="0" fontId="41" fillId="0" borderId="15" xfId="7" applyFont="1" applyBorder="1" applyAlignment="1">
      <alignment horizontal="center" vertical="center" wrapText="1"/>
    </xf>
    <xf numFmtId="0" fontId="41" fillId="0" borderId="18" xfId="7" applyFont="1" applyBorder="1" applyAlignment="1">
      <alignment horizontal="center" vertical="center" wrapText="1"/>
    </xf>
    <xf numFmtId="0" fontId="41" fillId="0" borderId="1" xfId="7" applyFont="1" applyBorder="1" applyAlignment="1">
      <alignment horizontal="center" vertical="center" wrapText="1"/>
    </xf>
    <xf numFmtId="0" fontId="41" fillId="0" borderId="20" xfId="7" applyFont="1" applyBorder="1" applyAlignment="1">
      <alignment horizontal="center" vertical="center" wrapText="1"/>
    </xf>
    <xf numFmtId="0" fontId="41" fillId="0" borderId="19" xfId="7" applyFont="1" applyBorder="1" applyAlignment="1">
      <alignment horizontal="center" vertical="center" wrapText="1"/>
    </xf>
    <xf numFmtId="0" fontId="41" fillId="0" borderId="24" xfId="7" applyFont="1" applyBorder="1" applyAlignment="1">
      <alignment horizontal="center" vertical="center" wrapText="1"/>
    </xf>
    <xf numFmtId="0" fontId="41" fillId="0" borderId="10" xfId="7" applyFont="1" applyBorder="1" applyAlignment="1">
      <alignment horizontal="center" vertical="center" wrapText="1"/>
    </xf>
    <xf numFmtId="0" fontId="49" fillId="0" borderId="22" xfId="7" applyFont="1" applyBorder="1" applyAlignment="1">
      <alignment horizontal="center" vertical="center" wrapText="1"/>
    </xf>
    <xf numFmtId="0" fontId="49" fillId="0" borderId="28" xfId="7" applyFont="1" applyBorder="1" applyAlignment="1">
      <alignment horizontal="center" vertical="center" wrapText="1"/>
    </xf>
    <xf numFmtId="0" fontId="49" fillId="0" borderId="26" xfId="7" applyFont="1" applyBorder="1" applyAlignment="1">
      <alignment horizontal="center" vertical="center" wrapText="1"/>
    </xf>
    <xf numFmtId="0" fontId="49" fillId="0" borderId="25" xfId="7" applyFont="1" applyBorder="1" applyAlignment="1">
      <alignment horizontal="center" vertical="center" wrapText="1"/>
    </xf>
    <xf numFmtId="0" fontId="49" fillId="0" borderId="29" xfId="7" applyFont="1" applyBorder="1" applyAlignment="1">
      <alignment horizontal="center" vertical="center" wrapText="1"/>
    </xf>
    <xf numFmtId="0" fontId="49" fillId="0" borderId="30" xfId="7" applyFont="1" applyBorder="1" applyAlignment="1">
      <alignment horizontal="center" vertical="center" wrapText="1"/>
    </xf>
    <xf numFmtId="0" fontId="41" fillId="0" borderId="3" xfId="6" applyFont="1" applyBorder="1" applyAlignment="1">
      <alignment horizontal="center" vertical="center"/>
    </xf>
    <xf numFmtId="0" fontId="41" fillId="0" borderId="4" xfId="6" applyFont="1" applyBorder="1" applyAlignment="1">
      <alignment horizontal="center" vertical="center"/>
    </xf>
    <xf numFmtId="0" fontId="41" fillId="0" borderId="22" xfId="7" applyFont="1" applyBorder="1" applyAlignment="1">
      <alignment horizontal="center" vertical="center" wrapText="1"/>
    </xf>
    <xf numFmtId="0" fontId="41" fillId="0" borderId="26" xfId="7" applyFont="1" applyBorder="1" applyAlignment="1">
      <alignment horizontal="center" vertical="center" wrapText="1"/>
    </xf>
    <xf numFmtId="0" fontId="41" fillId="0" borderId="23" xfId="7" applyFont="1" applyBorder="1" applyAlignment="1">
      <alignment horizontal="center" vertical="center" wrapText="1"/>
    </xf>
    <xf numFmtId="0" fontId="41" fillId="0" borderId="27" xfId="7" applyFont="1" applyBorder="1" applyAlignment="1">
      <alignment horizontal="center" vertical="center" wrapText="1"/>
    </xf>
  </cellXfs>
  <cellStyles count="8">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F3388B80-6F3D-4DA3-B61C-0899EF11B826}"/>
    <cellStyle name="Normal 6 2" xfId="6" xr:uid="{0185DA7F-E735-41FF-A952-5FF3DC45D07B}"/>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3"/>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0"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47" t="s">
        <v>138</v>
      </c>
      <c r="G1" s="47" t="s">
        <v>139</v>
      </c>
      <c r="H1" s="47" t="s">
        <v>140</v>
      </c>
      <c r="I1" s="47" t="s">
        <v>141</v>
      </c>
      <c r="J1" s="42" t="s">
        <v>82</v>
      </c>
      <c r="K1" s="42" t="s">
        <v>142</v>
      </c>
      <c r="L1" s="42" t="s">
        <v>143</v>
      </c>
      <c r="M1" s="42" t="s">
        <v>144</v>
      </c>
      <c r="N1" s="41" t="s">
        <v>4</v>
      </c>
      <c r="O1" s="41" t="s">
        <v>145</v>
      </c>
      <c r="P1" s="41" t="s">
        <v>146</v>
      </c>
      <c r="Q1" s="41" t="s">
        <v>147</v>
      </c>
      <c r="R1" s="45" t="s">
        <v>148</v>
      </c>
      <c r="S1" s="45" t="s">
        <v>149</v>
      </c>
      <c r="T1" s="45" t="s">
        <v>150</v>
      </c>
      <c r="U1" s="45" t="s">
        <v>151</v>
      </c>
      <c r="V1" s="44" t="s">
        <v>6</v>
      </c>
      <c r="W1" s="44" t="s">
        <v>152</v>
      </c>
      <c r="X1" s="44" t="s">
        <v>153</v>
      </c>
      <c r="Y1" s="44" t="s">
        <v>154</v>
      </c>
      <c r="Z1" s="1" t="s">
        <v>155</v>
      </c>
      <c r="AA1" s="1" t="s">
        <v>156</v>
      </c>
      <c r="AB1" s="1" t="s">
        <v>157</v>
      </c>
      <c r="AC1" s="1" t="s">
        <v>158</v>
      </c>
      <c r="AD1" s="43" t="s">
        <v>8</v>
      </c>
      <c r="AE1" s="43" t="s">
        <v>159</v>
      </c>
      <c r="AF1" s="43" t="s">
        <v>160</v>
      </c>
      <c r="AG1" s="43" t="s">
        <v>161</v>
      </c>
      <c r="AH1" s="44" t="s">
        <v>9</v>
      </c>
      <c r="AI1" s="44" t="s">
        <v>162</v>
      </c>
      <c r="AJ1" s="44" t="s">
        <v>163</v>
      </c>
      <c r="AK1" s="44" t="s">
        <v>164</v>
      </c>
      <c r="AL1" s="1" t="s">
        <v>10</v>
      </c>
      <c r="AM1" s="1" t="s">
        <v>165</v>
      </c>
      <c r="AN1" s="1" t="s">
        <v>166</v>
      </c>
      <c r="AO1" s="1" t="s">
        <v>167</v>
      </c>
      <c r="AP1" s="46" t="s">
        <v>168</v>
      </c>
      <c r="AQ1" s="46" t="s">
        <v>169</v>
      </c>
      <c r="AR1" s="46" t="s">
        <v>170</v>
      </c>
      <c r="AS1" s="46"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52"/>
      <c r="C2" s="1" t="s">
        <v>221</v>
      </c>
      <c r="D2" s="1" t="s">
        <v>222</v>
      </c>
      <c r="E2" s="1" t="s">
        <v>223</v>
      </c>
      <c r="F2" s="47" t="s">
        <v>57</v>
      </c>
      <c r="G2" s="47"/>
      <c r="H2" s="47">
        <v>66</v>
      </c>
      <c r="I2" s="47"/>
      <c r="J2" s="42" t="s">
        <v>41</v>
      </c>
      <c r="K2" s="42"/>
      <c r="L2" s="42">
        <v>972</v>
      </c>
      <c r="M2" s="42"/>
      <c r="N2" s="41"/>
      <c r="O2" s="41"/>
      <c r="P2" s="41">
        <v>0</v>
      </c>
      <c r="Q2" s="41"/>
      <c r="R2" s="45" t="s">
        <v>224</v>
      </c>
      <c r="S2" s="45"/>
      <c r="T2" s="45">
        <v>233</v>
      </c>
      <c r="U2" s="45"/>
      <c r="V2" s="44" t="s">
        <v>51</v>
      </c>
      <c r="W2" s="44"/>
      <c r="X2" s="44">
        <v>564</v>
      </c>
      <c r="Y2" s="44"/>
      <c r="Z2" s="1"/>
      <c r="AA2" s="1"/>
      <c r="AB2" s="1">
        <v>0</v>
      </c>
      <c r="AC2" s="1"/>
      <c r="AD2" s="43" t="s">
        <v>48</v>
      </c>
      <c r="AE2" s="43"/>
      <c r="AF2" s="43">
        <v>185</v>
      </c>
      <c r="AG2" s="43"/>
      <c r="AH2" s="44" t="s">
        <v>49</v>
      </c>
      <c r="AI2" s="44"/>
      <c r="AJ2" s="44">
        <v>850</v>
      </c>
      <c r="AK2" s="44"/>
      <c r="AL2" s="1" t="s">
        <v>48</v>
      </c>
      <c r="AM2" s="1"/>
      <c r="AN2" s="1">
        <v>630</v>
      </c>
      <c r="AO2" s="1"/>
      <c r="AP2" s="46" t="s">
        <v>11</v>
      </c>
      <c r="AQ2" s="46"/>
      <c r="AR2" s="46">
        <v>704</v>
      </c>
      <c r="AS2" s="46"/>
      <c r="AT2" s="1"/>
      <c r="AU2" s="1"/>
      <c r="AV2" s="1">
        <v>0</v>
      </c>
      <c r="AW2" s="1"/>
      <c r="AX2" s="1"/>
      <c r="AY2" s="1"/>
      <c r="AZ2" s="1">
        <v>0</v>
      </c>
      <c r="BA2" s="1"/>
      <c r="BB2" s="1"/>
      <c r="BC2" s="1"/>
      <c r="BD2" s="1">
        <v>0</v>
      </c>
      <c r="BE2" s="1"/>
      <c r="BF2" s="1"/>
      <c r="BG2" s="1"/>
      <c r="BH2" s="1">
        <v>0</v>
      </c>
      <c r="BI2" s="1"/>
      <c r="BJ2" s="1"/>
      <c r="BK2" s="1"/>
      <c r="BL2" s="1">
        <v>74</v>
      </c>
      <c r="BM2" s="59"/>
      <c r="BN2" s="1"/>
      <c r="BO2" s="1"/>
      <c r="BP2" s="1">
        <v>0</v>
      </c>
      <c r="BQ2" s="1"/>
      <c r="BR2" s="1" t="s">
        <v>18</v>
      </c>
      <c r="BS2" s="1"/>
      <c r="BT2" s="1">
        <v>0</v>
      </c>
      <c r="BU2" s="1"/>
      <c r="BV2" s="1"/>
      <c r="BW2" s="1"/>
      <c r="BX2" s="1">
        <v>0</v>
      </c>
      <c r="BY2" s="1"/>
      <c r="BZ2" s="1">
        <v>41942</v>
      </c>
      <c r="CA2" s="1">
        <v>41942</v>
      </c>
      <c r="CB2" s="49"/>
      <c r="CC2" s="1"/>
      <c r="CD2" s="49"/>
      <c r="CE2" s="1"/>
      <c r="CF2" s="49"/>
      <c r="CG2" s="1"/>
      <c r="CH2" s="1">
        <v>41942</v>
      </c>
      <c r="CI2" s="49"/>
      <c r="CJ2" s="1"/>
      <c r="CK2" s="49"/>
      <c r="CL2" s="1"/>
      <c r="CM2" s="1"/>
      <c r="CN2" s="1"/>
      <c r="CO2" s="1">
        <v>41942</v>
      </c>
      <c r="CP2" s="49"/>
      <c r="CQ2" s="1">
        <v>41942</v>
      </c>
      <c r="CR2" s="49">
        <v>0.18</v>
      </c>
      <c r="CS2" s="1">
        <v>7549.56</v>
      </c>
      <c r="CT2" s="1">
        <v>49491.56</v>
      </c>
      <c r="CU2" s="48">
        <v>100</v>
      </c>
      <c r="CV2" s="48" t="s">
        <v>225</v>
      </c>
      <c r="CW2" s="48">
        <v>4949156</v>
      </c>
      <c r="CX2" s="1">
        <v>500</v>
      </c>
      <c r="CY2" s="10" t="s">
        <v>226</v>
      </c>
      <c r="CZ2" s="10" t="s">
        <v>227</v>
      </c>
    </row>
    <row r="3" spans="1:104" s="10" customFormat="1" ht="18" customHeight="1" x14ac:dyDescent="0.25">
      <c r="A3" s="6" t="s">
        <v>220</v>
      </c>
      <c r="B3" s="52"/>
      <c r="C3" s="1" t="s">
        <v>228</v>
      </c>
      <c r="D3" s="1" t="s">
        <v>229</v>
      </c>
      <c r="E3" s="1" t="s">
        <v>223</v>
      </c>
      <c r="F3" s="47" t="s">
        <v>57</v>
      </c>
      <c r="G3" s="47"/>
      <c r="H3" s="47">
        <v>75</v>
      </c>
      <c r="I3" s="47"/>
      <c r="J3" s="42" t="s">
        <v>41</v>
      </c>
      <c r="K3" s="42"/>
      <c r="L3" s="42">
        <v>1499</v>
      </c>
      <c r="M3" s="42"/>
      <c r="N3" s="41"/>
      <c r="O3" s="41"/>
      <c r="P3" s="41">
        <v>0</v>
      </c>
      <c r="Q3" s="41"/>
      <c r="R3" s="45" t="s">
        <v>224</v>
      </c>
      <c r="S3" s="45"/>
      <c r="T3" s="45">
        <v>276</v>
      </c>
      <c r="U3" s="45"/>
      <c r="V3" s="44" t="s">
        <v>51</v>
      </c>
      <c r="W3" s="44"/>
      <c r="X3" s="44">
        <v>663</v>
      </c>
      <c r="Y3" s="44"/>
      <c r="Z3" s="1"/>
      <c r="AA3" s="1"/>
      <c r="AB3" s="1">
        <v>0</v>
      </c>
      <c r="AC3" s="1"/>
      <c r="AD3" s="43" t="s">
        <v>48</v>
      </c>
      <c r="AE3" s="43"/>
      <c r="AF3" s="43">
        <v>237</v>
      </c>
      <c r="AG3" s="43"/>
      <c r="AH3" s="44" t="s">
        <v>49</v>
      </c>
      <c r="AI3" s="44"/>
      <c r="AJ3" s="44">
        <v>975</v>
      </c>
      <c r="AK3" s="44"/>
      <c r="AL3" s="1" t="s">
        <v>48</v>
      </c>
      <c r="AM3" s="1"/>
      <c r="AN3" s="1">
        <v>755</v>
      </c>
      <c r="AO3" s="1"/>
      <c r="AP3" s="46" t="s">
        <v>11</v>
      </c>
      <c r="AQ3" s="46"/>
      <c r="AR3" s="46">
        <v>914</v>
      </c>
      <c r="AS3" s="46"/>
      <c r="AT3" s="1"/>
      <c r="AU3" s="1"/>
      <c r="AV3" s="1">
        <v>0</v>
      </c>
      <c r="AW3" s="1"/>
      <c r="AX3" s="1"/>
      <c r="AY3" s="1"/>
      <c r="AZ3" s="1">
        <v>92</v>
      </c>
      <c r="BA3" s="1"/>
      <c r="BB3" s="1"/>
      <c r="BC3" s="1"/>
      <c r="BD3" s="1">
        <v>0</v>
      </c>
      <c r="BE3" s="1"/>
      <c r="BF3" s="1"/>
      <c r="BG3" s="1"/>
      <c r="BH3" s="1">
        <v>0</v>
      </c>
      <c r="BI3" s="1"/>
      <c r="BJ3" s="1"/>
      <c r="BK3" s="1"/>
      <c r="BL3" s="1">
        <v>72</v>
      </c>
      <c r="BM3" s="59"/>
      <c r="BN3" s="1"/>
      <c r="BO3" s="1"/>
      <c r="BP3" s="1">
        <v>0</v>
      </c>
      <c r="BQ3" s="1"/>
      <c r="BR3" s="1" t="s">
        <v>18</v>
      </c>
      <c r="BS3" s="1"/>
      <c r="BT3" s="1">
        <v>0</v>
      </c>
      <c r="BU3" s="1"/>
      <c r="BV3" s="1"/>
      <c r="BW3" s="1"/>
      <c r="BX3" s="1">
        <v>0</v>
      </c>
      <c r="BY3" s="1"/>
      <c r="BZ3" s="1">
        <v>43820</v>
      </c>
      <c r="CA3" s="1">
        <v>43820</v>
      </c>
      <c r="CB3" s="49"/>
      <c r="CC3" s="1"/>
      <c r="CD3" s="49"/>
      <c r="CE3" s="1"/>
      <c r="CF3" s="49"/>
      <c r="CG3" s="1"/>
      <c r="CH3" s="1">
        <v>43820</v>
      </c>
      <c r="CI3" s="49"/>
      <c r="CJ3" s="1"/>
      <c r="CK3" s="49"/>
      <c r="CL3" s="1"/>
      <c r="CM3" s="1"/>
      <c r="CN3" s="1"/>
      <c r="CO3" s="1">
        <v>43820</v>
      </c>
      <c r="CP3" s="49"/>
      <c r="CQ3" s="1">
        <v>43820</v>
      </c>
      <c r="CR3" s="49">
        <v>0.18</v>
      </c>
      <c r="CS3" s="1">
        <v>7887.6</v>
      </c>
      <c r="CT3" s="1">
        <v>51707.6</v>
      </c>
      <c r="CU3" s="48">
        <v>600</v>
      </c>
      <c r="CV3" s="48" t="s">
        <v>225</v>
      </c>
      <c r="CW3" s="48">
        <v>31024560</v>
      </c>
      <c r="CX3" s="1">
        <v>250</v>
      </c>
      <c r="CY3" s="10" t="s">
        <v>230</v>
      </c>
      <c r="CZ3" s="10" t="s">
        <v>231</v>
      </c>
    </row>
    <row r="4" spans="1:104" s="10" customFormat="1" ht="18" customHeight="1" x14ac:dyDescent="0.25">
      <c r="A4" s="6"/>
      <c r="B4" s="52"/>
      <c r="C4" s="1"/>
      <c r="D4" s="1"/>
      <c r="E4" s="1"/>
      <c r="F4" s="47"/>
      <c r="G4" s="47"/>
      <c r="H4" s="47"/>
      <c r="I4" s="47"/>
      <c r="J4" s="42"/>
      <c r="K4" s="42"/>
      <c r="L4" s="42"/>
      <c r="M4" s="42"/>
      <c r="N4" s="41"/>
      <c r="O4" s="41"/>
      <c r="P4" s="41"/>
      <c r="Q4" s="41"/>
      <c r="R4" s="45"/>
      <c r="S4" s="45"/>
      <c r="T4" s="45"/>
      <c r="U4" s="45"/>
      <c r="V4" s="44"/>
      <c r="W4" s="44"/>
      <c r="X4" s="44"/>
      <c r="Y4" s="44"/>
      <c r="Z4" s="1"/>
      <c r="AA4" s="1"/>
      <c r="AB4" s="1"/>
      <c r="AC4" s="1"/>
      <c r="AD4" s="43"/>
      <c r="AE4" s="43"/>
      <c r="AF4" s="43"/>
      <c r="AG4" s="43"/>
      <c r="AH4" s="44"/>
      <c r="AI4" s="44"/>
      <c r="AJ4" s="44"/>
      <c r="AK4" s="44"/>
      <c r="AL4" s="1"/>
      <c r="AM4" s="1"/>
      <c r="AN4" s="1"/>
      <c r="AO4" s="1"/>
      <c r="AP4" s="46"/>
      <c r="AQ4" s="46"/>
      <c r="AR4" s="46"/>
      <c r="AS4" s="46"/>
      <c r="AT4" s="1"/>
      <c r="AU4" s="1"/>
      <c r="AV4" s="1"/>
      <c r="AW4" s="1"/>
      <c r="AX4" s="1"/>
      <c r="AY4" s="1"/>
      <c r="AZ4" s="1"/>
      <c r="BA4" s="1"/>
      <c r="BB4" s="1"/>
      <c r="BC4" s="1"/>
      <c r="BD4" s="1"/>
      <c r="BE4" s="1"/>
      <c r="BF4" s="1"/>
      <c r="BG4" s="1"/>
      <c r="BH4" s="1"/>
      <c r="BI4" s="1"/>
      <c r="BJ4" s="1"/>
      <c r="BK4" s="1"/>
      <c r="BL4" s="1"/>
      <c r="BM4" s="59"/>
      <c r="BN4" s="1"/>
      <c r="BO4" s="1"/>
      <c r="BP4" s="1"/>
      <c r="BQ4" s="1"/>
      <c r="BR4" s="1"/>
      <c r="BS4" s="1"/>
      <c r="BT4" s="1"/>
      <c r="BU4" s="1"/>
      <c r="BV4" s="1"/>
      <c r="BW4" s="1"/>
      <c r="BX4" s="1"/>
      <c r="BY4" s="1"/>
      <c r="BZ4" s="1"/>
      <c r="CA4" s="1"/>
      <c r="CB4" s="49"/>
      <c r="CC4" s="1"/>
      <c r="CD4" s="49"/>
      <c r="CE4" s="1"/>
      <c r="CF4" s="49"/>
      <c r="CG4" s="1"/>
      <c r="CH4" s="1"/>
      <c r="CI4" s="49"/>
      <c r="CJ4" s="1"/>
      <c r="CK4" s="49"/>
      <c r="CL4" s="1"/>
      <c r="CM4" s="1"/>
      <c r="CN4" s="1"/>
      <c r="CO4" s="1"/>
      <c r="CP4" s="49"/>
      <c r="CQ4" s="1"/>
      <c r="CR4" s="49"/>
      <c r="CS4" s="1"/>
      <c r="CT4" s="1"/>
      <c r="CU4" s="48"/>
      <c r="CV4" s="48"/>
      <c r="CW4" s="48"/>
      <c r="CX4" s="1"/>
    </row>
    <row r="5" spans="1:104" s="10" customFormat="1" ht="18" customHeight="1" x14ac:dyDescent="0.25">
      <c r="A5" s="6"/>
      <c r="B5" s="52"/>
      <c r="C5" s="1"/>
      <c r="D5" s="1"/>
      <c r="E5" s="1"/>
      <c r="F5" s="47"/>
      <c r="G5" s="47"/>
      <c r="H5" s="47"/>
      <c r="I5" s="47"/>
      <c r="J5" s="42"/>
      <c r="K5" s="42"/>
      <c r="L5" s="42"/>
      <c r="M5" s="42"/>
      <c r="N5" s="41"/>
      <c r="O5" s="41"/>
      <c r="P5" s="41"/>
      <c r="Q5" s="41"/>
      <c r="R5" s="45"/>
      <c r="S5" s="45"/>
      <c r="T5" s="45"/>
      <c r="U5" s="45"/>
      <c r="V5" s="44"/>
      <c r="W5" s="44"/>
      <c r="X5" s="44"/>
      <c r="Y5" s="44"/>
      <c r="Z5" s="1"/>
      <c r="AA5" s="1"/>
      <c r="AB5" s="1"/>
      <c r="AC5" s="1"/>
      <c r="AD5" s="43"/>
      <c r="AE5" s="43"/>
      <c r="AF5" s="43"/>
      <c r="AG5" s="43"/>
      <c r="AH5" s="44"/>
      <c r="AI5" s="44"/>
      <c r="AJ5" s="44"/>
      <c r="AK5" s="44"/>
      <c r="AL5" s="1"/>
      <c r="AM5" s="1"/>
      <c r="AN5" s="1"/>
      <c r="AO5" s="1"/>
      <c r="AP5" s="46"/>
      <c r="AQ5" s="46"/>
      <c r="AR5" s="46"/>
      <c r="AS5" s="46"/>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49"/>
      <c r="CC5" s="1"/>
      <c r="CD5" s="49"/>
      <c r="CE5" s="1"/>
      <c r="CF5" s="49"/>
      <c r="CG5" s="1"/>
      <c r="CH5" s="1"/>
      <c r="CI5" s="49"/>
      <c r="CJ5" s="1"/>
      <c r="CK5" s="49"/>
      <c r="CL5" s="1"/>
      <c r="CM5" s="1"/>
      <c r="CN5" s="1"/>
      <c r="CO5" s="1"/>
      <c r="CP5" s="49"/>
      <c r="CQ5" s="1"/>
      <c r="CR5" s="1"/>
      <c r="CS5" s="1"/>
      <c r="CT5" s="1"/>
      <c r="CU5" s="48"/>
      <c r="CV5" s="48"/>
      <c r="CW5" s="48"/>
      <c r="CX5" s="1"/>
    </row>
    <row r="6" spans="1:104" s="10" customFormat="1" ht="18" customHeight="1" x14ac:dyDescent="0.25">
      <c r="A6" s="6"/>
      <c r="B6" s="52"/>
      <c r="C6" s="1"/>
      <c r="D6" s="1"/>
      <c r="E6" s="1"/>
      <c r="F6" s="47"/>
      <c r="G6" s="47"/>
      <c r="H6" s="47"/>
      <c r="I6" s="47"/>
      <c r="J6" s="42"/>
      <c r="K6" s="42"/>
      <c r="L6" s="42"/>
      <c r="M6" s="42"/>
      <c r="N6" s="41"/>
      <c r="O6" s="41"/>
      <c r="P6" s="41"/>
      <c r="Q6" s="41"/>
      <c r="R6" s="45"/>
      <c r="S6" s="45"/>
      <c r="T6" s="45"/>
      <c r="U6" s="45"/>
      <c r="V6" s="44"/>
      <c r="W6" s="44"/>
      <c r="X6" s="44"/>
      <c r="Y6" s="44"/>
      <c r="Z6" s="1"/>
      <c r="AA6" s="1"/>
      <c r="AB6" s="1"/>
      <c r="AC6" s="1"/>
      <c r="AD6" s="43"/>
      <c r="AE6" s="43"/>
      <c r="AF6" s="43"/>
      <c r="AG6" s="43"/>
      <c r="AH6" s="44"/>
      <c r="AI6" s="44"/>
      <c r="AJ6" s="44"/>
      <c r="AK6" s="44"/>
      <c r="AL6" s="1"/>
      <c r="AM6" s="1"/>
      <c r="AN6" s="1"/>
      <c r="AO6" s="1"/>
      <c r="AP6" s="46"/>
      <c r="AQ6" s="46"/>
      <c r="AR6" s="46"/>
      <c r="AS6" s="46"/>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49"/>
      <c r="CC6" s="1"/>
      <c r="CD6" s="49"/>
      <c r="CE6" s="1"/>
      <c r="CF6" s="49"/>
      <c r="CG6" s="1"/>
      <c r="CH6" s="1"/>
      <c r="CI6" s="49"/>
      <c r="CJ6" s="1"/>
      <c r="CK6" s="49"/>
      <c r="CL6" s="1"/>
      <c r="CM6" s="1"/>
      <c r="CN6" s="1"/>
      <c r="CO6" s="1"/>
      <c r="CP6" s="49"/>
      <c r="CQ6" s="1"/>
      <c r="CR6" s="1"/>
      <c r="CS6" s="1"/>
      <c r="CT6" s="1"/>
      <c r="CU6" s="48"/>
      <c r="CV6" s="48"/>
      <c r="CW6" s="48"/>
      <c r="CX6" s="1"/>
    </row>
    <row r="7" spans="1:104" s="10" customFormat="1" ht="18" customHeight="1" x14ac:dyDescent="0.25">
      <c r="A7" s="6"/>
      <c r="B7" s="52"/>
      <c r="C7" s="1"/>
      <c r="D7" s="1"/>
      <c r="E7" s="1"/>
      <c r="F7" s="47"/>
      <c r="G7" s="47"/>
      <c r="H7" s="47"/>
      <c r="I7" s="47"/>
      <c r="J7" s="42"/>
      <c r="K7" s="42"/>
      <c r="L7" s="42"/>
      <c r="M7" s="42"/>
      <c r="N7" s="41"/>
      <c r="O7" s="41"/>
      <c r="P7" s="41"/>
      <c r="Q7" s="41"/>
      <c r="R7" s="45"/>
      <c r="S7" s="45"/>
      <c r="T7" s="45"/>
      <c r="U7" s="45"/>
      <c r="V7" s="44"/>
      <c r="W7" s="44"/>
      <c r="X7" s="44"/>
      <c r="Y7" s="44"/>
      <c r="Z7" s="1"/>
      <c r="AA7" s="1"/>
      <c r="AB7" s="1"/>
      <c r="AC7" s="1"/>
      <c r="AD7" s="43"/>
      <c r="AE7" s="43"/>
      <c r="AF7" s="43"/>
      <c r="AG7" s="43"/>
      <c r="AH7" s="44"/>
      <c r="AI7" s="44"/>
      <c r="AJ7" s="44"/>
      <c r="AK7" s="44"/>
      <c r="AL7" s="1"/>
      <c r="AM7" s="1"/>
      <c r="AN7" s="1"/>
      <c r="AO7" s="1"/>
      <c r="AP7" s="46"/>
      <c r="AQ7" s="46"/>
      <c r="AR7" s="46"/>
      <c r="AS7" s="46"/>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49"/>
      <c r="CC7" s="1"/>
      <c r="CD7" s="49"/>
      <c r="CE7" s="1"/>
      <c r="CF7" s="49"/>
      <c r="CG7" s="1"/>
      <c r="CH7" s="1"/>
      <c r="CI7" s="49"/>
      <c r="CJ7" s="1"/>
      <c r="CK7" s="49"/>
      <c r="CL7" s="1"/>
      <c r="CM7" s="1"/>
      <c r="CN7" s="1"/>
      <c r="CO7" s="1"/>
      <c r="CP7" s="49"/>
      <c r="CQ7" s="1"/>
      <c r="CR7" s="1"/>
      <c r="CS7" s="1"/>
      <c r="CT7" s="1"/>
      <c r="CU7" s="48"/>
      <c r="CV7" s="48"/>
      <c r="CW7" s="48"/>
      <c r="CX7" s="1"/>
    </row>
    <row r="8" spans="1:104" s="10" customFormat="1" ht="18" customHeight="1" x14ac:dyDescent="0.25">
      <c r="A8" s="6"/>
      <c r="B8" s="52"/>
      <c r="C8" s="1"/>
      <c r="D8" s="1"/>
      <c r="E8" s="1"/>
      <c r="F8" s="47"/>
      <c r="G8" s="47"/>
      <c r="H8" s="47"/>
      <c r="I8" s="47"/>
      <c r="J8" s="42"/>
      <c r="K8" s="42"/>
      <c r="L8" s="42"/>
      <c r="M8" s="42"/>
      <c r="N8" s="41"/>
      <c r="O8" s="41"/>
      <c r="P8" s="41"/>
      <c r="Q8" s="41"/>
      <c r="R8" s="45"/>
      <c r="S8" s="45"/>
      <c r="T8" s="45"/>
      <c r="U8" s="45"/>
      <c r="V8" s="44"/>
      <c r="W8" s="44"/>
      <c r="X8" s="44"/>
      <c r="Y8" s="44"/>
      <c r="Z8" s="1"/>
      <c r="AA8" s="1"/>
      <c r="AB8" s="1"/>
      <c r="AC8" s="1"/>
      <c r="AD8" s="43"/>
      <c r="AE8" s="43"/>
      <c r="AF8" s="43"/>
      <c r="AG8" s="43"/>
      <c r="AH8" s="44"/>
      <c r="AI8" s="44"/>
      <c r="AJ8" s="44"/>
      <c r="AK8" s="44"/>
      <c r="AL8" s="1"/>
      <c r="AM8" s="1"/>
      <c r="AN8" s="1"/>
      <c r="AO8" s="1"/>
      <c r="AP8" s="46"/>
      <c r="AQ8" s="46"/>
      <c r="AR8" s="46"/>
      <c r="AS8" s="46"/>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49"/>
      <c r="CC8" s="1"/>
      <c r="CD8" s="49"/>
      <c r="CE8" s="1"/>
      <c r="CF8" s="49"/>
      <c r="CG8" s="1"/>
      <c r="CH8" s="1"/>
      <c r="CI8" s="49"/>
      <c r="CJ8" s="1"/>
      <c r="CK8" s="49"/>
      <c r="CL8" s="1"/>
      <c r="CM8" s="1"/>
      <c r="CN8" s="1"/>
      <c r="CO8" s="1"/>
      <c r="CP8" s="49"/>
      <c r="CQ8" s="1"/>
      <c r="CR8" s="1"/>
      <c r="CS8" s="1"/>
      <c r="CT8" s="1"/>
      <c r="CU8" s="48"/>
      <c r="CV8" s="48"/>
      <c r="CW8" s="48"/>
      <c r="CX8" s="1"/>
    </row>
    <row r="9" spans="1:104" s="10" customFormat="1" ht="18" customHeight="1" x14ac:dyDescent="0.25">
      <c r="A9" s="6"/>
      <c r="B9" s="52"/>
      <c r="C9" s="1"/>
      <c r="D9" s="1"/>
      <c r="E9" s="1"/>
      <c r="F9" s="47"/>
      <c r="G9" s="47"/>
      <c r="H9" s="47"/>
      <c r="I9" s="47"/>
      <c r="J9" s="42"/>
      <c r="K9" s="42"/>
      <c r="L9" s="42"/>
      <c r="M9" s="42"/>
      <c r="N9" s="41"/>
      <c r="O9" s="41"/>
      <c r="P9" s="41"/>
      <c r="Q9" s="41"/>
      <c r="R9" s="45"/>
      <c r="S9" s="45"/>
      <c r="T9" s="45"/>
      <c r="U9" s="45"/>
      <c r="V9" s="44"/>
      <c r="W9" s="44"/>
      <c r="X9" s="44"/>
      <c r="Y9" s="44"/>
      <c r="Z9" s="1"/>
      <c r="AA9" s="1"/>
      <c r="AB9" s="1"/>
      <c r="AC9" s="1"/>
      <c r="AD9" s="43"/>
      <c r="AE9" s="43"/>
      <c r="AF9" s="43"/>
      <c r="AG9" s="43"/>
      <c r="AH9" s="44"/>
      <c r="AI9" s="44"/>
      <c r="AJ9" s="44"/>
      <c r="AK9" s="44"/>
      <c r="AL9" s="1"/>
      <c r="AM9" s="1"/>
      <c r="AN9" s="1"/>
      <c r="AO9" s="1"/>
      <c r="AP9" s="46"/>
      <c r="AQ9" s="46"/>
      <c r="AR9" s="46"/>
      <c r="AS9" s="46"/>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49"/>
      <c r="CC9" s="1"/>
      <c r="CD9" s="49"/>
      <c r="CE9" s="1"/>
      <c r="CF9" s="49"/>
      <c r="CG9" s="1"/>
      <c r="CH9" s="1"/>
      <c r="CI9" s="49"/>
      <c r="CJ9" s="1"/>
      <c r="CK9" s="49"/>
      <c r="CL9" s="1"/>
      <c r="CM9" s="1"/>
      <c r="CN9" s="1"/>
      <c r="CO9" s="1"/>
      <c r="CP9" s="49"/>
      <c r="CQ9" s="1"/>
      <c r="CR9" s="1"/>
      <c r="CS9" s="1"/>
      <c r="CT9" s="1"/>
      <c r="CU9" s="48"/>
      <c r="CV9" s="48"/>
      <c r="CW9" s="48"/>
      <c r="CX9" s="1"/>
    </row>
    <row r="10" spans="1:104" s="10" customFormat="1" ht="18" customHeight="1" x14ac:dyDescent="0.25">
      <c r="A10" s="6"/>
      <c r="B10" s="52"/>
      <c r="C10" s="1"/>
      <c r="D10" s="1"/>
      <c r="E10" s="1"/>
      <c r="F10" s="47"/>
      <c r="G10" s="47"/>
      <c r="H10" s="47"/>
      <c r="I10" s="47"/>
      <c r="J10" s="42"/>
      <c r="K10" s="42"/>
      <c r="L10" s="42"/>
      <c r="M10" s="42"/>
      <c r="N10" s="41"/>
      <c r="O10" s="41"/>
      <c r="P10" s="41"/>
      <c r="Q10" s="41"/>
      <c r="R10" s="45"/>
      <c r="S10" s="45"/>
      <c r="T10" s="45"/>
      <c r="U10" s="45"/>
      <c r="V10" s="44"/>
      <c r="W10" s="44"/>
      <c r="X10" s="44"/>
      <c r="Y10" s="44"/>
      <c r="Z10" s="1"/>
      <c r="AA10" s="1"/>
      <c r="AB10" s="1"/>
      <c r="AC10" s="1"/>
      <c r="AD10" s="43"/>
      <c r="AE10" s="43"/>
      <c r="AF10" s="43"/>
      <c r="AG10" s="43"/>
      <c r="AH10" s="44"/>
      <c r="AI10" s="44"/>
      <c r="AJ10" s="44"/>
      <c r="AK10" s="44"/>
      <c r="AL10" s="1"/>
      <c r="AM10" s="1"/>
      <c r="AN10" s="1"/>
      <c r="AO10" s="1"/>
      <c r="AP10" s="46"/>
      <c r="AQ10" s="46"/>
      <c r="AR10" s="46"/>
      <c r="AS10" s="46"/>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49"/>
      <c r="CC10" s="1"/>
      <c r="CD10" s="49"/>
      <c r="CE10" s="1"/>
      <c r="CF10" s="49"/>
      <c r="CG10" s="1"/>
      <c r="CH10" s="1"/>
      <c r="CI10" s="49"/>
      <c r="CJ10" s="1"/>
      <c r="CK10" s="49"/>
      <c r="CL10" s="1"/>
      <c r="CM10" s="1"/>
      <c r="CN10" s="1"/>
      <c r="CO10" s="1"/>
      <c r="CP10" s="49"/>
      <c r="CQ10" s="1"/>
      <c r="CR10" s="1"/>
      <c r="CS10" s="1"/>
      <c r="CT10" s="1"/>
      <c r="CU10" s="48"/>
      <c r="CV10" s="48"/>
      <c r="CW10" s="48"/>
      <c r="CX10" s="1"/>
    </row>
    <row r="11" spans="1:104" s="10" customFormat="1" ht="18" customHeight="1" x14ac:dyDescent="0.25">
      <c r="A11" s="6"/>
      <c r="B11" s="52"/>
      <c r="C11" s="1"/>
      <c r="D11" s="1"/>
      <c r="E11" s="1"/>
      <c r="F11" s="47"/>
      <c r="G11" s="47"/>
      <c r="H11" s="47"/>
      <c r="I11" s="47"/>
      <c r="J11" s="42"/>
      <c r="K11" s="42"/>
      <c r="L11" s="42"/>
      <c r="M11" s="42"/>
      <c r="N11" s="41"/>
      <c r="O11" s="41"/>
      <c r="P11" s="41"/>
      <c r="Q11" s="41"/>
      <c r="R11" s="45"/>
      <c r="S11" s="45"/>
      <c r="T11" s="45"/>
      <c r="U11" s="45"/>
      <c r="V11" s="44"/>
      <c r="W11" s="44"/>
      <c r="X11" s="44"/>
      <c r="Y11" s="44"/>
      <c r="Z11" s="1"/>
      <c r="AA11" s="1"/>
      <c r="AB11" s="1"/>
      <c r="AC11" s="1"/>
      <c r="AD11" s="43"/>
      <c r="AE11" s="43"/>
      <c r="AF11" s="43"/>
      <c r="AG11" s="43"/>
      <c r="AH11" s="44"/>
      <c r="AI11" s="44"/>
      <c r="AJ11" s="44"/>
      <c r="AK11" s="44"/>
      <c r="AL11" s="1"/>
      <c r="AM11" s="1"/>
      <c r="AN11" s="1"/>
      <c r="AO11" s="1"/>
      <c r="AP11" s="46"/>
      <c r="AQ11" s="46"/>
      <c r="AR11" s="46"/>
      <c r="AS11" s="46"/>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49"/>
      <c r="CC11" s="1"/>
      <c r="CD11" s="49"/>
      <c r="CE11" s="1"/>
      <c r="CF11" s="49"/>
      <c r="CG11" s="1"/>
      <c r="CH11" s="1"/>
      <c r="CI11" s="49"/>
      <c r="CJ11" s="1"/>
      <c r="CK11" s="49"/>
      <c r="CL11" s="1"/>
      <c r="CM11" s="1"/>
      <c r="CN11" s="1"/>
      <c r="CO11" s="1"/>
      <c r="CP11" s="49"/>
      <c r="CQ11" s="1"/>
      <c r="CR11" s="1"/>
      <c r="CS11" s="1"/>
      <c r="CT11" s="1"/>
      <c r="CU11" s="48"/>
      <c r="CV11" s="48"/>
      <c r="CW11" s="48"/>
      <c r="CX11" s="1"/>
    </row>
    <row r="12" spans="1:104" s="10" customFormat="1" ht="18" customHeight="1" x14ac:dyDescent="0.25">
      <c r="A12" s="6"/>
      <c r="B12" s="52"/>
      <c r="C12" s="1"/>
      <c r="D12" s="1"/>
      <c r="E12" s="1"/>
      <c r="F12" s="47"/>
      <c r="G12" s="47"/>
      <c r="H12" s="47"/>
      <c r="I12" s="47"/>
      <c r="J12" s="42"/>
      <c r="K12" s="42"/>
      <c r="L12" s="42"/>
      <c r="M12" s="42"/>
      <c r="N12" s="41"/>
      <c r="O12" s="41"/>
      <c r="P12" s="41"/>
      <c r="Q12" s="41"/>
      <c r="R12" s="45"/>
      <c r="S12" s="45"/>
      <c r="T12" s="45"/>
      <c r="U12" s="45"/>
      <c r="V12" s="44"/>
      <c r="W12" s="44"/>
      <c r="X12" s="44"/>
      <c r="Y12" s="44"/>
      <c r="Z12" s="1"/>
      <c r="AA12" s="1"/>
      <c r="AB12" s="1"/>
      <c r="AC12" s="1"/>
      <c r="AD12" s="43"/>
      <c r="AE12" s="43"/>
      <c r="AF12" s="43"/>
      <c r="AG12" s="43"/>
      <c r="AH12" s="44"/>
      <c r="AI12" s="44"/>
      <c r="AJ12" s="44"/>
      <c r="AK12" s="44"/>
      <c r="AL12" s="1"/>
      <c r="AM12" s="1"/>
      <c r="AN12" s="1"/>
      <c r="AO12" s="1"/>
      <c r="AP12" s="46"/>
      <c r="AQ12" s="46"/>
      <c r="AR12" s="46"/>
      <c r="AS12" s="46"/>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49"/>
      <c r="CC12" s="1"/>
      <c r="CD12" s="49"/>
      <c r="CE12" s="1"/>
      <c r="CF12" s="49"/>
      <c r="CG12" s="1"/>
      <c r="CH12" s="1"/>
      <c r="CI12" s="49"/>
      <c r="CJ12" s="1"/>
      <c r="CK12" s="49"/>
      <c r="CL12" s="1"/>
      <c r="CM12" s="1"/>
      <c r="CN12" s="1"/>
      <c r="CO12" s="1"/>
      <c r="CP12" s="49"/>
      <c r="CQ12" s="1"/>
      <c r="CR12" s="1"/>
      <c r="CS12" s="1"/>
      <c r="CT12" s="1"/>
      <c r="CU12" s="48"/>
      <c r="CV12" s="48"/>
      <c r="CW12" s="48"/>
      <c r="CX12" s="1"/>
    </row>
    <row r="13" spans="1:104" s="10" customFormat="1" ht="18" customHeight="1" x14ac:dyDescent="0.25">
      <c r="A13" s="6"/>
      <c r="B13" s="52"/>
      <c r="C13" s="1"/>
      <c r="D13" s="1"/>
      <c r="E13" s="1"/>
      <c r="F13" s="47"/>
      <c r="G13" s="47"/>
      <c r="H13" s="47"/>
      <c r="I13" s="47"/>
      <c r="J13" s="42"/>
      <c r="K13" s="42"/>
      <c r="L13" s="42"/>
      <c r="M13" s="42"/>
      <c r="N13" s="41"/>
      <c r="O13" s="41"/>
      <c r="P13" s="41"/>
      <c r="Q13" s="41"/>
      <c r="R13" s="45"/>
      <c r="S13" s="45"/>
      <c r="T13" s="45"/>
      <c r="U13" s="45"/>
      <c r="V13" s="44"/>
      <c r="W13" s="44"/>
      <c r="X13" s="44"/>
      <c r="Y13" s="44"/>
      <c r="Z13" s="1"/>
      <c r="AA13" s="1"/>
      <c r="AB13" s="1"/>
      <c r="AC13" s="1"/>
      <c r="AD13" s="43"/>
      <c r="AE13" s="43"/>
      <c r="AF13" s="43"/>
      <c r="AG13" s="43"/>
      <c r="AH13" s="44"/>
      <c r="AI13" s="44"/>
      <c r="AJ13" s="44"/>
      <c r="AK13" s="44"/>
      <c r="AL13" s="1"/>
      <c r="AM13" s="1"/>
      <c r="AN13" s="1"/>
      <c r="AO13" s="1"/>
      <c r="AP13" s="46"/>
      <c r="AQ13" s="46"/>
      <c r="AR13" s="46"/>
      <c r="AS13" s="46"/>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49"/>
      <c r="CC13" s="1"/>
      <c r="CD13" s="49"/>
      <c r="CE13" s="1"/>
      <c r="CF13" s="49"/>
      <c r="CG13" s="1"/>
      <c r="CH13" s="1"/>
      <c r="CI13" s="49"/>
      <c r="CJ13" s="1"/>
      <c r="CK13" s="49"/>
      <c r="CL13" s="1"/>
      <c r="CM13" s="1"/>
      <c r="CN13" s="1"/>
      <c r="CO13" s="1"/>
      <c r="CP13" s="49"/>
      <c r="CQ13" s="1"/>
      <c r="CR13" s="1"/>
      <c r="CS13" s="1"/>
      <c r="CT13" s="1"/>
      <c r="CU13" s="48"/>
      <c r="CV13" s="48"/>
      <c r="CW13" s="48"/>
      <c r="CX13" s="1"/>
    </row>
    <row r="14" spans="1:104" s="10" customFormat="1" ht="18" customHeight="1" x14ac:dyDescent="0.25">
      <c r="A14" s="6"/>
      <c r="B14" s="6"/>
      <c r="C14" s="1"/>
      <c r="D14" s="1"/>
      <c r="E14" s="1"/>
      <c r="F14" s="47"/>
      <c r="G14" s="47"/>
      <c r="H14" s="47"/>
      <c r="I14" s="47"/>
      <c r="J14" s="42"/>
      <c r="K14" s="42"/>
      <c r="L14" s="42"/>
      <c r="M14" s="42"/>
      <c r="N14" s="41"/>
      <c r="O14" s="41"/>
      <c r="P14" s="41"/>
      <c r="Q14" s="41"/>
      <c r="R14" s="45"/>
      <c r="S14" s="45"/>
      <c r="T14" s="45"/>
      <c r="U14" s="45"/>
      <c r="V14" s="44"/>
      <c r="W14" s="44"/>
      <c r="X14" s="44"/>
      <c r="Y14" s="44"/>
      <c r="Z14" s="1"/>
      <c r="AA14" s="1"/>
      <c r="AB14" s="1"/>
      <c r="AC14" s="1"/>
      <c r="AD14" s="43"/>
      <c r="AE14" s="43"/>
      <c r="AF14" s="43"/>
      <c r="AG14" s="43"/>
      <c r="AH14" s="44"/>
      <c r="AI14" s="44"/>
      <c r="AJ14" s="44"/>
      <c r="AK14" s="44"/>
      <c r="AL14" s="1"/>
      <c r="AM14" s="1"/>
      <c r="AN14" s="1"/>
      <c r="AO14" s="1"/>
      <c r="AP14" s="46"/>
      <c r="AQ14" s="46"/>
      <c r="AR14" s="46"/>
      <c r="AS14" s="46"/>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48"/>
      <c r="CW14" s="48"/>
      <c r="CX14" s="1"/>
    </row>
    <row r="15" spans="1:104" s="10" customFormat="1" ht="18" customHeight="1" x14ac:dyDescent="0.25">
      <c r="A15" s="6"/>
      <c r="B15" s="6"/>
      <c r="C15" s="1"/>
      <c r="D15" s="1"/>
      <c r="E15" s="1"/>
      <c r="F15" s="47"/>
      <c r="G15" s="47"/>
      <c r="H15" s="47"/>
      <c r="I15" s="47"/>
      <c r="J15" s="42"/>
      <c r="K15" s="42"/>
      <c r="L15" s="42"/>
      <c r="M15" s="42"/>
      <c r="N15" s="41"/>
      <c r="O15" s="41"/>
      <c r="P15" s="41"/>
      <c r="Q15" s="41"/>
      <c r="R15" s="45"/>
      <c r="S15" s="45"/>
      <c r="T15" s="45"/>
      <c r="U15" s="45"/>
      <c r="V15" s="44"/>
      <c r="W15" s="44"/>
      <c r="X15" s="44"/>
      <c r="Y15" s="44"/>
      <c r="Z15" s="1"/>
      <c r="AA15" s="1"/>
      <c r="AB15" s="1"/>
      <c r="AC15" s="1"/>
      <c r="AD15" s="43"/>
      <c r="AE15" s="43"/>
      <c r="AF15" s="43"/>
      <c r="AG15" s="43"/>
      <c r="AH15" s="44"/>
      <c r="AI15" s="44"/>
      <c r="AJ15" s="44"/>
      <c r="AK15" s="44"/>
      <c r="AL15" s="1"/>
      <c r="AM15" s="1"/>
      <c r="AN15" s="1"/>
      <c r="AO15" s="1"/>
      <c r="AP15" s="46"/>
      <c r="AQ15" s="46"/>
      <c r="AR15" s="46"/>
      <c r="AS15" s="46"/>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48"/>
      <c r="CW15" s="48"/>
      <c r="CX15" s="1"/>
    </row>
    <row r="16" spans="1:104" s="10" customFormat="1" ht="18" customHeight="1" x14ac:dyDescent="0.25">
      <c r="A16" s="6"/>
      <c r="B16" s="6"/>
      <c r="C16" s="1"/>
      <c r="D16" s="1"/>
      <c r="E16" s="1"/>
      <c r="F16" s="47"/>
      <c r="G16" s="47"/>
      <c r="H16" s="47"/>
      <c r="I16" s="47"/>
      <c r="J16" s="42"/>
      <c r="K16" s="42"/>
      <c r="L16" s="42"/>
      <c r="M16" s="42"/>
      <c r="N16" s="41"/>
      <c r="O16" s="41"/>
      <c r="P16" s="41"/>
      <c r="Q16" s="41"/>
      <c r="R16" s="45"/>
      <c r="S16" s="45"/>
      <c r="T16" s="45"/>
      <c r="U16" s="45"/>
      <c r="V16" s="44"/>
      <c r="W16" s="44"/>
      <c r="X16" s="44"/>
      <c r="Y16" s="44"/>
      <c r="Z16" s="1"/>
      <c r="AA16" s="1"/>
      <c r="AB16" s="1"/>
      <c r="AC16" s="1"/>
      <c r="AD16" s="43"/>
      <c r="AE16" s="43"/>
      <c r="AF16" s="43"/>
      <c r="AG16" s="43"/>
      <c r="AH16" s="44"/>
      <c r="AI16" s="44"/>
      <c r="AJ16" s="44"/>
      <c r="AK16" s="44"/>
      <c r="AL16" s="1"/>
      <c r="AM16" s="1"/>
      <c r="AN16" s="1"/>
      <c r="AO16" s="1"/>
      <c r="AP16" s="46"/>
      <c r="AQ16" s="46"/>
      <c r="AR16" s="46"/>
      <c r="AS16" s="46"/>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48"/>
      <c r="CW16" s="48"/>
      <c r="CX16" s="1"/>
    </row>
    <row r="17" spans="1:102" s="10" customFormat="1" ht="18" customHeight="1" x14ac:dyDescent="0.25">
      <c r="A17" s="6"/>
      <c r="B17" s="6"/>
      <c r="C17" s="1"/>
      <c r="D17" s="1"/>
      <c r="E17" s="1"/>
      <c r="F17" s="47"/>
      <c r="G17" s="47"/>
      <c r="H17" s="47"/>
      <c r="I17" s="47"/>
      <c r="J17" s="42"/>
      <c r="K17" s="42"/>
      <c r="L17" s="42"/>
      <c r="M17" s="42"/>
      <c r="N17" s="41"/>
      <c r="O17" s="41"/>
      <c r="P17" s="41"/>
      <c r="Q17" s="41"/>
      <c r="R17" s="45"/>
      <c r="S17" s="45"/>
      <c r="T17" s="45"/>
      <c r="U17" s="45"/>
      <c r="V17" s="44"/>
      <c r="W17" s="44"/>
      <c r="X17" s="44"/>
      <c r="Y17" s="44"/>
      <c r="Z17" s="1"/>
      <c r="AA17" s="1"/>
      <c r="AB17" s="1"/>
      <c r="AC17" s="1"/>
      <c r="AD17" s="43"/>
      <c r="AE17" s="43"/>
      <c r="AF17" s="43"/>
      <c r="AG17" s="43"/>
      <c r="AH17" s="44"/>
      <c r="AI17" s="44"/>
      <c r="AJ17" s="44"/>
      <c r="AK17" s="44"/>
      <c r="AL17" s="1"/>
      <c r="AM17" s="1"/>
      <c r="AN17" s="1"/>
      <c r="AO17" s="1"/>
      <c r="AP17" s="46"/>
      <c r="AQ17" s="46"/>
      <c r="AR17" s="46"/>
      <c r="AS17" s="46"/>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48"/>
      <c r="CW17" s="48"/>
      <c r="CX17" s="1"/>
    </row>
    <row r="18" spans="1:102" s="10" customFormat="1" ht="18" customHeight="1" x14ac:dyDescent="0.25">
      <c r="A18" s="6"/>
      <c r="B18" s="6"/>
      <c r="C18" s="1"/>
      <c r="D18" s="1"/>
      <c r="E18" s="1"/>
      <c r="F18" s="47"/>
      <c r="G18" s="47"/>
      <c r="H18" s="47"/>
      <c r="I18" s="47"/>
      <c r="J18" s="42"/>
      <c r="K18" s="42"/>
      <c r="L18" s="42"/>
      <c r="M18" s="42"/>
      <c r="N18" s="41"/>
      <c r="O18" s="41"/>
      <c r="P18" s="41"/>
      <c r="Q18" s="41"/>
      <c r="R18" s="45"/>
      <c r="S18" s="45"/>
      <c r="T18" s="45"/>
      <c r="U18" s="45"/>
      <c r="V18" s="44"/>
      <c r="W18" s="44"/>
      <c r="X18" s="44"/>
      <c r="Y18" s="44"/>
      <c r="Z18" s="1"/>
      <c r="AA18" s="1"/>
      <c r="AB18" s="1"/>
      <c r="AC18" s="1"/>
      <c r="AD18" s="43"/>
      <c r="AE18" s="43"/>
      <c r="AF18" s="43"/>
      <c r="AG18" s="43"/>
      <c r="AH18" s="44"/>
      <c r="AI18" s="44"/>
      <c r="AJ18" s="44"/>
      <c r="AK18" s="44"/>
      <c r="AL18" s="1"/>
      <c r="AM18" s="1"/>
      <c r="AN18" s="1"/>
      <c r="AO18" s="1"/>
      <c r="AP18" s="46"/>
      <c r="AQ18" s="46"/>
      <c r="AR18" s="46"/>
      <c r="AS18" s="46"/>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48"/>
      <c r="CW18" s="48"/>
      <c r="CX18" s="1"/>
    </row>
    <row r="19" spans="1:102" s="10" customFormat="1" ht="18" customHeight="1" x14ac:dyDescent="0.25">
      <c r="A19" s="6"/>
      <c r="B19" s="6"/>
      <c r="C19" s="1"/>
      <c r="D19" s="1"/>
      <c r="E19" s="1"/>
      <c r="F19" s="47"/>
      <c r="G19" s="47"/>
      <c r="H19" s="47"/>
      <c r="I19" s="47"/>
      <c r="J19" s="42"/>
      <c r="K19" s="42"/>
      <c r="L19" s="42"/>
      <c r="M19" s="42"/>
      <c r="N19" s="41"/>
      <c r="O19" s="41"/>
      <c r="P19" s="41"/>
      <c r="Q19" s="41"/>
      <c r="R19" s="45"/>
      <c r="S19" s="45"/>
      <c r="T19" s="45"/>
      <c r="U19" s="45"/>
      <c r="V19" s="44"/>
      <c r="W19" s="44"/>
      <c r="X19" s="44"/>
      <c r="Y19" s="44"/>
      <c r="Z19" s="1"/>
      <c r="AA19" s="1"/>
      <c r="AB19" s="1"/>
      <c r="AC19" s="1"/>
      <c r="AD19" s="43"/>
      <c r="AE19" s="43"/>
      <c r="AF19" s="43"/>
      <c r="AG19" s="43"/>
      <c r="AH19" s="44"/>
      <c r="AI19" s="44"/>
      <c r="AJ19" s="44"/>
      <c r="AK19" s="44"/>
      <c r="AL19" s="1"/>
      <c r="AM19" s="1"/>
      <c r="AN19" s="1"/>
      <c r="AO19" s="1"/>
      <c r="AP19" s="46"/>
      <c r="AQ19" s="46"/>
      <c r="AR19" s="46"/>
      <c r="AS19" s="46"/>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48"/>
      <c r="CW19" s="48"/>
      <c r="CX19" s="1"/>
    </row>
    <row r="20" spans="1:102" s="10" customFormat="1" ht="18" customHeight="1" x14ac:dyDescent="0.25">
      <c r="A20" s="6"/>
      <c r="B20" s="6"/>
      <c r="C20" s="1"/>
      <c r="D20" s="1"/>
      <c r="E20" s="1"/>
      <c r="F20" s="47"/>
      <c r="G20" s="47"/>
      <c r="H20" s="47"/>
      <c r="I20" s="47"/>
      <c r="J20" s="42"/>
      <c r="K20" s="42"/>
      <c r="L20" s="42"/>
      <c r="M20" s="42"/>
      <c r="N20" s="41"/>
      <c r="O20" s="41"/>
      <c r="P20" s="41"/>
      <c r="Q20" s="41"/>
      <c r="R20" s="45"/>
      <c r="S20" s="45"/>
      <c r="T20" s="45"/>
      <c r="U20" s="45"/>
      <c r="V20" s="44"/>
      <c r="W20" s="44"/>
      <c r="X20" s="44"/>
      <c r="Y20" s="44"/>
      <c r="Z20" s="1"/>
      <c r="AA20" s="1"/>
      <c r="AB20" s="1"/>
      <c r="AC20" s="1"/>
      <c r="AD20" s="43"/>
      <c r="AE20" s="43"/>
      <c r="AF20" s="43"/>
      <c r="AG20" s="43"/>
      <c r="AH20" s="44"/>
      <c r="AI20" s="44"/>
      <c r="AJ20" s="44"/>
      <c r="AK20" s="44"/>
      <c r="AL20" s="1"/>
      <c r="AM20" s="1"/>
      <c r="AN20" s="1"/>
      <c r="AO20" s="1"/>
      <c r="AP20" s="46"/>
      <c r="AQ20" s="46"/>
      <c r="AR20" s="46"/>
      <c r="AS20" s="46"/>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48"/>
      <c r="CW20" s="48"/>
      <c r="CX20" s="1"/>
    </row>
    <row r="21" spans="1:102" s="10" customFormat="1" ht="18" customHeight="1" x14ac:dyDescent="0.25">
      <c r="A21" s="6"/>
      <c r="B21" s="6"/>
      <c r="C21" s="1"/>
      <c r="D21" s="1"/>
      <c r="E21" s="1"/>
      <c r="F21" s="47"/>
      <c r="G21" s="47"/>
      <c r="H21" s="47"/>
      <c r="I21" s="47"/>
      <c r="J21" s="42"/>
      <c r="K21" s="42"/>
      <c r="L21" s="42"/>
      <c r="M21" s="42"/>
      <c r="N21" s="41"/>
      <c r="O21" s="41"/>
      <c r="P21" s="41"/>
      <c r="Q21" s="41"/>
      <c r="R21" s="45"/>
      <c r="S21" s="45"/>
      <c r="T21" s="45"/>
      <c r="U21" s="45"/>
      <c r="V21" s="44"/>
      <c r="W21" s="44"/>
      <c r="X21" s="44"/>
      <c r="Y21" s="44"/>
      <c r="Z21" s="1"/>
      <c r="AA21" s="1"/>
      <c r="AB21" s="1"/>
      <c r="AC21" s="1"/>
      <c r="AD21" s="43"/>
      <c r="AE21" s="43"/>
      <c r="AF21" s="43"/>
      <c r="AG21" s="43"/>
      <c r="AH21" s="44"/>
      <c r="AI21" s="44"/>
      <c r="AJ21" s="44"/>
      <c r="AK21" s="44"/>
      <c r="AL21" s="1"/>
      <c r="AM21" s="1"/>
      <c r="AN21" s="1"/>
      <c r="AO21" s="1"/>
      <c r="AP21" s="46"/>
      <c r="AQ21" s="46"/>
      <c r="AR21" s="46"/>
      <c r="AS21" s="46"/>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48"/>
      <c r="CW21" s="48"/>
      <c r="CX21" s="1"/>
    </row>
    <row r="22" spans="1:102" s="10" customFormat="1" ht="18" customHeight="1" x14ac:dyDescent="0.25">
      <c r="A22" s="6"/>
      <c r="B22" s="6"/>
      <c r="C22" s="1"/>
      <c r="D22" s="1"/>
      <c r="E22" s="1"/>
      <c r="F22" s="47"/>
      <c r="G22" s="47"/>
      <c r="H22" s="47"/>
      <c r="I22" s="47"/>
      <c r="J22" s="42"/>
      <c r="K22" s="42"/>
      <c r="L22" s="42"/>
      <c r="M22" s="42"/>
      <c r="N22" s="41"/>
      <c r="O22" s="41"/>
      <c r="P22" s="41"/>
      <c r="Q22" s="41"/>
      <c r="R22" s="45"/>
      <c r="S22" s="45"/>
      <c r="T22" s="45"/>
      <c r="U22" s="45"/>
      <c r="V22" s="44"/>
      <c r="W22" s="44"/>
      <c r="X22" s="44"/>
      <c r="Y22" s="44"/>
      <c r="Z22" s="1"/>
      <c r="AA22" s="1"/>
      <c r="AB22" s="1"/>
      <c r="AC22" s="1"/>
      <c r="AD22" s="43"/>
      <c r="AE22" s="43"/>
      <c r="AF22" s="43"/>
      <c r="AG22" s="43"/>
      <c r="AH22" s="44"/>
      <c r="AI22" s="44"/>
      <c r="AJ22" s="44"/>
      <c r="AK22" s="44"/>
      <c r="AL22" s="1"/>
      <c r="AM22" s="1"/>
      <c r="AN22" s="1"/>
      <c r="AO22" s="1"/>
      <c r="AP22" s="46"/>
      <c r="AQ22" s="46"/>
      <c r="AR22" s="46"/>
      <c r="AS22" s="46"/>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48"/>
      <c r="CW22" s="48"/>
      <c r="CX22" s="1"/>
    </row>
    <row r="23" spans="1:102" s="10" customFormat="1" ht="18" customHeight="1" x14ac:dyDescent="0.25">
      <c r="A23" s="6"/>
      <c r="B23" s="6"/>
      <c r="C23" s="1"/>
      <c r="D23" s="1"/>
      <c r="E23" s="1"/>
      <c r="F23" s="47"/>
      <c r="G23" s="47"/>
      <c r="H23" s="47"/>
      <c r="I23" s="47"/>
      <c r="J23" s="42"/>
      <c r="K23" s="42"/>
      <c r="L23" s="42"/>
      <c r="M23" s="42"/>
      <c r="N23" s="41"/>
      <c r="O23" s="41"/>
      <c r="P23" s="41"/>
      <c r="Q23" s="41"/>
      <c r="R23" s="45"/>
      <c r="S23" s="45"/>
      <c r="T23" s="45"/>
      <c r="U23" s="45"/>
      <c r="V23" s="44"/>
      <c r="W23" s="44"/>
      <c r="X23" s="44"/>
      <c r="Y23" s="44"/>
      <c r="Z23" s="1"/>
      <c r="AA23" s="1"/>
      <c r="AB23" s="1"/>
      <c r="AC23" s="1"/>
      <c r="AD23" s="43"/>
      <c r="AE23" s="43"/>
      <c r="AF23" s="43"/>
      <c r="AG23" s="43"/>
      <c r="AH23" s="44"/>
      <c r="AI23" s="44"/>
      <c r="AJ23" s="44"/>
      <c r="AK23" s="44"/>
      <c r="AL23" s="1"/>
      <c r="AM23" s="1"/>
      <c r="AN23" s="1"/>
      <c r="AO23" s="1"/>
      <c r="AP23" s="46"/>
      <c r="AQ23" s="46"/>
      <c r="AR23" s="46"/>
      <c r="AS23" s="46"/>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48"/>
      <c r="CW23" s="48"/>
      <c r="CX23" s="1"/>
    </row>
    <row r="24" spans="1:102" s="10" customFormat="1" ht="18" customHeight="1" x14ac:dyDescent="0.25">
      <c r="A24" s="6"/>
      <c r="B24" s="6"/>
      <c r="C24" s="1"/>
      <c r="D24" s="1"/>
      <c r="E24" s="1"/>
      <c r="F24" s="47"/>
      <c r="G24" s="47"/>
      <c r="H24" s="47"/>
      <c r="I24" s="47"/>
      <c r="J24" s="42"/>
      <c r="K24" s="42"/>
      <c r="L24" s="42"/>
      <c r="M24" s="42"/>
      <c r="N24" s="41"/>
      <c r="O24" s="41"/>
      <c r="P24" s="41"/>
      <c r="Q24" s="41"/>
      <c r="R24" s="45"/>
      <c r="S24" s="45"/>
      <c r="T24" s="45"/>
      <c r="U24" s="45"/>
      <c r="V24" s="44"/>
      <c r="W24" s="44"/>
      <c r="X24" s="44"/>
      <c r="Y24" s="44"/>
      <c r="Z24" s="1"/>
      <c r="AA24" s="1"/>
      <c r="AB24" s="1"/>
      <c r="AC24" s="1"/>
      <c r="AD24" s="43"/>
      <c r="AE24" s="43"/>
      <c r="AF24" s="43"/>
      <c r="AG24" s="43"/>
      <c r="AH24" s="44"/>
      <c r="AI24" s="44"/>
      <c r="AJ24" s="44"/>
      <c r="AK24" s="44"/>
      <c r="AL24" s="1"/>
      <c r="AM24" s="1"/>
      <c r="AN24" s="1"/>
      <c r="AO24" s="1"/>
      <c r="AP24" s="46"/>
      <c r="AQ24" s="46"/>
      <c r="AR24" s="46"/>
      <c r="AS24" s="46"/>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48"/>
      <c r="CW24" s="48"/>
      <c r="CX24" s="1"/>
    </row>
    <row r="25" spans="1:102" s="10" customFormat="1" ht="18" customHeight="1" x14ac:dyDescent="0.25">
      <c r="A25" s="6"/>
      <c r="B25" s="6"/>
      <c r="C25" s="1"/>
      <c r="D25" s="1"/>
      <c r="E25" s="1"/>
      <c r="F25" s="47"/>
      <c r="G25" s="47"/>
      <c r="H25" s="47"/>
      <c r="I25" s="47"/>
      <c r="J25" s="42"/>
      <c r="K25" s="42"/>
      <c r="L25" s="42"/>
      <c r="M25" s="42"/>
      <c r="N25" s="41"/>
      <c r="O25" s="41"/>
      <c r="P25" s="41"/>
      <c r="Q25" s="41"/>
      <c r="R25" s="45"/>
      <c r="S25" s="45"/>
      <c r="T25" s="45"/>
      <c r="U25" s="45"/>
      <c r="V25" s="44"/>
      <c r="W25" s="44"/>
      <c r="X25" s="44"/>
      <c r="Y25" s="44"/>
      <c r="Z25" s="1"/>
      <c r="AA25" s="1"/>
      <c r="AB25" s="1"/>
      <c r="AC25" s="1"/>
      <c r="AD25" s="43"/>
      <c r="AE25" s="43"/>
      <c r="AF25" s="43"/>
      <c r="AG25" s="43"/>
      <c r="AH25" s="44"/>
      <c r="AI25" s="44"/>
      <c r="AJ25" s="44"/>
      <c r="AK25" s="44"/>
      <c r="AL25" s="1"/>
      <c r="AM25" s="1"/>
      <c r="AN25" s="1"/>
      <c r="AO25" s="1"/>
      <c r="AP25" s="46"/>
      <c r="AQ25" s="46"/>
      <c r="AR25" s="46"/>
      <c r="AS25" s="46"/>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48"/>
      <c r="CW25" s="48"/>
      <c r="CX25" s="1"/>
    </row>
    <row r="26" spans="1:102" s="10" customFormat="1" ht="18" customHeight="1" x14ac:dyDescent="0.25">
      <c r="A26" s="6"/>
      <c r="B26" s="6"/>
      <c r="C26" s="1"/>
      <c r="D26" s="1"/>
      <c r="E26" s="1"/>
      <c r="F26" s="47"/>
      <c r="G26" s="47"/>
      <c r="H26" s="47"/>
      <c r="I26" s="47"/>
      <c r="J26" s="42"/>
      <c r="K26" s="42"/>
      <c r="L26" s="42"/>
      <c r="M26" s="42"/>
      <c r="N26" s="41"/>
      <c r="O26" s="41"/>
      <c r="P26" s="41"/>
      <c r="Q26" s="41"/>
      <c r="R26" s="45"/>
      <c r="S26" s="45"/>
      <c r="T26" s="45"/>
      <c r="U26" s="45"/>
      <c r="V26" s="44"/>
      <c r="W26" s="44"/>
      <c r="X26" s="44"/>
      <c r="Y26" s="44"/>
      <c r="Z26" s="1"/>
      <c r="AA26" s="1"/>
      <c r="AB26" s="1"/>
      <c r="AC26" s="1"/>
      <c r="AD26" s="43"/>
      <c r="AE26" s="43"/>
      <c r="AF26" s="43"/>
      <c r="AG26" s="43"/>
      <c r="AH26" s="44"/>
      <c r="AI26" s="44"/>
      <c r="AJ26" s="44"/>
      <c r="AK26" s="44"/>
      <c r="AL26" s="1"/>
      <c r="AM26" s="1"/>
      <c r="AN26" s="1"/>
      <c r="AO26" s="1"/>
      <c r="AP26" s="46"/>
      <c r="AQ26" s="46"/>
      <c r="AR26" s="46"/>
      <c r="AS26" s="46"/>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48"/>
      <c r="CW26" s="48"/>
      <c r="CX26" s="1"/>
    </row>
    <row r="27" spans="1:102" s="10" customFormat="1" ht="18" customHeight="1" x14ac:dyDescent="0.25">
      <c r="A27" s="6"/>
      <c r="B27" s="6"/>
      <c r="C27" s="1"/>
      <c r="D27" s="1"/>
      <c r="E27" s="1"/>
      <c r="F27" s="47"/>
      <c r="G27" s="47"/>
      <c r="H27" s="47"/>
      <c r="I27" s="47"/>
      <c r="J27" s="42"/>
      <c r="K27" s="42"/>
      <c r="L27" s="42"/>
      <c r="M27" s="42"/>
      <c r="N27" s="41"/>
      <c r="O27" s="41"/>
      <c r="P27" s="41"/>
      <c r="Q27" s="41"/>
      <c r="R27" s="45"/>
      <c r="S27" s="45"/>
      <c r="T27" s="45"/>
      <c r="U27" s="45"/>
      <c r="V27" s="44"/>
      <c r="W27" s="44"/>
      <c r="X27" s="44"/>
      <c r="Y27" s="44"/>
      <c r="Z27" s="1"/>
      <c r="AA27" s="1"/>
      <c r="AB27" s="1"/>
      <c r="AC27" s="1"/>
      <c r="AD27" s="43"/>
      <c r="AE27" s="43"/>
      <c r="AF27" s="43"/>
      <c r="AG27" s="43"/>
      <c r="AH27" s="44"/>
      <c r="AI27" s="44"/>
      <c r="AJ27" s="44"/>
      <c r="AK27" s="44"/>
      <c r="AL27" s="1"/>
      <c r="AM27" s="1"/>
      <c r="AN27" s="1"/>
      <c r="AO27" s="1"/>
      <c r="AP27" s="46"/>
      <c r="AQ27" s="46"/>
      <c r="AR27" s="46"/>
      <c r="AS27" s="46"/>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48"/>
      <c r="CW27" s="48"/>
      <c r="CX27" s="1"/>
    </row>
    <row r="28" spans="1:102" s="10" customFormat="1" ht="18" customHeight="1" x14ac:dyDescent="0.25">
      <c r="A28" s="6"/>
      <c r="B28" s="6"/>
      <c r="C28" s="1"/>
      <c r="D28" s="1"/>
      <c r="E28" s="1"/>
      <c r="F28" s="47"/>
      <c r="G28" s="47"/>
      <c r="H28" s="47"/>
      <c r="I28" s="47"/>
      <c r="J28" s="42"/>
      <c r="K28" s="42"/>
      <c r="L28" s="42"/>
      <c r="M28" s="42"/>
      <c r="N28" s="41"/>
      <c r="O28" s="41"/>
      <c r="P28" s="41"/>
      <c r="Q28" s="41"/>
      <c r="R28" s="45"/>
      <c r="S28" s="45"/>
      <c r="T28" s="45"/>
      <c r="U28" s="45"/>
      <c r="V28" s="44"/>
      <c r="W28" s="44"/>
      <c r="X28" s="44"/>
      <c r="Y28" s="44"/>
      <c r="Z28" s="1"/>
      <c r="AA28" s="1"/>
      <c r="AB28" s="1"/>
      <c r="AC28" s="1"/>
      <c r="AD28" s="43"/>
      <c r="AE28" s="43"/>
      <c r="AF28" s="43"/>
      <c r="AG28" s="43"/>
      <c r="AH28" s="44"/>
      <c r="AI28" s="44"/>
      <c r="AJ28" s="44"/>
      <c r="AK28" s="44"/>
      <c r="AL28" s="1"/>
      <c r="AM28" s="1"/>
      <c r="AN28" s="1"/>
      <c r="AO28" s="1"/>
      <c r="AP28" s="46"/>
      <c r="AQ28" s="46"/>
      <c r="AR28" s="46"/>
      <c r="AS28" s="46"/>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48"/>
      <c r="CW28" s="48"/>
      <c r="CX28" s="1"/>
    </row>
    <row r="29" spans="1:102" s="10" customFormat="1" ht="18" customHeight="1" x14ac:dyDescent="0.25">
      <c r="A29" s="6"/>
      <c r="B29" s="6"/>
      <c r="C29" s="1"/>
      <c r="D29" s="1"/>
      <c r="E29" s="1"/>
      <c r="F29" s="47"/>
      <c r="G29" s="47"/>
      <c r="H29" s="47"/>
      <c r="I29" s="47"/>
      <c r="J29" s="42"/>
      <c r="K29" s="42"/>
      <c r="L29" s="42"/>
      <c r="M29" s="42"/>
      <c r="N29" s="41"/>
      <c r="O29" s="41"/>
      <c r="P29" s="41"/>
      <c r="Q29" s="41"/>
      <c r="R29" s="45"/>
      <c r="S29" s="45"/>
      <c r="T29" s="45"/>
      <c r="U29" s="45"/>
      <c r="V29" s="44"/>
      <c r="W29" s="44"/>
      <c r="X29" s="44"/>
      <c r="Y29" s="44"/>
      <c r="Z29" s="1"/>
      <c r="AA29" s="1"/>
      <c r="AB29" s="1"/>
      <c r="AC29" s="1"/>
      <c r="AD29" s="43"/>
      <c r="AE29" s="43"/>
      <c r="AF29" s="43"/>
      <c r="AG29" s="43"/>
      <c r="AH29" s="44"/>
      <c r="AI29" s="44"/>
      <c r="AJ29" s="44"/>
      <c r="AK29" s="44"/>
      <c r="AL29" s="1"/>
      <c r="AM29" s="1"/>
      <c r="AN29" s="1"/>
      <c r="AO29" s="1"/>
      <c r="AP29" s="46"/>
      <c r="AQ29" s="46"/>
      <c r="AR29" s="46"/>
      <c r="AS29" s="46"/>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48"/>
      <c r="CW29" s="48"/>
      <c r="CX29" s="1"/>
    </row>
    <row r="30" spans="1:102" s="10" customFormat="1" ht="18" customHeight="1" x14ac:dyDescent="0.25">
      <c r="A30" s="6"/>
      <c r="B30" s="6"/>
      <c r="C30" s="1"/>
      <c r="D30" s="1"/>
      <c r="E30" s="1"/>
      <c r="F30" s="47"/>
      <c r="G30" s="47"/>
      <c r="H30" s="47"/>
      <c r="I30" s="47"/>
      <c r="J30" s="42"/>
      <c r="K30" s="42"/>
      <c r="L30" s="42"/>
      <c r="M30" s="42"/>
      <c r="N30" s="41"/>
      <c r="O30" s="41"/>
      <c r="P30" s="41"/>
      <c r="Q30" s="41"/>
      <c r="R30" s="45"/>
      <c r="S30" s="45"/>
      <c r="T30" s="45"/>
      <c r="U30" s="45"/>
      <c r="V30" s="44"/>
      <c r="W30" s="44"/>
      <c r="X30" s="44"/>
      <c r="Y30" s="44"/>
      <c r="Z30" s="1"/>
      <c r="AA30" s="1"/>
      <c r="AB30" s="1"/>
      <c r="AC30" s="1"/>
      <c r="AD30" s="43"/>
      <c r="AE30" s="43"/>
      <c r="AF30" s="43"/>
      <c r="AG30" s="43"/>
      <c r="AH30" s="44"/>
      <c r="AI30" s="44"/>
      <c r="AJ30" s="44"/>
      <c r="AK30" s="44"/>
      <c r="AL30" s="1"/>
      <c r="AM30" s="1"/>
      <c r="AN30" s="1"/>
      <c r="AO30" s="1"/>
      <c r="AP30" s="46"/>
      <c r="AQ30" s="46"/>
      <c r="AR30" s="46"/>
      <c r="AS30" s="46"/>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48"/>
      <c r="CW30" s="48"/>
      <c r="CX30" s="1"/>
    </row>
    <row r="31" spans="1:102" s="10" customFormat="1" ht="18" customHeight="1" x14ac:dyDescent="0.25">
      <c r="A31" s="6"/>
      <c r="B31" s="6"/>
      <c r="C31" s="1"/>
      <c r="D31" s="1"/>
      <c r="E31" s="1"/>
      <c r="F31" s="47"/>
      <c r="G31" s="47"/>
      <c r="H31" s="47"/>
      <c r="I31" s="47"/>
      <c r="J31" s="42"/>
      <c r="K31" s="42"/>
      <c r="L31" s="42"/>
      <c r="M31" s="42"/>
      <c r="N31" s="41"/>
      <c r="O31" s="41"/>
      <c r="P31" s="41"/>
      <c r="Q31" s="41"/>
      <c r="R31" s="45"/>
      <c r="S31" s="45"/>
      <c r="T31" s="45"/>
      <c r="U31" s="45"/>
      <c r="V31" s="44"/>
      <c r="W31" s="44"/>
      <c r="X31" s="44"/>
      <c r="Y31" s="44"/>
      <c r="Z31" s="1"/>
      <c r="AA31" s="1"/>
      <c r="AB31" s="1"/>
      <c r="AC31" s="1"/>
      <c r="AD31" s="43"/>
      <c r="AE31" s="43"/>
      <c r="AF31" s="43"/>
      <c r="AG31" s="43"/>
      <c r="AH31" s="44"/>
      <c r="AI31" s="44"/>
      <c r="AJ31" s="44"/>
      <c r="AK31" s="44"/>
      <c r="AL31" s="1"/>
      <c r="AM31" s="1"/>
      <c r="AN31" s="1"/>
      <c r="AO31" s="1"/>
      <c r="AP31" s="46"/>
      <c r="AQ31" s="46"/>
      <c r="AR31" s="46"/>
      <c r="AS31" s="46"/>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48"/>
      <c r="CW31" s="48"/>
      <c r="CX31" s="1"/>
    </row>
    <row r="32" spans="1:102" s="10" customFormat="1" ht="18" customHeight="1" x14ac:dyDescent="0.25">
      <c r="A32" s="6"/>
      <c r="B32" s="6"/>
      <c r="C32" s="1"/>
      <c r="D32" s="1"/>
      <c r="E32" s="1"/>
      <c r="F32" s="47"/>
      <c r="G32" s="47"/>
      <c r="H32" s="47"/>
      <c r="I32" s="47"/>
      <c r="J32" s="42"/>
      <c r="K32" s="42"/>
      <c r="L32" s="42"/>
      <c r="M32" s="42"/>
      <c r="N32" s="41"/>
      <c r="O32" s="41"/>
      <c r="P32" s="41"/>
      <c r="Q32" s="41"/>
      <c r="R32" s="45"/>
      <c r="S32" s="45"/>
      <c r="T32" s="45"/>
      <c r="U32" s="45"/>
      <c r="V32" s="44"/>
      <c r="W32" s="44"/>
      <c r="X32" s="44"/>
      <c r="Y32" s="44"/>
      <c r="Z32" s="1"/>
      <c r="AA32" s="1"/>
      <c r="AB32" s="1"/>
      <c r="AC32" s="1"/>
      <c r="AD32" s="43"/>
      <c r="AE32" s="43"/>
      <c r="AF32" s="43"/>
      <c r="AG32" s="43"/>
      <c r="AH32" s="44"/>
      <c r="AI32" s="44"/>
      <c r="AJ32" s="44"/>
      <c r="AK32" s="44"/>
      <c r="AL32" s="1"/>
      <c r="AM32" s="1"/>
      <c r="AN32" s="1"/>
      <c r="AO32" s="1"/>
      <c r="AP32" s="46"/>
      <c r="AQ32" s="46"/>
      <c r="AR32" s="46"/>
      <c r="AS32" s="46"/>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48"/>
      <c r="CW32" s="48"/>
      <c r="CX32" s="1"/>
    </row>
    <row r="33" spans="1:102" s="10" customFormat="1" ht="18" customHeight="1" x14ac:dyDescent="0.25">
      <c r="A33" s="6"/>
      <c r="B33" s="6"/>
      <c r="C33" s="1"/>
      <c r="D33" s="1"/>
      <c r="E33" s="1"/>
      <c r="F33" s="47"/>
      <c r="G33" s="47"/>
      <c r="H33" s="47"/>
      <c r="I33" s="47"/>
      <c r="J33" s="42"/>
      <c r="K33" s="42"/>
      <c r="L33" s="42"/>
      <c r="M33" s="42"/>
      <c r="N33" s="41"/>
      <c r="O33" s="41"/>
      <c r="P33" s="41"/>
      <c r="Q33" s="41"/>
      <c r="R33" s="45"/>
      <c r="S33" s="45"/>
      <c r="T33" s="45"/>
      <c r="U33" s="45"/>
      <c r="V33" s="44"/>
      <c r="W33" s="44"/>
      <c r="X33" s="44"/>
      <c r="Y33" s="44"/>
      <c r="Z33" s="1"/>
      <c r="AA33" s="1"/>
      <c r="AB33" s="1"/>
      <c r="AC33" s="1"/>
      <c r="AD33" s="43"/>
      <c r="AE33" s="43"/>
      <c r="AF33" s="43"/>
      <c r="AG33" s="43"/>
      <c r="AH33" s="44"/>
      <c r="AI33" s="44"/>
      <c r="AJ33" s="44"/>
      <c r="AK33" s="44"/>
      <c r="AL33" s="1"/>
      <c r="AM33" s="1"/>
      <c r="AN33" s="1"/>
      <c r="AO33" s="1"/>
      <c r="AP33" s="46"/>
      <c r="AQ33" s="46"/>
      <c r="AR33" s="46"/>
      <c r="AS33" s="46"/>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48"/>
      <c r="CW33" s="48"/>
      <c r="CX33" s="1"/>
    </row>
    <row r="34" spans="1:102" s="10" customFormat="1" ht="18" customHeight="1" x14ac:dyDescent="0.25">
      <c r="A34" s="6"/>
      <c r="B34" s="6"/>
      <c r="C34" s="1"/>
      <c r="D34" s="1"/>
      <c r="E34" s="1"/>
      <c r="F34" s="47"/>
      <c r="G34" s="47"/>
      <c r="H34" s="47"/>
      <c r="I34" s="47"/>
      <c r="J34" s="42"/>
      <c r="K34" s="42"/>
      <c r="L34" s="42"/>
      <c r="M34" s="42"/>
      <c r="N34" s="41"/>
      <c r="O34" s="41"/>
      <c r="P34" s="41"/>
      <c r="Q34" s="41"/>
      <c r="R34" s="45"/>
      <c r="S34" s="45"/>
      <c r="T34" s="45"/>
      <c r="U34" s="45"/>
      <c r="V34" s="44"/>
      <c r="W34" s="44"/>
      <c r="X34" s="44"/>
      <c r="Y34" s="44"/>
      <c r="Z34" s="1"/>
      <c r="AA34" s="1"/>
      <c r="AB34" s="1"/>
      <c r="AC34" s="1"/>
      <c r="AD34" s="43"/>
      <c r="AE34" s="43"/>
      <c r="AF34" s="43"/>
      <c r="AG34" s="43"/>
      <c r="AH34" s="44"/>
      <c r="AI34" s="44"/>
      <c r="AJ34" s="44"/>
      <c r="AK34" s="44"/>
      <c r="AL34" s="1"/>
      <c r="AM34" s="1"/>
      <c r="AN34" s="1"/>
      <c r="AO34" s="1"/>
      <c r="AP34" s="46"/>
      <c r="AQ34" s="46"/>
      <c r="AR34" s="46"/>
      <c r="AS34" s="46"/>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48"/>
      <c r="CW34" s="48"/>
      <c r="CX34" s="1"/>
    </row>
    <row r="35" spans="1:102" s="10" customFormat="1" ht="18" customHeight="1" x14ac:dyDescent="0.25">
      <c r="A35" s="6"/>
      <c r="B35" s="6"/>
      <c r="C35" s="1"/>
      <c r="D35" s="1"/>
      <c r="E35" s="1"/>
      <c r="F35" s="47"/>
      <c r="G35" s="47"/>
      <c r="H35" s="47"/>
      <c r="I35" s="47"/>
      <c r="J35" s="42"/>
      <c r="K35" s="42"/>
      <c r="L35" s="42"/>
      <c r="M35" s="42"/>
      <c r="N35" s="41"/>
      <c r="O35" s="41"/>
      <c r="P35" s="41"/>
      <c r="Q35" s="41"/>
      <c r="R35" s="45"/>
      <c r="S35" s="45"/>
      <c r="T35" s="45"/>
      <c r="U35" s="45"/>
      <c r="V35" s="44"/>
      <c r="W35" s="44"/>
      <c r="X35" s="44"/>
      <c r="Y35" s="44"/>
      <c r="Z35" s="1"/>
      <c r="AA35" s="1"/>
      <c r="AB35" s="1"/>
      <c r="AC35" s="1"/>
      <c r="AD35" s="43"/>
      <c r="AE35" s="43"/>
      <c r="AF35" s="43"/>
      <c r="AG35" s="43"/>
      <c r="AH35" s="44"/>
      <c r="AI35" s="44"/>
      <c r="AJ35" s="44"/>
      <c r="AK35" s="44"/>
      <c r="AL35" s="1"/>
      <c r="AM35" s="1"/>
      <c r="AN35" s="1"/>
      <c r="AO35" s="1"/>
      <c r="AP35" s="46"/>
      <c r="AQ35" s="46"/>
      <c r="AR35" s="46"/>
      <c r="AS35" s="46"/>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48"/>
      <c r="CW35" s="48"/>
      <c r="CX35" s="1"/>
    </row>
    <row r="36" spans="1:102" s="10" customFormat="1" ht="18" customHeight="1" x14ac:dyDescent="0.25">
      <c r="A36" s="6"/>
      <c r="B36" s="6"/>
      <c r="C36" s="1"/>
      <c r="D36" s="1"/>
      <c r="E36" s="1"/>
      <c r="F36" s="47"/>
      <c r="G36" s="47"/>
      <c r="H36" s="47"/>
      <c r="I36" s="47"/>
      <c r="J36" s="42"/>
      <c r="K36" s="42"/>
      <c r="L36" s="42"/>
      <c r="M36" s="42"/>
      <c r="N36" s="41"/>
      <c r="O36" s="41"/>
      <c r="P36" s="41"/>
      <c r="Q36" s="41"/>
      <c r="R36" s="45"/>
      <c r="S36" s="45"/>
      <c r="T36" s="45"/>
      <c r="U36" s="45"/>
      <c r="V36" s="44"/>
      <c r="W36" s="44"/>
      <c r="X36" s="44"/>
      <c r="Y36" s="44"/>
      <c r="Z36" s="1"/>
      <c r="AA36" s="1"/>
      <c r="AB36" s="1"/>
      <c r="AC36" s="1"/>
      <c r="AD36" s="43"/>
      <c r="AE36" s="43"/>
      <c r="AF36" s="43"/>
      <c r="AG36" s="43"/>
      <c r="AH36" s="44"/>
      <c r="AI36" s="44"/>
      <c r="AJ36" s="44"/>
      <c r="AK36" s="44"/>
      <c r="AL36" s="1"/>
      <c r="AM36" s="1"/>
      <c r="AN36" s="1"/>
      <c r="AO36" s="1"/>
      <c r="AP36" s="46"/>
      <c r="AQ36" s="46"/>
      <c r="AR36" s="46"/>
      <c r="AS36" s="46"/>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48"/>
      <c r="CW36" s="48"/>
      <c r="CX36" s="1"/>
    </row>
    <row r="37" spans="1:102" s="10" customFormat="1" ht="18" customHeight="1" x14ac:dyDescent="0.25">
      <c r="A37" s="6"/>
      <c r="B37" s="6"/>
      <c r="C37" s="1"/>
      <c r="D37" s="1"/>
      <c r="E37" s="1"/>
      <c r="F37" s="47"/>
      <c r="G37" s="47"/>
      <c r="H37" s="47"/>
      <c r="I37" s="47"/>
      <c r="J37" s="42"/>
      <c r="K37" s="42"/>
      <c r="L37" s="42"/>
      <c r="M37" s="42"/>
      <c r="N37" s="41"/>
      <c r="O37" s="41"/>
      <c r="P37" s="41"/>
      <c r="Q37" s="41"/>
      <c r="R37" s="45"/>
      <c r="S37" s="45"/>
      <c r="T37" s="45"/>
      <c r="U37" s="45"/>
      <c r="V37" s="44"/>
      <c r="W37" s="44"/>
      <c r="X37" s="44"/>
      <c r="Y37" s="44"/>
      <c r="Z37" s="1"/>
      <c r="AA37" s="1"/>
      <c r="AB37" s="1"/>
      <c r="AC37" s="1"/>
      <c r="AD37" s="43"/>
      <c r="AE37" s="43"/>
      <c r="AF37" s="43"/>
      <c r="AG37" s="43"/>
      <c r="AH37" s="44"/>
      <c r="AI37" s="44"/>
      <c r="AJ37" s="44"/>
      <c r="AK37" s="44"/>
      <c r="AL37" s="1"/>
      <c r="AM37" s="1"/>
      <c r="AN37" s="1"/>
      <c r="AO37" s="1"/>
      <c r="AP37" s="46"/>
      <c r="AQ37" s="46"/>
      <c r="AR37" s="46"/>
      <c r="AS37" s="46"/>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48"/>
      <c r="CW37" s="48"/>
      <c r="CX37" s="1"/>
    </row>
    <row r="38" spans="1:102" s="10" customFormat="1" ht="18" customHeight="1" x14ac:dyDescent="0.25">
      <c r="A38" s="6"/>
      <c r="B38" s="6"/>
      <c r="C38" s="1"/>
      <c r="D38" s="1"/>
      <c r="E38" s="1"/>
      <c r="F38" s="47"/>
      <c r="G38" s="47"/>
      <c r="H38" s="47"/>
      <c r="I38" s="47"/>
      <c r="J38" s="42"/>
      <c r="K38" s="42"/>
      <c r="L38" s="42"/>
      <c r="M38" s="42"/>
      <c r="N38" s="41"/>
      <c r="O38" s="41"/>
      <c r="P38" s="41"/>
      <c r="Q38" s="41"/>
      <c r="R38" s="45"/>
      <c r="S38" s="45"/>
      <c r="T38" s="45"/>
      <c r="U38" s="45"/>
      <c r="V38" s="44"/>
      <c r="W38" s="44"/>
      <c r="X38" s="44"/>
      <c r="Y38" s="44"/>
      <c r="Z38" s="1"/>
      <c r="AA38" s="1"/>
      <c r="AB38" s="1"/>
      <c r="AC38" s="1"/>
      <c r="AD38" s="43"/>
      <c r="AE38" s="43"/>
      <c r="AF38" s="43"/>
      <c r="AG38" s="43"/>
      <c r="AH38" s="44"/>
      <c r="AI38" s="44"/>
      <c r="AJ38" s="44"/>
      <c r="AK38" s="44"/>
      <c r="AL38" s="1"/>
      <c r="AM38" s="1"/>
      <c r="AN38" s="1"/>
      <c r="AO38" s="1"/>
      <c r="AP38" s="46"/>
      <c r="AQ38" s="46"/>
      <c r="AR38" s="46"/>
      <c r="AS38" s="46"/>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48"/>
      <c r="CW38" s="48"/>
      <c r="CX38" s="1"/>
    </row>
    <row r="39" spans="1:102" s="10" customFormat="1" ht="18" customHeight="1" x14ac:dyDescent="0.25">
      <c r="A39" s="6"/>
      <c r="B39" s="6"/>
      <c r="C39" s="1"/>
      <c r="D39" s="1"/>
      <c r="E39" s="1"/>
      <c r="F39" s="47"/>
      <c r="G39" s="47"/>
      <c r="H39" s="47"/>
      <c r="I39" s="47"/>
      <c r="J39" s="42"/>
      <c r="K39" s="42"/>
      <c r="L39" s="42"/>
      <c r="M39" s="42"/>
      <c r="N39" s="41"/>
      <c r="O39" s="41"/>
      <c r="P39" s="41"/>
      <c r="Q39" s="41"/>
      <c r="R39" s="45"/>
      <c r="S39" s="45"/>
      <c r="T39" s="45"/>
      <c r="U39" s="45"/>
      <c r="V39" s="44"/>
      <c r="W39" s="44"/>
      <c r="X39" s="44"/>
      <c r="Y39" s="44"/>
      <c r="Z39" s="1"/>
      <c r="AA39" s="1"/>
      <c r="AB39" s="1"/>
      <c r="AC39" s="1"/>
      <c r="AD39" s="43"/>
      <c r="AE39" s="43"/>
      <c r="AF39" s="43"/>
      <c r="AG39" s="43"/>
      <c r="AH39" s="44"/>
      <c r="AI39" s="44"/>
      <c r="AJ39" s="44"/>
      <c r="AK39" s="44"/>
      <c r="AL39" s="1"/>
      <c r="AM39" s="1"/>
      <c r="AN39" s="1"/>
      <c r="AO39" s="1"/>
      <c r="AP39" s="46"/>
      <c r="AQ39" s="46"/>
      <c r="AR39" s="46"/>
      <c r="AS39" s="46"/>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48"/>
      <c r="CW39" s="48"/>
      <c r="CX39" s="1"/>
    </row>
    <row r="40" spans="1:102" s="10" customFormat="1" ht="18" customHeight="1" x14ac:dyDescent="0.25">
      <c r="A40" s="6"/>
      <c r="B40" s="6"/>
      <c r="C40" s="1"/>
      <c r="D40" s="1"/>
      <c r="E40" s="1"/>
      <c r="F40" s="47"/>
      <c r="G40" s="47"/>
      <c r="H40" s="47"/>
      <c r="I40" s="47"/>
      <c r="J40" s="42"/>
      <c r="K40" s="42"/>
      <c r="L40" s="42"/>
      <c r="M40" s="42"/>
      <c r="N40" s="41"/>
      <c r="O40" s="41"/>
      <c r="P40" s="41"/>
      <c r="Q40" s="41"/>
      <c r="R40" s="45"/>
      <c r="S40" s="45"/>
      <c r="T40" s="45"/>
      <c r="U40" s="45"/>
      <c r="V40" s="44"/>
      <c r="W40" s="44"/>
      <c r="X40" s="44"/>
      <c r="Y40" s="44"/>
      <c r="Z40" s="1"/>
      <c r="AA40" s="1"/>
      <c r="AB40" s="1"/>
      <c r="AC40" s="1"/>
      <c r="AD40" s="43"/>
      <c r="AE40" s="43"/>
      <c r="AF40" s="43"/>
      <c r="AG40" s="43"/>
      <c r="AH40" s="44"/>
      <c r="AI40" s="44"/>
      <c r="AJ40" s="44"/>
      <c r="AK40" s="44"/>
      <c r="AL40" s="1"/>
      <c r="AM40" s="1"/>
      <c r="AN40" s="1"/>
      <c r="AO40" s="1"/>
      <c r="AP40" s="46"/>
      <c r="AQ40" s="46"/>
      <c r="AR40" s="46"/>
      <c r="AS40" s="46"/>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48"/>
      <c r="CW40" s="48"/>
      <c r="CX40" s="1"/>
    </row>
    <row r="41" spans="1:102" s="10" customFormat="1" ht="18" customHeight="1" x14ac:dyDescent="0.25">
      <c r="A41" s="6"/>
      <c r="B41" s="6"/>
      <c r="C41" s="1"/>
      <c r="D41" s="1"/>
      <c r="E41" s="1"/>
      <c r="F41" s="47"/>
      <c r="G41" s="47"/>
      <c r="H41" s="47"/>
      <c r="I41" s="47"/>
      <c r="J41" s="42"/>
      <c r="K41" s="42"/>
      <c r="L41" s="42"/>
      <c r="M41" s="42"/>
      <c r="N41" s="41"/>
      <c r="O41" s="41"/>
      <c r="P41" s="41"/>
      <c r="Q41" s="41"/>
      <c r="R41" s="45"/>
      <c r="S41" s="45"/>
      <c r="T41" s="45"/>
      <c r="U41" s="45"/>
      <c r="V41" s="44"/>
      <c r="W41" s="44"/>
      <c r="X41" s="44"/>
      <c r="Y41" s="44"/>
      <c r="Z41" s="1"/>
      <c r="AA41" s="1"/>
      <c r="AB41" s="1"/>
      <c r="AC41" s="1"/>
      <c r="AD41" s="43"/>
      <c r="AE41" s="43"/>
      <c r="AF41" s="43"/>
      <c r="AG41" s="43"/>
      <c r="AH41" s="44"/>
      <c r="AI41" s="44"/>
      <c r="AJ41" s="44"/>
      <c r="AK41" s="44"/>
      <c r="AL41" s="1"/>
      <c r="AM41" s="1"/>
      <c r="AN41" s="1"/>
      <c r="AO41" s="1"/>
      <c r="AP41" s="46"/>
      <c r="AQ41" s="46"/>
      <c r="AR41" s="46"/>
      <c r="AS41" s="46"/>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48"/>
      <c r="CW41" s="48"/>
      <c r="CX41" s="1"/>
    </row>
    <row r="42" spans="1:102" s="10" customFormat="1" ht="18" customHeight="1" x14ac:dyDescent="0.25">
      <c r="A42" s="6"/>
      <c r="B42" s="6"/>
      <c r="C42" s="1"/>
      <c r="D42" s="1"/>
      <c r="E42" s="1"/>
      <c r="F42" s="47"/>
      <c r="G42" s="47"/>
      <c r="H42" s="47"/>
      <c r="I42" s="47"/>
      <c r="J42" s="42"/>
      <c r="K42" s="42"/>
      <c r="L42" s="42"/>
      <c r="M42" s="42"/>
      <c r="N42" s="41"/>
      <c r="O42" s="41"/>
      <c r="P42" s="41"/>
      <c r="Q42" s="41"/>
      <c r="R42" s="45"/>
      <c r="S42" s="45"/>
      <c r="T42" s="45"/>
      <c r="U42" s="45"/>
      <c r="V42" s="44"/>
      <c r="W42" s="44"/>
      <c r="X42" s="44"/>
      <c r="Y42" s="44"/>
      <c r="Z42" s="1"/>
      <c r="AA42" s="1"/>
      <c r="AB42" s="1"/>
      <c r="AC42" s="1"/>
      <c r="AD42" s="43"/>
      <c r="AE42" s="43"/>
      <c r="AF42" s="43"/>
      <c r="AG42" s="43"/>
      <c r="AH42" s="44"/>
      <c r="AI42" s="44"/>
      <c r="AJ42" s="44"/>
      <c r="AK42" s="44"/>
      <c r="AL42" s="1"/>
      <c r="AM42" s="1"/>
      <c r="AN42" s="1"/>
      <c r="AO42" s="1"/>
      <c r="AP42" s="46"/>
      <c r="AQ42" s="46"/>
      <c r="AR42" s="46"/>
      <c r="AS42" s="46"/>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48"/>
      <c r="CW42" s="48"/>
      <c r="CX42" s="1"/>
    </row>
    <row r="43" spans="1:102" s="10" customFormat="1" ht="18" customHeight="1" x14ac:dyDescent="0.25">
      <c r="A43" s="6"/>
      <c r="B43" s="6"/>
      <c r="C43" s="1"/>
      <c r="D43" s="1"/>
      <c r="E43" s="1"/>
      <c r="F43" s="47"/>
      <c r="G43" s="47"/>
      <c r="H43" s="47"/>
      <c r="I43" s="47"/>
      <c r="J43" s="42"/>
      <c r="K43" s="42"/>
      <c r="L43" s="42"/>
      <c r="M43" s="42"/>
      <c r="N43" s="41"/>
      <c r="O43" s="41"/>
      <c r="P43" s="41"/>
      <c r="Q43" s="41"/>
      <c r="R43" s="45"/>
      <c r="S43" s="45"/>
      <c r="T43" s="45"/>
      <c r="U43" s="45"/>
      <c r="V43" s="44"/>
      <c r="W43" s="44"/>
      <c r="X43" s="44"/>
      <c r="Y43" s="44"/>
      <c r="Z43" s="1"/>
      <c r="AA43" s="1"/>
      <c r="AB43" s="1"/>
      <c r="AC43" s="1"/>
      <c r="AD43" s="43"/>
      <c r="AE43" s="43"/>
      <c r="AF43" s="43"/>
      <c r="AG43" s="43"/>
      <c r="AH43" s="44"/>
      <c r="AI43" s="44"/>
      <c r="AJ43" s="44"/>
      <c r="AK43" s="44"/>
      <c r="AL43" s="1"/>
      <c r="AM43" s="1"/>
      <c r="AN43" s="1"/>
      <c r="AO43" s="1"/>
      <c r="AP43" s="46"/>
      <c r="AQ43" s="46"/>
      <c r="AR43" s="46"/>
      <c r="AS43" s="46"/>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48"/>
      <c r="CW43" s="48"/>
      <c r="CX43" s="1"/>
    </row>
    <row r="44" spans="1:102" s="10" customFormat="1" ht="18" customHeight="1" x14ac:dyDescent="0.25">
      <c r="A44" s="6"/>
      <c r="B44" s="6"/>
      <c r="C44" s="1"/>
      <c r="D44" s="1"/>
      <c r="E44" s="1"/>
      <c r="F44" s="47"/>
      <c r="G44" s="47"/>
      <c r="H44" s="47"/>
      <c r="I44" s="47"/>
      <c r="J44" s="42"/>
      <c r="K44" s="42"/>
      <c r="L44" s="42"/>
      <c r="M44" s="42"/>
      <c r="N44" s="41"/>
      <c r="O44" s="41"/>
      <c r="P44" s="41"/>
      <c r="Q44" s="41"/>
      <c r="R44" s="45"/>
      <c r="S44" s="45"/>
      <c r="T44" s="45"/>
      <c r="U44" s="45"/>
      <c r="V44" s="44"/>
      <c r="W44" s="44"/>
      <c r="X44" s="44"/>
      <c r="Y44" s="44"/>
      <c r="Z44" s="1"/>
      <c r="AA44" s="1"/>
      <c r="AB44" s="1"/>
      <c r="AC44" s="1"/>
      <c r="AD44" s="43"/>
      <c r="AE44" s="43"/>
      <c r="AF44" s="43"/>
      <c r="AG44" s="43"/>
      <c r="AH44" s="44"/>
      <c r="AI44" s="44"/>
      <c r="AJ44" s="44"/>
      <c r="AK44" s="44"/>
      <c r="AL44" s="1"/>
      <c r="AM44" s="1"/>
      <c r="AN44" s="1"/>
      <c r="AO44" s="1"/>
      <c r="AP44" s="46"/>
      <c r="AQ44" s="46"/>
      <c r="AR44" s="46"/>
      <c r="AS44" s="46"/>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48"/>
      <c r="CW44" s="48"/>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2"/>
  <sheetViews>
    <sheetView showZeros="0" tabSelected="1" topLeftCell="A14" zoomScale="85" zoomScaleNormal="85" workbookViewId="0">
      <selection activeCell="AF35" sqref="AF35"/>
    </sheetView>
  </sheetViews>
  <sheetFormatPr defaultRowHeight="15" x14ac:dyDescent="0.25"/>
  <cols>
    <col min="1" max="1" width="14.140625" bestFit="1" customWidth="1"/>
    <col min="2" max="2" width="16.28515625" style="51" bestFit="1" customWidth="1"/>
    <col min="3" max="3" width="10.28515625" bestFit="1" customWidth="1"/>
    <col min="4" max="4" width="37.5703125" bestFit="1" customWidth="1"/>
    <col min="5" max="5" width="17.7109375" style="2" customWidth="1"/>
    <col min="6" max="6" width="16.7109375" customWidth="1"/>
    <col min="7" max="7" width="15.42578125" bestFit="1" customWidth="1"/>
    <col min="8" max="8" width="13.140625" style="5" customWidth="1"/>
    <col min="9" max="9" width="12.85546875" bestFit="1" customWidth="1"/>
    <col min="10" max="10" width="13.140625" bestFit="1" customWidth="1"/>
    <col min="11" max="11" width="10.28515625" bestFit="1" customWidth="1"/>
    <col min="12" max="12" width="11.140625" customWidth="1"/>
    <col min="13" max="13" width="15.5703125" customWidth="1"/>
    <col min="14" max="14" width="7.85546875" style="15" customWidth="1"/>
    <col min="15" max="24" width="7.85546875" style="15" hidden="1" customWidth="1"/>
    <col min="25" max="25" width="9.7109375" style="15" customWidth="1"/>
    <col min="26" max="31" width="7.85546875" style="15" hidden="1" customWidth="1"/>
    <col min="32" max="32" width="7.85546875" style="15" customWidth="1"/>
    <col min="33" max="33" width="7.85546875" style="15" hidden="1" customWidth="1"/>
    <col min="34" max="34" width="7.85546875" style="15" customWidth="1"/>
    <col min="35" max="49" width="7.85546875" style="15" hidden="1" customWidth="1"/>
    <col min="50" max="50" width="7.85546875" style="15" customWidth="1"/>
    <col min="51" max="58" width="7.85546875" style="15" hidden="1" customWidth="1"/>
    <col min="59" max="59" width="7.85546875" style="15" customWidth="1"/>
    <col min="60" max="71" width="7.85546875" style="15" hidden="1" customWidth="1"/>
    <col min="72" max="72" width="7.85546875" style="15" customWidth="1"/>
    <col min="73" max="75" width="7.85546875" style="15" hidden="1" customWidth="1"/>
    <col min="76" max="76" width="7.85546875" style="15" customWidth="1"/>
    <col min="77" max="82" width="7.85546875" style="15" hidden="1" customWidth="1"/>
    <col min="83" max="83" width="7.85546875" style="15" customWidth="1"/>
    <col min="84" max="84" width="7.85546875" style="15" hidden="1" customWidth="1"/>
    <col min="85" max="85" width="7.85546875" style="15" customWidth="1"/>
    <col min="86" max="86" width="11" style="15" customWidth="1"/>
    <col min="87" max="87" width="21.570312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20" ht="15.75" thickBot="1" x14ac:dyDescent="0.3">
      <c r="A1" s="82"/>
      <c r="B1" s="82"/>
      <c r="C1" s="82"/>
      <c r="D1" s="82"/>
      <c r="E1" s="82"/>
      <c r="F1" s="82"/>
      <c r="G1" s="82"/>
      <c r="H1" s="82"/>
      <c r="I1" s="82"/>
      <c r="J1" s="82"/>
      <c r="K1" s="82"/>
      <c r="L1" s="82"/>
      <c r="M1" s="82"/>
      <c r="N1" s="82"/>
      <c r="O1" s="82"/>
      <c r="P1" s="82"/>
      <c r="Q1" s="82"/>
      <c r="R1" s="82"/>
      <c r="S1" s="82"/>
      <c r="T1" s="82"/>
    </row>
    <row r="2" spans="1:20" ht="23.25" thickBot="1" x14ac:dyDescent="0.5">
      <c r="A2" s="192" t="s">
        <v>245</v>
      </c>
      <c r="B2" s="193"/>
      <c r="C2" s="193"/>
      <c r="D2" s="193"/>
      <c r="E2" s="193"/>
      <c r="F2" s="193"/>
      <c r="G2" s="193"/>
      <c r="H2" s="193"/>
      <c r="I2" s="193"/>
      <c r="J2" s="193"/>
      <c r="K2" s="193"/>
      <c r="L2" s="193"/>
      <c r="M2" s="193"/>
      <c r="N2" s="193"/>
      <c r="O2" s="193"/>
      <c r="P2" s="193"/>
      <c r="Q2" s="193"/>
      <c r="R2" s="193"/>
      <c r="S2" s="194"/>
      <c r="T2" s="83"/>
    </row>
    <row r="3" spans="1:20" ht="15.75" thickBot="1" x14ac:dyDescent="0.3">
      <c r="B3"/>
      <c r="E3"/>
      <c r="H3"/>
      <c r="N3"/>
      <c r="O3"/>
      <c r="P3"/>
      <c r="Q3"/>
      <c r="R3"/>
      <c r="S3"/>
      <c r="T3"/>
    </row>
    <row r="4" spans="1:20" ht="45.75" thickBot="1" x14ac:dyDescent="0.3">
      <c r="A4" s="84" t="s">
        <v>232</v>
      </c>
      <c r="B4" s="195" t="s">
        <v>246</v>
      </c>
      <c r="C4" s="195"/>
      <c r="D4" s="195"/>
      <c r="E4" s="195"/>
      <c r="F4" s="195"/>
      <c r="G4" s="195"/>
      <c r="H4" s="195"/>
      <c r="I4" s="195"/>
      <c r="J4" s="195"/>
      <c r="K4" s="195"/>
      <c r="L4" s="195"/>
      <c r="M4" s="195"/>
      <c r="N4" s="195"/>
      <c r="O4" s="195"/>
      <c r="P4" s="195"/>
      <c r="Q4" s="195"/>
      <c r="R4" s="195"/>
      <c r="S4"/>
      <c r="T4" s="82"/>
    </row>
    <row r="5" spans="1:20" ht="45" x14ac:dyDescent="0.25">
      <c r="A5" s="84" t="s">
        <v>233</v>
      </c>
      <c r="B5" s="195" t="s">
        <v>247</v>
      </c>
      <c r="C5" s="195"/>
      <c r="D5" s="195"/>
      <c r="E5" s="195"/>
      <c r="F5" s="195"/>
      <c r="G5" s="195"/>
      <c r="H5" s="195"/>
      <c r="I5" s="195"/>
      <c r="J5" s="195"/>
      <c r="K5" s="195"/>
      <c r="L5" s="195"/>
      <c r="M5" s="195"/>
      <c r="N5" s="195"/>
      <c r="O5" s="195"/>
      <c r="P5" s="195"/>
      <c r="Q5" s="195"/>
      <c r="R5" s="195"/>
      <c r="S5"/>
      <c r="T5" s="82"/>
    </row>
    <row r="6" spans="1:20" ht="45" x14ac:dyDescent="0.25">
      <c r="A6" s="85" t="s">
        <v>234</v>
      </c>
      <c r="B6" s="196" t="s">
        <v>248</v>
      </c>
      <c r="C6" s="195"/>
      <c r="D6" s="195"/>
      <c r="E6" s="195"/>
      <c r="F6" s="195"/>
      <c r="G6" s="195"/>
      <c r="H6" s="195"/>
      <c r="I6" s="195"/>
      <c r="J6" s="195"/>
      <c r="K6" s="195"/>
      <c r="L6" s="195"/>
      <c r="M6" s="195"/>
      <c r="N6" s="195"/>
      <c r="O6" s="195"/>
      <c r="P6" s="195"/>
      <c r="Q6" s="195"/>
      <c r="R6" s="195"/>
      <c r="S6"/>
      <c r="T6" s="82"/>
    </row>
    <row r="7" spans="1:20" ht="30" x14ac:dyDescent="0.25">
      <c r="A7" s="85" t="s">
        <v>235</v>
      </c>
      <c r="B7" s="185" t="s">
        <v>249</v>
      </c>
      <c r="C7" s="195"/>
      <c r="D7" s="195"/>
      <c r="E7" s="195"/>
      <c r="F7" s="195"/>
      <c r="G7" s="195"/>
      <c r="H7" s="195"/>
      <c r="I7" s="195"/>
      <c r="J7" s="195"/>
      <c r="K7" s="195"/>
      <c r="L7" s="195"/>
      <c r="M7" s="195"/>
      <c r="N7" s="195"/>
      <c r="O7" s="195"/>
      <c r="P7" s="195"/>
      <c r="Q7" s="195"/>
      <c r="R7" s="195"/>
      <c r="S7"/>
      <c r="T7" s="82"/>
    </row>
    <row r="8" spans="1:20" ht="31.5" customHeight="1" x14ac:dyDescent="0.25">
      <c r="A8" s="85" t="s">
        <v>236</v>
      </c>
      <c r="B8" s="185" t="s">
        <v>309</v>
      </c>
      <c r="C8" s="185"/>
      <c r="D8" s="185"/>
      <c r="E8" s="185"/>
      <c r="F8" s="185"/>
      <c r="G8" s="185"/>
      <c r="H8" s="185"/>
      <c r="I8" s="185"/>
      <c r="J8" s="185"/>
      <c r="K8" s="185"/>
      <c r="L8" s="185"/>
      <c r="M8" s="185"/>
      <c r="N8" s="185"/>
      <c r="O8" s="185"/>
      <c r="P8" s="185"/>
      <c r="Q8" s="185"/>
      <c r="R8" s="185"/>
      <c r="S8"/>
      <c r="T8" s="82"/>
    </row>
    <row r="9" spans="1:20" x14ac:dyDescent="0.25">
      <c r="A9" s="85" t="s">
        <v>237</v>
      </c>
      <c r="B9" s="186" t="s">
        <v>250</v>
      </c>
      <c r="C9" s="187"/>
      <c r="D9" s="187"/>
      <c r="E9" s="187"/>
      <c r="F9" s="187"/>
      <c r="G9" s="187"/>
      <c r="H9" s="187"/>
      <c r="I9" s="187"/>
      <c r="J9" s="187"/>
      <c r="K9" s="187"/>
      <c r="L9" s="187"/>
      <c r="M9" s="187"/>
      <c r="N9" s="187"/>
      <c r="O9" s="187"/>
      <c r="P9" s="187"/>
      <c r="Q9" s="187"/>
      <c r="R9" s="188"/>
      <c r="S9" s="82"/>
      <c r="T9" s="82"/>
    </row>
    <row r="10" spans="1:20" ht="30" x14ac:dyDescent="0.25">
      <c r="A10" s="85" t="s">
        <v>238</v>
      </c>
      <c r="B10" s="185" t="s">
        <v>239</v>
      </c>
      <c r="C10" s="185"/>
      <c r="D10" s="185"/>
      <c r="E10" s="185"/>
      <c r="F10" s="185"/>
      <c r="G10" s="185"/>
      <c r="H10" s="185"/>
      <c r="I10" s="185"/>
      <c r="J10" s="185"/>
      <c r="K10" s="185"/>
      <c r="L10" s="185"/>
      <c r="M10" s="185"/>
      <c r="N10" s="185"/>
      <c r="O10" s="185"/>
      <c r="P10" s="185"/>
      <c r="Q10" s="185"/>
      <c r="R10" s="185"/>
      <c r="S10"/>
      <c r="T10" s="82"/>
    </row>
    <row r="11" spans="1:20" ht="54" customHeight="1" x14ac:dyDescent="0.25">
      <c r="A11" s="85" t="s">
        <v>240</v>
      </c>
      <c r="B11" s="189" t="s">
        <v>241</v>
      </c>
      <c r="C11" s="190"/>
      <c r="D11" s="190"/>
      <c r="E11" s="190"/>
      <c r="F11" s="190"/>
      <c r="G11" s="190"/>
      <c r="H11" s="190"/>
      <c r="I11" s="190"/>
      <c r="J11" s="190"/>
      <c r="K11" s="190"/>
      <c r="L11" s="190"/>
      <c r="M11" s="190"/>
      <c r="N11" s="190"/>
      <c r="O11" s="190"/>
      <c r="P11" s="190"/>
      <c r="Q11" s="190"/>
      <c r="R11" s="191"/>
      <c r="S11"/>
      <c r="T11" s="82"/>
    </row>
    <row r="12" spans="1:20" ht="30" x14ac:dyDescent="0.25">
      <c r="A12" s="86" t="s">
        <v>242</v>
      </c>
      <c r="B12" s="182" t="s">
        <v>251</v>
      </c>
      <c r="C12" s="182"/>
      <c r="D12" s="182"/>
      <c r="E12" s="182"/>
      <c r="F12" s="182"/>
      <c r="G12" s="182"/>
      <c r="H12" s="182"/>
      <c r="I12" s="182"/>
      <c r="J12" s="182"/>
      <c r="K12" s="182"/>
      <c r="L12" s="182"/>
      <c r="M12" s="182"/>
      <c r="N12" s="182"/>
      <c r="O12" s="182"/>
      <c r="P12" s="182"/>
      <c r="Q12" s="182"/>
      <c r="R12" s="182"/>
      <c r="S12" s="82"/>
      <c r="T12" s="82"/>
    </row>
    <row r="13" spans="1:20" x14ac:dyDescent="0.25">
      <c r="A13" s="86" t="s">
        <v>243</v>
      </c>
      <c r="B13" s="182" t="s">
        <v>252</v>
      </c>
      <c r="C13" s="182"/>
      <c r="D13" s="182"/>
      <c r="E13" s="182"/>
      <c r="F13" s="182"/>
      <c r="G13" s="182"/>
      <c r="H13" s="182"/>
      <c r="I13" s="182"/>
      <c r="J13" s="182"/>
      <c r="K13" s="182"/>
      <c r="L13" s="182"/>
      <c r="M13" s="182"/>
      <c r="N13" s="182"/>
      <c r="O13" s="182"/>
      <c r="P13" s="182"/>
      <c r="Q13" s="182"/>
      <c r="R13" s="182"/>
      <c r="S13" s="82"/>
      <c r="T13" s="82"/>
    </row>
    <row r="14" spans="1:20" ht="30" x14ac:dyDescent="0.25">
      <c r="A14" s="87" t="s">
        <v>244</v>
      </c>
      <c r="B14" s="183"/>
      <c r="C14" s="183"/>
      <c r="D14" s="183"/>
      <c r="E14" s="183"/>
      <c r="F14" s="183"/>
      <c r="G14" s="183"/>
      <c r="H14" s="183"/>
      <c r="I14" s="183"/>
      <c r="J14" s="183"/>
      <c r="K14" s="183"/>
      <c r="L14" s="183"/>
      <c r="M14" s="183"/>
      <c r="N14" s="183"/>
      <c r="O14" s="183"/>
      <c r="P14" s="183"/>
      <c r="Q14" s="183"/>
      <c r="R14" s="183"/>
      <c r="S14" s="184"/>
      <c r="T14" s="82"/>
    </row>
    <row r="17" spans="1:104" s="22" customFormat="1" ht="28.9" customHeight="1" x14ac:dyDescent="0.25">
      <c r="A17" s="72"/>
      <c r="B17" s="72"/>
      <c r="C17" s="73"/>
      <c r="D17" s="73"/>
      <c r="E17" s="26"/>
      <c r="H17" s="27"/>
      <c r="N17" s="204" t="s">
        <v>82</v>
      </c>
      <c r="O17" s="204"/>
      <c r="P17" s="204"/>
      <c r="Q17" s="204"/>
      <c r="R17" s="204"/>
      <c r="S17" s="204"/>
      <c r="T17" s="204"/>
      <c r="U17" s="204"/>
      <c r="V17" s="205" t="s">
        <v>4</v>
      </c>
      <c r="W17" s="205"/>
      <c r="X17" s="206" t="s">
        <v>3</v>
      </c>
      <c r="Y17" s="206"/>
      <c r="Z17" s="206"/>
      <c r="AA17" s="206"/>
      <c r="AB17" s="206"/>
      <c r="AC17" s="206"/>
      <c r="AD17" s="206"/>
      <c r="AE17" s="206"/>
      <c r="AF17" s="207" t="s">
        <v>5</v>
      </c>
      <c r="AG17" s="207"/>
      <c r="AH17" s="208" t="s">
        <v>6</v>
      </c>
      <c r="AI17" s="208"/>
      <c r="AJ17" s="208"/>
      <c r="AK17" s="208"/>
      <c r="AL17" s="208"/>
      <c r="AM17" s="208"/>
      <c r="AN17" s="208"/>
      <c r="AO17" s="208"/>
      <c r="AP17" s="208"/>
      <c r="AQ17" s="33" t="s">
        <v>7</v>
      </c>
      <c r="AR17" s="200" t="s">
        <v>8</v>
      </c>
      <c r="AS17" s="201"/>
      <c r="AT17" s="201"/>
      <c r="AU17" s="201"/>
      <c r="AV17" s="201"/>
      <c r="AW17" s="201"/>
      <c r="AX17" s="201"/>
      <c r="AY17" s="201"/>
      <c r="AZ17" s="201"/>
      <c r="BA17" s="202" t="s">
        <v>9</v>
      </c>
      <c r="BB17" s="202"/>
      <c r="BC17" s="202"/>
      <c r="BD17" s="202"/>
      <c r="BE17" s="202"/>
      <c r="BF17" s="202"/>
      <c r="BG17" s="202"/>
      <c r="BH17" s="202"/>
      <c r="BI17" s="202"/>
      <c r="BJ17" s="202"/>
      <c r="BK17" s="202"/>
      <c r="BL17" s="203" t="s">
        <v>10</v>
      </c>
      <c r="BM17" s="203"/>
      <c r="BN17" s="203"/>
      <c r="BO17" s="203"/>
      <c r="BP17" s="203"/>
      <c r="BQ17" s="203"/>
      <c r="BR17" s="203"/>
      <c r="BS17" s="203"/>
      <c r="BT17" s="203"/>
      <c r="BU17" s="203"/>
      <c r="BV17" s="203"/>
      <c r="BW17" s="203"/>
      <c r="BX17" s="34" t="s">
        <v>11</v>
      </c>
      <c r="BY17" s="36" t="s">
        <v>12</v>
      </c>
      <c r="BZ17" s="30" t="s">
        <v>13</v>
      </c>
      <c r="CA17" s="32" t="s">
        <v>14</v>
      </c>
      <c r="CB17" s="31" t="s">
        <v>15</v>
      </c>
      <c r="CC17" s="38" t="s">
        <v>16</v>
      </c>
      <c r="CD17" s="39" t="s">
        <v>17</v>
      </c>
      <c r="CE17" s="35" t="s">
        <v>18</v>
      </c>
      <c r="CF17" s="30" t="s">
        <v>19</v>
      </c>
      <c r="CG17" s="197" t="s">
        <v>84</v>
      </c>
      <c r="CH17" s="198"/>
      <c r="CI17" s="198"/>
      <c r="CJ17" s="199"/>
      <c r="CK17" s="54" t="s">
        <v>20</v>
      </c>
      <c r="CL17" s="23" t="s">
        <v>21</v>
      </c>
      <c r="CM17" s="24" t="s">
        <v>40</v>
      </c>
      <c r="CN17" s="23" t="s">
        <v>81</v>
      </c>
      <c r="CO17" s="25"/>
      <c r="CP17" s="26"/>
      <c r="CQ17" s="27"/>
      <c r="CR17" s="26"/>
      <c r="CS17" s="26"/>
      <c r="CT17" s="27"/>
      <c r="CV17" s="27"/>
      <c r="CZ17" s="22" t="s">
        <v>126</v>
      </c>
    </row>
    <row r="18" spans="1:104" s="11" customFormat="1" ht="89.25" x14ac:dyDescent="0.25">
      <c r="A18" s="64" t="s">
        <v>0</v>
      </c>
      <c r="B18" s="65" t="s">
        <v>85</v>
      </c>
      <c r="C18" s="64" t="s">
        <v>1</v>
      </c>
      <c r="D18" s="64" t="s">
        <v>2</v>
      </c>
      <c r="E18" s="3" t="s">
        <v>31</v>
      </c>
      <c r="F18" s="9" t="s">
        <v>32</v>
      </c>
      <c r="G18" s="9" t="s">
        <v>33</v>
      </c>
      <c r="H18" s="4" t="s">
        <v>34</v>
      </c>
      <c r="I18" s="9" t="s">
        <v>35</v>
      </c>
      <c r="J18" s="9" t="s">
        <v>36</v>
      </c>
      <c r="K18" s="9" t="s">
        <v>37</v>
      </c>
      <c r="L18" s="9" t="s">
        <v>38</v>
      </c>
      <c r="M18" s="9" t="s">
        <v>39</v>
      </c>
      <c r="N18" s="66" t="s">
        <v>41</v>
      </c>
      <c r="O18" s="66" t="s">
        <v>46</v>
      </c>
      <c r="P18" s="66" t="s">
        <v>43</v>
      </c>
      <c r="Q18" s="66" t="s">
        <v>123</v>
      </c>
      <c r="R18" s="66" t="s">
        <v>124</v>
      </c>
      <c r="S18" s="66" t="s">
        <v>125</v>
      </c>
      <c r="T18" s="66" t="s">
        <v>44</v>
      </c>
      <c r="U18" s="66" t="s">
        <v>45</v>
      </c>
      <c r="V18" s="66" t="s">
        <v>41</v>
      </c>
      <c r="W18" s="66" t="s">
        <v>46</v>
      </c>
      <c r="X18" s="67" t="s">
        <v>53</v>
      </c>
      <c r="Y18" s="67" t="s">
        <v>57</v>
      </c>
      <c r="Z18" s="67" t="s">
        <v>60</v>
      </c>
      <c r="AA18" s="67" t="s">
        <v>65</v>
      </c>
      <c r="AB18" s="67" t="s">
        <v>69</v>
      </c>
      <c r="AC18" s="67" t="s">
        <v>71</v>
      </c>
      <c r="AD18" s="67" t="s">
        <v>73</v>
      </c>
      <c r="AE18" s="67" t="s">
        <v>75</v>
      </c>
      <c r="AF18" s="67" t="s">
        <v>52</v>
      </c>
      <c r="AG18" s="67" t="s">
        <v>56</v>
      </c>
      <c r="AH18" s="67" t="s">
        <v>51</v>
      </c>
      <c r="AI18" s="67" t="s">
        <v>47</v>
      </c>
      <c r="AJ18" s="67" t="s">
        <v>59</v>
      </c>
      <c r="AK18" s="67" t="s">
        <v>64</v>
      </c>
      <c r="AL18" s="67" t="s">
        <v>68</v>
      </c>
      <c r="AM18" s="67" t="s">
        <v>87</v>
      </c>
      <c r="AN18" s="67" t="s">
        <v>88</v>
      </c>
      <c r="AO18" s="67" t="s">
        <v>86</v>
      </c>
      <c r="AP18" s="67" t="s">
        <v>94</v>
      </c>
      <c r="AQ18" s="68" t="s">
        <v>7</v>
      </c>
      <c r="AR18" s="67" t="s">
        <v>54</v>
      </c>
      <c r="AS18" s="67" t="s">
        <v>58</v>
      </c>
      <c r="AT18" s="67" t="s">
        <v>63</v>
      </c>
      <c r="AU18" s="67" t="s">
        <v>61</v>
      </c>
      <c r="AV18" s="67" t="s">
        <v>66</v>
      </c>
      <c r="AW18" s="67" t="s">
        <v>70</v>
      </c>
      <c r="AX18" s="67" t="s">
        <v>48</v>
      </c>
      <c r="AY18" s="67" t="s">
        <v>122</v>
      </c>
      <c r="AZ18" s="67" t="s">
        <v>74</v>
      </c>
      <c r="BA18" s="67" t="s">
        <v>55</v>
      </c>
      <c r="BB18" s="67" t="s">
        <v>42</v>
      </c>
      <c r="BC18" s="67" t="s">
        <v>62</v>
      </c>
      <c r="BD18" s="67" t="s">
        <v>67</v>
      </c>
      <c r="BE18" s="67" t="s">
        <v>89</v>
      </c>
      <c r="BF18" s="67" t="s">
        <v>72</v>
      </c>
      <c r="BG18" s="67" t="s">
        <v>49</v>
      </c>
      <c r="BH18" s="67" t="s">
        <v>76</v>
      </c>
      <c r="BI18" s="67" t="s">
        <v>77</v>
      </c>
      <c r="BJ18" s="67" t="s">
        <v>78</v>
      </c>
      <c r="BK18" s="67" t="s">
        <v>80</v>
      </c>
      <c r="BL18" s="67" t="s">
        <v>54</v>
      </c>
      <c r="BM18" s="67" t="s">
        <v>58</v>
      </c>
      <c r="BN18" s="67" t="s">
        <v>63</v>
      </c>
      <c r="BO18" s="67" t="s">
        <v>61</v>
      </c>
      <c r="BP18" s="67" t="s">
        <v>90</v>
      </c>
      <c r="BQ18" s="67" t="s">
        <v>95</v>
      </c>
      <c r="BR18" s="67" t="s">
        <v>91</v>
      </c>
      <c r="BS18" s="67" t="s">
        <v>66</v>
      </c>
      <c r="BT18" s="67" t="s">
        <v>48</v>
      </c>
      <c r="BU18" s="67" t="s">
        <v>122</v>
      </c>
      <c r="BV18" s="67" t="s">
        <v>74</v>
      </c>
      <c r="BW18" s="67" t="s">
        <v>79</v>
      </c>
      <c r="BX18" s="68" t="s">
        <v>11</v>
      </c>
      <c r="BY18" s="68" t="s">
        <v>50</v>
      </c>
      <c r="BZ18" s="69" t="s">
        <v>13</v>
      </c>
      <c r="CA18" s="70" t="s">
        <v>14</v>
      </c>
      <c r="CB18" s="69" t="s">
        <v>15</v>
      </c>
      <c r="CC18" s="69" t="s">
        <v>16</v>
      </c>
      <c r="CD18" s="69" t="s">
        <v>17</v>
      </c>
      <c r="CE18" s="70" t="s">
        <v>18</v>
      </c>
      <c r="CF18" s="69" t="s">
        <v>19</v>
      </c>
      <c r="CG18" s="58" t="s">
        <v>83</v>
      </c>
      <c r="CH18" s="58" t="s">
        <v>92</v>
      </c>
      <c r="CI18" s="58" t="s">
        <v>93</v>
      </c>
      <c r="CJ18" s="58" t="s">
        <v>96</v>
      </c>
      <c r="CK18" s="14"/>
      <c r="CL18" s="14"/>
      <c r="CM18" s="12"/>
      <c r="CN18" s="14"/>
      <c r="CO18" s="7" t="s">
        <v>22</v>
      </c>
      <c r="CP18" s="3" t="s">
        <v>23</v>
      </c>
      <c r="CQ18" s="4" t="s">
        <v>24</v>
      </c>
      <c r="CR18" s="3" t="s">
        <v>25</v>
      </c>
      <c r="CS18" s="3" t="s">
        <v>26</v>
      </c>
      <c r="CT18" s="4" t="s">
        <v>27</v>
      </c>
      <c r="CU18" s="9" t="s">
        <v>28</v>
      </c>
      <c r="CV18" s="4" t="s">
        <v>29</v>
      </c>
      <c r="CW18" s="9" t="s">
        <v>30</v>
      </c>
      <c r="CX18" s="4" t="s">
        <v>97</v>
      </c>
      <c r="CY18" s="9" t="s">
        <v>98</v>
      </c>
    </row>
    <row r="19" spans="1:104" s="14" customFormat="1" x14ac:dyDescent="0.25">
      <c r="A19" s="16"/>
      <c r="B19" s="50"/>
      <c r="C19" s="16"/>
      <c r="D19" s="16"/>
      <c r="E19" s="3"/>
      <c r="F19" s="61"/>
      <c r="G19" s="53"/>
      <c r="H19" s="3"/>
      <c r="I19" s="3"/>
      <c r="J19" s="3"/>
      <c r="K19" s="62"/>
      <c r="L19" s="3"/>
      <c r="M19" s="3"/>
      <c r="N19" s="17">
        <v>326</v>
      </c>
      <c r="O19" s="17">
        <f>+IFERROR(VLOOKUP($O$18,Sheet1!J:L,2,0),0)</f>
        <v>0</v>
      </c>
      <c r="P19" s="17">
        <f>+IFERROR(VLOOKUP($P$18,Sheet1!J:M,2,0),0)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+IFERROR(VLOOKUP($V$18,Sheet1!N:Q,2,0),0)</f>
        <v>0</v>
      </c>
      <c r="W19" s="17">
        <f>+IFERROR(VLOOKUP($W$18,Sheet1!N:O,2,0),0)</f>
        <v>0</v>
      </c>
      <c r="X19" s="18">
        <f>+IFERROR(VLOOKUP($X$18,Sheet1!F:I,2,0),0)</f>
        <v>0</v>
      </c>
      <c r="Y19" s="18">
        <v>1403</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v>160</v>
      </c>
      <c r="AG19" s="18">
        <f>+IFERROR(VLOOKUP($AG$18,Sheet1!R:U,2,0),0)</f>
        <v>0</v>
      </c>
      <c r="AH19" s="18">
        <v>125</v>
      </c>
      <c r="AI19" s="18">
        <f>+IFERROR(VLOOKUP($AI$18,Sheet1!V:Y,2,0),0)</f>
        <v>0</v>
      </c>
      <c r="AJ19" s="18">
        <f>+IFERROR(VLOOKUP($AJ$18,Sheet1!V:Y,2,0),0)</f>
        <v>0</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9">
        <f>+IFERROR(VLOOKUP($AQ$18,Sheet1!Z2:AA840,2,0),0)</f>
        <v>0</v>
      </c>
      <c r="AR19" s="18">
        <f>+IFERROR(VLOOKUP($AR$18,Sheet1!AD2:AG840,2,0),0)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v>64</v>
      </c>
      <c r="AY19" s="18">
        <f>+IFERROR(VLOOKUP($AY$18,Sheet1!AD2:AG840,2,0),0)</f>
        <v>0</v>
      </c>
      <c r="AZ19" s="18">
        <f>+IFERROR(VLOOKUP($AZ$18,Sheet1!AD2:AG840,2,0),0)</f>
        <v>0</v>
      </c>
      <c r="BA19" s="18">
        <f>+IFERROR(VLOOKUP($BA$18,Sheet1!AH2:AK840,2,0),0)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v>74</v>
      </c>
      <c r="BH19" s="18">
        <f>+IFERROR(VLOOKUP($BH$18,Sheet1!AH2:AK840,2,0),0)</f>
        <v>0</v>
      </c>
      <c r="BI19" s="18">
        <f>+IFERROR(VLOOKUP($BI$18,Sheet1!AH2:AK840,2,0),0)</f>
        <v>0</v>
      </c>
      <c r="BJ19" s="18">
        <f>+IFERROR(VLOOKUP($BJ$18,Sheet1!AH2:AK840,2,0),0)</f>
        <v>0</v>
      </c>
      <c r="BK19" s="18">
        <f>+IFERROR(VLOOKUP($BK$18,Sheet1!AH2:AK840,2,0),0)</f>
        <v>0</v>
      </c>
      <c r="BL19" s="18">
        <f>+IFERROR(VLOOKUP($BL$18,Sheet1!AL2:AO840,2,0),0)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v>64</v>
      </c>
      <c r="BU19" s="18">
        <f>+IFERROR(VLOOKUP($BU$18,Sheet1!AL2:AO840,2,0),0)</f>
        <v>0</v>
      </c>
      <c r="BV19" s="18">
        <f>+IFERROR(VLOOKUP($BV$18,Sheet1!AL2:AO840,2,0),0)</f>
        <v>0</v>
      </c>
      <c r="BW19" s="18">
        <f>+IFERROR(VLOOKUP($BW$18,Sheet1!AL2:AO840,2,0),0)</f>
        <v>0</v>
      </c>
      <c r="BX19" s="19">
        <v>27</v>
      </c>
      <c r="BY19" s="19">
        <f>+IFERROR(VLOOKUP($BY$18,Sheet1!AT2:AW840,2,0),0)</f>
        <v>0</v>
      </c>
      <c r="BZ19" s="20">
        <f>+IFERROR(VLOOKUP($BZ$18,Sheet1!AX2:BA840,2,0),0)</f>
        <v>0</v>
      </c>
      <c r="CA19" s="21">
        <f>+IFERROR(VLOOKUP($CA$18,Sheet1!BB2:BE840,2,0),0)</f>
        <v>0</v>
      </c>
      <c r="CB19" s="20">
        <f>+IFERROR(VLOOKUP($CB$18,Sheet1!BF2:BI840,2,0),0)</f>
        <v>0</v>
      </c>
      <c r="CC19" s="20">
        <f>+IFERROR(VLOOKUP($CC$18,Sheet1!BJ2:BM840,2,0),0)</f>
        <v>0</v>
      </c>
      <c r="CD19" s="20">
        <f>+IFERROR(VLOOKUP($CD$18,Sheet1!BN2:BQ840,2,0),0)</f>
        <v>0</v>
      </c>
      <c r="CE19" s="21">
        <v>282</v>
      </c>
      <c r="CF19" s="20">
        <f>+IFERROR(VLOOKUP($CF$18,Sheet1!BV2:BY840,2,0),0)</f>
        <v>0</v>
      </c>
      <c r="CG19" s="55"/>
      <c r="CH19" s="55"/>
      <c r="CI19" s="55"/>
      <c r="CJ19" s="55"/>
      <c r="CO19" s="3"/>
      <c r="CP19" s="3"/>
      <c r="CQ19" s="3"/>
      <c r="CR19" s="3"/>
      <c r="CS19" s="3"/>
      <c r="CT19" s="3"/>
      <c r="CU19" s="3"/>
      <c r="CV19" s="3"/>
      <c r="CW19" s="3"/>
      <c r="CX19" s="3"/>
      <c r="CY19" s="3"/>
    </row>
    <row r="20" spans="1:104" s="22" customFormat="1" ht="30" x14ac:dyDescent="0.25">
      <c r="A20" s="6" t="str">
        <f>Sheet1!A3</f>
        <v>ENQ-18639-25-26</v>
      </c>
      <c r="B20" s="71">
        <v>46054</v>
      </c>
      <c r="C20" s="6" t="str">
        <f>Sheet1!C3</f>
        <v>FA1300002</v>
      </c>
      <c r="D20" s="6" t="str">
        <f>Sheet1!D3</f>
        <v>3 CORE X 185 SQ. MM AL/ARM - STRIP (XLPE) - 11 KV</v>
      </c>
      <c r="E20" s="23">
        <f>CS20+CU20+CW20+CY20</f>
        <v>1111236.3060000001</v>
      </c>
      <c r="F20" s="91">
        <f>ROUNDUP(M26,0)</f>
        <v>39000</v>
      </c>
      <c r="G20" s="28">
        <f>E20+F20</f>
        <v>1150236.3060000001</v>
      </c>
      <c r="H20" s="29">
        <f>Sheet1!CR3</f>
        <v>0.18</v>
      </c>
      <c r="I20" s="28">
        <f>G20*H20</f>
        <v>207042.53508</v>
      </c>
      <c r="J20" s="28">
        <f>G20+I20</f>
        <v>1357278.8410800002</v>
      </c>
      <c r="K20" s="63">
        <f>Sheet1!CU3</f>
        <v>600</v>
      </c>
      <c r="L20" s="60" t="str">
        <f>Sheet1!CV3</f>
        <v>KMS</v>
      </c>
      <c r="M20" s="23">
        <f>J20*K20</f>
        <v>814367304.64800012</v>
      </c>
      <c r="N20" s="180">
        <v>1501</v>
      </c>
      <c r="O20" s="89">
        <f>+IFERROR(VLOOKUP($O$18,Sheet1!J3:L3,3,0),0)</f>
        <v>0</v>
      </c>
      <c r="P20" s="89">
        <f>+IFERROR(VLOOKUP($P$18,Sheet1!J3:M3,3,0),0)</f>
        <v>0</v>
      </c>
      <c r="Q20" s="89">
        <f>+IFERROR(VLOOKUP($Q$18,Sheet1!J3:M3,3,0),0)</f>
        <v>0</v>
      </c>
      <c r="R20" s="89">
        <f>+IFERROR(VLOOKUP($R$18,Sheet1!J3:M3,3,0),0)</f>
        <v>0</v>
      </c>
      <c r="S20" s="89">
        <f>+IFERROR(VLOOKUP($S$18,Sheet1!J3:M3,3,0),0)</f>
        <v>0</v>
      </c>
      <c r="T20" s="89">
        <f>+IFERROR(VLOOKUP($T$18,Sheet1!J3:M3,3,0),0)</f>
        <v>0</v>
      </c>
      <c r="U20" s="89">
        <f>+IFERROR(VLOOKUP($U$18,Sheet1!J3:M3,3,0),0)</f>
        <v>0</v>
      </c>
      <c r="V20" s="89">
        <f>+IFERROR(VLOOKUP($V$18,Sheet1!N3:Q3,3,0),0)</f>
        <v>0</v>
      </c>
      <c r="W20" s="89">
        <f>+IFERROR(VLOOKUP($W$18,Sheet1!N3:Q3,3,0),0)</f>
        <v>0</v>
      </c>
      <c r="X20" s="89">
        <f>+IFERROR(VLOOKUP($X$18,Sheet1!F3:I3,3,0),0)</f>
        <v>0</v>
      </c>
      <c r="Y20" s="89">
        <f>+IFERROR(VLOOKUP($Y$18,Sheet1!F3:I3,3,0),0)</f>
        <v>75</v>
      </c>
      <c r="Z20" s="89">
        <f>+IFERROR(VLOOKUP($Z$18,Sheet1!F3:I3,3,0),0)</f>
        <v>0</v>
      </c>
      <c r="AA20" s="89">
        <f>+IFERROR(VLOOKUP($AA$18,Sheet1!F3:I3,3,0),0)</f>
        <v>0</v>
      </c>
      <c r="AB20" s="89">
        <f>+IFERROR(VLOOKUP($AB$18,Sheet1!F3:I3,3,0),0)</f>
        <v>0</v>
      </c>
      <c r="AC20" s="89">
        <f>+IFERROR(VLOOKUP($AC$18,Sheet1!F3:I3,3,0),0)</f>
        <v>0</v>
      </c>
      <c r="AD20" s="89">
        <f>+IFERROR(VLOOKUP($AD$18,Sheet1!F3:I3,3,0),0)</f>
        <v>0</v>
      </c>
      <c r="AE20" s="89">
        <f>+IFERROR(VLOOKUP($AE$18,Sheet1!F3:I3,3,0),0)</f>
        <v>0</v>
      </c>
      <c r="AF20" s="89">
        <f>+IFERROR(VLOOKUP($AF$18,Sheet1!R3:U3,3,0),0)</f>
        <v>276</v>
      </c>
      <c r="AG20" s="88">
        <f>+IFERROR(VLOOKUP($AG$18,Sheet1!R3:U3,3,0),0)</f>
        <v>0</v>
      </c>
      <c r="AH20" s="89">
        <f>+IFERROR(VLOOKUP($AH$18,Sheet1!V3:Y3,3,0),0)</f>
        <v>663</v>
      </c>
      <c r="AI20" s="88">
        <f>+IFERROR(VLOOKUP($AI$18,Sheet1!V3:Y3,3,0),0)</f>
        <v>0</v>
      </c>
      <c r="AJ20" s="88">
        <f>+IFERROR(VLOOKUP($AJ$18,Sheet1!V3:Y3,3,0),0)</f>
        <v>0</v>
      </c>
      <c r="AK20" s="88">
        <f>+IFERROR(VLOOKUP($AK$18,Sheet1!V3:Y3,3,0),0)</f>
        <v>0</v>
      </c>
      <c r="AL20" s="88">
        <f>+IFERROR(VLOOKUP($AL$18,Sheet1!V3:Y3,3,0),0)</f>
        <v>0</v>
      </c>
      <c r="AM20" s="88">
        <f>+IFERROR(VLOOKUP($AM$18,Sheet1!V3:Y3,3,0),0)</f>
        <v>0</v>
      </c>
      <c r="AN20" s="88">
        <f>+IFERROR(VLOOKUP($AN$18,Sheet1!V3:Y3,3,0),0)</f>
        <v>0</v>
      </c>
      <c r="AO20" s="88">
        <f>+IFERROR(VLOOKUP($AO$18,Sheet1!V3:Y3,3,0),0)</f>
        <v>0</v>
      </c>
      <c r="AP20" s="88">
        <f>+IFERROR(VLOOKUP($AP$18,Sheet1!V3:Y3,3,0),0)</f>
        <v>0</v>
      </c>
      <c r="AQ20" s="88">
        <f>+IFERROR(VLOOKUP($AQ$18,Sheet1!Z3:AB3,3,0),0)</f>
        <v>0</v>
      </c>
      <c r="AR20" s="88">
        <f>+IFERROR(VLOOKUP($AR$18,Sheet1!AD3:AG3,3,0),0)</f>
        <v>0</v>
      </c>
      <c r="AS20" s="88">
        <f>+IFERROR(VLOOKUP($AS$18,Sheet1!AD3:AG3,3,0),0)</f>
        <v>0</v>
      </c>
      <c r="AT20" s="88">
        <f>+IFERROR(VLOOKUP($AT$18,Sheet1!AD3:AG3,3,0),0)</f>
        <v>0</v>
      </c>
      <c r="AU20" s="88">
        <f>+IFERROR(VLOOKUP($AU$18,Sheet1!AD3:AG3,3,0),0)</f>
        <v>0</v>
      </c>
      <c r="AV20" s="88">
        <f>+IFERROR(VLOOKUP($AV$18,Sheet1!AD3:AG3,3,0),0)</f>
        <v>0</v>
      </c>
      <c r="AW20" s="88">
        <f>+IFERROR(VLOOKUP($AW$18,Sheet1!AD3:AG3,3,0),0)</f>
        <v>0</v>
      </c>
      <c r="AX20" s="88">
        <f>+IFERROR(VLOOKUP($AX$18,Sheet1!AD3:AG3,3,0),0)</f>
        <v>237</v>
      </c>
      <c r="AY20" s="88">
        <f>+IFERROR(VLOOKUP($AY$18,Sheet1!AD3:AG3,3,0),0)</f>
        <v>0</v>
      </c>
      <c r="AZ20" s="88">
        <f>+IFERROR(VLOOKUP($AZ$18,Sheet1!AD3:AG3,3,0),0)</f>
        <v>0</v>
      </c>
      <c r="BA20" s="88">
        <f>+IFERROR(VLOOKUP($BA$18,Sheet1!AH3:AK3,3,0),0)</f>
        <v>0</v>
      </c>
      <c r="BB20" s="88">
        <f>+IFERROR(VLOOKUP($BB$18,Sheet1!AH3:AK3,3,0),0)</f>
        <v>0</v>
      </c>
      <c r="BC20" s="88">
        <f>+IFERROR(VLOOKUP($BC$18,Sheet1!AH3:AK3,3,0),0)</f>
        <v>0</v>
      </c>
      <c r="BD20" s="88">
        <f>+IFERROR(VLOOKUP($BD$18,Sheet1!AH3:AK3,3,0),0)</f>
        <v>0</v>
      </c>
      <c r="BE20" s="88">
        <f>+IFERROR(VLOOKUP($BE$18,Sheet1!AH3:AK3,3,0),0)</f>
        <v>0</v>
      </c>
      <c r="BF20" s="88">
        <f>+IFERROR(VLOOKUP($BF$18,Sheet1!AH3:AK3,3,0),0)</f>
        <v>0</v>
      </c>
      <c r="BG20" s="88">
        <f>+IFERROR(VLOOKUP($BG$18,Sheet1!AH3:AK3,3,0),0)</f>
        <v>975</v>
      </c>
      <c r="BH20" s="88">
        <f>+IFERROR(VLOOKUP($BH$18,Sheet1!AH3:AK3,3,0),0)</f>
        <v>0</v>
      </c>
      <c r="BI20" s="88">
        <f>+IFERROR(VLOOKUP($BI$18,Sheet1!AH3:AK3,3,0),0)</f>
        <v>0</v>
      </c>
      <c r="BJ20" s="88">
        <f>+IFERROR(VLOOKUP($BJ$18,Sheet1!AH3:AK3,3,0),0)</f>
        <v>0</v>
      </c>
      <c r="BK20" s="88">
        <f>+IFERROR(VLOOKUP($BK$18,Sheet1!AH3:AK3,3,0),0)</f>
        <v>0</v>
      </c>
      <c r="BL20" s="88">
        <f>+IFERROR(VLOOKUP($BL$18,Sheet1!AL3:AO3,3,0),0)</f>
        <v>0</v>
      </c>
      <c r="BM20" s="88">
        <f>+IFERROR(VLOOKUP($BM$18,Sheet1!AL3:AO3,3,0),0)</f>
        <v>0</v>
      </c>
      <c r="BN20" s="88">
        <f>+IFERROR(VLOOKUP($BN$18,Sheet1!AL3:AO3,3,0),0)</f>
        <v>0</v>
      </c>
      <c r="BO20" s="88">
        <f>+IFERROR(VLOOKUP($BO$18,Sheet1!AL3:AO3,3,0),0)</f>
        <v>0</v>
      </c>
      <c r="BP20" s="88">
        <f>+IFERROR(VLOOKUP($BP$18,Sheet1!AL3:AO3,3,0),0)</f>
        <v>0</v>
      </c>
      <c r="BQ20" s="88">
        <f>+IFERROR(VLOOKUP($BQ$18,Sheet1!AL3:AO3,3,0),0)</f>
        <v>0</v>
      </c>
      <c r="BR20" s="88">
        <f>+IFERROR(VLOOKUP($BR$18,Sheet1!AL3:AO3,3,0),0)</f>
        <v>0</v>
      </c>
      <c r="BS20" s="88">
        <f>+IFERROR(VLOOKUP($BS$18,Sheet1!AL3:AO3,3,0),0)</f>
        <v>0</v>
      </c>
      <c r="BT20" s="88">
        <f>+IFERROR(VLOOKUP($BT$18,Sheet1!AL3:AO3,3,0),0)</f>
        <v>755</v>
      </c>
      <c r="BU20" s="88">
        <f>+IFERROR(VLOOKUP($BU$18,Sheet1!AL3:AO3,3,0),0)</f>
        <v>0</v>
      </c>
      <c r="BV20" s="88">
        <f>+IFERROR(VLOOKUP($BV$18,Sheet1!AL3:AO3,3,0),0)</f>
        <v>0</v>
      </c>
      <c r="BW20" s="88">
        <f>+IFERROR(VLOOKUP($BW$18,Sheet1!AL3:AO3,3,0),0)</f>
        <v>0</v>
      </c>
      <c r="BX20" s="181">
        <v>946</v>
      </c>
      <c r="BY20" s="88">
        <f>+IFERROR(VLOOKUP($BY$18,Sheet1!AT3:AW3,3,0),0)</f>
        <v>0</v>
      </c>
      <c r="BZ20" s="88">
        <f>+IFERROR(VLOOKUP($BZ$18,Sheet1!AX3:BA3,3,0),0)</f>
        <v>0</v>
      </c>
      <c r="CA20" s="88">
        <f>+IFERROR(VLOOKUP($CA$18,Sheet1!BB3:BE3,3,0),0)</f>
        <v>0</v>
      </c>
      <c r="CB20" s="88">
        <f>+IFERROR(VLOOKUP($CB$18,Sheet1!BF3:BI3,3,0),0)</f>
        <v>0</v>
      </c>
      <c r="CC20" s="88">
        <f>+IFERROR(VLOOKUP($CC$18,Sheet1!BJ3:BM3,3,0),0)</f>
        <v>0</v>
      </c>
      <c r="CD20" s="88">
        <f>+IFERROR(VLOOKUP($CD$18,Sheet1!BN3:BQ3,3,0),0)</f>
        <v>0</v>
      </c>
      <c r="CE20" s="181">
        <v>41</v>
      </c>
      <c r="CF20" s="37">
        <f>+IFERROR(VLOOKUP($CF$18,Sheet1!BV3:BY3,3,0),0)</f>
        <v>0</v>
      </c>
      <c r="CG20" s="56" t="str">
        <f>Sheet1!E3</f>
        <v>WOOD</v>
      </c>
      <c r="CH20" s="57" t="str">
        <f>Sheet1!CY3</f>
        <v>MD0100023</v>
      </c>
      <c r="CI20" s="57" t="str">
        <f>Sheet1!CZ3</f>
        <v>DRUM - 68 X 34 X 36 X 3</v>
      </c>
      <c r="CJ20" s="57">
        <f>Sheet1!CX3</f>
        <v>250</v>
      </c>
      <c r="CK20" s="23">
        <f>Sheet1!BZ3</f>
        <v>43820</v>
      </c>
      <c r="CL20" s="23">
        <f>SUMPRODUCT($N$19:$CF$19,N20:CF20)+CK20</f>
        <v>938148</v>
      </c>
      <c r="CM20" s="24">
        <f>Sheet1!CB3</f>
        <v>0</v>
      </c>
      <c r="CN20" s="23">
        <f>CL20*CM20</f>
        <v>0</v>
      </c>
      <c r="CO20" s="79">
        <v>0.15</v>
      </c>
      <c r="CP20" s="23">
        <f>CL20*CO20</f>
        <v>140722.19999999998</v>
      </c>
      <c r="CQ20" s="79">
        <f>Sheet1!CF3</f>
        <v>0</v>
      </c>
      <c r="CR20" s="23">
        <f>CL20*CQ20</f>
        <v>0</v>
      </c>
      <c r="CS20" s="23">
        <f>CL20+CN20+CP20+CR20</f>
        <v>1078870.2</v>
      </c>
      <c r="CT20" s="79">
        <v>0.02</v>
      </c>
      <c r="CU20" s="6">
        <f>CS20*CT20</f>
        <v>21577.403999999999</v>
      </c>
      <c r="CV20" s="79">
        <v>0.01</v>
      </c>
      <c r="CW20" s="6">
        <f>CS20*CV20</f>
        <v>10788.701999999999</v>
      </c>
      <c r="CX20" s="79">
        <f>Sheet1!CM3</f>
        <v>0</v>
      </c>
      <c r="CY20" s="6">
        <f>CX20*CS20</f>
        <v>0</v>
      </c>
    </row>
    <row r="21" spans="1:104" s="22" customFormat="1" ht="30" x14ac:dyDescent="0.25">
      <c r="A21" s="6" t="str">
        <f>Sheet1!A2</f>
        <v>ENQ-18639-25-26</v>
      </c>
      <c r="B21" s="71">
        <v>46054</v>
      </c>
      <c r="C21" s="6" t="str">
        <f>Sheet1!C2</f>
        <v>FA1300001</v>
      </c>
      <c r="D21" s="6" t="str">
        <f>Sheet1!D2</f>
        <v>3 CORE X 120 SQ. MM. AL/ARM - STRIP (XLPE) - 11 KV</v>
      </c>
      <c r="E21" s="23">
        <f>CS21+CU21+CW21+CY21</f>
        <v>835321.245</v>
      </c>
      <c r="F21" s="91">
        <f>ROUNDUP(M27,0)</f>
        <v>39000</v>
      </c>
      <c r="G21" s="28">
        <f>E21+F21</f>
        <v>874321.245</v>
      </c>
      <c r="H21" s="29">
        <f>Sheet1!CR2</f>
        <v>0.18</v>
      </c>
      <c r="I21" s="28">
        <f>G21*H21</f>
        <v>157377.8241</v>
      </c>
      <c r="J21" s="28">
        <f>G21+I21</f>
        <v>1031699.0691</v>
      </c>
      <c r="K21" s="63">
        <f>Sheet1!CU2</f>
        <v>100</v>
      </c>
      <c r="L21" s="60" t="str">
        <f>Sheet1!CV2</f>
        <v>KMS</v>
      </c>
      <c r="M21" s="23">
        <f>J21*K21</f>
        <v>103169906.91</v>
      </c>
      <c r="N21" s="180">
        <v>974</v>
      </c>
      <c r="O21" s="89">
        <f>+IFERROR(VLOOKUP($O$18,Sheet1!J2:L2,3,0),0)</f>
        <v>0</v>
      </c>
      <c r="P21" s="89">
        <f>+IFERROR(VLOOKUP($P$18,Sheet1!J2:M2,3,0),0)</f>
        <v>0</v>
      </c>
      <c r="Q21" s="89">
        <f>+IFERROR(VLOOKUP($Q$18,Sheet1!J2:M2,3,0),0)</f>
        <v>0</v>
      </c>
      <c r="R21" s="89">
        <f>+IFERROR(VLOOKUP($R$18,Sheet1!J2:M2,3,0),0)</f>
        <v>0</v>
      </c>
      <c r="S21" s="89">
        <f>+IFERROR(VLOOKUP($S$18,Sheet1!J2:M2,3,0),0)</f>
        <v>0</v>
      </c>
      <c r="T21" s="89">
        <f>+IFERROR(VLOOKUP($T$18,Sheet1!J2:M2,3,0),0)</f>
        <v>0</v>
      </c>
      <c r="U21" s="89">
        <f>+IFERROR(VLOOKUP($U$18,Sheet1!J2:M2,3,0),0)</f>
        <v>0</v>
      </c>
      <c r="V21" s="89">
        <f>+IFERROR(VLOOKUP($V$18,Sheet1!N2:Q2,3,0),0)</f>
        <v>0</v>
      </c>
      <c r="W21" s="89">
        <f>+IFERROR(VLOOKUP($W$18,Sheet1!N2:Q2,3,0),0)</f>
        <v>0</v>
      </c>
      <c r="X21" s="89">
        <f>+IFERROR(VLOOKUP($X$18,Sheet1!F2:I2,3,0),0)</f>
        <v>0</v>
      </c>
      <c r="Y21" s="89">
        <f>+IFERROR(VLOOKUP($Y$18,Sheet1!F2:I2,3,0),0)</f>
        <v>66</v>
      </c>
      <c r="Z21" s="89">
        <f>+IFERROR(VLOOKUP($Z$18,Sheet1!F2:I2,3,0),0)</f>
        <v>0</v>
      </c>
      <c r="AA21" s="89">
        <f>+IFERROR(VLOOKUP($AA$18,Sheet1!F2:I2,3,0),0)</f>
        <v>0</v>
      </c>
      <c r="AB21" s="89">
        <f>+IFERROR(VLOOKUP($AB$18,Sheet1!F2:I2,3,0),0)</f>
        <v>0</v>
      </c>
      <c r="AC21" s="89">
        <f>+IFERROR(VLOOKUP($AC$18,Sheet1!F2:I2,3,0),0)</f>
        <v>0</v>
      </c>
      <c r="AD21" s="89">
        <f>+IFERROR(VLOOKUP($AD$18,Sheet1!F2:I2,3,0),0)</f>
        <v>0</v>
      </c>
      <c r="AE21" s="89">
        <f>+IFERROR(VLOOKUP($AE$18,Sheet1!F2:I2,3,0),0)</f>
        <v>0</v>
      </c>
      <c r="AF21" s="89">
        <f>+IFERROR(VLOOKUP($AF$18,Sheet1!R2:U2,3,0),0)</f>
        <v>233</v>
      </c>
      <c r="AG21" s="88">
        <f>+IFERROR(VLOOKUP($AG$18,Sheet1!R2:U2,3,0),0)</f>
        <v>0</v>
      </c>
      <c r="AH21" s="89">
        <f>+IFERROR(VLOOKUP($AH$18,Sheet1!V2:Y2,3,0),0)</f>
        <v>564</v>
      </c>
      <c r="AI21" s="88">
        <f>+IFERROR(VLOOKUP($AI$18,Sheet1!V2:Y2,3,0),0)</f>
        <v>0</v>
      </c>
      <c r="AJ21" s="88">
        <f>+IFERROR(VLOOKUP($AJ$18,Sheet1!V2:Y2,3,0),0)</f>
        <v>0</v>
      </c>
      <c r="AK21" s="88">
        <f>+IFERROR(VLOOKUP($AK$18,Sheet1!V2:Y2,3,0),0)</f>
        <v>0</v>
      </c>
      <c r="AL21" s="88">
        <f>+IFERROR(VLOOKUP($AL$18,Sheet1!V2:Y2,3,0),0)</f>
        <v>0</v>
      </c>
      <c r="AM21" s="88">
        <f>+IFERROR(VLOOKUP($AM$18,Sheet1!V2:Y2,3,0),0)</f>
        <v>0</v>
      </c>
      <c r="AN21" s="88">
        <f>+IFERROR(VLOOKUP($AN$18,Sheet1!V2:Y2,3,0),0)</f>
        <v>0</v>
      </c>
      <c r="AO21" s="88">
        <f>+IFERROR(VLOOKUP($AO$18,Sheet1!V2:Y2,3,0),0)</f>
        <v>0</v>
      </c>
      <c r="AP21" s="88">
        <f>+IFERROR(VLOOKUP($AP$18,Sheet1!V2:Y2,3,0),0)</f>
        <v>0</v>
      </c>
      <c r="AQ21" s="88">
        <f>+IFERROR(VLOOKUP($AQ$18,Sheet1!Z2:AB2,3,0),0)</f>
        <v>0</v>
      </c>
      <c r="AR21" s="88">
        <f>+IFERROR(VLOOKUP($AR$18,Sheet1!AD2:AG2,3,0),0)</f>
        <v>0</v>
      </c>
      <c r="AS21" s="88">
        <f>+IFERROR(VLOOKUP($AS$18,Sheet1!AD2:AG2,3,0),0)</f>
        <v>0</v>
      </c>
      <c r="AT21" s="88">
        <f>+IFERROR(VLOOKUP($AT$18,Sheet1!AD2:AG2,3,0),0)</f>
        <v>0</v>
      </c>
      <c r="AU21" s="88">
        <f>+IFERROR(VLOOKUP($AU$18,Sheet1!AD2:AG2,3,0),0)</f>
        <v>0</v>
      </c>
      <c r="AV21" s="88">
        <f>+IFERROR(VLOOKUP($AV$18,Sheet1!AD2:AG2,3,0),0)</f>
        <v>0</v>
      </c>
      <c r="AW21" s="88">
        <f>+IFERROR(VLOOKUP($AW$18,Sheet1!AD2:AG2,3,0),0)</f>
        <v>0</v>
      </c>
      <c r="AX21" s="88">
        <f>+IFERROR(VLOOKUP($AX$18,Sheet1!AD2:AG2,3,0),0)</f>
        <v>185</v>
      </c>
      <c r="AY21" s="88">
        <f>+IFERROR(VLOOKUP($AY$18,Sheet1!AD2:AG2,3,0),0)</f>
        <v>0</v>
      </c>
      <c r="AZ21" s="88">
        <f>+IFERROR(VLOOKUP($AZ$18,Sheet1!AD2:AG2,3,0),0)</f>
        <v>0</v>
      </c>
      <c r="BA21" s="88">
        <f>+IFERROR(VLOOKUP($BA$18,Sheet1!AH2:AK2,3,0),0)</f>
        <v>0</v>
      </c>
      <c r="BB21" s="88">
        <f>+IFERROR(VLOOKUP($BB$18,Sheet1!AH2:AK2,3,0),0)</f>
        <v>0</v>
      </c>
      <c r="BC21" s="88">
        <f>+IFERROR(VLOOKUP($BC$18,Sheet1!AH2:AK2,3,0),0)</f>
        <v>0</v>
      </c>
      <c r="BD21" s="88">
        <f>+IFERROR(VLOOKUP($BD$18,Sheet1!AH2:AK2,3,0),0)</f>
        <v>0</v>
      </c>
      <c r="BE21" s="88">
        <f>+IFERROR(VLOOKUP($BE$18,Sheet1!AH2:AK2,3,0),0)</f>
        <v>0</v>
      </c>
      <c r="BF21" s="88">
        <f>+IFERROR(VLOOKUP($BF$18,Sheet1!AH2:AK2,3,0),0)</f>
        <v>0</v>
      </c>
      <c r="BG21" s="88">
        <f>+IFERROR(VLOOKUP($BG$18,Sheet1!AH2:AK2,3,0),0)</f>
        <v>850</v>
      </c>
      <c r="BH21" s="88">
        <f>+IFERROR(VLOOKUP($BH$18,Sheet1!AH2:AK2,3,0),0)</f>
        <v>0</v>
      </c>
      <c r="BI21" s="88">
        <f>+IFERROR(VLOOKUP($BI$18,Sheet1!AH2:AK2,3,0),0)</f>
        <v>0</v>
      </c>
      <c r="BJ21" s="88">
        <f>+IFERROR(VLOOKUP($BJ$18,Sheet1!AH2:AK2,3,0),0)</f>
        <v>0</v>
      </c>
      <c r="BK21" s="88">
        <f>+IFERROR(VLOOKUP($BK$18,Sheet1!AH2:AK2,3,0),0)</f>
        <v>0</v>
      </c>
      <c r="BL21" s="88">
        <f>+IFERROR(VLOOKUP($BL$18,Sheet1!AL2:AO2,3,0),0)</f>
        <v>0</v>
      </c>
      <c r="BM21" s="88">
        <f>+IFERROR(VLOOKUP($BM$18,Sheet1!AL2:AO2,3,0),0)</f>
        <v>0</v>
      </c>
      <c r="BN21" s="88">
        <f>+IFERROR(VLOOKUP($BN$18,Sheet1!AL2:AO2,3,0),0)</f>
        <v>0</v>
      </c>
      <c r="BO21" s="88">
        <f>+IFERROR(VLOOKUP($BO$18,Sheet1!AL2:AO2,3,0),0)</f>
        <v>0</v>
      </c>
      <c r="BP21" s="88">
        <f>+IFERROR(VLOOKUP($BP$18,Sheet1!AL2:AO2,3,0),0)</f>
        <v>0</v>
      </c>
      <c r="BQ21" s="88">
        <f>+IFERROR(VLOOKUP($BQ$18,Sheet1!AL2:AO2,3,0),0)</f>
        <v>0</v>
      </c>
      <c r="BR21" s="88">
        <f>+IFERROR(VLOOKUP($BR$18,Sheet1!AL2:AO2,3,0),0)</f>
        <v>0</v>
      </c>
      <c r="BS21" s="88">
        <f>+IFERROR(VLOOKUP($BS$18,Sheet1!AL2:AO2,3,0),0)</f>
        <v>0</v>
      </c>
      <c r="BT21" s="88">
        <f>+IFERROR(VLOOKUP($BT$18,Sheet1!AL2:AO2,3,0),0)</f>
        <v>630</v>
      </c>
      <c r="BU21" s="88">
        <f>+IFERROR(VLOOKUP($BU$18,Sheet1!AL2:AO2,3,0),0)</f>
        <v>0</v>
      </c>
      <c r="BV21" s="88">
        <f>+IFERROR(VLOOKUP($BV$18,Sheet1!AL2:AO2,3,0),0)</f>
        <v>0</v>
      </c>
      <c r="BW21" s="88">
        <f>+IFERROR(VLOOKUP($BW$18,Sheet1!AL2:AO2,3,0),0)</f>
        <v>0</v>
      </c>
      <c r="BX21" s="181">
        <v>736</v>
      </c>
      <c r="BY21" s="88">
        <f>+IFERROR(VLOOKUP($BY$18,Sheet1!AT2:AW2,3,0),0)</f>
        <v>0</v>
      </c>
      <c r="BZ21" s="88">
        <f>+IFERROR(VLOOKUP($BZ$18,Sheet1!AX2:BA2,3,0),0)</f>
        <v>0</v>
      </c>
      <c r="CA21" s="88">
        <f>+IFERROR(VLOOKUP($CA$18,Sheet1!BB2:BE2,3,0),0)</f>
        <v>0</v>
      </c>
      <c r="CB21" s="88">
        <f>+IFERROR(VLOOKUP($CB$18,Sheet1!BF2:BI2,3,0),0)</f>
        <v>0</v>
      </c>
      <c r="CC21" s="88">
        <f>+IFERROR(VLOOKUP($CC$18,Sheet1!BJ2:BM2,3,0),0)</f>
        <v>0</v>
      </c>
      <c r="CD21" s="88">
        <f>+IFERROR(VLOOKUP($CD$18,Sheet1!BN2:BQ2,3,0),0)</f>
        <v>0</v>
      </c>
      <c r="CE21" s="181">
        <v>37</v>
      </c>
      <c r="CF21" s="37">
        <f>+IFERROR(VLOOKUP($CF$18,Sheet1!BV2:BY2,3,0),0)</f>
        <v>0</v>
      </c>
      <c r="CG21" s="56" t="str">
        <f>Sheet1!E2</f>
        <v>WOOD</v>
      </c>
      <c r="CH21" s="57" t="str">
        <f>Sheet1!CY2</f>
        <v>MD0100029</v>
      </c>
      <c r="CI21" s="57" t="str">
        <f>Sheet1!CZ2</f>
        <v>DRUM - 80 X 35 X 39 X 3"+ EXTRA SEGMENT</v>
      </c>
      <c r="CJ21" s="57">
        <f>Sheet1!CX2</f>
        <v>500</v>
      </c>
      <c r="CK21" s="23">
        <f>Sheet1!BZ2</f>
        <v>41942</v>
      </c>
      <c r="CL21" s="23">
        <f>SUMPRODUCT($N$19:$CF$19,N21:CF21)+CK21</f>
        <v>705210</v>
      </c>
      <c r="CM21" s="24">
        <f>Sheet1!CB2</f>
        <v>0</v>
      </c>
      <c r="CN21" s="23">
        <f>CL21*CM21</f>
        <v>0</v>
      </c>
      <c r="CO21" s="79">
        <v>0.15</v>
      </c>
      <c r="CP21" s="23">
        <f>CL21*CO21</f>
        <v>105781.5</v>
      </c>
      <c r="CQ21" s="79">
        <f>Sheet1!CF2</f>
        <v>0</v>
      </c>
      <c r="CR21" s="23">
        <f>CL21*CQ21</f>
        <v>0</v>
      </c>
      <c r="CS21" s="23">
        <f>CL21+CN21+CP21+CR21</f>
        <v>810991.5</v>
      </c>
      <c r="CT21" s="79">
        <v>0.02</v>
      </c>
      <c r="CU21" s="6">
        <f>CS21*CT21</f>
        <v>16219.83</v>
      </c>
      <c r="CV21" s="79">
        <v>0.01</v>
      </c>
      <c r="CW21" s="6">
        <f>CS21*CV21</f>
        <v>8109.915</v>
      </c>
      <c r="CX21" s="79">
        <f>Sheet1!CM2</f>
        <v>0</v>
      </c>
      <c r="CY21" s="6">
        <f>CX21*CS21</f>
        <v>0</v>
      </c>
    </row>
    <row r="22" spans="1:104" x14ac:dyDescent="0.25">
      <c r="M22" s="92">
        <f>SUM(M20:M21)</f>
        <v>917537211.55800009</v>
      </c>
    </row>
    <row r="25" spans="1:104" ht="60" x14ac:dyDescent="0.25">
      <c r="E25" s="1" t="s">
        <v>127</v>
      </c>
      <c r="F25" s="1" t="s">
        <v>128</v>
      </c>
      <c r="G25" s="74" t="s">
        <v>129</v>
      </c>
      <c r="H25" s="1" t="s">
        <v>130</v>
      </c>
      <c r="I25" s="1" t="s">
        <v>131</v>
      </c>
      <c r="J25" s="1" t="s">
        <v>132</v>
      </c>
      <c r="K25" s="1" t="s">
        <v>133</v>
      </c>
      <c r="L25" s="1" t="s">
        <v>134</v>
      </c>
      <c r="M25" s="75" t="s">
        <v>135</v>
      </c>
      <c r="Y25" s="15" t="s">
        <v>253</v>
      </c>
      <c r="AF25" s="15" t="s">
        <v>254</v>
      </c>
      <c r="AH25" s="15" t="s">
        <v>255</v>
      </c>
      <c r="AX25" s="15" t="s">
        <v>256</v>
      </c>
    </row>
    <row r="26" spans="1:104" ht="30" x14ac:dyDescent="0.25">
      <c r="D26" s="15" t="str">
        <f>D20</f>
        <v>3 CORE X 185 SQ. MM AL/ARM - STRIP (XLPE) - 11 KV</v>
      </c>
      <c r="E26" s="76">
        <f>K20</f>
        <v>600</v>
      </c>
      <c r="F26" s="77">
        <f>CJ20/1000</f>
        <v>0.25</v>
      </c>
      <c r="G26" s="74" t="s">
        <v>311</v>
      </c>
      <c r="H26" s="78">
        <v>78000</v>
      </c>
      <c r="I26" s="77">
        <v>8</v>
      </c>
      <c r="J26" s="74">
        <f>F26*I26</f>
        <v>2</v>
      </c>
      <c r="K26" s="74">
        <f>ROUNDUP((E26/J26),0)</f>
        <v>300</v>
      </c>
      <c r="L26" s="74">
        <f>H26*K26</f>
        <v>23400000</v>
      </c>
      <c r="M26" s="80">
        <f>L26/E26</f>
        <v>39000</v>
      </c>
      <c r="N26" s="90" t="str">
        <f>CH20</f>
        <v>MD0100023</v>
      </c>
      <c r="Y26" s="93">
        <f>SUM(N20:CE20)</f>
        <v>5469</v>
      </c>
      <c r="Z26" s="93"/>
      <c r="AA26" s="93"/>
      <c r="AB26" s="93"/>
      <c r="AC26" s="93"/>
      <c r="AD26" s="93"/>
      <c r="AE26" s="93"/>
      <c r="AF26" s="93">
        <f>300+100</f>
        <v>400</v>
      </c>
      <c r="AG26" s="93"/>
      <c r="AH26" s="93">
        <f>((Y26*F26)+AF26)</f>
        <v>1767.25</v>
      </c>
      <c r="AI26" s="93"/>
      <c r="AJ26" s="93"/>
      <c r="AK26" s="93"/>
      <c r="AL26" s="93"/>
      <c r="AM26" s="93"/>
      <c r="AN26" s="93"/>
      <c r="AO26" s="93"/>
      <c r="AP26" s="93"/>
      <c r="AQ26" s="93"/>
      <c r="AR26" s="93"/>
      <c r="AS26" s="93"/>
      <c r="AT26" s="93"/>
      <c r="AU26" s="93"/>
      <c r="AV26" s="93"/>
      <c r="AW26" s="93"/>
      <c r="AX26" s="93">
        <f>I26*AH26</f>
        <v>14138</v>
      </c>
    </row>
    <row r="27" spans="1:104" ht="30" x14ac:dyDescent="0.25">
      <c r="D27" s="15" t="str">
        <f t="shared" ref="D27" si="0">D21</f>
        <v>3 CORE X 120 SQ. MM. AL/ARM - STRIP (XLPE) - 11 KV</v>
      </c>
      <c r="E27" s="76">
        <f t="shared" ref="E27" si="1">K21</f>
        <v>100</v>
      </c>
      <c r="F27" s="77">
        <f t="shared" ref="F27" si="2">CJ21/1000</f>
        <v>0.5</v>
      </c>
      <c r="G27" s="74" t="s">
        <v>311</v>
      </c>
      <c r="H27" s="78">
        <v>78000</v>
      </c>
      <c r="I27" s="77">
        <v>4</v>
      </c>
      <c r="J27" s="74">
        <f t="shared" ref="J27" si="3">F27*I27</f>
        <v>2</v>
      </c>
      <c r="K27" s="74">
        <f t="shared" ref="K27" si="4">ROUNDUP((E27/J27),0)</f>
        <v>50</v>
      </c>
      <c r="L27" s="74">
        <f t="shared" ref="L27" si="5">H27*K27</f>
        <v>3900000</v>
      </c>
      <c r="M27" s="80">
        <f t="shared" ref="M27" si="6">L27/E27</f>
        <v>39000</v>
      </c>
      <c r="N27" s="90" t="str">
        <f>CH21</f>
        <v>MD0100029</v>
      </c>
      <c r="Y27" s="93">
        <f>SUM(N21:CE21)</f>
        <v>4275</v>
      </c>
      <c r="Z27" s="93"/>
      <c r="AA27" s="93"/>
      <c r="AB27" s="93"/>
      <c r="AC27" s="93"/>
      <c r="AD27" s="93"/>
      <c r="AE27" s="93"/>
      <c r="AF27" s="93">
        <f>530+25</f>
        <v>555</v>
      </c>
      <c r="AG27" s="93"/>
      <c r="AH27" s="93">
        <f>((Y27*F27)+AF27)</f>
        <v>2692.5</v>
      </c>
      <c r="AI27" s="93"/>
      <c r="AJ27" s="93"/>
      <c r="AK27" s="93"/>
      <c r="AL27" s="93"/>
      <c r="AM27" s="93"/>
      <c r="AN27" s="93"/>
      <c r="AO27" s="93"/>
      <c r="AP27" s="93"/>
      <c r="AQ27" s="93"/>
      <c r="AR27" s="93"/>
      <c r="AS27" s="93"/>
      <c r="AT27" s="93"/>
      <c r="AU27" s="93"/>
      <c r="AV27" s="93"/>
      <c r="AW27" s="93"/>
      <c r="AX27" s="93">
        <f>I27*AH27</f>
        <v>10770</v>
      </c>
    </row>
    <row r="28" spans="1:104" x14ac:dyDescent="0.25">
      <c r="I28" t="s">
        <v>257</v>
      </c>
      <c r="M28" s="81"/>
    </row>
    <row r="29" spans="1:104" x14ac:dyDescent="0.25">
      <c r="M29" s="81"/>
    </row>
    <row r="30" spans="1:104" x14ac:dyDescent="0.25">
      <c r="M30" s="81"/>
    </row>
    <row r="31" spans="1:104" ht="30" x14ac:dyDescent="0.25">
      <c r="E31" s="94" t="s">
        <v>258</v>
      </c>
      <c r="F31" s="95" t="s">
        <v>259</v>
      </c>
      <c r="G31" s="96" t="s">
        <v>261</v>
      </c>
      <c r="M31" s="81"/>
    </row>
    <row r="32" spans="1:104" x14ac:dyDescent="0.25">
      <c r="E32" s="94">
        <v>744439987</v>
      </c>
      <c r="F32" s="97">
        <f>M22</f>
        <v>917537211.55800009</v>
      </c>
      <c r="G32" s="98">
        <f>((F32-E32)/F32)*100</f>
        <v>18.865417377904148</v>
      </c>
      <c r="H32" s="102" t="s">
        <v>260</v>
      </c>
      <c r="M32" s="81"/>
    </row>
    <row r="33" spans="4:13" x14ac:dyDescent="0.25">
      <c r="M33" s="81"/>
    </row>
    <row r="34" spans="4:13" x14ac:dyDescent="0.25">
      <c r="M34" s="81"/>
    </row>
    <row r="35" spans="4:13" ht="45" x14ac:dyDescent="0.25">
      <c r="E35" s="99" t="s">
        <v>262</v>
      </c>
      <c r="F35" s="74" t="s">
        <v>263</v>
      </c>
      <c r="G35" s="1" t="s">
        <v>261</v>
      </c>
      <c r="I35" s="74" t="s">
        <v>263</v>
      </c>
      <c r="J35" s="1" t="s">
        <v>261</v>
      </c>
      <c r="M35" s="81"/>
    </row>
    <row r="36" spans="4:13" ht="30" x14ac:dyDescent="0.25">
      <c r="D36" s="15" t="str">
        <f>D26</f>
        <v>3 CORE X 185 SQ. MM AL/ARM - STRIP (XLPE) - 11 KV</v>
      </c>
      <c r="E36" s="100">
        <v>1105933.1000000001</v>
      </c>
      <c r="F36" s="76">
        <f>J20</f>
        <v>1357278.8410800002</v>
      </c>
      <c r="G36" s="101">
        <f>((F36-E36)/F36)*100</f>
        <v>18.518356985510934</v>
      </c>
      <c r="H36" s="103" t="s">
        <v>260</v>
      </c>
      <c r="I36" s="76">
        <f>G20</f>
        <v>1150236.3060000001</v>
      </c>
      <c r="J36" s="101">
        <f>((I36-E36)/I36)*100</f>
        <v>3.8516612429029</v>
      </c>
      <c r="K36" s="103" t="s">
        <v>312</v>
      </c>
      <c r="M36" s="81"/>
    </row>
    <row r="37" spans="4:13" ht="30" x14ac:dyDescent="0.25">
      <c r="D37" s="15" t="str">
        <f>D27</f>
        <v>3 CORE X 120 SQ. MM. AL/ARM - STRIP (XLPE) - 11 KV</v>
      </c>
      <c r="E37" s="100">
        <v>808801.27</v>
      </c>
      <c r="F37" s="76">
        <f>J21</f>
        <v>1031699.0691</v>
      </c>
      <c r="G37" s="101">
        <f>((F37-E37)/F37)*100</f>
        <v>21.604923933336906</v>
      </c>
      <c r="H37" s="103" t="s">
        <v>260</v>
      </c>
      <c r="I37" s="76">
        <f>G21</f>
        <v>874321.245</v>
      </c>
      <c r="J37" s="101">
        <f>((I37-E37)/I37)*100</f>
        <v>7.4938102413375507</v>
      </c>
      <c r="K37" s="103" t="s">
        <v>312</v>
      </c>
      <c r="M37" s="81"/>
    </row>
    <row r="38" spans="4:13" x14ac:dyDescent="0.25">
      <c r="M38" s="81"/>
    </row>
    <row r="39" spans="4:13" x14ac:dyDescent="0.25">
      <c r="M39" s="81"/>
    </row>
    <row r="40" spans="4:13" x14ac:dyDescent="0.25">
      <c r="M40" s="81"/>
    </row>
    <row r="41" spans="4:13" x14ac:dyDescent="0.25">
      <c r="M41" s="81"/>
    </row>
    <row r="42" spans="4:13" x14ac:dyDescent="0.25">
      <c r="M42" s="81"/>
    </row>
    <row r="43" spans="4:13" x14ac:dyDescent="0.25">
      <c r="M43" s="81"/>
    </row>
    <row r="44" spans="4:13" x14ac:dyDescent="0.25">
      <c r="M44" s="81"/>
    </row>
    <row r="45" spans="4:13" x14ac:dyDescent="0.25">
      <c r="M45" s="81"/>
    </row>
    <row r="46" spans="4:13" x14ac:dyDescent="0.25">
      <c r="M46" s="81"/>
    </row>
    <row r="47" spans="4:13" x14ac:dyDescent="0.25">
      <c r="M47" s="81"/>
    </row>
    <row r="48" spans="4:13" x14ac:dyDescent="0.25">
      <c r="M48" s="81"/>
    </row>
    <row r="49" spans="13:13" x14ac:dyDescent="0.25">
      <c r="M49" s="81"/>
    </row>
    <row r="50" spans="13:13" x14ac:dyDescent="0.25">
      <c r="M50" s="81"/>
    </row>
    <row r="51" spans="13:13" x14ac:dyDescent="0.25">
      <c r="M51" s="81"/>
    </row>
    <row r="52" spans="13:13" x14ac:dyDescent="0.25">
      <c r="M52" s="81"/>
    </row>
    <row r="53" spans="13:13" x14ac:dyDescent="0.25">
      <c r="M53" s="81"/>
    </row>
    <row r="54" spans="13:13" x14ac:dyDescent="0.25">
      <c r="M54" s="81"/>
    </row>
    <row r="55" spans="13:13" x14ac:dyDescent="0.25">
      <c r="M55" s="81"/>
    </row>
    <row r="56" spans="13:13" x14ac:dyDescent="0.25">
      <c r="M56" s="81"/>
    </row>
    <row r="57" spans="13:13" x14ac:dyDescent="0.25">
      <c r="M57" s="81"/>
    </row>
    <row r="58" spans="13:13" x14ac:dyDescent="0.25">
      <c r="M58" s="81"/>
    </row>
    <row r="59" spans="13:13" x14ac:dyDescent="0.25">
      <c r="M59" s="81"/>
    </row>
    <row r="60" spans="13:13" x14ac:dyDescent="0.25">
      <c r="M60" s="81"/>
    </row>
    <row r="61" spans="13:13" x14ac:dyDescent="0.25">
      <c r="M61" s="81"/>
    </row>
    <row r="62" spans="13:13" x14ac:dyDescent="0.25">
      <c r="M62" s="81"/>
    </row>
    <row r="63" spans="13:13" x14ac:dyDescent="0.25">
      <c r="M63" s="81"/>
    </row>
    <row r="64" spans="13:13" x14ac:dyDescent="0.25">
      <c r="M64" s="81"/>
    </row>
    <row r="65" spans="13:13" x14ac:dyDescent="0.25">
      <c r="M65" s="81"/>
    </row>
    <row r="66" spans="13:13" x14ac:dyDescent="0.25">
      <c r="M66" s="81"/>
    </row>
    <row r="67" spans="13:13" x14ac:dyDescent="0.25">
      <c r="M67" s="81"/>
    </row>
    <row r="68" spans="13:13" x14ac:dyDescent="0.25">
      <c r="M68" s="81"/>
    </row>
    <row r="69" spans="13:13" x14ac:dyDescent="0.25">
      <c r="M69" s="81"/>
    </row>
    <row r="70" spans="13:13" x14ac:dyDescent="0.25">
      <c r="M70" s="81"/>
    </row>
    <row r="71" spans="13:13" x14ac:dyDescent="0.25">
      <c r="M71" s="81"/>
    </row>
    <row r="72" spans="13:13" x14ac:dyDescent="0.25">
      <c r="M72" s="81"/>
    </row>
  </sheetData>
  <sortState xmlns:xlrd2="http://schemas.microsoft.com/office/spreadsheetml/2017/richdata2" ref="A20:CY21">
    <sortCondition ref="F20:F21"/>
  </sortState>
  <mergeCells count="21">
    <mergeCell ref="CG17:CJ17"/>
    <mergeCell ref="AR17:AZ17"/>
    <mergeCell ref="BA17:BK17"/>
    <mergeCell ref="BL17:BW17"/>
    <mergeCell ref="N17:U17"/>
    <mergeCell ref="V17:W17"/>
    <mergeCell ref="X17:AE17"/>
    <mergeCell ref="AF17:AG17"/>
    <mergeCell ref="AH17:AP17"/>
    <mergeCell ref="A2:S2"/>
    <mergeCell ref="B4:R4"/>
    <mergeCell ref="B5:R5"/>
    <mergeCell ref="B6:R6"/>
    <mergeCell ref="B7:R7"/>
    <mergeCell ref="B13:R13"/>
    <mergeCell ref="B14:S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4669-58B3-44CA-98CA-EDAFEA001B66}">
  <sheetPr>
    <tabColor rgb="FFFF0000"/>
    <pageSetUpPr fitToPage="1"/>
  </sheetPr>
  <dimension ref="A1:AW19"/>
  <sheetViews>
    <sheetView showZeros="0" topLeftCell="AD1" zoomScaleNormal="100" workbookViewId="0">
      <selection activeCell="N22" sqref="N22"/>
    </sheetView>
  </sheetViews>
  <sheetFormatPr defaultRowHeight="12.75" x14ac:dyDescent="0.2"/>
  <cols>
    <col min="1" max="1" width="45.28515625" style="113" customWidth="1"/>
    <col min="2" max="2" width="14.7109375" style="113" customWidth="1"/>
    <col min="3" max="3" width="11.85546875" style="113" customWidth="1"/>
    <col min="4" max="4" width="10.7109375" style="113" customWidth="1"/>
    <col min="5" max="5" width="11.140625" style="113" bestFit="1" customWidth="1"/>
    <col min="6" max="6" width="12.140625" style="113" bestFit="1" customWidth="1"/>
    <col min="7" max="8" width="11.140625" style="113" bestFit="1" customWidth="1"/>
    <col min="9" max="9" width="9.42578125" style="113" customWidth="1"/>
    <col min="10" max="10" width="11.85546875" style="113" customWidth="1"/>
    <col min="11" max="11" width="11.140625" style="113" bestFit="1" customWidth="1"/>
    <col min="12" max="12" width="12.140625" style="113" bestFit="1" customWidth="1"/>
    <col min="13" max="14" width="11.140625" style="113" bestFit="1" customWidth="1"/>
    <col min="15" max="15" width="9.7109375" style="113" bestFit="1" customWidth="1"/>
    <col min="16" max="17" width="7.28515625" style="113" customWidth="1"/>
    <col min="18" max="22" width="7.42578125" style="113" customWidth="1"/>
    <col min="23" max="23" width="12.140625" style="113" bestFit="1" customWidth="1"/>
    <col min="24" max="24" width="12" style="113" bestFit="1" customWidth="1"/>
    <col min="25" max="25" width="12" style="113" customWidth="1"/>
    <col min="26" max="26" width="11" style="113" bestFit="1" customWidth="1"/>
    <col min="27" max="27" width="11.42578125" style="113" bestFit="1" customWidth="1"/>
    <col min="28" max="29" width="11" style="113" customWidth="1"/>
    <col min="30" max="30" width="11" style="113" bestFit="1" customWidth="1"/>
    <col min="31" max="31" width="14.42578125" style="113" bestFit="1" customWidth="1"/>
    <col min="32" max="32" width="9.140625" style="113" customWidth="1"/>
    <col min="33" max="38" width="10.85546875" style="113" customWidth="1"/>
    <col min="39" max="39" width="10.5703125" style="113" customWidth="1"/>
    <col min="40" max="40" width="12.140625" style="113" customWidth="1"/>
    <col min="41" max="41" width="11.85546875" style="113" bestFit="1" customWidth="1"/>
    <col min="42" max="42" width="10.28515625" style="113" bestFit="1" customWidth="1"/>
    <col min="43" max="43" width="11.85546875" style="113" bestFit="1" customWidth="1"/>
    <col min="44" max="44" width="12.85546875" style="113" bestFit="1" customWidth="1"/>
    <col min="45" max="45" width="9.28515625" style="113" bestFit="1" customWidth="1"/>
    <col min="46" max="263" width="9.140625" style="113"/>
    <col min="264" max="264" width="54.140625" style="113" bestFit="1" customWidth="1"/>
    <col min="265" max="265" width="14.7109375" style="113" customWidth="1"/>
    <col min="266" max="266" width="10.140625" style="113" customWidth="1"/>
    <col min="267" max="267" width="10.42578125" style="113" bestFit="1" customWidth="1"/>
    <col min="268" max="269" width="9.42578125" style="113" bestFit="1" customWidth="1"/>
    <col min="270" max="271" width="9.42578125" style="113" customWidth="1"/>
    <col min="272" max="272" width="10.140625" style="113" bestFit="1" customWidth="1"/>
    <col min="273" max="276" width="9.140625" style="113"/>
    <col min="277" max="277" width="7.28515625" style="113" customWidth="1"/>
    <col min="278" max="280" width="7.42578125" style="113" customWidth="1"/>
    <col min="281" max="281" width="10.42578125" style="113" bestFit="1" customWidth="1"/>
    <col min="282" max="282" width="12" style="113" bestFit="1" customWidth="1"/>
    <col min="283" max="283" width="11" style="113" bestFit="1" customWidth="1"/>
    <col min="284" max="285" width="11" style="113" customWidth="1"/>
    <col min="286" max="286" width="10" style="113" bestFit="1" customWidth="1"/>
    <col min="287" max="287" width="14.42578125" style="113" bestFit="1" customWidth="1"/>
    <col min="288" max="298" width="0" style="113" hidden="1" customWidth="1"/>
    <col min="299" max="519" width="9.140625" style="113"/>
    <col min="520" max="520" width="54.140625" style="113" bestFit="1" customWidth="1"/>
    <col min="521" max="521" width="14.7109375" style="113" customWidth="1"/>
    <col min="522" max="522" width="10.140625" style="113" customWidth="1"/>
    <col min="523" max="523" width="10.42578125" style="113" bestFit="1" customWidth="1"/>
    <col min="524" max="525" width="9.42578125" style="113" bestFit="1" customWidth="1"/>
    <col min="526" max="527" width="9.42578125" style="113" customWidth="1"/>
    <col min="528" max="528" width="10.140625" style="113" bestFit="1" customWidth="1"/>
    <col min="529" max="532" width="9.140625" style="113"/>
    <col min="533" max="533" width="7.28515625" style="113" customWidth="1"/>
    <col min="534" max="536" width="7.42578125" style="113" customWidth="1"/>
    <col min="537" max="537" width="10.42578125" style="113" bestFit="1" customWidth="1"/>
    <col min="538" max="538" width="12" style="113" bestFit="1" customWidth="1"/>
    <col min="539" max="539" width="11" style="113" bestFit="1" customWidth="1"/>
    <col min="540" max="541" width="11" style="113" customWidth="1"/>
    <col min="542" max="542" width="10" style="113" bestFit="1" customWidth="1"/>
    <col min="543" max="543" width="14.42578125" style="113" bestFit="1" customWidth="1"/>
    <col min="544" max="554" width="0" style="113" hidden="1" customWidth="1"/>
    <col min="555" max="775" width="9.140625" style="113"/>
    <col min="776" max="776" width="54.140625" style="113" bestFit="1" customWidth="1"/>
    <col min="777" max="777" width="14.7109375" style="113" customWidth="1"/>
    <col min="778" max="778" width="10.140625" style="113" customWidth="1"/>
    <col min="779" max="779" width="10.42578125" style="113" bestFit="1" customWidth="1"/>
    <col min="780" max="781" width="9.42578125" style="113" bestFit="1" customWidth="1"/>
    <col min="782" max="783" width="9.42578125" style="113" customWidth="1"/>
    <col min="784" max="784" width="10.140625" style="113" bestFit="1" customWidth="1"/>
    <col min="785" max="788" width="9.140625" style="113"/>
    <col min="789" max="789" width="7.28515625" style="113" customWidth="1"/>
    <col min="790" max="792" width="7.42578125" style="113" customWidth="1"/>
    <col min="793" max="793" width="10.42578125" style="113" bestFit="1" customWidth="1"/>
    <col min="794" max="794" width="12" style="113" bestFit="1" customWidth="1"/>
    <col min="795" max="795" width="11" style="113" bestFit="1" customWidth="1"/>
    <col min="796" max="797" width="11" style="113" customWidth="1"/>
    <col min="798" max="798" width="10" style="113" bestFit="1" customWidth="1"/>
    <col min="799" max="799" width="14.42578125" style="113" bestFit="1" customWidth="1"/>
    <col min="800" max="810" width="0" style="113" hidden="1" customWidth="1"/>
    <col min="811" max="1031" width="9.140625" style="113"/>
    <col min="1032" max="1032" width="54.140625" style="113" bestFit="1" customWidth="1"/>
    <col min="1033" max="1033" width="14.7109375" style="113" customWidth="1"/>
    <col min="1034" max="1034" width="10.140625" style="113" customWidth="1"/>
    <col min="1035" max="1035" width="10.42578125" style="113" bestFit="1" customWidth="1"/>
    <col min="1036" max="1037" width="9.42578125" style="113" bestFit="1" customWidth="1"/>
    <col min="1038" max="1039" width="9.42578125" style="113" customWidth="1"/>
    <col min="1040" max="1040" width="10.140625" style="113" bestFit="1" customWidth="1"/>
    <col min="1041" max="1044" width="9.140625" style="113"/>
    <col min="1045" max="1045" width="7.28515625" style="113" customWidth="1"/>
    <col min="1046" max="1048" width="7.42578125" style="113" customWidth="1"/>
    <col min="1049" max="1049" width="10.42578125" style="113" bestFit="1" customWidth="1"/>
    <col min="1050" max="1050" width="12" style="113" bestFit="1" customWidth="1"/>
    <col min="1051" max="1051" width="11" style="113" bestFit="1" customWidth="1"/>
    <col min="1052" max="1053" width="11" style="113" customWidth="1"/>
    <col min="1054" max="1054" width="10" style="113" bestFit="1" customWidth="1"/>
    <col min="1055" max="1055" width="14.42578125" style="113" bestFit="1" customWidth="1"/>
    <col min="1056" max="1066" width="0" style="113" hidden="1" customWidth="1"/>
    <col min="1067" max="1287" width="9.140625" style="113"/>
    <col min="1288" max="1288" width="54.140625" style="113" bestFit="1" customWidth="1"/>
    <col min="1289" max="1289" width="14.7109375" style="113" customWidth="1"/>
    <col min="1290" max="1290" width="10.140625" style="113" customWidth="1"/>
    <col min="1291" max="1291" width="10.42578125" style="113" bestFit="1" customWidth="1"/>
    <col min="1292" max="1293" width="9.42578125" style="113" bestFit="1" customWidth="1"/>
    <col min="1294" max="1295" width="9.42578125" style="113" customWidth="1"/>
    <col min="1296" max="1296" width="10.140625" style="113" bestFit="1" customWidth="1"/>
    <col min="1297" max="1300" width="9.140625" style="113"/>
    <col min="1301" max="1301" width="7.28515625" style="113" customWidth="1"/>
    <col min="1302" max="1304" width="7.42578125" style="113" customWidth="1"/>
    <col min="1305" max="1305" width="10.42578125" style="113" bestFit="1" customWidth="1"/>
    <col min="1306" max="1306" width="12" style="113" bestFit="1" customWidth="1"/>
    <col min="1307" max="1307" width="11" style="113" bestFit="1" customWidth="1"/>
    <col min="1308" max="1309" width="11" style="113" customWidth="1"/>
    <col min="1310" max="1310" width="10" style="113" bestFit="1" customWidth="1"/>
    <col min="1311" max="1311" width="14.42578125" style="113" bestFit="1" customWidth="1"/>
    <col min="1312" max="1322" width="0" style="113" hidden="1" customWidth="1"/>
    <col min="1323" max="1543" width="9.140625" style="113"/>
    <col min="1544" max="1544" width="54.140625" style="113" bestFit="1" customWidth="1"/>
    <col min="1545" max="1545" width="14.7109375" style="113" customWidth="1"/>
    <col min="1546" max="1546" width="10.140625" style="113" customWidth="1"/>
    <col min="1547" max="1547" width="10.42578125" style="113" bestFit="1" customWidth="1"/>
    <col min="1548" max="1549" width="9.42578125" style="113" bestFit="1" customWidth="1"/>
    <col min="1550" max="1551" width="9.42578125" style="113" customWidth="1"/>
    <col min="1552" max="1552" width="10.140625" style="113" bestFit="1" customWidth="1"/>
    <col min="1553" max="1556" width="9.140625" style="113"/>
    <col min="1557" max="1557" width="7.28515625" style="113" customWidth="1"/>
    <col min="1558" max="1560" width="7.42578125" style="113" customWidth="1"/>
    <col min="1561" max="1561" width="10.42578125" style="113" bestFit="1" customWidth="1"/>
    <col min="1562" max="1562" width="12" style="113" bestFit="1" customWidth="1"/>
    <col min="1563" max="1563" width="11" style="113" bestFit="1" customWidth="1"/>
    <col min="1564" max="1565" width="11" style="113" customWidth="1"/>
    <col min="1566" max="1566" width="10" style="113" bestFit="1" customWidth="1"/>
    <col min="1567" max="1567" width="14.42578125" style="113" bestFit="1" customWidth="1"/>
    <col min="1568" max="1578" width="0" style="113" hidden="1" customWidth="1"/>
    <col min="1579" max="1799" width="9.140625" style="113"/>
    <col min="1800" max="1800" width="54.140625" style="113" bestFit="1" customWidth="1"/>
    <col min="1801" max="1801" width="14.7109375" style="113" customWidth="1"/>
    <col min="1802" max="1802" width="10.140625" style="113" customWidth="1"/>
    <col min="1803" max="1803" width="10.42578125" style="113" bestFit="1" customWidth="1"/>
    <col min="1804" max="1805" width="9.42578125" style="113" bestFit="1" customWidth="1"/>
    <col min="1806" max="1807" width="9.42578125" style="113" customWidth="1"/>
    <col min="1808" max="1808" width="10.140625" style="113" bestFit="1" customWidth="1"/>
    <col min="1809" max="1812" width="9.140625" style="113"/>
    <col min="1813" max="1813" width="7.28515625" style="113" customWidth="1"/>
    <col min="1814" max="1816" width="7.42578125" style="113" customWidth="1"/>
    <col min="1817" max="1817" width="10.42578125" style="113" bestFit="1" customWidth="1"/>
    <col min="1818" max="1818" width="12" style="113" bestFit="1" customWidth="1"/>
    <col min="1819" max="1819" width="11" style="113" bestFit="1" customWidth="1"/>
    <col min="1820" max="1821" width="11" style="113" customWidth="1"/>
    <col min="1822" max="1822" width="10" style="113" bestFit="1" customWidth="1"/>
    <col min="1823" max="1823" width="14.42578125" style="113" bestFit="1" customWidth="1"/>
    <col min="1824" max="1834" width="0" style="113" hidden="1" customWidth="1"/>
    <col min="1835" max="2055" width="9.140625" style="113"/>
    <col min="2056" max="2056" width="54.140625" style="113" bestFit="1" customWidth="1"/>
    <col min="2057" max="2057" width="14.7109375" style="113" customWidth="1"/>
    <col min="2058" max="2058" width="10.140625" style="113" customWidth="1"/>
    <col min="2059" max="2059" width="10.42578125" style="113" bestFit="1" customWidth="1"/>
    <col min="2060" max="2061" width="9.42578125" style="113" bestFit="1" customWidth="1"/>
    <col min="2062" max="2063" width="9.42578125" style="113" customWidth="1"/>
    <col min="2064" max="2064" width="10.140625" style="113" bestFit="1" customWidth="1"/>
    <col min="2065" max="2068" width="9.140625" style="113"/>
    <col min="2069" max="2069" width="7.28515625" style="113" customWidth="1"/>
    <col min="2070" max="2072" width="7.42578125" style="113" customWidth="1"/>
    <col min="2073" max="2073" width="10.42578125" style="113" bestFit="1" customWidth="1"/>
    <col min="2074" max="2074" width="12" style="113" bestFit="1" customWidth="1"/>
    <col min="2075" max="2075" width="11" style="113" bestFit="1" customWidth="1"/>
    <col min="2076" max="2077" width="11" style="113" customWidth="1"/>
    <col min="2078" max="2078" width="10" style="113" bestFit="1" customWidth="1"/>
    <col min="2079" max="2079" width="14.42578125" style="113" bestFit="1" customWidth="1"/>
    <col min="2080" max="2090" width="0" style="113" hidden="1" customWidth="1"/>
    <col min="2091" max="2311" width="9.140625" style="113"/>
    <col min="2312" max="2312" width="54.140625" style="113" bestFit="1" customWidth="1"/>
    <col min="2313" max="2313" width="14.7109375" style="113" customWidth="1"/>
    <col min="2314" max="2314" width="10.140625" style="113" customWidth="1"/>
    <col min="2315" max="2315" width="10.42578125" style="113" bestFit="1" customWidth="1"/>
    <col min="2316" max="2317" width="9.42578125" style="113" bestFit="1" customWidth="1"/>
    <col min="2318" max="2319" width="9.42578125" style="113" customWidth="1"/>
    <col min="2320" max="2320" width="10.140625" style="113" bestFit="1" customWidth="1"/>
    <col min="2321" max="2324" width="9.140625" style="113"/>
    <col min="2325" max="2325" width="7.28515625" style="113" customWidth="1"/>
    <col min="2326" max="2328" width="7.42578125" style="113" customWidth="1"/>
    <col min="2329" max="2329" width="10.42578125" style="113" bestFit="1" customWidth="1"/>
    <col min="2330" max="2330" width="12" style="113" bestFit="1" customWidth="1"/>
    <col min="2331" max="2331" width="11" style="113" bestFit="1" customWidth="1"/>
    <col min="2332" max="2333" width="11" style="113" customWidth="1"/>
    <col min="2334" max="2334" width="10" style="113" bestFit="1" customWidth="1"/>
    <col min="2335" max="2335" width="14.42578125" style="113" bestFit="1" customWidth="1"/>
    <col min="2336" max="2346" width="0" style="113" hidden="1" customWidth="1"/>
    <col min="2347" max="2567" width="9.140625" style="113"/>
    <col min="2568" max="2568" width="54.140625" style="113" bestFit="1" customWidth="1"/>
    <col min="2569" max="2569" width="14.7109375" style="113" customWidth="1"/>
    <col min="2570" max="2570" width="10.140625" style="113" customWidth="1"/>
    <col min="2571" max="2571" width="10.42578125" style="113" bestFit="1" customWidth="1"/>
    <col min="2572" max="2573" width="9.42578125" style="113" bestFit="1" customWidth="1"/>
    <col min="2574" max="2575" width="9.42578125" style="113" customWidth="1"/>
    <col min="2576" max="2576" width="10.140625" style="113" bestFit="1" customWidth="1"/>
    <col min="2577" max="2580" width="9.140625" style="113"/>
    <col min="2581" max="2581" width="7.28515625" style="113" customWidth="1"/>
    <col min="2582" max="2584" width="7.42578125" style="113" customWidth="1"/>
    <col min="2585" max="2585" width="10.42578125" style="113" bestFit="1" customWidth="1"/>
    <col min="2586" max="2586" width="12" style="113" bestFit="1" customWidth="1"/>
    <col min="2587" max="2587" width="11" style="113" bestFit="1" customWidth="1"/>
    <col min="2588" max="2589" width="11" style="113" customWidth="1"/>
    <col min="2590" max="2590" width="10" style="113" bestFit="1" customWidth="1"/>
    <col min="2591" max="2591" width="14.42578125" style="113" bestFit="1" customWidth="1"/>
    <col min="2592" max="2602" width="0" style="113" hidden="1" customWidth="1"/>
    <col min="2603" max="2823" width="9.140625" style="113"/>
    <col min="2824" max="2824" width="54.140625" style="113" bestFit="1" customWidth="1"/>
    <col min="2825" max="2825" width="14.7109375" style="113" customWidth="1"/>
    <col min="2826" max="2826" width="10.140625" style="113" customWidth="1"/>
    <col min="2827" max="2827" width="10.42578125" style="113" bestFit="1" customWidth="1"/>
    <col min="2828" max="2829" width="9.42578125" style="113" bestFit="1" customWidth="1"/>
    <col min="2830" max="2831" width="9.42578125" style="113" customWidth="1"/>
    <col min="2832" max="2832" width="10.140625" style="113" bestFit="1" customWidth="1"/>
    <col min="2833" max="2836" width="9.140625" style="113"/>
    <col min="2837" max="2837" width="7.28515625" style="113" customWidth="1"/>
    <col min="2838" max="2840" width="7.42578125" style="113" customWidth="1"/>
    <col min="2841" max="2841" width="10.42578125" style="113" bestFit="1" customWidth="1"/>
    <col min="2842" max="2842" width="12" style="113" bestFit="1" customWidth="1"/>
    <col min="2843" max="2843" width="11" style="113" bestFit="1" customWidth="1"/>
    <col min="2844" max="2845" width="11" style="113" customWidth="1"/>
    <col min="2846" max="2846" width="10" style="113" bestFit="1" customWidth="1"/>
    <col min="2847" max="2847" width="14.42578125" style="113" bestFit="1" customWidth="1"/>
    <col min="2848" max="2858" width="0" style="113" hidden="1" customWidth="1"/>
    <col min="2859" max="3079" width="9.140625" style="113"/>
    <col min="3080" max="3080" width="54.140625" style="113" bestFit="1" customWidth="1"/>
    <col min="3081" max="3081" width="14.7109375" style="113" customWidth="1"/>
    <col min="3082" max="3082" width="10.140625" style="113" customWidth="1"/>
    <col min="3083" max="3083" width="10.42578125" style="113" bestFit="1" customWidth="1"/>
    <col min="3084" max="3085" width="9.42578125" style="113" bestFit="1" customWidth="1"/>
    <col min="3086" max="3087" width="9.42578125" style="113" customWidth="1"/>
    <col min="3088" max="3088" width="10.140625" style="113" bestFit="1" customWidth="1"/>
    <col min="3089" max="3092" width="9.140625" style="113"/>
    <col min="3093" max="3093" width="7.28515625" style="113" customWidth="1"/>
    <col min="3094" max="3096" width="7.42578125" style="113" customWidth="1"/>
    <col min="3097" max="3097" width="10.42578125" style="113" bestFit="1" customWidth="1"/>
    <col min="3098" max="3098" width="12" style="113" bestFit="1" customWidth="1"/>
    <col min="3099" max="3099" width="11" style="113" bestFit="1" customWidth="1"/>
    <col min="3100" max="3101" width="11" style="113" customWidth="1"/>
    <col min="3102" max="3102" width="10" style="113" bestFit="1" customWidth="1"/>
    <col min="3103" max="3103" width="14.42578125" style="113" bestFit="1" customWidth="1"/>
    <col min="3104" max="3114" width="0" style="113" hidden="1" customWidth="1"/>
    <col min="3115" max="3335" width="9.140625" style="113"/>
    <col min="3336" max="3336" width="54.140625" style="113" bestFit="1" customWidth="1"/>
    <col min="3337" max="3337" width="14.7109375" style="113" customWidth="1"/>
    <col min="3338" max="3338" width="10.140625" style="113" customWidth="1"/>
    <col min="3339" max="3339" width="10.42578125" style="113" bestFit="1" customWidth="1"/>
    <col min="3340" max="3341" width="9.42578125" style="113" bestFit="1" customWidth="1"/>
    <col min="3342" max="3343" width="9.42578125" style="113" customWidth="1"/>
    <col min="3344" max="3344" width="10.140625" style="113" bestFit="1" customWidth="1"/>
    <col min="3345" max="3348" width="9.140625" style="113"/>
    <col min="3349" max="3349" width="7.28515625" style="113" customWidth="1"/>
    <col min="3350" max="3352" width="7.42578125" style="113" customWidth="1"/>
    <col min="3353" max="3353" width="10.42578125" style="113" bestFit="1" customWidth="1"/>
    <col min="3354" max="3354" width="12" style="113" bestFit="1" customWidth="1"/>
    <col min="3355" max="3355" width="11" style="113" bestFit="1" customWidth="1"/>
    <col min="3356" max="3357" width="11" style="113" customWidth="1"/>
    <col min="3358" max="3358" width="10" style="113" bestFit="1" customWidth="1"/>
    <col min="3359" max="3359" width="14.42578125" style="113" bestFit="1" customWidth="1"/>
    <col min="3360" max="3370" width="0" style="113" hidden="1" customWidth="1"/>
    <col min="3371" max="3591" width="9.140625" style="113"/>
    <col min="3592" max="3592" width="54.140625" style="113" bestFit="1" customWidth="1"/>
    <col min="3593" max="3593" width="14.7109375" style="113" customWidth="1"/>
    <col min="3594" max="3594" width="10.140625" style="113" customWidth="1"/>
    <col min="3595" max="3595" width="10.42578125" style="113" bestFit="1" customWidth="1"/>
    <col min="3596" max="3597" width="9.42578125" style="113" bestFit="1" customWidth="1"/>
    <col min="3598" max="3599" width="9.42578125" style="113" customWidth="1"/>
    <col min="3600" max="3600" width="10.140625" style="113" bestFit="1" customWidth="1"/>
    <col min="3601" max="3604" width="9.140625" style="113"/>
    <col min="3605" max="3605" width="7.28515625" style="113" customWidth="1"/>
    <col min="3606" max="3608" width="7.42578125" style="113" customWidth="1"/>
    <col min="3609" max="3609" width="10.42578125" style="113" bestFit="1" customWidth="1"/>
    <col min="3610" max="3610" width="12" style="113" bestFit="1" customWidth="1"/>
    <col min="3611" max="3611" width="11" style="113" bestFit="1" customWidth="1"/>
    <col min="3612" max="3613" width="11" style="113" customWidth="1"/>
    <col min="3614" max="3614" width="10" style="113" bestFit="1" customWidth="1"/>
    <col min="3615" max="3615" width="14.42578125" style="113" bestFit="1" customWidth="1"/>
    <col min="3616" max="3626" width="0" style="113" hidden="1" customWidth="1"/>
    <col min="3627" max="3847" width="9.140625" style="113"/>
    <col min="3848" max="3848" width="54.140625" style="113" bestFit="1" customWidth="1"/>
    <col min="3849" max="3849" width="14.7109375" style="113" customWidth="1"/>
    <col min="3850" max="3850" width="10.140625" style="113" customWidth="1"/>
    <col min="3851" max="3851" width="10.42578125" style="113" bestFit="1" customWidth="1"/>
    <col min="3852" max="3853" width="9.42578125" style="113" bestFit="1" customWidth="1"/>
    <col min="3854" max="3855" width="9.42578125" style="113" customWidth="1"/>
    <col min="3856" max="3856" width="10.140625" style="113" bestFit="1" customWidth="1"/>
    <col min="3857" max="3860" width="9.140625" style="113"/>
    <col min="3861" max="3861" width="7.28515625" style="113" customWidth="1"/>
    <col min="3862" max="3864" width="7.42578125" style="113" customWidth="1"/>
    <col min="3865" max="3865" width="10.42578125" style="113" bestFit="1" customWidth="1"/>
    <col min="3866" max="3866" width="12" style="113" bestFit="1" customWidth="1"/>
    <col min="3867" max="3867" width="11" style="113" bestFit="1" customWidth="1"/>
    <col min="3868" max="3869" width="11" style="113" customWidth="1"/>
    <col min="3870" max="3870" width="10" style="113" bestFit="1" customWidth="1"/>
    <col min="3871" max="3871" width="14.42578125" style="113" bestFit="1" customWidth="1"/>
    <col min="3872" max="3882" width="0" style="113" hidden="1" customWidth="1"/>
    <col min="3883" max="4103" width="9.140625" style="113"/>
    <col min="4104" max="4104" width="54.140625" style="113" bestFit="1" customWidth="1"/>
    <col min="4105" max="4105" width="14.7109375" style="113" customWidth="1"/>
    <col min="4106" max="4106" width="10.140625" style="113" customWidth="1"/>
    <col min="4107" max="4107" width="10.42578125" style="113" bestFit="1" customWidth="1"/>
    <col min="4108" max="4109" width="9.42578125" style="113" bestFit="1" customWidth="1"/>
    <col min="4110" max="4111" width="9.42578125" style="113" customWidth="1"/>
    <col min="4112" max="4112" width="10.140625" style="113" bestFit="1" customWidth="1"/>
    <col min="4113" max="4116" width="9.140625" style="113"/>
    <col min="4117" max="4117" width="7.28515625" style="113" customWidth="1"/>
    <col min="4118" max="4120" width="7.42578125" style="113" customWidth="1"/>
    <col min="4121" max="4121" width="10.42578125" style="113" bestFit="1" customWidth="1"/>
    <col min="4122" max="4122" width="12" style="113" bestFit="1" customWidth="1"/>
    <col min="4123" max="4123" width="11" style="113" bestFit="1" customWidth="1"/>
    <col min="4124" max="4125" width="11" style="113" customWidth="1"/>
    <col min="4126" max="4126" width="10" style="113" bestFit="1" customWidth="1"/>
    <col min="4127" max="4127" width="14.42578125" style="113" bestFit="1" customWidth="1"/>
    <col min="4128" max="4138" width="0" style="113" hidden="1" customWidth="1"/>
    <col min="4139" max="4359" width="9.140625" style="113"/>
    <col min="4360" max="4360" width="54.140625" style="113" bestFit="1" customWidth="1"/>
    <col min="4361" max="4361" width="14.7109375" style="113" customWidth="1"/>
    <col min="4362" max="4362" width="10.140625" style="113" customWidth="1"/>
    <col min="4363" max="4363" width="10.42578125" style="113" bestFit="1" customWidth="1"/>
    <col min="4364" max="4365" width="9.42578125" style="113" bestFit="1" customWidth="1"/>
    <col min="4366" max="4367" width="9.42578125" style="113" customWidth="1"/>
    <col min="4368" max="4368" width="10.140625" style="113" bestFit="1" customWidth="1"/>
    <col min="4369" max="4372" width="9.140625" style="113"/>
    <col min="4373" max="4373" width="7.28515625" style="113" customWidth="1"/>
    <col min="4374" max="4376" width="7.42578125" style="113" customWidth="1"/>
    <col min="4377" max="4377" width="10.42578125" style="113" bestFit="1" customWidth="1"/>
    <col min="4378" max="4378" width="12" style="113" bestFit="1" customWidth="1"/>
    <col min="4379" max="4379" width="11" style="113" bestFit="1" customWidth="1"/>
    <col min="4380" max="4381" width="11" style="113" customWidth="1"/>
    <col min="4382" max="4382" width="10" style="113" bestFit="1" customWidth="1"/>
    <col min="4383" max="4383" width="14.42578125" style="113" bestFit="1" customWidth="1"/>
    <col min="4384" max="4394" width="0" style="113" hidden="1" customWidth="1"/>
    <col min="4395" max="4615" width="9.140625" style="113"/>
    <col min="4616" max="4616" width="54.140625" style="113" bestFit="1" customWidth="1"/>
    <col min="4617" max="4617" width="14.7109375" style="113" customWidth="1"/>
    <col min="4618" max="4618" width="10.140625" style="113" customWidth="1"/>
    <col min="4619" max="4619" width="10.42578125" style="113" bestFit="1" customWidth="1"/>
    <col min="4620" max="4621" width="9.42578125" style="113" bestFit="1" customWidth="1"/>
    <col min="4622" max="4623" width="9.42578125" style="113" customWidth="1"/>
    <col min="4624" max="4624" width="10.140625" style="113" bestFit="1" customWidth="1"/>
    <col min="4625" max="4628" width="9.140625" style="113"/>
    <col min="4629" max="4629" width="7.28515625" style="113" customWidth="1"/>
    <col min="4630" max="4632" width="7.42578125" style="113" customWidth="1"/>
    <col min="4633" max="4633" width="10.42578125" style="113" bestFit="1" customWidth="1"/>
    <col min="4634" max="4634" width="12" style="113" bestFit="1" customWidth="1"/>
    <col min="4635" max="4635" width="11" style="113" bestFit="1" customWidth="1"/>
    <col min="4636" max="4637" width="11" style="113" customWidth="1"/>
    <col min="4638" max="4638" width="10" style="113" bestFit="1" customWidth="1"/>
    <col min="4639" max="4639" width="14.42578125" style="113" bestFit="1" customWidth="1"/>
    <col min="4640" max="4650" width="0" style="113" hidden="1" customWidth="1"/>
    <col min="4651" max="4871" width="9.140625" style="113"/>
    <col min="4872" max="4872" width="54.140625" style="113" bestFit="1" customWidth="1"/>
    <col min="4873" max="4873" width="14.7109375" style="113" customWidth="1"/>
    <col min="4874" max="4874" width="10.140625" style="113" customWidth="1"/>
    <col min="4875" max="4875" width="10.42578125" style="113" bestFit="1" customWidth="1"/>
    <col min="4876" max="4877" width="9.42578125" style="113" bestFit="1" customWidth="1"/>
    <col min="4878" max="4879" width="9.42578125" style="113" customWidth="1"/>
    <col min="4880" max="4880" width="10.140625" style="113" bestFit="1" customWidth="1"/>
    <col min="4881" max="4884" width="9.140625" style="113"/>
    <col min="4885" max="4885" width="7.28515625" style="113" customWidth="1"/>
    <col min="4886" max="4888" width="7.42578125" style="113" customWidth="1"/>
    <col min="4889" max="4889" width="10.42578125" style="113" bestFit="1" customWidth="1"/>
    <col min="4890" max="4890" width="12" style="113" bestFit="1" customWidth="1"/>
    <col min="4891" max="4891" width="11" style="113" bestFit="1" customWidth="1"/>
    <col min="4892" max="4893" width="11" style="113" customWidth="1"/>
    <col min="4894" max="4894" width="10" style="113" bestFit="1" customWidth="1"/>
    <col min="4895" max="4895" width="14.42578125" style="113" bestFit="1" customWidth="1"/>
    <col min="4896" max="4906" width="0" style="113" hidden="1" customWidth="1"/>
    <col min="4907" max="5127" width="9.140625" style="113"/>
    <col min="5128" max="5128" width="54.140625" style="113" bestFit="1" customWidth="1"/>
    <col min="5129" max="5129" width="14.7109375" style="113" customWidth="1"/>
    <col min="5130" max="5130" width="10.140625" style="113" customWidth="1"/>
    <col min="5131" max="5131" width="10.42578125" style="113" bestFit="1" customWidth="1"/>
    <col min="5132" max="5133" width="9.42578125" style="113" bestFit="1" customWidth="1"/>
    <col min="5134" max="5135" width="9.42578125" style="113" customWidth="1"/>
    <col min="5136" max="5136" width="10.140625" style="113" bestFit="1" customWidth="1"/>
    <col min="5137" max="5140" width="9.140625" style="113"/>
    <col min="5141" max="5141" width="7.28515625" style="113" customWidth="1"/>
    <col min="5142" max="5144" width="7.42578125" style="113" customWidth="1"/>
    <col min="5145" max="5145" width="10.42578125" style="113" bestFit="1" customWidth="1"/>
    <col min="5146" max="5146" width="12" style="113" bestFit="1" customWidth="1"/>
    <col min="5147" max="5147" width="11" style="113" bestFit="1" customWidth="1"/>
    <col min="5148" max="5149" width="11" style="113" customWidth="1"/>
    <col min="5150" max="5150" width="10" style="113" bestFit="1" customWidth="1"/>
    <col min="5151" max="5151" width="14.42578125" style="113" bestFit="1" customWidth="1"/>
    <col min="5152" max="5162" width="0" style="113" hidden="1" customWidth="1"/>
    <col min="5163" max="5383" width="9.140625" style="113"/>
    <col min="5384" max="5384" width="54.140625" style="113" bestFit="1" customWidth="1"/>
    <col min="5385" max="5385" width="14.7109375" style="113" customWidth="1"/>
    <col min="5386" max="5386" width="10.140625" style="113" customWidth="1"/>
    <col min="5387" max="5387" width="10.42578125" style="113" bestFit="1" customWidth="1"/>
    <col min="5388" max="5389" width="9.42578125" style="113" bestFit="1" customWidth="1"/>
    <col min="5390" max="5391" width="9.42578125" style="113" customWidth="1"/>
    <col min="5392" max="5392" width="10.140625" style="113" bestFit="1" customWidth="1"/>
    <col min="5393" max="5396" width="9.140625" style="113"/>
    <col min="5397" max="5397" width="7.28515625" style="113" customWidth="1"/>
    <col min="5398" max="5400" width="7.42578125" style="113" customWidth="1"/>
    <col min="5401" max="5401" width="10.42578125" style="113" bestFit="1" customWidth="1"/>
    <col min="5402" max="5402" width="12" style="113" bestFit="1" customWidth="1"/>
    <col min="5403" max="5403" width="11" style="113" bestFit="1" customWidth="1"/>
    <col min="5404" max="5405" width="11" style="113" customWidth="1"/>
    <col min="5406" max="5406" width="10" style="113" bestFit="1" customWidth="1"/>
    <col min="5407" max="5407" width="14.42578125" style="113" bestFit="1" customWidth="1"/>
    <col min="5408" max="5418" width="0" style="113" hidden="1" customWidth="1"/>
    <col min="5419" max="5639" width="9.140625" style="113"/>
    <col min="5640" max="5640" width="54.140625" style="113" bestFit="1" customWidth="1"/>
    <col min="5641" max="5641" width="14.7109375" style="113" customWidth="1"/>
    <col min="5642" max="5642" width="10.140625" style="113" customWidth="1"/>
    <col min="5643" max="5643" width="10.42578125" style="113" bestFit="1" customWidth="1"/>
    <col min="5644" max="5645" width="9.42578125" style="113" bestFit="1" customWidth="1"/>
    <col min="5646" max="5647" width="9.42578125" style="113" customWidth="1"/>
    <col min="5648" max="5648" width="10.140625" style="113" bestFit="1" customWidth="1"/>
    <col min="5649" max="5652" width="9.140625" style="113"/>
    <col min="5653" max="5653" width="7.28515625" style="113" customWidth="1"/>
    <col min="5654" max="5656" width="7.42578125" style="113" customWidth="1"/>
    <col min="5657" max="5657" width="10.42578125" style="113" bestFit="1" customWidth="1"/>
    <col min="5658" max="5658" width="12" style="113" bestFit="1" customWidth="1"/>
    <col min="5659" max="5659" width="11" style="113" bestFit="1" customWidth="1"/>
    <col min="5660" max="5661" width="11" style="113" customWidth="1"/>
    <col min="5662" max="5662" width="10" style="113" bestFit="1" customWidth="1"/>
    <col min="5663" max="5663" width="14.42578125" style="113" bestFit="1" customWidth="1"/>
    <col min="5664" max="5674" width="0" style="113" hidden="1" customWidth="1"/>
    <col min="5675" max="5895" width="9.140625" style="113"/>
    <col min="5896" max="5896" width="54.140625" style="113" bestFit="1" customWidth="1"/>
    <col min="5897" max="5897" width="14.7109375" style="113" customWidth="1"/>
    <col min="5898" max="5898" width="10.140625" style="113" customWidth="1"/>
    <col min="5899" max="5899" width="10.42578125" style="113" bestFit="1" customWidth="1"/>
    <col min="5900" max="5901" width="9.42578125" style="113" bestFit="1" customWidth="1"/>
    <col min="5902" max="5903" width="9.42578125" style="113" customWidth="1"/>
    <col min="5904" max="5904" width="10.140625" style="113" bestFit="1" customWidth="1"/>
    <col min="5905" max="5908" width="9.140625" style="113"/>
    <col min="5909" max="5909" width="7.28515625" style="113" customWidth="1"/>
    <col min="5910" max="5912" width="7.42578125" style="113" customWidth="1"/>
    <col min="5913" max="5913" width="10.42578125" style="113" bestFit="1" customWidth="1"/>
    <col min="5914" max="5914" width="12" style="113" bestFit="1" customWidth="1"/>
    <col min="5915" max="5915" width="11" style="113" bestFit="1" customWidth="1"/>
    <col min="5916" max="5917" width="11" style="113" customWidth="1"/>
    <col min="5918" max="5918" width="10" style="113" bestFit="1" customWidth="1"/>
    <col min="5919" max="5919" width="14.42578125" style="113" bestFit="1" customWidth="1"/>
    <col min="5920" max="5930" width="0" style="113" hidden="1" customWidth="1"/>
    <col min="5931" max="6151" width="9.140625" style="113"/>
    <col min="6152" max="6152" width="54.140625" style="113" bestFit="1" customWidth="1"/>
    <col min="6153" max="6153" width="14.7109375" style="113" customWidth="1"/>
    <col min="6154" max="6154" width="10.140625" style="113" customWidth="1"/>
    <col min="6155" max="6155" width="10.42578125" style="113" bestFit="1" customWidth="1"/>
    <col min="6156" max="6157" width="9.42578125" style="113" bestFit="1" customWidth="1"/>
    <col min="6158" max="6159" width="9.42578125" style="113" customWidth="1"/>
    <col min="6160" max="6160" width="10.140625" style="113" bestFit="1" customWidth="1"/>
    <col min="6161" max="6164" width="9.140625" style="113"/>
    <col min="6165" max="6165" width="7.28515625" style="113" customWidth="1"/>
    <col min="6166" max="6168" width="7.42578125" style="113" customWidth="1"/>
    <col min="6169" max="6169" width="10.42578125" style="113" bestFit="1" customWidth="1"/>
    <col min="6170" max="6170" width="12" style="113" bestFit="1" customWidth="1"/>
    <col min="6171" max="6171" width="11" style="113" bestFit="1" customWidth="1"/>
    <col min="6172" max="6173" width="11" style="113" customWidth="1"/>
    <col min="6174" max="6174" width="10" style="113" bestFit="1" customWidth="1"/>
    <col min="6175" max="6175" width="14.42578125" style="113" bestFit="1" customWidth="1"/>
    <col min="6176" max="6186" width="0" style="113" hidden="1" customWidth="1"/>
    <col min="6187" max="6407" width="9.140625" style="113"/>
    <col min="6408" max="6408" width="54.140625" style="113" bestFit="1" customWidth="1"/>
    <col min="6409" max="6409" width="14.7109375" style="113" customWidth="1"/>
    <col min="6410" max="6410" width="10.140625" style="113" customWidth="1"/>
    <col min="6411" max="6411" width="10.42578125" style="113" bestFit="1" customWidth="1"/>
    <col min="6412" max="6413" width="9.42578125" style="113" bestFit="1" customWidth="1"/>
    <col min="6414" max="6415" width="9.42578125" style="113" customWidth="1"/>
    <col min="6416" max="6416" width="10.140625" style="113" bestFit="1" customWidth="1"/>
    <col min="6417" max="6420" width="9.140625" style="113"/>
    <col min="6421" max="6421" width="7.28515625" style="113" customWidth="1"/>
    <col min="6422" max="6424" width="7.42578125" style="113" customWidth="1"/>
    <col min="6425" max="6425" width="10.42578125" style="113" bestFit="1" customWidth="1"/>
    <col min="6426" max="6426" width="12" style="113" bestFit="1" customWidth="1"/>
    <col min="6427" max="6427" width="11" style="113" bestFit="1" customWidth="1"/>
    <col min="6428" max="6429" width="11" style="113" customWidth="1"/>
    <col min="6430" max="6430" width="10" style="113" bestFit="1" customWidth="1"/>
    <col min="6431" max="6431" width="14.42578125" style="113" bestFit="1" customWidth="1"/>
    <col min="6432" max="6442" width="0" style="113" hidden="1" customWidth="1"/>
    <col min="6443" max="6663" width="9.140625" style="113"/>
    <col min="6664" max="6664" width="54.140625" style="113" bestFit="1" customWidth="1"/>
    <col min="6665" max="6665" width="14.7109375" style="113" customWidth="1"/>
    <col min="6666" max="6666" width="10.140625" style="113" customWidth="1"/>
    <col min="6667" max="6667" width="10.42578125" style="113" bestFit="1" customWidth="1"/>
    <col min="6668" max="6669" width="9.42578125" style="113" bestFit="1" customWidth="1"/>
    <col min="6670" max="6671" width="9.42578125" style="113" customWidth="1"/>
    <col min="6672" max="6672" width="10.140625" style="113" bestFit="1" customWidth="1"/>
    <col min="6673" max="6676" width="9.140625" style="113"/>
    <col min="6677" max="6677" width="7.28515625" style="113" customWidth="1"/>
    <col min="6678" max="6680" width="7.42578125" style="113" customWidth="1"/>
    <col min="6681" max="6681" width="10.42578125" style="113" bestFit="1" customWidth="1"/>
    <col min="6682" max="6682" width="12" style="113" bestFit="1" customWidth="1"/>
    <col min="6683" max="6683" width="11" style="113" bestFit="1" customWidth="1"/>
    <col min="6684" max="6685" width="11" style="113" customWidth="1"/>
    <col min="6686" max="6686" width="10" style="113" bestFit="1" customWidth="1"/>
    <col min="6687" max="6687" width="14.42578125" style="113" bestFit="1" customWidth="1"/>
    <col min="6688" max="6698" width="0" style="113" hidden="1" customWidth="1"/>
    <col min="6699" max="6919" width="9.140625" style="113"/>
    <col min="6920" max="6920" width="54.140625" style="113" bestFit="1" customWidth="1"/>
    <col min="6921" max="6921" width="14.7109375" style="113" customWidth="1"/>
    <col min="6922" max="6922" width="10.140625" style="113" customWidth="1"/>
    <col min="6923" max="6923" width="10.42578125" style="113" bestFit="1" customWidth="1"/>
    <col min="6924" max="6925" width="9.42578125" style="113" bestFit="1" customWidth="1"/>
    <col min="6926" max="6927" width="9.42578125" style="113" customWidth="1"/>
    <col min="6928" max="6928" width="10.140625" style="113" bestFit="1" customWidth="1"/>
    <col min="6929" max="6932" width="9.140625" style="113"/>
    <col min="6933" max="6933" width="7.28515625" style="113" customWidth="1"/>
    <col min="6934" max="6936" width="7.42578125" style="113" customWidth="1"/>
    <col min="6937" max="6937" width="10.42578125" style="113" bestFit="1" customWidth="1"/>
    <col min="6938" max="6938" width="12" style="113" bestFit="1" customWidth="1"/>
    <col min="6939" max="6939" width="11" style="113" bestFit="1" customWidth="1"/>
    <col min="6940" max="6941" width="11" style="113" customWidth="1"/>
    <col min="6942" max="6942" width="10" style="113" bestFit="1" customWidth="1"/>
    <col min="6943" max="6943" width="14.42578125" style="113" bestFit="1" customWidth="1"/>
    <col min="6944" max="6954" width="0" style="113" hidden="1" customWidth="1"/>
    <col min="6955" max="7175" width="9.140625" style="113"/>
    <col min="7176" max="7176" width="54.140625" style="113" bestFit="1" customWidth="1"/>
    <col min="7177" max="7177" width="14.7109375" style="113" customWidth="1"/>
    <col min="7178" max="7178" width="10.140625" style="113" customWidth="1"/>
    <col min="7179" max="7179" width="10.42578125" style="113" bestFit="1" customWidth="1"/>
    <col min="7180" max="7181" width="9.42578125" style="113" bestFit="1" customWidth="1"/>
    <col min="7182" max="7183" width="9.42578125" style="113" customWidth="1"/>
    <col min="7184" max="7184" width="10.140625" style="113" bestFit="1" customWidth="1"/>
    <col min="7185" max="7188" width="9.140625" style="113"/>
    <col min="7189" max="7189" width="7.28515625" style="113" customWidth="1"/>
    <col min="7190" max="7192" width="7.42578125" style="113" customWidth="1"/>
    <col min="7193" max="7193" width="10.42578125" style="113" bestFit="1" customWidth="1"/>
    <col min="7194" max="7194" width="12" style="113" bestFit="1" customWidth="1"/>
    <col min="7195" max="7195" width="11" style="113" bestFit="1" customWidth="1"/>
    <col min="7196" max="7197" width="11" style="113" customWidth="1"/>
    <col min="7198" max="7198" width="10" style="113" bestFit="1" customWidth="1"/>
    <col min="7199" max="7199" width="14.42578125" style="113" bestFit="1" customWidth="1"/>
    <col min="7200" max="7210" width="0" style="113" hidden="1" customWidth="1"/>
    <col min="7211" max="7431" width="9.140625" style="113"/>
    <col min="7432" max="7432" width="54.140625" style="113" bestFit="1" customWidth="1"/>
    <col min="7433" max="7433" width="14.7109375" style="113" customWidth="1"/>
    <col min="7434" max="7434" width="10.140625" style="113" customWidth="1"/>
    <col min="7435" max="7435" width="10.42578125" style="113" bestFit="1" customWidth="1"/>
    <col min="7436" max="7437" width="9.42578125" style="113" bestFit="1" customWidth="1"/>
    <col min="7438" max="7439" width="9.42578125" style="113" customWidth="1"/>
    <col min="7440" max="7440" width="10.140625" style="113" bestFit="1" customWidth="1"/>
    <col min="7441" max="7444" width="9.140625" style="113"/>
    <col min="7445" max="7445" width="7.28515625" style="113" customWidth="1"/>
    <col min="7446" max="7448" width="7.42578125" style="113" customWidth="1"/>
    <col min="7449" max="7449" width="10.42578125" style="113" bestFit="1" customWidth="1"/>
    <col min="7450" max="7450" width="12" style="113" bestFit="1" customWidth="1"/>
    <col min="7451" max="7451" width="11" style="113" bestFit="1" customWidth="1"/>
    <col min="7452" max="7453" width="11" style="113" customWidth="1"/>
    <col min="7454" max="7454" width="10" style="113" bestFit="1" customWidth="1"/>
    <col min="7455" max="7455" width="14.42578125" style="113" bestFit="1" customWidth="1"/>
    <col min="7456" max="7466" width="0" style="113" hidden="1" customWidth="1"/>
    <col min="7467" max="7687" width="9.140625" style="113"/>
    <col min="7688" max="7688" width="54.140625" style="113" bestFit="1" customWidth="1"/>
    <col min="7689" max="7689" width="14.7109375" style="113" customWidth="1"/>
    <col min="7690" max="7690" width="10.140625" style="113" customWidth="1"/>
    <col min="7691" max="7691" width="10.42578125" style="113" bestFit="1" customWidth="1"/>
    <col min="7692" max="7693" width="9.42578125" style="113" bestFit="1" customWidth="1"/>
    <col min="7694" max="7695" width="9.42578125" style="113" customWidth="1"/>
    <col min="7696" max="7696" width="10.140625" style="113" bestFit="1" customWidth="1"/>
    <col min="7697" max="7700" width="9.140625" style="113"/>
    <col min="7701" max="7701" width="7.28515625" style="113" customWidth="1"/>
    <col min="7702" max="7704" width="7.42578125" style="113" customWidth="1"/>
    <col min="7705" max="7705" width="10.42578125" style="113" bestFit="1" customWidth="1"/>
    <col min="7706" max="7706" width="12" style="113" bestFit="1" customWidth="1"/>
    <col min="7707" max="7707" width="11" style="113" bestFit="1" customWidth="1"/>
    <col min="7708" max="7709" width="11" style="113" customWidth="1"/>
    <col min="7710" max="7710" width="10" style="113" bestFit="1" customWidth="1"/>
    <col min="7711" max="7711" width="14.42578125" style="113" bestFit="1" customWidth="1"/>
    <col min="7712" max="7722" width="0" style="113" hidden="1" customWidth="1"/>
    <col min="7723" max="7943" width="9.140625" style="113"/>
    <col min="7944" max="7944" width="54.140625" style="113" bestFit="1" customWidth="1"/>
    <col min="7945" max="7945" width="14.7109375" style="113" customWidth="1"/>
    <col min="7946" max="7946" width="10.140625" style="113" customWidth="1"/>
    <col min="7947" max="7947" width="10.42578125" style="113" bestFit="1" customWidth="1"/>
    <col min="7948" max="7949" width="9.42578125" style="113" bestFit="1" customWidth="1"/>
    <col min="7950" max="7951" width="9.42578125" style="113" customWidth="1"/>
    <col min="7952" max="7952" width="10.140625" style="113" bestFit="1" customWidth="1"/>
    <col min="7953" max="7956" width="9.140625" style="113"/>
    <col min="7957" max="7957" width="7.28515625" style="113" customWidth="1"/>
    <col min="7958" max="7960" width="7.42578125" style="113" customWidth="1"/>
    <col min="7961" max="7961" width="10.42578125" style="113" bestFit="1" customWidth="1"/>
    <col min="7962" max="7962" width="12" style="113" bestFit="1" customWidth="1"/>
    <col min="7963" max="7963" width="11" style="113" bestFit="1" customWidth="1"/>
    <col min="7964" max="7965" width="11" style="113" customWidth="1"/>
    <col min="7966" max="7966" width="10" style="113" bestFit="1" customWidth="1"/>
    <col min="7967" max="7967" width="14.42578125" style="113" bestFit="1" customWidth="1"/>
    <col min="7968" max="7978" width="0" style="113" hidden="1" customWidth="1"/>
    <col min="7979" max="8199" width="9.140625" style="113"/>
    <col min="8200" max="8200" width="54.140625" style="113" bestFit="1" customWidth="1"/>
    <col min="8201" max="8201" width="14.7109375" style="113" customWidth="1"/>
    <col min="8202" max="8202" width="10.140625" style="113" customWidth="1"/>
    <col min="8203" max="8203" width="10.42578125" style="113" bestFit="1" customWidth="1"/>
    <col min="8204" max="8205" width="9.42578125" style="113" bestFit="1" customWidth="1"/>
    <col min="8206" max="8207" width="9.42578125" style="113" customWidth="1"/>
    <col min="8208" max="8208" width="10.140625" style="113" bestFit="1" customWidth="1"/>
    <col min="8209" max="8212" width="9.140625" style="113"/>
    <col min="8213" max="8213" width="7.28515625" style="113" customWidth="1"/>
    <col min="8214" max="8216" width="7.42578125" style="113" customWidth="1"/>
    <col min="8217" max="8217" width="10.42578125" style="113" bestFit="1" customWidth="1"/>
    <col min="8218" max="8218" width="12" style="113" bestFit="1" customWidth="1"/>
    <col min="8219" max="8219" width="11" style="113" bestFit="1" customWidth="1"/>
    <col min="8220" max="8221" width="11" style="113" customWidth="1"/>
    <col min="8222" max="8222" width="10" style="113" bestFit="1" customWidth="1"/>
    <col min="8223" max="8223" width="14.42578125" style="113" bestFit="1" customWidth="1"/>
    <col min="8224" max="8234" width="0" style="113" hidden="1" customWidth="1"/>
    <col min="8235" max="8455" width="9.140625" style="113"/>
    <col min="8456" max="8456" width="54.140625" style="113" bestFit="1" customWidth="1"/>
    <col min="8457" max="8457" width="14.7109375" style="113" customWidth="1"/>
    <col min="8458" max="8458" width="10.140625" style="113" customWidth="1"/>
    <col min="8459" max="8459" width="10.42578125" style="113" bestFit="1" customWidth="1"/>
    <col min="8460" max="8461" width="9.42578125" style="113" bestFit="1" customWidth="1"/>
    <col min="8462" max="8463" width="9.42578125" style="113" customWidth="1"/>
    <col min="8464" max="8464" width="10.140625" style="113" bestFit="1" customWidth="1"/>
    <col min="8465" max="8468" width="9.140625" style="113"/>
    <col min="8469" max="8469" width="7.28515625" style="113" customWidth="1"/>
    <col min="8470" max="8472" width="7.42578125" style="113" customWidth="1"/>
    <col min="8473" max="8473" width="10.42578125" style="113" bestFit="1" customWidth="1"/>
    <col min="8474" max="8474" width="12" style="113" bestFit="1" customWidth="1"/>
    <col min="8475" max="8475" width="11" style="113" bestFit="1" customWidth="1"/>
    <col min="8476" max="8477" width="11" style="113" customWidth="1"/>
    <col min="8478" max="8478" width="10" style="113" bestFit="1" customWidth="1"/>
    <col min="8479" max="8479" width="14.42578125" style="113" bestFit="1" customWidth="1"/>
    <col min="8480" max="8490" width="0" style="113" hidden="1" customWidth="1"/>
    <col min="8491" max="8711" width="9.140625" style="113"/>
    <col min="8712" max="8712" width="54.140625" style="113" bestFit="1" customWidth="1"/>
    <col min="8713" max="8713" width="14.7109375" style="113" customWidth="1"/>
    <col min="8714" max="8714" width="10.140625" style="113" customWidth="1"/>
    <col min="8715" max="8715" width="10.42578125" style="113" bestFit="1" customWidth="1"/>
    <col min="8716" max="8717" width="9.42578125" style="113" bestFit="1" customWidth="1"/>
    <col min="8718" max="8719" width="9.42578125" style="113" customWidth="1"/>
    <col min="8720" max="8720" width="10.140625" style="113" bestFit="1" customWidth="1"/>
    <col min="8721" max="8724" width="9.140625" style="113"/>
    <col min="8725" max="8725" width="7.28515625" style="113" customWidth="1"/>
    <col min="8726" max="8728" width="7.42578125" style="113" customWidth="1"/>
    <col min="8729" max="8729" width="10.42578125" style="113" bestFit="1" customWidth="1"/>
    <col min="8730" max="8730" width="12" style="113" bestFit="1" customWidth="1"/>
    <col min="8731" max="8731" width="11" style="113" bestFit="1" customWidth="1"/>
    <col min="8732" max="8733" width="11" style="113" customWidth="1"/>
    <col min="8734" max="8734" width="10" style="113" bestFit="1" customWidth="1"/>
    <col min="8735" max="8735" width="14.42578125" style="113" bestFit="1" customWidth="1"/>
    <col min="8736" max="8746" width="0" style="113" hidden="1" customWidth="1"/>
    <col min="8747" max="8967" width="9.140625" style="113"/>
    <col min="8968" max="8968" width="54.140625" style="113" bestFit="1" customWidth="1"/>
    <col min="8969" max="8969" width="14.7109375" style="113" customWidth="1"/>
    <col min="8970" max="8970" width="10.140625" style="113" customWidth="1"/>
    <col min="8971" max="8971" width="10.42578125" style="113" bestFit="1" customWidth="1"/>
    <col min="8972" max="8973" width="9.42578125" style="113" bestFit="1" customWidth="1"/>
    <col min="8974" max="8975" width="9.42578125" style="113" customWidth="1"/>
    <col min="8976" max="8976" width="10.140625" style="113" bestFit="1" customWidth="1"/>
    <col min="8977" max="8980" width="9.140625" style="113"/>
    <col min="8981" max="8981" width="7.28515625" style="113" customWidth="1"/>
    <col min="8982" max="8984" width="7.42578125" style="113" customWidth="1"/>
    <col min="8985" max="8985" width="10.42578125" style="113" bestFit="1" customWidth="1"/>
    <col min="8986" max="8986" width="12" style="113" bestFit="1" customWidth="1"/>
    <col min="8987" max="8987" width="11" style="113" bestFit="1" customWidth="1"/>
    <col min="8988" max="8989" width="11" style="113" customWidth="1"/>
    <col min="8990" max="8990" width="10" style="113" bestFit="1" customWidth="1"/>
    <col min="8991" max="8991" width="14.42578125" style="113" bestFit="1" customWidth="1"/>
    <col min="8992" max="9002" width="0" style="113" hidden="1" customWidth="1"/>
    <col min="9003" max="9223" width="9.140625" style="113"/>
    <col min="9224" max="9224" width="54.140625" style="113" bestFit="1" customWidth="1"/>
    <col min="9225" max="9225" width="14.7109375" style="113" customWidth="1"/>
    <col min="9226" max="9226" width="10.140625" style="113" customWidth="1"/>
    <col min="9227" max="9227" width="10.42578125" style="113" bestFit="1" customWidth="1"/>
    <col min="9228" max="9229" width="9.42578125" style="113" bestFit="1" customWidth="1"/>
    <col min="9230" max="9231" width="9.42578125" style="113" customWidth="1"/>
    <col min="9232" max="9232" width="10.140625" style="113" bestFit="1" customWidth="1"/>
    <col min="9233" max="9236" width="9.140625" style="113"/>
    <col min="9237" max="9237" width="7.28515625" style="113" customWidth="1"/>
    <col min="9238" max="9240" width="7.42578125" style="113" customWidth="1"/>
    <col min="9241" max="9241" width="10.42578125" style="113" bestFit="1" customWidth="1"/>
    <col min="9242" max="9242" width="12" style="113" bestFit="1" customWidth="1"/>
    <col min="9243" max="9243" width="11" style="113" bestFit="1" customWidth="1"/>
    <col min="9244" max="9245" width="11" style="113" customWidth="1"/>
    <col min="9246" max="9246" width="10" style="113" bestFit="1" customWidth="1"/>
    <col min="9247" max="9247" width="14.42578125" style="113" bestFit="1" customWidth="1"/>
    <col min="9248" max="9258" width="0" style="113" hidden="1" customWidth="1"/>
    <col min="9259" max="9479" width="9.140625" style="113"/>
    <col min="9480" max="9480" width="54.140625" style="113" bestFit="1" customWidth="1"/>
    <col min="9481" max="9481" width="14.7109375" style="113" customWidth="1"/>
    <col min="9482" max="9482" width="10.140625" style="113" customWidth="1"/>
    <col min="9483" max="9483" width="10.42578125" style="113" bestFit="1" customWidth="1"/>
    <col min="9484" max="9485" width="9.42578125" style="113" bestFit="1" customWidth="1"/>
    <col min="9486" max="9487" width="9.42578125" style="113" customWidth="1"/>
    <col min="9488" max="9488" width="10.140625" style="113" bestFit="1" customWidth="1"/>
    <col min="9489" max="9492" width="9.140625" style="113"/>
    <col min="9493" max="9493" width="7.28515625" style="113" customWidth="1"/>
    <col min="9494" max="9496" width="7.42578125" style="113" customWidth="1"/>
    <col min="9497" max="9497" width="10.42578125" style="113" bestFit="1" customWidth="1"/>
    <col min="9498" max="9498" width="12" style="113" bestFit="1" customWidth="1"/>
    <col min="9499" max="9499" width="11" style="113" bestFit="1" customWidth="1"/>
    <col min="9500" max="9501" width="11" style="113" customWidth="1"/>
    <col min="9502" max="9502" width="10" style="113" bestFit="1" customWidth="1"/>
    <col min="9503" max="9503" width="14.42578125" style="113" bestFit="1" customWidth="1"/>
    <col min="9504" max="9514" width="0" style="113" hidden="1" customWidth="1"/>
    <col min="9515" max="9735" width="9.140625" style="113"/>
    <col min="9736" max="9736" width="54.140625" style="113" bestFit="1" customWidth="1"/>
    <col min="9737" max="9737" width="14.7109375" style="113" customWidth="1"/>
    <col min="9738" max="9738" width="10.140625" style="113" customWidth="1"/>
    <col min="9739" max="9739" width="10.42578125" style="113" bestFit="1" customWidth="1"/>
    <col min="9740" max="9741" width="9.42578125" style="113" bestFit="1" customWidth="1"/>
    <col min="9742" max="9743" width="9.42578125" style="113" customWidth="1"/>
    <col min="9744" max="9744" width="10.140625" style="113" bestFit="1" customWidth="1"/>
    <col min="9745" max="9748" width="9.140625" style="113"/>
    <col min="9749" max="9749" width="7.28515625" style="113" customWidth="1"/>
    <col min="9750" max="9752" width="7.42578125" style="113" customWidth="1"/>
    <col min="9753" max="9753" width="10.42578125" style="113" bestFit="1" customWidth="1"/>
    <col min="9754" max="9754" width="12" style="113" bestFit="1" customWidth="1"/>
    <col min="9755" max="9755" width="11" style="113" bestFit="1" customWidth="1"/>
    <col min="9756" max="9757" width="11" style="113" customWidth="1"/>
    <col min="9758" max="9758" width="10" style="113" bestFit="1" customWidth="1"/>
    <col min="9759" max="9759" width="14.42578125" style="113" bestFit="1" customWidth="1"/>
    <col min="9760" max="9770" width="0" style="113" hidden="1" customWidth="1"/>
    <col min="9771" max="9991" width="9.140625" style="113"/>
    <col min="9992" max="9992" width="54.140625" style="113" bestFit="1" customWidth="1"/>
    <col min="9993" max="9993" width="14.7109375" style="113" customWidth="1"/>
    <col min="9994" max="9994" width="10.140625" style="113" customWidth="1"/>
    <col min="9995" max="9995" width="10.42578125" style="113" bestFit="1" customWidth="1"/>
    <col min="9996" max="9997" width="9.42578125" style="113" bestFit="1" customWidth="1"/>
    <col min="9998" max="9999" width="9.42578125" style="113" customWidth="1"/>
    <col min="10000" max="10000" width="10.140625" style="113" bestFit="1" customWidth="1"/>
    <col min="10001" max="10004" width="9.140625" style="113"/>
    <col min="10005" max="10005" width="7.28515625" style="113" customWidth="1"/>
    <col min="10006" max="10008" width="7.42578125" style="113" customWidth="1"/>
    <col min="10009" max="10009" width="10.42578125" style="113" bestFit="1" customWidth="1"/>
    <col min="10010" max="10010" width="12" style="113" bestFit="1" customWidth="1"/>
    <col min="10011" max="10011" width="11" style="113" bestFit="1" customWidth="1"/>
    <col min="10012" max="10013" width="11" style="113" customWidth="1"/>
    <col min="10014" max="10014" width="10" style="113" bestFit="1" customWidth="1"/>
    <col min="10015" max="10015" width="14.42578125" style="113" bestFit="1" customWidth="1"/>
    <col min="10016" max="10026" width="0" style="113" hidden="1" customWidth="1"/>
    <col min="10027" max="10247" width="9.140625" style="113"/>
    <col min="10248" max="10248" width="54.140625" style="113" bestFit="1" customWidth="1"/>
    <col min="10249" max="10249" width="14.7109375" style="113" customWidth="1"/>
    <col min="10250" max="10250" width="10.140625" style="113" customWidth="1"/>
    <col min="10251" max="10251" width="10.42578125" style="113" bestFit="1" customWidth="1"/>
    <col min="10252" max="10253" width="9.42578125" style="113" bestFit="1" customWidth="1"/>
    <col min="10254" max="10255" width="9.42578125" style="113" customWidth="1"/>
    <col min="10256" max="10256" width="10.140625" style="113" bestFit="1" customWidth="1"/>
    <col min="10257" max="10260" width="9.140625" style="113"/>
    <col min="10261" max="10261" width="7.28515625" style="113" customWidth="1"/>
    <col min="10262" max="10264" width="7.42578125" style="113" customWidth="1"/>
    <col min="10265" max="10265" width="10.42578125" style="113" bestFit="1" customWidth="1"/>
    <col min="10266" max="10266" width="12" style="113" bestFit="1" customWidth="1"/>
    <col min="10267" max="10267" width="11" style="113" bestFit="1" customWidth="1"/>
    <col min="10268" max="10269" width="11" style="113" customWidth="1"/>
    <col min="10270" max="10270" width="10" style="113" bestFit="1" customWidth="1"/>
    <col min="10271" max="10271" width="14.42578125" style="113" bestFit="1" customWidth="1"/>
    <col min="10272" max="10282" width="0" style="113" hidden="1" customWidth="1"/>
    <col min="10283" max="10503" width="9.140625" style="113"/>
    <col min="10504" max="10504" width="54.140625" style="113" bestFit="1" customWidth="1"/>
    <col min="10505" max="10505" width="14.7109375" style="113" customWidth="1"/>
    <col min="10506" max="10506" width="10.140625" style="113" customWidth="1"/>
    <col min="10507" max="10507" width="10.42578125" style="113" bestFit="1" customWidth="1"/>
    <col min="10508" max="10509" width="9.42578125" style="113" bestFit="1" customWidth="1"/>
    <col min="10510" max="10511" width="9.42578125" style="113" customWidth="1"/>
    <col min="10512" max="10512" width="10.140625" style="113" bestFit="1" customWidth="1"/>
    <col min="10513" max="10516" width="9.140625" style="113"/>
    <col min="10517" max="10517" width="7.28515625" style="113" customWidth="1"/>
    <col min="10518" max="10520" width="7.42578125" style="113" customWidth="1"/>
    <col min="10521" max="10521" width="10.42578125" style="113" bestFit="1" customWidth="1"/>
    <col min="10522" max="10522" width="12" style="113" bestFit="1" customWidth="1"/>
    <col min="10523" max="10523" width="11" style="113" bestFit="1" customWidth="1"/>
    <col min="10524" max="10525" width="11" style="113" customWidth="1"/>
    <col min="10526" max="10526" width="10" style="113" bestFit="1" customWidth="1"/>
    <col min="10527" max="10527" width="14.42578125" style="113" bestFit="1" customWidth="1"/>
    <col min="10528" max="10538" width="0" style="113" hidden="1" customWidth="1"/>
    <col min="10539" max="10759" width="9.140625" style="113"/>
    <col min="10760" max="10760" width="54.140625" style="113" bestFit="1" customWidth="1"/>
    <col min="10761" max="10761" width="14.7109375" style="113" customWidth="1"/>
    <col min="10762" max="10762" width="10.140625" style="113" customWidth="1"/>
    <col min="10763" max="10763" width="10.42578125" style="113" bestFit="1" customWidth="1"/>
    <col min="10764" max="10765" width="9.42578125" style="113" bestFit="1" customWidth="1"/>
    <col min="10766" max="10767" width="9.42578125" style="113" customWidth="1"/>
    <col min="10768" max="10768" width="10.140625" style="113" bestFit="1" customWidth="1"/>
    <col min="10769" max="10772" width="9.140625" style="113"/>
    <col min="10773" max="10773" width="7.28515625" style="113" customWidth="1"/>
    <col min="10774" max="10776" width="7.42578125" style="113" customWidth="1"/>
    <col min="10777" max="10777" width="10.42578125" style="113" bestFit="1" customWidth="1"/>
    <col min="10778" max="10778" width="12" style="113" bestFit="1" customWidth="1"/>
    <col min="10779" max="10779" width="11" style="113" bestFit="1" customWidth="1"/>
    <col min="10780" max="10781" width="11" style="113" customWidth="1"/>
    <col min="10782" max="10782" width="10" style="113" bestFit="1" customWidth="1"/>
    <col min="10783" max="10783" width="14.42578125" style="113" bestFit="1" customWidth="1"/>
    <col min="10784" max="10794" width="0" style="113" hidden="1" customWidth="1"/>
    <col min="10795" max="11015" width="9.140625" style="113"/>
    <col min="11016" max="11016" width="54.140625" style="113" bestFit="1" customWidth="1"/>
    <col min="11017" max="11017" width="14.7109375" style="113" customWidth="1"/>
    <col min="11018" max="11018" width="10.140625" style="113" customWidth="1"/>
    <col min="11019" max="11019" width="10.42578125" style="113" bestFit="1" customWidth="1"/>
    <col min="11020" max="11021" width="9.42578125" style="113" bestFit="1" customWidth="1"/>
    <col min="11022" max="11023" width="9.42578125" style="113" customWidth="1"/>
    <col min="11024" max="11024" width="10.140625" style="113" bestFit="1" customWidth="1"/>
    <col min="11025" max="11028" width="9.140625" style="113"/>
    <col min="11029" max="11029" width="7.28515625" style="113" customWidth="1"/>
    <col min="11030" max="11032" width="7.42578125" style="113" customWidth="1"/>
    <col min="11033" max="11033" width="10.42578125" style="113" bestFit="1" customWidth="1"/>
    <col min="11034" max="11034" width="12" style="113" bestFit="1" customWidth="1"/>
    <col min="11035" max="11035" width="11" style="113" bestFit="1" customWidth="1"/>
    <col min="11036" max="11037" width="11" style="113" customWidth="1"/>
    <col min="11038" max="11038" width="10" style="113" bestFit="1" customWidth="1"/>
    <col min="11039" max="11039" width="14.42578125" style="113" bestFit="1" customWidth="1"/>
    <col min="11040" max="11050" width="0" style="113" hidden="1" customWidth="1"/>
    <col min="11051" max="11271" width="9.140625" style="113"/>
    <col min="11272" max="11272" width="54.140625" style="113" bestFit="1" customWidth="1"/>
    <col min="11273" max="11273" width="14.7109375" style="113" customWidth="1"/>
    <col min="11274" max="11274" width="10.140625" style="113" customWidth="1"/>
    <col min="11275" max="11275" width="10.42578125" style="113" bestFit="1" customWidth="1"/>
    <col min="11276" max="11277" width="9.42578125" style="113" bestFit="1" customWidth="1"/>
    <col min="11278" max="11279" width="9.42578125" style="113" customWidth="1"/>
    <col min="11280" max="11280" width="10.140625" style="113" bestFit="1" customWidth="1"/>
    <col min="11281" max="11284" width="9.140625" style="113"/>
    <col min="11285" max="11285" width="7.28515625" style="113" customWidth="1"/>
    <col min="11286" max="11288" width="7.42578125" style="113" customWidth="1"/>
    <col min="11289" max="11289" width="10.42578125" style="113" bestFit="1" customWidth="1"/>
    <col min="11290" max="11290" width="12" style="113" bestFit="1" customWidth="1"/>
    <col min="11291" max="11291" width="11" style="113" bestFit="1" customWidth="1"/>
    <col min="11292" max="11293" width="11" style="113" customWidth="1"/>
    <col min="11294" max="11294" width="10" style="113" bestFit="1" customWidth="1"/>
    <col min="11295" max="11295" width="14.42578125" style="113" bestFit="1" customWidth="1"/>
    <col min="11296" max="11306" width="0" style="113" hidden="1" customWidth="1"/>
    <col min="11307" max="11527" width="9.140625" style="113"/>
    <col min="11528" max="11528" width="54.140625" style="113" bestFit="1" customWidth="1"/>
    <col min="11529" max="11529" width="14.7109375" style="113" customWidth="1"/>
    <col min="11530" max="11530" width="10.140625" style="113" customWidth="1"/>
    <col min="11531" max="11531" width="10.42578125" style="113" bestFit="1" customWidth="1"/>
    <col min="11532" max="11533" width="9.42578125" style="113" bestFit="1" customWidth="1"/>
    <col min="11534" max="11535" width="9.42578125" style="113" customWidth="1"/>
    <col min="11536" max="11536" width="10.140625" style="113" bestFit="1" customWidth="1"/>
    <col min="11537" max="11540" width="9.140625" style="113"/>
    <col min="11541" max="11541" width="7.28515625" style="113" customWidth="1"/>
    <col min="11542" max="11544" width="7.42578125" style="113" customWidth="1"/>
    <col min="11545" max="11545" width="10.42578125" style="113" bestFit="1" customWidth="1"/>
    <col min="11546" max="11546" width="12" style="113" bestFit="1" customWidth="1"/>
    <col min="11547" max="11547" width="11" style="113" bestFit="1" customWidth="1"/>
    <col min="11548" max="11549" width="11" style="113" customWidth="1"/>
    <col min="11550" max="11550" width="10" style="113" bestFit="1" customWidth="1"/>
    <col min="11551" max="11551" width="14.42578125" style="113" bestFit="1" customWidth="1"/>
    <col min="11552" max="11562" width="0" style="113" hidden="1" customWidth="1"/>
    <col min="11563" max="11783" width="9.140625" style="113"/>
    <col min="11784" max="11784" width="54.140625" style="113" bestFit="1" customWidth="1"/>
    <col min="11785" max="11785" width="14.7109375" style="113" customWidth="1"/>
    <col min="11786" max="11786" width="10.140625" style="113" customWidth="1"/>
    <col min="11787" max="11787" width="10.42578125" style="113" bestFit="1" customWidth="1"/>
    <col min="11788" max="11789" width="9.42578125" style="113" bestFit="1" customWidth="1"/>
    <col min="11790" max="11791" width="9.42578125" style="113" customWidth="1"/>
    <col min="11792" max="11792" width="10.140625" style="113" bestFit="1" customWidth="1"/>
    <col min="11793" max="11796" width="9.140625" style="113"/>
    <col min="11797" max="11797" width="7.28515625" style="113" customWidth="1"/>
    <col min="11798" max="11800" width="7.42578125" style="113" customWidth="1"/>
    <col min="11801" max="11801" width="10.42578125" style="113" bestFit="1" customWidth="1"/>
    <col min="11802" max="11802" width="12" style="113" bestFit="1" customWidth="1"/>
    <col min="11803" max="11803" width="11" style="113" bestFit="1" customWidth="1"/>
    <col min="11804" max="11805" width="11" style="113" customWidth="1"/>
    <col min="11806" max="11806" width="10" style="113" bestFit="1" customWidth="1"/>
    <col min="11807" max="11807" width="14.42578125" style="113" bestFit="1" customWidth="1"/>
    <col min="11808" max="11818" width="0" style="113" hidden="1" customWidth="1"/>
    <col min="11819" max="12039" width="9.140625" style="113"/>
    <col min="12040" max="12040" width="54.140625" style="113" bestFit="1" customWidth="1"/>
    <col min="12041" max="12041" width="14.7109375" style="113" customWidth="1"/>
    <col min="12042" max="12042" width="10.140625" style="113" customWidth="1"/>
    <col min="12043" max="12043" width="10.42578125" style="113" bestFit="1" customWidth="1"/>
    <col min="12044" max="12045" width="9.42578125" style="113" bestFit="1" customWidth="1"/>
    <col min="12046" max="12047" width="9.42578125" style="113" customWidth="1"/>
    <col min="12048" max="12048" width="10.140625" style="113" bestFit="1" customWidth="1"/>
    <col min="12049" max="12052" width="9.140625" style="113"/>
    <col min="12053" max="12053" width="7.28515625" style="113" customWidth="1"/>
    <col min="12054" max="12056" width="7.42578125" style="113" customWidth="1"/>
    <col min="12057" max="12057" width="10.42578125" style="113" bestFit="1" customWidth="1"/>
    <col min="12058" max="12058" width="12" style="113" bestFit="1" customWidth="1"/>
    <col min="12059" max="12059" width="11" style="113" bestFit="1" customWidth="1"/>
    <col min="12060" max="12061" width="11" style="113" customWidth="1"/>
    <col min="12062" max="12062" width="10" style="113" bestFit="1" customWidth="1"/>
    <col min="12063" max="12063" width="14.42578125" style="113" bestFit="1" customWidth="1"/>
    <col min="12064" max="12074" width="0" style="113" hidden="1" customWidth="1"/>
    <col min="12075" max="12295" width="9.140625" style="113"/>
    <col min="12296" max="12296" width="54.140625" style="113" bestFit="1" customWidth="1"/>
    <col min="12297" max="12297" width="14.7109375" style="113" customWidth="1"/>
    <col min="12298" max="12298" width="10.140625" style="113" customWidth="1"/>
    <col min="12299" max="12299" width="10.42578125" style="113" bestFit="1" customWidth="1"/>
    <col min="12300" max="12301" width="9.42578125" style="113" bestFit="1" customWidth="1"/>
    <col min="12302" max="12303" width="9.42578125" style="113" customWidth="1"/>
    <col min="12304" max="12304" width="10.140625" style="113" bestFit="1" customWidth="1"/>
    <col min="12305" max="12308" width="9.140625" style="113"/>
    <col min="12309" max="12309" width="7.28515625" style="113" customWidth="1"/>
    <col min="12310" max="12312" width="7.42578125" style="113" customWidth="1"/>
    <col min="12313" max="12313" width="10.42578125" style="113" bestFit="1" customWidth="1"/>
    <col min="12314" max="12314" width="12" style="113" bestFit="1" customWidth="1"/>
    <col min="12315" max="12315" width="11" style="113" bestFit="1" customWidth="1"/>
    <col min="12316" max="12317" width="11" style="113" customWidth="1"/>
    <col min="12318" max="12318" width="10" style="113" bestFit="1" customWidth="1"/>
    <col min="12319" max="12319" width="14.42578125" style="113" bestFit="1" customWidth="1"/>
    <col min="12320" max="12330" width="0" style="113" hidden="1" customWidth="1"/>
    <col min="12331" max="12551" width="9.140625" style="113"/>
    <col min="12552" max="12552" width="54.140625" style="113" bestFit="1" customWidth="1"/>
    <col min="12553" max="12553" width="14.7109375" style="113" customWidth="1"/>
    <col min="12554" max="12554" width="10.140625" style="113" customWidth="1"/>
    <col min="12555" max="12555" width="10.42578125" style="113" bestFit="1" customWidth="1"/>
    <col min="12556" max="12557" width="9.42578125" style="113" bestFit="1" customWidth="1"/>
    <col min="12558" max="12559" width="9.42578125" style="113" customWidth="1"/>
    <col min="12560" max="12560" width="10.140625" style="113" bestFit="1" customWidth="1"/>
    <col min="12561" max="12564" width="9.140625" style="113"/>
    <col min="12565" max="12565" width="7.28515625" style="113" customWidth="1"/>
    <col min="12566" max="12568" width="7.42578125" style="113" customWidth="1"/>
    <col min="12569" max="12569" width="10.42578125" style="113" bestFit="1" customWidth="1"/>
    <col min="12570" max="12570" width="12" style="113" bestFit="1" customWidth="1"/>
    <col min="12571" max="12571" width="11" style="113" bestFit="1" customWidth="1"/>
    <col min="12572" max="12573" width="11" style="113" customWidth="1"/>
    <col min="12574" max="12574" width="10" style="113" bestFit="1" customWidth="1"/>
    <col min="12575" max="12575" width="14.42578125" style="113" bestFit="1" customWidth="1"/>
    <col min="12576" max="12586" width="0" style="113" hidden="1" customWidth="1"/>
    <col min="12587" max="12807" width="9.140625" style="113"/>
    <col min="12808" max="12808" width="54.140625" style="113" bestFit="1" customWidth="1"/>
    <col min="12809" max="12809" width="14.7109375" style="113" customWidth="1"/>
    <col min="12810" max="12810" width="10.140625" style="113" customWidth="1"/>
    <col min="12811" max="12811" width="10.42578125" style="113" bestFit="1" customWidth="1"/>
    <col min="12812" max="12813" width="9.42578125" style="113" bestFit="1" customWidth="1"/>
    <col min="12814" max="12815" width="9.42578125" style="113" customWidth="1"/>
    <col min="12816" max="12816" width="10.140625" style="113" bestFit="1" customWidth="1"/>
    <col min="12817" max="12820" width="9.140625" style="113"/>
    <col min="12821" max="12821" width="7.28515625" style="113" customWidth="1"/>
    <col min="12822" max="12824" width="7.42578125" style="113" customWidth="1"/>
    <col min="12825" max="12825" width="10.42578125" style="113" bestFit="1" customWidth="1"/>
    <col min="12826" max="12826" width="12" style="113" bestFit="1" customWidth="1"/>
    <col min="12827" max="12827" width="11" style="113" bestFit="1" customWidth="1"/>
    <col min="12828" max="12829" width="11" style="113" customWidth="1"/>
    <col min="12830" max="12830" width="10" style="113" bestFit="1" customWidth="1"/>
    <col min="12831" max="12831" width="14.42578125" style="113" bestFit="1" customWidth="1"/>
    <col min="12832" max="12842" width="0" style="113" hidden="1" customWidth="1"/>
    <col min="12843" max="13063" width="9.140625" style="113"/>
    <col min="13064" max="13064" width="54.140625" style="113" bestFit="1" customWidth="1"/>
    <col min="13065" max="13065" width="14.7109375" style="113" customWidth="1"/>
    <col min="13066" max="13066" width="10.140625" style="113" customWidth="1"/>
    <col min="13067" max="13067" width="10.42578125" style="113" bestFit="1" customWidth="1"/>
    <col min="13068" max="13069" width="9.42578125" style="113" bestFit="1" customWidth="1"/>
    <col min="13070" max="13071" width="9.42578125" style="113" customWidth="1"/>
    <col min="13072" max="13072" width="10.140625" style="113" bestFit="1" customWidth="1"/>
    <col min="13073" max="13076" width="9.140625" style="113"/>
    <col min="13077" max="13077" width="7.28515625" style="113" customWidth="1"/>
    <col min="13078" max="13080" width="7.42578125" style="113" customWidth="1"/>
    <col min="13081" max="13081" width="10.42578125" style="113" bestFit="1" customWidth="1"/>
    <col min="13082" max="13082" width="12" style="113" bestFit="1" customWidth="1"/>
    <col min="13083" max="13083" width="11" style="113" bestFit="1" customWidth="1"/>
    <col min="13084" max="13085" width="11" style="113" customWidth="1"/>
    <col min="13086" max="13086" width="10" style="113" bestFit="1" customWidth="1"/>
    <col min="13087" max="13087" width="14.42578125" style="113" bestFit="1" customWidth="1"/>
    <col min="13088" max="13098" width="0" style="113" hidden="1" customWidth="1"/>
    <col min="13099" max="13319" width="9.140625" style="113"/>
    <col min="13320" max="13320" width="54.140625" style="113" bestFit="1" customWidth="1"/>
    <col min="13321" max="13321" width="14.7109375" style="113" customWidth="1"/>
    <col min="13322" max="13322" width="10.140625" style="113" customWidth="1"/>
    <col min="13323" max="13323" width="10.42578125" style="113" bestFit="1" customWidth="1"/>
    <col min="13324" max="13325" width="9.42578125" style="113" bestFit="1" customWidth="1"/>
    <col min="13326" max="13327" width="9.42578125" style="113" customWidth="1"/>
    <col min="13328" max="13328" width="10.140625" style="113" bestFit="1" customWidth="1"/>
    <col min="13329" max="13332" width="9.140625" style="113"/>
    <col min="13333" max="13333" width="7.28515625" style="113" customWidth="1"/>
    <col min="13334" max="13336" width="7.42578125" style="113" customWidth="1"/>
    <col min="13337" max="13337" width="10.42578125" style="113" bestFit="1" customWidth="1"/>
    <col min="13338" max="13338" width="12" style="113" bestFit="1" customWidth="1"/>
    <col min="13339" max="13339" width="11" style="113" bestFit="1" customWidth="1"/>
    <col min="13340" max="13341" width="11" style="113" customWidth="1"/>
    <col min="13342" max="13342" width="10" style="113" bestFit="1" customWidth="1"/>
    <col min="13343" max="13343" width="14.42578125" style="113" bestFit="1" customWidth="1"/>
    <col min="13344" max="13354" width="0" style="113" hidden="1" customWidth="1"/>
    <col min="13355" max="13575" width="9.140625" style="113"/>
    <col min="13576" max="13576" width="54.140625" style="113" bestFit="1" customWidth="1"/>
    <col min="13577" max="13577" width="14.7109375" style="113" customWidth="1"/>
    <col min="13578" max="13578" width="10.140625" style="113" customWidth="1"/>
    <col min="13579" max="13579" width="10.42578125" style="113" bestFit="1" customWidth="1"/>
    <col min="13580" max="13581" width="9.42578125" style="113" bestFit="1" customWidth="1"/>
    <col min="13582" max="13583" width="9.42578125" style="113" customWidth="1"/>
    <col min="13584" max="13584" width="10.140625" style="113" bestFit="1" customWidth="1"/>
    <col min="13585" max="13588" width="9.140625" style="113"/>
    <col min="13589" max="13589" width="7.28515625" style="113" customWidth="1"/>
    <col min="13590" max="13592" width="7.42578125" style="113" customWidth="1"/>
    <col min="13593" max="13593" width="10.42578125" style="113" bestFit="1" customWidth="1"/>
    <col min="13594" max="13594" width="12" style="113" bestFit="1" customWidth="1"/>
    <col min="13595" max="13595" width="11" style="113" bestFit="1" customWidth="1"/>
    <col min="13596" max="13597" width="11" style="113" customWidth="1"/>
    <col min="13598" max="13598" width="10" style="113" bestFit="1" customWidth="1"/>
    <col min="13599" max="13599" width="14.42578125" style="113" bestFit="1" customWidth="1"/>
    <col min="13600" max="13610" width="0" style="113" hidden="1" customWidth="1"/>
    <col min="13611" max="13831" width="9.140625" style="113"/>
    <col min="13832" max="13832" width="54.140625" style="113" bestFit="1" customWidth="1"/>
    <col min="13833" max="13833" width="14.7109375" style="113" customWidth="1"/>
    <col min="13834" max="13834" width="10.140625" style="113" customWidth="1"/>
    <col min="13835" max="13835" width="10.42578125" style="113" bestFit="1" customWidth="1"/>
    <col min="13836" max="13837" width="9.42578125" style="113" bestFit="1" customWidth="1"/>
    <col min="13838" max="13839" width="9.42578125" style="113" customWidth="1"/>
    <col min="13840" max="13840" width="10.140625" style="113" bestFit="1" customWidth="1"/>
    <col min="13841" max="13844" width="9.140625" style="113"/>
    <col min="13845" max="13845" width="7.28515625" style="113" customWidth="1"/>
    <col min="13846" max="13848" width="7.42578125" style="113" customWidth="1"/>
    <col min="13849" max="13849" width="10.42578125" style="113" bestFit="1" customWidth="1"/>
    <col min="13850" max="13850" width="12" style="113" bestFit="1" customWidth="1"/>
    <col min="13851" max="13851" width="11" style="113" bestFit="1" customWidth="1"/>
    <col min="13852" max="13853" width="11" style="113" customWidth="1"/>
    <col min="13854" max="13854" width="10" style="113" bestFit="1" customWidth="1"/>
    <col min="13855" max="13855" width="14.42578125" style="113" bestFit="1" customWidth="1"/>
    <col min="13856" max="13866" width="0" style="113" hidden="1" customWidth="1"/>
    <col min="13867" max="14087" width="9.140625" style="113"/>
    <col min="14088" max="14088" width="54.140625" style="113" bestFit="1" customWidth="1"/>
    <col min="14089" max="14089" width="14.7109375" style="113" customWidth="1"/>
    <col min="14090" max="14090" width="10.140625" style="113" customWidth="1"/>
    <col min="14091" max="14091" width="10.42578125" style="113" bestFit="1" customWidth="1"/>
    <col min="14092" max="14093" width="9.42578125" style="113" bestFit="1" customWidth="1"/>
    <col min="14094" max="14095" width="9.42578125" style="113" customWidth="1"/>
    <col min="14096" max="14096" width="10.140625" style="113" bestFit="1" customWidth="1"/>
    <col min="14097" max="14100" width="9.140625" style="113"/>
    <col min="14101" max="14101" width="7.28515625" style="113" customWidth="1"/>
    <col min="14102" max="14104" width="7.42578125" style="113" customWidth="1"/>
    <col min="14105" max="14105" width="10.42578125" style="113" bestFit="1" customWidth="1"/>
    <col min="14106" max="14106" width="12" style="113" bestFit="1" customWidth="1"/>
    <col min="14107" max="14107" width="11" style="113" bestFit="1" customWidth="1"/>
    <col min="14108" max="14109" width="11" style="113" customWidth="1"/>
    <col min="14110" max="14110" width="10" style="113" bestFit="1" customWidth="1"/>
    <col min="14111" max="14111" width="14.42578125" style="113" bestFit="1" customWidth="1"/>
    <col min="14112" max="14122" width="0" style="113" hidden="1" customWidth="1"/>
    <col min="14123" max="14343" width="9.140625" style="113"/>
    <col min="14344" max="14344" width="54.140625" style="113" bestFit="1" customWidth="1"/>
    <col min="14345" max="14345" width="14.7109375" style="113" customWidth="1"/>
    <col min="14346" max="14346" width="10.140625" style="113" customWidth="1"/>
    <col min="14347" max="14347" width="10.42578125" style="113" bestFit="1" customWidth="1"/>
    <col min="14348" max="14349" width="9.42578125" style="113" bestFit="1" customWidth="1"/>
    <col min="14350" max="14351" width="9.42578125" style="113" customWidth="1"/>
    <col min="14352" max="14352" width="10.140625" style="113" bestFit="1" customWidth="1"/>
    <col min="14353" max="14356" width="9.140625" style="113"/>
    <col min="14357" max="14357" width="7.28515625" style="113" customWidth="1"/>
    <col min="14358" max="14360" width="7.42578125" style="113" customWidth="1"/>
    <col min="14361" max="14361" width="10.42578125" style="113" bestFit="1" customWidth="1"/>
    <col min="14362" max="14362" width="12" style="113" bestFit="1" customWidth="1"/>
    <col min="14363" max="14363" width="11" style="113" bestFit="1" customWidth="1"/>
    <col min="14364" max="14365" width="11" style="113" customWidth="1"/>
    <col min="14366" max="14366" width="10" style="113" bestFit="1" customWidth="1"/>
    <col min="14367" max="14367" width="14.42578125" style="113" bestFit="1" customWidth="1"/>
    <col min="14368" max="14378" width="0" style="113" hidden="1" customWidth="1"/>
    <col min="14379" max="14599" width="9.140625" style="113"/>
    <col min="14600" max="14600" width="54.140625" style="113" bestFit="1" customWidth="1"/>
    <col min="14601" max="14601" width="14.7109375" style="113" customWidth="1"/>
    <col min="14602" max="14602" width="10.140625" style="113" customWidth="1"/>
    <col min="14603" max="14603" width="10.42578125" style="113" bestFit="1" customWidth="1"/>
    <col min="14604" max="14605" width="9.42578125" style="113" bestFit="1" customWidth="1"/>
    <col min="14606" max="14607" width="9.42578125" style="113" customWidth="1"/>
    <col min="14608" max="14608" width="10.140625" style="113" bestFit="1" customWidth="1"/>
    <col min="14609" max="14612" width="9.140625" style="113"/>
    <col min="14613" max="14613" width="7.28515625" style="113" customWidth="1"/>
    <col min="14614" max="14616" width="7.42578125" style="113" customWidth="1"/>
    <col min="14617" max="14617" width="10.42578125" style="113" bestFit="1" customWidth="1"/>
    <col min="14618" max="14618" width="12" style="113" bestFit="1" customWidth="1"/>
    <col min="14619" max="14619" width="11" style="113" bestFit="1" customWidth="1"/>
    <col min="14620" max="14621" width="11" style="113" customWidth="1"/>
    <col min="14622" max="14622" width="10" style="113" bestFit="1" customWidth="1"/>
    <col min="14623" max="14623" width="14.42578125" style="113" bestFit="1" customWidth="1"/>
    <col min="14624" max="14634" width="0" style="113" hidden="1" customWidth="1"/>
    <col min="14635" max="14855" width="9.140625" style="113"/>
    <col min="14856" max="14856" width="54.140625" style="113" bestFit="1" customWidth="1"/>
    <col min="14857" max="14857" width="14.7109375" style="113" customWidth="1"/>
    <col min="14858" max="14858" width="10.140625" style="113" customWidth="1"/>
    <col min="14859" max="14859" width="10.42578125" style="113" bestFit="1" customWidth="1"/>
    <col min="14860" max="14861" width="9.42578125" style="113" bestFit="1" customWidth="1"/>
    <col min="14862" max="14863" width="9.42578125" style="113" customWidth="1"/>
    <col min="14864" max="14864" width="10.140625" style="113" bestFit="1" customWidth="1"/>
    <col min="14865" max="14868" width="9.140625" style="113"/>
    <col min="14869" max="14869" width="7.28515625" style="113" customWidth="1"/>
    <col min="14870" max="14872" width="7.42578125" style="113" customWidth="1"/>
    <col min="14873" max="14873" width="10.42578125" style="113" bestFit="1" customWidth="1"/>
    <col min="14874" max="14874" width="12" style="113" bestFit="1" customWidth="1"/>
    <col min="14875" max="14875" width="11" style="113" bestFit="1" customWidth="1"/>
    <col min="14876" max="14877" width="11" style="113" customWidth="1"/>
    <col min="14878" max="14878" width="10" style="113" bestFit="1" customWidth="1"/>
    <col min="14879" max="14879" width="14.42578125" style="113" bestFit="1" customWidth="1"/>
    <col min="14880" max="14890" width="0" style="113" hidden="1" customWidth="1"/>
    <col min="14891" max="15111" width="9.140625" style="113"/>
    <col min="15112" max="15112" width="54.140625" style="113" bestFit="1" customWidth="1"/>
    <col min="15113" max="15113" width="14.7109375" style="113" customWidth="1"/>
    <col min="15114" max="15114" width="10.140625" style="113" customWidth="1"/>
    <col min="15115" max="15115" width="10.42578125" style="113" bestFit="1" customWidth="1"/>
    <col min="15116" max="15117" width="9.42578125" style="113" bestFit="1" customWidth="1"/>
    <col min="15118" max="15119" width="9.42578125" style="113" customWidth="1"/>
    <col min="15120" max="15120" width="10.140625" style="113" bestFit="1" customWidth="1"/>
    <col min="15121" max="15124" width="9.140625" style="113"/>
    <col min="15125" max="15125" width="7.28515625" style="113" customWidth="1"/>
    <col min="15126" max="15128" width="7.42578125" style="113" customWidth="1"/>
    <col min="15129" max="15129" width="10.42578125" style="113" bestFit="1" customWidth="1"/>
    <col min="15130" max="15130" width="12" style="113" bestFit="1" customWidth="1"/>
    <col min="15131" max="15131" width="11" style="113" bestFit="1" customWidth="1"/>
    <col min="15132" max="15133" width="11" style="113" customWidth="1"/>
    <col min="15134" max="15134" width="10" style="113" bestFit="1" customWidth="1"/>
    <col min="15135" max="15135" width="14.42578125" style="113" bestFit="1" customWidth="1"/>
    <col min="15136" max="15146" width="0" style="113" hidden="1" customWidth="1"/>
    <col min="15147" max="15367" width="9.140625" style="113"/>
    <col min="15368" max="15368" width="54.140625" style="113" bestFit="1" customWidth="1"/>
    <col min="15369" max="15369" width="14.7109375" style="113" customWidth="1"/>
    <col min="15370" max="15370" width="10.140625" style="113" customWidth="1"/>
    <col min="15371" max="15371" width="10.42578125" style="113" bestFit="1" customWidth="1"/>
    <col min="15372" max="15373" width="9.42578125" style="113" bestFit="1" customWidth="1"/>
    <col min="15374" max="15375" width="9.42578125" style="113" customWidth="1"/>
    <col min="15376" max="15376" width="10.140625" style="113" bestFit="1" customWidth="1"/>
    <col min="15377" max="15380" width="9.140625" style="113"/>
    <col min="15381" max="15381" width="7.28515625" style="113" customWidth="1"/>
    <col min="15382" max="15384" width="7.42578125" style="113" customWidth="1"/>
    <col min="15385" max="15385" width="10.42578125" style="113" bestFit="1" customWidth="1"/>
    <col min="15386" max="15386" width="12" style="113" bestFit="1" customWidth="1"/>
    <col min="15387" max="15387" width="11" style="113" bestFit="1" customWidth="1"/>
    <col min="15388" max="15389" width="11" style="113" customWidth="1"/>
    <col min="15390" max="15390" width="10" style="113" bestFit="1" customWidth="1"/>
    <col min="15391" max="15391" width="14.42578125" style="113" bestFit="1" customWidth="1"/>
    <col min="15392" max="15402" width="0" style="113" hidden="1" customWidth="1"/>
    <col min="15403" max="15623" width="9.140625" style="113"/>
    <col min="15624" max="15624" width="54.140625" style="113" bestFit="1" customWidth="1"/>
    <col min="15625" max="15625" width="14.7109375" style="113" customWidth="1"/>
    <col min="15626" max="15626" width="10.140625" style="113" customWidth="1"/>
    <col min="15627" max="15627" width="10.42578125" style="113" bestFit="1" customWidth="1"/>
    <col min="15628" max="15629" width="9.42578125" style="113" bestFit="1" customWidth="1"/>
    <col min="15630" max="15631" width="9.42578125" style="113" customWidth="1"/>
    <col min="15632" max="15632" width="10.140625" style="113" bestFit="1" customWidth="1"/>
    <col min="15633" max="15636" width="9.140625" style="113"/>
    <col min="15637" max="15637" width="7.28515625" style="113" customWidth="1"/>
    <col min="15638" max="15640" width="7.42578125" style="113" customWidth="1"/>
    <col min="15641" max="15641" width="10.42578125" style="113" bestFit="1" customWidth="1"/>
    <col min="15642" max="15642" width="12" style="113" bestFit="1" customWidth="1"/>
    <col min="15643" max="15643" width="11" style="113" bestFit="1" customWidth="1"/>
    <col min="15644" max="15645" width="11" style="113" customWidth="1"/>
    <col min="15646" max="15646" width="10" style="113" bestFit="1" customWidth="1"/>
    <col min="15647" max="15647" width="14.42578125" style="113" bestFit="1" customWidth="1"/>
    <col min="15648" max="15658" width="0" style="113" hidden="1" customWidth="1"/>
    <col min="15659" max="15879" width="9.140625" style="113"/>
    <col min="15880" max="15880" width="54.140625" style="113" bestFit="1" customWidth="1"/>
    <col min="15881" max="15881" width="14.7109375" style="113" customWidth="1"/>
    <col min="15882" max="15882" width="10.140625" style="113" customWidth="1"/>
    <col min="15883" max="15883" width="10.42578125" style="113" bestFit="1" customWidth="1"/>
    <col min="15884" max="15885" width="9.42578125" style="113" bestFit="1" customWidth="1"/>
    <col min="15886" max="15887" width="9.42578125" style="113" customWidth="1"/>
    <col min="15888" max="15888" width="10.140625" style="113" bestFit="1" customWidth="1"/>
    <col min="15889" max="15892" width="9.140625" style="113"/>
    <col min="15893" max="15893" width="7.28515625" style="113" customWidth="1"/>
    <col min="15894" max="15896" width="7.42578125" style="113" customWidth="1"/>
    <col min="15897" max="15897" width="10.42578125" style="113" bestFit="1" customWidth="1"/>
    <col min="15898" max="15898" width="12" style="113" bestFit="1" customWidth="1"/>
    <col min="15899" max="15899" width="11" style="113" bestFit="1" customWidth="1"/>
    <col min="15900" max="15901" width="11" style="113" customWidth="1"/>
    <col min="15902" max="15902" width="10" style="113" bestFit="1" customWidth="1"/>
    <col min="15903" max="15903" width="14.42578125" style="113" bestFit="1" customWidth="1"/>
    <col min="15904" max="15914" width="0" style="113" hidden="1" customWidth="1"/>
    <col min="15915" max="16135" width="9.140625" style="113"/>
    <col min="16136" max="16136" width="54.140625" style="113" bestFit="1" customWidth="1"/>
    <col min="16137" max="16137" width="14.7109375" style="113" customWidth="1"/>
    <col min="16138" max="16138" width="10.140625" style="113" customWidth="1"/>
    <col min="16139" max="16139" width="10.42578125" style="113" bestFit="1" customWidth="1"/>
    <col min="16140" max="16141" width="9.42578125" style="113" bestFit="1" customWidth="1"/>
    <col min="16142" max="16143" width="9.42578125" style="113" customWidth="1"/>
    <col min="16144" max="16144" width="10.140625" style="113" bestFit="1" customWidth="1"/>
    <col min="16145" max="16148" width="9.140625" style="113"/>
    <col min="16149" max="16149" width="7.28515625" style="113" customWidth="1"/>
    <col min="16150" max="16152" width="7.42578125" style="113" customWidth="1"/>
    <col min="16153" max="16153" width="10.42578125" style="113" bestFit="1" customWidth="1"/>
    <col min="16154" max="16154" width="12" style="113" bestFit="1" customWidth="1"/>
    <col min="16155" max="16155" width="11" style="113" bestFit="1" customWidth="1"/>
    <col min="16156" max="16157" width="11" style="113" customWidth="1"/>
    <col min="16158" max="16158" width="10" style="113" bestFit="1" customWidth="1"/>
    <col min="16159" max="16159" width="14.42578125" style="113" bestFit="1" customWidth="1"/>
    <col min="16160" max="16170" width="0" style="113" hidden="1" customWidth="1"/>
    <col min="16171" max="16384" width="9.140625" style="113"/>
  </cols>
  <sheetData>
    <row r="1" spans="1:49" s="107" customFormat="1" ht="45.75" customHeight="1" x14ac:dyDescent="0.25">
      <c r="A1" s="104" t="s">
        <v>136</v>
      </c>
      <c r="B1" s="209">
        <v>46054</v>
      </c>
      <c r="C1" s="210"/>
      <c r="D1" s="210"/>
      <c r="E1" s="210"/>
      <c r="F1" s="210"/>
      <c r="G1" s="210"/>
      <c r="H1" s="210"/>
      <c r="I1" s="210"/>
      <c r="J1" s="210"/>
      <c r="K1" s="210"/>
      <c r="L1" s="210"/>
      <c r="M1" s="211"/>
      <c r="N1" s="105"/>
      <c r="O1" s="105"/>
      <c r="P1" s="105"/>
      <c r="Q1" s="105"/>
      <c r="R1" s="105"/>
      <c r="S1" s="105"/>
      <c r="T1" s="105"/>
      <c r="U1" s="105"/>
      <c r="V1" s="105"/>
      <c r="W1" s="105"/>
      <c r="X1" s="105"/>
      <c r="Y1" s="105"/>
      <c r="Z1" s="105"/>
      <c r="AA1" s="105"/>
      <c r="AB1" s="105"/>
      <c r="AC1" s="105"/>
      <c r="AD1" s="106"/>
      <c r="AE1" s="106"/>
    </row>
    <row r="2" spans="1:49" ht="15.75" x14ac:dyDescent="0.2">
      <c r="A2" s="212" t="s">
        <v>264</v>
      </c>
      <c r="B2" s="212"/>
      <c r="C2" s="212"/>
      <c r="D2" s="212"/>
      <c r="E2" s="212"/>
      <c r="F2" s="212"/>
      <c r="G2" s="212"/>
      <c r="H2" s="212"/>
      <c r="I2" s="212"/>
      <c r="J2" s="212"/>
      <c r="K2" s="212"/>
      <c r="L2" s="212"/>
      <c r="M2" s="213"/>
      <c r="N2" s="108"/>
      <c r="O2" s="109"/>
      <c r="P2" s="109"/>
      <c r="Q2" s="109"/>
      <c r="R2" s="110"/>
      <c r="S2" s="109"/>
      <c r="T2" s="109"/>
      <c r="U2" s="111"/>
      <c r="V2" s="111"/>
      <c r="W2" s="111"/>
      <c r="X2" s="111"/>
      <c r="Y2" s="111"/>
      <c r="Z2" s="111"/>
      <c r="AA2" s="111"/>
      <c r="AB2" s="111"/>
      <c r="AC2" s="111"/>
      <c r="AD2" s="112"/>
      <c r="AE2" s="112"/>
    </row>
    <row r="3" spans="1:49" ht="15.75" x14ac:dyDescent="0.2">
      <c r="A3" s="213" t="s">
        <v>310</v>
      </c>
      <c r="B3" s="244"/>
      <c r="C3" s="244"/>
      <c r="D3" s="244"/>
      <c r="E3" s="244"/>
      <c r="F3" s="244"/>
      <c r="G3" s="244"/>
      <c r="H3" s="244"/>
      <c r="I3" s="244"/>
      <c r="J3" s="244"/>
      <c r="K3" s="244"/>
      <c r="L3" s="244"/>
      <c r="M3" s="245"/>
      <c r="N3" s="108"/>
      <c r="O3" s="109"/>
      <c r="P3" s="109"/>
      <c r="Q3" s="109"/>
      <c r="R3" s="110"/>
      <c r="S3" s="109"/>
      <c r="T3" s="109"/>
      <c r="U3" s="111"/>
      <c r="V3" s="111"/>
      <c r="W3" s="111"/>
      <c r="X3" s="111"/>
      <c r="Y3" s="111"/>
      <c r="Z3" s="111"/>
      <c r="AA3" s="111"/>
      <c r="AB3" s="111"/>
      <c r="AC3" s="111"/>
      <c r="AD3" s="112"/>
      <c r="AE3" s="112"/>
    </row>
    <row r="4" spans="1:49" ht="15" customHeight="1" x14ac:dyDescent="0.2">
      <c r="A4" s="214" t="s">
        <v>308</v>
      </c>
      <c r="B4" s="212"/>
      <c r="C4" s="212"/>
      <c r="D4" s="212"/>
      <c r="E4" s="212"/>
      <c r="F4" s="212"/>
      <c r="G4" s="212"/>
      <c r="H4" s="212"/>
      <c r="I4" s="212"/>
      <c r="J4" s="212"/>
      <c r="K4" s="212"/>
      <c r="L4" s="212"/>
      <c r="M4" s="213"/>
      <c r="N4" s="114"/>
      <c r="O4" s="115"/>
      <c r="P4" s="115"/>
      <c r="Q4" s="115"/>
      <c r="R4" s="115"/>
      <c r="S4" s="115"/>
      <c r="T4" s="115"/>
      <c r="U4" s="111"/>
      <c r="V4" s="111"/>
      <c r="W4" s="111"/>
    </row>
    <row r="5" spans="1:49" ht="15.75" customHeight="1" x14ac:dyDescent="0.2">
      <c r="A5" s="212"/>
      <c r="B5" s="212"/>
      <c r="C5" s="212"/>
      <c r="D5" s="212"/>
      <c r="E5" s="212"/>
      <c r="F5" s="212"/>
      <c r="G5" s="212"/>
      <c r="H5" s="212"/>
      <c r="I5" s="212"/>
      <c r="J5" s="212"/>
      <c r="K5" s="212"/>
      <c r="L5" s="212"/>
      <c r="M5" s="213"/>
      <c r="N5" s="114"/>
      <c r="O5" s="115"/>
      <c r="P5" s="115"/>
      <c r="Q5" s="115"/>
      <c r="R5" s="115"/>
      <c r="S5" s="115"/>
      <c r="T5" s="115"/>
      <c r="U5" s="116"/>
      <c r="V5" s="116"/>
      <c r="W5" s="116"/>
      <c r="X5" s="116"/>
      <c r="Y5" s="116"/>
      <c r="Z5" s="116"/>
      <c r="AA5" s="116"/>
      <c r="AB5" s="116"/>
      <c r="AC5" s="116"/>
      <c r="AD5" s="112"/>
      <c r="AE5" s="112"/>
    </row>
    <row r="6" spans="1:49" x14ac:dyDescent="0.2">
      <c r="A6" s="105"/>
      <c r="B6" s="105"/>
      <c r="C6" s="105"/>
      <c r="D6" s="105"/>
      <c r="E6" s="105"/>
      <c r="F6" s="105"/>
      <c r="G6" s="105"/>
      <c r="H6" s="105"/>
      <c r="I6" s="105"/>
      <c r="J6" s="105"/>
      <c r="K6" s="105"/>
      <c r="L6" s="105"/>
      <c r="M6" s="105"/>
      <c r="N6" s="105"/>
      <c r="O6" s="105"/>
      <c r="P6" s="116"/>
      <c r="Q6" s="116"/>
      <c r="R6" s="116"/>
      <c r="S6" s="116"/>
      <c r="T6" s="116"/>
      <c r="U6" s="116"/>
      <c r="V6" s="116"/>
      <c r="W6" s="116"/>
      <c r="X6" s="116"/>
      <c r="Y6" s="116"/>
      <c r="Z6" s="116"/>
      <c r="AA6" s="116"/>
      <c r="AB6" s="116"/>
      <c r="AC6" s="116"/>
      <c r="AD6" s="215"/>
      <c r="AE6" s="215"/>
    </row>
    <row r="7" spans="1:49" ht="18" customHeight="1" thickBot="1" x14ac:dyDescent="0.25">
      <c r="B7" s="105"/>
      <c r="C7" s="105"/>
      <c r="D7" s="105"/>
      <c r="E7" s="105"/>
      <c r="F7" s="105"/>
      <c r="G7" s="105"/>
      <c r="H7" s="105"/>
      <c r="I7" s="105"/>
      <c r="J7" s="105"/>
      <c r="K7" s="105"/>
      <c r="L7" s="105"/>
      <c r="M7" s="105"/>
      <c r="N7" s="105"/>
      <c r="O7" s="105"/>
      <c r="P7" s="116"/>
      <c r="Q7" s="116"/>
      <c r="R7" s="116"/>
      <c r="S7" s="116"/>
      <c r="T7" s="116"/>
      <c r="U7" s="116"/>
      <c r="V7" s="116"/>
      <c r="W7" s="116"/>
      <c r="X7" s="118"/>
      <c r="Y7" s="118"/>
      <c r="Z7" s="116"/>
      <c r="AA7" s="116"/>
      <c r="AB7" s="116"/>
      <c r="AC7" s="116"/>
      <c r="AD7" s="117"/>
      <c r="AE7" s="117"/>
    </row>
    <row r="8" spans="1:49" ht="13.5" thickBot="1" x14ac:dyDescent="0.25">
      <c r="C8" s="119"/>
      <c r="D8" s="120"/>
      <c r="E8" s="116"/>
      <c r="F8" s="116"/>
      <c r="G8" s="116"/>
      <c r="H8" s="116"/>
      <c r="I8" s="116"/>
      <c r="J8" s="116"/>
      <c r="K8" s="116"/>
      <c r="L8" s="116"/>
      <c r="M8" s="116"/>
      <c r="N8" s="105"/>
      <c r="O8" s="105"/>
      <c r="P8" s="116"/>
      <c r="Q8" s="116"/>
      <c r="R8" s="116"/>
      <c r="S8" s="116"/>
      <c r="T8" s="116"/>
      <c r="U8" s="116"/>
      <c r="V8" s="116"/>
      <c r="W8" s="116"/>
      <c r="X8" s="116"/>
      <c r="Y8" s="116"/>
      <c r="Z8" s="116"/>
      <c r="AA8" s="116"/>
      <c r="AB8" s="116"/>
      <c r="AC8" s="116"/>
      <c r="AD8" s="117"/>
      <c r="AE8" s="117"/>
      <c r="AF8" s="216" t="s">
        <v>265</v>
      </c>
      <c r="AG8" s="217"/>
      <c r="AH8" s="217"/>
      <c r="AI8" s="217"/>
      <c r="AJ8" s="217"/>
      <c r="AK8" s="217"/>
      <c r="AL8" s="217"/>
      <c r="AM8" s="217"/>
      <c r="AN8" s="217"/>
      <c r="AO8" s="217"/>
      <c r="AP8" s="217"/>
      <c r="AQ8" s="217"/>
      <c r="AR8" s="217"/>
      <c r="AS8" s="217"/>
      <c r="AT8" s="217"/>
      <c r="AU8" s="217"/>
      <c r="AV8" s="217"/>
      <c r="AW8" s="218"/>
    </row>
    <row r="9" spans="1:49" ht="26.25" customHeight="1" x14ac:dyDescent="0.2">
      <c r="A9" s="222" t="s">
        <v>266</v>
      </c>
      <c r="B9" s="224" t="s">
        <v>267</v>
      </c>
      <c r="C9" s="226" t="s">
        <v>268</v>
      </c>
      <c r="D9" s="229" t="s">
        <v>269</v>
      </c>
      <c r="E9" s="230"/>
      <c r="F9" s="230"/>
      <c r="G9" s="230"/>
      <c r="H9" s="230"/>
      <c r="I9" s="231"/>
      <c r="J9" s="229" t="s">
        <v>85</v>
      </c>
      <c r="K9" s="230"/>
      <c r="L9" s="230"/>
      <c r="M9" s="230"/>
      <c r="N9" s="230"/>
      <c r="O9" s="232"/>
      <c r="P9" s="229" t="s">
        <v>270</v>
      </c>
      <c r="Q9" s="230"/>
      <c r="R9" s="230"/>
      <c r="S9" s="230"/>
      <c r="T9" s="230"/>
      <c r="U9" s="230"/>
      <c r="V9" s="231"/>
      <c r="W9" s="235" t="s">
        <v>271</v>
      </c>
      <c r="X9" s="229" t="s">
        <v>272</v>
      </c>
      <c r="Y9" s="230" t="s">
        <v>273</v>
      </c>
      <c r="Z9" s="230" t="s">
        <v>274</v>
      </c>
      <c r="AA9" s="230" t="s">
        <v>275</v>
      </c>
      <c r="AB9" s="230" t="s">
        <v>276</v>
      </c>
      <c r="AC9" s="231" t="s">
        <v>277</v>
      </c>
      <c r="AD9" s="235" t="s">
        <v>278</v>
      </c>
      <c r="AE9" s="235" t="s">
        <v>279</v>
      </c>
      <c r="AF9" s="219"/>
      <c r="AG9" s="220"/>
      <c r="AH9" s="220"/>
      <c r="AI9" s="220"/>
      <c r="AJ9" s="220"/>
      <c r="AK9" s="220"/>
      <c r="AL9" s="220"/>
      <c r="AM9" s="220"/>
      <c r="AN9" s="220"/>
      <c r="AO9" s="220"/>
      <c r="AP9" s="220"/>
      <c r="AQ9" s="220"/>
      <c r="AR9" s="220"/>
      <c r="AS9" s="220"/>
      <c r="AT9" s="220"/>
      <c r="AU9" s="220"/>
      <c r="AV9" s="220"/>
      <c r="AW9" s="221"/>
    </row>
    <row r="10" spans="1:49" ht="39" customHeight="1" x14ac:dyDescent="0.2">
      <c r="A10" s="223"/>
      <c r="B10" s="225"/>
      <c r="C10" s="227"/>
      <c r="D10" s="237" t="s">
        <v>280</v>
      </c>
      <c r="E10" s="233" t="s">
        <v>281</v>
      </c>
      <c r="F10" s="233" t="s">
        <v>282</v>
      </c>
      <c r="G10" s="233" t="s">
        <v>283</v>
      </c>
      <c r="H10" s="233" t="s">
        <v>284</v>
      </c>
      <c r="I10" s="234" t="s">
        <v>285</v>
      </c>
      <c r="J10" s="237" t="s">
        <v>280</v>
      </c>
      <c r="K10" s="233" t="s">
        <v>286</v>
      </c>
      <c r="L10" s="233" t="s">
        <v>287</v>
      </c>
      <c r="M10" s="233" t="s">
        <v>288</v>
      </c>
      <c r="N10" s="246" t="s">
        <v>289</v>
      </c>
      <c r="O10" s="248" t="s">
        <v>290</v>
      </c>
      <c r="P10" s="237"/>
      <c r="Q10" s="233"/>
      <c r="R10" s="233"/>
      <c r="S10" s="233"/>
      <c r="T10" s="233"/>
      <c r="U10" s="233"/>
      <c r="V10" s="234"/>
      <c r="W10" s="236"/>
      <c r="X10" s="237"/>
      <c r="Y10" s="233"/>
      <c r="Z10" s="233"/>
      <c r="AA10" s="233"/>
      <c r="AB10" s="233"/>
      <c r="AC10" s="234"/>
      <c r="AD10" s="236"/>
      <c r="AE10" s="236"/>
      <c r="AF10" s="124" t="str">
        <f>'AUTO CALCULATION SHEET (2)'!N18</f>
        <v>Alumimium</v>
      </c>
      <c r="AG10" s="125" t="str">
        <f>'AUTO CALCULATION SHEET (2)'!Y18</f>
        <v>Copper Tape - 0.03 mm</v>
      </c>
      <c r="AH10" s="125" t="str">
        <f>'AUTO CALCULATION SHEET (2)'!AF18</f>
        <v>Extruded semiconductive</v>
      </c>
      <c r="AI10" s="125" t="str">
        <f>'AUTO CALCULATION SHEET (2)'!AH18</f>
        <v>HT-XLPE</v>
      </c>
      <c r="AJ10" s="125" t="str">
        <f>'AUTO CALCULATION SHEET (2)'!AX18</f>
        <v>PVC Type ST-2</v>
      </c>
      <c r="AK10" s="125" t="str">
        <f>'AUTO CALCULATION SHEET (2)'!BG18</f>
        <v>Galvanised Steel Flat Strip</v>
      </c>
      <c r="AL10" s="125" t="str">
        <f>'AUTO CALCULATION SHEET (2)'!BT18</f>
        <v>PVC Type ST-2</v>
      </c>
      <c r="AM10" s="125" t="str">
        <f>'AUTO CALCULATION SHEET (2)'!BX18</f>
        <v>FILLER</v>
      </c>
      <c r="AN10" s="125" t="str">
        <f>'AUTO CALCULATION SHEET (2)'!CE18</f>
        <v>RUBBERIZED COTTON TAPE</v>
      </c>
      <c r="AO10" s="238" t="s">
        <v>291</v>
      </c>
      <c r="AP10" s="238" t="s">
        <v>292</v>
      </c>
      <c r="AQ10" s="238" t="s">
        <v>293</v>
      </c>
      <c r="AR10" s="238" t="s">
        <v>294</v>
      </c>
      <c r="AS10" s="238" t="s">
        <v>295</v>
      </c>
      <c r="AT10" s="238" t="s">
        <v>296</v>
      </c>
      <c r="AU10" s="238" t="s">
        <v>297</v>
      </c>
      <c r="AV10" s="238" t="s">
        <v>298</v>
      </c>
      <c r="AW10" s="241" t="s">
        <v>299</v>
      </c>
    </row>
    <row r="11" spans="1:49" ht="21.75" customHeight="1" thickBot="1" x14ac:dyDescent="0.25">
      <c r="A11" s="223"/>
      <c r="B11" s="225"/>
      <c r="C11" s="228"/>
      <c r="D11" s="237"/>
      <c r="E11" s="233"/>
      <c r="F11" s="233"/>
      <c r="G11" s="233"/>
      <c r="H11" s="233"/>
      <c r="I11" s="234"/>
      <c r="J11" s="237"/>
      <c r="K11" s="233"/>
      <c r="L11" s="233"/>
      <c r="M11" s="233"/>
      <c r="N11" s="247"/>
      <c r="O11" s="249"/>
      <c r="P11" s="121" t="s">
        <v>300</v>
      </c>
      <c r="Q11" s="122" t="s">
        <v>282</v>
      </c>
      <c r="R11" s="122" t="s">
        <v>301</v>
      </c>
      <c r="S11" s="122" t="s">
        <v>302</v>
      </c>
      <c r="T11" s="122" t="s">
        <v>303</v>
      </c>
      <c r="U11" s="122" t="s">
        <v>304</v>
      </c>
      <c r="V11" s="123" t="s">
        <v>305</v>
      </c>
      <c r="W11" s="236"/>
      <c r="X11" s="237"/>
      <c r="Y11" s="233"/>
      <c r="Z11" s="233"/>
      <c r="AA11" s="233"/>
      <c r="AB11" s="233"/>
      <c r="AC11" s="234"/>
      <c r="AD11" s="236"/>
      <c r="AE11" s="236"/>
      <c r="AF11" s="126">
        <v>354</v>
      </c>
      <c r="AG11" s="126">
        <v>1374</v>
      </c>
      <c r="AH11" s="126">
        <v>160</v>
      </c>
      <c r="AI11" s="126">
        <v>125</v>
      </c>
      <c r="AJ11" s="126">
        <v>64</v>
      </c>
      <c r="AK11" s="126">
        <v>74</v>
      </c>
      <c r="AL11" s="126">
        <v>64</v>
      </c>
      <c r="AM11" s="126">
        <v>28</v>
      </c>
      <c r="AN11" s="126">
        <v>281</v>
      </c>
      <c r="AO11" s="239"/>
      <c r="AP11" s="239"/>
      <c r="AQ11" s="239"/>
      <c r="AR11" s="239"/>
      <c r="AS11" s="239"/>
      <c r="AT11" s="239"/>
      <c r="AU11" s="239"/>
      <c r="AV11" s="239"/>
      <c r="AW11" s="242"/>
    </row>
    <row r="12" spans="1:49" ht="24" customHeight="1" x14ac:dyDescent="0.2">
      <c r="A12" s="127"/>
      <c r="B12" s="127"/>
      <c r="C12" s="112"/>
      <c r="D12" s="128"/>
      <c r="E12" s="129"/>
      <c r="F12" s="129"/>
      <c r="G12" s="129"/>
      <c r="H12" s="129"/>
      <c r="I12" s="130"/>
      <c r="J12" s="131"/>
      <c r="K12" s="129"/>
      <c r="L12" s="129"/>
      <c r="M12" s="129"/>
      <c r="N12" s="129"/>
      <c r="O12" s="132"/>
      <c r="P12" s="133"/>
      <c r="Q12" s="134"/>
      <c r="R12" s="134"/>
      <c r="S12" s="134"/>
      <c r="T12" s="134"/>
      <c r="U12" s="134"/>
      <c r="V12" s="135"/>
      <c r="W12" s="136"/>
      <c r="X12" s="121"/>
      <c r="Y12" s="122"/>
      <c r="Z12" s="122"/>
      <c r="AA12" s="122"/>
      <c r="AB12" s="122"/>
      <c r="AC12" s="123"/>
      <c r="AD12" s="137"/>
      <c r="AE12" s="137"/>
      <c r="AF12" s="126" t="s">
        <v>306</v>
      </c>
      <c r="AG12" s="126" t="s">
        <v>306</v>
      </c>
      <c r="AH12" s="126" t="s">
        <v>306</v>
      </c>
      <c r="AI12" s="126" t="s">
        <v>306</v>
      </c>
      <c r="AJ12" s="126" t="s">
        <v>306</v>
      </c>
      <c r="AK12" s="126" t="s">
        <v>306</v>
      </c>
      <c r="AL12" s="126" t="s">
        <v>306</v>
      </c>
      <c r="AM12" s="126" t="s">
        <v>306</v>
      </c>
      <c r="AN12" s="126" t="s">
        <v>306</v>
      </c>
      <c r="AO12" s="240"/>
      <c r="AP12" s="240"/>
      <c r="AQ12" s="240"/>
      <c r="AR12" s="240"/>
      <c r="AS12" s="240"/>
      <c r="AT12" s="240"/>
      <c r="AU12" s="240"/>
      <c r="AV12" s="240"/>
      <c r="AW12" s="243"/>
    </row>
    <row r="13" spans="1:49" ht="24" customHeight="1" x14ac:dyDescent="0.2">
      <c r="A13" s="138" t="str">
        <f>'AUTO CALCULATION SHEET (2)'!D20</f>
        <v>3 CORE X 185 SQ. MM AL/ARM - STRIP (XLPE) - 11 KV</v>
      </c>
      <c r="B13" s="139"/>
      <c r="C13" s="140" t="s">
        <v>307</v>
      </c>
      <c r="D13" s="141">
        <v>46086</v>
      </c>
      <c r="E13" s="175">
        <v>336831.38</v>
      </c>
      <c r="F13" s="176">
        <v>1287577.6399999999</v>
      </c>
      <c r="G13" s="173">
        <v>198367</v>
      </c>
      <c r="H13" s="173">
        <v>158825</v>
      </c>
      <c r="I13" s="174">
        <v>82250</v>
      </c>
      <c r="J13" s="142">
        <f t="shared" ref="J13:J14" si="0">$B$1</f>
        <v>46054</v>
      </c>
      <c r="K13" s="173">
        <v>326508</v>
      </c>
      <c r="L13" s="173">
        <v>1263919</v>
      </c>
      <c r="M13" s="173">
        <v>198367</v>
      </c>
      <c r="N13" s="173">
        <v>158825</v>
      </c>
      <c r="O13" s="174">
        <v>82250</v>
      </c>
      <c r="P13" s="143">
        <v>1.605</v>
      </c>
      <c r="Q13" s="144"/>
      <c r="R13" s="144">
        <v>0.96799999999999997</v>
      </c>
      <c r="S13" s="144">
        <v>2.4060000000000001</v>
      </c>
      <c r="T13" s="144"/>
      <c r="U13" s="144">
        <v>1.113</v>
      </c>
      <c r="V13" s="145">
        <v>9.4299999999999995E-2</v>
      </c>
      <c r="W13" s="177">
        <f>'AUTO CALCULATION SHEET (2)'!E20</f>
        <v>1111236.3060000001</v>
      </c>
      <c r="X13" s="147">
        <f t="shared" ref="X13:AA14" si="1">(P13*(E13-K13))</f>
        <v>16569.024900000008</v>
      </c>
      <c r="Y13" s="148">
        <f t="shared" si="1"/>
        <v>0</v>
      </c>
      <c r="Z13" s="144">
        <f t="shared" si="1"/>
        <v>0</v>
      </c>
      <c r="AA13" s="144">
        <f t="shared" si="1"/>
        <v>0</v>
      </c>
      <c r="AB13" s="144">
        <f>(U13*(I13-O13))</f>
        <v>0</v>
      </c>
      <c r="AC13" s="149">
        <f>V13*(F13-L13)</f>
        <v>2231.0097519999904</v>
      </c>
      <c r="AD13" s="146">
        <f>X13+Y13+Z13+AA13+AB13+AC13</f>
        <v>18800.034651999998</v>
      </c>
      <c r="AE13" s="150">
        <f>+W13+AD13</f>
        <v>1130036.3406520002</v>
      </c>
      <c r="AF13" s="151">
        <f>'AUTO CALCULATION SHEET (2)'!N20</f>
        <v>1501</v>
      </c>
      <c r="AG13" s="152">
        <f>'AUTO CALCULATION SHEET (2)'!Y20</f>
        <v>75</v>
      </c>
      <c r="AH13" s="152">
        <f>'AUTO CALCULATION SHEET (2)'!AF20</f>
        <v>276</v>
      </c>
      <c r="AI13" s="152">
        <f>'AUTO CALCULATION SHEET (2)'!AH20</f>
        <v>663</v>
      </c>
      <c r="AJ13" s="152">
        <f>'AUTO CALCULATION SHEET (2)'!AX20</f>
        <v>237</v>
      </c>
      <c r="AK13" s="152">
        <f>'AUTO CALCULATION SHEET (2)'!BG20</f>
        <v>975</v>
      </c>
      <c r="AL13" s="152">
        <f>'AUTO CALCULATION SHEET (2)'!BT20</f>
        <v>755</v>
      </c>
      <c r="AM13" s="152">
        <f>'AUTO CALCULATION SHEET (2)'!BX20</f>
        <v>946</v>
      </c>
      <c r="AN13" s="152">
        <f>'AUTO CALCULATION SHEET (2)'!CE20</f>
        <v>41</v>
      </c>
      <c r="AO13" s="179">
        <f>SUMPRODUCT(AF13:AN13,$AF$11:$AN$11)</f>
        <v>935086</v>
      </c>
      <c r="AP13" s="178">
        <f>'AUTO CALCULATION SHEET (2)'!CK20</f>
        <v>43820</v>
      </c>
      <c r="AQ13" s="179">
        <f>AO13+AP13</f>
        <v>978906</v>
      </c>
      <c r="AR13" s="178">
        <f>AE13-AQ13</f>
        <v>151130.34065200016</v>
      </c>
      <c r="AS13" s="179">
        <f>ROUND((AR13/AQ13)*100,2)</f>
        <v>15.44</v>
      </c>
      <c r="AT13" s="153">
        <v>0</v>
      </c>
      <c r="AU13" s="153">
        <v>2</v>
      </c>
      <c r="AV13" s="153">
        <v>1</v>
      </c>
      <c r="AW13" s="154">
        <f>AS13-AT13-AU13-AV13</f>
        <v>12.44</v>
      </c>
    </row>
    <row r="14" spans="1:49" ht="24" customHeight="1" x14ac:dyDescent="0.2">
      <c r="A14" s="138" t="str">
        <f>'AUTO CALCULATION SHEET (2)'!D21</f>
        <v>3 CORE X 120 SQ. MM. AL/ARM - STRIP (XLPE) - 11 KV</v>
      </c>
      <c r="B14" s="139"/>
      <c r="C14" s="140" t="s">
        <v>307</v>
      </c>
      <c r="D14" s="141">
        <v>46086</v>
      </c>
      <c r="E14" s="175">
        <v>336831.38</v>
      </c>
      <c r="F14" s="176">
        <v>1287577.6399999999</v>
      </c>
      <c r="G14" s="173">
        <v>198367</v>
      </c>
      <c r="H14" s="173">
        <v>158825</v>
      </c>
      <c r="I14" s="174">
        <v>82250</v>
      </c>
      <c r="J14" s="142">
        <f t="shared" si="0"/>
        <v>46054</v>
      </c>
      <c r="K14" s="173">
        <v>326508</v>
      </c>
      <c r="L14" s="173">
        <v>1263919</v>
      </c>
      <c r="M14" s="173">
        <v>198367</v>
      </c>
      <c r="N14" s="173">
        <v>158825</v>
      </c>
      <c r="O14" s="174">
        <v>82250</v>
      </c>
      <c r="P14" s="143">
        <v>1.036</v>
      </c>
      <c r="Q14" s="144"/>
      <c r="R14" s="144">
        <v>0.82199999999999995</v>
      </c>
      <c r="S14" s="144">
        <v>1.877</v>
      </c>
      <c r="T14" s="144"/>
      <c r="U14" s="144">
        <v>0.96599999999999997</v>
      </c>
      <c r="V14" s="145">
        <v>8.2900000000000001E-2</v>
      </c>
      <c r="W14" s="177">
        <f>'AUTO CALCULATION SHEET (2)'!E21</f>
        <v>835321.245</v>
      </c>
      <c r="X14" s="147">
        <f t="shared" si="1"/>
        <v>10695.021680000005</v>
      </c>
      <c r="Y14" s="148">
        <f t="shared" si="1"/>
        <v>0</v>
      </c>
      <c r="Z14" s="144">
        <f t="shared" si="1"/>
        <v>0</v>
      </c>
      <c r="AA14" s="144">
        <f t="shared" si="1"/>
        <v>0</v>
      </c>
      <c r="AB14" s="144">
        <f>(U14*(I14-O14))</f>
        <v>0</v>
      </c>
      <c r="AC14" s="149">
        <f>V14*(F14-L14)</f>
        <v>1961.3012559999916</v>
      </c>
      <c r="AD14" s="146">
        <f>X14+Y14+Z14+AA14+AB14+AC14</f>
        <v>12656.322935999997</v>
      </c>
      <c r="AE14" s="150">
        <f>+W14+AD14</f>
        <v>847977.56793599995</v>
      </c>
      <c r="AF14" s="151">
        <f>'AUTO CALCULATION SHEET (2)'!N21</f>
        <v>974</v>
      </c>
      <c r="AG14" s="152">
        <f>'AUTO CALCULATION SHEET (2)'!Y21</f>
        <v>66</v>
      </c>
      <c r="AH14" s="152">
        <f>'AUTO CALCULATION SHEET (2)'!AF21</f>
        <v>233</v>
      </c>
      <c r="AI14" s="152">
        <f>'AUTO CALCULATION SHEET (2)'!AH21</f>
        <v>564</v>
      </c>
      <c r="AJ14" s="152">
        <f>'AUTO CALCULATION SHEET (2)'!AX21</f>
        <v>185</v>
      </c>
      <c r="AK14" s="152">
        <f>'AUTO CALCULATION SHEET (2)'!BG21</f>
        <v>850</v>
      </c>
      <c r="AL14" s="152">
        <f>'AUTO CALCULATION SHEET (2)'!BT21</f>
        <v>630</v>
      </c>
      <c r="AM14" s="152">
        <f>'AUTO CALCULATION SHEET (2)'!BX21</f>
        <v>736</v>
      </c>
      <c r="AN14" s="152">
        <f>'AUTO CALCULATION SHEET (2)'!CE21</f>
        <v>37</v>
      </c>
      <c r="AO14" s="179">
        <f>SUMPRODUCT(AF14:AN14,$AF$11:$AN$11)</f>
        <v>689325</v>
      </c>
      <c r="AP14" s="178">
        <f>'AUTO CALCULATION SHEET (2)'!CK21</f>
        <v>41942</v>
      </c>
      <c r="AQ14" s="179">
        <f>AO14+AP14</f>
        <v>731267</v>
      </c>
      <c r="AR14" s="178">
        <f>AE14-AQ14</f>
        <v>116710.56793599995</v>
      </c>
      <c r="AS14" s="179">
        <f>ROUND((AR14/AQ14)*100,2)</f>
        <v>15.96</v>
      </c>
      <c r="AT14" s="153">
        <v>0</v>
      </c>
      <c r="AU14" s="153">
        <v>2</v>
      </c>
      <c r="AV14" s="153">
        <v>1</v>
      </c>
      <c r="AW14" s="154">
        <f>AS14-AT14-AU14-AV14</f>
        <v>12.96</v>
      </c>
    </row>
    <row r="15" spans="1:49" s="170" customFormat="1" ht="31.5" customHeight="1" thickBot="1" x14ac:dyDescent="0.25">
      <c r="A15" s="155"/>
      <c r="B15" s="155"/>
      <c r="C15" s="156"/>
      <c r="D15" s="157"/>
      <c r="E15" s="158"/>
      <c r="F15" s="158"/>
      <c r="G15" s="158"/>
      <c r="H15" s="158"/>
      <c r="I15" s="159"/>
      <c r="J15" s="160"/>
      <c r="K15" s="161"/>
      <c r="L15" s="161"/>
      <c r="M15" s="161"/>
      <c r="N15" s="161"/>
      <c r="O15" s="162"/>
      <c r="P15" s="160"/>
      <c r="Q15" s="158"/>
      <c r="R15" s="158"/>
      <c r="S15" s="158"/>
      <c r="T15" s="158"/>
      <c r="U15" s="158"/>
      <c r="V15" s="159"/>
      <c r="W15" s="163"/>
      <c r="X15" s="164"/>
      <c r="Y15" s="165"/>
      <c r="Z15" s="165"/>
      <c r="AA15" s="165"/>
      <c r="AB15" s="165"/>
      <c r="AC15" s="166"/>
      <c r="AD15" s="167"/>
      <c r="AE15" s="163"/>
      <c r="AF15" s="168"/>
      <c r="AG15" s="168"/>
      <c r="AH15" s="168"/>
      <c r="AI15" s="168"/>
      <c r="AJ15" s="168"/>
      <c r="AK15" s="168"/>
      <c r="AL15" s="168"/>
      <c r="AM15" s="168"/>
      <c r="AN15" s="168"/>
      <c r="AO15" s="168"/>
      <c r="AP15" s="168"/>
      <c r="AQ15" s="168"/>
      <c r="AR15" s="168"/>
      <c r="AS15" s="168"/>
      <c r="AT15" s="168"/>
      <c r="AU15" s="168"/>
      <c r="AV15" s="168"/>
      <c r="AW15" s="169"/>
    </row>
    <row r="16" spans="1:49" s="170" customFormat="1" x14ac:dyDescent="0.2">
      <c r="A16" s="113"/>
      <c r="B16" s="113"/>
      <c r="C16" s="113"/>
      <c r="D16" s="113"/>
      <c r="E16" s="171"/>
      <c r="F16" s="171"/>
      <c r="G16" s="113"/>
      <c r="H16" s="113"/>
      <c r="I16" s="113"/>
      <c r="J16" s="113"/>
      <c r="K16" s="113"/>
      <c r="L16" s="113"/>
      <c r="M16" s="113"/>
    </row>
    <row r="18" spans="10:10" x14ac:dyDescent="0.2">
      <c r="J18" s="172"/>
    </row>
    <row r="19" spans="10:10" x14ac:dyDescent="0.2">
      <c r="J19" s="172"/>
    </row>
  </sheetData>
  <mergeCells count="42">
    <mergeCell ref="AU10:AU12"/>
    <mergeCell ref="AV10:AV12"/>
    <mergeCell ref="AW10:AW12"/>
    <mergeCell ref="A3:M3"/>
    <mergeCell ref="AO10:AO12"/>
    <mergeCell ref="AP10:AP12"/>
    <mergeCell ref="AQ10:AQ12"/>
    <mergeCell ref="AR10:AR12"/>
    <mergeCell ref="AS10:AS12"/>
    <mergeCell ref="AT10:AT12"/>
    <mergeCell ref="J10:J11"/>
    <mergeCell ref="K10:K11"/>
    <mergeCell ref="L10:L11"/>
    <mergeCell ref="M10:M11"/>
    <mergeCell ref="N10:N11"/>
    <mergeCell ref="O10:O11"/>
    <mergeCell ref="W9:W11"/>
    <mergeCell ref="X9:X11"/>
    <mergeCell ref="Y9:Y11"/>
    <mergeCell ref="Z9:Z11"/>
    <mergeCell ref="AA9:AA11"/>
    <mergeCell ref="F10:F11"/>
    <mergeCell ref="G10:G11"/>
    <mergeCell ref="H10:H11"/>
    <mergeCell ref="I10:I11"/>
    <mergeCell ref="P9:V10"/>
    <mergeCell ref="B1:M1"/>
    <mergeCell ref="A2:M2"/>
    <mergeCell ref="A4:M5"/>
    <mergeCell ref="AD6:AE6"/>
    <mergeCell ref="AF8:AW9"/>
    <mergeCell ref="A9:A11"/>
    <mergeCell ref="B9:B11"/>
    <mergeCell ref="C9:C11"/>
    <mergeCell ref="D9:I9"/>
    <mergeCell ref="J9:O9"/>
    <mergeCell ref="AB9:AB11"/>
    <mergeCell ref="AC9:AC11"/>
    <mergeCell ref="AD9:AD11"/>
    <mergeCell ref="AE9:AE11"/>
    <mergeCell ref="D10:D11"/>
    <mergeCell ref="E10:E11"/>
  </mergeCells>
  <pageMargins left="0.17" right="0.17" top="4.3499999999999996" bottom="0.75" header="0.3" footer="0.3"/>
  <pageSetup paperSize="9" scale="2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2026-03-06T10:36:34Z</dcterms:modified>
</cp:coreProperties>
</file>