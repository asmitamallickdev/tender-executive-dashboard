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12_DECEMBER 2024\TPCODL-1519-HTCABLE-14722\"/>
    </mc:Choice>
  </mc:AlternateContent>
  <xr:revisionPtr revIDLastSave="0" documentId="13_ncr:1_{A05CCB32-9F9F-4372-8FCE-6933CE634C37}"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s>
  <definedNames>
    <definedName name="_xlnm._FilterDatabase" localSheetId="1" hidden="1">'AUTO CALCULATION SHEET (2)'!$A$18:$CL$23</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0" i="4" l="1"/>
  <c r="K49" i="4"/>
  <c r="K48" i="4"/>
  <c r="K47" i="4"/>
  <c r="K46" i="4"/>
  <c r="H47" i="4"/>
  <c r="H48" i="4"/>
  <c r="H49" i="4"/>
  <c r="H50" i="4"/>
  <c r="H46" i="4"/>
  <c r="E50" i="4"/>
  <c r="E49" i="4"/>
  <c r="E48" i="4"/>
  <c r="E47" i="4"/>
  <c r="E46" i="4"/>
  <c r="D47" i="4"/>
  <c r="D48" i="4"/>
  <c r="D49" i="4"/>
  <c r="D50" i="4"/>
  <c r="D46" i="4"/>
  <c r="C47" i="4"/>
  <c r="C48" i="4"/>
  <c r="C49" i="4"/>
  <c r="C50" i="4"/>
  <c r="C46" i="4"/>
  <c r="B47" i="4"/>
  <c r="B48" i="4"/>
  <c r="B49" i="4"/>
  <c r="B50" i="4"/>
  <c r="B46" i="4"/>
  <c r="A47" i="4"/>
  <c r="A48" i="4"/>
  <c r="A49" i="4"/>
  <c r="A50" i="4"/>
  <c r="A46" i="4"/>
  <c r="BZ19" i="4"/>
  <c r="BZ23" i="4"/>
  <c r="BZ22" i="4"/>
  <c r="BZ21" i="4"/>
  <c r="BZ20" i="4"/>
  <c r="N30" i="4"/>
  <c r="N31" i="4"/>
  <c r="N27" i="4"/>
  <c r="BF18" i="4" l="1"/>
  <c r="BY19" i="4" l="1"/>
  <c r="F27" i="4" s="1"/>
  <c r="J27" i="4" s="1"/>
  <c r="BY20" i="4"/>
  <c r="F28" i="4" s="1"/>
  <c r="J28" i="4" s="1"/>
  <c r="K28" i="4" s="1"/>
  <c r="M28" i="4" s="1"/>
  <c r="BY23" i="4"/>
  <c r="F31" i="4" s="1"/>
  <c r="J31" i="4" s="1"/>
  <c r="BY22" i="4"/>
  <c r="F30" i="4" s="1"/>
  <c r="J30" i="4" s="1"/>
  <c r="BY21" i="4"/>
  <c r="F29" i="4" s="1"/>
  <c r="J29" i="4" s="1"/>
  <c r="BY17" i="4"/>
  <c r="A19" i="4"/>
  <c r="C19" i="4"/>
  <c r="C27" i="4" s="1"/>
  <c r="D19" i="4"/>
  <c r="D27" i="4" s="1"/>
  <c r="H19" i="4"/>
  <c r="K19" i="4"/>
  <c r="E27" i="4" s="1"/>
  <c r="K27" i="4" s="1"/>
  <c r="M27" i="4" s="1"/>
  <c r="L19" i="4"/>
  <c r="O19" i="4"/>
  <c r="P19" i="4"/>
  <c r="Q19" i="4"/>
  <c r="R19" i="4"/>
  <c r="S19" i="4"/>
  <c r="T19" i="4"/>
  <c r="U19" i="4"/>
  <c r="V19" i="4"/>
  <c r="W19" i="4"/>
  <c r="X19" i="4"/>
  <c r="Z19" i="4"/>
  <c r="AA19" i="4"/>
  <c r="AB19" i="4"/>
  <c r="AD19" i="4"/>
  <c r="AF19" i="4"/>
  <c r="AG19" i="4"/>
  <c r="AH19" i="4"/>
  <c r="AI19" i="4"/>
  <c r="AJ19" i="4"/>
  <c r="AK19" i="4"/>
  <c r="AL19" i="4"/>
  <c r="AM19" i="4"/>
  <c r="AN19" i="4"/>
  <c r="AO19" i="4"/>
  <c r="AP19" i="4"/>
  <c r="AQ19" i="4"/>
  <c r="AS19" i="4"/>
  <c r="AT19" i="4"/>
  <c r="AU19" i="4"/>
  <c r="AV19" i="4"/>
  <c r="AW19" i="4"/>
  <c r="AX19" i="4"/>
  <c r="AY19" i="4"/>
  <c r="AZ19" i="4"/>
  <c r="BB19" i="4"/>
  <c r="BC19" i="4"/>
  <c r="BD19" i="4"/>
  <c r="BE19" i="4"/>
  <c r="BG19" i="4"/>
  <c r="BH19" i="4"/>
  <c r="BI19" i="4"/>
  <c r="BJ19" i="4"/>
  <c r="BK19" i="4"/>
  <c r="BL19" i="4"/>
  <c r="BN19" i="4"/>
  <c r="BO19" i="4"/>
  <c r="BR19" i="4"/>
  <c r="BS19" i="4"/>
  <c r="BU19" i="4"/>
  <c r="BV19" i="4"/>
  <c r="A20" i="4"/>
  <c r="C20" i="4"/>
  <c r="C28" i="4" s="1"/>
  <c r="D20" i="4"/>
  <c r="D28" i="4" s="1"/>
  <c r="H20" i="4"/>
  <c r="K20" i="4"/>
  <c r="E28" i="4" s="1"/>
  <c r="L20" i="4"/>
  <c r="N20" i="4"/>
  <c r="O20" i="4"/>
  <c r="P20" i="4"/>
  <c r="Q20" i="4"/>
  <c r="R20" i="4"/>
  <c r="S20" i="4"/>
  <c r="T20" i="4"/>
  <c r="U20" i="4"/>
  <c r="V20" i="4"/>
  <c r="W20" i="4"/>
  <c r="X20" i="4"/>
  <c r="Z20" i="4"/>
  <c r="AA20" i="4"/>
  <c r="AB20" i="4"/>
  <c r="AD20" i="4"/>
  <c r="AF20" i="4"/>
  <c r="AG20" i="4"/>
  <c r="AH20" i="4"/>
  <c r="AI20" i="4"/>
  <c r="AJ20" i="4"/>
  <c r="AK20" i="4"/>
  <c r="AL20" i="4"/>
  <c r="AM20" i="4"/>
  <c r="AN20" i="4"/>
  <c r="AO20" i="4"/>
  <c r="AP20" i="4"/>
  <c r="AQ20" i="4"/>
  <c r="AS20" i="4"/>
  <c r="AT20" i="4"/>
  <c r="AU20" i="4"/>
  <c r="AV20" i="4"/>
  <c r="AW20" i="4"/>
  <c r="AX20" i="4"/>
  <c r="AY20" i="4"/>
  <c r="AZ20" i="4"/>
  <c r="BB20" i="4"/>
  <c r="BC20" i="4"/>
  <c r="BD20" i="4"/>
  <c r="BE20" i="4"/>
  <c r="BG20" i="4"/>
  <c r="BH20" i="4"/>
  <c r="BI20" i="4"/>
  <c r="BJ20" i="4"/>
  <c r="BK20" i="4"/>
  <c r="BL20" i="4"/>
  <c r="BN20" i="4"/>
  <c r="BO20" i="4"/>
  <c r="BR20" i="4"/>
  <c r="BS20" i="4"/>
  <c r="BU20" i="4"/>
  <c r="BV20" i="4"/>
  <c r="BW20" i="4"/>
  <c r="N28" i="4" s="1"/>
  <c r="BX20" i="4"/>
  <c r="A23" i="4"/>
  <c r="C23" i="4"/>
  <c r="C31" i="4" s="1"/>
  <c r="D23" i="4"/>
  <c r="D31" i="4" s="1"/>
  <c r="H23" i="4"/>
  <c r="K23" i="4"/>
  <c r="E31" i="4" s="1"/>
  <c r="L23" i="4"/>
  <c r="N23" i="4"/>
  <c r="O23" i="4"/>
  <c r="P23" i="4"/>
  <c r="Q23" i="4"/>
  <c r="R23" i="4"/>
  <c r="S23" i="4"/>
  <c r="T23" i="4"/>
  <c r="U23" i="4"/>
  <c r="V23" i="4"/>
  <c r="W23" i="4"/>
  <c r="X23" i="4"/>
  <c r="Z23" i="4"/>
  <c r="AA23" i="4"/>
  <c r="AB23" i="4"/>
  <c r="AD23" i="4"/>
  <c r="AF23" i="4"/>
  <c r="AG23" i="4"/>
  <c r="AH23" i="4"/>
  <c r="AI23" i="4"/>
  <c r="AJ23" i="4"/>
  <c r="AL23" i="4"/>
  <c r="AM23" i="4"/>
  <c r="AN23" i="4"/>
  <c r="AO23" i="4"/>
  <c r="AP23" i="4"/>
  <c r="AR23" i="4"/>
  <c r="AS23" i="4"/>
  <c r="AT23" i="4"/>
  <c r="AU23" i="4"/>
  <c r="AW23" i="4"/>
  <c r="AX23" i="4"/>
  <c r="AY23" i="4"/>
  <c r="AZ23" i="4"/>
  <c r="BA23" i="4"/>
  <c r="BB23" i="4"/>
  <c r="BC23" i="4"/>
  <c r="BD23" i="4"/>
  <c r="BE23" i="4"/>
  <c r="BG23" i="4"/>
  <c r="BH23" i="4"/>
  <c r="BI23" i="4"/>
  <c r="BJ23" i="4"/>
  <c r="BK23" i="4"/>
  <c r="BL23" i="4"/>
  <c r="BM23" i="4"/>
  <c r="BN23" i="4"/>
  <c r="BO23" i="4"/>
  <c r="BR23" i="4"/>
  <c r="BS23" i="4"/>
  <c r="BU23" i="4"/>
  <c r="BV23" i="4"/>
  <c r="A22" i="4"/>
  <c r="C22" i="4"/>
  <c r="C30" i="4" s="1"/>
  <c r="D22" i="4"/>
  <c r="D30" i="4" s="1"/>
  <c r="H22" i="4"/>
  <c r="K22" i="4"/>
  <c r="E30" i="4" s="1"/>
  <c r="L22" i="4"/>
  <c r="O22" i="4"/>
  <c r="P22" i="4"/>
  <c r="Q22" i="4"/>
  <c r="R22" i="4"/>
  <c r="S22" i="4"/>
  <c r="T22" i="4"/>
  <c r="U22" i="4"/>
  <c r="V22" i="4"/>
  <c r="W22" i="4"/>
  <c r="X22" i="4"/>
  <c r="Z22" i="4"/>
  <c r="AA22" i="4"/>
  <c r="AB22" i="4"/>
  <c r="AD22" i="4"/>
  <c r="AF22" i="4"/>
  <c r="AG22" i="4"/>
  <c r="AH22" i="4"/>
  <c r="AI22" i="4"/>
  <c r="AJ22" i="4"/>
  <c r="AL22" i="4"/>
  <c r="AM22" i="4"/>
  <c r="AN22" i="4"/>
  <c r="AO22" i="4"/>
  <c r="AP22" i="4"/>
  <c r="AR22" i="4"/>
  <c r="AS22" i="4"/>
  <c r="AT22" i="4"/>
  <c r="AU22" i="4"/>
  <c r="AW22" i="4"/>
  <c r="AX22" i="4"/>
  <c r="AY22" i="4"/>
  <c r="AZ22" i="4"/>
  <c r="BA22" i="4"/>
  <c r="BB22" i="4"/>
  <c r="BC22" i="4"/>
  <c r="BD22" i="4"/>
  <c r="BE22" i="4"/>
  <c r="BG22" i="4"/>
  <c r="BH22" i="4"/>
  <c r="BI22" i="4"/>
  <c r="BJ22" i="4"/>
  <c r="BK22" i="4"/>
  <c r="BL22" i="4"/>
  <c r="BM22" i="4"/>
  <c r="BN22" i="4"/>
  <c r="BR22" i="4"/>
  <c r="BS22" i="4"/>
  <c r="BU22" i="4"/>
  <c r="BV22" i="4"/>
  <c r="Y31" i="4" l="1"/>
  <c r="AE31" i="4" s="1"/>
  <c r="AK31" i="4" s="1"/>
  <c r="Y30" i="4"/>
  <c r="AE30" i="4" s="1"/>
  <c r="AK30" i="4" s="1"/>
  <c r="K30" i="4"/>
  <c r="M30" i="4" s="1"/>
  <c r="Y28" i="4"/>
  <c r="AE28" i="4" s="1"/>
  <c r="AK28" i="4" s="1"/>
  <c r="Y27" i="4"/>
  <c r="AE27" i="4" s="1"/>
  <c r="AK27" i="4" s="1"/>
  <c r="L27" i="4"/>
  <c r="F19" i="4"/>
  <c r="F46" i="4" s="1"/>
  <c r="G46" i="4" s="1"/>
  <c r="L28" i="4"/>
  <c r="F20" i="4"/>
  <c r="F47" i="4" s="1"/>
  <c r="G47" i="4" s="1"/>
  <c r="L30" i="4"/>
  <c r="F22" i="4"/>
  <c r="F49" i="4" s="1"/>
  <c r="G49" i="4" s="1"/>
  <c r="K31" i="4"/>
  <c r="M31" i="4" s="1"/>
  <c r="BX21" i="4"/>
  <c r="BW21" i="4"/>
  <c r="N29" i="4" s="1"/>
  <c r="BX17" i="4"/>
  <c r="BW17" i="4"/>
  <c r="BV21" i="4"/>
  <c r="BV17" i="4"/>
  <c r="B17" i="4"/>
  <c r="I49" i="4" l="1"/>
  <c r="J49" i="4" s="1"/>
  <c r="M49" i="4" s="1"/>
  <c r="I47" i="4"/>
  <c r="J47" i="4" s="1"/>
  <c r="M47" i="4" s="1"/>
  <c r="I46" i="4"/>
  <c r="J46" i="4" s="1"/>
  <c r="M46" i="4" s="1"/>
  <c r="L31" i="4"/>
  <c r="F23" i="4"/>
  <c r="F50" i="4" s="1"/>
  <c r="G50" i="4" s="1"/>
  <c r="T18" i="4"/>
  <c r="S18" i="4"/>
  <c r="I50" i="4" l="1"/>
  <c r="J50" i="4" s="1"/>
  <c r="M50" i="4" s="1"/>
  <c r="AB21" i="4"/>
  <c r="AA21" i="4"/>
  <c r="Z21" i="4"/>
  <c r="X21" i="4"/>
  <c r="W21" i="4"/>
  <c r="V21" i="4"/>
  <c r="U21" i="4"/>
  <c r="T21" i="4"/>
  <c r="S21" i="4"/>
  <c r="BU21" i="4"/>
  <c r="BS21" i="4"/>
  <c r="BR21" i="4"/>
  <c r="BN21" i="4"/>
  <c r="BS18" i="4"/>
  <c r="BT18" i="4"/>
  <c r="BU18" i="4"/>
  <c r="BR18" i="4"/>
  <c r="BP18" i="4"/>
  <c r="BN18" i="4"/>
  <c r="BL21" i="4"/>
  <c r="BK21" i="4"/>
  <c r="BJ21" i="4"/>
  <c r="BI21" i="4"/>
  <c r="BH21" i="4"/>
  <c r="BG21" i="4"/>
  <c r="BE21" i="4"/>
  <c r="BD21" i="4"/>
  <c r="BC21" i="4"/>
  <c r="BL18" i="4"/>
  <c r="BK18" i="4"/>
  <c r="BJ18" i="4"/>
  <c r="BI18" i="4"/>
  <c r="BH18" i="4"/>
  <c r="BG18" i="4"/>
  <c r="BE18" i="4"/>
  <c r="BD18" i="4"/>
  <c r="BC18" i="4"/>
  <c r="BB21" i="4"/>
  <c r="AZ21" i="4"/>
  <c r="AY21" i="4"/>
  <c r="AX21" i="4"/>
  <c r="AW21" i="4"/>
  <c r="AV21" i="4"/>
  <c r="AU21" i="4"/>
  <c r="AT21" i="4"/>
  <c r="AS21" i="4"/>
  <c r="BB18" i="4"/>
  <c r="BA18" i="4"/>
  <c r="AZ18" i="4"/>
  <c r="AY18" i="4"/>
  <c r="AX18" i="4"/>
  <c r="AW18" i="4"/>
  <c r="AV18" i="4"/>
  <c r="AU18" i="4"/>
  <c r="AT18" i="4"/>
  <c r="AS18" i="4"/>
  <c r="AR18" i="4"/>
  <c r="AQ21" i="4"/>
  <c r="AP21" i="4"/>
  <c r="AO21" i="4"/>
  <c r="AN21" i="4"/>
  <c r="AM21" i="4"/>
  <c r="AL21" i="4"/>
  <c r="AQ18" i="4"/>
  <c r="AP18" i="4"/>
  <c r="AO18" i="4"/>
  <c r="AN18" i="4"/>
  <c r="AM18" i="4"/>
  <c r="AL18" i="4"/>
  <c r="AK18" i="4"/>
  <c r="AK21" i="4"/>
  <c r="AJ21" i="4"/>
  <c r="AI21" i="4"/>
  <c r="AH21" i="4"/>
  <c r="AG21" i="4"/>
  <c r="AF21" i="4"/>
  <c r="AJ18" i="4"/>
  <c r="AI18" i="4"/>
  <c r="AH18" i="4"/>
  <c r="AE18" i="4"/>
  <c r="AG18" i="4"/>
  <c r="AF18" i="4"/>
  <c r="AD18" i="4"/>
  <c r="AD21" i="4"/>
  <c r="AC18" i="4"/>
  <c r="N18" i="4"/>
  <c r="AB18" i="4" l="1"/>
  <c r="AA18" i="4"/>
  <c r="Z18" i="4"/>
  <c r="Y18" i="4"/>
  <c r="X18" i="4"/>
  <c r="W18" i="4"/>
  <c r="V18" i="4"/>
  <c r="U18" i="4"/>
  <c r="R18" i="4" l="1"/>
  <c r="Q18" i="4"/>
  <c r="P18" i="4"/>
  <c r="O18" i="4"/>
  <c r="R21" i="4"/>
  <c r="Q21" i="4"/>
  <c r="P21" i="4"/>
  <c r="O21" i="4"/>
  <c r="Y29" i="4" s="1"/>
  <c r="AE29" i="4" s="1"/>
  <c r="AK29" i="4" s="1"/>
  <c r="N16" i="4"/>
  <c r="L21" i="4"/>
  <c r="K21" i="4"/>
  <c r="E29" i="4" s="1"/>
  <c r="K29" i="4" s="1"/>
  <c r="M29" i="4" s="1"/>
  <c r="H21" i="4"/>
  <c r="D21" i="4"/>
  <c r="D29" i="4" s="1"/>
  <c r="C21" i="4"/>
  <c r="C29" i="4" s="1"/>
  <c r="A21" i="4"/>
  <c r="L29" i="4" l="1"/>
  <c r="F21" i="4"/>
  <c r="F48" i="4" s="1"/>
  <c r="G48" i="4" s="1"/>
  <c r="CA23" i="4"/>
  <c r="CA22" i="4"/>
  <c r="CA20" i="4"/>
  <c r="CA19" i="4"/>
  <c r="CA21" i="4"/>
  <c r="I48" i="4" l="1"/>
  <c r="J48" i="4" s="1"/>
  <c r="M48" i="4" s="1"/>
  <c r="M51" i="4" s="1"/>
  <c r="CE19" i="4"/>
  <c r="CG19" i="4"/>
  <c r="CC19" i="4"/>
  <c r="CC20" i="4"/>
  <c r="CG20" i="4"/>
  <c r="CE20" i="4"/>
  <c r="CC22" i="4"/>
  <c r="CG22" i="4"/>
  <c r="CE22" i="4"/>
  <c r="CC23" i="4"/>
  <c r="CG23" i="4"/>
  <c r="CE23" i="4"/>
  <c r="CC21" i="4"/>
  <c r="CE21" i="4"/>
  <c r="CG21" i="4"/>
  <c r="CH19" i="4" l="1"/>
  <c r="CL19" i="4" s="1"/>
  <c r="CH22" i="4"/>
  <c r="CH23" i="4"/>
  <c r="CH20" i="4"/>
  <c r="CH21" i="4"/>
  <c r="CJ19" i="4" l="1"/>
  <c r="E19" i="4" s="1"/>
  <c r="G19" i="4" s="1"/>
  <c r="I19" i="4" s="1"/>
  <c r="J19" i="4" s="1"/>
  <c r="M19" i="4" s="1"/>
  <c r="CJ20" i="4"/>
  <c r="CL20" i="4"/>
  <c r="CL22" i="4"/>
  <c r="CJ22" i="4"/>
  <c r="CJ23" i="4"/>
  <c r="CL23" i="4"/>
  <c r="CJ21" i="4"/>
  <c r="CL21" i="4"/>
  <c r="E22" i="4" l="1"/>
  <c r="G22" i="4" s="1"/>
  <c r="I22" i="4" s="1"/>
  <c r="J22" i="4" s="1"/>
  <c r="M22" i="4" s="1"/>
  <c r="E20" i="4"/>
  <c r="G20" i="4" s="1"/>
  <c r="I20" i="4" s="1"/>
  <c r="J20" i="4" s="1"/>
  <c r="M20" i="4" s="1"/>
  <c r="E23" i="4"/>
  <c r="G23" i="4" s="1"/>
  <c r="I23" i="4" s="1"/>
  <c r="J23" i="4" s="1"/>
  <c r="M23" i="4" s="1"/>
  <c r="E21" i="4"/>
  <c r="G21" i="4" l="1"/>
  <c r="I21" i="4" s="1"/>
  <c r="J21" i="4" s="1"/>
  <c r="M21" i="4" s="1"/>
  <c r="M24" i="4" s="1"/>
  <c r="M5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EB514792-5830-43F9-B4DA-0EE2A6EAA11E}">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<sst xmlns="http://schemas.openxmlformats.org/spreadsheetml/2006/main" count="368" uniqueCount="252">
  <si>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</si>
  <si>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</si>
  <si>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</si>
  <si>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</si>
  <si>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</si>
  <si>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</si>
  <si>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</si>
  <si>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</si>
  <si>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</si>
  <si>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</si>
  <si>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</si>
  <si>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</si>
  <si>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</si>
  <si>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</si>
  <si>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</si>
  <si>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</si>
  <si>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</si>
  <si>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</si>
  <si>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</si>
  <si>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</si>
  <si>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</si>
  <si>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</si>
  <si>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</si>
  <si>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</si>
  <si>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</si>
  <si>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</si>
  <si>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</si>
  <si>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</si>
  <si>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</si>
  <si>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</si>
  <si>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</si>
  <si>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</si>
  <si>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</si>
  <si>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</si>
  <si>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</si>
  <si>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</si>
  <si>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</si>
  <si>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</si>
  <si>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</si>
  <si>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</si>
  <si>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</si>
  <si>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</si>
  <si>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</si>
  <si>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</si>
  <si>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</si>
  <si>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</si>
  <si>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</si>
  <si>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</si>
  <si>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</si>
  <si>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</si>
  <si>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</si>
  <si>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</si>
  <si>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</si>
  <si>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</si>
  <si>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</si>
  <si>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</si>
  <si>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</si>
  <si>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</si>
  <si>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</si>
  <si>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</si>
  <si>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</si>
  <si>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</si>
  <si>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</si>
  <si>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</si>
  <si>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</si>
  <si>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</si>
  <si>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</si>
  <si>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</si>
  <si>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</si>
  <si>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</si>
  <si>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</si>
  <si>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</si>
  <si>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</si>
  <si>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</si>
  <si>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</si>
  <si>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</si>
  <si>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</si>
  <si>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</si>
  <si>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</si>
  <si>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</si>
  <si>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</si>
  <si>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</si>
  <si>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</si>
  <si>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</si>
  <si>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</si>
  <si>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</si>
  <si>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</si>
  <si>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</si>
  <si>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</si>
  <si>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</si>
  <si>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</si>
  <si>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</si>
  <si>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</si>
  <si>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</si>
  <si>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</si>
  <si>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</si>
  <si>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</si>
  <si>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</si>
  <si>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</si>
  <si>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</si>
  <si>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</si>
  <si>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</si>
  <si>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 xml:space="preserve">TPCODL  TPNODL  TPSODL  TPWODL (TATA Power and Odisha Government Joint Venture) </t>
  </si>
  <si>
    <t>TPCODL/CCG/FY24-25/1000001519</t>
  </si>
  <si>
    <t xml:space="preserve">Open Tender Notification  For  Purchase Order for supply of HT Cables at TPCODL </t>
  </si>
  <si>
    <t xml:space="preserve"> 16.12.2024 [16:00 hrs] </t>
  </si>
  <si>
    <t xml:space="preserve">No of bidders allowed to participate in RA process shall be: Total No of bidders on whom tender would be split PLUS 2 more bidders  Illustrative example: Total no of qualified bidders is 10 &amp; tender needs to split amongst 4 bidders.  PLUS 2 means (04 + 02 = 06) means lowest 6 bidders i.e., L1 to L6 bidders would be allowed in the RA process. Balance, H1 to H4 bidders would not be allowed in the RA process. </t>
  </si>
  <si>
    <t xml:space="preserve">Bids shall remain valid for 180 days from the due date of submission of the bid. </t>
  </si>
  <si>
    <t xml:space="preserve">Delivery shall be completed within 60 days from date of receipt of Purchase Order / CAT-A issuance, whichever is later. Considering the urgencies of prestigious Govt. project, best efforts is to be made by supplier to start staggered deliveries as per mutual agreement between BA &amp; TPCODL, at the earliest post order/CAT A issuance. </t>
  </si>
  <si>
    <t xml:space="preserve"> 100% payment shall be released as per GCC within 30 days of submission of certified error-free Invoice complete in all respects.  </t>
  </si>
  <si>
    <t xml:space="preserve">Steel drums shall be provided. Drum shall be free from sharp edges and visual defect. Stencil plate on one flange side of the drum and laminated paper sheet on other side flange of drum. </t>
  </si>
  <si>
    <t>The cable shall be supplied in continuous standard length of 250 (3 cores) &amp; 500 (Single core) running meters with +/- 5% tolerance.</t>
  </si>
  <si>
    <t>Prices shall be FIRM till completion of entire supplies.</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</si>
  <si>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</si>
  <si>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</si>
  <si>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</si>
  <si>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</si>
  <si>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</si>
  <si>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</si>
  <si>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</si>
  <si>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</si>
  <si>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</si>
  <si>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</si>
  <si>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</si>
  <si>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</si>
  <si>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</si>
  <si>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</si>
  <si>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</si>
  <si>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</si>
  <si>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</si>
  <si>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</si>
  <si>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</si>
  <si>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</si>
  <si>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</si>
  <si>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</si>
  <si>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</si>
  <si>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</si>
  <si>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</si>
  <si>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</si>
  <si>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</si>
  <si>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</si>
  <si>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</si>
  <si>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</si>
  <si>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</si>
  <si>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</si>
  <si>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</si>
  <si>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</si>
  <si>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</si>
  <si>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</si>
  <si>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</si>
  <si>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</si>
  <si>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</si>
  <si>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</si>
  <si>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</si>
  <si>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</si>
  <si>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</si>
  <si>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</si>
  <si>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</si>
  <si>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</si>
  <si>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</si>
  <si>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</si>
  <si>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</si>
  <si>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</si>
  <si>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</si>
  <si>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</si>
  <si>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</si>
  <si>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</si>
  <si>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</si>
  <si>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</si>
  <si>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</si>
  <si>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</si>
  <si>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</si>
  <si>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</si>
  <si>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</si>
  <si>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</si>
  <si>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</si>
  <si>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</si>
  <si>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</si>
  <si>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</si>
  <si>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</si>
  <si>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</si>
  <si>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</si>
  <si>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</si>
  <si>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</si>
  <si>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</si>
  <si>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</si>
  <si>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</si>
  <si>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</si>
  <si>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</si>
  <si>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</si>
  <si>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</si>
  <si>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</si>
  <si>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ENQ-14722-22-23</t>
  </si>
  <si>
    <t>FA1300080</t>
  </si>
  <si>
    <t>3 CORE X 400 SQ. MM AL/ARM - WIRE (XLPE) - 33 KV</t>
  </si>
  <si>
    <t>STEEL</t>
  </si>
  <si>
    <t>Extruded Semiconductive</t>
  </si>
  <si>
    <t>Polypropylene Filler</t>
  </si>
  <si>
    <t>KMS</t>
  </si>
  <si>
    <t>SP0400137</t>
  </si>
  <si>
    <t>CORRUGATED DISPATCH STEEL DRUM 2600 X 1600 X 1600 MM</t>
  </si>
  <si>
    <t>FA1300083</t>
  </si>
  <si>
    <t>3 CORE X 400 SQ. MM. AL/ARM - WIRE (XLPE) - 11 KV</t>
  </si>
  <si>
    <t>SP0400105</t>
  </si>
  <si>
    <t>CORRUGATED DISPATCH STEEL DRUM 2500 X 1500 X 1400</t>
  </si>
  <si>
    <t>FA1300200</t>
  </si>
  <si>
    <t>3 CORE X 95 SQ. MM. AL/ARM  WIRE (XLPE) - 33 KV</t>
  </si>
  <si>
    <t>SP0400136</t>
  </si>
  <si>
    <t>CORRUGATED DISPATCH STEEL DRUM 2200 X 1300 X 1200 MM</t>
  </si>
  <si>
    <t>FA1300027</t>
  </si>
  <si>
    <t>1 CORE X 630 SQ. MM. AL/ARM (XLPE)  - 33 KV</t>
  </si>
  <si>
    <t>SP0400123</t>
  </si>
  <si>
    <t>CORRUGATED DISPATCH STEEL DRUM 2000 X 1000 X 1200 MM</t>
  </si>
  <si>
    <t>FA1300018</t>
  </si>
  <si>
    <t>1 CORE X 400 SQ. MM. AL/ARM (XLPE) - 33 KV</t>
  </si>
  <si>
    <t>SP0400112</t>
  </si>
  <si>
    <t>CORRUGATED DISPATCH STEEL DRUM 2000 X 1000 X 1000 MM</t>
  </si>
  <si>
    <t>NCWBT</t>
  </si>
  <si>
    <t>PP FILLER</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</si>
  <si>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</si>
  <si>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</si>
  <si>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</si>
  <si>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</si>
  <si>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</si>
  <si>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</si>
  <si>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</si>
  <si>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</si>
  <si>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</si>
  <si>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</si>
  <si>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Consider Rs. 1 extra for colour of o/sh</t>
  </si>
  <si>
    <t>Consider 1% extra  for complete cable .</t>
  </si>
  <si>
    <t>Consider Al rate from- BALCO/ HINDALCO/ NALCO/ Vedanta only.</t>
  </si>
  <si>
    <r>
      <t>Consider mass of zinc coating 290 gm/m</t>
    </r>
    <r>
      <rPr>
        <b/>
        <vertAlign val="superscript"/>
        <sz val="11"/>
        <color theme="1"/>
        <rFont val="Calibri"/>
        <family val="2"/>
        <scheme val="minor"/>
      </rPr>
      <t xml:space="preserve">2 </t>
    </r>
    <r>
      <rPr>
        <b/>
        <sz val="11"/>
        <color theme="1"/>
        <rFont val="Calibri"/>
        <family val="2"/>
        <scheme val="minor"/>
      </rPr>
      <t>for each size galvanized steel wire</t>
    </r>
  </si>
  <si>
    <t>Consider Rs. 1 extra for colour of o/sh-FRLSH</t>
  </si>
  <si>
    <t>Consider PVC compound rate from-  Shakun/Kalpana/KLJ/ DCM ShriRam only</t>
  </si>
  <si>
    <t>Consider Steel armour rate from-  TATA Steel/Jindal Steel/ SAIL only</t>
  </si>
  <si>
    <t>Consider al armour rate from-  TATA/BALCO/HINDALCO/NALCO/Vedanta Only</t>
  </si>
  <si>
    <t xml:space="preserve">Consider XLPE compound rate from-  Dow/Borealis/Hanwa only. </t>
  </si>
  <si>
    <t xml:space="preserve">Consider Semiconducting compound rate from-  Dow/Borealis/Hanwa only. </t>
  </si>
  <si>
    <t>CABLE WEIGHT KG/KM</t>
  </si>
  <si>
    <t>DRUM WEIGHT</t>
  </si>
  <si>
    <t>CABLE+DRUM WEIGHT</t>
  </si>
  <si>
    <t>TRAILOR WEIGHT</t>
  </si>
  <si>
    <t>SP0400126</t>
  </si>
  <si>
    <t>CORRUGATED DISPATCH STEEL DRUM 1900 X 830 X 915 MM</t>
  </si>
  <si>
    <t>SP0400118</t>
  </si>
  <si>
    <t>CORRUGATED DISPATCH STEEL DRUM 1700 X 1000 X 1200</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</si>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</sst>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vertAlign val="superscript"/>
      <sz val="11"/>
      <color theme="1"/>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9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7" borderId="1" xfId="7" applyFont="1" applyFill="1" applyBorder="1" applyAlignment="1">
      <alignment horizontal="center" vertical="center"/>
    </xf>
    <xf numFmtId="43" fontId="0" fillId="0" borderId="1" xfId="0" applyNumberFormat="1" applyBorder="1" applyAlignment="1">
      <alignment wrapText="1"/>
    </xf>
    <xf numFmtId="10" fontId="4" fillId="0" borderId="1" xfId="2" applyNumberFormat="1" applyFont="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0" borderId="4" xfId="0" applyFont="1" applyBorder="1" applyAlignment="1">
      <alignment horizontal="left" vertical="center"/>
    </xf>
    <xf numFmtId="0" fontId="2" fillId="0" borderId="1" xfId="0" applyFont="1" applyBorder="1" applyAlignment="1">
      <alignment horizontal="left" vertical="center"/>
    </xf>
    <xf numFmtId="164" fontId="0" fillId="0" borderId="0" xfId="0" applyNumberFormat="1"/>
    <xf numFmtId="164" fontId="2" fillId="0" borderId="1" xfId="0" applyNumberFormat="1" applyFont="1" applyBorder="1" applyAlignment="1">
      <alignment wrapText="1"/>
    </xf>
    <xf numFmtId="43" fontId="0" fillId="0" borderId="0" xfId="0" applyNumberFormat="1"/>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2" fillId="9" borderId="1" xfId="0" applyFont="1" applyFill="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6"/>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row>
    <row r="2" spans="1:102" x14ac:dyDescent="0.25">
      <c r="A2" t="s">
        <v>192</v>
      </c>
      <c r="B2" s="53">
        <v>45637</v>
      </c>
      <c r="C2" t="s">
        <v>193</v>
      </c>
      <c r="D2" t="s">
        <v>194</v>
      </c>
      <c r="E2" t="s">
        <v>195</v>
      </c>
      <c r="F2" t="s">
        <v>72</v>
      </c>
      <c r="G2">
        <v>927.72</v>
      </c>
      <c r="H2">
        <v>179</v>
      </c>
      <c r="I2">
        <v>166061.88</v>
      </c>
      <c r="J2" t="s">
        <v>44</v>
      </c>
      <c r="K2">
        <v>257</v>
      </c>
      <c r="L2">
        <v>3240</v>
      </c>
      <c r="M2">
        <v>832680</v>
      </c>
      <c r="P2">
        <v>0</v>
      </c>
      <c r="R2" t="s">
        <v>196</v>
      </c>
      <c r="S2">
        <v>180</v>
      </c>
      <c r="T2">
        <v>427</v>
      </c>
      <c r="U2" s="54">
        <v>76860</v>
      </c>
      <c r="V2" t="s">
        <v>54</v>
      </c>
      <c r="W2">
        <v>140</v>
      </c>
      <c r="X2">
        <v>2621</v>
      </c>
      <c r="Y2" s="54">
        <v>366940</v>
      </c>
      <c r="AB2">
        <v>0</v>
      </c>
      <c r="AD2" t="s">
        <v>80</v>
      </c>
      <c r="AE2">
        <v>88</v>
      </c>
      <c r="AF2">
        <v>405</v>
      </c>
      <c r="AG2">
        <v>35640</v>
      </c>
      <c r="AH2" t="s">
        <v>84</v>
      </c>
      <c r="AI2">
        <v>90.7</v>
      </c>
      <c r="AJ2">
        <v>6975</v>
      </c>
      <c r="AK2">
        <v>632632.5</v>
      </c>
      <c r="AL2" t="s">
        <v>64</v>
      </c>
      <c r="AM2">
        <v>90</v>
      </c>
      <c r="AN2">
        <v>1660</v>
      </c>
      <c r="AO2">
        <v>149400</v>
      </c>
      <c r="AP2" t="s">
        <v>197</v>
      </c>
      <c r="AR2">
        <v>2672</v>
      </c>
      <c r="AV2">
        <v>0</v>
      </c>
      <c r="AX2" t="s">
        <v>15</v>
      </c>
      <c r="AY2">
        <v>420</v>
      </c>
      <c r="AZ2">
        <v>120</v>
      </c>
      <c r="BA2" s="54">
        <v>50400</v>
      </c>
      <c r="BB2" t="s">
        <v>16</v>
      </c>
      <c r="BC2">
        <v>400</v>
      </c>
      <c r="BD2">
        <v>0</v>
      </c>
      <c r="BE2">
        <v>0</v>
      </c>
      <c r="BH2">
        <v>144</v>
      </c>
      <c r="BL2">
        <v>0</v>
      </c>
      <c r="BP2">
        <v>0</v>
      </c>
      <c r="BR2" t="s">
        <v>20</v>
      </c>
      <c r="BS2">
        <v>375</v>
      </c>
      <c r="BT2">
        <v>0</v>
      </c>
      <c r="BU2">
        <v>0</v>
      </c>
      <c r="BX2">
        <v>0</v>
      </c>
      <c r="BZ2">
        <v>190000</v>
      </c>
      <c r="CA2">
        <v>2500614.38</v>
      </c>
      <c r="CH2">
        <v>2500614.38</v>
      </c>
      <c r="CM2">
        <v>2500614.38</v>
      </c>
      <c r="CO2">
        <v>2500614.38</v>
      </c>
      <c r="CP2" s="55">
        <v>0.18</v>
      </c>
      <c r="CQ2">
        <v>450110.59</v>
      </c>
      <c r="CR2">
        <v>2950724.97</v>
      </c>
      <c r="CS2">
        <v>17</v>
      </c>
      <c r="CT2" t="s">
        <v>198</v>
      </c>
      <c r="CU2" s="56">
        <v>50162324</v>
      </c>
      <c r="CV2" t="s">
        <v>199</v>
      </c>
      <c r="CW2" t="s">
        <v>200</v>
      </c>
      <c r="CX2">
        <v>250</v>
      </c>
    </row>
    <row r="3" spans="1:102" x14ac:dyDescent="0.25">
      <c r="A3" t="s">
        <v>192</v>
      </c>
      <c r="B3" s="53">
        <v>45637</v>
      </c>
      <c r="C3" t="s">
        <v>201</v>
      </c>
      <c r="D3" t="s">
        <v>202</v>
      </c>
      <c r="E3" t="s">
        <v>195</v>
      </c>
      <c r="F3" t="s">
        <v>72</v>
      </c>
      <c r="G3">
        <v>927.72</v>
      </c>
      <c r="H3">
        <v>136</v>
      </c>
      <c r="I3">
        <v>126169.92</v>
      </c>
      <c r="J3" t="s">
        <v>44</v>
      </c>
      <c r="K3">
        <v>257</v>
      </c>
      <c r="L3">
        <v>3240</v>
      </c>
      <c r="M3">
        <v>832680</v>
      </c>
      <c r="P3">
        <v>0</v>
      </c>
      <c r="R3" t="s">
        <v>196</v>
      </c>
      <c r="S3">
        <v>180</v>
      </c>
      <c r="T3">
        <v>366</v>
      </c>
      <c r="U3" s="54">
        <v>65880</v>
      </c>
      <c r="V3" t="s">
        <v>54</v>
      </c>
      <c r="W3">
        <v>140</v>
      </c>
      <c r="X3">
        <v>908</v>
      </c>
      <c r="Y3" s="54">
        <v>127120</v>
      </c>
      <c r="AB3">
        <v>0</v>
      </c>
      <c r="AD3" t="s">
        <v>80</v>
      </c>
      <c r="AE3">
        <v>88</v>
      </c>
      <c r="AF3">
        <v>305</v>
      </c>
      <c r="AG3">
        <v>26840</v>
      </c>
      <c r="AH3" t="s">
        <v>84</v>
      </c>
      <c r="AI3">
        <v>90.7</v>
      </c>
      <c r="AJ3">
        <v>5335</v>
      </c>
      <c r="AK3">
        <v>483884.5</v>
      </c>
      <c r="AL3" t="s">
        <v>64</v>
      </c>
      <c r="AM3">
        <v>90</v>
      </c>
      <c r="AN3">
        <v>1308</v>
      </c>
      <c r="AO3">
        <v>117720</v>
      </c>
      <c r="AP3" t="s">
        <v>197</v>
      </c>
      <c r="AR3">
        <v>1535</v>
      </c>
      <c r="AV3">
        <v>0</v>
      </c>
      <c r="AX3" t="s">
        <v>15</v>
      </c>
      <c r="AY3">
        <v>420</v>
      </c>
      <c r="AZ3">
        <v>0</v>
      </c>
      <c r="BA3">
        <v>0</v>
      </c>
      <c r="BB3" t="s">
        <v>16</v>
      </c>
      <c r="BC3">
        <v>400</v>
      </c>
      <c r="BD3">
        <v>64</v>
      </c>
      <c r="BE3" s="54">
        <v>25600</v>
      </c>
      <c r="BH3">
        <v>0</v>
      </c>
      <c r="BL3">
        <v>0</v>
      </c>
      <c r="BP3">
        <v>0</v>
      </c>
      <c r="BR3" t="s">
        <v>20</v>
      </c>
      <c r="BS3">
        <v>375</v>
      </c>
      <c r="BT3">
        <v>0</v>
      </c>
      <c r="BU3">
        <v>0</v>
      </c>
      <c r="BX3">
        <v>0</v>
      </c>
      <c r="BZ3">
        <v>182400</v>
      </c>
      <c r="CA3">
        <v>1988294.42</v>
      </c>
      <c r="CH3">
        <v>1988294.42</v>
      </c>
      <c r="CM3">
        <v>1988294.42</v>
      </c>
      <c r="CO3">
        <v>1988294.42</v>
      </c>
      <c r="CP3" s="55">
        <v>0.18</v>
      </c>
      <c r="CQ3">
        <v>357893</v>
      </c>
      <c r="CR3">
        <v>2346187.42</v>
      </c>
      <c r="CS3">
        <v>12</v>
      </c>
      <c r="CT3" t="s">
        <v>198</v>
      </c>
      <c r="CU3" s="56">
        <v>28154249</v>
      </c>
      <c r="CV3" t="s">
        <v>203</v>
      </c>
      <c r="CW3" t="s">
        <v>204</v>
      </c>
      <c r="CX3">
        <v>250</v>
      </c>
    </row>
    <row r="4" spans="1:102" x14ac:dyDescent="0.25">
      <c r="A4" t="s">
        <v>192</v>
      </c>
      <c r="B4" s="53">
        <v>45637</v>
      </c>
      <c r="C4" t="s">
        <v>205</v>
      </c>
      <c r="D4" t="s">
        <v>206</v>
      </c>
      <c r="E4" t="s">
        <v>195</v>
      </c>
      <c r="F4" t="s">
        <v>72</v>
      </c>
      <c r="G4">
        <v>927.72</v>
      </c>
      <c r="H4">
        <v>129</v>
      </c>
      <c r="I4">
        <v>119675.88</v>
      </c>
      <c r="J4" t="s">
        <v>44</v>
      </c>
      <c r="K4">
        <v>257</v>
      </c>
      <c r="L4">
        <v>770</v>
      </c>
      <c r="M4">
        <v>197890</v>
      </c>
      <c r="P4">
        <v>0</v>
      </c>
      <c r="R4" t="s">
        <v>196</v>
      </c>
      <c r="S4">
        <v>180</v>
      </c>
      <c r="T4">
        <v>265</v>
      </c>
      <c r="U4" s="54">
        <v>47700</v>
      </c>
      <c r="V4" t="s">
        <v>54</v>
      </c>
      <c r="W4">
        <v>140</v>
      </c>
      <c r="X4">
        <v>1670</v>
      </c>
      <c r="Y4" s="54">
        <v>233800</v>
      </c>
      <c r="AB4">
        <v>0</v>
      </c>
      <c r="AD4" t="s">
        <v>80</v>
      </c>
      <c r="AE4">
        <v>88</v>
      </c>
      <c r="AF4">
        <v>292</v>
      </c>
      <c r="AG4">
        <v>25696</v>
      </c>
      <c r="AH4" t="s">
        <v>84</v>
      </c>
      <c r="AI4">
        <v>90.7</v>
      </c>
      <c r="AJ4">
        <v>3945</v>
      </c>
      <c r="AK4">
        <v>357811.5</v>
      </c>
      <c r="AL4" t="s">
        <v>64</v>
      </c>
      <c r="AM4">
        <v>90</v>
      </c>
      <c r="AN4">
        <v>1228</v>
      </c>
      <c r="AO4">
        <v>110520</v>
      </c>
      <c r="AP4" t="s">
        <v>197</v>
      </c>
      <c r="AR4">
        <v>1389</v>
      </c>
      <c r="AV4">
        <v>0</v>
      </c>
      <c r="AX4" t="s">
        <v>15</v>
      </c>
      <c r="AY4">
        <v>420</v>
      </c>
      <c r="AZ4">
        <v>0</v>
      </c>
      <c r="BA4">
        <v>0</v>
      </c>
      <c r="BB4" t="s">
        <v>16</v>
      </c>
      <c r="BC4">
        <v>400</v>
      </c>
      <c r="BD4">
        <v>0</v>
      </c>
      <c r="BE4">
        <v>0</v>
      </c>
      <c r="BH4">
        <v>0</v>
      </c>
      <c r="BL4">
        <v>0</v>
      </c>
      <c r="BP4">
        <v>0</v>
      </c>
      <c r="BR4" t="s">
        <v>20</v>
      </c>
      <c r="BS4">
        <v>375</v>
      </c>
      <c r="BT4">
        <v>0</v>
      </c>
      <c r="BU4">
        <v>0</v>
      </c>
      <c r="BX4">
        <v>0</v>
      </c>
      <c r="BZ4">
        <v>147200</v>
      </c>
      <c r="CA4">
        <v>1240293.3799999999</v>
      </c>
      <c r="CH4">
        <v>1240293.3799999999</v>
      </c>
      <c r="CM4">
        <v>1240293.3799999999</v>
      </c>
      <c r="CO4">
        <v>1240293.3799999999</v>
      </c>
      <c r="CP4" s="55">
        <v>0.18</v>
      </c>
      <c r="CQ4">
        <v>223252.81</v>
      </c>
      <c r="CR4">
        <v>1463546.19</v>
      </c>
      <c r="CS4">
        <v>2.5</v>
      </c>
      <c r="CT4" t="s">
        <v>198</v>
      </c>
      <c r="CU4" s="56">
        <v>3658865</v>
      </c>
      <c r="CV4" t="s">
        <v>207</v>
      </c>
      <c r="CW4" t="s">
        <v>208</v>
      </c>
      <c r="CX4">
        <v>250</v>
      </c>
    </row>
    <row r="5" spans="1:102" x14ac:dyDescent="0.25">
      <c r="A5" t="s">
        <v>192</v>
      </c>
      <c r="B5" s="53">
        <v>45637</v>
      </c>
      <c r="C5" t="s">
        <v>209</v>
      </c>
      <c r="D5" t="s">
        <v>210</v>
      </c>
      <c r="E5" t="s">
        <v>195</v>
      </c>
      <c r="F5" t="s">
        <v>72</v>
      </c>
      <c r="G5">
        <v>927.72</v>
      </c>
      <c r="H5">
        <v>69</v>
      </c>
      <c r="I5">
        <v>64012.68</v>
      </c>
      <c r="J5" t="s">
        <v>44</v>
      </c>
      <c r="K5">
        <v>257</v>
      </c>
      <c r="L5">
        <v>1701</v>
      </c>
      <c r="M5">
        <v>437157</v>
      </c>
      <c r="P5">
        <v>0</v>
      </c>
      <c r="R5" t="s">
        <v>196</v>
      </c>
      <c r="S5">
        <v>180</v>
      </c>
      <c r="T5">
        <v>172</v>
      </c>
      <c r="U5" s="54">
        <v>30960</v>
      </c>
      <c r="V5" t="s">
        <v>54</v>
      </c>
      <c r="W5">
        <v>140</v>
      </c>
      <c r="X5">
        <v>1040</v>
      </c>
      <c r="Y5" s="54">
        <v>145600</v>
      </c>
      <c r="Z5" t="s">
        <v>9</v>
      </c>
      <c r="AA5">
        <v>124</v>
      </c>
      <c r="AB5">
        <v>0</v>
      </c>
      <c r="AC5">
        <v>0</v>
      </c>
      <c r="AD5" t="s">
        <v>51</v>
      </c>
      <c r="AE5">
        <v>69.290000000000006</v>
      </c>
      <c r="AF5">
        <v>193</v>
      </c>
      <c r="AG5">
        <v>13372.97</v>
      </c>
      <c r="AH5" t="s">
        <v>70</v>
      </c>
      <c r="AI5">
        <v>262</v>
      </c>
      <c r="AJ5">
        <v>800</v>
      </c>
      <c r="AK5">
        <v>209600</v>
      </c>
      <c r="AL5" t="s">
        <v>64</v>
      </c>
      <c r="AM5">
        <v>90</v>
      </c>
      <c r="AN5">
        <v>738</v>
      </c>
      <c r="AO5">
        <v>66420</v>
      </c>
      <c r="AR5">
        <v>0</v>
      </c>
      <c r="AV5">
        <v>0</v>
      </c>
      <c r="AX5" t="s">
        <v>15</v>
      </c>
      <c r="AY5">
        <v>420</v>
      </c>
      <c r="AZ5">
        <v>0</v>
      </c>
      <c r="BA5">
        <v>0</v>
      </c>
      <c r="BB5" t="s">
        <v>16</v>
      </c>
      <c r="BC5">
        <v>400</v>
      </c>
      <c r="BD5">
        <v>0</v>
      </c>
      <c r="BE5">
        <v>0</v>
      </c>
      <c r="BH5">
        <v>0</v>
      </c>
      <c r="BL5">
        <v>0</v>
      </c>
      <c r="BP5">
        <v>0</v>
      </c>
      <c r="BR5" t="s">
        <v>20</v>
      </c>
      <c r="BS5">
        <v>375</v>
      </c>
      <c r="BT5">
        <v>0</v>
      </c>
      <c r="BU5">
        <v>0</v>
      </c>
      <c r="BX5">
        <v>0</v>
      </c>
      <c r="BZ5">
        <v>53200</v>
      </c>
      <c r="CA5">
        <v>1020322.65</v>
      </c>
      <c r="CH5">
        <v>1020322.65</v>
      </c>
      <c r="CM5">
        <v>1020322.65</v>
      </c>
      <c r="CO5">
        <v>1020322.65</v>
      </c>
      <c r="CP5" s="55">
        <v>0.18</v>
      </c>
      <c r="CQ5">
        <v>183658.08</v>
      </c>
      <c r="CR5">
        <v>1203980.73</v>
      </c>
      <c r="CS5">
        <v>238.5</v>
      </c>
      <c r="CT5" t="s">
        <v>198</v>
      </c>
      <c r="CU5" s="56">
        <v>287149403</v>
      </c>
      <c r="CV5" t="s">
        <v>211</v>
      </c>
      <c r="CW5" t="s">
        <v>212</v>
      </c>
      <c r="CX5">
        <v>500</v>
      </c>
    </row>
    <row r="6" spans="1:102" x14ac:dyDescent="0.25">
      <c r="A6" t="s">
        <v>192</v>
      </c>
      <c r="B6" s="53">
        <v>45637</v>
      </c>
      <c r="C6" t="s">
        <v>213</v>
      </c>
      <c r="D6" t="s">
        <v>214</v>
      </c>
      <c r="E6" t="s">
        <v>195</v>
      </c>
      <c r="F6" t="s">
        <v>72</v>
      </c>
      <c r="G6">
        <v>927.72</v>
      </c>
      <c r="H6">
        <v>60</v>
      </c>
      <c r="I6">
        <v>55663.199999999997</v>
      </c>
      <c r="J6" t="s">
        <v>44</v>
      </c>
      <c r="K6">
        <v>257</v>
      </c>
      <c r="L6">
        <v>1080</v>
      </c>
      <c r="M6">
        <v>277560</v>
      </c>
      <c r="P6">
        <v>0</v>
      </c>
      <c r="R6" t="s">
        <v>196</v>
      </c>
      <c r="S6">
        <v>180</v>
      </c>
      <c r="T6">
        <v>141</v>
      </c>
      <c r="U6" s="54">
        <v>25380</v>
      </c>
      <c r="V6" t="s">
        <v>54</v>
      </c>
      <c r="W6">
        <v>140</v>
      </c>
      <c r="X6">
        <v>870</v>
      </c>
      <c r="Y6" s="54">
        <v>121800</v>
      </c>
      <c r="Z6" t="s">
        <v>9</v>
      </c>
      <c r="AA6">
        <v>124</v>
      </c>
      <c r="AB6">
        <v>0</v>
      </c>
      <c r="AC6">
        <v>0</v>
      </c>
      <c r="AD6" t="s">
        <v>51</v>
      </c>
      <c r="AE6">
        <v>69.290000000000006</v>
      </c>
      <c r="AF6">
        <v>147</v>
      </c>
      <c r="AG6">
        <v>10185.629999999999</v>
      </c>
      <c r="AH6" t="s">
        <v>70</v>
      </c>
      <c r="AI6">
        <v>262</v>
      </c>
      <c r="AJ6">
        <v>702</v>
      </c>
      <c r="AK6">
        <v>183924</v>
      </c>
      <c r="AL6" t="s">
        <v>64</v>
      </c>
      <c r="AM6">
        <v>90</v>
      </c>
      <c r="AN6">
        <v>575</v>
      </c>
      <c r="AO6">
        <v>51750</v>
      </c>
      <c r="AR6">
        <v>0</v>
      </c>
      <c r="AV6">
        <v>0</v>
      </c>
      <c r="AX6" t="s">
        <v>15</v>
      </c>
      <c r="AY6">
        <v>420</v>
      </c>
      <c r="AZ6">
        <v>54</v>
      </c>
      <c r="BA6" s="54">
        <v>22680</v>
      </c>
      <c r="BB6" t="s">
        <v>16</v>
      </c>
      <c r="BC6">
        <v>400</v>
      </c>
      <c r="BD6">
        <v>0</v>
      </c>
      <c r="BE6">
        <v>0</v>
      </c>
      <c r="BH6">
        <v>52</v>
      </c>
      <c r="BL6">
        <v>0</v>
      </c>
      <c r="BP6">
        <v>0</v>
      </c>
      <c r="BR6" t="s">
        <v>20</v>
      </c>
      <c r="BS6">
        <v>375</v>
      </c>
      <c r="BT6">
        <v>0</v>
      </c>
      <c r="BU6">
        <v>0</v>
      </c>
      <c r="BX6">
        <v>0</v>
      </c>
      <c r="BZ6">
        <v>53200</v>
      </c>
      <c r="CA6">
        <v>802142.83</v>
      </c>
      <c r="CH6">
        <v>802142.83</v>
      </c>
      <c r="CM6">
        <v>802142.83</v>
      </c>
      <c r="CO6">
        <v>802142.83</v>
      </c>
      <c r="CP6" s="55">
        <v>0.18</v>
      </c>
      <c r="CQ6">
        <v>144385.71</v>
      </c>
      <c r="CR6">
        <v>946528.54</v>
      </c>
      <c r="CS6">
        <v>5.22</v>
      </c>
      <c r="CT6" t="s">
        <v>198</v>
      </c>
      <c r="CU6" s="56">
        <v>4940879</v>
      </c>
      <c r="CV6" t="s">
        <v>215</v>
      </c>
      <c r="CW6" t="s">
        <v>216</v>
      </c>
      <c r="CX6">
        <v>500</v>
      </c>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52"/>
  <sheetViews>
    <sheetView showZeros="0" tabSelected="1" topLeftCell="A13" workbookViewId="0">
      <selection activeCell="H28" sqref="H28:H31"/>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customWidth="1"/>
    <col min="6" max="6" width="10" customWidth="1"/>
    <col min="7" max="7" width="15" customWidth="1"/>
    <col min="8" max="8" width="10.5703125" style="8" customWidth="1"/>
    <col min="9" max="9" width="12.28515625" customWidth="1"/>
    <col min="10" max="10" width="13.85546875" customWidth="1"/>
    <col min="11" max="12" width="9.140625" customWidth="1"/>
    <col min="13" max="13" width="15.28515625" customWidth="1"/>
    <col min="14" max="14" width="7.85546875" style="29" customWidth="1"/>
    <col min="15" max="24" width="7.85546875" style="29" hidden="1" customWidth="1"/>
    <col min="25" max="25" width="7.85546875" style="29" customWidth="1"/>
    <col min="26" max="28" width="7.85546875" style="29" hidden="1" customWidth="1"/>
    <col min="29" max="29" width="7.85546875" style="29" customWidth="1"/>
    <col min="30" max="30" width="7.85546875" style="29" hidden="1" customWidth="1"/>
    <col min="31" max="31" width="7.85546875" style="29" customWidth="1"/>
    <col min="32" max="36" width="7.85546875" style="29" hidden="1" customWidth="1"/>
    <col min="37" max="37" width="7.85546875" style="29" customWidth="1"/>
    <col min="38" max="42" width="7.85546875" style="29" hidden="1" customWidth="1"/>
    <col min="43" max="44" width="7.85546875" style="29" customWidth="1"/>
    <col min="45" max="47" width="7.85546875" style="29" hidden="1" customWidth="1"/>
    <col min="48" max="48" width="7.85546875" style="29" customWidth="1"/>
    <col min="49" max="52" width="7.85546875" style="29" hidden="1" customWidth="1"/>
    <col min="53" max="53" width="7.85546875" style="29" customWidth="1"/>
    <col min="54" max="57" width="7.85546875" style="29" hidden="1" customWidth="1"/>
    <col min="58" max="58" width="12" style="29" customWidth="1"/>
    <col min="59" max="64" width="7.85546875" style="29" hidden="1" customWidth="1"/>
    <col min="65" max="65" width="7.85546875" style="29" customWidth="1"/>
    <col min="66" max="67" width="7.85546875" style="29" hidden="1" customWidth="1"/>
    <col min="68" max="69" width="7.85546875" style="29" customWidth="1"/>
    <col min="70" max="71" width="7.85546875" style="29" hidden="1" customWidth="1"/>
    <col min="72" max="72" width="7.85546875" style="29" customWidth="1"/>
    <col min="73" max="73" width="7.85546875" style="29" hidden="1" customWidth="1"/>
    <col min="74" max="74" width="7.85546875" style="29" customWidth="1"/>
    <col min="75" max="75" width="11" style="29" customWidth="1"/>
    <col min="76" max="76" width="26.5703125" style="29" customWidth="1"/>
    <col min="77" max="77" width="11.28515625" style="29" customWidth="1"/>
    <col min="78" max="78" width="11.85546875" style="4" customWidth="1"/>
    <col min="79" max="79" width="13.85546875" style="4" bestFit="1" customWidth="1"/>
    <col min="80" max="80" width="9.140625" style="27" customWidth="1"/>
    <col min="81" max="81" width="13.28515625" style="4" customWidth="1"/>
    <col min="82" max="82" width="9.140625" style="14" customWidth="1"/>
    <col min="83" max="83" width="12.5703125"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3" customFormat="1" ht="15.75" thickBot="1" x14ac:dyDescent="0.3"/>
    <row r="2" spans="1:89" s="43" customFormat="1" ht="23.25" thickBot="1" x14ac:dyDescent="0.5">
      <c r="A2" s="80" t="s">
        <v>102</v>
      </c>
      <c r="B2" s="81"/>
      <c r="C2" s="81"/>
      <c r="D2" s="81"/>
      <c r="E2" s="81"/>
      <c r="F2" s="81"/>
      <c r="G2" s="81"/>
      <c r="H2" s="81"/>
      <c r="I2" s="81"/>
      <c r="J2" s="81"/>
      <c r="K2" s="81"/>
      <c r="L2" s="81"/>
      <c r="M2" s="81"/>
      <c r="N2" s="81"/>
      <c r="O2" s="81"/>
      <c r="P2" s="81"/>
      <c r="Q2" s="81"/>
      <c r="R2" s="82"/>
      <c r="S2" s="46"/>
      <c r="T2" s="46"/>
    </row>
    <row r="3" spans="1:89" s="43" customFormat="1" ht="15.75" thickBot="1" x14ac:dyDescent="0.3">
      <c r="A3"/>
      <c r="B3"/>
      <c r="C3"/>
      <c r="D3"/>
      <c r="E3"/>
      <c r="F3"/>
      <c r="G3"/>
      <c r="H3"/>
      <c r="I3"/>
      <c r="J3"/>
      <c r="K3"/>
      <c r="L3"/>
      <c r="M3"/>
      <c r="N3"/>
      <c r="O3"/>
      <c r="P3"/>
      <c r="Q3"/>
      <c r="R3"/>
      <c r="S3"/>
    </row>
    <row r="4" spans="1:89" s="43" customFormat="1" ht="51.75" customHeight="1" thickBot="1" x14ac:dyDescent="0.3">
      <c r="A4" s="44" t="s">
        <v>89</v>
      </c>
      <c r="B4" s="76" t="s">
        <v>103</v>
      </c>
      <c r="C4" s="76"/>
      <c r="D4" s="76"/>
      <c r="E4" s="76"/>
      <c r="F4" s="76"/>
      <c r="G4" s="76"/>
      <c r="H4" s="76"/>
      <c r="I4" s="76"/>
      <c r="J4" s="76"/>
      <c r="K4" s="76"/>
      <c r="L4" s="76"/>
      <c r="M4" s="76"/>
      <c r="N4" s="76"/>
      <c r="O4" s="76"/>
      <c r="P4" s="76"/>
      <c r="Q4" s="76"/>
      <c r="R4" s="76"/>
      <c r="S4"/>
    </row>
    <row r="5" spans="1:89" s="43" customFormat="1" ht="34.5" customHeight="1" x14ac:dyDescent="0.25">
      <c r="A5" s="44" t="s">
        <v>90</v>
      </c>
      <c r="B5" s="76" t="s">
        <v>104</v>
      </c>
      <c r="C5" s="76"/>
      <c r="D5" s="76"/>
      <c r="E5" s="76"/>
      <c r="F5" s="76"/>
      <c r="G5" s="76"/>
      <c r="H5" s="76"/>
      <c r="I5" s="76"/>
      <c r="J5" s="76"/>
      <c r="K5" s="76"/>
      <c r="L5" s="76"/>
      <c r="M5" s="76"/>
      <c r="N5" s="76"/>
      <c r="O5" s="76"/>
      <c r="P5" s="76"/>
      <c r="Q5" s="76"/>
      <c r="R5" s="76"/>
      <c r="S5"/>
    </row>
    <row r="6" spans="1:89" s="43" customFormat="1" ht="48" customHeight="1" x14ac:dyDescent="0.25">
      <c r="A6" s="45" t="s">
        <v>91</v>
      </c>
      <c r="B6" s="75" t="s">
        <v>105</v>
      </c>
      <c r="C6" s="76"/>
      <c r="D6" s="76"/>
      <c r="E6" s="76"/>
      <c r="F6" s="76"/>
      <c r="G6" s="76"/>
      <c r="H6" s="76"/>
      <c r="I6" s="76"/>
      <c r="J6" s="76"/>
      <c r="K6" s="76"/>
      <c r="L6" s="76"/>
      <c r="M6" s="76"/>
      <c r="N6" s="76"/>
      <c r="O6" s="76"/>
      <c r="P6" s="76"/>
      <c r="Q6" s="76"/>
      <c r="R6" s="76"/>
      <c r="S6"/>
    </row>
    <row r="7" spans="1:89" s="43" customFormat="1" ht="30" x14ac:dyDescent="0.25">
      <c r="A7" s="45" t="s">
        <v>88</v>
      </c>
      <c r="B7" s="75" t="s">
        <v>106</v>
      </c>
      <c r="C7" s="76"/>
      <c r="D7" s="76"/>
      <c r="E7" s="76"/>
      <c r="F7" s="76"/>
      <c r="G7" s="76"/>
      <c r="H7" s="76"/>
      <c r="I7" s="76"/>
      <c r="J7" s="76"/>
      <c r="K7" s="76"/>
      <c r="L7" s="76"/>
      <c r="M7" s="76"/>
      <c r="N7" s="76"/>
      <c r="O7" s="76"/>
      <c r="P7" s="76"/>
      <c r="Q7" s="76"/>
      <c r="R7" s="76"/>
      <c r="S7"/>
    </row>
    <row r="8" spans="1:89" s="43" customFormat="1" ht="22.5" customHeight="1" x14ac:dyDescent="0.25">
      <c r="A8" s="45" t="s">
        <v>92</v>
      </c>
      <c r="B8" s="75" t="s">
        <v>112</v>
      </c>
      <c r="C8" s="75"/>
      <c r="D8" s="75"/>
      <c r="E8" s="75"/>
      <c r="F8" s="75"/>
      <c r="G8" s="75"/>
      <c r="H8" s="75"/>
      <c r="I8" s="75"/>
      <c r="J8" s="75"/>
      <c r="K8" s="75"/>
      <c r="L8" s="75"/>
      <c r="M8" s="75"/>
      <c r="N8" s="75"/>
      <c r="O8" s="75"/>
      <c r="P8" s="75"/>
      <c r="Q8" s="75"/>
      <c r="R8" s="75"/>
      <c r="S8"/>
    </row>
    <row r="9" spans="1:89" s="43" customFormat="1" ht="24.75" customHeight="1" x14ac:dyDescent="0.25">
      <c r="A9" s="45" t="s">
        <v>93</v>
      </c>
      <c r="B9" s="77" t="s">
        <v>107</v>
      </c>
      <c r="C9" s="78"/>
      <c r="D9" s="78"/>
      <c r="E9" s="78"/>
      <c r="F9" s="78"/>
      <c r="G9" s="78"/>
      <c r="H9" s="78"/>
      <c r="I9" s="78"/>
      <c r="J9" s="78"/>
      <c r="K9" s="78"/>
      <c r="L9" s="78"/>
      <c r="M9" s="78"/>
      <c r="N9" s="78"/>
      <c r="O9" s="78"/>
      <c r="P9" s="78"/>
      <c r="Q9" s="78"/>
      <c r="R9" s="79"/>
    </row>
    <row r="10" spans="1:89" s="43" customFormat="1" ht="37.5" customHeight="1" x14ac:dyDescent="0.25">
      <c r="A10" s="45" t="s">
        <v>94</v>
      </c>
      <c r="B10" s="75" t="s">
        <v>108</v>
      </c>
      <c r="C10" s="75"/>
      <c r="D10" s="75"/>
      <c r="E10" s="75"/>
      <c r="F10" s="75"/>
      <c r="G10" s="75"/>
      <c r="H10" s="75"/>
      <c r="I10" s="75"/>
      <c r="J10" s="75"/>
      <c r="K10" s="75"/>
      <c r="L10" s="75"/>
      <c r="M10" s="75"/>
      <c r="N10" s="75"/>
      <c r="O10" s="75"/>
      <c r="P10" s="75"/>
      <c r="Q10" s="75"/>
      <c r="R10" s="75"/>
      <c r="S10"/>
    </row>
    <row r="11" spans="1:89" s="43" customFormat="1" ht="30.75" customHeight="1" x14ac:dyDescent="0.25">
      <c r="A11" s="45" t="s">
        <v>95</v>
      </c>
      <c r="B11" s="87" t="s">
        <v>109</v>
      </c>
      <c r="C11" s="88"/>
      <c r="D11" s="88"/>
      <c r="E11" s="88"/>
      <c r="F11" s="88"/>
      <c r="G11" s="88"/>
      <c r="H11" s="88"/>
      <c r="I11" s="88"/>
      <c r="J11" s="88"/>
      <c r="K11" s="88"/>
      <c r="L11" s="88"/>
      <c r="M11" s="88"/>
      <c r="N11" s="88"/>
      <c r="O11" s="88"/>
      <c r="P11" s="88"/>
      <c r="Q11" s="88"/>
      <c r="R11" s="89"/>
      <c r="S11"/>
    </row>
    <row r="12" spans="1:89" s="43" customFormat="1" ht="30" x14ac:dyDescent="0.25">
      <c r="A12" s="48" t="s">
        <v>96</v>
      </c>
      <c r="B12" s="90" t="s">
        <v>111</v>
      </c>
      <c r="C12" s="90"/>
      <c r="D12" s="90"/>
      <c r="E12" s="90"/>
      <c r="F12" s="90"/>
      <c r="G12" s="90"/>
      <c r="H12" s="90"/>
      <c r="I12" s="90"/>
      <c r="J12" s="90"/>
      <c r="K12" s="90"/>
      <c r="L12" s="90"/>
      <c r="M12" s="90"/>
      <c r="N12" s="90"/>
      <c r="O12" s="90"/>
      <c r="P12" s="90"/>
      <c r="Q12" s="90"/>
      <c r="R12" s="90"/>
    </row>
    <row r="13" spans="1:89" s="43" customFormat="1" ht="24.75" customHeight="1" x14ac:dyDescent="0.25">
      <c r="A13" s="48" t="s">
        <v>97</v>
      </c>
      <c r="B13" s="90" t="s">
        <v>110</v>
      </c>
      <c r="C13" s="90"/>
      <c r="D13" s="90"/>
      <c r="E13" s="90"/>
      <c r="F13" s="90"/>
      <c r="G13" s="90"/>
      <c r="H13" s="90"/>
      <c r="I13" s="90"/>
      <c r="J13" s="90"/>
      <c r="K13" s="90"/>
      <c r="L13" s="90"/>
      <c r="M13" s="90"/>
      <c r="N13" s="90"/>
      <c r="O13" s="90"/>
      <c r="P13" s="90"/>
      <c r="Q13" s="90"/>
      <c r="R13" s="90"/>
    </row>
    <row r="14" spans="1:89" s="43" customFormat="1" ht="30" x14ac:dyDescent="0.25">
      <c r="A14" s="49" t="s">
        <v>98</v>
      </c>
      <c r="B14" s="90"/>
      <c r="C14" s="90"/>
      <c r="D14" s="90"/>
      <c r="E14" s="90"/>
      <c r="F14" s="90"/>
      <c r="G14" s="90"/>
      <c r="H14" s="90"/>
      <c r="I14" s="90"/>
      <c r="J14" s="90"/>
      <c r="K14" s="90"/>
      <c r="L14" s="90"/>
      <c r="M14" s="90"/>
      <c r="N14" s="90"/>
      <c r="O14" s="90"/>
      <c r="P14" s="90"/>
      <c r="Q14" s="90"/>
      <c r="R14" s="90"/>
    </row>
    <row r="16" spans="1:89" s="36" customFormat="1" ht="28.9" customHeight="1" x14ac:dyDescent="0.25">
      <c r="E16" s="41"/>
      <c r="H16" s="42"/>
      <c r="N16" s="85" t="str">
        <f>Sheet1!J1</f>
        <v>Conductor</v>
      </c>
      <c r="O16" s="85"/>
      <c r="P16" s="85"/>
      <c r="Q16" s="85"/>
      <c r="R16" s="85"/>
      <c r="S16" s="85" t="s">
        <v>6</v>
      </c>
      <c r="T16" s="85"/>
      <c r="U16" s="85" t="s">
        <v>3</v>
      </c>
      <c r="V16" s="85"/>
      <c r="W16" s="85"/>
      <c r="X16" s="85"/>
      <c r="Y16" s="85"/>
      <c r="Z16" s="85"/>
      <c r="AA16" s="85"/>
      <c r="AB16" s="85"/>
      <c r="AC16" s="85" t="s">
        <v>7</v>
      </c>
      <c r="AD16" s="85"/>
      <c r="AE16" s="85" t="s">
        <v>8</v>
      </c>
      <c r="AF16" s="85"/>
      <c r="AG16" s="85"/>
      <c r="AH16" s="85"/>
      <c r="AI16" s="85"/>
      <c r="AJ16" s="85"/>
      <c r="AK16" s="10" t="s">
        <v>9</v>
      </c>
      <c r="AL16" s="83" t="s">
        <v>10</v>
      </c>
      <c r="AM16" s="84"/>
      <c r="AN16" s="84"/>
      <c r="AO16" s="84"/>
      <c r="AP16" s="84"/>
      <c r="AQ16" s="84"/>
      <c r="AR16" s="84"/>
      <c r="AS16" s="85" t="s">
        <v>11</v>
      </c>
      <c r="AT16" s="85"/>
      <c r="AU16" s="85"/>
      <c r="AV16" s="85"/>
      <c r="AW16" s="85"/>
      <c r="AX16" s="85"/>
      <c r="AY16" s="85"/>
      <c r="AZ16" s="85"/>
      <c r="BA16" s="85"/>
      <c r="BB16" s="85"/>
      <c r="BC16" s="86" t="s">
        <v>229</v>
      </c>
      <c r="BD16" s="86"/>
      <c r="BE16" s="86"/>
      <c r="BF16" s="86"/>
      <c r="BG16" s="86"/>
      <c r="BH16" s="86"/>
      <c r="BI16" s="86"/>
      <c r="BJ16" s="86"/>
      <c r="BK16" s="86"/>
      <c r="BL16" s="86"/>
      <c r="BM16" s="37" t="s">
        <v>13</v>
      </c>
      <c r="BN16" s="10" t="s">
        <v>14</v>
      </c>
      <c r="BO16" s="10" t="s">
        <v>15</v>
      </c>
      <c r="BP16" s="10" t="s">
        <v>16</v>
      </c>
      <c r="BQ16" s="10" t="s">
        <v>17</v>
      </c>
      <c r="BR16" s="10" t="s">
        <v>18</v>
      </c>
      <c r="BS16" s="10" t="s">
        <v>19</v>
      </c>
      <c r="BT16" s="10" t="s">
        <v>20</v>
      </c>
      <c r="BU16" s="10" t="s">
        <v>21</v>
      </c>
      <c r="BV16" s="10"/>
      <c r="BW16" s="10"/>
      <c r="BX16" s="10"/>
      <c r="BY16" s="10"/>
      <c r="BZ16" s="38" t="s">
        <v>22</v>
      </c>
      <c r="CA16" s="38" t="s">
        <v>23</v>
      </c>
      <c r="CB16" s="39" t="s">
        <v>43</v>
      </c>
      <c r="CC16" s="38" t="s">
        <v>87</v>
      </c>
      <c r="CD16" s="40"/>
      <c r="CE16" s="41"/>
      <c r="CF16" s="42"/>
      <c r="CG16" s="41"/>
      <c r="CH16" s="41"/>
      <c r="CI16" s="42"/>
      <c r="CK16" s="42"/>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58" t="s">
        <v>218</v>
      </c>
      <c r="BN17" s="20" t="s">
        <v>53</v>
      </c>
      <c r="BO17" s="21" t="s">
        <v>15</v>
      </c>
      <c r="BP17" s="25" t="s">
        <v>16</v>
      </c>
      <c r="BQ17" s="57" t="s">
        <v>217</v>
      </c>
      <c r="BR17" s="21" t="s">
        <v>18</v>
      </c>
      <c r="BS17" s="21" t="s">
        <v>19</v>
      </c>
      <c r="BT17" s="25" t="s">
        <v>20</v>
      </c>
      <c r="BU17" s="21" t="s">
        <v>21</v>
      </c>
      <c r="BV17" s="21" t="str">
        <f>Sheet1!E1</f>
        <v>Propose Drum Type</v>
      </c>
      <c r="BW17" s="52" t="str">
        <f>Sheet1!CV1</f>
        <v>DRUM CODE</v>
      </c>
      <c r="BX17" s="52" t="str">
        <f>Sheet1!CW1</f>
        <v>DRUM SIZE (FxbXtx Ft)</v>
      </c>
      <c r="BY17" s="52" t="str">
        <f>Sheet1!CX1</f>
        <v>Party Standard Length(MTR)</v>
      </c>
      <c r="BZ17" s="28"/>
      <c r="CA17" s="28"/>
      <c r="CB17" s="67" t="s">
        <v>230</v>
      </c>
      <c r="CC17" s="28"/>
      <c r="CD17" s="13" t="s">
        <v>25</v>
      </c>
      <c r="CE17" s="5" t="s">
        <v>26</v>
      </c>
      <c r="CF17" s="6" t="s">
        <v>27</v>
      </c>
      <c r="CG17" s="5" t="s">
        <v>28</v>
      </c>
      <c r="CH17" s="5" t="s">
        <v>29</v>
      </c>
      <c r="CI17" s="6" t="s">
        <v>30</v>
      </c>
      <c r="CJ17" s="15" t="s">
        <v>31</v>
      </c>
      <c r="CK17" s="6" t="s">
        <v>32</v>
      </c>
      <c r="CL17" s="15" t="s">
        <v>33</v>
      </c>
    </row>
    <row r="18" spans="1:90" s="28" customFormat="1" x14ac:dyDescent="0.25">
      <c r="A18" s="30"/>
      <c r="B18" s="30"/>
      <c r="C18" s="30"/>
      <c r="D18" s="30"/>
      <c r="E18" s="5"/>
      <c r="F18" s="5"/>
      <c r="G18" s="5"/>
      <c r="H18" s="5"/>
      <c r="I18" s="5"/>
      <c r="J18" s="5"/>
      <c r="K18" s="5"/>
      <c r="L18" s="5"/>
      <c r="M18" s="5"/>
      <c r="N18" s="31">
        <f>+IFERROR(VLOOKUP($N$17,Sheet1!J:L,2,0),0)</f>
        <v>257</v>
      </c>
      <c r="O18" s="31">
        <f>+IFERROR(VLOOKUP($O$17,Sheet1!J:L,2,0),0)</f>
        <v>0</v>
      </c>
      <c r="P18" s="31">
        <f>+IFERROR(VLOOKUP($P$17,Sheet1!J:M,2,0),0)</f>
        <v>0</v>
      </c>
      <c r="Q18" s="31">
        <f>+IFERROR(VLOOKUP($Q$17,Sheet1!J:M,2,0),0)</f>
        <v>0</v>
      </c>
      <c r="R18" s="31">
        <f>+IFERROR(VLOOKUP($R$17,Sheet1!J:M,2,0),0)</f>
        <v>0</v>
      </c>
      <c r="S18" s="31">
        <f>+IFERROR(VLOOKUP($S$17,Sheet1!N:Q,2,0),0)</f>
        <v>0</v>
      </c>
      <c r="T18" s="31">
        <f>+IFERROR(VLOOKUP($T$17,Sheet1!N:O,2,0),0)</f>
        <v>0</v>
      </c>
      <c r="U18" s="32">
        <f>+IFERROR(VLOOKUP($U$17,Sheet1!F:I,2,0),0)</f>
        <v>0</v>
      </c>
      <c r="V18" s="32">
        <f>+IFERROR(VLOOKUP($V$17,Sheet1!F:I,2,0),0)</f>
        <v>0</v>
      </c>
      <c r="W18" s="32">
        <f>+IFERROR(VLOOKUP($W$17,Sheet1!F:I,2,0),0)</f>
        <v>0</v>
      </c>
      <c r="X18" s="32">
        <f>+IFERROR(VLOOKUP($X$17,Sheet1!F:I,2,0),0)</f>
        <v>0</v>
      </c>
      <c r="Y18" s="32">
        <f>+IFERROR(VLOOKUP($Y$17,Sheet1!F:I,2,0),0)</f>
        <v>927.72</v>
      </c>
      <c r="Z18" s="32">
        <f>+IFERROR(VLOOKUP($Z$17,Sheet1!F:I,2,0),0)</f>
        <v>0</v>
      </c>
      <c r="AA18" s="32">
        <f>+IFERROR(VLOOKUP($AA$17,Sheet1!F:I,2,0),0)</f>
        <v>0</v>
      </c>
      <c r="AB18" s="32">
        <f>+IFERROR(VLOOKUP($AB$17,Sheet1!F:I,2,0),0)</f>
        <v>0</v>
      </c>
      <c r="AC18" s="32">
        <f>+IFERROR(VLOOKUP($AC$17,Sheet1!R:U,2,0),0)</f>
        <v>180</v>
      </c>
      <c r="AD18" s="32">
        <f>+IFERROR(VLOOKUP($AD$17,Sheet1!R:U,2,0),0)</f>
        <v>0</v>
      </c>
      <c r="AE18" s="32">
        <f>+IFERROR(VLOOKUP($AE$17,Sheet1!V:Y,2,0),0)</f>
        <v>140</v>
      </c>
      <c r="AF18" s="32">
        <f>+IFERROR(VLOOKUP($AF$17,Sheet1!V:Y,2,0),0)</f>
        <v>0</v>
      </c>
      <c r="AG18" s="32">
        <f>+IFERROR(VLOOKUP($AG$17,Sheet1!V:Y,2,0),0)</f>
        <v>0</v>
      </c>
      <c r="AH18" s="32">
        <f>+IFERROR(VLOOKUP($AH$17,Sheet1!V:Y,2,0),0)</f>
        <v>0</v>
      </c>
      <c r="AI18" s="32">
        <f>+IFERROR(VLOOKUP($AI$17,Sheet1!V:Y,2,0),0)</f>
        <v>0</v>
      </c>
      <c r="AJ18" s="32">
        <f>+IFERROR(VLOOKUP($AJ$17,Sheet1!V:Y,2,0),0)</f>
        <v>0</v>
      </c>
      <c r="AK18" s="33">
        <f>+IFERROR(VLOOKUP($AK$17,Sheet1!Z2:AA840,2,0),0)</f>
        <v>124</v>
      </c>
      <c r="AL18" s="32">
        <f>+IFERROR(VLOOKUP($AL$17,Sheet1!AD2:AG840,2,0),0)</f>
        <v>0</v>
      </c>
      <c r="AM18" s="32">
        <f>+IFERROR(VLOOKUP($AM$17,Sheet1!AD2:AG840,2,0),0)</f>
        <v>0</v>
      </c>
      <c r="AN18" s="32">
        <f>+IFERROR(VLOOKUP($AN$17,Sheet1!AD2:AG840,2,0),0)</f>
        <v>0</v>
      </c>
      <c r="AO18" s="32">
        <f>+IFERROR(VLOOKUP($AO$17,Sheet1!AD2:AG840,2,0),0)</f>
        <v>0</v>
      </c>
      <c r="AP18" s="32">
        <f>+IFERROR(VLOOKUP($AP$17,Sheet1!AD2:AG840,2,0),0)</f>
        <v>0</v>
      </c>
      <c r="AQ18" s="32">
        <f>+IFERROR(VLOOKUP($AQ$17,Sheet1!AD2:AG840,2,0),0)</f>
        <v>69.290000000000006</v>
      </c>
      <c r="AR18" s="32">
        <f>+IFERROR(VLOOKUP($AR$17,Sheet1!AD2:AG840,2,0),0)</f>
        <v>88</v>
      </c>
      <c r="AS18" s="32">
        <f>+IFERROR(VLOOKUP($AS$17,Sheet1!AH2:AK840,2,0),0)</f>
        <v>0</v>
      </c>
      <c r="AT18" s="32">
        <f>+IFERROR(VLOOKUP($AT$17,Sheet1!AH2:AK840,2,0),0)</f>
        <v>0</v>
      </c>
      <c r="AU18" s="32">
        <f>+IFERROR(VLOOKUP($AU$17,Sheet1!AH2:AK840,2,0),0)</f>
        <v>0</v>
      </c>
      <c r="AV18" s="32">
        <f>+IFERROR(VLOOKUP($AV$17,Sheet1!AH2:AK840,2,0),0)</f>
        <v>262</v>
      </c>
      <c r="AW18" s="32">
        <f>+IFERROR(VLOOKUP($AW$17,Sheet1!AH2:AK840,2,0),0)</f>
        <v>0</v>
      </c>
      <c r="AX18" s="32">
        <f>+IFERROR(VLOOKUP($AX$17,Sheet1!AH2:AK840,2,0),0)</f>
        <v>0</v>
      </c>
      <c r="AY18" s="32">
        <f>+IFERROR(VLOOKUP($AY$17,Sheet1!AH2:AK840,2,0),0)</f>
        <v>0</v>
      </c>
      <c r="AZ18" s="32">
        <f>+IFERROR(VLOOKUP($AZ$17,Sheet1!AH2:AK840,2,0),0)</f>
        <v>0</v>
      </c>
      <c r="BA18" s="32">
        <f>+IFERROR(VLOOKUP($BA$17,Sheet1!AH2:AK840,2,0),0)</f>
        <v>90.7</v>
      </c>
      <c r="BB18" s="32">
        <f>+IFERROR(VLOOKUP($BB$17,Sheet1!AH2:AK840,2,0),0)</f>
        <v>0</v>
      </c>
      <c r="BC18" s="32">
        <f>+IFERROR(VLOOKUP($BC$17,Sheet1!AL2:AO840,2,0),0)</f>
        <v>0</v>
      </c>
      <c r="BD18" s="32">
        <f>+IFERROR(VLOOKUP($BD$17,Sheet1!AL2:AO840,2,0),0)</f>
        <v>0</v>
      </c>
      <c r="BE18" s="32">
        <f>+IFERROR(VLOOKUP($BE$17,Sheet1!AL2:AO840,2,0),0)</f>
        <v>0</v>
      </c>
      <c r="BF18" s="32">
        <f>+IFERROR(VLOOKUP($BF$17,Sheet1!AL2:AO840,2,0),0)+1</f>
        <v>91</v>
      </c>
      <c r="BG18" s="32">
        <f>+IFERROR(VLOOKUP($BG$17,Sheet1!AL2:AO840,2,0),0)</f>
        <v>0</v>
      </c>
      <c r="BH18" s="32">
        <f>+IFERROR(VLOOKUP($BH$17,Sheet1!AL2:AO840,2,0),0)</f>
        <v>0</v>
      </c>
      <c r="BI18" s="32">
        <f>+IFERROR(VLOOKUP($BI$17,Sheet1!AL2:AO840,2,0),0)</f>
        <v>0</v>
      </c>
      <c r="BJ18" s="32">
        <f>+IFERROR(VLOOKUP($BJ$17,Sheet1!AL2:AO840,2,0),0)</f>
        <v>0</v>
      </c>
      <c r="BK18" s="32">
        <f>+IFERROR(VLOOKUP($BK$17,Sheet1!AL2:AO840,2,0),0)</f>
        <v>0</v>
      </c>
      <c r="BL18" s="32">
        <f>+IFERROR(VLOOKUP($BL$17,Sheet1!AL2:AO840,2,0),0)</f>
        <v>0</v>
      </c>
      <c r="BM18" s="33">
        <v>85</v>
      </c>
      <c r="BN18" s="33">
        <f>+IFERROR(VLOOKUP($BN$17,Sheet1!AT2:AW840,2,0),0)</f>
        <v>0</v>
      </c>
      <c r="BO18" s="34"/>
      <c r="BP18" s="35">
        <f>+IFERROR(VLOOKUP($BP$17,Sheet1!BB2:BE840,2,0),0)</f>
        <v>400</v>
      </c>
      <c r="BQ18" s="34">
        <v>340</v>
      </c>
      <c r="BR18" s="34">
        <f>+IFERROR(VLOOKUP($BR$17,Sheet1!BJ2:BM840,2,0),0)</f>
        <v>0</v>
      </c>
      <c r="BS18" s="34">
        <f>+IFERROR(VLOOKUP($BS$17,Sheet1!BN2:BQ840,2,0),0)</f>
        <v>0</v>
      </c>
      <c r="BT18" s="35">
        <f>+IFERROR(VLOOKUP($BT$17,Sheet1!BR2:BU840,2,0),0)</f>
        <v>375</v>
      </c>
      <c r="BU18" s="34">
        <f>+IFERROR(VLOOKUP($BU$17,Sheet1!BV2:BY840,2,0),0)</f>
        <v>0</v>
      </c>
      <c r="BV18" s="51"/>
      <c r="BW18" s="51"/>
      <c r="BX18" s="51"/>
      <c r="BY18" s="51"/>
      <c r="CD18" s="5"/>
      <c r="CE18" s="5"/>
      <c r="CF18" s="5"/>
      <c r="CG18" s="5"/>
      <c r="CH18" s="5"/>
      <c r="CI18" s="5"/>
      <c r="CJ18" s="5"/>
      <c r="CK18" s="5"/>
      <c r="CL18" s="5"/>
    </row>
    <row r="19" spans="1:90" ht="30" x14ac:dyDescent="0.25">
      <c r="A19" s="1" t="str">
        <f>Sheet1!A3</f>
        <v>ENQ-14722-22-23</v>
      </c>
      <c r="B19" s="50">
        <v>45638</v>
      </c>
      <c r="C19" s="1" t="str">
        <f>Sheet1!C3</f>
        <v>FA1300083</v>
      </c>
      <c r="D19" s="1" t="str">
        <f>Sheet1!D3</f>
        <v>3 CORE X 400 SQ. MM. AL/ARM - WIRE (XLPE) - 11 KV</v>
      </c>
      <c r="E19" s="3">
        <f>CH19+CJ19+CL19</f>
        <v>3040973.9710079995</v>
      </c>
      <c r="F19" s="66">
        <f>ROUNDUP(M27,0)</f>
        <v>52500</v>
      </c>
      <c r="G19" s="9">
        <f>E19+F19</f>
        <v>3093473.9710079995</v>
      </c>
      <c r="H19" s="7">
        <f>Sheet1!CP3</f>
        <v>0.18</v>
      </c>
      <c r="I19" s="9">
        <f>G19*H19</f>
        <v>556825.31478143984</v>
      </c>
      <c r="J19" s="9">
        <f>G19+I19</f>
        <v>3650299.2857894395</v>
      </c>
      <c r="K19" s="1">
        <f>Sheet1!CS3</f>
        <v>12</v>
      </c>
      <c r="L19" s="1" t="str">
        <f>Sheet1!CT3</f>
        <v>KMS</v>
      </c>
      <c r="M19" s="3">
        <f>J19*K19</f>
        <v>43803591.429473273</v>
      </c>
      <c r="N19" s="68">
        <v>3243</v>
      </c>
      <c r="O19" s="59">
        <f>+IFERROR(VLOOKUP($O$17,Sheet1!J3:L3,3,0),0)</f>
        <v>0</v>
      </c>
      <c r="P19" s="59">
        <f>+IFERROR(VLOOKUP($P$17,Sheet1!J3:M3,3,0),0)</f>
        <v>0</v>
      </c>
      <c r="Q19" s="59">
        <f>+IFERROR(VLOOKUP($Q$17,Sheet1!J3:M3,3,0),0)</f>
        <v>0</v>
      </c>
      <c r="R19" s="59">
        <f>+IFERROR(VLOOKUP($R$17,Sheet1!J3:M3,3,0),0)</f>
        <v>0</v>
      </c>
      <c r="S19" s="59">
        <f>+IFERROR(VLOOKUP($S$17,Sheet1!N3:Q3,3,0),0)</f>
        <v>0</v>
      </c>
      <c r="T19" s="59">
        <f>+IFERROR(VLOOKUP($T$17,Sheet1!N3:Q3,3,0),0)</f>
        <v>0</v>
      </c>
      <c r="U19" s="59">
        <f>+IFERROR(VLOOKUP($U$17,Sheet1!F3:I3,3,0),0)</f>
        <v>0</v>
      </c>
      <c r="V19" s="59">
        <f>+IFERROR(VLOOKUP($V$17,Sheet1!F3:I3,3,0),0)</f>
        <v>0</v>
      </c>
      <c r="W19" s="59">
        <f>+IFERROR(VLOOKUP($W$17,Sheet1!F3:I3,3,0),0)</f>
        <v>0</v>
      </c>
      <c r="X19" s="59">
        <f>+IFERROR(VLOOKUP($X$17,Sheet1!F3:I3,3,0),0)</f>
        <v>0</v>
      </c>
      <c r="Y19" s="68">
        <v>158</v>
      </c>
      <c r="Z19" s="59">
        <f>+IFERROR(VLOOKUP($Z$17,Sheet1!F3:I3,3,0),0)</f>
        <v>0</v>
      </c>
      <c r="AA19" s="59">
        <f>+IFERROR(VLOOKUP($AA$17,Sheet1!F3:I3,3,0),0)</f>
        <v>0</v>
      </c>
      <c r="AB19" s="59">
        <f>+IFERROR(VLOOKUP($AB$17,Sheet1!F3:I3,3,0),0)</f>
        <v>0</v>
      </c>
      <c r="AC19" s="68">
        <v>414</v>
      </c>
      <c r="AD19" s="60">
        <f>+IFERROR(VLOOKUP($AD$17,Sheet1!R3:U3,2,0),0)</f>
        <v>0</v>
      </c>
      <c r="AE19" s="68">
        <v>938</v>
      </c>
      <c r="AF19" s="60">
        <f>+IFERROR(VLOOKUP($AF$17,Sheet1!V3:Y3,3,0),0)</f>
        <v>0</v>
      </c>
      <c r="AG19" s="60">
        <f>+IFERROR(VLOOKUP($AG$17,Sheet1!V3:Y3,3,0),0)</f>
        <v>0</v>
      </c>
      <c r="AH19" s="60">
        <f>+IFERROR(VLOOKUP($AH$17,Sheet1!V3:Y3,3,0),0)</f>
        <v>0</v>
      </c>
      <c r="AI19" s="60">
        <f>+IFERROR(VLOOKUP($AI$17,Sheet1!V3:Y3,3,0),0)</f>
        <v>0</v>
      </c>
      <c r="AJ19" s="60">
        <f>+IFERROR(VLOOKUP($AJ$17,Sheet1!V3:Y3,3,0),0)</f>
        <v>0</v>
      </c>
      <c r="AK19" s="60">
        <f>+IFERROR(VLOOKUP($AK$17,Sheet1!Z3:AB3,3,0),0)</f>
        <v>0</v>
      </c>
      <c r="AL19" s="60">
        <f>+IFERROR(VLOOKUP($AL$17,Sheet1!AD3:AG3,3,0),0)</f>
        <v>0</v>
      </c>
      <c r="AM19" s="60">
        <f>+IFERROR(VLOOKUP($AM$17,Sheet1!AD3:AG3,3,0),0)</f>
        <v>0</v>
      </c>
      <c r="AN19" s="60">
        <f>+IFERROR(VLOOKUP($AN$17,Sheet1!AD3:AG3,3,0),0)</f>
        <v>0</v>
      </c>
      <c r="AO19" s="60">
        <f>+IFERROR(VLOOKUP($AO$17,Sheet1!AD3:AG3,3,0),0)</f>
        <v>0</v>
      </c>
      <c r="AP19" s="60">
        <f>+IFERROR(VLOOKUP($AP$17,Sheet1!AD3:AG3,3,0),0)</f>
        <v>0</v>
      </c>
      <c r="AQ19" s="60">
        <f>+IFERROR(VLOOKUP($AQ$17,Sheet1!AD3:AG3,3,0),0)</f>
        <v>0</v>
      </c>
      <c r="AR19" s="69">
        <v>980</v>
      </c>
      <c r="AS19" s="60">
        <f>+IFERROR(VLOOKUP($AS$17,Sheet1!AH3:AK3,3,0),0)</f>
        <v>0</v>
      </c>
      <c r="AT19" s="60">
        <f>+IFERROR(VLOOKUP($AT$17,Sheet1!AH3:AK3,3,0),0)</f>
        <v>0</v>
      </c>
      <c r="AU19" s="60">
        <f>+IFERROR(VLOOKUP($AU$17,Sheet1!AH3:AK3,3,0),0)</f>
        <v>0</v>
      </c>
      <c r="AV19" s="60">
        <f>+IFERROR(VLOOKUP($AV$17,Sheet1!AH3:AK3,3,0),0)</f>
        <v>0</v>
      </c>
      <c r="AW19" s="60">
        <f>+IFERROR(VLOOKUP($AW$17,Sheet1!AH3:AK3,3,0),0)</f>
        <v>0</v>
      </c>
      <c r="AX19" s="60">
        <f>+IFERROR(VLOOKUP($AX$17,Sheet1!AH3:AK3,3,0),0)</f>
        <v>0</v>
      </c>
      <c r="AY19" s="60">
        <f>+IFERROR(VLOOKUP($AY$17,Sheet1!AH3:AK3,3,0),0)</f>
        <v>0</v>
      </c>
      <c r="AZ19" s="60">
        <f>+IFERROR(VLOOKUP($AZ$17,Sheet1!AH3:AK3,3,0),0)</f>
        <v>0</v>
      </c>
      <c r="BA19" s="69">
        <v>5540</v>
      </c>
      <c r="BB19" s="60">
        <f>+IFERROR(VLOOKUP($BB$17,Sheet1!AH3:AK3,3,0),0)</f>
        <v>0</v>
      </c>
      <c r="BC19" s="60">
        <f>+IFERROR(VLOOKUP($BC$17,Sheet1!AL3:AO3,3,0),0)</f>
        <v>0</v>
      </c>
      <c r="BD19" s="60">
        <f>+IFERROR(VLOOKUP($BD$17,Sheet1!AL3:AO3,3,0),0)</f>
        <v>0</v>
      </c>
      <c r="BE19" s="60">
        <f>+IFERROR(VLOOKUP($BE$17,Sheet1!AL3:AO3,3,0),0)</f>
        <v>0</v>
      </c>
      <c r="BF19" s="69">
        <v>1355</v>
      </c>
      <c r="BG19" s="60">
        <f>+IFERROR(VLOOKUP($BG$17,Sheet1!AL3:AO3,3,0),0)</f>
        <v>0</v>
      </c>
      <c r="BH19" s="60">
        <f>+IFERROR(VLOOKUP($BH$17,Sheet1!AL3:AO3,3,0),0)</f>
        <v>0</v>
      </c>
      <c r="BI19" s="60">
        <f>+IFERROR(VLOOKUP($BI$17,Sheet1!AL3:AO3,3,0),0)</f>
        <v>0</v>
      </c>
      <c r="BJ19" s="60">
        <f>+IFERROR(VLOOKUP($BJ$17,Sheet1!AL3:AO3,3,0),0)</f>
        <v>0</v>
      </c>
      <c r="BK19" s="60">
        <f>+IFERROR(VLOOKUP($BK$17,Sheet1!AL3:AO3,3,0),0)</f>
        <v>0</v>
      </c>
      <c r="BL19" s="60">
        <f>+IFERROR(VLOOKUP($BL$17,Sheet1!AL3:AO3,3,0),0)</f>
        <v>0</v>
      </c>
      <c r="BM19" s="69">
        <v>997</v>
      </c>
      <c r="BN19" s="60">
        <f>+IFERROR(VLOOKUP($BN$17,Sheet1!AT3:AW3,3,0),0)</f>
        <v>0</v>
      </c>
      <c r="BO19" s="60">
        <f>+IFERROR(VLOOKUP($BO$17,Sheet1!AX3:BA3,3,0),0)</f>
        <v>0</v>
      </c>
      <c r="BP19" s="69">
        <v>86</v>
      </c>
      <c r="BQ19" s="69">
        <v>58</v>
      </c>
      <c r="BR19" s="60">
        <f>+IFERROR(VLOOKUP($BR$17,Sheet1!BJ3:BM3,3,0),0)</f>
        <v>0</v>
      </c>
      <c r="BS19" s="60">
        <f>+IFERROR(VLOOKUP($BS$17,Sheet1!BN3:BQ3,3,0),0)</f>
        <v>0</v>
      </c>
      <c r="BT19" s="69">
        <v>59</v>
      </c>
      <c r="BU19" s="15">
        <f>+IFERROR(VLOOKUP($BU$17,Sheet1!BV3:BY3,3,0),0)</f>
        <v>0</v>
      </c>
      <c r="BV19" s="69" t="str">
        <f>Sheet1!E3</f>
        <v>STEEL</v>
      </c>
      <c r="BW19" s="15" t="s">
        <v>207</v>
      </c>
      <c r="BX19" s="15" t="s">
        <v>208</v>
      </c>
      <c r="BY19" s="69">
        <f>Sheet1!CX3</f>
        <v>250</v>
      </c>
      <c r="BZ19" s="3">
        <f>28000/0.25</f>
        <v>112000</v>
      </c>
      <c r="CA19" s="3">
        <f>SUMPRODUCT($N$18:$BU$18,N19:BU19)+BZ19</f>
        <v>2170883.7599999998</v>
      </c>
      <c r="CB19" s="26">
        <v>0.01</v>
      </c>
      <c r="CC19" s="3">
        <f>CA19*CB19</f>
        <v>21708.837599999999</v>
      </c>
      <c r="CD19" s="47">
        <v>0.35</v>
      </c>
      <c r="CE19" s="3">
        <f>CA19*CD19</f>
        <v>759809.31599999988</v>
      </c>
      <c r="CF19" s="47">
        <v>0</v>
      </c>
      <c r="CG19" s="3">
        <f>CA19*CF19</f>
        <v>0</v>
      </c>
      <c r="CH19" s="3">
        <f>CA19+CC19+CE19+CG19</f>
        <v>2952401.9135999996</v>
      </c>
      <c r="CI19" s="47">
        <v>0.02</v>
      </c>
      <c r="CJ19" s="1">
        <f>CH19*CI19</f>
        <v>59048.038271999991</v>
      </c>
      <c r="CK19" s="47">
        <v>0.01</v>
      </c>
      <c r="CL19" s="1">
        <f>CH19*CK19</f>
        <v>29524.019135999995</v>
      </c>
    </row>
    <row r="20" spans="1:90" ht="30" x14ac:dyDescent="0.25">
      <c r="A20" s="1" t="str">
        <f>Sheet1!A4</f>
        <v>ENQ-14722-22-23</v>
      </c>
      <c r="B20" s="50">
        <v>45638</v>
      </c>
      <c r="C20" s="1" t="str">
        <f>Sheet1!C4</f>
        <v>FA1300200</v>
      </c>
      <c r="D20" s="1" t="str">
        <f>Sheet1!D4</f>
        <v>3 CORE X 95 SQ. MM. AL/ARM  WIRE (XLPE) - 33 KV</v>
      </c>
      <c r="E20" s="3">
        <f>CH20+CJ20+CL20</f>
        <v>2062200.6353759998</v>
      </c>
      <c r="F20" s="66">
        <f t="shared" ref="F20:F23" si="0">ROUNDUP(M28,0)</f>
        <v>50400</v>
      </c>
      <c r="G20" s="9">
        <f>E20+F20</f>
        <v>2112600.6353759998</v>
      </c>
      <c r="H20" s="7">
        <f>Sheet1!CP4</f>
        <v>0.18</v>
      </c>
      <c r="I20" s="9">
        <f>G20*H20</f>
        <v>380268.11436767998</v>
      </c>
      <c r="J20" s="9">
        <f>G20+I20</f>
        <v>2492868.74974368</v>
      </c>
      <c r="K20" s="1">
        <f>Sheet1!CS4</f>
        <v>2.5</v>
      </c>
      <c r="L20" s="1" t="str">
        <f>Sheet1!CT4</f>
        <v>KMS</v>
      </c>
      <c r="M20" s="3">
        <f>J20*K20</f>
        <v>6232171.8743591998</v>
      </c>
      <c r="N20" s="59">
        <f>+IFERROR(VLOOKUP($N$17,Sheet1!J4:L4,3,0),0)</f>
        <v>770</v>
      </c>
      <c r="O20" s="59">
        <f>+IFERROR(VLOOKUP($O$17,Sheet1!J4:L4,3,0),0)</f>
        <v>0</v>
      </c>
      <c r="P20" s="59">
        <f>+IFERROR(VLOOKUP($P$17,Sheet1!J4:M4,3,0),0)</f>
        <v>0</v>
      </c>
      <c r="Q20" s="59">
        <f>+IFERROR(VLOOKUP($Q$17,Sheet1!J4:M4,3,0),0)</f>
        <v>0</v>
      </c>
      <c r="R20" s="59">
        <f>+IFERROR(VLOOKUP($R$17,Sheet1!J4:M4,3,0),0)</f>
        <v>0</v>
      </c>
      <c r="S20" s="59">
        <f>+IFERROR(VLOOKUP($S$17,Sheet1!N4:Q4,3,0),0)</f>
        <v>0</v>
      </c>
      <c r="T20" s="59">
        <f>+IFERROR(VLOOKUP($T$17,Sheet1!N4:Q4,3,0),0)</f>
        <v>0</v>
      </c>
      <c r="U20" s="59">
        <f>+IFERROR(VLOOKUP($U$17,Sheet1!F4:I4,3,0),0)</f>
        <v>0</v>
      </c>
      <c r="V20" s="59">
        <f>+IFERROR(VLOOKUP($V$17,Sheet1!F4:I4,3,0),0)</f>
        <v>0</v>
      </c>
      <c r="W20" s="59">
        <f>+IFERROR(VLOOKUP($W$17,Sheet1!F4:I4,3,0),0)</f>
        <v>0</v>
      </c>
      <c r="X20" s="59">
        <f>+IFERROR(VLOOKUP($X$17,Sheet1!F4:I4,3,0),0)</f>
        <v>0</v>
      </c>
      <c r="Y20" s="68">
        <v>151</v>
      </c>
      <c r="Z20" s="59">
        <f>+IFERROR(VLOOKUP($Z$17,Sheet1!F4:I4,3,0),0)</f>
        <v>0</v>
      </c>
      <c r="AA20" s="59">
        <f>+IFERROR(VLOOKUP($AA$17,Sheet1!F4:I4,3,0),0)</f>
        <v>0</v>
      </c>
      <c r="AB20" s="59">
        <f>+IFERROR(VLOOKUP($AB$17,Sheet1!F4:I4,3,0),0)</f>
        <v>0</v>
      </c>
      <c r="AC20" s="68">
        <v>345</v>
      </c>
      <c r="AD20" s="60">
        <f>+IFERROR(VLOOKUP($AD$17,Sheet1!R4:U4,2,0),0)</f>
        <v>0</v>
      </c>
      <c r="AE20" s="68">
        <v>1725</v>
      </c>
      <c r="AF20" s="60">
        <f>+IFERROR(VLOOKUP($AF$17,Sheet1!V4:Y4,3,0),0)</f>
        <v>0</v>
      </c>
      <c r="AG20" s="60">
        <f>+IFERROR(VLOOKUP($AG$17,Sheet1!V4:Y4,3,0),0)</f>
        <v>0</v>
      </c>
      <c r="AH20" s="60">
        <f>+IFERROR(VLOOKUP($AH$17,Sheet1!V4:Y4,3,0),0)</f>
        <v>0</v>
      </c>
      <c r="AI20" s="60">
        <f>+IFERROR(VLOOKUP($AI$17,Sheet1!V4:Y4,3,0),0)</f>
        <v>0</v>
      </c>
      <c r="AJ20" s="60">
        <f>+IFERROR(VLOOKUP($AJ$17,Sheet1!V4:Y4,3,0),0)</f>
        <v>0</v>
      </c>
      <c r="AK20" s="60">
        <f>+IFERROR(VLOOKUP($AK$17,Sheet1!Z4:AB4,3,0),0)</f>
        <v>0</v>
      </c>
      <c r="AL20" s="60">
        <f>+IFERROR(VLOOKUP($AL$17,Sheet1!AD4:AG4,3,0),0)</f>
        <v>0</v>
      </c>
      <c r="AM20" s="60">
        <f>+IFERROR(VLOOKUP($AM$17,Sheet1!AD4:AG4,3,0),0)</f>
        <v>0</v>
      </c>
      <c r="AN20" s="60">
        <f>+IFERROR(VLOOKUP($AN$17,Sheet1!AD4:AG4,3,0),0)</f>
        <v>0</v>
      </c>
      <c r="AO20" s="60">
        <f>+IFERROR(VLOOKUP($AO$17,Sheet1!AD4:AG4,3,0),0)</f>
        <v>0</v>
      </c>
      <c r="AP20" s="60">
        <f>+IFERROR(VLOOKUP($AP$17,Sheet1!AD4:AG4,3,0),0)</f>
        <v>0</v>
      </c>
      <c r="AQ20" s="60">
        <f>+IFERROR(VLOOKUP($AQ$17,Sheet1!AD4:AG4,3,0),0)</f>
        <v>0</v>
      </c>
      <c r="AR20" s="69">
        <v>914</v>
      </c>
      <c r="AS20" s="60">
        <f>+IFERROR(VLOOKUP($AS$17,Sheet1!AH4:AK4,3,0),0)</f>
        <v>0</v>
      </c>
      <c r="AT20" s="60">
        <f>+IFERROR(VLOOKUP($AT$17,Sheet1!AH4:AK4,3,0),0)</f>
        <v>0</v>
      </c>
      <c r="AU20" s="60">
        <f>+IFERROR(VLOOKUP($AU$17,Sheet1!AH4:AK4,3,0),0)</f>
        <v>0</v>
      </c>
      <c r="AV20" s="60">
        <f>+IFERROR(VLOOKUP($AV$17,Sheet1!AH4:AK4,3,0),0)</f>
        <v>0</v>
      </c>
      <c r="AW20" s="60">
        <f>+IFERROR(VLOOKUP($AW$17,Sheet1!AH4:AK4,3,0),0)</f>
        <v>0</v>
      </c>
      <c r="AX20" s="60">
        <f>+IFERROR(VLOOKUP($AX$17,Sheet1!AH4:AK4,3,0),0)</f>
        <v>0</v>
      </c>
      <c r="AY20" s="60">
        <f>+IFERROR(VLOOKUP($AY$17,Sheet1!AH4:AK4,3,0),0)</f>
        <v>0</v>
      </c>
      <c r="AZ20" s="60">
        <f>+IFERROR(VLOOKUP($AZ$17,Sheet1!AH4:AK4,3,0),0)</f>
        <v>0</v>
      </c>
      <c r="BA20" s="69">
        <v>4135</v>
      </c>
      <c r="BB20" s="60">
        <f>+IFERROR(VLOOKUP($BB$17,Sheet1!AH4:AK4,3,0),0)</f>
        <v>0</v>
      </c>
      <c r="BC20" s="60">
        <f>+IFERROR(VLOOKUP($BC$17,Sheet1!AL4:AO4,3,0),0)</f>
        <v>0</v>
      </c>
      <c r="BD20" s="60">
        <f>+IFERROR(VLOOKUP($BD$17,Sheet1!AL4:AO4,3,0),0)</f>
        <v>0</v>
      </c>
      <c r="BE20" s="60">
        <f>+IFERROR(VLOOKUP($BE$17,Sheet1!AL4:AO4,3,0),0)</f>
        <v>0</v>
      </c>
      <c r="BF20" s="69">
        <v>1282</v>
      </c>
      <c r="BG20" s="60">
        <f>+IFERROR(VLOOKUP($BG$17,Sheet1!AL4:AO4,3,0),0)</f>
        <v>0</v>
      </c>
      <c r="BH20" s="60">
        <f>+IFERROR(VLOOKUP($BH$17,Sheet1!AL4:AO4,3,0),0)</f>
        <v>0</v>
      </c>
      <c r="BI20" s="60">
        <f>+IFERROR(VLOOKUP($BI$17,Sheet1!AL4:AO4,3,0),0)</f>
        <v>0</v>
      </c>
      <c r="BJ20" s="60">
        <f>+IFERROR(VLOOKUP($BJ$17,Sheet1!AL4:AO4,3,0),0)</f>
        <v>0</v>
      </c>
      <c r="BK20" s="60">
        <f>+IFERROR(VLOOKUP($BK$17,Sheet1!AL4:AO4,3,0),0)</f>
        <v>0</v>
      </c>
      <c r="BL20" s="60">
        <f>+IFERROR(VLOOKUP($BL$17,Sheet1!AL4:AO4,3,0),0)</f>
        <v>0</v>
      </c>
      <c r="BM20" s="69">
        <v>917</v>
      </c>
      <c r="BN20" s="60">
        <f>+IFERROR(VLOOKUP($BN$17,Sheet1!AT4:AW4,3,0),0)</f>
        <v>0</v>
      </c>
      <c r="BO20" s="60">
        <f>+IFERROR(VLOOKUP($BO$17,Sheet1!AX4:BA4,3,0),0)</f>
        <v>0</v>
      </c>
      <c r="BP20" s="69">
        <v>66</v>
      </c>
      <c r="BQ20" s="69">
        <v>15</v>
      </c>
      <c r="BR20" s="60">
        <f>+IFERROR(VLOOKUP($BR$17,Sheet1!BJ4:BM4,3,0),0)</f>
        <v>0</v>
      </c>
      <c r="BS20" s="60">
        <f>+IFERROR(VLOOKUP($BS$17,Sheet1!BN4:BQ4,3,0),0)</f>
        <v>0</v>
      </c>
      <c r="BT20" s="69">
        <v>56</v>
      </c>
      <c r="BU20" s="15">
        <f>+IFERROR(VLOOKUP($BU$17,Sheet1!BV4:BY4,3,0),0)</f>
        <v>0</v>
      </c>
      <c r="BV20" s="69" t="str">
        <f>Sheet1!E4</f>
        <v>STEEL</v>
      </c>
      <c r="BW20" s="15" t="str">
        <f>Sheet1!CV4</f>
        <v>SP0400136</v>
      </c>
      <c r="BX20" s="15" t="str">
        <f>Sheet1!CW4</f>
        <v>CORRUGATED DISPATCH STEEL DRUM 2200 X 1300 X 1200 MM</v>
      </c>
      <c r="BY20" s="69">
        <f>Sheet1!CX4</f>
        <v>250</v>
      </c>
      <c r="BZ20" s="3">
        <f>32000/0.25</f>
        <v>128000</v>
      </c>
      <c r="CA20" s="3">
        <f>SUMPRODUCT($N$18:$BU$18,N20:BU20)+BZ20</f>
        <v>1472159.22</v>
      </c>
      <c r="CB20" s="26">
        <v>0.01</v>
      </c>
      <c r="CC20" s="3">
        <f>CA20*CB20</f>
        <v>14721.592199999999</v>
      </c>
      <c r="CD20" s="47">
        <v>0.35</v>
      </c>
      <c r="CE20" s="3">
        <f>CA20*CD20</f>
        <v>515255.72699999996</v>
      </c>
      <c r="CF20" s="47">
        <v>0</v>
      </c>
      <c r="CG20" s="3">
        <f>CA20*CF20</f>
        <v>0</v>
      </c>
      <c r="CH20" s="3">
        <f>CA20+CC20+CE20+CG20</f>
        <v>2002136.5392</v>
      </c>
      <c r="CI20" s="47">
        <v>0.02</v>
      </c>
      <c r="CJ20" s="1">
        <f>CH20*CI20</f>
        <v>40042.730783999999</v>
      </c>
      <c r="CK20" s="47">
        <v>0.01</v>
      </c>
      <c r="CL20" s="1">
        <f>CH20*CK20</f>
        <v>20021.365392</v>
      </c>
    </row>
    <row r="21" spans="1:90" ht="30" x14ac:dyDescent="0.25">
      <c r="A21" s="1" t="str">
        <f>Sheet1!A2</f>
        <v>ENQ-14722-22-23</v>
      </c>
      <c r="B21" s="50">
        <v>45638</v>
      </c>
      <c r="C21" s="1" t="str">
        <f>Sheet1!C2</f>
        <v>FA1300080</v>
      </c>
      <c r="D21" s="1" t="str">
        <f>Sheet1!D2</f>
        <v>3 CORE X 400 SQ. MM AL/ARM - WIRE (XLPE) - 33 KV</v>
      </c>
      <c r="E21" s="3">
        <f>CH21+CJ21+CL21</f>
        <v>3996402.6104319999</v>
      </c>
      <c r="F21" s="66">
        <f t="shared" si="0"/>
        <v>63000</v>
      </c>
      <c r="G21" s="9">
        <f>E21+F21</f>
        <v>4059402.6104319999</v>
      </c>
      <c r="H21" s="7">
        <f>Sheet1!CP2</f>
        <v>0.18</v>
      </c>
      <c r="I21" s="9">
        <f>G21*H21</f>
        <v>730692.46987775993</v>
      </c>
      <c r="J21" s="9">
        <f>G21+I21</f>
        <v>4790095.0803097598</v>
      </c>
      <c r="K21" s="1">
        <f>Sheet1!CS2</f>
        <v>17</v>
      </c>
      <c r="L21" s="1" t="str">
        <f>Sheet1!CT2</f>
        <v>KMS</v>
      </c>
      <c r="M21" s="3">
        <f>J21*K21</f>
        <v>81431616.365265921</v>
      </c>
      <c r="N21" s="68">
        <v>3243</v>
      </c>
      <c r="O21" s="2">
        <f>+IFERROR(VLOOKUP($O$17,Sheet1!J2:L2,3,0),0)</f>
        <v>0</v>
      </c>
      <c r="P21" s="2">
        <f>+IFERROR(VLOOKUP($P$17,Sheet1!J2:M2,3,0),0)</f>
        <v>0</v>
      </c>
      <c r="Q21" s="2">
        <f>+IFERROR(VLOOKUP($Q$17,Sheet1!J2:M2,3,0),0)</f>
        <v>0</v>
      </c>
      <c r="R21" s="2">
        <f>+IFERROR(VLOOKUP($R$17,Sheet1!J2:M2,3,0),0)</f>
        <v>0</v>
      </c>
      <c r="S21" s="2">
        <f>+IFERROR(VLOOKUP($S$17,Sheet1!N2:Q2,3,0),0)</f>
        <v>0</v>
      </c>
      <c r="T21" s="2">
        <f>+IFERROR(VLOOKUP($T$17,Sheet1!N2:Q2,3,0),0)</f>
        <v>0</v>
      </c>
      <c r="U21" s="2">
        <f>+IFERROR(VLOOKUP($U$17,Sheet1!F2:I2,3,0),0)</f>
        <v>0</v>
      </c>
      <c r="V21" s="2">
        <f>+IFERROR(VLOOKUP($V$17,Sheet1!F2:I2,3,0),0)</f>
        <v>0</v>
      </c>
      <c r="W21" s="2">
        <f>+IFERROR(VLOOKUP($W$17,Sheet1!F2:I2,3,0),0)</f>
        <v>0</v>
      </c>
      <c r="X21" s="2">
        <f>+IFERROR(VLOOKUP($X$17,Sheet1!F2:I2,3,0),0)</f>
        <v>0</v>
      </c>
      <c r="Y21" s="68">
        <v>212</v>
      </c>
      <c r="Z21" s="2">
        <f>+IFERROR(VLOOKUP($Z$17,Sheet1!F2:I2,3,0),0)</f>
        <v>0</v>
      </c>
      <c r="AA21" s="2">
        <f>+IFERROR(VLOOKUP($AA$17,Sheet1!F2:I2,3,0),0)</f>
        <v>0</v>
      </c>
      <c r="AB21" s="2">
        <f>+IFERROR(VLOOKUP($AB$17,Sheet1!F2:I2,3,0),0)</f>
        <v>0</v>
      </c>
      <c r="AC21" s="68">
        <v>515</v>
      </c>
      <c r="AD21" s="15">
        <f>+IFERROR(VLOOKUP($AD$17,Sheet1!R2:U2,2,0),0)</f>
        <v>0</v>
      </c>
      <c r="AE21" s="68">
        <v>2670</v>
      </c>
      <c r="AF21" s="15">
        <f>+IFERROR(VLOOKUP($AF$17,Sheet1!V2:Y2,3,0),0)</f>
        <v>0</v>
      </c>
      <c r="AG21" s="15">
        <f>+IFERROR(VLOOKUP($AG$17,Sheet1!V2:Y2,3,0),0)</f>
        <v>0</v>
      </c>
      <c r="AH21" s="15">
        <f>+IFERROR(VLOOKUP($AH$17,Sheet1!V2:Y2,3,0),0)</f>
        <v>0</v>
      </c>
      <c r="AI21" s="15">
        <f>+IFERROR(VLOOKUP($AI$17,Sheet1!V2:Y2,3,0),0)</f>
        <v>0</v>
      </c>
      <c r="AJ21" s="15">
        <f>+IFERROR(VLOOKUP($AJ$17,Sheet1!V2:Y2,3,0),0)</f>
        <v>0</v>
      </c>
      <c r="AK21" s="15">
        <f>+IFERROR(VLOOKUP($AK$17,Sheet1!Z2:AB2,3,0),0)</f>
        <v>0</v>
      </c>
      <c r="AL21" s="15">
        <f>+IFERROR(VLOOKUP($AL$17,Sheet1!AD2:AG2,3,0),0)</f>
        <v>0</v>
      </c>
      <c r="AM21" s="15">
        <f>+IFERROR(VLOOKUP($AM$17,Sheet1!AD2:AG2,3,0),0)</f>
        <v>0</v>
      </c>
      <c r="AN21" s="15">
        <f>+IFERROR(VLOOKUP($AN$17,Sheet1!AD2:AG2,3,0),0)</f>
        <v>0</v>
      </c>
      <c r="AO21" s="15">
        <f>+IFERROR(VLOOKUP($AO$17,Sheet1!AD2:AG2,3,0),0)</f>
        <v>0</v>
      </c>
      <c r="AP21" s="15">
        <f>+IFERROR(VLOOKUP($AP$17,Sheet1!AD2:AG2,3,0),0)</f>
        <v>0</v>
      </c>
      <c r="AQ21" s="15">
        <f>+IFERROR(VLOOKUP($AQ$17,Sheet1!AD2:AG2,3,0),0)</f>
        <v>0</v>
      </c>
      <c r="AR21" s="69">
        <v>1561</v>
      </c>
      <c r="AS21" s="15">
        <f>+IFERROR(VLOOKUP($AS$17,Sheet1!AH2:AK2,3,0),0)</f>
        <v>0</v>
      </c>
      <c r="AT21" s="15">
        <f>+IFERROR(VLOOKUP($AT$17,Sheet1!AH2:AK2,3,0),0)</f>
        <v>0</v>
      </c>
      <c r="AU21" s="15">
        <f>+IFERROR(VLOOKUP($AU$17,Sheet1!AH2:AK2,3,0),0)</f>
        <v>0</v>
      </c>
      <c r="AV21" s="15">
        <f>+IFERROR(VLOOKUP($AV$17,Sheet1!AH2:AK2,3,0),0)</f>
        <v>0</v>
      </c>
      <c r="AW21" s="15">
        <f>+IFERROR(VLOOKUP($AW$17,Sheet1!AH2:AK2,3,0),0)</f>
        <v>0</v>
      </c>
      <c r="AX21" s="15">
        <f>+IFERROR(VLOOKUP($AX$17,Sheet1!AH2:AK2,3,0),0)</f>
        <v>0</v>
      </c>
      <c r="AY21" s="15">
        <f>+IFERROR(VLOOKUP($AY$17,Sheet1!AH2:AK2,3,0),0)</f>
        <v>0</v>
      </c>
      <c r="AZ21" s="15">
        <f>+IFERROR(VLOOKUP($AZ$17,Sheet1!AH2:AK2,3,0),0)</f>
        <v>0</v>
      </c>
      <c r="BA21" s="69">
        <v>7182</v>
      </c>
      <c r="BB21" s="15">
        <f>+IFERROR(VLOOKUP($BB$17,Sheet1!AH2:AK2,3,0),0)</f>
        <v>0</v>
      </c>
      <c r="BC21" s="15">
        <f>+IFERROR(VLOOKUP($BC$17,Sheet1!AL2:AO2,3,0),0)</f>
        <v>0</v>
      </c>
      <c r="BD21" s="15">
        <f>+IFERROR(VLOOKUP($BD$17,Sheet1!AL2:AO2,3,0),0)</f>
        <v>0</v>
      </c>
      <c r="BE21" s="15">
        <f>+IFERROR(VLOOKUP($BE$17,Sheet1!AL2:AO2,3,0),0)</f>
        <v>0</v>
      </c>
      <c r="BF21" s="69">
        <v>1715</v>
      </c>
      <c r="BG21" s="15">
        <f>+IFERROR(VLOOKUP($BG$17,Sheet1!AL2:AO2,3,0),0)</f>
        <v>0</v>
      </c>
      <c r="BH21" s="15">
        <f>+IFERROR(VLOOKUP($BH$17,Sheet1!AL2:AO2,3,0),0)</f>
        <v>0</v>
      </c>
      <c r="BI21" s="15">
        <f>+IFERROR(VLOOKUP($BI$17,Sheet1!AL2:AO2,3,0),0)</f>
        <v>0</v>
      </c>
      <c r="BJ21" s="15">
        <f>+IFERROR(VLOOKUP($BJ$17,Sheet1!AL2:AO2,3,0),0)</f>
        <v>0</v>
      </c>
      <c r="BK21" s="15">
        <f>+IFERROR(VLOOKUP($BK$17,Sheet1!AL2:AO2,3,0),0)</f>
        <v>0</v>
      </c>
      <c r="BL21" s="15">
        <f>+IFERROR(VLOOKUP($BL$17,Sheet1!AL2:AO2,3,0),0)</f>
        <v>0</v>
      </c>
      <c r="BM21" s="69">
        <v>1718</v>
      </c>
      <c r="BN21" s="15">
        <f>+IFERROR(VLOOKUP($BN$17,Sheet1!AT2:AW2,3,0),0)</f>
        <v>0</v>
      </c>
      <c r="BO21" s="15">
        <v>0</v>
      </c>
      <c r="BP21" s="69">
        <v>104</v>
      </c>
      <c r="BQ21" s="69">
        <v>58</v>
      </c>
      <c r="BR21" s="15">
        <f>+IFERROR(VLOOKUP($BR$17,Sheet1!BJ2:BM2,3,0),0)</f>
        <v>0</v>
      </c>
      <c r="BS21" s="15">
        <f>+IFERROR(VLOOKUP($BS$17,Sheet1!BN2:BQ2,3,0),0)</f>
        <v>0</v>
      </c>
      <c r="BT21" s="69">
        <v>75</v>
      </c>
      <c r="BU21" s="15">
        <f>+IFERROR(VLOOKUP($BU$17,Sheet1!BV2:BY2,3,0),0)</f>
        <v>0</v>
      </c>
      <c r="BV21" s="69" t="str">
        <f>Sheet1!E2</f>
        <v>STEEL</v>
      </c>
      <c r="BW21" s="15" t="str">
        <f>Sheet1!CV2</f>
        <v>SP0400137</v>
      </c>
      <c r="BX21" s="15" t="str">
        <f>Sheet1!CW2</f>
        <v>CORRUGATED DISPATCH STEEL DRUM 2600 X 1600 X 1600 MM</v>
      </c>
      <c r="BY21" s="69">
        <f>Sheet1!CX2</f>
        <v>250</v>
      </c>
      <c r="BZ21" s="3">
        <f>44000/0.25</f>
        <v>176000</v>
      </c>
      <c r="CA21" s="3">
        <f>SUMPRODUCT($N$18:$BU$18,N21:BU21)+BZ21</f>
        <v>2852943.04</v>
      </c>
      <c r="CB21" s="26">
        <v>0.01</v>
      </c>
      <c r="CC21" s="3">
        <f>CA21*CB21</f>
        <v>28529.430400000001</v>
      </c>
      <c r="CD21" s="47">
        <v>0.35</v>
      </c>
      <c r="CE21" s="3">
        <f>CA21*CD21</f>
        <v>998530.0639999999</v>
      </c>
      <c r="CF21" s="47">
        <v>0</v>
      </c>
      <c r="CG21" s="3">
        <f>CA21*CF21</f>
        <v>0</v>
      </c>
      <c r="CH21" s="3">
        <f>CA21+CC21+CE21+CG21</f>
        <v>3880002.5343999998</v>
      </c>
      <c r="CI21" s="47">
        <v>0.02</v>
      </c>
      <c r="CJ21" s="1">
        <f>CH21*CI21</f>
        <v>77600.050688000003</v>
      </c>
      <c r="CK21" s="47">
        <v>0.01</v>
      </c>
      <c r="CL21" s="1">
        <f>CH21*CK21</f>
        <v>38800.025344000001</v>
      </c>
    </row>
    <row r="22" spans="1:90" ht="30" x14ac:dyDescent="0.25">
      <c r="A22" s="1" t="str">
        <f>Sheet1!A6</f>
        <v>ENQ-14722-22-23</v>
      </c>
      <c r="B22" s="50">
        <v>45638</v>
      </c>
      <c r="C22" s="1" t="str">
        <f>Sheet1!C6</f>
        <v>FA1300018</v>
      </c>
      <c r="D22" s="1" t="str">
        <f>Sheet1!D6</f>
        <v>1 CORE X 400 SQ. MM. AL/ARM (XLPE) - 33 KV</v>
      </c>
      <c r="E22" s="3">
        <f>CH22+CJ22+CL22</f>
        <v>1148860.7829519997</v>
      </c>
      <c r="F22" s="66">
        <f t="shared" si="0"/>
        <v>24138</v>
      </c>
      <c r="G22" s="9">
        <f>E22+F22</f>
        <v>1172998.7829519997</v>
      </c>
      <c r="H22" s="7">
        <f>Sheet1!CP6</f>
        <v>0.18</v>
      </c>
      <c r="I22" s="9">
        <f>G22*H22</f>
        <v>211139.78093135994</v>
      </c>
      <c r="J22" s="9">
        <f>G22+I22</f>
        <v>1384138.5638833595</v>
      </c>
      <c r="K22" s="1">
        <f>Sheet1!CS6</f>
        <v>5.22</v>
      </c>
      <c r="L22" s="1" t="str">
        <f>Sheet1!CT6</f>
        <v>KMS</v>
      </c>
      <c r="M22" s="3">
        <f>J22*K22</f>
        <v>7225203.3034711368</v>
      </c>
      <c r="N22" s="68">
        <v>1081</v>
      </c>
      <c r="O22" s="59">
        <f>+IFERROR(VLOOKUP($O$17,Sheet1!J6:L6,3,0),0)</f>
        <v>0</v>
      </c>
      <c r="P22" s="59">
        <f>+IFERROR(VLOOKUP($P$17,Sheet1!J6:M6,3,0),0)</f>
        <v>0</v>
      </c>
      <c r="Q22" s="59">
        <f>+IFERROR(VLOOKUP($Q$17,Sheet1!J6:M6,3,0),0)</f>
        <v>0</v>
      </c>
      <c r="R22" s="59">
        <f>+IFERROR(VLOOKUP($R$17,Sheet1!J6:M6,3,0),0)</f>
        <v>0</v>
      </c>
      <c r="S22" s="59">
        <f>+IFERROR(VLOOKUP($S$17,Sheet1!N6:Q6,3,0),0)</f>
        <v>0</v>
      </c>
      <c r="T22" s="59">
        <f>+IFERROR(VLOOKUP($T$17,Sheet1!N6:Q6,3,0),0)</f>
        <v>0</v>
      </c>
      <c r="U22" s="59">
        <f>+IFERROR(VLOOKUP($U$17,Sheet1!F6:I6,3,0),0)</f>
        <v>0</v>
      </c>
      <c r="V22" s="59">
        <f>+IFERROR(VLOOKUP($V$17,Sheet1!F6:I6,3,0),0)</f>
        <v>0</v>
      </c>
      <c r="W22" s="59">
        <f>+IFERROR(VLOOKUP($W$17,Sheet1!F6:I6,3,0),0)</f>
        <v>0</v>
      </c>
      <c r="X22" s="59">
        <f>+IFERROR(VLOOKUP($X$17,Sheet1!F6:I6,3,0),0)</f>
        <v>0</v>
      </c>
      <c r="Y22" s="68">
        <v>70</v>
      </c>
      <c r="Z22" s="59">
        <f>+IFERROR(VLOOKUP($Z$17,Sheet1!F6:I6,3,0),0)</f>
        <v>0</v>
      </c>
      <c r="AA22" s="59">
        <f>+IFERROR(VLOOKUP($AA$17,Sheet1!F6:I6,3,0),0)</f>
        <v>0</v>
      </c>
      <c r="AB22" s="59">
        <f>+IFERROR(VLOOKUP($AB$17,Sheet1!F6:I6,3,0),0)</f>
        <v>0</v>
      </c>
      <c r="AC22" s="68">
        <v>171</v>
      </c>
      <c r="AD22" s="60">
        <f>+IFERROR(VLOOKUP($AD$17,Sheet1!R6:U6,2,0),0)</f>
        <v>0</v>
      </c>
      <c r="AE22" s="68">
        <v>885</v>
      </c>
      <c r="AF22" s="60">
        <f>+IFERROR(VLOOKUP($AF$17,Sheet1!V6:Y6,3,0),0)</f>
        <v>0</v>
      </c>
      <c r="AG22" s="60">
        <f>+IFERROR(VLOOKUP($AG$17,Sheet1!V6:Y6,3,0),0)</f>
        <v>0</v>
      </c>
      <c r="AH22" s="60">
        <f>+IFERROR(VLOOKUP($AH$17,Sheet1!V6:Y6,3,0),0)</f>
        <v>0</v>
      </c>
      <c r="AI22" s="60">
        <f>+IFERROR(VLOOKUP($AI$17,Sheet1!V6:Y6,3,0),0)</f>
        <v>0</v>
      </c>
      <c r="AJ22" s="60">
        <f>+IFERROR(VLOOKUP($AJ$17,Sheet1!V6:Y6,3,0),0)</f>
        <v>0</v>
      </c>
      <c r="AK22" s="69">
        <v>16</v>
      </c>
      <c r="AL22" s="60">
        <f>+IFERROR(VLOOKUP($AL$17,Sheet1!AD6:AG6,3,0),0)</f>
        <v>0</v>
      </c>
      <c r="AM22" s="60">
        <f>+IFERROR(VLOOKUP($AM$17,Sheet1!AD6:AG6,3,0),0)</f>
        <v>0</v>
      </c>
      <c r="AN22" s="60">
        <f>+IFERROR(VLOOKUP($AN$17,Sheet1!AD6:AG6,3,0),0)</f>
        <v>0</v>
      </c>
      <c r="AO22" s="60">
        <f>+IFERROR(VLOOKUP($AO$17,Sheet1!AD6:AG6,3,0),0)</f>
        <v>0</v>
      </c>
      <c r="AP22" s="60">
        <f>+IFERROR(VLOOKUP($AP$17,Sheet1!AD6:AG6,3,0),0)</f>
        <v>0</v>
      </c>
      <c r="AQ22" s="69">
        <v>151</v>
      </c>
      <c r="AR22" s="60">
        <f>+IFERROR(VLOOKUP($AR$17,Sheet1!AD6:AG6,3,0),0)</f>
        <v>0</v>
      </c>
      <c r="AS22" s="60">
        <f>+IFERROR(VLOOKUP($AS$17,Sheet1!AH6:AK6,3,0),0)</f>
        <v>0</v>
      </c>
      <c r="AT22" s="60">
        <f>+IFERROR(VLOOKUP($AT$17,Sheet1!AH6:AK6,3,0),0)</f>
        <v>0</v>
      </c>
      <c r="AU22" s="60">
        <f>+IFERROR(VLOOKUP($AU$17,Sheet1!AH6:AK6,3,0),0)</f>
        <v>0</v>
      </c>
      <c r="AV22" s="69">
        <v>731</v>
      </c>
      <c r="AW22" s="60">
        <f>+IFERROR(VLOOKUP($AW$17,Sheet1!AH6:AK6,3,0),0)</f>
        <v>0</v>
      </c>
      <c r="AX22" s="60">
        <f>+IFERROR(VLOOKUP($AX$17,Sheet1!AH6:AK6,3,0),0)</f>
        <v>0</v>
      </c>
      <c r="AY22" s="60">
        <f>+IFERROR(VLOOKUP($AY$17,Sheet1!AH6:AK6,3,0),0)</f>
        <v>0</v>
      </c>
      <c r="AZ22" s="60">
        <f>+IFERROR(VLOOKUP($AZ$17,Sheet1!AH6:AK6,3,0),0)</f>
        <v>0</v>
      </c>
      <c r="BA22" s="60">
        <f>+IFERROR(VLOOKUP($BA$17,Sheet1!AH6:AK6,3,0),0)</f>
        <v>0</v>
      </c>
      <c r="BB22" s="60">
        <f>+IFERROR(VLOOKUP($BB$17,Sheet1!AH6:AK6,3,0),0)</f>
        <v>0</v>
      </c>
      <c r="BC22" s="60">
        <f>+IFERROR(VLOOKUP($BC$17,Sheet1!AL6:AO6,3,0),0)</f>
        <v>0</v>
      </c>
      <c r="BD22" s="60">
        <f>+IFERROR(VLOOKUP($BD$17,Sheet1!AL6:AO6,3,0),0)</f>
        <v>0</v>
      </c>
      <c r="BE22" s="60">
        <f>+IFERROR(VLOOKUP($BE$17,Sheet1!AL6:AO6,3,0),0)</f>
        <v>0</v>
      </c>
      <c r="BF22" s="69">
        <v>580</v>
      </c>
      <c r="BG22" s="60">
        <f>+IFERROR(VLOOKUP($BG$17,Sheet1!AL6:AO6,3,0),0)</f>
        <v>0</v>
      </c>
      <c r="BH22" s="60">
        <f>+IFERROR(VLOOKUP($BH$17,Sheet1!AL6:AO6,3,0),0)</f>
        <v>0</v>
      </c>
      <c r="BI22" s="60">
        <f>+IFERROR(VLOOKUP($BI$17,Sheet1!AL6:AO6,3,0),0)</f>
        <v>0</v>
      </c>
      <c r="BJ22" s="60">
        <f>+IFERROR(VLOOKUP($BJ$17,Sheet1!AL6:AO6,3,0),0)</f>
        <v>0</v>
      </c>
      <c r="BK22" s="60">
        <f>+IFERROR(VLOOKUP($BK$17,Sheet1!AL6:AO6,3,0),0)</f>
        <v>0</v>
      </c>
      <c r="BL22" s="60">
        <f>+IFERROR(VLOOKUP($BL$17,Sheet1!AL6:AO6,3,0),0)</f>
        <v>0</v>
      </c>
      <c r="BM22" s="60">
        <f>+IFERROR(VLOOKUP($BM$17,Sheet1!AP6:AS6,3,0),0)</f>
        <v>0</v>
      </c>
      <c r="BN22" s="60">
        <f>+IFERROR(VLOOKUP($BN$17,Sheet1!AT6:AW6,3,0),0)</f>
        <v>0</v>
      </c>
      <c r="BO22" s="60"/>
      <c r="BP22" s="69">
        <v>35</v>
      </c>
      <c r="BQ22" s="69">
        <v>19</v>
      </c>
      <c r="BR22" s="60">
        <f>+IFERROR(VLOOKUP($BR$17,Sheet1!BJ6:BM6,3,0),0)</f>
        <v>0</v>
      </c>
      <c r="BS22" s="60">
        <f>+IFERROR(VLOOKUP($BS$17,Sheet1!BN6:BQ6,3,0),0)</f>
        <v>0</v>
      </c>
      <c r="BT22" s="69">
        <v>36</v>
      </c>
      <c r="BU22" s="15">
        <f>+IFERROR(VLOOKUP($BU$17,Sheet1!BV6:BY6,3,0),0)</f>
        <v>0</v>
      </c>
      <c r="BV22" s="69" t="str">
        <f>Sheet1!E6</f>
        <v>STEEL</v>
      </c>
      <c r="BW22" s="15" t="s">
        <v>243</v>
      </c>
      <c r="BX22" s="15" t="s">
        <v>244</v>
      </c>
      <c r="BY22" s="69">
        <f>Sheet1!CX6</f>
        <v>500</v>
      </c>
      <c r="BZ22" s="3">
        <f>16000/0.5</f>
        <v>32000</v>
      </c>
      <c r="CA22" s="3">
        <f>SUMPRODUCT($N$18:$BU$18,N22:BU22)+BZ22</f>
        <v>820146.19</v>
      </c>
      <c r="CB22" s="26">
        <v>0.01</v>
      </c>
      <c r="CC22" s="3">
        <f>CA22*CB22</f>
        <v>8201.4619000000002</v>
      </c>
      <c r="CD22" s="47">
        <v>0.35</v>
      </c>
      <c r="CE22" s="3">
        <f>CA22*CD22</f>
        <v>287051.16649999993</v>
      </c>
      <c r="CF22" s="47">
        <v>0</v>
      </c>
      <c r="CG22" s="3">
        <f>CA22*CF22</f>
        <v>0</v>
      </c>
      <c r="CH22" s="3">
        <f>CA22+CC22+CE22+CG22</f>
        <v>1115398.8183999998</v>
      </c>
      <c r="CI22" s="47">
        <v>0.02</v>
      </c>
      <c r="CJ22" s="1">
        <f>CH22*CI22</f>
        <v>22307.976367999996</v>
      </c>
      <c r="CK22" s="47">
        <v>0.01</v>
      </c>
      <c r="CL22" s="1">
        <f>CH22*CK22</f>
        <v>11153.988183999998</v>
      </c>
    </row>
    <row r="23" spans="1:90" ht="30" x14ac:dyDescent="0.25">
      <c r="A23" s="1" t="str">
        <f>Sheet1!A5</f>
        <v>ENQ-14722-22-23</v>
      </c>
      <c r="B23" s="50">
        <v>45638</v>
      </c>
      <c r="C23" s="1" t="str">
        <f>Sheet1!C5</f>
        <v>FA1300027</v>
      </c>
      <c r="D23" s="1" t="str">
        <f>Sheet1!D5</f>
        <v>1 CORE X 630 SQ. MM. AL/ARM (XLPE)  - 33 KV</v>
      </c>
      <c r="E23" s="3">
        <f>CH23+CJ23+CL23</f>
        <v>1513652.4823039998</v>
      </c>
      <c r="F23" s="66">
        <f t="shared" si="0"/>
        <v>15850</v>
      </c>
      <c r="G23" s="9">
        <f>E23+F23</f>
        <v>1529502.4823039998</v>
      </c>
      <c r="H23" s="7">
        <f>Sheet1!CP5</f>
        <v>0.18</v>
      </c>
      <c r="I23" s="9">
        <f>G23*H23</f>
        <v>275310.44681471994</v>
      </c>
      <c r="J23" s="9">
        <f>G23+I23</f>
        <v>1804812.9291187199</v>
      </c>
      <c r="K23" s="1">
        <f>Sheet1!CS5</f>
        <v>238.5</v>
      </c>
      <c r="L23" s="1" t="str">
        <f>Sheet1!CT5</f>
        <v>KMS</v>
      </c>
      <c r="M23" s="3">
        <f>J23*K23</f>
        <v>430447883.59481472</v>
      </c>
      <c r="N23" s="68">
        <f>+IFERROR(VLOOKUP($N$17,Sheet1!J5:L5,3,0),0)</f>
        <v>1701</v>
      </c>
      <c r="O23" s="2">
        <f>+IFERROR(VLOOKUP($O$17,Sheet1!J5:L5,3,0),0)</f>
        <v>0</v>
      </c>
      <c r="P23" s="2">
        <f>+IFERROR(VLOOKUP($P$17,Sheet1!J5:M5,3,0),0)</f>
        <v>0</v>
      </c>
      <c r="Q23" s="2">
        <f>+IFERROR(VLOOKUP($Q$17,Sheet1!J5:M5,3,0),0)</f>
        <v>0</v>
      </c>
      <c r="R23" s="2">
        <f>+IFERROR(VLOOKUP($R$17,Sheet1!J5:M5,3,0),0)</f>
        <v>0</v>
      </c>
      <c r="S23" s="2">
        <f>+IFERROR(VLOOKUP($S$17,Sheet1!N5:Q5,3,0),0)</f>
        <v>0</v>
      </c>
      <c r="T23" s="2">
        <f>+IFERROR(VLOOKUP($T$17,Sheet1!N5:Q5,3,0),0)</f>
        <v>0</v>
      </c>
      <c r="U23" s="2">
        <f>+IFERROR(VLOOKUP($U$17,Sheet1!F5:I5,3,0),0)</f>
        <v>0</v>
      </c>
      <c r="V23" s="2">
        <f>+IFERROR(VLOOKUP($V$17,Sheet1!F5:I5,3,0),0)</f>
        <v>0</v>
      </c>
      <c r="W23" s="2">
        <f>+IFERROR(VLOOKUP($W$17,Sheet1!F5:I5,3,0),0)</f>
        <v>0</v>
      </c>
      <c r="X23" s="2">
        <f>+IFERROR(VLOOKUP($X$17,Sheet1!F5:I5,3,0),0)</f>
        <v>0</v>
      </c>
      <c r="Y23" s="68">
        <v>79</v>
      </c>
      <c r="Z23" s="2">
        <f>+IFERROR(VLOOKUP($Z$17,Sheet1!F5:I5,3,0),0)</f>
        <v>0</v>
      </c>
      <c r="AA23" s="2">
        <f>+IFERROR(VLOOKUP($AA$17,Sheet1!F5:I5,3,0),0)</f>
        <v>0</v>
      </c>
      <c r="AB23" s="2">
        <f>+IFERROR(VLOOKUP($AB$17,Sheet1!F5:I5,3,0),0)</f>
        <v>0</v>
      </c>
      <c r="AC23" s="68">
        <v>218</v>
      </c>
      <c r="AD23" s="15">
        <f>+IFERROR(VLOOKUP($AD$17,Sheet1!R5:U5,2,0),0)</f>
        <v>0</v>
      </c>
      <c r="AE23" s="68">
        <v>1055</v>
      </c>
      <c r="AF23" s="15">
        <f>+IFERROR(VLOOKUP($AF$17,Sheet1!V5:Y5,3,0),0)</f>
        <v>0</v>
      </c>
      <c r="AG23" s="15">
        <f>+IFERROR(VLOOKUP($AG$17,Sheet1!V5:Y5,3,0),0)</f>
        <v>0</v>
      </c>
      <c r="AH23" s="15">
        <f>+IFERROR(VLOOKUP($AH$17,Sheet1!V5:Y5,3,0),0)</f>
        <v>0</v>
      </c>
      <c r="AI23" s="15">
        <f>+IFERROR(VLOOKUP($AI$17,Sheet1!V5:Y5,3,0),0)</f>
        <v>0</v>
      </c>
      <c r="AJ23" s="15">
        <f>+IFERROR(VLOOKUP($AJ$17,Sheet1!V5:Y5,3,0),0)</f>
        <v>0</v>
      </c>
      <c r="AK23" s="69">
        <v>18</v>
      </c>
      <c r="AL23" s="15">
        <f>+IFERROR(VLOOKUP($AL$17,Sheet1!AD5:AG5,3,0),0)</f>
        <v>0</v>
      </c>
      <c r="AM23" s="15">
        <f>+IFERROR(VLOOKUP($AM$17,Sheet1!AD5:AG5,3,0),0)</f>
        <v>0</v>
      </c>
      <c r="AN23" s="15">
        <f>+IFERROR(VLOOKUP($AN$17,Sheet1!AD5:AG5,3,0),0)</f>
        <v>0</v>
      </c>
      <c r="AO23" s="15">
        <f>+IFERROR(VLOOKUP($AO$17,Sheet1!AD5:AG5,3,0),0)</f>
        <v>0</v>
      </c>
      <c r="AP23" s="15">
        <f>+IFERROR(VLOOKUP($AP$17,Sheet1!AD5:AG5,3,0),0)</f>
        <v>0</v>
      </c>
      <c r="AQ23" s="69">
        <v>200</v>
      </c>
      <c r="AR23" s="15">
        <f>+IFERROR(VLOOKUP($AR$17,Sheet1!AD5:AG5,3,0),0)</f>
        <v>0</v>
      </c>
      <c r="AS23" s="15">
        <f>+IFERROR(VLOOKUP($AS$17,Sheet1!AH5:AK5,3,0),0)</f>
        <v>0</v>
      </c>
      <c r="AT23" s="15">
        <f>+IFERROR(VLOOKUP($AT$17,Sheet1!AH5:AK5,3,0),0)</f>
        <v>0</v>
      </c>
      <c r="AU23" s="15">
        <f>+IFERROR(VLOOKUP($AU$17,Sheet1!AH5:AK5,3,0),0)</f>
        <v>0</v>
      </c>
      <c r="AV23" s="69">
        <v>828</v>
      </c>
      <c r="AW23" s="15">
        <f>+IFERROR(VLOOKUP($AW$17,Sheet1!AH5:AK5,3,0),0)</f>
        <v>0</v>
      </c>
      <c r="AX23" s="15">
        <f>+IFERROR(VLOOKUP($AX$17,Sheet1!AH5:AK5,3,0),0)</f>
        <v>0</v>
      </c>
      <c r="AY23" s="15">
        <f>+IFERROR(VLOOKUP($AY$17,Sheet1!AH5:AK5,3,0),0)</f>
        <v>0</v>
      </c>
      <c r="AZ23" s="15">
        <f>+IFERROR(VLOOKUP($AZ$17,Sheet1!AH5:AK5,3,0),0)</f>
        <v>0</v>
      </c>
      <c r="BA23" s="15">
        <f>+IFERROR(VLOOKUP($BA$17,Sheet1!AH5:AK5,3,0),0)</f>
        <v>0</v>
      </c>
      <c r="BB23" s="15">
        <f>+IFERROR(VLOOKUP($BB$17,Sheet1!AH5:AK5,3,0),0)</f>
        <v>0</v>
      </c>
      <c r="BC23" s="15">
        <f>+IFERROR(VLOOKUP($BC$17,Sheet1!AL5:AO5,3,0),0)</f>
        <v>0</v>
      </c>
      <c r="BD23" s="15">
        <f>+IFERROR(VLOOKUP($BD$17,Sheet1!AL5:AO5,3,0),0)</f>
        <v>0</v>
      </c>
      <c r="BE23" s="15">
        <f>+IFERROR(VLOOKUP($BE$17,Sheet1!AL5:AO5,3,0),0)</f>
        <v>0</v>
      </c>
      <c r="BF23" s="69">
        <v>760</v>
      </c>
      <c r="BG23" s="15">
        <f>+IFERROR(VLOOKUP($BG$17,Sheet1!AL5:AO5,3,0),0)</f>
        <v>0</v>
      </c>
      <c r="BH23" s="15">
        <f>+IFERROR(VLOOKUP($BH$17,Sheet1!AL5:AO5,3,0),0)</f>
        <v>0</v>
      </c>
      <c r="BI23" s="15">
        <f>+IFERROR(VLOOKUP($BI$17,Sheet1!AL5:AO5,3,0),0)</f>
        <v>0</v>
      </c>
      <c r="BJ23" s="15">
        <f>+IFERROR(VLOOKUP($BJ$17,Sheet1!AL5:AO5,3,0),0)</f>
        <v>0</v>
      </c>
      <c r="BK23" s="15">
        <f>+IFERROR(VLOOKUP($BK$17,Sheet1!AL5:AO5,3,0),0)</f>
        <v>0</v>
      </c>
      <c r="BL23" s="15">
        <f>+IFERROR(VLOOKUP($BL$17,Sheet1!AL5:AO5,3,0),0)</f>
        <v>0</v>
      </c>
      <c r="BM23" s="15">
        <f>+IFERROR(VLOOKUP($BM$17,Sheet1!AP5:AS5,3,0),0)</f>
        <v>0</v>
      </c>
      <c r="BN23" s="15">
        <f>+IFERROR(VLOOKUP($BN$17,Sheet1!AT5:AW5,3,0),0)</f>
        <v>0</v>
      </c>
      <c r="BO23" s="15">
        <f>+IFERROR(VLOOKUP($BO$17,Sheet1!AX5:BA5,3,0),0)</f>
        <v>0</v>
      </c>
      <c r="BP23" s="69">
        <v>41</v>
      </c>
      <c r="BQ23" s="69">
        <v>26</v>
      </c>
      <c r="BR23" s="15">
        <f>+IFERROR(VLOOKUP($BR$17,Sheet1!BJ5:BM5,3,0),0)</f>
        <v>0</v>
      </c>
      <c r="BS23" s="15">
        <f>+IFERROR(VLOOKUP($BS$17,Sheet1!BN5:BQ5,3,0),0)</f>
        <v>0</v>
      </c>
      <c r="BT23" s="69">
        <v>42</v>
      </c>
      <c r="BU23" s="15">
        <f>+IFERROR(VLOOKUP($BU$17,Sheet1!BV5:BY5,3,0),0)</f>
        <v>0</v>
      </c>
      <c r="BV23" s="69" t="str">
        <f>Sheet1!E5</f>
        <v>STEEL</v>
      </c>
      <c r="BW23" s="15" t="s">
        <v>245</v>
      </c>
      <c r="BX23" s="15" t="s">
        <v>246</v>
      </c>
      <c r="BY23" s="69">
        <f>Sheet1!CX5</f>
        <v>500</v>
      </c>
      <c r="BZ23" s="3">
        <f>20000/0.5</f>
        <v>40000</v>
      </c>
      <c r="CA23" s="3">
        <f>SUMPRODUCT($N$18:$BU$18,N23:BU23)+BZ23</f>
        <v>1080562.8799999999</v>
      </c>
      <c r="CB23" s="26">
        <v>0.01</v>
      </c>
      <c r="CC23" s="3">
        <f>CA23*CB23</f>
        <v>10805.628799999999</v>
      </c>
      <c r="CD23" s="47">
        <v>0.35</v>
      </c>
      <c r="CE23" s="3">
        <f>CA23*CD23</f>
        <v>378197.00799999991</v>
      </c>
      <c r="CF23" s="47">
        <v>0</v>
      </c>
      <c r="CG23" s="3">
        <f>CA23*CF23</f>
        <v>0</v>
      </c>
      <c r="CH23" s="3">
        <f>CA23+CC23+CE23+CG23</f>
        <v>1469565.5167999999</v>
      </c>
      <c r="CI23" s="47">
        <v>0.02</v>
      </c>
      <c r="CJ23" s="1">
        <f>CH23*CI23</f>
        <v>29391.310335999999</v>
      </c>
      <c r="CK23" s="47">
        <v>0.01</v>
      </c>
      <c r="CL23" s="1">
        <f>CH23*CK23</f>
        <v>14695.655167999999</v>
      </c>
    </row>
    <row r="24" spans="1:90" x14ac:dyDescent="0.25">
      <c r="M24" s="72">
        <f>SUM(M19:M23)</f>
        <v>569140466.56738424</v>
      </c>
    </row>
    <row r="26" spans="1:90" ht="60" x14ac:dyDescent="0.25">
      <c r="E26" s="2" t="s">
        <v>219</v>
      </c>
      <c r="F26" s="2" t="s">
        <v>220</v>
      </c>
      <c r="G26" s="61" t="s">
        <v>221</v>
      </c>
      <c r="H26" s="2" t="s">
        <v>222</v>
      </c>
      <c r="I26" s="2" t="s">
        <v>223</v>
      </c>
      <c r="J26" s="2" t="s">
        <v>224</v>
      </c>
      <c r="K26" s="2" t="s">
        <v>225</v>
      </c>
      <c r="L26" s="2" t="s">
        <v>226</v>
      </c>
      <c r="M26" s="62" t="s">
        <v>227</v>
      </c>
      <c r="Y26" s="29" t="s">
        <v>239</v>
      </c>
      <c r="AC26" s="29" t="s">
        <v>240</v>
      </c>
      <c r="AE26" s="29" t="s">
        <v>241</v>
      </c>
      <c r="AK26" s="29" t="s">
        <v>242</v>
      </c>
    </row>
    <row r="27" spans="1:90" ht="30" x14ac:dyDescent="0.25">
      <c r="C27" t="str">
        <f t="shared" ref="C27:D31" si="1">C19</f>
        <v>FA1300083</v>
      </c>
      <c r="D27" s="29" t="str">
        <f t="shared" si="1"/>
        <v>3 CORE X 400 SQ. MM. AL/ARM - WIRE (XLPE) - 11 KV</v>
      </c>
      <c r="E27" s="61">
        <f>K19</f>
        <v>12</v>
      </c>
      <c r="F27" s="63">
        <f>BY19/1000</f>
        <v>0.25</v>
      </c>
      <c r="G27" s="61" t="s">
        <v>228</v>
      </c>
      <c r="H27" s="64">
        <v>63000</v>
      </c>
      <c r="I27" s="63">
        <v>5</v>
      </c>
      <c r="J27" s="61">
        <f>F27*I27</f>
        <v>1.25</v>
      </c>
      <c r="K27" s="61">
        <f>ROUNDUP((E27/J27),0)</f>
        <v>10</v>
      </c>
      <c r="L27" s="61">
        <f>M27*E27</f>
        <v>630000</v>
      </c>
      <c r="M27" s="65">
        <f>(H27*K27)/E27</f>
        <v>52500</v>
      </c>
      <c r="N27" s="29" t="str">
        <f>BW19</f>
        <v>SP0400136</v>
      </c>
      <c r="Y27" s="29">
        <f>SUM(N19:BT19)</f>
        <v>13828</v>
      </c>
      <c r="AC27" s="29">
        <v>470</v>
      </c>
      <c r="AE27" s="29">
        <f>((Y27*F27)+AC27)</f>
        <v>3927</v>
      </c>
      <c r="AK27" s="29">
        <f>I27*AE27</f>
        <v>19635</v>
      </c>
    </row>
    <row r="28" spans="1:90" ht="30" x14ac:dyDescent="0.25">
      <c r="C28" t="str">
        <f t="shared" si="1"/>
        <v>FA1300200</v>
      </c>
      <c r="D28" s="29" t="str">
        <f t="shared" si="1"/>
        <v>3 CORE X 95 SQ. MM. AL/ARM  WIRE (XLPE) - 33 KV</v>
      </c>
      <c r="E28" s="61">
        <f>K20</f>
        <v>2.5</v>
      </c>
      <c r="F28" s="63">
        <f>BY20/1000</f>
        <v>0.25</v>
      </c>
      <c r="G28" s="61" t="s">
        <v>228</v>
      </c>
      <c r="H28" s="64">
        <v>63000</v>
      </c>
      <c r="I28" s="63">
        <v>7</v>
      </c>
      <c r="J28" s="61">
        <f t="shared" ref="J28:J31" si="2">F28*I28</f>
        <v>1.75</v>
      </c>
      <c r="K28" s="61">
        <f t="shared" ref="K28:K31" si="3">ROUNDUP((E28/J28),0)</f>
        <v>2</v>
      </c>
      <c r="L28" s="61">
        <f t="shared" ref="L28:L31" si="4">M28*E28</f>
        <v>126000</v>
      </c>
      <c r="M28" s="65">
        <f t="shared" ref="M28:M31" si="5">(H28*K28)/E28</f>
        <v>50400</v>
      </c>
      <c r="N28" s="29" t="str">
        <f t="shared" ref="N28:N31" si="6">BW20</f>
        <v>SP0400136</v>
      </c>
      <c r="Y28" s="29">
        <f>SUM(N20:BT20)</f>
        <v>10376</v>
      </c>
      <c r="AC28" s="29">
        <v>400</v>
      </c>
      <c r="AE28" s="29">
        <f t="shared" ref="AE28:AE31" si="7">((Y28*F28)+AC28)</f>
        <v>2994</v>
      </c>
      <c r="AK28" s="29">
        <f t="shared" ref="AK28:AK31" si="8">I28*AE28</f>
        <v>20958</v>
      </c>
    </row>
    <row r="29" spans="1:90" ht="30" x14ac:dyDescent="0.25">
      <c r="C29" t="str">
        <f t="shared" si="1"/>
        <v>FA1300080</v>
      </c>
      <c r="D29" s="29" t="str">
        <f t="shared" si="1"/>
        <v>3 CORE X 400 SQ. MM AL/ARM - WIRE (XLPE) - 33 KV</v>
      </c>
      <c r="E29" s="61">
        <f>K21</f>
        <v>17</v>
      </c>
      <c r="F29" s="63">
        <f>BY21/1000</f>
        <v>0.25</v>
      </c>
      <c r="G29" s="61" t="s">
        <v>228</v>
      </c>
      <c r="H29" s="64">
        <v>63000</v>
      </c>
      <c r="I29" s="63">
        <v>4</v>
      </c>
      <c r="J29" s="61">
        <f t="shared" si="2"/>
        <v>1</v>
      </c>
      <c r="K29" s="61">
        <f t="shared" si="3"/>
        <v>17</v>
      </c>
      <c r="L29" s="61">
        <f t="shared" si="4"/>
        <v>1071000</v>
      </c>
      <c r="M29" s="65">
        <f t="shared" si="5"/>
        <v>63000</v>
      </c>
      <c r="N29" s="29" t="str">
        <f t="shared" si="6"/>
        <v>SP0400137</v>
      </c>
      <c r="Y29" s="29">
        <f>SUM(N21:BT21)</f>
        <v>19053</v>
      </c>
      <c r="AC29" s="29">
        <v>500</v>
      </c>
      <c r="AE29" s="29">
        <f t="shared" si="7"/>
        <v>5263.25</v>
      </c>
      <c r="AK29" s="29">
        <f t="shared" si="8"/>
        <v>21053</v>
      </c>
    </row>
    <row r="30" spans="1:90" ht="30" x14ac:dyDescent="0.25">
      <c r="C30" t="str">
        <f t="shared" si="1"/>
        <v>FA1300018</v>
      </c>
      <c r="D30" s="29" t="str">
        <f t="shared" si="1"/>
        <v>1 CORE X 400 SQ. MM. AL/ARM (XLPE) - 33 KV</v>
      </c>
      <c r="E30" s="61">
        <f>K22</f>
        <v>5.22</v>
      </c>
      <c r="F30" s="63">
        <f>BY22/1000</f>
        <v>0.5</v>
      </c>
      <c r="G30" s="61" t="s">
        <v>228</v>
      </c>
      <c r="H30" s="64">
        <v>63000</v>
      </c>
      <c r="I30" s="63">
        <v>8</v>
      </c>
      <c r="J30" s="61">
        <f t="shared" si="2"/>
        <v>4</v>
      </c>
      <c r="K30" s="61">
        <f t="shared" si="3"/>
        <v>2</v>
      </c>
      <c r="L30" s="61">
        <f t="shared" si="4"/>
        <v>126000</v>
      </c>
      <c r="M30" s="65">
        <f t="shared" si="5"/>
        <v>24137.931034482761</v>
      </c>
      <c r="N30" s="29" t="str">
        <f t="shared" si="6"/>
        <v>SP0400126</v>
      </c>
      <c r="Y30" s="29">
        <f>SUM(N22:BT22)</f>
        <v>3775</v>
      </c>
      <c r="AC30" s="29">
        <v>220</v>
      </c>
      <c r="AE30" s="29">
        <f t="shared" si="7"/>
        <v>2107.5</v>
      </c>
      <c r="AK30" s="29">
        <f t="shared" si="8"/>
        <v>16860</v>
      </c>
    </row>
    <row r="31" spans="1:90" ht="30" x14ac:dyDescent="0.25">
      <c r="C31" t="str">
        <f t="shared" si="1"/>
        <v>FA1300027</v>
      </c>
      <c r="D31" s="29" t="str">
        <f t="shared" si="1"/>
        <v>1 CORE X 630 SQ. MM. AL/ARM (XLPE)  - 33 KV</v>
      </c>
      <c r="E31" s="61">
        <f>K23</f>
        <v>238.5</v>
      </c>
      <c r="F31" s="63">
        <f>BY23/1000</f>
        <v>0.5</v>
      </c>
      <c r="G31" s="61" t="s">
        <v>228</v>
      </c>
      <c r="H31" s="64">
        <v>63000</v>
      </c>
      <c r="I31" s="63">
        <v>8</v>
      </c>
      <c r="J31" s="61">
        <f t="shared" si="2"/>
        <v>4</v>
      </c>
      <c r="K31" s="61">
        <f t="shared" si="3"/>
        <v>60</v>
      </c>
      <c r="L31" s="61">
        <f t="shared" si="4"/>
        <v>3780000</v>
      </c>
      <c r="M31" s="65">
        <f t="shared" si="5"/>
        <v>15849.056603773584</v>
      </c>
      <c r="N31" s="29" t="str">
        <f t="shared" si="6"/>
        <v>SP0400118</v>
      </c>
      <c r="Y31" s="29">
        <f>SUM(N23:BT23)</f>
        <v>4968</v>
      </c>
      <c r="AC31" s="29">
        <v>280</v>
      </c>
      <c r="AE31" s="29">
        <f t="shared" si="7"/>
        <v>2764</v>
      </c>
      <c r="AK31" s="29">
        <f t="shared" si="8"/>
        <v>22112</v>
      </c>
    </row>
    <row r="33" spans="1:13" x14ac:dyDescent="0.25">
      <c r="C33" s="61">
        <v>1</v>
      </c>
      <c r="D33" s="70" t="s">
        <v>231</v>
      </c>
    </row>
    <row r="34" spans="1:13" ht="17.25" x14ac:dyDescent="0.25">
      <c r="C34" s="61">
        <v>2</v>
      </c>
      <c r="D34" s="70" t="s">
        <v>232</v>
      </c>
    </row>
    <row r="35" spans="1:13" x14ac:dyDescent="0.25">
      <c r="C35" s="61">
        <v>3</v>
      </c>
      <c r="D35" s="70" t="s">
        <v>233</v>
      </c>
    </row>
    <row r="36" spans="1:13" x14ac:dyDescent="0.25">
      <c r="C36" s="61">
        <v>4</v>
      </c>
      <c r="D36" s="71" t="s">
        <v>234</v>
      </c>
    </row>
    <row r="37" spans="1:13" x14ac:dyDescent="0.25">
      <c r="C37" s="61">
        <v>5</v>
      </c>
      <c r="D37" s="71" t="s">
        <v>235</v>
      </c>
    </row>
    <row r="38" spans="1:13" x14ac:dyDescent="0.25">
      <c r="C38" s="61">
        <v>6</v>
      </c>
      <c r="D38" s="71" t="s">
        <v>236</v>
      </c>
    </row>
    <row r="39" spans="1:13" x14ac:dyDescent="0.25">
      <c r="C39" s="61">
        <v>7</v>
      </c>
      <c r="D39" s="71" t="s">
        <v>237</v>
      </c>
    </row>
    <row r="40" spans="1:13" x14ac:dyDescent="0.25">
      <c r="C40" s="61">
        <v>8</v>
      </c>
      <c r="D40" s="71" t="s">
        <v>238</v>
      </c>
    </row>
    <row r="41" spans="1:13" x14ac:dyDescent="0.25">
      <c r="C41" s="61">
        <v>9</v>
      </c>
      <c r="D41" s="71" t="s">
        <v>230</v>
      </c>
    </row>
    <row r="44" spans="1:13" ht="51" x14ac:dyDescent="0.25">
      <c r="A44" s="22" t="s">
        <v>0</v>
      </c>
      <c r="B44" s="22" t="s">
        <v>99</v>
      </c>
      <c r="C44" s="22" t="s">
        <v>1</v>
      </c>
      <c r="D44" s="22" t="s">
        <v>2</v>
      </c>
      <c r="E44" s="5" t="s">
        <v>247</v>
      </c>
      <c r="F44" s="15" t="s">
        <v>248</v>
      </c>
      <c r="G44" s="15" t="s">
        <v>249</v>
      </c>
      <c r="H44" s="6" t="s">
        <v>37</v>
      </c>
      <c r="I44" s="15" t="s">
        <v>38</v>
      </c>
      <c r="J44" s="15" t="s">
        <v>250</v>
      </c>
      <c r="K44" s="15" t="s">
        <v>40</v>
      </c>
      <c r="L44" s="15" t="s">
        <v>41</v>
      </c>
      <c r="M44" s="15" t="s">
        <v>42</v>
      </c>
    </row>
    <row r="45" spans="1:13" x14ac:dyDescent="0.25">
      <c r="A45" s="30"/>
      <c r="B45" s="30"/>
      <c r="C45" s="30"/>
      <c r="D45" s="30"/>
      <c r="E45" s="5"/>
      <c r="F45" s="5"/>
      <c r="G45" s="5"/>
      <c r="H45" s="5"/>
      <c r="I45" s="5"/>
      <c r="J45" s="5"/>
      <c r="K45" s="5"/>
      <c r="L45" s="5"/>
      <c r="M45" s="5"/>
    </row>
    <row r="46" spans="1:13" ht="30" x14ac:dyDescent="0.25">
      <c r="A46" s="1" t="str">
        <f>A19</f>
        <v>ENQ-14722-22-23</v>
      </c>
      <c r="B46" s="50">
        <f>B19</f>
        <v>45638</v>
      </c>
      <c r="C46" s="1" t="str">
        <f>C19</f>
        <v>FA1300083</v>
      </c>
      <c r="D46" s="1" t="str">
        <f>D19</f>
        <v>3 CORE X 400 SQ. MM. AL/ARM - WIRE (XLPE) - 11 KV</v>
      </c>
      <c r="E46" s="3">
        <f>ROUNDUP(E19/1000,2)</f>
        <v>3040.98</v>
      </c>
      <c r="F46" s="66">
        <f>ROUNDUP(F19/1000,2)</f>
        <v>52.5</v>
      </c>
      <c r="G46" s="73">
        <f>E46+F46</f>
        <v>3093.48</v>
      </c>
      <c r="H46" s="7">
        <f>H19</f>
        <v>0.18</v>
      </c>
      <c r="I46" s="9">
        <f>G46*H46</f>
        <v>556.82640000000004</v>
      </c>
      <c r="J46" s="9">
        <f>G46+I46</f>
        <v>3650.3063999999999</v>
      </c>
      <c r="K46" s="1">
        <f>K19*1000</f>
        <v>12000</v>
      </c>
      <c r="L46" s="1" t="s">
        <v>251</v>
      </c>
      <c r="M46" s="3">
        <f>J46*K46</f>
        <v>43803676.799999997</v>
      </c>
    </row>
    <row r="47" spans="1:13" ht="30" x14ac:dyDescent="0.25">
      <c r="A47" s="1" t="str">
        <f t="shared" ref="A47:D50" si="9">A20</f>
        <v>ENQ-14722-22-23</v>
      </c>
      <c r="B47" s="50">
        <f t="shared" si="9"/>
        <v>45638</v>
      </c>
      <c r="C47" s="1" t="str">
        <f t="shared" si="9"/>
        <v>FA1300200</v>
      </c>
      <c r="D47" s="1" t="str">
        <f t="shared" si="9"/>
        <v>3 CORE X 95 SQ. MM. AL/ARM  WIRE (XLPE) - 33 KV</v>
      </c>
      <c r="E47" s="3">
        <f t="shared" ref="E47:F50" si="10">ROUNDUP(E20/1000,2)</f>
        <v>2062.21</v>
      </c>
      <c r="F47" s="66">
        <f t="shared" si="10"/>
        <v>50.4</v>
      </c>
      <c r="G47" s="73">
        <f>E47+F47</f>
        <v>2112.61</v>
      </c>
      <c r="H47" s="7">
        <f t="shared" ref="H47:H50" si="11">H20</f>
        <v>0.18</v>
      </c>
      <c r="I47" s="9">
        <f>G47*H47</f>
        <v>380.26980000000003</v>
      </c>
      <c r="J47" s="9">
        <f>G47+I47</f>
        <v>2492.8798000000002</v>
      </c>
      <c r="K47" s="1">
        <f t="shared" ref="K47:K50" si="12">K20*1000</f>
        <v>2500</v>
      </c>
      <c r="L47" s="1" t="s">
        <v>251</v>
      </c>
      <c r="M47" s="3">
        <f>J47*K47</f>
        <v>6232199.5</v>
      </c>
    </row>
    <row r="48" spans="1:13" ht="30" x14ac:dyDescent="0.25">
      <c r="A48" s="1" t="str">
        <f t="shared" si="9"/>
        <v>ENQ-14722-22-23</v>
      </c>
      <c r="B48" s="50">
        <f t="shared" si="9"/>
        <v>45638</v>
      </c>
      <c r="C48" s="1" t="str">
        <f t="shared" si="9"/>
        <v>FA1300080</v>
      </c>
      <c r="D48" s="1" t="str">
        <f t="shared" si="9"/>
        <v>3 CORE X 400 SQ. MM AL/ARM - WIRE (XLPE) - 33 KV</v>
      </c>
      <c r="E48" s="3">
        <f t="shared" si="10"/>
        <v>3996.4100000000003</v>
      </c>
      <c r="F48" s="66">
        <f t="shared" si="10"/>
        <v>63</v>
      </c>
      <c r="G48" s="73">
        <f>E48+F48</f>
        <v>4059.4100000000003</v>
      </c>
      <c r="H48" s="7">
        <f t="shared" si="11"/>
        <v>0.18</v>
      </c>
      <c r="I48" s="9">
        <f>G48*H48</f>
        <v>730.69380000000001</v>
      </c>
      <c r="J48" s="9">
        <f>G48+I48</f>
        <v>4790.1038000000008</v>
      </c>
      <c r="K48" s="1">
        <f t="shared" si="12"/>
        <v>17000</v>
      </c>
      <c r="L48" s="1" t="s">
        <v>251</v>
      </c>
      <c r="M48" s="3">
        <f>J48*K48</f>
        <v>81431764.600000009</v>
      </c>
    </row>
    <row r="49" spans="1:13" ht="30" x14ac:dyDescent="0.25">
      <c r="A49" s="1" t="str">
        <f t="shared" si="9"/>
        <v>ENQ-14722-22-23</v>
      </c>
      <c r="B49" s="50">
        <f t="shared" si="9"/>
        <v>45638</v>
      </c>
      <c r="C49" s="1" t="str">
        <f t="shared" si="9"/>
        <v>FA1300018</v>
      </c>
      <c r="D49" s="1" t="str">
        <f t="shared" si="9"/>
        <v>1 CORE X 400 SQ. MM. AL/ARM (XLPE) - 33 KV</v>
      </c>
      <c r="E49" s="3">
        <f t="shared" si="10"/>
        <v>1148.8699999999999</v>
      </c>
      <c r="F49" s="66">
        <f t="shared" si="10"/>
        <v>24.14</v>
      </c>
      <c r="G49" s="73">
        <f>E49+F49</f>
        <v>1173.01</v>
      </c>
      <c r="H49" s="7">
        <f t="shared" si="11"/>
        <v>0.18</v>
      </c>
      <c r="I49" s="9">
        <f>G49*H49</f>
        <v>211.14179999999999</v>
      </c>
      <c r="J49" s="9">
        <f>G49+I49</f>
        <v>1384.1518000000001</v>
      </c>
      <c r="K49" s="1">
        <f t="shared" si="12"/>
        <v>5220</v>
      </c>
      <c r="L49" s="1" t="s">
        <v>251</v>
      </c>
      <c r="M49" s="3">
        <f>J49*K49</f>
        <v>7225272.3960000006</v>
      </c>
    </row>
    <row r="50" spans="1:13" ht="30" x14ac:dyDescent="0.25">
      <c r="A50" s="1" t="str">
        <f t="shared" si="9"/>
        <v>ENQ-14722-22-23</v>
      </c>
      <c r="B50" s="50">
        <f t="shared" si="9"/>
        <v>45638</v>
      </c>
      <c r="C50" s="1" t="str">
        <f t="shared" si="9"/>
        <v>FA1300027</v>
      </c>
      <c r="D50" s="1" t="str">
        <f t="shared" si="9"/>
        <v>1 CORE X 630 SQ. MM. AL/ARM (XLPE)  - 33 KV</v>
      </c>
      <c r="E50" s="3">
        <f t="shared" si="10"/>
        <v>1513.66</v>
      </c>
      <c r="F50" s="66">
        <f t="shared" si="10"/>
        <v>15.85</v>
      </c>
      <c r="G50" s="73">
        <f>E50+F50</f>
        <v>1529.51</v>
      </c>
      <c r="H50" s="7">
        <f t="shared" si="11"/>
        <v>0.18</v>
      </c>
      <c r="I50" s="9">
        <f>G50*H50</f>
        <v>275.31180000000001</v>
      </c>
      <c r="J50" s="9">
        <f>G50+I50</f>
        <v>1804.8217999999999</v>
      </c>
      <c r="K50" s="1">
        <f t="shared" si="12"/>
        <v>238500</v>
      </c>
      <c r="L50" s="1" t="s">
        <v>251</v>
      </c>
      <c r="M50" s="3">
        <f>J50*K50</f>
        <v>430449999.30000001</v>
      </c>
    </row>
    <row r="51" spans="1:13" x14ac:dyDescent="0.25">
      <c r="M51" s="72">
        <f>SUM(M46:M50)</f>
        <v>569142912.59599996</v>
      </c>
    </row>
    <row r="52" spans="1:13" x14ac:dyDescent="0.25">
      <c r="M52" s="74">
        <f>M51-M24</f>
        <v>2446.0286157131195</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pageMargins left="0.7" right="0.7" top="0.75" bottom="0.75" header="0.3" footer="0.3"/>
  <pageSetup scale="25" fitToHeight="0" orientation="landscape"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2024-12-12T09:39:22Z</cp:lastPrinted>
  <dcterms:created xsi:type="dcterms:W3CDTF">2021-04-03T12:13:55Z</dcterms:created>
  <dcterms:modified xsi:type="dcterms:W3CDTF">2024-12-12T10:06:31Z</dcterms:modified>
</cp:coreProperties>
</file>