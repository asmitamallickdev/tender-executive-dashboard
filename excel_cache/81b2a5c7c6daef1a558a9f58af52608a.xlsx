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ing\2025-26\11_NOVEMBER 2025\AEML-44-HTCABLE-17670\"/>
    </mc:Choice>
  </mc:AlternateContent>
  <xr:revisionPtr revIDLastSave="0" documentId="13_ncr:1_{C2555827-907B-4D25-AA54-039F109D41AA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eet1" sheetId="1" state="hidden" r:id="rId1"/>
    <sheet name="AUTO CALCULATION SHEET (2)" sheetId="4" r:id="rId2"/>
    <sheet name="PV AUTO CALCULATION" sheetId="6" r:id="rId3"/>
    <sheet name="terms" sheetId="5" state="hidden" r:id="rId4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6" i="4" l="1"/>
  <c r="X48" i="4"/>
  <c r="G46" i="4"/>
  <c r="G48" i="4"/>
  <c r="CK23" i="4"/>
  <c r="W13" i="6"/>
  <c r="W15" i="6"/>
  <c r="K46" i="4"/>
  <c r="K47" i="4"/>
  <c r="K48" i="4"/>
  <c r="K49" i="4"/>
  <c r="K45" i="4"/>
  <c r="H46" i="4"/>
  <c r="H47" i="4"/>
  <c r="H48" i="4"/>
  <c r="H49" i="4"/>
  <c r="H45" i="4"/>
  <c r="F46" i="4"/>
  <c r="F47" i="4"/>
  <c r="F48" i="4"/>
  <c r="F45" i="4"/>
  <c r="E46" i="4"/>
  <c r="E48" i="4"/>
  <c r="D46" i="4"/>
  <c r="D47" i="4"/>
  <c r="D48" i="4"/>
  <c r="D49" i="4"/>
  <c r="D45" i="4"/>
  <c r="C46" i="4"/>
  <c r="C47" i="4"/>
  <c r="C48" i="4"/>
  <c r="C49" i="4"/>
  <c r="C45" i="4"/>
  <c r="B46" i="4"/>
  <c r="B47" i="4"/>
  <c r="B48" i="4"/>
  <c r="B49" i="4"/>
  <c r="B45" i="4"/>
  <c r="A46" i="4"/>
  <c r="A47" i="4"/>
  <c r="A48" i="4"/>
  <c r="A49" i="4"/>
  <c r="A45" i="4"/>
  <c r="BT18" i="4"/>
  <c r="F20" i="4"/>
  <c r="F21" i="4"/>
  <c r="F22" i="4"/>
  <c r="F19" i="4"/>
  <c r="AO10" i="6"/>
  <c r="AU13" i="6"/>
  <c r="AU14" i="6"/>
  <c r="AU15" i="6"/>
  <c r="AU16" i="6"/>
  <c r="AU12" i="6"/>
  <c r="AS13" i="6"/>
  <c r="AS14" i="6"/>
  <c r="AS15" i="6"/>
  <c r="AS16" i="6"/>
  <c r="AS12" i="6"/>
  <c r="AR13" i="6"/>
  <c r="AR14" i="6"/>
  <c r="AR15" i="6"/>
  <c r="AR16" i="6"/>
  <c r="AR12" i="6"/>
  <c r="AQ13" i="6"/>
  <c r="AQ14" i="6"/>
  <c r="AQ15" i="6"/>
  <c r="AQ16" i="6"/>
  <c r="AQ12" i="6"/>
  <c r="AP13" i="6"/>
  <c r="AP14" i="6"/>
  <c r="AP15" i="6"/>
  <c r="AP16" i="6"/>
  <c r="AP12" i="6"/>
  <c r="AO13" i="6"/>
  <c r="AO14" i="6"/>
  <c r="AO15" i="6"/>
  <c r="AO16" i="6"/>
  <c r="AO12" i="6"/>
  <c r="AN13" i="6"/>
  <c r="AN14" i="6"/>
  <c r="AN15" i="6"/>
  <c r="AN16" i="6"/>
  <c r="AN12" i="6"/>
  <c r="AM13" i="6"/>
  <c r="AM14" i="6"/>
  <c r="AM15" i="6"/>
  <c r="AM16" i="6"/>
  <c r="AM12" i="6"/>
  <c r="AL13" i="6"/>
  <c r="AL14" i="6"/>
  <c r="AL15" i="6"/>
  <c r="AL16" i="6"/>
  <c r="AL12" i="6"/>
  <c r="AK13" i="6"/>
  <c r="AK14" i="6"/>
  <c r="AK15" i="6"/>
  <c r="AK16" i="6"/>
  <c r="AK12" i="6"/>
  <c r="AJ13" i="6"/>
  <c r="AJ14" i="6"/>
  <c r="AJ15" i="6"/>
  <c r="AJ16" i="6"/>
  <c r="AJ12" i="6"/>
  <c r="AI13" i="6"/>
  <c r="AI14" i="6"/>
  <c r="AI15" i="6"/>
  <c r="AI16" i="6"/>
  <c r="AI12" i="6"/>
  <c r="AH13" i="6"/>
  <c r="AH14" i="6"/>
  <c r="AH15" i="6"/>
  <c r="AH16" i="6"/>
  <c r="AH12" i="6"/>
  <c r="AG13" i="6"/>
  <c r="AG14" i="6"/>
  <c r="AG15" i="6"/>
  <c r="AG16" i="6"/>
  <c r="AG12" i="6"/>
  <c r="AF13" i="6"/>
  <c r="AF14" i="6"/>
  <c r="AF15" i="6"/>
  <c r="AT15" i="6" s="1"/>
  <c r="AV15" i="6" s="1"/>
  <c r="AF16" i="6"/>
  <c r="AF12" i="6"/>
  <c r="AT12" i="6" s="1"/>
  <c r="AV12" i="6" s="1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C16" i="6"/>
  <c r="AC15" i="6"/>
  <c r="AC14" i="6"/>
  <c r="AC13" i="6"/>
  <c r="AC12" i="6"/>
  <c r="AB16" i="6"/>
  <c r="AB15" i="6"/>
  <c r="AB14" i="6"/>
  <c r="AB13" i="6"/>
  <c r="AB12" i="6"/>
  <c r="AA16" i="6"/>
  <c r="AA15" i="6"/>
  <c r="AA13" i="6"/>
  <c r="Z16" i="6"/>
  <c r="Z15" i="6"/>
  <c r="Z14" i="6"/>
  <c r="Z13" i="6"/>
  <c r="Z12" i="6"/>
  <c r="Y16" i="6"/>
  <c r="Y15" i="6"/>
  <c r="Y14" i="6"/>
  <c r="Y13" i="6"/>
  <c r="Y12" i="6"/>
  <c r="X16" i="6"/>
  <c r="AD16" i="6" s="1"/>
  <c r="X15" i="6"/>
  <c r="AD15" i="6" s="1"/>
  <c r="X14" i="6"/>
  <c r="X13" i="6"/>
  <c r="AD13" i="6" s="1"/>
  <c r="X12" i="6"/>
  <c r="AD12" i="6" s="1"/>
  <c r="S14" i="6"/>
  <c r="AA14" i="6" s="1"/>
  <c r="S12" i="6"/>
  <c r="AA12" i="6" s="1"/>
  <c r="A13" i="6"/>
  <c r="A14" i="6"/>
  <c r="A15" i="6"/>
  <c r="A16" i="6"/>
  <c r="A12" i="6"/>
  <c r="AT13" i="6"/>
  <c r="AV13" i="6" s="1"/>
  <c r="I46" i="4" l="1"/>
  <c r="J46" i="4" s="1"/>
  <c r="M46" i="4" s="1"/>
  <c r="I48" i="4"/>
  <c r="J48" i="4" s="1"/>
  <c r="M48" i="4" s="1"/>
  <c r="AD14" i="6"/>
  <c r="AT16" i="6"/>
  <c r="AV16" i="6" s="1"/>
  <c r="AT14" i="6"/>
  <c r="AV14" i="6" s="1"/>
  <c r="CK22" i="4"/>
  <c r="CK21" i="4"/>
  <c r="CK20" i="4"/>
  <c r="CK19" i="4"/>
  <c r="N29" i="4" l="1"/>
  <c r="N30" i="4"/>
  <c r="N31" i="4"/>
  <c r="N32" i="4"/>
  <c r="N28" i="4"/>
  <c r="F29" i="4"/>
  <c r="J29" i="4" s="1"/>
  <c r="F30" i="4"/>
  <c r="J30" i="4" s="1"/>
  <c r="F31" i="4"/>
  <c r="J31" i="4" s="1"/>
  <c r="F32" i="4"/>
  <c r="J32" i="4" s="1"/>
  <c r="CX22" i="4" l="1"/>
  <c r="CM22" i="4"/>
  <c r="CG22" i="4"/>
  <c r="CF22" i="4"/>
  <c r="CD22" i="4"/>
  <c r="CC22" i="4"/>
  <c r="CB22" i="4"/>
  <c r="BY22" i="4"/>
  <c r="BX22" i="4"/>
  <c r="BW22" i="4"/>
  <c r="BV22" i="4"/>
  <c r="BU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C22" i="4"/>
  <c r="BB22" i="4"/>
  <c r="BA22" i="4"/>
  <c r="AZ22" i="4"/>
  <c r="AY22" i="4"/>
  <c r="AW22" i="4"/>
  <c r="AV22" i="4"/>
  <c r="AU22" i="4"/>
  <c r="AT22" i="4"/>
  <c r="AS22" i="4"/>
  <c r="AR22" i="4"/>
  <c r="AP22" i="4"/>
  <c r="AO22" i="4"/>
  <c r="AN22" i="4"/>
  <c r="AM22" i="4"/>
  <c r="AL22" i="4"/>
  <c r="AK22" i="4"/>
  <c r="AI22" i="4"/>
  <c r="AH22" i="4"/>
  <c r="AF22" i="4"/>
  <c r="AE22" i="4"/>
  <c r="AD22" i="4"/>
  <c r="AC22" i="4"/>
  <c r="AB22" i="4"/>
  <c r="AA22" i="4"/>
  <c r="Z22" i="4"/>
  <c r="Y22" i="4"/>
  <c r="W22" i="4"/>
  <c r="V22" i="4"/>
  <c r="U22" i="4"/>
  <c r="T22" i="4"/>
  <c r="S22" i="4"/>
  <c r="R22" i="4"/>
  <c r="Q22" i="4"/>
  <c r="P22" i="4"/>
  <c r="O22" i="4"/>
  <c r="N22" i="4"/>
  <c r="L22" i="4"/>
  <c r="K22" i="4"/>
  <c r="E31" i="4" s="1"/>
  <c r="K31" i="4" s="1"/>
  <c r="L31" i="4" s="1"/>
  <c r="M31" i="4" s="1"/>
  <c r="H22" i="4"/>
  <c r="D22" i="4"/>
  <c r="D31" i="4" s="1"/>
  <c r="C22" i="4"/>
  <c r="A22" i="4"/>
  <c r="CX23" i="4"/>
  <c r="CM23" i="4"/>
  <c r="CF23" i="4"/>
  <c r="CD23" i="4"/>
  <c r="CC23" i="4"/>
  <c r="CB23" i="4"/>
  <c r="BY23" i="4"/>
  <c r="BW23" i="4"/>
  <c r="BV23" i="4"/>
  <c r="BU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F23" i="4"/>
  <c r="BE23" i="4"/>
  <c r="BD23" i="4"/>
  <c r="BC23" i="4"/>
  <c r="BB23" i="4"/>
  <c r="BA23" i="4"/>
  <c r="AZ23" i="4"/>
  <c r="AY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I23" i="4"/>
  <c r="AH23" i="4"/>
  <c r="AF23" i="4"/>
  <c r="AE23" i="4"/>
  <c r="AD23" i="4"/>
  <c r="AC23" i="4"/>
  <c r="AB23" i="4"/>
  <c r="AA23" i="4"/>
  <c r="Z23" i="4"/>
  <c r="Y23" i="4"/>
  <c r="W23" i="4"/>
  <c r="V23" i="4"/>
  <c r="U23" i="4"/>
  <c r="T23" i="4"/>
  <c r="S23" i="4"/>
  <c r="R23" i="4"/>
  <c r="Q23" i="4"/>
  <c r="P23" i="4"/>
  <c r="O23" i="4"/>
  <c r="N23" i="4"/>
  <c r="L23" i="4"/>
  <c r="K23" i="4"/>
  <c r="E32" i="4" s="1"/>
  <c r="K32" i="4" s="1"/>
  <c r="L32" i="4" s="1"/>
  <c r="M32" i="4" s="1"/>
  <c r="F23" i="4" s="1"/>
  <c r="F49" i="4" s="1"/>
  <c r="H23" i="4"/>
  <c r="D23" i="4"/>
  <c r="D32" i="4" s="1"/>
  <c r="C23" i="4"/>
  <c r="A23" i="4"/>
  <c r="CX20" i="4"/>
  <c r="CM20" i="4"/>
  <c r="CF20" i="4"/>
  <c r="CD20" i="4"/>
  <c r="CC20" i="4"/>
  <c r="CB20" i="4"/>
  <c r="BY20" i="4"/>
  <c r="BX20" i="4"/>
  <c r="BW20" i="4"/>
  <c r="BV20" i="4"/>
  <c r="BU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C20" i="4"/>
  <c r="BB20" i="4"/>
  <c r="BA20" i="4"/>
  <c r="AZ20" i="4"/>
  <c r="AY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I20" i="4"/>
  <c r="AH20" i="4"/>
  <c r="AF20" i="4"/>
  <c r="AE20" i="4"/>
  <c r="AD20" i="4"/>
  <c r="AC20" i="4"/>
  <c r="AB20" i="4"/>
  <c r="AA20" i="4"/>
  <c r="Z20" i="4"/>
  <c r="Y20" i="4"/>
  <c r="W20" i="4"/>
  <c r="V20" i="4"/>
  <c r="U20" i="4"/>
  <c r="T20" i="4"/>
  <c r="S20" i="4"/>
  <c r="R20" i="4"/>
  <c r="Q20" i="4"/>
  <c r="P20" i="4"/>
  <c r="O20" i="4"/>
  <c r="L20" i="4"/>
  <c r="K20" i="4"/>
  <c r="E29" i="4" s="1"/>
  <c r="K29" i="4" s="1"/>
  <c r="L29" i="4" s="1"/>
  <c r="M29" i="4" s="1"/>
  <c r="H20" i="4"/>
  <c r="D20" i="4"/>
  <c r="D29" i="4" s="1"/>
  <c r="C20" i="4"/>
  <c r="A20" i="4"/>
  <c r="CX21" i="4"/>
  <c r="CM21" i="4"/>
  <c r="CG21" i="4"/>
  <c r="CF21" i="4"/>
  <c r="CD21" i="4"/>
  <c r="CC21" i="4"/>
  <c r="CB21" i="4"/>
  <c r="BY21" i="4"/>
  <c r="BW21" i="4"/>
  <c r="BV21" i="4"/>
  <c r="BU21" i="4"/>
  <c r="BT21" i="4"/>
  <c r="BS21" i="4"/>
  <c r="BQ21" i="4"/>
  <c r="BP21" i="4"/>
  <c r="BO21" i="4"/>
  <c r="BN21" i="4"/>
  <c r="BM21" i="4"/>
  <c r="BL21" i="4"/>
  <c r="BK21" i="4"/>
  <c r="BJ21" i="4"/>
  <c r="BI21" i="4"/>
  <c r="BH21" i="4"/>
  <c r="BF21" i="4"/>
  <c r="BE21" i="4"/>
  <c r="BD21" i="4"/>
  <c r="BC21" i="4"/>
  <c r="BB21" i="4"/>
  <c r="BA21" i="4"/>
  <c r="AZ21" i="4"/>
  <c r="AY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I21" i="4"/>
  <c r="AH21" i="4"/>
  <c r="AF21" i="4"/>
  <c r="AE21" i="4"/>
  <c r="AD21" i="4"/>
  <c r="AC21" i="4"/>
  <c r="AB21" i="4"/>
  <c r="AA21" i="4"/>
  <c r="Z21" i="4"/>
  <c r="Y21" i="4"/>
  <c r="W21" i="4"/>
  <c r="V21" i="4"/>
  <c r="U21" i="4"/>
  <c r="T21" i="4"/>
  <c r="S21" i="4"/>
  <c r="R21" i="4"/>
  <c r="Q21" i="4"/>
  <c r="P21" i="4"/>
  <c r="O21" i="4"/>
  <c r="N21" i="4"/>
  <c r="L21" i="4"/>
  <c r="K21" i="4"/>
  <c r="E30" i="4" s="1"/>
  <c r="K30" i="4" s="1"/>
  <c r="L30" i="4" s="1"/>
  <c r="M30" i="4" s="1"/>
  <c r="H21" i="4"/>
  <c r="D21" i="4"/>
  <c r="D30" i="4" s="1"/>
  <c r="C21" i="4"/>
  <c r="A21" i="4"/>
  <c r="S19" i="4"/>
  <c r="S18" i="4"/>
  <c r="R19" i="4"/>
  <c r="R18" i="4"/>
  <c r="AT19" i="4"/>
  <c r="AT18" i="4"/>
  <c r="Q19" i="4"/>
  <c r="Q18" i="4"/>
  <c r="BU19" i="4"/>
  <c r="BU18" i="4"/>
  <c r="AY19" i="4"/>
  <c r="AY18" i="4"/>
  <c r="F28" i="4"/>
  <c r="L19" i="4"/>
  <c r="K19" i="4"/>
  <c r="E28" i="4" s="1"/>
  <c r="H19" i="4"/>
  <c r="CX19" i="4"/>
  <c r="X30" i="4" l="1"/>
  <c r="AJ30" i="4" s="1"/>
  <c r="AQ30" i="4" s="1"/>
  <c r="X29" i="4"/>
  <c r="AJ29" i="4" s="1"/>
  <c r="AQ29" i="4" s="1"/>
  <c r="X32" i="4"/>
  <c r="AJ32" i="4" s="1"/>
  <c r="AQ32" i="4" s="1"/>
  <c r="X31" i="4"/>
  <c r="AJ31" i="4" s="1"/>
  <c r="AQ31" i="4" s="1"/>
  <c r="J28" i="4"/>
  <c r="K28" i="4" s="1"/>
  <c r="L28" i="4" s="1"/>
  <c r="M28" i="4" s="1"/>
  <c r="BP19" i="4" l="1"/>
  <c r="BP18" i="4"/>
  <c r="BE19" i="4" l="1"/>
  <c r="BE18" i="4"/>
  <c r="AN19" i="4" l="1"/>
  <c r="AN18" i="4"/>
  <c r="AM19" i="4"/>
  <c r="AM18" i="4"/>
  <c r="AO19" i="4"/>
  <c r="AO18" i="4"/>
  <c r="CG19" i="4" l="1"/>
  <c r="CM19" i="4" l="1"/>
  <c r="A19" i="4" l="1"/>
  <c r="W18" i="4" l="1"/>
  <c r="V18" i="4"/>
  <c r="AE19" i="4" l="1"/>
  <c r="AD19" i="4"/>
  <c r="AC19" i="4"/>
  <c r="AB19" i="4"/>
  <c r="AA19" i="4"/>
  <c r="Z19" i="4"/>
  <c r="Y19" i="4"/>
  <c r="W19" i="4"/>
  <c r="V19" i="4"/>
  <c r="CF19" i="4"/>
  <c r="CD19" i="4"/>
  <c r="CC19" i="4"/>
  <c r="CB19" i="4"/>
  <c r="BY19" i="4"/>
  <c r="CD18" i="4"/>
  <c r="CF18" i="4"/>
  <c r="CC18" i="4"/>
  <c r="CB18" i="4"/>
  <c r="BY18" i="4"/>
  <c r="BW19" i="4"/>
  <c r="BV19" i="4"/>
  <c r="BT19" i="4"/>
  <c r="BS19" i="4"/>
  <c r="BQ19" i="4"/>
  <c r="BO19" i="4"/>
  <c r="BN19" i="4"/>
  <c r="BM19" i="4"/>
  <c r="BL19" i="4"/>
  <c r="BW18" i="4"/>
  <c r="BV18" i="4"/>
  <c r="BS18" i="4"/>
  <c r="BQ18" i="4"/>
  <c r="BO18" i="4"/>
  <c r="BN18" i="4"/>
  <c r="BM18" i="4"/>
  <c r="BL18" i="4"/>
  <c r="BK19" i="4"/>
  <c r="BJ19" i="4"/>
  <c r="BI19" i="4"/>
  <c r="BH19" i="4"/>
  <c r="BF19" i="4"/>
  <c r="BD19" i="4"/>
  <c r="BC19" i="4"/>
  <c r="BB19" i="4"/>
  <c r="BA19" i="4"/>
  <c r="BK18" i="4"/>
  <c r="BJ18" i="4"/>
  <c r="BI18" i="4"/>
  <c r="BH18" i="4"/>
  <c r="BF18" i="4"/>
  <c r="BC18" i="4"/>
  <c r="BB18" i="4"/>
  <c r="BA18" i="4"/>
  <c r="AZ18" i="4"/>
  <c r="AZ19" i="4"/>
  <c r="AW19" i="4"/>
  <c r="AV19" i="4"/>
  <c r="AU19" i="4"/>
  <c r="AS19" i="4"/>
  <c r="AR19" i="4"/>
  <c r="AW18" i="4"/>
  <c r="AV18" i="4"/>
  <c r="AU18" i="4"/>
  <c r="AS18" i="4"/>
  <c r="AR18" i="4"/>
  <c r="AQ19" i="4"/>
  <c r="AP19" i="4"/>
  <c r="AL19" i="4"/>
  <c r="AK19" i="4"/>
  <c r="AI19" i="4"/>
  <c r="AH19" i="4"/>
  <c r="AP18" i="4"/>
  <c r="AL18" i="4"/>
  <c r="AK18" i="4"/>
  <c r="AH18" i="4"/>
  <c r="AI18" i="4"/>
  <c r="AF19" i="4"/>
  <c r="AF18" i="4"/>
  <c r="AE18" i="4" l="1"/>
  <c r="AD18" i="4"/>
  <c r="AC18" i="4"/>
  <c r="AB18" i="4"/>
  <c r="AA18" i="4"/>
  <c r="Z18" i="4"/>
  <c r="Y18" i="4"/>
  <c r="U18" i="4" l="1"/>
  <c r="T18" i="4"/>
  <c r="P18" i="4"/>
  <c r="O18" i="4"/>
  <c r="N19" i="4"/>
  <c r="U19" i="4"/>
  <c r="T19" i="4"/>
  <c r="P19" i="4"/>
  <c r="O19" i="4"/>
  <c r="D19" i="4"/>
  <c r="D28" i="4" s="1"/>
  <c r="C19" i="4"/>
  <c r="X28" i="4" l="1"/>
  <c r="AJ28" i="4" s="1"/>
  <c r="AQ28" i="4" s="1"/>
  <c r="CL23" i="4"/>
  <c r="CL22" i="4"/>
  <c r="CL21" i="4"/>
  <c r="CL20" i="4"/>
  <c r="CL19" i="4"/>
  <c r="CN23" i="4" l="1"/>
  <c r="CR23" i="4"/>
  <c r="CP23" i="4"/>
  <c r="CN22" i="4"/>
  <c r="CP22" i="4"/>
  <c r="CR22" i="4"/>
  <c r="CN20" i="4"/>
  <c r="CR20" i="4"/>
  <c r="CP20" i="4"/>
  <c r="CP21" i="4"/>
  <c r="CN21" i="4"/>
  <c r="CR21" i="4"/>
  <c r="CN19" i="4"/>
  <c r="CP19" i="4"/>
  <c r="CR19" i="4"/>
  <c r="CS23" i="4" l="1"/>
  <c r="CY23" i="4" s="1"/>
  <c r="CS22" i="4"/>
  <c r="CW22" i="4" s="1"/>
  <c r="CW23" i="4"/>
  <c r="CS20" i="4"/>
  <c r="CY20" i="4" s="1"/>
  <c r="CS21" i="4"/>
  <c r="CY21" i="4" s="1"/>
  <c r="CS19" i="4"/>
  <c r="CU23" i="4" l="1"/>
  <c r="E23" i="4" s="1"/>
  <c r="CY22" i="4"/>
  <c r="CU22" i="4"/>
  <c r="CW20" i="4"/>
  <c r="CW21" i="4"/>
  <c r="CU20" i="4"/>
  <c r="CU21" i="4"/>
  <c r="CY19" i="4"/>
  <c r="CU19" i="4"/>
  <c r="CW19" i="4"/>
  <c r="E49" i="4" l="1"/>
  <c r="G49" i="4" s="1"/>
  <c r="X49" i="4" s="1"/>
  <c r="E22" i="4"/>
  <c r="G23" i="4"/>
  <c r="I23" i="4" s="1"/>
  <c r="J23" i="4" s="1"/>
  <c r="M23" i="4" s="1"/>
  <c r="E21" i="4"/>
  <c r="E20" i="4"/>
  <c r="AE13" i="6" s="1"/>
  <c r="AW13" i="6" s="1"/>
  <c r="AX13" i="6" s="1"/>
  <c r="BB13" i="6" s="1"/>
  <c r="E19" i="4"/>
  <c r="E45" i="4" s="1"/>
  <c r="E47" i="4" l="1"/>
  <c r="W12" i="6"/>
  <c r="G45" i="4"/>
  <c r="W16" i="6"/>
  <c r="AE16" i="6" s="1"/>
  <c r="AW16" i="6" s="1"/>
  <c r="AX16" i="6" s="1"/>
  <c r="BB16" i="6" s="1"/>
  <c r="I49" i="4"/>
  <c r="J49" i="4" s="1"/>
  <c r="M49" i="4" s="1"/>
  <c r="G19" i="4"/>
  <c r="AE12" i="6"/>
  <c r="AW12" i="6" s="1"/>
  <c r="AX12" i="6" s="1"/>
  <c r="BB12" i="6" s="1"/>
  <c r="G22" i="4"/>
  <c r="I22" i="4" s="1"/>
  <c r="J22" i="4" s="1"/>
  <c r="M22" i="4" s="1"/>
  <c r="AE15" i="6"/>
  <c r="AW15" i="6" s="1"/>
  <c r="AX15" i="6" s="1"/>
  <c r="BB15" i="6" s="1"/>
  <c r="G21" i="4"/>
  <c r="I21" i="4" s="1"/>
  <c r="J21" i="4" s="1"/>
  <c r="M21" i="4" s="1"/>
  <c r="G20" i="4"/>
  <c r="I20" i="4" s="1"/>
  <c r="J20" i="4" s="1"/>
  <c r="M20" i="4" s="1"/>
  <c r="I19" i="4"/>
  <c r="J19" i="4" s="1"/>
  <c r="M19" i="4" s="1"/>
  <c r="M24" i="4" s="1"/>
  <c r="W14" i="6" l="1"/>
  <c r="AE14" i="6" s="1"/>
  <c r="AW14" i="6" s="1"/>
  <c r="AX14" i="6" s="1"/>
  <c r="BB14" i="6" s="1"/>
  <c r="G47" i="4"/>
  <c r="X45" i="4"/>
  <c r="I45" i="4"/>
  <c r="J45" i="4" s="1"/>
  <c r="M45" i="4" s="1"/>
  <c r="X47" i="4" l="1"/>
  <c r="I47" i="4"/>
  <c r="J47" i="4" s="1"/>
  <c r="M47" i="4" s="1"/>
  <c r="M50" i="4" s="1"/>
  <c r="M51" i="4" s="1"/>
  <c r="X5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7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<sst xmlns="http://schemas.openxmlformats.org/spreadsheetml/2006/main" count="477" uniqueCount="342">
  <si>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</si>
  <si>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</si>
  <si>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</si>
  <si>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</si>
  <si>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</si>
  <si>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</si>
  <si>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</si>
  <si>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</si>
  <si>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</si>
  <si>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</si>
  <si>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</si>
  <si>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</si>
  <si>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</si>
  <si>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</si>
  <si>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</si>
  <si>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</si>
  <si>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</si>
  <si>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</si>
  <si>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</si>
  <si>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</si>
  <si>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</si>
  <si>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</si>
  <si>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</si>
  <si>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</si>
  <si>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</si>
  <si>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</si>
  <si>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</si>
  <si>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</si>
  <si>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</si>
  <si>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</si>
  <si>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</si>
  <si>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</si>
  <si>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</si>
  <si>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</si>
  <si>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</si>
  <si>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</si>
  <si>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</si>
  <si>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</si>
  <si>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</si>
  <si>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</si>
  <si>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</si>
  <si>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</si>
  <si>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</si>
  <si>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</si>
  <si>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</si>
  <si>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</si>
  <si>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</si>
  <si>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</si>
  <si>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</si>
  <si>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</si>
  <si>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</si>
  <si>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</si>
  <si>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</si>
  <si>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</si>
  <si>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</si>
  <si>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</si>
  <si>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</si>
  <si>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</si>
  <si>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</si>
  <si>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</si>
  <si>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</si>
  <si>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</si>
  <si>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</si>
  <si>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</si>
  <si>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</si>
  <si>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</si>
  <si>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</si>
  <si>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</si>
  <si>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</si>
  <si>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</si>
  <si>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</si>
  <si>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</si>
  <si>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</si>
  <si>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</si>
  <si>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</si>
  <si>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</si>
  <si>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</si>
  <si>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</si>
  <si>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</si>
  <si>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</si>
  <si>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</si>
  <si>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</si>
  <si>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</si>
  <si>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</si>
  <si>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</si>
  <si>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</si>
  <si>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</si>
  <si>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</si>
  <si>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</si>
  <si>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</si>
  <si>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</si>
  <si>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</si>
  <si>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</si>
  <si>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</si>
  <si>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</si>
  <si>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</si>
  <si>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</si>
  <si>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</si>
  <si>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</si>
  <si>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</si>
  <si>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</si>
  <si>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</si>
  <si>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</si>
  <si>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</si>
  <si>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</si>
  <si>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</si>
  <si>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</si>
  <si>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</si>
  <si>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</si>
  <si>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</si>
  <si>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</si>
  <si>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</si>
  <si>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</si>
  <si>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</si>
  <si>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</si>
  <si>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</si>
  <si>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</si>
  <si>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</si>
  <si>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</si>
  <si>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</si>
  <si>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</si>
  <si>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</si>
  <si>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</si>
  <si>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</si>
  <si>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</si>
  <si>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</si>
  <si>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</si>
  <si>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</si>
  <si>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</si>
  <si>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</si>
  <si>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</si>
  <si>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</si>
  <si>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</si>
  <si>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</si>
  <si>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</si>
  <si>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</si>
  <si>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</si>
  <si>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</si>
  <si>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</si>
  <si>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</si>
  <si>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</si>
  <si>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</si>
  <si>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</si>
  <si>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</si>
  <si>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</si>
  <si>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</si>
  <si>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</si>
  <si>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</si>
  <si>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</si>
  <si>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</si>
  <si>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</si>
  <si>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</si>
  <si>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</si>
  <si>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</si>
  <si>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</si>
  <si>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</si>
  <si>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</si>
  <si>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</si>
  <si>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</si>
  <si>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</si>
  <si>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</si>
  <si>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</si>
  <si>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</si>
  <si>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</si>
  <si>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</si>
  <si>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</si>
  <si>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</si>
  <si>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</si>
  <si>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</si>
  <si>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</si>
  <si>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</si>
  <si>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</si>
  <si>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</si>
  <si>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</si>
  <si>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</si>
  <si>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</si>
  <si>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</si>
  <si>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</si>
  <si>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</si>
  <si>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</si>
  <si>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</si>
  <si>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</si>
  <si>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</si>
  <si>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</si>
  <si>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</si>
  <si>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</si>
  <si>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</si>
  <si>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</si>
  <si>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</si>
  <si>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</si>
  <si>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</si>
  <si>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</si>
  <si>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</si>
  <si>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</si>
  <si>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</si>
  <si>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</si>
  <si>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</si>
  <si>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</si>
  <si>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</si>
  <si>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</si>
  <si>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</si>
  <si>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</si>
  <si>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</si>
  <si>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</si>
  <si>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</si>
  <si>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</si>
  <si>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</si>
  <si>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</si>
  <si>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</si>
  <si>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</si>
  <si>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</si>
  <si>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</si>
  <si>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</si>
  <si>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</si>
  <si>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</si>
  <si>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</si>
  <si>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</si>
  <si>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</si>
  <si>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</si>
  <si>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ENQ-17670-25-26</t>
  </si>
  <si>
    <t>FA1300010</t>
  </si>
  <si>
    <t>3 CORE X 400 SQ. MM. AL/ARM - STRIP (XLPE) - 33 KV</t>
  </si>
  <si>
    <t>STEEL</t>
  </si>
  <si>
    <t>Copper Tape -50X0.10</t>
  </si>
  <si>
    <t>Polypropylene Filler</t>
  </si>
  <si>
    <t>KMS</t>
  </si>
  <si>
    <t>SP0400105</t>
  </si>
  <si>
    <t>CORRUGATED DISPATCH STEEL DRUM 2500 X 1500 X 1400</t>
  </si>
  <si>
    <t>FA1300017</t>
  </si>
  <si>
    <t>3 CORE X 400 SQ. MM. AL/ARM - STRIP (XLPE) - 11 KV</t>
  </si>
  <si>
    <t>SP0400136</t>
  </si>
  <si>
    <t>CORRUGATED DISPATCH STEEL DRUM 2200 X 1300 X 1200 MM</t>
  </si>
  <si>
    <t>FA1300027</t>
  </si>
  <si>
    <t>1 CORE X 630 SQ. MM. AL/ARM (XLPE)  - 33 KV</t>
  </si>
  <si>
    <t>FA1300052</t>
  </si>
  <si>
    <t>3 CORE X 150 SQ. MM. AL/ARM - STRIP (XLPE) - 11 KV</t>
  </si>
  <si>
    <t>WOOD</t>
  </si>
  <si>
    <t>MD0100022</t>
  </si>
  <si>
    <t>DRUM - 64 X 23 X 36 X 3</t>
  </si>
  <si>
    <t>FA1300066</t>
  </si>
  <si>
    <t>1 CORE X 1000 SQ. MM. AL/ARM (XLPE) - 11 KV</t>
  </si>
  <si>
    <t>SP0400107</t>
  </si>
  <si>
    <t>CORRUGATED DISPATCH STEEL DRUM 2150 X 1080 X 1240 MM</t>
  </si>
  <si>
    <t>Coper tape -50X 0.1 mm</t>
  </si>
  <si>
    <t>PVC Type ST-2 WITH ATR</t>
  </si>
  <si>
    <t>PP FILLER</t>
  </si>
  <si>
    <t>NCWBT</t>
  </si>
  <si>
    <t>SP0400123</t>
  </si>
  <si>
    <t>CORRUGATED DISPATCH STEEL DRUM 2000 X 1000 X 1200 MM</t>
  </si>
  <si>
    <t>CABLE WEIGHT KG/KM</t>
  </si>
  <si>
    <t>DRUM WEIGHT</t>
  </si>
  <si>
    <t>CABLE+DRUM WEIGHT</t>
  </si>
  <si>
    <t>TRAILOR WEIGHT</t>
  </si>
  <si>
    <t>25 MT TRAILOR</t>
  </si>
  <si>
    <t>TENDER SPECIFICATION NO ()</t>
  </si>
  <si>
    <t>TENDER DESCRIPTION  ()</t>
  </si>
  <si>
    <t>Last Date &amp; Time of Submission ()</t>
  </si>
  <si>
    <t>REVERSE AUCTION</t>
  </si>
  <si>
    <t>Price ()</t>
  </si>
  <si>
    <t>Validity  ()</t>
  </si>
  <si>
    <t>Delivery Period  ()</t>
  </si>
  <si>
    <t>Payment Terms ()</t>
  </si>
  <si>
    <t>Standard length ()</t>
  </si>
  <si>
    <t>Packing  ()</t>
  </si>
  <si>
    <t>Technical Specification</t>
  </si>
  <si>
    <t>Adani Electricity Mumbai Ltd</t>
  </si>
  <si>
    <t>NIT No: AEML/MDB/2025-26/44</t>
  </si>
  <si>
    <t>Tender Notification for Supply of assorted sizes of HT Cables</t>
  </si>
  <si>
    <t>24/Nov/2025 (Up to 16:00 Hours IST)</t>
  </si>
  <si>
    <t>Purchaser reserves the right to use the reverse auction as a part of the tendering process. All the bidders which are techno-commercially qualified on the basis of tender requirements shall participate in reverse auction.
The prices quoted by bidder in reverse auction event shall be on FOR Landed cost AEML Store/site basis inclusive of all relevant taxes, duties, levies, transportation charges</t>
  </si>
  <si>
    <t>Prices will be Variable as per IEEMA Price Variation Formula considering below LME Index Base.
1) Copper: …………. USD/MT (LME Closing day offer price of 28.10.2025)
2) Aluminum: …………. USD/MT (LME Closing day offer price of 28.10.2025)
3) USD to INR: ……… (USD to INR for 28.10.2025 - As per RBI website - Closing of day)
4) HDPE Polyethylene PE ST7: Rs. 1,47,250/MT (IEEMA - Sept 2025 i.e. Circular issued in Oct 2025)
5) PVC: Rs. 1,59,825/MT (IEEMA - Sept 2025 i.e. Circular issued in Oct 2025)
6) XLPE: Rs. 1,91,538/MT (IEEMA - Sept 2025 i.e. Circular issued in Oct 2025)
7) Steel: Rs. 81,250/MT (IEEMA - Sept 2025 i.e. Circular issued in Oct 2025)
Price variance approved for a Lot shall be FIRM &amp; applicable till delivery completion of entire Lot.</t>
  </si>
  <si>
    <t>180 days from the date of opening of technocommercial bid.</t>
  </si>
  <si>
    <t>All the Goods covered under the PO Documents shall be Delivered on or before 30.06.2027 from the Effective Date as per the delivery schedule / manufacturing clearance provided by AEML.</t>
  </si>
  <si>
    <t>Hundred percent (100%) of the Basic Price (along with hundred percent (100%) of the applicable GST payable on the total Basic Price) shall be paid on a pro rata basis within Ninety (90) days after receipt of Goods at the Delivery Point upon submission of the invoice and the documents as specified in Clause 9 of this document.</t>
  </si>
  <si>
    <t>Cable length per drum
b) 11 KV, Three core = 300 mtr +/- 5 %
c) 33 KV, Three core [R5] = 250 mtr +/- 5 %
d) 11 KV, Single core = 500 mtr +/- 5 %
e) 33 KV, Single core = 500 mtr +/- 5 %</t>
  </si>
  <si>
    <t>Steel / wooden drums, as per relevant IS / IEC.
(Wooden drums shall be with M.S. spindle plate with nut-bolts)</t>
  </si>
  <si>
    <t>Al &amp; Cu price is from 28-10-2025 and rest are average of September 2025 as per tender</t>
  </si>
  <si>
    <t>PV FORMULA</t>
  </si>
  <si>
    <t>VALUE ADDITION CALCULATION</t>
  </si>
  <si>
    <t>Item</t>
  </si>
  <si>
    <t>Calculation part</t>
  </si>
  <si>
    <t>Date of Inspection</t>
  </si>
  <si>
    <t>Applicable Date</t>
  </si>
  <si>
    <t>FACTORS</t>
  </si>
  <si>
    <t>Ex-Work
Po</t>
  </si>
  <si>
    <t>PVC of al</t>
  </si>
  <si>
    <t>PVC of Cu</t>
  </si>
  <si>
    <t>PVC of XLPE</t>
  </si>
  <si>
    <t>PVC OF PVC</t>
  </si>
  <si>
    <t>PVC OF FE</t>
  </si>
  <si>
    <t>PVC OF CU TAPE</t>
  </si>
  <si>
    <t>PV/PKM</t>
  </si>
  <si>
    <t>Billing Price/PKM</t>
  </si>
  <si>
    <t>Date</t>
  </si>
  <si>
    <t>Al</t>
  </si>
  <si>
    <t>Cu</t>
  </si>
  <si>
    <t>Cc</t>
  </si>
  <si>
    <t>PVCc</t>
  </si>
  <si>
    <t>Fe</t>
  </si>
  <si>
    <t>Alo</t>
  </si>
  <si>
    <t>Cuo</t>
  </si>
  <si>
    <t>Cco</t>
  </si>
  <si>
    <t>PVCco</t>
  </si>
  <si>
    <t>Feo</t>
  </si>
  <si>
    <t>RMC</t>
  </si>
  <si>
    <t>Drum</t>
  </si>
  <si>
    <t>RMC+Drum</t>
  </si>
  <si>
    <t>VA</t>
  </si>
  <si>
    <t>Groos VA%</t>
  </si>
  <si>
    <t>Mfg %</t>
  </si>
  <si>
    <t>Int %</t>
  </si>
  <si>
    <t>Ins%</t>
  </si>
  <si>
    <t>Net VA</t>
  </si>
  <si>
    <t>Alf</t>
  </si>
  <si>
    <t>XLFAL</t>
  </si>
  <si>
    <t>CCFAI</t>
  </si>
  <si>
    <t>CCFCu</t>
  </si>
  <si>
    <t>FeF</t>
  </si>
  <si>
    <t>Smif</t>
  </si>
  <si>
    <t>Kg/Km</t>
  </si>
  <si>
    <t>PROVISIONAL</t>
  </si>
  <si>
    <t>Prices will be Variable as per IEEMA Price Variation Formula considering below LME Index Base.
1) Copper: …………. USD/MT (LME Closing day offer price of 28.10.2025)
2) Aluminum: …………. USD/MT (LME Closing day offer price of 28.10.2025)
3) USD to INR: ……… (USD to INR for 28.10.2025 - As per RBI website - Closing of day)
4) HDPE Polyethylene PE ST7: Rs. 1,47,250/MT (IEEMA - Sept 2025 i.e. Circular issued in Oct 2025)
5) PVC: Rs. 1,59,825/MT (IEEMA - Sept 2025 i.e. Circular issued in Oct 2025)
6) XLPE: Rs. 1,91,538/MT (IEEMA - Sept 2025 i.e. Circular issued in Oct 2025)
7) Steel: Rs. 81,250/MT (IEEMA - Sept 2025 i.e. Circular issued in Oct 2025)</t>
  </si>
  <si>
    <t xml:space="preserve">P = Po + AIF (Al–Alo) + XLFAL (CC–Cco) + SMIF (SMIF1–SMIF0) + FeF (FeF1–FeF0) + CCFAI (PVCc–PVCco) </t>
  </si>
  <si>
    <t>average Sept'25</t>
  </si>
  <si>
    <t>ieema-conductor</t>
  </si>
  <si>
    <t>balco declared</t>
  </si>
  <si>
    <t>for PE factor = factor x 0.63 as per IEEMA Circular</t>
  </si>
  <si>
    <t>NOTE:</t>
  </si>
  <si>
    <t>Consider Aluminium rate from BALCO/NALCO/HINDALCO.</t>
  </si>
  <si>
    <t>Consider TR-XLPE rate from DOW/BOREALIS/HANWA.</t>
  </si>
  <si>
    <t>Consider Semiconducting compound rate from DOW/BOREALIS/HANWA.</t>
  </si>
  <si>
    <t xml:space="preserve">Consider Water-swellable tape rate from LANTOR/GECA/ FREUDENBERG/SCAPA/MIRACLE/TEKSTILNA(SLOVENIA)/SNEHAM/SHENYANG/CHENGU CENTRAN /TOP TAPES </t>
  </si>
  <si>
    <t>Consider Conductor water blocking tape rate from  LANTOR/GECA/ FREUDENBERG/SNEHAM</t>
  </si>
  <si>
    <t>Consider HDPE compound rate from KALPANA /KLJ/DOW/BOREALIS/HANWA.</t>
  </si>
  <si>
    <t>Semi conducting Water Swellable tape (min 0.3)</t>
  </si>
  <si>
    <t>EX-WORKS (PER MTR)</t>
  </si>
  <si>
    <t>FREIGHT PER MTR</t>
  </si>
  <si>
    <t>PRICE INCLUDING FREIGHT (PER MTR)</t>
  </si>
  <si>
    <t>PRICE INCLUDING GST &amp; FREIGHT (PER MTR)</t>
  </si>
  <si>
    <t>MTR</t>
  </si>
  <si>
    <t>SP0400091</t>
  </si>
  <si>
    <t>CORRUGATED DISPATCH STEEL DRUM 1800 X 900 X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</si>
</sst>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  <numFmt numFmtId="170" formatCode="0.0000"/>
    <numFmt numFmtId="171" formatCode="&quot;Rs.&quot;#,##0"/>
    <numFmt numFmtId="172" formatCode="0.0"/>
    <numFmt numFmtId="173" formatCode="0.000"/>
    <numFmt numFmtId="174" formatCode="0.000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1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Arial Black"/>
      <family val="2"/>
    </font>
    <font>
      <b/>
      <sz val="11"/>
      <color rgb="FFFF0000"/>
      <name val="Calibri"/>
      <family val="2"/>
      <scheme val="minor"/>
    </font>
    <font>
      <b/>
      <sz val="10"/>
      <name val="Verdana"/>
      <family val="2"/>
    </font>
    <font>
      <sz val="10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36" fillId="0" borderId="0"/>
    <xf numFmtId="43" fontId="1" fillId="0" borderId="0" applyFont="0" applyFill="0" applyBorder="0" applyAlignment="0" applyProtection="0"/>
    <xf numFmtId="0" fontId="36" fillId="0" borderId="0"/>
    <xf numFmtId="0" fontId="46" fillId="0" borderId="0"/>
  </cellStyleXfs>
  <cellXfs count="2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164" fontId="8" fillId="5" borderId="1" xfId="1" applyFont="1" applyFill="1" applyBorder="1" applyAlignment="1">
      <alignment vertical="center" wrapText="1"/>
    </xf>
    <xf numFmtId="0" fontId="35" fillId="5" borderId="1" xfId="0" applyFont="1" applyFill="1" applyBorder="1" applyAlignment="1">
      <alignment horizontal="center" vertical="center" wrapText="1"/>
    </xf>
    <xf numFmtId="3" fontId="35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26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2" fillId="8" borderId="9" xfId="0" applyFont="1" applyFill="1" applyBorder="1" applyAlignment="1">
      <alignment vertical="top" wrapText="1"/>
    </xf>
    <xf numFmtId="0" fontId="2" fillId="8" borderId="10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6" fontId="44" fillId="0" borderId="0" xfId="0" applyNumberFormat="1" applyFont="1"/>
    <xf numFmtId="0" fontId="36" fillId="0" borderId="1" xfId="6" applyBorder="1" applyAlignment="1">
      <alignment horizontal="center" vertical="center"/>
    </xf>
    <xf numFmtId="0" fontId="41" fillId="0" borderId="0" xfId="6" applyFont="1" applyAlignment="1">
      <alignment horizontal="center" vertical="center"/>
    </xf>
    <xf numFmtId="0" fontId="40" fillId="0" borderId="0" xfId="7" applyFont="1" applyAlignment="1">
      <alignment horizontal="center" vertical="center"/>
    </xf>
    <xf numFmtId="0" fontId="36" fillId="0" borderId="0" xfId="6" applyAlignment="1">
      <alignment horizontal="center" vertical="center"/>
    </xf>
    <xf numFmtId="0" fontId="47" fillId="0" borderId="11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1" fillId="0" borderId="0" xfId="6" applyFont="1"/>
    <xf numFmtId="0" fontId="40" fillId="0" borderId="0" xfId="7" applyFont="1"/>
    <xf numFmtId="0" fontId="36" fillId="0" borderId="0" xfId="6"/>
    <xf numFmtId="0" fontId="48" fillId="0" borderId="11" xfId="0" applyFont="1" applyBorder="1" applyAlignment="1">
      <alignment horizontal="justify" vertical="center"/>
    </xf>
    <xf numFmtId="0" fontId="49" fillId="0" borderId="0" xfId="0" applyFont="1" applyAlignment="1">
      <alignment vertical="center"/>
    </xf>
    <xf numFmtId="0" fontId="41" fillId="0" borderId="0" xfId="6" applyFont="1" applyAlignment="1">
      <alignment vertical="center"/>
    </xf>
    <xf numFmtId="0" fontId="36" fillId="0" borderId="0" xfId="6" applyAlignment="1">
      <alignment horizontal="center"/>
    </xf>
    <xf numFmtId="170" fontId="41" fillId="0" borderId="0" xfId="6" applyNumberFormat="1" applyFont="1" applyAlignment="1">
      <alignment vertical="center"/>
    </xf>
    <xf numFmtId="0" fontId="40" fillId="0" borderId="0" xfId="6" applyFont="1" applyAlignment="1">
      <alignment horizontal="center"/>
    </xf>
    <xf numFmtId="14" fontId="40" fillId="0" borderId="0" xfId="6" applyNumberFormat="1" applyFont="1" applyAlignment="1">
      <alignment horizontal="center"/>
    </xf>
    <xf numFmtId="0" fontId="41" fillId="0" borderId="10" xfId="7" applyFont="1" applyBorder="1" applyAlignment="1">
      <alignment horizontal="center" vertical="center" wrapText="1"/>
    </xf>
    <xf numFmtId="0" fontId="41" fillId="0" borderId="1" xfId="7" applyFont="1" applyBorder="1" applyAlignment="1">
      <alignment horizontal="center" vertical="center" wrapText="1"/>
    </xf>
    <xf numFmtId="0" fontId="41" fillId="0" borderId="18" xfId="7" applyFont="1" applyBorder="1" applyAlignment="1">
      <alignment horizontal="center" vertical="center" wrapText="1"/>
    </xf>
    <xf numFmtId="0" fontId="50" fillId="0" borderId="4" xfId="7" applyFont="1" applyBorder="1" applyAlignment="1">
      <alignment horizontal="center" vertical="center" wrapText="1"/>
    </xf>
    <xf numFmtId="0" fontId="50" fillId="0" borderId="1" xfId="7" applyFont="1" applyBorder="1" applyAlignment="1">
      <alignment horizontal="center" vertical="center" wrapText="1"/>
    </xf>
    <xf numFmtId="171" fontId="50" fillId="0" borderId="4" xfId="7" applyNumberFormat="1" applyFont="1" applyBorder="1" applyAlignment="1">
      <alignment horizontal="center" vertical="center" wrapText="1"/>
    </xf>
    <xf numFmtId="0" fontId="36" fillId="0" borderId="14" xfId="6" applyBorder="1"/>
    <xf numFmtId="0" fontId="40" fillId="0" borderId="10" xfId="7" applyFont="1" applyBorder="1" applyAlignment="1">
      <alignment horizontal="left" vertical="center" wrapText="1"/>
    </xf>
    <xf numFmtId="14" fontId="40" fillId="0" borderId="1" xfId="7" applyNumberFormat="1" applyFont="1" applyBorder="1" applyAlignment="1">
      <alignment horizontal="center" vertical="center" wrapText="1"/>
    </xf>
    <xf numFmtId="14" fontId="40" fillId="0" borderId="18" xfId="7" applyNumberFormat="1" applyFont="1" applyBorder="1" applyAlignment="1">
      <alignment horizontal="center" vertical="center" wrapText="1"/>
    </xf>
    <xf numFmtId="14" fontId="40" fillId="0" borderId="10" xfId="7" applyNumberFormat="1" applyFont="1" applyBorder="1" applyAlignment="1">
      <alignment horizontal="center" vertical="center" wrapText="1"/>
    </xf>
    <xf numFmtId="2" fontId="41" fillId="0" borderId="10" xfId="7" applyNumberFormat="1" applyFont="1" applyBorder="1" applyAlignment="1">
      <alignment horizontal="center" vertical="center" wrapText="1"/>
    </xf>
    <xf numFmtId="2" fontId="41" fillId="0" borderId="1" xfId="7" applyNumberFormat="1" applyFont="1" applyBorder="1" applyAlignment="1">
      <alignment horizontal="center" vertical="center" wrapText="1"/>
    </xf>
    <xf numFmtId="2" fontId="41" fillId="0" borderId="18" xfId="7" applyNumberFormat="1" applyFont="1" applyBorder="1" applyAlignment="1">
      <alignment horizontal="center" vertical="center" wrapText="1"/>
    </xf>
    <xf numFmtId="2" fontId="41" fillId="0" borderId="22" xfId="7" applyNumberFormat="1" applyFont="1" applyBorder="1" applyAlignment="1">
      <alignment horizontal="center" vertical="center" wrapText="1"/>
    </xf>
    <xf numFmtId="0" fontId="40" fillId="0" borderId="22" xfId="7" applyFont="1" applyBorder="1" applyAlignment="1">
      <alignment horizontal="center" vertical="center" wrapText="1"/>
    </xf>
    <xf numFmtId="0" fontId="36" fillId="0" borderId="22" xfId="6" applyBorder="1" applyAlignment="1">
      <alignment wrapText="1"/>
    </xf>
    <xf numFmtId="0" fontId="36" fillId="0" borderId="22" xfId="6" applyBorder="1"/>
    <xf numFmtId="14" fontId="51" fillId="0" borderId="29" xfId="7" applyNumberFormat="1" applyFont="1" applyBorder="1" applyAlignment="1">
      <alignment horizontal="center" vertical="center" wrapText="1"/>
    </xf>
    <xf numFmtId="14" fontId="51" fillId="9" borderId="10" xfId="7" applyNumberFormat="1" applyFont="1" applyFill="1" applyBorder="1" applyAlignment="1">
      <alignment horizontal="center" vertical="center" wrapText="1"/>
    </xf>
    <xf numFmtId="14" fontId="41" fillId="9" borderId="10" xfId="7" applyNumberFormat="1" applyFont="1" applyFill="1" applyBorder="1" applyAlignment="1">
      <alignment horizontal="center" vertical="center" wrapText="1"/>
    </xf>
    <xf numFmtId="173" fontId="40" fillId="0" borderId="10" xfId="7" applyNumberFormat="1" applyFont="1" applyBorder="1" applyAlignment="1">
      <alignment horizontal="center" vertical="center" wrapText="1"/>
    </xf>
    <xf numFmtId="173" fontId="40" fillId="0" borderId="1" xfId="7" applyNumberFormat="1" applyFont="1" applyBorder="1" applyAlignment="1">
      <alignment horizontal="center" vertical="center" wrapText="1"/>
    </xf>
    <xf numFmtId="170" fontId="40" fillId="0" borderId="18" xfId="7" applyNumberFormat="1" applyFont="1" applyBorder="1" applyAlignment="1">
      <alignment horizontal="center" vertical="center" wrapText="1"/>
    </xf>
    <xf numFmtId="173" fontId="46" fillId="0" borderId="4" xfId="7" applyNumberFormat="1" applyBorder="1" applyAlignment="1">
      <alignment vertical="center"/>
    </xf>
    <xf numFmtId="173" fontId="46" fillId="0" borderId="1" xfId="7" applyNumberFormat="1" applyBorder="1" applyAlignment="1">
      <alignment vertical="center"/>
    </xf>
    <xf numFmtId="2" fontId="50" fillId="0" borderId="1" xfId="7" applyNumberFormat="1" applyFont="1" applyBorder="1" applyAlignment="1">
      <alignment vertical="center"/>
    </xf>
    <xf numFmtId="2" fontId="46" fillId="0" borderId="1" xfId="7" applyNumberFormat="1" applyBorder="1" applyAlignment="1">
      <alignment vertical="center"/>
    </xf>
    <xf numFmtId="2" fontId="50" fillId="0" borderId="18" xfId="7" applyNumberFormat="1" applyFont="1" applyBorder="1" applyAlignment="1">
      <alignment vertical="center"/>
    </xf>
    <xf numFmtId="0" fontId="36" fillId="0" borderId="30" xfId="6" applyBorder="1" applyAlignment="1">
      <alignment wrapText="1"/>
    </xf>
    <xf numFmtId="14" fontId="40" fillId="0" borderId="31" xfId="7" applyNumberFormat="1" applyFont="1" applyBorder="1" applyAlignment="1">
      <alignment horizontal="center" vertical="center" wrapText="1"/>
    </xf>
    <xf numFmtId="14" fontId="40" fillId="0" borderId="32" xfId="7" applyNumberFormat="1" applyFont="1" applyBorder="1" applyAlignment="1">
      <alignment horizontal="center" vertical="center" wrapText="1"/>
    </xf>
    <xf numFmtId="2" fontId="40" fillId="0" borderId="33" xfId="7" applyNumberFormat="1" applyFont="1" applyBorder="1" applyAlignment="1">
      <alignment horizontal="center" vertical="center" wrapText="1"/>
    </xf>
    <xf numFmtId="2" fontId="40" fillId="0" borderId="34" xfId="7" applyNumberFormat="1" applyFont="1" applyBorder="1" applyAlignment="1">
      <alignment horizontal="center" vertical="center" wrapText="1"/>
    </xf>
    <xf numFmtId="2" fontId="40" fillId="0" borderId="32" xfId="7" applyNumberFormat="1" applyFont="1" applyBorder="1" applyAlignment="1">
      <alignment horizontal="center" vertical="center" wrapText="1"/>
    </xf>
    <xf numFmtId="172" fontId="40" fillId="0" borderId="33" xfId="7" applyNumberFormat="1" applyFont="1" applyBorder="1" applyAlignment="1">
      <alignment horizontal="center" vertical="center" wrapText="1"/>
    </xf>
    <xf numFmtId="172" fontId="40" fillId="0" borderId="35" xfId="7" applyNumberFormat="1" applyFont="1" applyBorder="1" applyAlignment="1">
      <alignment horizontal="center" vertical="center" wrapText="1"/>
    </xf>
    <xf numFmtId="2" fontId="40" fillId="0" borderId="36" xfId="7" applyNumberFormat="1" applyFont="1" applyBorder="1" applyAlignment="1">
      <alignment horizontal="center" vertical="center" wrapText="1"/>
    </xf>
    <xf numFmtId="174" fontId="40" fillId="0" borderId="32" xfId="7" applyNumberFormat="1" applyFont="1" applyBorder="1" applyAlignment="1">
      <alignment vertical="center" wrapText="1"/>
    </xf>
    <xf numFmtId="174" fontId="40" fillId="0" borderId="33" xfId="7" applyNumberFormat="1" applyFont="1" applyBorder="1" applyAlignment="1">
      <alignment vertical="center" wrapText="1"/>
    </xf>
    <xf numFmtId="174" fontId="40" fillId="0" borderId="34" xfId="7" applyNumberFormat="1" applyFont="1" applyBorder="1" applyAlignment="1">
      <alignment vertical="center" wrapText="1"/>
    </xf>
    <xf numFmtId="170" fontId="40" fillId="0" borderId="36" xfId="7" applyNumberFormat="1" applyFont="1" applyBorder="1" applyAlignment="1">
      <alignment horizontal="center" vertical="center" wrapText="1"/>
    </xf>
    <xf numFmtId="0" fontId="36" fillId="0" borderId="37" xfId="6" applyBorder="1"/>
    <xf numFmtId="0" fontId="36" fillId="0" borderId="38" xfId="6" applyBorder="1"/>
    <xf numFmtId="0" fontId="36" fillId="0" borderId="0" xfId="6" applyAlignment="1">
      <alignment wrapText="1"/>
    </xf>
    <xf numFmtId="0" fontId="45" fillId="0" borderId="0" xfId="6" applyFont="1"/>
    <xf numFmtId="14" fontId="36" fillId="0" borderId="0" xfId="6" applyNumberFormat="1"/>
    <xf numFmtId="14" fontId="41" fillId="0" borderId="1" xfId="7" applyNumberFormat="1" applyFont="1" applyBorder="1" applyAlignment="1">
      <alignment horizontal="center" vertical="center" wrapText="1"/>
    </xf>
    <xf numFmtId="164" fontId="40" fillId="0" borderId="1" xfId="1" applyFont="1" applyBorder="1" applyAlignment="1">
      <alignment horizontal="center" vertical="center" wrapText="1"/>
    </xf>
    <xf numFmtId="164" fontId="40" fillId="0" borderId="2" xfId="1" applyFont="1" applyBorder="1" applyAlignment="1">
      <alignment horizontal="center" vertical="center" wrapText="1"/>
    </xf>
    <xf numFmtId="164" fontId="51" fillId="0" borderId="4" xfId="1" applyFont="1" applyBorder="1" applyAlignment="1">
      <alignment horizontal="center" vertical="center" wrapText="1"/>
    </xf>
    <xf numFmtId="164" fontId="51" fillId="0" borderId="1" xfId="1" applyFont="1" applyBorder="1" applyAlignment="1">
      <alignment horizontal="center" vertical="center" wrapText="1"/>
    </xf>
    <xf numFmtId="173" fontId="40" fillId="11" borderId="1" xfId="7" applyNumberFormat="1" applyFont="1" applyFill="1" applyBorder="1" applyAlignment="1">
      <alignment horizontal="center" vertical="center" wrapText="1"/>
    </xf>
    <xf numFmtId="0" fontId="41" fillId="11" borderId="0" xfId="6" applyFont="1" applyFill="1" applyAlignment="1">
      <alignment vertical="center"/>
    </xf>
    <xf numFmtId="164" fontId="40" fillId="0" borderId="22" xfId="1" applyFont="1" applyBorder="1" applyAlignment="1">
      <alignment horizontal="center" vertical="center" wrapText="1"/>
    </xf>
    <xf numFmtId="164" fontId="40" fillId="0" borderId="10" xfId="1" applyFont="1" applyBorder="1" applyAlignment="1">
      <alignment vertical="center" wrapText="1"/>
    </xf>
    <xf numFmtId="164" fontId="40" fillId="0" borderId="1" xfId="1" applyFont="1" applyBorder="1" applyAlignment="1">
      <alignment vertical="center" wrapText="1"/>
    </xf>
    <xf numFmtId="164" fontId="40" fillId="0" borderId="18" xfId="1" applyFont="1" applyBorder="1" applyAlignment="1">
      <alignment horizontal="center" vertical="center" wrapText="1"/>
    </xf>
    <xf numFmtId="164" fontId="40" fillId="10" borderId="22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2" fillId="2" borderId="1" xfId="3" applyFont="1" applyFill="1" applyBorder="1" applyAlignment="1">
      <alignment horizontal="center" vertical="center" wrapText="1"/>
    </xf>
    <xf numFmtId="164" fontId="0" fillId="0" borderId="1" xfId="1" applyFont="1" applyBorder="1" applyAlignment="1">
      <alignment vertical="center" wrapText="1"/>
    </xf>
    <xf numFmtId="0" fontId="42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0" fontId="34" fillId="5" borderId="2" xfId="0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center" vertical="center" wrapText="1"/>
    </xf>
    <xf numFmtId="0" fontId="34" fillId="5" borderId="4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/>
    </xf>
    <xf numFmtId="0" fontId="43" fillId="0" borderId="7" xfId="0" applyFont="1" applyBorder="1" applyAlignment="1">
      <alignment horizontal="center"/>
    </xf>
    <xf numFmtId="0" fontId="43" fillId="0" borderId="8" xfId="0" applyFont="1" applyBorder="1" applyAlignment="1">
      <alignment horizontal="center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/>
    </xf>
    <xf numFmtId="0" fontId="39" fillId="0" borderId="1" xfId="0" quotePrefix="1" applyFont="1" applyBorder="1" applyAlignment="1">
      <alignment horizontal="left" vertical="top" wrapText="1"/>
    </xf>
    <xf numFmtId="0" fontId="39" fillId="0" borderId="2" xfId="0" applyFont="1" applyBorder="1" applyAlignment="1">
      <alignment horizontal="left" vertical="top" wrapText="1"/>
    </xf>
    <xf numFmtId="0" fontId="39" fillId="0" borderId="3" xfId="0" applyFont="1" applyBorder="1" applyAlignment="1">
      <alignment horizontal="left" vertical="top" wrapText="1"/>
    </xf>
    <xf numFmtId="0" fontId="39" fillId="0" borderId="4" xfId="0" applyFont="1" applyBorder="1" applyAlignment="1">
      <alignment horizontal="left" vertical="top" wrapText="1"/>
    </xf>
    <xf numFmtId="0" fontId="39" fillId="0" borderId="2" xfId="0" applyFont="1" applyBorder="1" applyAlignment="1">
      <alignment horizontal="justify" vertical="top" wrapText="1"/>
    </xf>
    <xf numFmtId="0" fontId="39" fillId="0" borderId="3" xfId="0" applyFont="1" applyBorder="1" applyAlignment="1">
      <alignment horizontal="justify" vertical="top" wrapText="1"/>
    </xf>
    <xf numFmtId="0" fontId="39" fillId="0" borderId="4" xfId="0" applyFont="1" applyBorder="1" applyAlignment="1">
      <alignment horizontal="justify" vertical="top" wrapText="1"/>
    </xf>
    <xf numFmtId="0" fontId="0" fillId="0" borderId="1" xfId="0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4" fontId="45" fillId="8" borderId="2" xfId="6" applyNumberFormat="1" applyFont="1" applyFill="1" applyBorder="1" applyAlignment="1">
      <alignment horizontal="center" vertical="center" wrapText="1"/>
    </xf>
    <xf numFmtId="0" fontId="45" fillId="8" borderId="3" xfId="6" applyFont="1" applyFill="1" applyBorder="1" applyAlignment="1">
      <alignment horizontal="center" vertical="center"/>
    </xf>
    <xf numFmtId="0" fontId="45" fillId="8" borderId="4" xfId="6" applyFont="1" applyFill="1" applyBorder="1" applyAlignment="1">
      <alignment horizontal="center" vertical="center"/>
    </xf>
    <xf numFmtId="0" fontId="41" fillId="0" borderId="1" xfId="6" applyFont="1" applyBorder="1" applyAlignment="1">
      <alignment horizontal="center" vertical="center"/>
    </xf>
    <xf numFmtId="0" fontId="41" fillId="0" borderId="2" xfId="6" applyFont="1" applyBorder="1" applyAlignment="1">
      <alignment horizontal="center" vertical="center"/>
    </xf>
    <xf numFmtId="0" fontId="41" fillId="0" borderId="1" xfId="6" applyFont="1" applyBorder="1" applyAlignment="1">
      <alignment horizontal="center" vertical="center" wrapText="1"/>
    </xf>
    <xf numFmtId="0" fontId="36" fillId="0" borderId="0" xfId="6" applyAlignment="1">
      <alignment horizontal="center"/>
    </xf>
    <xf numFmtId="0" fontId="50" fillId="0" borderId="9" xfId="7" applyFont="1" applyBorder="1" applyAlignment="1">
      <alignment horizontal="center" vertical="center"/>
    </xf>
    <xf numFmtId="0" fontId="50" fillId="0" borderId="12" xfId="7" applyFont="1" applyBorder="1" applyAlignment="1">
      <alignment horizontal="center" vertical="center"/>
    </xf>
    <xf numFmtId="0" fontId="50" fillId="0" borderId="13" xfId="7" applyFont="1" applyBorder="1" applyAlignment="1">
      <alignment horizontal="center" vertical="center"/>
    </xf>
    <xf numFmtId="0" fontId="50" fillId="0" borderId="4" xfId="7" applyFont="1" applyBorder="1" applyAlignment="1">
      <alignment horizontal="center" vertical="center"/>
    </xf>
    <xf numFmtId="0" fontId="50" fillId="0" borderId="1" xfId="7" applyFont="1" applyBorder="1" applyAlignment="1">
      <alignment horizontal="center" vertical="center"/>
    </xf>
    <xf numFmtId="0" fontId="50" fillId="0" borderId="18" xfId="7" applyFont="1" applyBorder="1" applyAlignment="1">
      <alignment horizontal="center" vertical="center"/>
    </xf>
    <xf numFmtId="0" fontId="45" fillId="0" borderId="14" xfId="6" applyFont="1" applyBorder="1" applyAlignment="1">
      <alignment horizontal="center" vertical="center"/>
    </xf>
    <xf numFmtId="0" fontId="45" fillId="0" borderId="19" xfId="6" applyFont="1" applyBorder="1" applyAlignment="1">
      <alignment horizontal="center" vertical="center"/>
    </xf>
    <xf numFmtId="0" fontId="45" fillId="0" borderId="14" xfId="6" applyFont="1" applyBorder="1" applyAlignment="1">
      <alignment horizontal="center" vertical="center" wrapText="1"/>
    </xf>
    <xf numFmtId="0" fontId="45" fillId="0" borderId="19" xfId="6" applyFont="1" applyBorder="1" applyAlignment="1">
      <alignment horizontal="center" vertical="center" wrapText="1"/>
    </xf>
    <xf numFmtId="0" fontId="41" fillId="0" borderId="15" xfId="7" applyFont="1" applyBorder="1" applyAlignment="1">
      <alignment horizontal="center" vertical="center" wrapText="1"/>
    </xf>
    <xf numFmtId="0" fontId="41" fillId="0" borderId="0" xfId="7" applyFont="1" applyAlignment="1">
      <alignment horizontal="center" vertical="center" wrapText="1"/>
    </xf>
    <xf numFmtId="0" fontId="41" fillId="0" borderId="5" xfId="7" applyFont="1" applyBorder="1" applyAlignment="1">
      <alignment horizontal="center" vertical="center" wrapText="1"/>
    </xf>
    <xf numFmtId="0" fontId="41" fillId="0" borderId="9" xfId="7" applyFont="1" applyBorder="1" applyAlignment="1">
      <alignment horizontal="center" vertical="center" wrapText="1"/>
    </xf>
    <xf numFmtId="0" fontId="41" fillId="0" borderId="12" xfId="7" applyFont="1" applyBorder="1" applyAlignment="1">
      <alignment horizontal="center" vertical="center" wrapText="1"/>
    </xf>
    <xf numFmtId="0" fontId="41" fillId="0" borderId="13" xfId="7" applyFont="1" applyBorder="1" applyAlignment="1">
      <alignment horizontal="center" vertical="center" wrapText="1"/>
    </xf>
    <xf numFmtId="0" fontId="41" fillId="0" borderId="16" xfId="7" applyFont="1" applyBorder="1" applyAlignment="1">
      <alignment horizontal="center" vertical="center" wrapText="1"/>
    </xf>
    <xf numFmtId="0" fontId="41" fillId="0" borderId="18" xfId="7" applyFont="1" applyBorder="1" applyAlignment="1">
      <alignment horizontal="center" vertical="center" wrapText="1"/>
    </xf>
    <xf numFmtId="0" fontId="41" fillId="0" borderId="10" xfId="7" applyFont="1" applyBorder="1" applyAlignment="1">
      <alignment horizontal="center" vertical="center" wrapText="1"/>
    </xf>
    <xf numFmtId="0" fontId="41" fillId="0" borderId="1" xfId="7" applyFont="1" applyBorder="1" applyAlignment="1">
      <alignment horizontal="center" vertical="center" wrapText="1"/>
    </xf>
    <xf numFmtId="0" fontId="41" fillId="0" borderId="17" xfId="7" applyFont="1" applyBorder="1" applyAlignment="1">
      <alignment horizontal="center" vertical="center" wrapText="1"/>
    </xf>
    <xf numFmtId="0" fontId="41" fillId="0" borderId="22" xfId="7" applyFont="1" applyBorder="1" applyAlignment="1">
      <alignment horizontal="center" vertical="center" wrapText="1"/>
    </xf>
    <xf numFmtId="0" fontId="41" fillId="0" borderId="21" xfId="7" applyFont="1" applyBorder="1" applyAlignment="1">
      <alignment horizontal="center" vertical="center" wrapText="1"/>
    </xf>
    <xf numFmtId="0" fontId="41" fillId="0" borderId="25" xfId="7" applyFont="1" applyBorder="1" applyAlignment="1">
      <alignment horizontal="center" vertical="center" wrapText="1"/>
    </xf>
    <xf numFmtId="0" fontId="41" fillId="0" borderId="20" xfId="7" applyFont="1" applyBorder="1" applyAlignment="1">
      <alignment horizontal="center" vertical="center" wrapText="1"/>
    </xf>
    <xf numFmtId="0" fontId="41" fillId="0" borderId="24" xfId="7" applyFont="1" applyBorder="1" applyAlignment="1">
      <alignment horizontal="center" vertical="center" wrapText="1"/>
    </xf>
    <xf numFmtId="0" fontId="50" fillId="0" borderId="20" xfId="7" applyFont="1" applyBorder="1" applyAlignment="1">
      <alignment horizontal="center" vertical="center" wrapText="1"/>
    </xf>
    <xf numFmtId="0" fontId="50" fillId="0" borderId="26" xfId="7" applyFont="1" applyBorder="1" applyAlignment="1">
      <alignment horizontal="center" vertical="center" wrapText="1"/>
    </xf>
    <xf numFmtId="0" fontId="50" fillId="0" borderId="24" xfId="7" applyFont="1" applyBorder="1" applyAlignment="1">
      <alignment horizontal="center" vertical="center" wrapText="1"/>
    </xf>
    <xf numFmtId="0" fontId="50" fillId="0" borderId="23" xfId="7" applyFont="1" applyBorder="1" applyAlignment="1">
      <alignment horizontal="center" vertical="center" wrapText="1"/>
    </xf>
    <xf numFmtId="0" fontId="50" fillId="0" borderId="27" xfId="7" applyFont="1" applyBorder="1" applyAlignment="1">
      <alignment horizontal="center" vertical="center" wrapText="1"/>
    </xf>
    <xf numFmtId="0" fontId="50" fillId="0" borderId="28" xfId="7" applyFont="1" applyBorder="1" applyAlignment="1">
      <alignment horizontal="center" vertical="center" wrapText="1"/>
    </xf>
  </cellXfs>
  <cellStyles count="8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F496E9F0-2835-4A29-B7C7-38503ABD4266}"/>
    <cellStyle name="Normal 6 2" xfId="6" xr:uid="{F6CEBB31-C661-43FF-A1C7-25433554F0AA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activeCell="D25" sqref="D25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40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135</v>
      </c>
      <c r="C1" s="1" t="s">
        <v>1</v>
      </c>
      <c r="D1" s="1" t="s">
        <v>2</v>
      </c>
      <c r="E1" s="1" t="s">
        <v>136</v>
      </c>
      <c r="F1" s="47" t="s">
        <v>137</v>
      </c>
      <c r="G1" s="47" t="s">
        <v>138</v>
      </c>
      <c r="H1" s="47" t="s">
        <v>139</v>
      </c>
      <c r="I1" s="47" t="s">
        <v>140</v>
      </c>
      <c r="J1" s="42" t="s">
        <v>81</v>
      </c>
      <c r="K1" s="42" t="s">
        <v>141</v>
      </c>
      <c r="L1" s="42" t="s">
        <v>142</v>
      </c>
      <c r="M1" s="42" t="s">
        <v>143</v>
      </c>
      <c r="N1" s="41" t="s">
        <v>4</v>
      </c>
      <c r="O1" s="41" t="s">
        <v>144</v>
      </c>
      <c r="P1" s="41" t="s">
        <v>145</v>
      </c>
      <c r="Q1" s="41" t="s">
        <v>146</v>
      </c>
      <c r="R1" s="45" t="s">
        <v>147</v>
      </c>
      <c r="S1" s="45" t="s">
        <v>148</v>
      </c>
      <c r="T1" s="45" t="s">
        <v>149</v>
      </c>
      <c r="U1" s="45" t="s">
        <v>150</v>
      </c>
      <c r="V1" s="44" t="s">
        <v>6</v>
      </c>
      <c r="W1" s="44" t="s">
        <v>151</v>
      </c>
      <c r="X1" s="44" t="s">
        <v>152</v>
      </c>
      <c r="Y1" s="44" t="s">
        <v>153</v>
      </c>
      <c r="Z1" s="1" t="s">
        <v>154</v>
      </c>
      <c r="AA1" s="1" t="s">
        <v>155</v>
      </c>
      <c r="AB1" s="1" t="s">
        <v>156</v>
      </c>
      <c r="AC1" s="1" t="s">
        <v>157</v>
      </c>
      <c r="AD1" s="43" t="s">
        <v>8</v>
      </c>
      <c r="AE1" s="43" t="s">
        <v>158</v>
      </c>
      <c r="AF1" s="43" t="s">
        <v>159</v>
      </c>
      <c r="AG1" s="43" t="s">
        <v>160</v>
      </c>
      <c r="AH1" s="44" t="s">
        <v>9</v>
      </c>
      <c r="AI1" s="44" t="s">
        <v>161</v>
      </c>
      <c r="AJ1" s="44" t="s">
        <v>162</v>
      </c>
      <c r="AK1" s="44" t="s">
        <v>163</v>
      </c>
      <c r="AL1" s="1" t="s">
        <v>10</v>
      </c>
      <c r="AM1" s="1" t="s">
        <v>164</v>
      </c>
      <c r="AN1" s="1" t="s">
        <v>165</v>
      </c>
      <c r="AO1" s="1" t="s">
        <v>166</v>
      </c>
      <c r="AP1" s="46" t="s">
        <v>167</v>
      </c>
      <c r="AQ1" s="46" t="s">
        <v>168</v>
      </c>
      <c r="AR1" s="46" t="s">
        <v>169</v>
      </c>
      <c r="AS1" s="46" t="s">
        <v>170</v>
      </c>
      <c r="AT1" s="1" t="s">
        <v>50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</v>
      </c>
      <c r="BW1" s="1" t="s">
        <v>198</v>
      </c>
      <c r="BX1" s="1" t="s">
        <v>199</v>
      </c>
      <c r="BY1" s="1" t="s">
        <v>200</v>
      </c>
      <c r="BZ1" s="1" t="s">
        <v>201</v>
      </c>
      <c r="CA1" s="1" t="s">
        <v>202</v>
      </c>
      <c r="CB1" s="1" t="s">
        <v>203</v>
      </c>
      <c r="CC1" s="1" t="s">
        <v>204</v>
      </c>
      <c r="CD1" s="1" t="s">
        <v>22</v>
      </c>
      <c r="CE1" s="1" t="s">
        <v>205</v>
      </c>
      <c r="CF1" s="1" t="s">
        <v>24</v>
      </c>
      <c r="CG1" s="1" t="s">
        <v>206</v>
      </c>
      <c r="CH1" s="1" t="s">
        <v>207</v>
      </c>
      <c r="CI1" s="1" t="s">
        <v>27</v>
      </c>
      <c r="CJ1" s="1" t="s">
        <v>208</v>
      </c>
      <c r="CK1" s="1" t="s">
        <v>29</v>
      </c>
      <c r="CL1" s="1" t="s">
        <v>209</v>
      </c>
      <c r="CM1" s="1" t="s">
        <v>210</v>
      </c>
      <c r="CN1" s="1" t="s">
        <v>211</v>
      </c>
      <c r="CO1" s="1" t="s">
        <v>212</v>
      </c>
      <c r="CP1" s="1" t="s">
        <v>213</v>
      </c>
      <c r="CQ1" s="1" t="s">
        <v>214</v>
      </c>
      <c r="CR1" s="1" t="s">
        <v>34</v>
      </c>
      <c r="CS1" s="1" t="s">
        <v>215</v>
      </c>
      <c r="CT1" s="1" t="s">
        <v>216</v>
      </c>
      <c r="CU1" s="1" t="s">
        <v>37</v>
      </c>
      <c r="CV1" s="1" t="s">
        <v>38</v>
      </c>
      <c r="CW1" s="1" t="s">
        <v>217</v>
      </c>
      <c r="CX1" s="1" t="s">
        <v>218</v>
      </c>
      <c r="CY1" s="10" t="s">
        <v>91</v>
      </c>
      <c r="CZ1" s="10" t="s">
        <v>92</v>
      </c>
    </row>
    <row r="2" spans="1:104" s="10" customFormat="1" ht="18" customHeight="1" x14ac:dyDescent="0.25">
      <c r="A2" s="6" t="s">
        <v>219</v>
      </c>
      <c r="B2" s="52"/>
      <c r="C2" s="1" t="s">
        <v>220</v>
      </c>
      <c r="D2" s="1" t="s">
        <v>221</v>
      </c>
      <c r="E2" s="1" t="s">
        <v>222</v>
      </c>
      <c r="F2" s="47" t="s">
        <v>223</v>
      </c>
      <c r="G2" s="47"/>
      <c r="H2" s="47">
        <v>399</v>
      </c>
      <c r="I2" s="47"/>
      <c r="J2" s="42" t="s">
        <v>41</v>
      </c>
      <c r="K2" s="42"/>
      <c r="L2" s="42">
        <v>3240</v>
      </c>
      <c r="M2" s="42"/>
      <c r="N2" s="41"/>
      <c r="O2" s="41"/>
      <c r="P2" s="41">
        <v>0</v>
      </c>
      <c r="Q2" s="41"/>
      <c r="R2" s="45" t="s">
        <v>55</v>
      </c>
      <c r="S2" s="45"/>
      <c r="T2" s="45">
        <v>427</v>
      </c>
      <c r="U2" s="45"/>
      <c r="V2" s="44" t="s">
        <v>58</v>
      </c>
      <c r="W2" s="44"/>
      <c r="X2" s="44">
        <v>2621</v>
      </c>
      <c r="Y2" s="44"/>
      <c r="Z2" s="1"/>
      <c r="AA2" s="1"/>
      <c r="AB2" s="1">
        <v>0</v>
      </c>
      <c r="AC2" s="1"/>
      <c r="AD2" s="43" t="s">
        <v>48</v>
      </c>
      <c r="AE2" s="43"/>
      <c r="AF2" s="43">
        <v>405</v>
      </c>
      <c r="AG2" s="43"/>
      <c r="AH2" s="44" t="s">
        <v>49</v>
      </c>
      <c r="AI2" s="44"/>
      <c r="AJ2" s="44">
        <v>1600</v>
      </c>
      <c r="AK2" s="44"/>
      <c r="AL2" s="1" t="s">
        <v>90</v>
      </c>
      <c r="AM2" s="1"/>
      <c r="AN2" s="1">
        <v>1560</v>
      </c>
      <c r="AO2" s="1"/>
      <c r="AP2" s="46" t="s">
        <v>224</v>
      </c>
      <c r="AQ2" s="46"/>
      <c r="AR2" s="46">
        <v>2672</v>
      </c>
      <c r="AS2" s="46"/>
      <c r="AT2" s="1"/>
      <c r="AU2" s="1"/>
      <c r="AV2" s="1">
        <v>0</v>
      </c>
      <c r="AW2" s="1"/>
      <c r="AX2" s="1" t="s">
        <v>13</v>
      </c>
      <c r="AY2" s="1"/>
      <c r="AZ2" s="1">
        <v>162</v>
      </c>
      <c r="BA2" s="1"/>
      <c r="BB2" s="1" t="s">
        <v>14</v>
      </c>
      <c r="BC2" s="1"/>
      <c r="BD2" s="1">
        <v>0</v>
      </c>
      <c r="BE2" s="1"/>
      <c r="BF2" s="1"/>
      <c r="BG2" s="1"/>
      <c r="BH2" s="1">
        <v>52</v>
      </c>
      <c r="BI2" s="1"/>
      <c r="BJ2" s="1"/>
      <c r="BK2" s="1"/>
      <c r="BL2" s="1">
        <v>129</v>
      </c>
      <c r="BM2" s="59"/>
      <c r="BN2" s="1"/>
      <c r="BO2" s="1"/>
      <c r="BP2" s="1">
        <v>0</v>
      </c>
      <c r="BQ2" s="1"/>
      <c r="BR2" s="1" t="s">
        <v>18</v>
      </c>
      <c r="BS2" s="1"/>
      <c r="BT2" s="1">
        <v>0</v>
      </c>
      <c r="BU2" s="1"/>
      <c r="BV2" s="1"/>
      <c r="BW2" s="1"/>
      <c r="BX2" s="1">
        <v>0</v>
      </c>
      <c r="BY2" s="1"/>
      <c r="BZ2" s="1">
        <v>182400</v>
      </c>
      <c r="CA2" s="1">
        <v>182400</v>
      </c>
      <c r="CB2" s="49"/>
      <c r="CC2" s="1"/>
      <c r="CD2" s="49"/>
      <c r="CE2" s="1"/>
      <c r="CF2" s="49"/>
      <c r="CG2" s="1"/>
      <c r="CH2" s="1">
        <v>182400</v>
      </c>
      <c r="CI2" s="49"/>
      <c r="CJ2" s="1"/>
      <c r="CK2" s="49"/>
      <c r="CL2" s="1"/>
      <c r="CM2" s="1"/>
      <c r="CN2" s="1"/>
      <c r="CO2" s="1">
        <v>182400</v>
      </c>
      <c r="CP2" s="49"/>
      <c r="CQ2" s="1">
        <v>182400</v>
      </c>
      <c r="CR2" s="49">
        <v>0.18</v>
      </c>
      <c r="CS2" s="1">
        <v>32832</v>
      </c>
      <c r="CT2" s="1">
        <v>215232</v>
      </c>
      <c r="CU2" s="48">
        <v>78</v>
      </c>
      <c r="CV2" s="48" t="s">
        <v>225</v>
      </c>
      <c r="CW2" s="48">
        <v>16788096</v>
      </c>
      <c r="CX2" s="1">
        <v>250</v>
      </c>
      <c r="CY2" s="10" t="s">
        <v>226</v>
      </c>
      <c r="CZ2" s="10" t="s">
        <v>227</v>
      </c>
    </row>
    <row r="3" spans="1:104" s="10" customFormat="1" ht="18" customHeight="1" x14ac:dyDescent="0.25">
      <c r="A3" s="6" t="s">
        <v>219</v>
      </c>
      <c r="B3" s="52"/>
      <c r="C3" s="1" t="s">
        <v>228</v>
      </c>
      <c r="D3" s="1" t="s">
        <v>229</v>
      </c>
      <c r="E3" s="1" t="s">
        <v>222</v>
      </c>
      <c r="F3" s="47" t="s">
        <v>223</v>
      </c>
      <c r="G3" s="47"/>
      <c r="H3" s="47">
        <v>303</v>
      </c>
      <c r="I3" s="47"/>
      <c r="J3" s="42" t="s">
        <v>41</v>
      </c>
      <c r="K3" s="42"/>
      <c r="L3" s="42">
        <v>3240</v>
      </c>
      <c r="M3" s="42"/>
      <c r="N3" s="41"/>
      <c r="O3" s="41"/>
      <c r="P3" s="41">
        <v>0</v>
      </c>
      <c r="Q3" s="41"/>
      <c r="R3" s="45" t="s">
        <v>55</v>
      </c>
      <c r="S3" s="45"/>
      <c r="T3" s="45">
        <v>366</v>
      </c>
      <c r="U3" s="45"/>
      <c r="V3" s="44" t="s">
        <v>58</v>
      </c>
      <c r="W3" s="44"/>
      <c r="X3" s="44">
        <v>908</v>
      </c>
      <c r="Y3" s="44"/>
      <c r="Z3" s="1"/>
      <c r="AA3" s="1"/>
      <c r="AB3" s="1">
        <v>0</v>
      </c>
      <c r="AC3" s="1"/>
      <c r="AD3" s="43" t="s">
        <v>48</v>
      </c>
      <c r="AE3" s="43"/>
      <c r="AF3" s="43">
        <v>305</v>
      </c>
      <c r="AG3" s="43"/>
      <c r="AH3" s="44" t="s">
        <v>49</v>
      </c>
      <c r="AI3" s="44"/>
      <c r="AJ3" s="44">
        <v>1225</v>
      </c>
      <c r="AK3" s="44"/>
      <c r="AL3" s="1" t="s">
        <v>90</v>
      </c>
      <c r="AM3" s="1"/>
      <c r="AN3" s="1">
        <v>1146</v>
      </c>
      <c r="AO3" s="1"/>
      <c r="AP3" s="46" t="s">
        <v>224</v>
      </c>
      <c r="AQ3" s="46"/>
      <c r="AR3" s="46">
        <v>1535</v>
      </c>
      <c r="AS3" s="46"/>
      <c r="AT3" s="1"/>
      <c r="AU3" s="1"/>
      <c r="AV3" s="1">
        <v>0</v>
      </c>
      <c r="AW3" s="1"/>
      <c r="AX3" s="1" t="s">
        <v>13</v>
      </c>
      <c r="AY3" s="1"/>
      <c r="AZ3" s="1">
        <v>0</v>
      </c>
      <c r="BA3" s="1"/>
      <c r="BB3" s="1" t="s">
        <v>14</v>
      </c>
      <c r="BC3" s="1"/>
      <c r="BD3" s="1">
        <v>0</v>
      </c>
      <c r="BE3" s="1"/>
      <c r="BF3" s="1"/>
      <c r="BG3" s="1"/>
      <c r="BH3" s="1">
        <v>0</v>
      </c>
      <c r="BI3" s="1"/>
      <c r="BJ3" s="1"/>
      <c r="BK3" s="1"/>
      <c r="BL3" s="1">
        <v>0</v>
      </c>
      <c r="BM3" s="59"/>
      <c r="BN3" s="1"/>
      <c r="BO3" s="1"/>
      <c r="BP3" s="1">
        <v>0</v>
      </c>
      <c r="BQ3" s="1"/>
      <c r="BR3" s="1" t="s">
        <v>18</v>
      </c>
      <c r="BS3" s="1"/>
      <c r="BT3" s="1">
        <v>0</v>
      </c>
      <c r="BU3" s="1"/>
      <c r="BV3" s="1"/>
      <c r="BW3" s="1"/>
      <c r="BX3" s="1">
        <v>0</v>
      </c>
      <c r="BY3" s="1"/>
      <c r="BZ3" s="1">
        <v>100100</v>
      </c>
      <c r="CA3" s="1">
        <v>100100</v>
      </c>
      <c r="CB3" s="49"/>
      <c r="CC3" s="1"/>
      <c r="CD3" s="49"/>
      <c r="CE3" s="1"/>
      <c r="CF3" s="49"/>
      <c r="CG3" s="1"/>
      <c r="CH3" s="1">
        <v>100100</v>
      </c>
      <c r="CI3" s="49"/>
      <c r="CJ3" s="1"/>
      <c r="CK3" s="49"/>
      <c r="CL3" s="1"/>
      <c r="CM3" s="1"/>
      <c r="CN3" s="1"/>
      <c r="CO3" s="1">
        <v>100100</v>
      </c>
      <c r="CP3" s="49"/>
      <c r="CQ3" s="1">
        <v>100100</v>
      </c>
      <c r="CR3" s="49">
        <v>0.18</v>
      </c>
      <c r="CS3" s="1">
        <v>18018</v>
      </c>
      <c r="CT3" s="1">
        <v>118118</v>
      </c>
      <c r="CU3" s="48">
        <v>398.5</v>
      </c>
      <c r="CV3" s="48" t="s">
        <v>225</v>
      </c>
      <c r="CW3" s="48">
        <v>47070023</v>
      </c>
      <c r="CX3" s="1">
        <v>300</v>
      </c>
      <c r="CY3" s="10" t="s">
        <v>230</v>
      </c>
      <c r="CZ3" s="10" t="s">
        <v>231</v>
      </c>
    </row>
    <row r="4" spans="1:104" s="10" customFormat="1" ht="18" customHeight="1" x14ac:dyDescent="0.25">
      <c r="A4" s="6" t="s">
        <v>219</v>
      </c>
      <c r="B4" s="52"/>
      <c r="C4" s="1" t="s">
        <v>232</v>
      </c>
      <c r="D4" s="1" t="s">
        <v>233</v>
      </c>
      <c r="E4" s="1"/>
      <c r="F4" s="47"/>
      <c r="G4" s="47"/>
      <c r="H4" s="47">
        <v>0</v>
      </c>
      <c r="I4" s="47"/>
      <c r="J4" s="42"/>
      <c r="K4" s="42"/>
      <c r="L4" s="42">
        <v>1701</v>
      </c>
      <c r="M4" s="42"/>
      <c r="N4" s="41"/>
      <c r="O4" s="41"/>
      <c r="P4" s="41">
        <v>0</v>
      </c>
      <c r="Q4" s="41"/>
      <c r="R4" s="45"/>
      <c r="S4" s="45"/>
      <c r="T4" s="45">
        <v>172</v>
      </c>
      <c r="U4" s="45"/>
      <c r="V4" s="44"/>
      <c r="W4" s="44"/>
      <c r="X4" s="44">
        <v>1040</v>
      </c>
      <c r="Y4" s="44"/>
      <c r="Z4" s="1"/>
      <c r="AA4" s="1"/>
      <c r="AB4" s="1">
        <v>0</v>
      </c>
      <c r="AC4" s="1"/>
      <c r="AD4" s="43"/>
      <c r="AE4" s="43"/>
      <c r="AF4" s="43">
        <v>193</v>
      </c>
      <c r="AG4" s="43"/>
      <c r="AH4" s="44"/>
      <c r="AI4" s="44"/>
      <c r="AJ4" s="44">
        <v>800</v>
      </c>
      <c r="AK4" s="44"/>
      <c r="AL4" s="1"/>
      <c r="AM4" s="1"/>
      <c r="AN4" s="1">
        <v>738</v>
      </c>
      <c r="AO4" s="1"/>
      <c r="AP4" s="46"/>
      <c r="AQ4" s="46"/>
      <c r="AR4" s="46">
        <v>0</v>
      </c>
      <c r="AS4" s="46"/>
      <c r="AT4" s="1"/>
      <c r="AU4" s="1"/>
      <c r="AV4" s="1">
        <v>0</v>
      </c>
      <c r="AW4" s="1"/>
      <c r="AX4" s="1"/>
      <c r="AY4" s="1"/>
      <c r="AZ4" s="1">
        <v>0</v>
      </c>
      <c r="BA4" s="1"/>
      <c r="BB4" s="1"/>
      <c r="BC4" s="1"/>
      <c r="BD4" s="1">
        <v>0</v>
      </c>
      <c r="BE4" s="1"/>
      <c r="BF4" s="1"/>
      <c r="BG4" s="1"/>
      <c r="BH4" s="1">
        <v>0</v>
      </c>
      <c r="BI4" s="1"/>
      <c r="BJ4" s="1"/>
      <c r="BK4" s="1"/>
      <c r="BL4" s="1">
        <v>0</v>
      </c>
      <c r="BM4" s="59"/>
      <c r="BN4" s="1"/>
      <c r="BO4" s="1"/>
      <c r="BP4" s="1">
        <v>0</v>
      </c>
      <c r="BQ4" s="1"/>
      <c r="BR4" s="1"/>
      <c r="BS4" s="1"/>
      <c r="BT4" s="1">
        <v>0</v>
      </c>
      <c r="BU4" s="1"/>
      <c r="BV4" s="1"/>
      <c r="BW4" s="1"/>
      <c r="BX4" s="1">
        <v>0</v>
      </c>
      <c r="BY4" s="1"/>
      <c r="BZ4" s="1"/>
      <c r="CA4" s="1"/>
      <c r="CB4" s="49"/>
      <c r="CC4" s="1"/>
      <c r="CD4" s="49"/>
      <c r="CE4" s="1"/>
      <c r="CF4" s="49"/>
      <c r="CG4" s="1"/>
      <c r="CH4" s="1"/>
      <c r="CI4" s="49"/>
      <c r="CJ4" s="1"/>
      <c r="CK4" s="49"/>
      <c r="CL4" s="1"/>
      <c r="CM4" s="1"/>
      <c r="CN4" s="1"/>
      <c r="CO4" s="1"/>
      <c r="CP4" s="49"/>
      <c r="CQ4" s="1"/>
      <c r="CR4" s="49">
        <v>0.18</v>
      </c>
      <c r="CS4" s="1"/>
      <c r="CT4" s="1"/>
      <c r="CU4" s="48">
        <v>7.6</v>
      </c>
      <c r="CV4" s="48" t="s">
        <v>225</v>
      </c>
      <c r="CW4" s="48"/>
      <c r="CX4" s="1">
        <v>500</v>
      </c>
    </row>
    <row r="5" spans="1:104" s="10" customFormat="1" ht="18" customHeight="1" x14ac:dyDescent="0.25">
      <c r="A5" s="6" t="s">
        <v>219</v>
      </c>
      <c r="B5" s="52"/>
      <c r="C5" s="1" t="s">
        <v>234</v>
      </c>
      <c r="D5" s="1" t="s">
        <v>235</v>
      </c>
      <c r="E5" s="1" t="s">
        <v>236</v>
      </c>
      <c r="F5" s="47" t="s">
        <v>223</v>
      </c>
      <c r="G5" s="47"/>
      <c r="H5" s="47">
        <v>220</v>
      </c>
      <c r="I5" s="47"/>
      <c r="J5" s="42" t="s">
        <v>41</v>
      </c>
      <c r="K5" s="42"/>
      <c r="L5" s="42">
        <v>1215</v>
      </c>
      <c r="M5" s="42"/>
      <c r="N5" s="41"/>
      <c r="O5" s="41"/>
      <c r="P5" s="41">
        <v>0</v>
      </c>
      <c r="Q5" s="41"/>
      <c r="R5" s="45" t="s">
        <v>55</v>
      </c>
      <c r="S5" s="45"/>
      <c r="T5" s="45">
        <v>246</v>
      </c>
      <c r="U5" s="45"/>
      <c r="V5" s="44" t="s">
        <v>58</v>
      </c>
      <c r="W5" s="44"/>
      <c r="X5" s="44">
        <v>620</v>
      </c>
      <c r="Y5" s="44"/>
      <c r="Z5" s="1"/>
      <c r="AA5" s="1"/>
      <c r="AB5" s="1">
        <v>0</v>
      </c>
      <c r="AC5" s="1"/>
      <c r="AD5" s="43" t="s">
        <v>48</v>
      </c>
      <c r="AE5" s="43"/>
      <c r="AF5" s="43">
        <v>200</v>
      </c>
      <c r="AG5" s="43"/>
      <c r="AH5" s="44" t="s">
        <v>49</v>
      </c>
      <c r="AI5" s="44"/>
      <c r="AJ5" s="44">
        <v>900</v>
      </c>
      <c r="AK5" s="44"/>
      <c r="AL5" s="1" t="s">
        <v>48</v>
      </c>
      <c r="AM5" s="1"/>
      <c r="AN5" s="1">
        <v>672</v>
      </c>
      <c r="AO5" s="1"/>
      <c r="AP5" s="46" t="s">
        <v>224</v>
      </c>
      <c r="AQ5" s="46"/>
      <c r="AR5" s="46">
        <v>809</v>
      </c>
      <c r="AS5" s="46"/>
      <c r="AT5" s="1"/>
      <c r="AU5" s="1"/>
      <c r="AV5" s="1">
        <v>0</v>
      </c>
      <c r="AW5" s="1"/>
      <c r="AX5" s="1" t="s">
        <v>13</v>
      </c>
      <c r="AY5" s="1"/>
      <c r="AZ5" s="1">
        <v>0</v>
      </c>
      <c r="BA5" s="1"/>
      <c r="BB5" s="1" t="s">
        <v>14</v>
      </c>
      <c r="BC5" s="1"/>
      <c r="BD5" s="1">
        <v>0</v>
      </c>
      <c r="BE5" s="1"/>
      <c r="BF5" s="1"/>
      <c r="BG5" s="1"/>
      <c r="BH5" s="1">
        <v>0</v>
      </c>
      <c r="BI5" s="1"/>
      <c r="BJ5" s="1"/>
      <c r="BK5" s="1"/>
      <c r="BL5" s="1">
        <v>0</v>
      </c>
      <c r="BM5" s="1"/>
      <c r="BN5" s="1"/>
      <c r="BO5" s="1"/>
      <c r="BP5" s="1">
        <v>0</v>
      </c>
      <c r="BQ5" s="1"/>
      <c r="BR5" s="1" t="s">
        <v>18</v>
      </c>
      <c r="BS5" s="1"/>
      <c r="BT5" s="1">
        <v>0</v>
      </c>
      <c r="BU5" s="1"/>
      <c r="BV5" s="1"/>
      <c r="BW5" s="1"/>
      <c r="BX5" s="1">
        <v>0</v>
      </c>
      <c r="BY5" s="1"/>
      <c r="BZ5" s="1">
        <v>33260</v>
      </c>
      <c r="CA5" s="1">
        <v>33260</v>
      </c>
      <c r="CB5" s="49"/>
      <c r="CC5" s="1"/>
      <c r="CD5" s="49"/>
      <c r="CE5" s="1"/>
      <c r="CF5" s="49"/>
      <c r="CG5" s="1"/>
      <c r="CH5" s="1">
        <v>33260</v>
      </c>
      <c r="CI5" s="49"/>
      <c r="CJ5" s="1"/>
      <c r="CK5" s="49"/>
      <c r="CL5" s="1"/>
      <c r="CM5" s="1"/>
      <c r="CN5" s="1"/>
      <c r="CO5" s="1">
        <v>33260</v>
      </c>
      <c r="CP5" s="49"/>
      <c r="CQ5" s="1">
        <v>33260</v>
      </c>
      <c r="CR5" s="49">
        <v>0.18</v>
      </c>
      <c r="CS5" s="1">
        <v>5986.8</v>
      </c>
      <c r="CT5" s="1">
        <v>39246.800000000003</v>
      </c>
      <c r="CU5" s="48">
        <v>8.5</v>
      </c>
      <c r="CV5" s="48" t="s">
        <v>225</v>
      </c>
      <c r="CW5" s="48">
        <v>333598</v>
      </c>
      <c r="CX5" s="1">
        <v>300</v>
      </c>
      <c r="CY5" s="10" t="s">
        <v>237</v>
      </c>
      <c r="CZ5" s="10" t="s">
        <v>238</v>
      </c>
    </row>
    <row r="6" spans="1:104" s="10" customFormat="1" ht="18" customHeight="1" x14ac:dyDescent="0.25">
      <c r="A6" s="6" t="s">
        <v>219</v>
      </c>
      <c r="B6" s="52"/>
      <c r="C6" s="1" t="s">
        <v>239</v>
      </c>
      <c r="D6" s="1" t="s">
        <v>240</v>
      </c>
      <c r="E6" s="1" t="s">
        <v>222</v>
      </c>
      <c r="F6" s="47" t="s">
        <v>223</v>
      </c>
      <c r="G6" s="47"/>
      <c r="H6" s="47">
        <v>148</v>
      </c>
      <c r="I6" s="47"/>
      <c r="J6" s="42" t="s">
        <v>41</v>
      </c>
      <c r="K6" s="42"/>
      <c r="L6" s="42">
        <v>2732</v>
      </c>
      <c r="M6" s="42"/>
      <c r="N6" s="41"/>
      <c r="O6" s="41"/>
      <c r="P6" s="41">
        <v>0</v>
      </c>
      <c r="Q6" s="41"/>
      <c r="R6" s="45" t="s">
        <v>55</v>
      </c>
      <c r="S6" s="45"/>
      <c r="T6" s="45">
        <v>200</v>
      </c>
      <c r="U6" s="45"/>
      <c r="V6" s="44" t="s">
        <v>58</v>
      </c>
      <c r="W6" s="44"/>
      <c r="X6" s="44">
        <v>465</v>
      </c>
      <c r="Y6" s="44"/>
      <c r="Z6" s="1"/>
      <c r="AA6" s="1"/>
      <c r="AB6" s="1">
        <v>0</v>
      </c>
      <c r="AC6" s="1"/>
      <c r="AD6" s="43" t="s">
        <v>48</v>
      </c>
      <c r="AE6" s="43"/>
      <c r="AF6" s="43">
        <v>185</v>
      </c>
      <c r="AG6" s="43"/>
      <c r="AH6" s="44" t="s">
        <v>66</v>
      </c>
      <c r="AI6" s="44"/>
      <c r="AJ6" s="44">
        <v>773</v>
      </c>
      <c r="AK6" s="44"/>
      <c r="AL6" s="1" t="s">
        <v>48</v>
      </c>
      <c r="AM6" s="1"/>
      <c r="AN6" s="1">
        <v>655</v>
      </c>
      <c r="AO6" s="1"/>
      <c r="AP6" s="46"/>
      <c r="AQ6" s="46"/>
      <c r="AR6" s="46">
        <v>0</v>
      </c>
      <c r="AS6" s="46"/>
      <c r="AT6" s="1"/>
      <c r="AU6" s="1"/>
      <c r="AV6" s="1">
        <v>0</v>
      </c>
      <c r="AW6" s="1"/>
      <c r="AX6" s="1" t="s">
        <v>13</v>
      </c>
      <c r="AY6" s="1"/>
      <c r="AZ6" s="1">
        <v>0</v>
      </c>
      <c r="BA6" s="1"/>
      <c r="BB6" s="1" t="s">
        <v>14</v>
      </c>
      <c r="BC6" s="1"/>
      <c r="BD6" s="1">
        <v>99</v>
      </c>
      <c r="BE6" s="1"/>
      <c r="BF6" s="1"/>
      <c r="BG6" s="1"/>
      <c r="BH6" s="1">
        <v>59</v>
      </c>
      <c r="BI6" s="1"/>
      <c r="BJ6" s="1"/>
      <c r="BK6" s="1"/>
      <c r="BL6" s="1">
        <v>0</v>
      </c>
      <c r="BM6" s="1"/>
      <c r="BN6" s="1"/>
      <c r="BO6" s="1"/>
      <c r="BP6" s="1">
        <v>0</v>
      </c>
      <c r="BQ6" s="1"/>
      <c r="BR6" s="1" t="s">
        <v>18</v>
      </c>
      <c r="BS6" s="1"/>
      <c r="BT6" s="1">
        <v>52</v>
      </c>
      <c r="BU6" s="1"/>
      <c r="BV6" s="1"/>
      <c r="BW6" s="1"/>
      <c r="BX6" s="1">
        <v>0</v>
      </c>
      <c r="BY6" s="1"/>
      <c r="BZ6" s="1">
        <v>66500</v>
      </c>
      <c r="CA6" s="1">
        <v>66500</v>
      </c>
      <c r="CB6" s="49"/>
      <c r="CC6" s="1"/>
      <c r="CD6" s="49"/>
      <c r="CE6" s="1"/>
      <c r="CF6" s="49"/>
      <c r="CG6" s="1"/>
      <c r="CH6" s="1">
        <v>66500</v>
      </c>
      <c r="CI6" s="49"/>
      <c r="CJ6" s="1"/>
      <c r="CK6" s="49"/>
      <c r="CL6" s="1"/>
      <c r="CM6" s="1"/>
      <c r="CN6" s="1"/>
      <c r="CO6" s="1">
        <v>66500</v>
      </c>
      <c r="CP6" s="49"/>
      <c r="CQ6" s="1">
        <v>66500</v>
      </c>
      <c r="CR6" s="49">
        <v>0.18</v>
      </c>
      <c r="CS6" s="1">
        <v>11970</v>
      </c>
      <c r="CT6" s="1">
        <v>78470</v>
      </c>
      <c r="CU6" s="48">
        <v>14.2</v>
      </c>
      <c r="CV6" s="48" t="s">
        <v>225</v>
      </c>
      <c r="CW6" s="48">
        <v>1114274</v>
      </c>
      <c r="CX6" s="1">
        <v>500</v>
      </c>
      <c r="CY6" s="10" t="s">
        <v>241</v>
      </c>
      <c r="CZ6" s="10" t="s">
        <v>242</v>
      </c>
    </row>
    <row r="7" spans="1:104" s="10" customFormat="1" ht="18" customHeight="1" x14ac:dyDescent="0.25">
      <c r="A7" s="6"/>
      <c r="B7" s="52"/>
      <c r="C7" s="1"/>
      <c r="D7" s="1"/>
      <c r="E7" s="1"/>
      <c r="F7" s="47"/>
      <c r="G7" s="47"/>
      <c r="H7" s="47"/>
      <c r="I7" s="47"/>
      <c r="J7" s="42"/>
      <c r="K7" s="42"/>
      <c r="L7" s="42"/>
      <c r="M7" s="42"/>
      <c r="N7" s="41"/>
      <c r="O7" s="41"/>
      <c r="P7" s="41"/>
      <c r="Q7" s="41"/>
      <c r="R7" s="45"/>
      <c r="S7" s="45"/>
      <c r="T7" s="45"/>
      <c r="U7" s="45"/>
      <c r="V7" s="44"/>
      <c r="W7" s="44"/>
      <c r="X7" s="44"/>
      <c r="Y7" s="44"/>
      <c r="Z7" s="1"/>
      <c r="AA7" s="1"/>
      <c r="AB7" s="1"/>
      <c r="AC7" s="1"/>
      <c r="AD7" s="43"/>
      <c r="AE7" s="43"/>
      <c r="AF7" s="43"/>
      <c r="AG7" s="43"/>
      <c r="AH7" s="44"/>
      <c r="AI7" s="44"/>
      <c r="AJ7" s="44"/>
      <c r="AK7" s="44"/>
      <c r="AL7" s="1"/>
      <c r="AM7" s="1"/>
      <c r="AN7" s="1"/>
      <c r="AO7" s="1"/>
      <c r="AP7" s="46"/>
      <c r="AQ7" s="46"/>
      <c r="AR7" s="46"/>
      <c r="AS7" s="46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49"/>
      <c r="CC7" s="1"/>
      <c r="CD7" s="49"/>
      <c r="CE7" s="1"/>
      <c r="CF7" s="49"/>
      <c r="CG7" s="1"/>
      <c r="CH7" s="1"/>
      <c r="CI7" s="49"/>
      <c r="CJ7" s="1"/>
      <c r="CK7" s="49"/>
      <c r="CL7" s="1"/>
      <c r="CM7" s="1"/>
      <c r="CN7" s="1"/>
      <c r="CO7" s="1"/>
      <c r="CP7" s="49"/>
      <c r="CQ7" s="1"/>
      <c r="CR7" s="1"/>
      <c r="CS7" s="1"/>
      <c r="CT7" s="1"/>
      <c r="CU7" s="48"/>
      <c r="CV7" s="48"/>
      <c r="CW7" s="48"/>
      <c r="CX7" s="1"/>
    </row>
    <row r="8" spans="1:104" s="10" customFormat="1" ht="18" customHeight="1" x14ac:dyDescent="0.25">
      <c r="A8" s="6"/>
      <c r="B8" s="52"/>
      <c r="C8" s="1"/>
      <c r="D8" s="1"/>
      <c r="E8" s="1"/>
      <c r="F8" s="47"/>
      <c r="G8" s="47"/>
      <c r="H8" s="47"/>
      <c r="I8" s="47"/>
      <c r="J8" s="42"/>
      <c r="K8" s="42"/>
      <c r="L8" s="42"/>
      <c r="M8" s="42"/>
      <c r="N8" s="41"/>
      <c r="O8" s="41"/>
      <c r="P8" s="41"/>
      <c r="Q8" s="41"/>
      <c r="R8" s="45"/>
      <c r="S8" s="45"/>
      <c r="T8" s="45"/>
      <c r="U8" s="45"/>
      <c r="V8" s="44"/>
      <c r="W8" s="44"/>
      <c r="X8" s="44"/>
      <c r="Y8" s="44"/>
      <c r="Z8" s="1"/>
      <c r="AA8" s="1"/>
      <c r="AB8" s="1"/>
      <c r="AC8" s="1"/>
      <c r="AD8" s="43"/>
      <c r="AE8" s="43"/>
      <c r="AF8" s="43"/>
      <c r="AG8" s="43"/>
      <c r="AH8" s="44"/>
      <c r="AI8" s="44"/>
      <c r="AJ8" s="44"/>
      <c r="AK8" s="44"/>
      <c r="AL8" s="1"/>
      <c r="AM8" s="1"/>
      <c r="AN8" s="1"/>
      <c r="AO8" s="1"/>
      <c r="AP8" s="46"/>
      <c r="AQ8" s="46"/>
      <c r="AR8" s="46"/>
      <c r="AS8" s="4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49"/>
      <c r="CC8" s="1"/>
      <c r="CD8" s="49"/>
      <c r="CE8" s="1"/>
      <c r="CF8" s="49"/>
      <c r="CG8" s="1"/>
      <c r="CH8" s="1"/>
      <c r="CI8" s="49"/>
      <c r="CJ8" s="1"/>
      <c r="CK8" s="49"/>
      <c r="CL8" s="1"/>
      <c r="CM8" s="1"/>
      <c r="CN8" s="1"/>
      <c r="CO8" s="1"/>
      <c r="CP8" s="49"/>
      <c r="CQ8" s="1"/>
      <c r="CR8" s="1"/>
      <c r="CS8" s="1"/>
      <c r="CT8" s="1"/>
      <c r="CU8" s="48"/>
      <c r="CV8" s="48"/>
      <c r="CW8" s="48"/>
      <c r="CX8" s="1"/>
    </row>
    <row r="9" spans="1:104" s="10" customFormat="1" ht="18" customHeight="1" x14ac:dyDescent="0.25">
      <c r="A9" s="6"/>
      <c r="B9" s="52"/>
      <c r="C9" s="1"/>
      <c r="D9" s="1"/>
      <c r="E9" s="1"/>
      <c r="F9" s="47"/>
      <c r="G9" s="47"/>
      <c r="H9" s="47"/>
      <c r="I9" s="47"/>
      <c r="J9" s="42"/>
      <c r="K9" s="42"/>
      <c r="L9" s="42"/>
      <c r="M9" s="42"/>
      <c r="N9" s="41"/>
      <c r="O9" s="41"/>
      <c r="P9" s="41"/>
      <c r="Q9" s="41"/>
      <c r="R9" s="45"/>
      <c r="S9" s="45"/>
      <c r="T9" s="45"/>
      <c r="U9" s="45"/>
      <c r="V9" s="44"/>
      <c r="W9" s="44"/>
      <c r="X9" s="44"/>
      <c r="Y9" s="44"/>
      <c r="Z9" s="1"/>
      <c r="AA9" s="1"/>
      <c r="AB9" s="1"/>
      <c r="AC9" s="1"/>
      <c r="AD9" s="43"/>
      <c r="AE9" s="43"/>
      <c r="AF9" s="43"/>
      <c r="AG9" s="43"/>
      <c r="AH9" s="44"/>
      <c r="AI9" s="44"/>
      <c r="AJ9" s="44"/>
      <c r="AK9" s="44"/>
      <c r="AL9" s="1"/>
      <c r="AM9" s="1"/>
      <c r="AN9" s="1"/>
      <c r="AO9" s="1"/>
      <c r="AP9" s="46"/>
      <c r="AQ9" s="46"/>
      <c r="AR9" s="46"/>
      <c r="AS9" s="46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49"/>
      <c r="CC9" s="1"/>
      <c r="CD9" s="49"/>
      <c r="CE9" s="1"/>
      <c r="CF9" s="49"/>
      <c r="CG9" s="1"/>
      <c r="CH9" s="1"/>
      <c r="CI9" s="49"/>
      <c r="CJ9" s="1"/>
      <c r="CK9" s="49"/>
      <c r="CL9" s="1"/>
      <c r="CM9" s="1"/>
      <c r="CN9" s="1"/>
      <c r="CO9" s="1"/>
      <c r="CP9" s="49"/>
      <c r="CQ9" s="1"/>
      <c r="CR9" s="1"/>
      <c r="CS9" s="1"/>
      <c r="CT9" s="1"/>
      <c r="CU9" s="48"/>
      <c r="CV9" s="48"/>
      <c r="CW9" s="48"/>
      <c r="CX9" s="1"/>
    </row>
    <row r="10" spans="1:104" s="10" customFormat="1" ht="18" customHeight="1" x14ac:dyDescent="0.25">
      <c r="A10" s="6"/>
      <c r="B10" s="52"/>
      <c r="C10" s="1"/>
      <c r="D10" s="1"/>
      <c r="E10" s="1"/>
      <c r="F10" s="47"/>
      <c r="G10" s="47"/>
      <c r="H10" s="47"/>
      <c r="I10" s="47"/>
      <c r="J10" s="42"/>
      <c r="K10" s="42"/>
      <c r="L10" s="42"/>
      <c r="M10" s="42"/>
      <c r="N10" s="41"/>
      <c r="O10" s="41"/>
      <c r="P10" s="41"/>
      <c r="Q10" s="41"/>
      <c r="R10" s="45"/>
      <c r="S10" s="45"/>
      <c r="T10" s="45"/>
      <c r="U10" s="45"/>
      <c r="V10" s="44"/>
      <c r="W10" s="44"/>
      <c r="X10" s="44"/>
      <c r="Y10" s="44"/>
      <c r="Z10" s="1"/>
      <c r="AA10" s="1"/>
      <c r="AB10" s="1"/>
      <c r="AC10" s="1"/>
      <c r="AD10" s="43"/>
      <c r="AE10" s="43"/>
      <c r="AF10" s="43"/>
      <c r="AG10" s="43"/>
      <c r="AH10" s="44"/>
      <c r="AI10" s="44"/>
      <c r="AJ10" s="44"/>
      <c r="AK10" s="44"/>
      <c r="AL10" s="1"/>
      <c r="AM10" s="1"/>
      <c r="AN10" s="1"/>
      <c r="AO10" s="1"/>
      <c r="AP10" s="46"/>
      <c r="AQ10" s="46"/>
      <c r="AR10" s="46"/>
      <c r="AS10" s="4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49"/>
      <c r="CC10" s="1"/>
      <c r="CD10" s="49"/>
      <c r="CE10" s="1"/>
      <c r="CF10" s="49"/>
      <c r="CG10" s="1"/>
      <c r="CH10" s="1"/>
      <c r="CI10" s="49"/>
      <c r="CJ10" s="1"/>
      <c r="CK10" s="49"/>
      <c r="CL10" s="1"/>
      <c r="CM10" s="1"/>
      <c r="CN10" s="1"/>
      <c r="CO10" s="1"/>
      <c r="CP10" s="49"/>
      <c r="CQ10" s="1"/>
      <c r="CR10" s="1"/>
      <c r="CS10" s="1"/>
      <c r="CT10" s="1"/>
      <c r="CU10" s="48"/>
      <c r="CV10" s="48"/>
      <c r="CW10" s="48"/>
      <c r="CX10" s="1"/>
    </row>
    <row r="11" spans="1:104" s="10" customFormat="1" ht="18" customHeight="1" x14ac:dyDescent="0.25">
      <c r="A11" s="6"/>
      <c r="B11" s="52"/>
      <c r="C11" s="1"/>
      <c r="D11" s="1"/>
      <c r="E11" s="1"/>
      <c r="F11" s="47"/>
      <c r="G11" s="47"/>
      <c r="H11" s="47"/>
      <c r="I11" s="47"/>
      <c r="J11" s="42"/>
      <c r="K11" s="42"/>
      <c r="L11" s="42"/>
      <c r="M11" s="42"/>
      <c r="N11" s="41"/>
      <c r="O11" s="41"/>
      <c r="P11" s="41"/>
      <c r="Q11" s="41"/>
      <c r="R11" s="45"/>
      <c r="S11" s="45"/>
      <c r="T11" s="45"/>
      <c r="U11" s="45"/>
      <c r="V11" s="44"/>
      <c r="W11" s="44"/>
      <c r="X11" s="44"/>
      <c r="Y11" s="44"/>
      <c r="Z11" s="1"/>
      <c r="AA11" s="1"/>
      <c r="AB11" s="1"/>
      <c r="AC11" s="1"/>
      <c r="AD11" s="43"/>
      <c r="AE11" s="43"/>
      <c r="AF11" s="43"/>
      <c r="AG11" s="43"/>
      <c r="AH11" s="44"/>
      <c r="AI11" s="44"/>
      <c r="AJ11" s="44"/>
      <c r="AK11" s="44"/>
      <c r="AL11" s="1"/>
      <c r="AM11" s="1"/>
      <c r="AN11" s="1"/>
      <c r="AO11" s="1"/>
      <c r="AP11" s="46"/>
      <c r="AQ11" s="46"/>
      <c r="AR11" s="46"/>
      <c r="AS11" s="4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49"/>
      <c r="CC11" s="1"/>
      <c r="CD11" s="49"/>
      <c r="CE11" s="1"/>
      <c r="CF11" s="49"/>
      <c r="CG11" s="1"/>
      <c r="CH11" s="1"/>
      <c r="CI11" s="49"/>
      <c r="CJ11" s="1"/>
      <c r="CK11" s="49"/>
      <c r="CL11" s="1"/>
      <c r="CM11" s="1"/>
      <c r="CN11" s="1"/>
      <c r="CO11" s="1"/>
      <c r="CP11" s="49"/>
      <c r="CQ11" s="1"/>
      <c r="CR11" s="1"/>
      <c r="CS11" s="1"/>
      <c r="CT11" s="1"/>
      <c r="CU11" s="48"/>
      <c r="CV11" s="48"/>
      <c r="CW11" s="48"/>
      <c r="CX11" s="1"/>
    </row>
    <row r="12" spans="1:104" s="10" customFormat="1" ht="18" customHeight="1" x14ac:dyDescent="0.25">
      <c r="A12" s="6"/>
      <c r="B12" s="52"/>
      <c r="C12" s="1"/>
      <c r="D12" s="1"/>
      <c r="E12" s="1"/>
      <c r="F12" s="47"/>
      <c r="G12" s="47"/>
      <c r="H12" s="47"/>
      <c r="I12" s="47"/>
      <c r="J12" s="42"/>
      <c r="K12" s="42"/>
      <c r="L12" s="42"/>
      <c r="M12" s="42"/>
      <c r="N12" s="41"/>
      <c r="O12" s="41"/>
      <c r="P12" s="41"/>
      <c r="Q12" s="41"/>
      <c r="R12" s="45"/>
      <c r="S12" s="45"/>
      <c r="T12" s="45"/>
      <c r="U12" s="45"/>
      <c r="V12" s="44"/>
      <c r="W12" s="44"/>
      <c r="X12" s="44"/>
      <c r="Y12" s="44"/>
      <c r="Z12" s="1"/>
      <c r="AA12" s="1"/>
      <c r="AB12" s="1"/>
      <c r="AC12" s="1"/>
      <c r="AD12" s="43"/>
      <c r="AE12" s="43"/>
      <c r="AF12" s="43"/>
      <c r="AG12" s="43"/>
      <c r="AH12" s="44"/>
      <c r="AI12" s="44"/>
      <c r="AJ12" s="44"/>
      <c r="AK12" s="44"/>
      <c r="AL12" s="1"/>
      <c r="AM12" s="1"/>
      <c r="AN12" s="1"/>
      <c r="AO12" s="1"/>
      <c r="AP12" s="46"/>
      <c r="AQ12" s="46"/>
      <c r="AR12" s="46"/>
      <c r="AS12" s="4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49"/>
      <c r="CC12" s="1"/>
      <c r="CD12" s="49"/>
      <c r="CE12" s="1"/>
      <c r="CF12" s="49"/>
      <c r="CG12" s="1"/>
      <c r="CH12" s="1"/>
      <c r="CI12" s="49"/>
      <c r="CJ12" s="1"/>
      <c r="CK12" s="49"/>
      <c r="CL12" s="1"/>
      <c r="CM12" s="1"/>
      <c r="CN12" s="1"/>
      <c r="CO12" s="1"/>
      <c r="CP12" s="49"/>
      <c r="CQ12" s="1"/>
      <c r="CR12" s="1"/>
      <c r="CS12" s="1"/>
      <c r="CT12" s="1"/>
      <c r="CU12" s="48"/>
      <c r="CV12" s="48"/>
      <c r="CW12" s="48"/>
      <c r="CX12" s="1"/>
    </row>
    <row r="13" spans="1:104" s="10" customFormat="1" ht="18" customHeight="1" x14ac:dyDescent="0.25">
      <c r="A13" s="6"/>
      <c r="B13" s="52"/>
      <c r="C13" s="1"/>
      <c r="D13" s="1"/>
      <c r="E13" s="1"/>
      <c r="F13" s="47"/>
      <c r="G13" s="47"/>
      <c r="H13" s="47"/>
      <c r="I13" s="47"/>
      <c r="J13" s="42"/>
      <c r="K13" s="42"/>
      <c r="L13" s="42"/>
      <c r="M13" s="42"/>
      <c r="N13" s="41"/>
      <c r="O13" s="41"/>
      <c r="P13" s="41"/>
      <c r="Q13" s="41"/>
      <c r="R13" s="45"/>
      <c r="S13" s="45"/>
      <c r="T13" s="45"/>
      <c r="U13" s="45"/>
      <c r="V13" s="44"/>
      <c r="W13" s="44"/>
      <c r="X13" s="44"/>
      <c r="Y13" s="44"/>
      <c r="Z13" s="1"/>
      <c r="AA13" s="1"/>
      <c r="AB13" s="1"/>
      <c r="AC13" s="1"/>
      <c r="AD13" s="43"/>
      <c r="AE13" s="43"/>
      <c r="AF13" s="43"/>
      <c r="AG13" s="43"/>
      <c r="AH13" s="44"/>
      <c r="AI13" s="44"/>
      <c r="AJ13" s="44"/>
      <c r="AK13" s="44"/>
      <c r="AL13" s="1"/>
      <c r="AM13" s="1"/>
      <c r="AN13" s="1"/>
      <c r="AO13" s="1"/>
      <c r="AP13" s="46"/>
      <c r="AQ13" s="46"/>
      <c r="AR13" s="46"/>
      <c r="AS13" s="4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49"/>
      <c r="CC13" s="1"/>
      <c r="CD13" s="49"/>
      <c r="CE13" s="1"/>
      <c r="CF13" s="49"/>
      <c r="CG13" s="1"/>
      <c r="CH13" s="1"/>
      <c r="CI13" s="49"/>
      <c r="CJ13" s="1"/>
      <c r="CK13" s="49"/>
      <c r="CL13" s="1"/>
      <c r="CM13" s="1"/>
      <c r="CN13" s="1"/>
      <c r="CO13" s="1"/>
      <c r="CP13" s="49"/>
      <c r="CQ13" s="1"/>
      <c r="CR13" s="1"/>
      <c r="CS13" s="1"/>
      <c r="CT13" s="1"/>
      <c r="CU13" s="48"/>
      <c r="CV13" s="48"/>
      <c r="CW13" s="48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47"/>
      <c r="G14" s="47"/>
      <c r="H14" s="47"/>
      <c r="I14" s="47"/>
      <c r="J14" s="42"/>
      <c r="K14" s="42"/>
      <c r="L14" s="42"/>
      <c r="M14" s="42"/>
      <c r="N14" s="41"/>
      <c r="O14" s="41"/>
      <c r="P14" s="41"/>
      <c r="Q14" s="41"/>
      <c r="R14" s="45"/>
      <c r="S14" s="45"/>
      <c r="T14" s="45"/>
      <c r="U14" s="45"/>
      <c r="V14" s="44"/>
      <c r="W14" s="44"/>
      <c r="X14" s="44"/>
      <c r="Y14" s="44"/>
      <c r="Z14" s="1"/>
      <c r="AA14" s="1"/>
      <c r="AB14" s="1"/>
      <c r="AC14" s="1"/>
      <c r="AD14" s="43"/>
      <c r="AE14" s="43"/>
      <c r="AF14" s="43"/>
      <c r="AG14" s="43"/>
      <c r="AH14" s="44"/>
      <c r="AI14" s="44"/>
      <c r="AJ14" s="44"/>
      <c r="AK14" s="44"/>
      <c r="AL14" s="1"/>
      <c r="AM14" s="1"/>
      <c r="AN14" s="1"/>
      <c r="AO14" s="1"/>
      <c r="AP14" s="46"/>
      <c r="AQ14" s="46"/>
      <c r="AR14" s="46"/>
      <c r="AS14" s="4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48"/>
      <c r="CW14" s="48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47"/>
      <c r="G15" s="47"/>
      <c r="H15" s="47"/>
      <c r="I15" s="47"/>
      <c r="J15" s="42"/>
      <c r="K15" s="42"/>
      <c r="L15" s="42"/>
      <c r="M15" s="42"/>
      <c r="N15" s="41"/>
      <c r="O15" s="41"/>
      <c r="P15" s="41"/>
      <c r="Q15" s="41"/>
      <c r="R15" s="45"/>
      <c r="S15" s="45"/>
      <c r="T15" s="45"/>
      <c r="U15" s="45"/>
      <c r="V15" s="44"/>
      <c r="W15" s="44"/>
      <c r="X15" s="44"/>
      <c r="Y15" s="44"/>
      <c r="Z15" s="1"/>
      <c r="AA15" s="1"/>
      <c r="AB15" s="1"/>
      <c r="AC15" s="1"/>
      <c r="AD15" s="43"/>
      <c r="AE15" s="43"/>
      <c r="AF15" s="43"/>
      <c r="AG15" s="43"/>
      <c r="AH15" s="44"/>
      <c r="AI15" s="44"/>
      <c r="AJ15" s="44"/>
      <c r="AK15" s="44"/>
      <c r="AL15" s="1"/>
      <c r="AM15" s="1"/>
      <c r="AN15" s="1"/>
      <c r="AO15" s="1"/>
      <c r="AP15" s="46"/>
      <c r="AQ15" s="46"/>
      <c r="AR15" s="46"/>
      <c r="AS15" s="4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48"/>
      <c r="CW15" s="48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47"/>
      <c r="G16" s="47"/>
      <c r="H16" s="47"/>
      <c r="I16" s="47"/>
      <c r="J16" s="42"/>
      <c r="K16" s="42"/>
      <c r="L16" s="42"/>
      <c r="M16" s="42"/>
      <c r="N16" s="41"/>
      <c r="O16" s="41"/>
      <c r="P16" s="41"/>
      <c r="Q16" s="41"/>
      <c r="R16" s="45"/>
      <c r="S16" s="45"/>
      <c r="T16" s="45"/>
      <c r="U16" s="45"/>
      <c r="V16" s="44"/>
      <c r="W16" s="44"/>
      <c r="X16" s="44"/>
      <c r="Y16" s="44"/>
      <c r="Z16" s="1"/>
      <c r="AA16" s="1"/>
      <c r="AB16" s="1"/>
      <c r="AC16" s="1"/>
      <c r="AD16" s="43"/>
      <c r="AE16" s="43"/>
      <c r="AF16" s="43"/>
      <c r="AG16" s="43"/>
      <c r="AH16" s="44"/>
      <c r="AI16" s="44"/>
      <c r="AJ16" s="44"/>
      <c r="AK16" s="44"/>
      <c r="AL16" s="1"/>
      <c r="AM16" s="1"/>
      <c r="AN16" s="1"/>
      <c r="AO16" s="1"/>
      <c r="AP16" s="46"/>
      <c r="AQ16" s="46"/>
      <c r="AR16" s="46"/>
      <c r="AS16" s="4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48"/>
      <c r="CW16" s="48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47"/>
      <c r="G17" s="47"/>
      <c r="H17" s="47"/>
      <c r="I17" s="47"/>
      <c r="J17" s="42"/>
      <c r="K17" s="42"/>
      <c r="L17" s="42"/>
      <c r="M17" s="42"/>
      <c r="N17" s="41"/>
      <c r="O17" s="41"/>
      <c r="P17" s="41"/>
      <c r="Q17" s="41"/>
      <c r="R17" s="45"/>
      <c r="S17" s="45"/>
      <c r="T17" s="45"/>
      <c r="U17" s="45"/>
      <c r="V17" s="44"/>
      <c r="W17" s="44"/>
      <c r="X17" s="44"/>
      <c r="Y17" s="44"/>
      <c r="Z17" s="1"/>
      <c r="AA17" s="1"/>
      <c r="AB17" s="1"/>
      <c r="AC17" s="1"/>
      <c r="AD17" s="43"/>
      <c r="AE17" s="43"/>
      <c r="AF17" s="43"/>
      <c r="AG17" s="43"/>
      <c r="AH17" s="44"/>
      <c r="AI17" s="44"/>
      <c r="AJ17" s="44"/>
      <c r="AK17" s="44"/>
      <c r="AL17" s="1"/>
      <c r="AM17" s="1"/>
      <c r="AN17" s="1"/>
      <c r="AO17" s="1"/>
      <c r="AP17" s="46"/>
      <c r="AQ17" s="46"/>
      <c r="AR17" s="46"/>
      <c r="AS17" s="4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48"/>
      <c r="CW17" s="48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47"/>
      <c r="G18" s="47"/>
      <c r="H18" s="47"/>
      <c r="I18" s="47"/>
      <c r="J18" s="42"/>
      <c r="K18" s="42"/>
      <c r="L18" s="42"/>
      <c r="M18" s="42"/>
      <c r="N18" s="41"/>
      <c r="O18" s="41"/>
      <c r="P18" s="41"/>
      <c r="Q18" s="41"/>
      <c r="R18" s="45"/>
      <c r="S18" s="45"/>
      <c r="T18" s="45"/>
      <c r="U18" s="45"/>
      <c r="V18" s="44"/>
      <c r="W18" s="44"/>
      <c r="X18" s="44"/>
      <c r="Y18" s="44"/>
      <c r="Z18" s="1"/>
      <c r="AA18" s="1"/>
      <c r="AB18" s="1"/>
      <c r="AC18" s="1"/>
      <c r="AD18" s="43"/>
      <c r="AE18" s="43"/>
      <c r="AF18" s="43"/>
      <c r="AG18" s="43"/>
      <c r="AH18" s="44"/>
      <c r="AI18" s="44"/>
      <c r="AJ18" s="44"/>
      <c r="AK18" s="44"/>
      <c r="AL18" s="1"/>
      <c r="AM18" s="1"/>
      <c r="AN18" s="1"/>
      <c r="AO18" s="1"/>
      <c r="AP18" s="46"/>
      <c r="AQ18" s="46"/>
      <c r="AR18" s="46"/>
      <c r="AS18" s="4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48"/>
      <c r="CW18" s="48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47"/>
      <c r="G19" s="47"/>
      <c r="H19" s="47"/>
      <c r="I19" s="47"/>
      <c r="J19" s="42"/>
      <c r="K19" s="42"/>
      <c r="L19" s="42"/>
      <c r="M19" s="42"/>
      <c r="N19" s="41"/>
      <c r="O19" s="41"/>
      <c r="P19" s="41"/>
      <c r="Q19" s="41"/>
      <c r="R19" s="45"/>
      <c r="S19" s="45"/>
      <c r="T19" s="45"/>
      <c r="U19" s="45"/>
      <c r="V19" s="44"/>
      <c r="W19" s="44"/>
      <c r="X19" s="44"/>
      <c r="Y19" s="44"/>
      <c r="Z19" s="1"/>
      <c r="AA19" s="1"/>
      <c r="AB19" s="1"/>
      <c r="AC19" s="1"/>
      <c r="AD19" s="43"/>
      <c r="AE19" s="43"/>
      <c r="AF19" s="43"/>
      <c r="AG19" s="43"/>
      <c r="AH19" s="44"/>
      <c r="AI19" s="44"/>
      <c r="AJ19" s="44"/>
      <c r="AK19" s="44"/>
      <c r="AL19" s="1"/>
      <c r="AM19" s="1"/>
      <c r="AN19" s="1"/>
      <c r="AO19" s="1"/>
      <c r="AP19" s="46"/>
      <c r="AQ19" s="46"/>
      <c r="AR19" s="46"/>
      <c r="AS19" s="4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48"/>
      <c r="CW19" s="48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47"/>
      <c r="G20" s="47"/>
      <c r="H20" s="47"/>
      <c r="I20" s="47"/>
      <c r="J20" s="42"/>
      <c r="K20" s="42"/>
      <c r="L20" s="42"/>
      <c r="M20" s="42"/>
      <c r="N20" s="41"/>
      <c r="O20" s="41"/>
      <c r="P20" s="41"/>
      <c r="Q20" s="41"/>
      <c r="R20" s="45"/>
      <c r="S20" s="45"/>
      <c r="T20" s="45"/>
      <c r="U20" s="45"/>
      <c r="V20" s="44"/>
      <c r="W20" s="44"/>
      <c r="X20" s="44"/>
      <c r="Y20" s="44"/>
      <c r="Z20" s="1"/>
      <c r="AA20" s="1"/>
      <c r="AB20" s="1"/>
      <c r="AC20" s="1"/>
      <c r="AD20" s="43"/>
      <c r="AE20" s="43"/>
      <c r="AF20" s="43"/>
      <c r="AG20" s="43"/>
      <c r="AH20" s="44"/>
      <c r="AI20" s="44"/>
      <c r="AJ20" s="44"/>
      <c r="AK20" s="44"/>
      <c r="AL20" s="1"/>
      <c r="AM20" s="1"/>
      <c r="AN20" s="1"/>
      <c r="AO20" s="1"/>
      <c r="AP20" s="46"/>
      <c r="AQ20" s="46"/>
      <c r="AR20" s="46"/>
      <c r="AS20" s="4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48"/>
      <c r="CW20" s="48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47"/>
      <c r="G21" s="47"/>
      <c r="H21" s="47"/>
      <c r="I21" s="47"/>
      <c r="J21" s="42"/>
      <c r="K21" s="42"/>
      <c r="L21" s="42"/>
      <c r="M21" s="42"/>
      <c r="N21" s="41"/>
      <c r="O21" s="41"/>
      <c r="P21" s="41"/>
      <c r="Q21" s="41"/>
      <c r="R21" s="45"/>
      <c r="S21" s="45"/>
      <c r="T21" s="45"/>
      <c r="U21" s="45"/>
      <c r="V21" s="44"/>
      <c r="W21" s="44"/>
      <c r="X21" s="44"/>
      <c r="Y21" s="44"/>
      <c r="Z21" s="1"/>
      <c r="AA21" s="1"/>
      <c r="AB21" s="1"/>
      <c r="AC21" s="1"/>
      <c r="AD21" s="43"/>
      <c r="AE21" s="43"/>
      <c r="AF21" s="43"/>
      <c r="AG21" s="43"/>
      <c r="AH21" s="44"/>
      <c r="AI21" s="44"/>
      <c r="AJ21" s="44"/>
      <c r="AK21" s="44"/>
      <c r="AL21" s="1"/>
      <c r="AM21" s="1"/>
      <c r="AN21" s="1"/>
      <c r="AO21" s="1"/>
      <c r="AP21" s="46"/>
      <c r="AQ21" s="46"/>
      <c r="AR21" s="46"/>
      <c r="AS21" s="4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48"/>
      <c r="CW21" s="48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47"/>
      <c r="G22" s="47"/>
      <c r="H22" s="47"/>
      <c r="I22" s="47"/>
      <c r="J22" s="42"/>
      <c r="K22" s="42"/>
      <c r="L22" s="42"/>
      <c r="M22" s="42"/>
      <c r="N22" s="41"/>
      <c r="O22" s="41"/>
      <c r="P22" s="41"/>
      <c r="Q22" s="41"/>
      <c r="R22" s="45"/>
      <c r="S22" s="45"/>
      <c r="T22" s="45"/>
      <c r="U22" s="45"/>
      <c r="V22" s="44"/>
      <c r="W22" s="44"/>
      <c r="X22" s="44"/>
      <c r="Y22" s="44"/>
      <c r="Z22" s="1"/>
      <c r="AA22" s="1"/>
      <c r="AB22" s="1"/>
      <c r="AC22" s="1"/>
      <c r="AD22" s="43"/>
      <c r="AE22" s="43"/>
      <c r="AF22" s="43"/>
      <c r="AG22" s="43"/>
      <c r="AH22" s="44"/>
      <c r="AI22" s="44"/>
      <c r="AJ22" s="44"/>
      <c r="AK22" s="44"/>
      <c r="AL22" s="1"/>
      <c r="AM22" s="1"/>
      <c r="AN22" s="1"/>
      <c r="AO22" s="1"/>
      <c r="AP22" s="46"/>
      <c r="AQ22" s="46"/>
      <c r="AR22" s="46"/>
      <c r="AS22" s="4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48"/>
      <c r="CW22" s="48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47"/>
      <c r="G23" s="47"/>
      <c r="H23" s="47"/>
      <c r="I23" s="47"/>
      <c r="J23" s="42"/>
      <c r="K23" s="42"/>
      <c r="L23" s="42"/>
      <c r="M23" s="42"/>
      <c r="N23" s="41"/>
      <c r="O23" s="41"/>
      <c r="P23" s="41"/>
      <c r="Q23" s="41"/>
      <c r="R23" s="45"/>
      <c r="S23" s="45"/>
      <c r="T23" s="45"/>
      <c r="U23" s="45"/>
      <c r="V23" s="44"/>
      <c r="W23" s="44"/>
      <c r="X23" s="44"/>
      <c r="Y23" s="44"/>
      <c r="Z23" s="1"/>
      <c r="AA23" s="1"/>
      <c r="AB23" s="1"/>
      <c r="AC23" s="1"/>
      <c r="AD23" s="43"/>
      <c r="AE23" s="43"/>
      <c r="AF23" s="43"/>
      <c r="AG23" s="43"/>
      <c r="AH23" s="44"/>
      <c r="AI23" s="44"/>
      <c r="AJ23" s="44"/>
      <c r="AK23" s="44"/>
      <c r="AL23" s="1"/>
      <c r="AM23" s="1"/>
      <c r="AN23" s="1"/>
      <c r="AO23" s="1"/>
      <c r="AP23" s="46"/>
      <c r="AQ23" s="46"/>
      <c r="AR23" s="46"/>
      <c r="AS23" s="4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48"/>
      <c r="CW23" s="48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47"/>
      <c r="G24" s="47"/>
      <c r="H24" s="47"/>
      <c r="I24" s="47"/>
      <c r="J24" s="42"/>
      <c r="K24" s="42"/>
      <c r="L24" s="42"/>
      <c r="M24" s="42"/>
      <c r="N24" s="41"/>
      <c r="O24" s="41"/>
      <c r="P24" s="41"/>
      <c r="Q24" s="41"/>
      <c r="R24" s="45"/>
      <c r="S24" s="45"/>
      <c r="T24" s="45"/>
      <c r="U24" s="45"/>
      <c r="V24" s="44"/>
      <c r="W24" s="44"/>
      <c r="X24" s="44"/>
      <c r="Y24" s="44"/>
      <c r="Z24" s="1"/>
      <c r="AA24" s="1"/>
      <c r="AB24" s="1"/>
      <c r="AC24" s="1"/>
      <c r="AD24" s="43"/>
      <c r="AE24" s="43"/>
      <c r="AF24" s="43"/>
      <c r="AG24" s="43"/>
      <c r="AH24" s="44"/>
      <c r="AI24" s="44"/>
      <c r="AJ24" s="44"/>
      <c r="AK24" s="44"/>
      <c r="AL24" s="1"/>
      <c r="AM24" s="1"/>
      <c r="AN24" s="1"/>
      <c r="AO24" s="1"/>
      <c r="AP24" s="46"/>
      <c r="AQ24" s="46"/>
      <c r="AR24" s="46"/>
      <c r="AS24" s="4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48"/>
      <c r="CW24" s="48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47"/>
      <c r="G25" s="47"/>
      <c r="H25" s="47"/>
      <c r="I25" s="47"/>
      <c r="J25" s="42"/>
      <c r="K25" s="42"/>
      <c r="L25" s="42"/>
      <c r="M25" s="42"/>
      <c r="N25" s="41"/>
      <c r="O25" s="41"/>
      <c r="P25" s="41"/>
      <c r="Q25" s="41"/>
      <c r="R25" s="45"/>
      <c r="S25" s="45"/>
      <c r="T25" s="45"/>
      <c r="U25" s="45"/>
      <c r="V25" s="44"/>
      <c r="W25" s="44"/>
      <c r="X25" s="44"/>
      <c r="Y25" s="44"/>
      <c r="Z25" s="1"/>
      <c r="AA25" s="1"/>
      <c r="AB25" s="1"/>
      <c r="AC25" s="1"/>
      <c r="AD25" s="43"/>
      <c r="AE25" s="43"/>
      <c r="AF25" s="43"/>
      <c r="AG25" s="43"/>
      <c r="AH25" s="44"/>
      <c r="AI25" s="44"/>
      <c r="AJ25" s="44"/>
      <c r="AK25" s="44"/>
      <c r="AL25" s="1"/>
      <c r="AM25" s="1"/>
      <c r="AN25" s="1"/>
      <c r="AO25" s="1"/>
      <c r="AP25" s="46"/>
      <c r="AQ25" s="46"/>
      <c r="AR25" s="46"/>
      <c r="AS25" s="4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48"/>
      <c r="CW25" s="48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47"/>
      <c r="G26" s="47"/>
      <c r="H26" s="47"/>
      <c r="I26" s="47"/>
      <c r="J26" s="42"/>
      <c r="K26" s="42"/>
      <c r="L26" s="42"/>
      <c r="M26" s="42"/>
      <c r="N26" s="41"/>
      <c r="O26" s="41"/>
      <c r="P26" s="41"/>
      <c r="Q26" s="41"/>
      <c r="R26" s="45"/>
      <c r="S26" s="45"/>
      <c r="T26" s="45"/>
      <c r="U26" s="45"/>
      <c r="V26" s="44"/>
      <c r="W26" s="44"/>
      <c r="X26" s="44"/>
      <c r="Y26" s="44"/>
      <c r="Z26" s="1"/>
      <c r="AA26" s="1"/>
      <c r="AB26" s="1"/>
      <c r="AC26" s="1"/>
      <c r="AD26" s="43"/>
      <c r="AE26" s="43"/>
      <c r="AF26" s="43"/>
      <c r="AG26" s="43"/>
      <c r="AH26" s="44"/>
      <c r="AI26" s="44"/>
      <c r="AJ26" s="44"/>
      <c r="AK26" s="44"/>
      <c r="AL26" s="1"/>
      <c r="AM26" s="1"/>
      <c r="AN26" s="1"/>
      <c r="AO26" s="1"/>
      <c r="AP26" s="46"/>
      <c r="AQ26" s="46"/>
      <c r="AR26" s="46"/>
      <c r="AS26" s="4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48"/>
      <c r="CW26" s="48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47"/>
      <c r="G27" s="47"/>
      <c r="H27" s="47"/>
      <c r="I27" s="47"/>
      <c r="J27" s="42"/>
      <c r="K27" s="42"/>
      <c r="L27" s="42"/>
      <c r="M27" s="42"/>
      <c r="N27" s="41"/>
      <c r="O27" s="41"/>
      <c r="P27" s="41"/>
      <c r="Q27" s="41"/>
      <c r="R27" s="45"/>
      <c r="S27" s="45"/>
      <c r="T27" s="45"/>
      <c r="U27" s="45"/>
      <c r="V27" s="44"/>
      <c r="W27" s="44"/>
      <c r="X27" s="44"/>
      <c r="Y27" s="44"/>
      <c r="Z27" s="1"/>
      <c r="AA27" s="1"/>
      <c r="AB27" s="1"/>
      <c r="AC27" s="1"/>
      <c r="AD27" s="43"/>
      <c r="AE27" s="43"/>
      <c r="AF27" s="43"/>
      <c r="AG27" s="43"/>
      <c r="AH27" s="44"/>
      <c r="AI27" s="44"/>
      <c r="AJ27" s="44"/>
      <c r="AK27" s="44"/>
      <c r="AL27" s="1"/>
      <c r="AM27" s="1"/>
      <c r="AN27" s="1"/>
      <c r="AO27" s="1"/>
      <c r="AP27" s="46"/>
      <c r="AQ27" s="46"/>
      <c r="AR27" s="46"/>
      <c r="AS27" s="4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48"/>
      <c r="CW27" s="48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47"/>
      <c r="G28" s="47"/>
      <c r="H28" s="47"/>
      <c r="I28" s="47"/>
      <c r="J28" s="42"/>
      <c r="K28" s="42"/>
      <c r="L28" s="42"/>
      <c r="M28" s="42"/>
      <c r="N28" s="41"/>
      <c r="O28" s="41"/>
      <c r="P28" s="41"/>
      <c r="Q28" s="41"/>
      <c r="R28" s="45"/>
      <c r="S28" s="45"/>
      <c r="T28" s="45"/>
      <c r="U28" s="45"/>
      <c r="V28" s="44"/>
      <c r="W28" s="44"/>
      <c r="X28" s="44"/>
      <c r="Y28" s="44"/>
      <c r="Z28" s="1"/>
      <c r="AA28" s="1"/>
      <c r="AB28" s="1"/>
      <c r="AC28" s="1"/>
      <c r="AD28" s="43"/>
      <c r="AE28" s="43"/>
      <c r="AF28" s="43"/>
      <c r="AG28" s="43"/>
      <c r="AH28" s="44"/>
      <c r="AI28" s="44"/>
      <c r="AJ28" s="44"/>
      <c r="AK28" s="44"/>
      <c r="AL28" s="1"/>
      <c r="AM28" s="1"/>
      <c r="AN28" s="1"/>
      <c r="AO28" s="1"/>
      <c r="AP28" s="46"/>
      <c r="AQ28" s="46"/>
      <c r="AR28" s="46"/>
      <c r="AS28" s="4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48"/>
      <c r="CW28" s="48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47"/>
      <c r="G29" s="47"/>
      <c r="H29" s="47"/>
      <c r="I29" s="47"/>
      <c r="J29" s="42"/>
      <c r="K29" s="42"/>
      <c r="L29" s="42"/>
      <c r="M29" s="42"/>
      <c r="N29" s="41"/>
      <c r="O29" s="41"/>
      <c r="P29" s="41"/>
      <c r="Q29" s="41"/>
      <c r="R29" s="45"/>
      <c r="S29" s="45"/>
      <c r="T29" s="45"/>
      <c r="U29" s="45"/>
      <c r="V29" s="44"/>
      <c r="W29" s="44"/>
      <c r="X29" s="44"/>
      <c r="Y29" s="44"/>
      <c r="Z29" s="1"/>
      <c r="AA29" s="1"/>
      <c r="AB29" s="1"/>
      <c r="AC29" s="1"/>
      <c r="AD29" s="43"/>
      <c r="AE29" s="43"/>
      <c r="AF29" s="43"/>
      <c r="AG29" s="43"/>
      <c r="AH29" s="44"/>
      <c r="AI29" s="44"/>
      <c r="AJ29" s="44"/>
      <c r="AK29" s="44"/>
      <c r="AL29" s="1"/>
      <c r="AM29" s="1"/>
      <c r="AN29" s="1"/>
      <c r="AO29" s="1"/>
      <c r="AP29" s="46"/>
      <c r="AQ29" s="46"/>
      <c r="AR29" s="46"/>
      <c r="AS29" s="4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48"/>
      <c r="CW29" s="48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47"/>
      <c r="G30" s="47"/>
      <c r="H30" s="47"/>
      <c r="I30" s="47"/>
      <c r="J30" s="42"/>
      <c r="K30" s="42"/>
      <c r="L30" s="42"/>
      <c r="M30" s="42"/>
      <c r="N30" s="41"/>
      <c r="O30" s="41"/>
      <c r="P30" s="41"/>
      <c r="Q30" s="41"/>
      <c r="R30" s="45"/>
      <c r="S30" s="45"/>
      <c r="T30" s="45"/>
      <c r="U30" s="45"/>
      <c r="V30" s="44"/>
      <c r="W30" s="44"/>
      <c r="X30" s="44"/>
      <c r="Y30" s="44"/>
      <c r="Z30" s="1"/>
      <c r="AA30" s="1"/>
      <c r="AB30" s="1"/>
      <c r="AC30" s="1"/>
      <c r="AD30" s="43"/>
      <c r="AE30" s="43"/>
      <c r="AF30" s="43"/>
      <c r="AG30" s="43"/>
      <c r="AH30" s="44"/>
      <c r="AI30" s="44"/>
      <c r="AJ30" s="44"/>
      <c r="AK30" s="44"/>
      <c r="AL30" s="1"/>
      <c r="AM30" s="1"/>
      <c r="AN30" s="1"/>
      <c r="AO30" s="1"/>
      <c r="AP30" s="46"/>
      <c r="AQ30" s="46"/>
      <c r="AR30" s="46"/>
      <c r="AS30" s="4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48"/>
      <c r="CW30" s="48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47"/>
      <c r="G31" s="47"/>
      <c r="H31" s="47"/>
      <c r="I31" s="47"/>
      <c r="J31" s="42"/>
      <c r="K31" s="42"/>
      <c r="L31" s="42"/>
      <c r="M31" s="42"/>
      <c r="N31" s="41"/>
      <c r="O31" s="41"/>
      <c r="P31" s="41"/>
      <c r="Q31" s="41"/>
      <c r="R31" s="45"/>
      <c r="S31" s="45"/>
      <c r="T31" s="45"/>
      <c r="U31" s="45"/>
      <c r="V31" s="44"/>
      <c r="W31" s="44"/>
      <c r="X31" s="44"/>
      <c r="Y31" s="44"/>
      <c r="Z31" s="1"/>
      <c r="AA31" s="1"/>
      <c r="AB31" s="1"/>
      <c r="AC31" s="1"/>
      <c r="AD31" s="43"/>
      <c r="AE31" s="43"/>
      <c r="AF31" s="43"/>
      <c r="AG31" s="43"/>
      <c r="AH31" s="44"/>
      <c r="AI31" s="44"/>
      <c r="AJ31" s="44"/>
      <c r="AK31" s="44"/>
      <c r="AL31" s="1"/>
      <c r="AM31" s="1"/>
      <c r="AN31" s="1"/>
      <c r="AO31" s="1"/>
      <c r="AP31" s="46"/>
      <c r="AQ31" s="46"/>
      <c r="AR31" s="46"/>
      <c r="AS31" s="4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48"/>
      <c r="CW31" s="48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47"/>
      <c r="G32" s="47"/>
      <c r="H32" s="47"/>
      <c r="I32" s="47"/>
      <c r="J32" s="42"/>
      <c r="K32" s="42"/>
      <c r="L32" s="42"/>
      <c r="M32" s="42"/>
      <c r="N32" s="41"/>
      <c r="O32" s="41"/>
      <c r="P32" s="41"/>
      <c r="Q32" s="41"/>
      <c r="R32" s="45"/>
      <c r="S32" s="45"/>
      <c r="T32" s="45"/>
      <c r="U32" s="45"/>
      <c r="V32" s="44"/>
      <c r="W32" s="44"/>
      <c r="X32" s="44"/>
      <c r="Y32" s="44"/>
      <c r="Z32" s="1"/>
      <c r="AA32" s="1"/>
      <c r="AB32" s="1"/>
      <c r="AC32" s="1"/>
      <c r="AD32" s="43"/>
      <c r="AE32" s="43"/>
      <c r="AF32" s="43"/>
      <c r="AG32" s="43"/>
      <c r="AH32" s="44"/>
      <c r="AI32" s="44"/>
      <c r="AJ32" s="44"/>
      <c r="AK32" s="44"/>
      <c r="AL32" s="1"/>
      <c r="AM32" s="1"/>
      <c r="AN32" s="1"/>
      <c r="AO32" s="1"/>
      <c r="AP32" s="46"/>
      <c r="AQ32" s="46"/>
      <c r="AR32" s="46"/>
      <c r="AS32" s="4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48"/>
      <c r="CW32" s="48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47"/>
      <c r="G33" s="47"/>
      <c r="H33" s="47"/>
      <c r="I33" s="47"/>
      <c r="J33" s="42"/>
      <c r="K33" s="42"/>
      <c r="L33" s="42"/>
      <c r="M33" s="42"/>
      <c r="N33" s="41"/>
      <c r="O33" s="41"/>
      <c r="P33" s="41"/>
      <c r="Q33" s="41"/>
      <c r="R33" s="45"/>
      <c r="S33" s="45"/>
      <c r="T33" s="45"/>
      <c r="U33" s="45"/>
      <c r="V33" s="44"/>
      <c r="W33" s="44"/>
      <c r="X33" s="44"/>
      <c r="Y33" s="44"/>
      <c r="Z33" s="1"/>
      <c r="AA33" s="1"/>
      <c r="AB33" s="1"/>
      <c r="AC33" s="1"/>
      <c r="AD33" s="43"/>
      <c r="AE33" s="43"/>
      <c r="AF33" s="43"/>
      <c r="AG33" s="43"/>
      <c r="AH33" s="44"/>
      <c r="AI33" s="44"/>
      <c r="AJ33" s="44"/>
      <c r="AK33" s="44"/>
      <c r="AL33" s="1"/>
      <c r="AM33" s="1"/>
      <c r="AN33" s="1"/>
      <c r="AO33" s="1"/>
      <c r="AP33" s="46"/>
      <c r="AQ33" s="46"/>
      <c r="AR33" s="46"/>
      <c r="AS33" s="4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48"/>
      <c r="CW33" s="48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47"/>
      <c r="G34" s="47"/>
      <c r="H34" s="47"/>
      <c r="I34" s="47"/>
      <c r="J34" s="42"/>
      <c r="K34" s="42"/>
      <c r="L34" s="42"/>
      <c r="M34" s="42"/>
      <c r="N34" s="41"/>
      <c r="O34" s="41"/>
      <c r="P34" s="41"/>
      <c r="Q34" s="41"/>
      <c r="R34" s="45"/>
      <c r="S34" s="45"/>
      <c r="T34" s="45"/>
      <c r="U34" s="45"/>
      <c r="V34" s="44"/>
      <c r="W34" s="44"/>
      <c r="X34" s="44"/>
      <c r="Y34" s="44"/>
      <c r="Z34" s="1"/>
      <c r="AA34" s="1"/>
      <c r="AB34" s="1"/>
      <c r="AC34" s="1"/>
      <c r="AD34" s="43"/>
      <c r="AE34" s="43"/>
      <c r="AF34" s="43"/>
      <c r="AG34" s="43"/>
      <c r="AH34" s="44"/>
      <c r="AI34" s="44"/>
      <c r="AJ34" s="44"/>
      <c r="AK34" s="44"/>
      <c r="AL34" s="1"/>
      <c r="AM34" s="1"/>
      <c r="AN34" s="1"/>
      <c r="AO34" s="1"/>
      <c r="AP34" s="46"/>
      <c r="AQ34" s="46"/>
      <c r="AR34" s="46"/>
      <c r="AS34" s="4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48"/>
      <c r="CW34" s="48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47"/>
      <c r="G35" s="47"/>
      <c r="H35" s="47"/>
      <c r="I35" s="47"/>
      <c r="J35" s="42"/>
      <c r="K35" s="42"/>
      <c r="L35" s="42"/>
      <c r="M35" s="42"/>
      <c r="N35" s="41"/>
      <c r="O35" s="41"/>
      <c r="P35" s="41"/>
      <c r="Q35" s="41"/>
      <c r="R35" s="45"/>
      <c r="S35" s="45"/>
      <c r="T35" s="45"/>
      <c r="U35" s="45"/>
      <c r="V35" s="44"/>
      <c r="W35" s="44"/>
      <c r="X35" s="44"/>
      <c r="Y35" s="44"/>
      <c r="Z35" s="1"/>
      <c r="AA35" s="1"/>
      <c r="AB35" s="1"/>
      <c r="AC35" s="1"/>
      <c r="AD35" s="43"/>
      <c r="AE35" s="43"/>
      <c r="AF35" s="43"/>
      <c r="AG35" s="43"/>
      <c r="AH35" s="44"/>
      <c r="AI35" s="44"/>
      <c r="AJ35" s="44"/>
      <c r="AK35" s="44"/>
      <c r="AL35" s="1"/>
      <c r="AM35" s="1"/>
      <c r="AN35" s="1"/>
      <c r="AO35" s="1"/>
      <c r="AP35" s="46"/>
      <c r="AQ35" s="46"/>
      <c r="AR35" s="46"/>
      <c r="AS35" s="4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48"/>
      <c r="CW35" s="48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47"/>
      <c r="G36" s="47"/>
      <c r="H36" s="47"/>
      <c r="I36" s="47"/>
      <c r="J36" s="42"/>
      <c r="K36" s="42"/>
      <c r="L36" s="42"/>
      <c r="M36" s="42"/>
      <c r="N36" s="41"/>
      <c r="O36" s="41"/>
      <c r="P36" s="41"/>
      <c r="Q36" s="41"/>
      <c r="R36" s="45"/>
      <c r="S36" s="45"/>
      <c r="T36" s="45"/>
      <c r="U36" s="45"/>
      <c r="V36" s="44"/>
      <c r="W36" s="44"/>
      <c r="X36" s="44"/>
      <c r="Y36" s="44"/>
      <c r="Z36" s="1"/>
      <c r="AA36" s="1"/>
      <c r="AB36" s="1"/>
      <c r="AC36" s="1"/>
      <c r="AD36" s="43"/>
      <c r="AE36" s="43"/>
      <c r="AF36" s="43"/>
      <c r="AG36" s="43"/>
      <c r="AH36" s="44"/>
      <c r="AI36" s="44"/>
      <c r="AJ36" s="44"/>
      <c r="AK36" s="44"/>
      <c r="AL36" s="1"/>
      <c r="AM36" s="1"/>
      <c r="AN36" s="1"/>
      <c r="AO36" s="1"/>
      <c r="AP36" s="46"/>
      <c r="AQ36" s="46"/>
      <c r="AR36" s="46"/>
      <c r="AS36" s="4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48"/>
      <c r="CW36" s="48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47"/>
      <c r="G37" s="47"/>
      <c r="H37" s="47"/>
      <c r="I37" s="47"/>
      <c r="J37" s="42"/>
      <c r="K37" s="42"/>
      <c r="L37" s="42"/>
      <c r="M37" s="42"/>
      <c r="N37" s="41"/>
      <c r="O37" s="41"/>
      <c r="P37" s="41"/>
      <c r="Q37" s="41"/>
      <c r="R37" s="45"/>
      <c r="S37" s="45"/>
      <c r="T37" s="45"/>
      <c r="U37" s="45"/>
      <c r="V37" s="44"/>
      <c r="W37" s="44"/>
      <c r="X37" s="44"/>
      <c r="Y37" s="44"/>
      <c r="Z37" s="1"/>
      <c r="AA37" s="1"/>
      <c r="AB37" s="1"/>
      <c r="AC37" s="1"/>
      <c r="AD37" s="43"/>
      <c r="AE37" s="43"/>
      <c r="AF37" s="43"/>
      <c r="AG37" s="43"/>
      <c r="AH37" s="44"/>
      <c r="AI37" s="44"/>
      <c r="AJ37" s="44"/>
      <c r="AK37" s="44"/>
      <c r="AL37" s="1"/>
      <c r="AM37" s="1"/>
      <c r="AN37" s="1"/>
      <c r="AO37" s="1"/>
      <c r="AP37" s="46"/>
      <c r="AQ37" s="46"/>
      <c r="AR37" s="46"/>
      <c r="AS37" s="4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48"/>
      <c r="CW37" s="48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47"/>
      <c r="G38" s="47"/>
      <c r="H38" s="47"/>
      <c r="I38" s="47"/>
      <c r="J38" s="42"/>
      <c r="K38" s="42"/>
      <c r="L38" s="42"/>
      <c r="M38" s="42"/>
      <c r="N38" s="41"/>
      <c r="O38" s="41"/>
      <c r="P38" s="41"/>
      <c r="Q38" s="41"/>
      <c r="R38" s="45"/>
      <c r="S38" s="45"/>
      <c r="T38" s="45"/>
      <c r="U38" s="45"/>
      <c r="V38" s="44"/>
      <c r="W38" s="44"/>
      <c r="X38" s="44"/>
      <c r="Y38" s="44"/>
      <c r="Z38" s="1"/>
      <c r="AA38" s="1"/>
      <c r="AB38" s="1"/>
      <c r="AC38" s="1"/>
      <c r="AD38" s="43"/>
      <c r="AE38" s="43"/>
      <c r="AF38" s="43"/>
      <c r="AG38" s="43"/>
      <c r="AH38" s="44"/>
      <c r="AI38" s="44"/>
      <c r="AJ38" s="44"/>
      <c r="AK38" s="44"/>
      <c r="AL38" s="1"/>
      <c r="AM38" s="1"/>
      <c r="AN38" s="1"/>
      <c r="AO38" s="1"/>
      <c r="AP38" s="46"/>
      <c r="AQ38" s="46"/>
      <c r="AR38" s="46"/>
      <c r="AS38" s="4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48"/>
      <c r="CW38" s="48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47"/>
      <c r="G39" s="47"/>
      <c r="H39" s="47"/>
      <c r="I39" s="47"/>
      <c r="J39" s="42"/>
      <c r="K39" s="42"/>
      <c r="L39" s="42"/>
      <c r="M39" s="42"/>
      <c r="N39" s="41"/>
      <c r="O39" s="41"/>
      <c r="P39" s="41"/>
      <c r="Q39" s="41"/>
      <c r="R39" s="45"/>
      <c r="S39" s="45"/>
      <c r="T39" s="45"/>
      <c r="U39" s="45"/>
      <c r="V39" s="44"/>
      <c r="W39" s="44"/>
      <c r="X39" s="44"/>
      <c r="Y39" s="44"/>
      <c r="Z39" s="1"/>
      <c r="AA39" s="1"/>
      <c r="AB39" s="1"/>
      <c r="AC39" s="1"/>
      <c r="AD39" s="43"/>
      <c r="AE39" s="43"/>
      <c r="AF39" s="43"/>
      <c r="AG39" s="43"/>
      <c r="AH39" s="44"/>
      <c r="AI39" s="44"/>
      <c r="AJ39" s="44"/>
      <c r="AK39" s="44"/>
      <c r="AL39" s="1"/>
      <c r="AM39" s="1"/>
      <c r="AN39" s="1"/>
      <c r="AO39" s="1"/>
      <c r="AP39" s="46"/>
      <c r="AQ39" s="46"/>
      <c r="AR39" s="46"/>
      <c r="AS39" s="4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48"/>
      <c r="CW39" s="48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47"/>
      <c r="G40" s="47"/>
      <c r="H40" s="47"/>
      <c r="I40" s="47"/>
      <c r="J40" s="42"/>
      <c r="K40" s="42"/>
      <c r="L40" s="42"/>
      <c r="M40" s="42"/>
      <c r="N40" s="41"/>
      <c r="O40" s="41"/>
      <c r="P40" s="41"/>
      <c r="Q40" s="41"/>
      <c r="R40" s="45"/>
      <c r="S40" s="45"/>
      <c r="T40" s="45"/>
      <c r="U40" s="45"/>
      <c r="V40" s="44"/>
      <c r="W40" s="44"/>
      <c r="X40" s="44"/>
      <c r="Y40" s="44"/>
      <c r="Z40" s="1"/>
      <c r="AA40" s="1"/>
      <c r="AB40" s="1"/>
      <c r="AC40" s="1"/>
      <c r="AD40" s="43"/>
      <c r="AE40" s="43"/>
      <c r="AF40" s="43"/>
      <c r="AG40" s="43"/>
      <c r="AH40" s="44"/>
      <c r="AI40" s="44"/>
      <c r="AJ40" s="44"/>
      <c r="AK40" s="44"/>
      <c r="AL40" s="1"/>
      <c r="AM40" s="1"/>
      <c r="AN40" s="1"/>
      <c r="AO40" s="1"/>
      <c r="AP40" s="46"/>
      <c r="AQ40" s="46"/>
      <c r="AR40" s="46"/>
      <c r="AS40" s="4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48"/>
      <c r="CW40" s="48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47"/>
      <c r="G41" s="47"/>
      <c r="H41" s="47"/>
      <c r="I41" s="47"/>
      <c r="J41" s="42"/>
      <c r="K41" s="42"/>
      <c r="L41" s="42"/>
      <c r="M41" s="42"/>
      <c r="N41" s="41"/>
      <c r="O41" s="41"/>
      <c r="P41" s="41"/>
      <c r="Q41" s="41"/>
      <c r="R41" s="45"/>
      <c r="S41" s="45"/>
      <c r="T41" s="45"/>
      <c r="U41" s="45"/>
      <c r="V41" s="44"/>
      <c r="W41" s="44"/>
      <c r="X41" s="44"/>
      <c r="Y41" s="44"/>
      <c r="Z41" s="1"/>
      <c r="AA41" s="1"/>
      <c r="AB41" s="1"/>
      <c r="AC41" s="1"/>
      <c r="AD41" s="43"/>
      <c r="AE41" s="43"/>
      <c r="AF41" s="43"/>
      <c r="AG41" s="43"/>
      <c r="AH41" s="44"/>
      <c r="AI41" s="44"/>
      <c r="AJ41" s="44"/>
      <c r="AK41" s="44"/>
      <c r="AL41" s="1"/>
      <c r="AM41" s="1"/>
      <c r="AN41" s="1"/>
      <c r="AO41" s="1"/>
      <c r="AP41" s="46"/>
      <c r="AQ41" s="46"/>
      <c r="AR41" s="46"/>
      <c r="AS41" s="4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48"/>
      <c r="CW41" s="48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47"/>
      <c r="G42" s="47"/>
      <c r="H42" s="47"/>
      <c r="I42" s="47"/>
      <c r="J42" s="42"/>
      <c r="K42" s="42"/>
      <c r="L42" s="42"/>
      <c r="M42" s="42"/>
      <c r="N42" s="41"/>
      <c r="O42" s="41"/>
      <c r="P42" s="41"/>
      <c r="Q42" s="41"/>
      <c r="R42" s="45"/>
      <c r="S42" s="45"/>
      <c r="T42" s="45"/>
      <c r="U42" s="45"/>
      <c r="V42" s="44"/>
      <c r="W42" s="44"/>
      <c r="X42" s="44"/>
      <c r="Y42" s="44"/>
      <c r="Z42" s="1"/>
      <c r="AA42" s="1"/>
      <c r="AB42" s="1"/>
      <c r="AC42" s="1"/>
      <c r="AD42" s="43"/>
      <c r="AE42" s="43"/>
      <c r="AF42" s="43"/>
      <c r="AG42" s="43"/>
      <c r="AH42" s="44"/>
      <c r="AI42" s="44"/>
      <c r="AJ42" s="44"/>
      <c r="AK42" s="44"/>
      <c r="AL42" s="1"/>
      <c r="AM42" s="1"/>
      <c r="AN42" s="1"/>
      <c r="AO42" s="1"/>
      <c r="AP42" s="46"/>
      <c r="AQ42" s="46"/>
      <c r="AR42" s="46"/>
      <c r="AS42" s="4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48"/>
      <c r="CW42" s="48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47"/>
      <c r="G43" s="47"/>
      <c r="H43" s="47"/>
      <c r="I43" s="47"/>
      <c r="J43" s="42"/>
      <c r="K43" s="42"/>
      <c r="L43" s="42"/>
      <c r="M43" s="42"/>
      <c r="N43" s="41"/>
      <c r="O43" s="41"/>
      <c r="P43" s="41"/>
      <c r="Q43" s="41"/>
      <c r="R43" s="45"/>
      <c r="S43" s="45"/>
      <c r="T43" s="45"/>
      <c r="U43" s="45"/>
      <c r="V43" s="44"/>
      <c r="W43" s="44"/>
      <c r="X43" s="44"/>
      <c r="Y43" s="44"/>
      <c r="Z43" s="1"/>
      <c r="AA43" s="1"/>
      <c r="AB43" s="1"/>
      <c r="AC43" s="1"/>
      <c r="AD43" s="43"/>
      <c r="AE43" s="43"/>
      <c r="AF43" s="43"/>
      <c r="AG43" s="43"/>
      <c r="AH43" s="44"/>
      <c r="AI43" s="44"/>
      <c r="AJ43" s="44"/>
      <c r="AK43" s="44"/>
      <c r="AL43" s="1"/>
      <c r="AM43" s="1"/>
      <c r="AN43" s="1"/>
      <c r="AO43" s="1"/>
      <c r="AP43" s="46"/>
      <c r="AQ43" s="46"/>
      <c r="AR43" s="46"/>
      <c r="AS43" s="4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48"/>
      <c r="CW43" s="48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47"/>
      <c r="G44" s="47"/>
      <c r="H44" s="47"/>
      <c r="I44" s="47"/>
      <c r="J44" s="42"/>
      <c r="K44" s="42"/>
      <c r="L44" s="42"/>
      <c r="M44" s="42"/>
      <c r="N44" s="41"/>
      <c r="O44" s="41"/>
      <c r="P44" s="41"/>
      <c r="Q44" s="41"/>
      <c r="R44" s="45"/>
      <c r="S44" s="45"/>
      <c r="T44" s="45"/>
      <c r="U44" s="45"/>
      <c r="V44" s="44"/>
      <c r="W44" s="44"/>
      <c r="X44" s="44"/>
      <c r="Y44" s="44"/>
      <c r="Z44" s="1"/>
      <c r="AA44" s="1"/>
      <c r="AB44" s="1"/>
      <c r="AC44" s="1"/>
      <c r="AD44" s="43"/>
      <c r="AE44" s="43"/>
      <c r="AF44" s="43"/>
      <c r="AG44" s="43"/>
      <c r="AH44" s="44"/>
      <c r="AI44" s="44"/>
      <c r="AJ44" s="44"/>
      <c r="AK44" s="44"/>
      <c r="AL44" s="1"/>
      <c r="AM44" s="1"/>
      <c r="AN44" s="1"/>
      <c r="AO44" s="1"/>
      <c r="AP44" s="46"/>
      <c r="AQ44" s="46"/>
      <c r="AR44" s="46"/>
      <c r="AS44" s="4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48"/>
      <c r="CW44" s="48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Z75"/>
  <sheetViews>
    <sheetView showZeros="0" tabSelected="1" topLeftCell="D14" zoomScale="85" zoomScaleNormal="85" workbookViewId="0">
      <selection activeCell="BT23" sqref="BT23"/>
    </sheetView>
  </sheetViews>
  <sheetFormatPr defaultRowHeight="15" x14ac:dyDescent="0.25"/>
  <cols>
    <col min="1" max="1" width="14.140625" bestFit="1" customWidth="1"/>
    <col min="2" max="2" width="16.28515625" style="51" bestFit="1" customWidth="1"/>
    <col min="3" max="3" width="10.28515625" bestFit="1" customWidth="1"/>
    <col min="4" max="4" width="37.5703125" bestFit="1" customWidth="1"/>
    <col min="5" max="5" width="13.7109375" style="2" customWidth="1"/>
    <col min="6" max="6" width="14" customWidth="1"/>
    <col min="7" max="7" width="15.42578125" customWidth="1"/>
    <col min="8" max="8" width="13.42578125" style="5" customWidth="1"/>
    <col min="9" max="9" width="13.5703125" customWidth="1"/>
    <col min="10" max="10" width="13.140625" customWidth="1"/>
    <col min="11" max="11" width="12.7109375" bestFit="1" customWidth="1"/>
    <col min="12" max="12" width="11.7109375" customWidth="1"/>
    <col min="13" max="13" width="20" customWidth="1"/>
    <col min="14" max="14" width="7.85546875" style="15" customWidth="1"/>
    <col min="15" max="23" width="7.85546875" style="15" hidden="1" customWidth="1"/>
    <col min="24" max="24" width="17.5703125" style="15" customWidth="1"/>
    <col min="25" max="32" width="7.85546875" style="15" hidden="1" customWidth="1"/>
    <col min="33" max="33" width="7.85546875" style="15" customWidth="1"/>
    <col min="34" max="35" width="7.85546875" style="15" hidden="1" customWidth="1"/>
    <col min="36" max="36" width="7.85546875" style="15" customWidth="1"/>
    <col min="37" max="42" width="7.85546875" style="15" hidden="1" customWidth="1"/>
    <col min="43" max="43" width="7.85546875" style="15" customWidth="1"/>
    <col min="44" max="49" width="7.85546875" style="15" hidden="1" customWidth="1"/>
    <col min="50" max="50" width="7.85546875" style="15" customWidth="1"/>
    <col min="51" max="55" width="7.85546875" style="15" hidden="1" customWidth="1"/>
    <col min="56" max="56" width="7.85546875" style="15" customWidth="1"/>
    <col min="57" max="58" width="7.85546875" style="15" hidden="1" customWidth="1"/>
    <col min="59" max="59" width="7.85546875" style="15" customWidth="1"/>
    <col min="60" max="69" width="7.85546875" style="15" hidden="1" customWidth="1"/>
    <col min="70" max="70" width="7.85546875" style="15" customWidth="1"/>
    <col min="71" max="71" width="7.85546875" style="15" hidden="1" customWidth="1"/>
    <col min="72" max="72" width="7.85546875" style="15" customWidth="1"/>
    <col min="73" max="75" width="7.85546875" style="15" hidden="1" customWidth="1"/>
    <col min="76" max="76" width="7.85546875" style="15" customWidth="1"/>
    <col min="77" max="77" width="7.85546875" style="15" hidden="1" customWidth="1"/>
    <col min="78" max="78" width="7.85546875" style="15" customWidth="1"/>
    <col min="79" max="79" width="10.28515625" style="15" customWidth="1"/>
    <col min="80" max="82" width="7.85546875" style="15" hidden="1" customWidth="1"/>
    <col min="83" max="83" width="7.85546875" style="15" customWidth="1"/>
    <col min="84" max="84" width="7.85546875" style="15" hidden="1" customWidth="1"/>
    <col min="85" max="85" width="7.85546875" style="15" customWidth="1"/>
    <col min="86" max="86" width="11" style="15" customWidth="1"/>
    <col min="87" max="87" width="27.28515625" style="15" customWidth="1"/>
    <col min="88" max="88" width="10.7109375" style="15" customWidth="1"/>
    <col min="89" max="89" width="12" style="2" customWidth="1"/>
    <col min="90" max="90" width="13.85546875" style="2" bestFit="1" customWidth="1"/>
    <col min="91" max="91" width="9.140625" style="13" customWidth="1"/>
    <col min="92" max="92" width="9.140625" style="2" customWidth="1"/>
    <col min="93" max="93" width="9.140625" style="8" customWidth="1"/>
    <col min="94" max="94" width="12.7109375" style="2" bestFit="1" customWidth="1"/>
    <col min="95" max="95" width="9.140625" style="5" customWidth="1"/>
    <col min="96" max="96" width="12.28515625" style="2" bestFit="1" customWidth="1"/>
    <col min="97" max="97" width="13.85546875" style="2" bestFit="1" customWidth="1"/>
    <col min="98" max="98" width="9.140625" style="5" customWidth="1"/>
    <col min="99" max="99" width="11.5703125" customWidth="1"/>
    <col min="100" max="100" width="9.140625" style="5" customWidth="1"/>
    <col min="101" max="101" width="9.140625" customWidth="1"/>
  </cols>
  <sheetData>
    <row r="1" spans="1:104" ht="15.75" thickBot="1" x14ac:dyDescent="0.3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04" ht="23.25" thickBot="1" x14ac:dyDescent="0.5">
      <c r="A2" s="188" t="s">
        <v>265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90"/>
    </row>
    <row r="3" spans="1:104" ht="15.75" thickBot="1" x14ac:dyDescent="0.3">
      <c r="B3"/>
      <c r="E3"/>
      <c r="H3"/>
      <c r="N3"/>
      <c r="O3"/>
      <c r="P3"/>
      <c r="Q3"/>
      <c r="R3"/>
    </row>
    <row r="4" spans="1:104" ht="45.75" thickBot="1" x14ac:dyDescent="0.3">
      <c r="A4" s="88" t="s">
        <v>254</v>
      </c>
      <c r="B4" s="191" t="s">
        <v>266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</row>
    <row r="5" spans="1:104" ht="45" x14ac:dyDescent="0.25">
      <c r="A5" s="88" t="s">
        <v>255</v>
      </c>
      <c r="B5" s="192" t="s">
        <v>267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</row>
    <row r="6" spans="1:104" ht="45" x14ac:dyDescent="0.25">
      <c r="A6" s="89" t="s">
        <v>256</v>
      </c>
      <c r="B6" s="193" t="s">
        <v>268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</row>
    <row r="7" spans="1:104" ht="49.5" customHeight="1" x14ac:dyDescent="0.25">
      <c r="A7" s="89" t="s">
        <v>257</v>
      </c>
      <c r="B7" s="191" t="s">
        <v>269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</row>
    <row r="8" spans="1:104" ht="143.25" customHeight="1" x14ac:dyDescent="0.25">
      <c r="A8" s="89" t="s">
        <v>258</v>
      </c>
      <c r="B8" s="191" t="s">
        <v>270</v>
      </c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</row>
    <row r="9" spans="1:104" x14ac:dyDescent="0.25">
      <c r="A9" s="89" t="s">
        <v>259</v>
      </c>
      <c r="B9" s="194" t="s">
        <v>271</v>
      </c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6"/>
    </row>
    <row r="10" spans="1:104" ht="30" x14ac:dyDescent="0.25">
      <c r="A10" s="89" t="s">
        <v>260</v>
      </c>
      <c r="B10" s="191" t="s">
        <v>272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</row>
    <row r="11" spans="1:104" ht="30" x14ac:dyDescent="0.25">
      <c r="A11" s="89" t="s">
        <v>261</v>
      </c>
      <c r="B11" s="197" t="s">
        <v>273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9"/>
    </row>
    <row r="12" spans="1:104" ht="80.25" customHeight="1" x14ac:dyDescent="0.25">
      <c r="A12" s="90" t="s">
        <v>262</v>
      </c>
      <c r="B12" s="200" t="s">
        <v>274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</row>
    <row r="13" spans="1:104" ht="42" customHeight="1" x14ac:dyDescent="0.25">
      <c r="A13" s="90" t="s">
        <v>263</v>
      </c>
      <c r="B13" s="200" t="s">
        <v>275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</row>
    <row r="14" spans="1:104" ht="30" x14ac:dyDescent="0.25">
      <c r="A14" s="91" t="s">
        <v>264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</row>
    <row r="16" spans="1:104" s="22" customFormat="1" ht="28.9" customHeight="1" x14ac:dyDescent="0.25">
      <c r="A16" s="72"/>
      <c r="B16" s="72"/>
      <c r="C16" s="73"/>
      <c r="D16" s="73"/>
      <c r="E16" s="26"/>
      <c r="H16" s="27"/>
      <c r="N16" s="183" t="s">
        <v>81</v>
      </c>
      <c r="O16" s="183"/>
      <c r="P16" s="183"/>
      <c r="Q16" s="183"/>
      <c r="R16" s="183"/>
      <c r="S16" s="183"/>
      <c r="T16" s="183"/>
      <c r="U16" s="183"/>
      <c r="V16" s="184" t="s">
        <v>4</v>
      </c>
      <c r="W16" s="184"/>
      <c r="X16" s="185" t="s">
        <v>3</v>
      </c>
      <c r="Y16" s="185"/>
      <c r="Z16" s="185"/>
      <c r="AA16" s="185"/>
      <c r="AB16" s="185"/>
      <c r="AC16" s="185"/>
      <c r="AD16" s="185"/>
      <c r="AE16" s="185"/>
      <c r="AF16" s="186" t="s">
        <v>5</v>
      </c>
      <c r="AG16" s="186"/>
      <c r="AH16" s="187" t="s">
        <v>6</v>
      </c>
      <c r="AI16" s="187"/>
      <c r="AJ16" s="187"/>
      <c r="AK16" s="187"/>
      <c r="AL16" s="187"/>
      <c r="AM16" s="187"/>
      <c r="AN16" s="187"/>
      <c r="AO16" s="187"/>
      <c r="AP16" s="187"/>
      <c r="AQ16" s="33" t="s">
        <v>7</v>
      </c>
      <c r="AR16" s="179" t="s">
        <v>8</v>
      </c>
      <c r="AS16" s="180"/>
      <c r="AT16" s="180"/>
      <c r="AU16" s="180"/>
      <c r="AV16" s="180"/>
      <c r="AW16" s="180"/>
      <c r="AX16" s="180"/>
      <c r="AY16" s="180"/>
      <c r="AZ16" s="180"/>
      <c r="BA16" s="181" t="s">
        <v>9</v>
      </c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2" t="s">
        <v>10</v>
      </c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34" t="s">
        <v>11</v>
      </c>
      <c r="BY16" s="36" t="s">
        <v>12</v>
      </c>
      <c r="BZ16" s="30" t="s">
        <v>13</v>
      </c>
      <c r="CA16" s="32" t="s">
        <v>14</v>
      </c>
      <c r="CB16" s="31" t="s">
        <v>15</v>
      </c>
      <c r="CC16" s="38" t="s">
        <v>16</v>
      </c>
      <c r="CD16" s="39" t="s">
        <v>17</v>
      </c>
      <c r="CE16" s="35" t="s">
        <v>18</v>
      </c>
      <c r="CF16" s="30" t="s">
        <v>19</v>
      </c>
      <c r="CG16" s="176" t="s">
        <v>83</v>
      </c>
      <c r="CH16" s="177"/>
      <c r="CI16" s="177"/>
      <c r="CJ16" s="178"/>
      <c r="CK16" s="54" t="s">
        <v>20</v>
      </c>
      <c r="CL16" s="23" t="s">
        <v>21</v>
      </c>
      <c r="CM16" s="24" t="s">
        <v>40</v>
      </c>
      <c r="CN16" s="23" t="s">
        <v>80</v>
      </c>
      <c r="CO16" s="25"/>
      <c r="CP16" s="26"/>
      <c r="CQ16" s="27"/>
      <c r="CR16" s="26"/>
      <c r="CS16" s="26"/>
      <c r="CT16" s="27"/>
      <c r="CV16" s="27"/>
      <c r="CZ16" s="22" t="s">
        <v>125</v>
      </c>
    </row>
    <row r="17" spans="1:103" s="11" customFormat="1" ht="102" x14ac:dyDescent="0.25">
      <c r="A17" s="64" t="s">
        <v>0</v>
      </c>
      <c r="B17" s="65" t="s">
        <v>84</v>
      </c>
      <c r="C17" s="64" t="s">
        <v>1</v>
      </c>
      <c r="D17" s="64" t="s">
        <v>2</v>
      </c>
      <c r="E17" s="3" t="s">
        <v>31</v>
      </c>
      <c r="F17" s="9" t="s">
        <v>32</v>
      </c>
      <c r="G17" s="9" t="s">
        <v>33</v>
      </c>
      <c r="H17" s="4" t="s">
        <v>34</v>
      </c>
      <c r="I17" s="9" t="s">
        <v>35</v>
      </c>
      <c r="J17" s="9" t="s">
        <v>36</v>
      </c>
      <c r="K17" s="9" t="s">
        <v>37</v>
      </c>
      <c r="L17" s="9" t="s">
        <v>38</v>
      </c>
      <c r="M17" s="9" t="s">
        <v>39</v>
      </c>
      <c r="N17" s="169" t="s">
        <v>41</v>
      </c>
      <c r="O17" s="66" t="s">
        <v>46</v>
      </c>
      <c r="P17" s="66" t="s">
        <v>43</v>
      </c>
      <c r="Q17" s="66" t="s">
        <v>122</v>
      </c>
      <c r="R17" s="66" t="s">
        <v>123</v>
      </c>
      <c r="S17" s="66" t="s">
        <v>124</v>
      </c>
      <c r="T17" s="66" t="s">
        <v>44</v>
      </c>
      <c r="U17" s="66" t="s">
        <v>45</v>
      </c>
      <c r="V17" s="66" t="s">
        <v>41</v>
      </c>
      <c r="W17" s="66" t="s">
        <v>46</v>
      </c>
      <c r="X17" s="170" t="s">
        <v>243</v>
      </c>
      <c r="Y17" s="67" t="s">
        <v>56</v>
      </c>
      <c r="Z17" s="67" t="s">
        <v>59</v>
      </c>
      <c r="AA17" s="67" t="s">
        <v>64</v>
      </c>
      <c r="AB17" s="67" t="s">
        <v>68</v>
      </c>
      <c r="AC17" s="67" t="s">
        <v>70</v>
      </c>
      <c r="AD17" s="67" t="s">
        <v>72</v>
      </c>
      <c r="AE17" s="67" t="s">
        <v>74</v>
      </c>
      <c r="AF17" s="67" t="s">
        <v>52</v>
      </c>
      <c r="AG17" s="67" t="s">
        <v>55</v>
      </c>
      <c r="AH17" s="67" t="s">
        <v>51</v>
      </c>
      <c r="AI17" s="67" t="s">
        <v>47</v>
      </c>
      <c r="AJ17" s="67" t="s">
        <v>58</v>
      </c>
      <c r="AK17" s="67" t="s">
        <v>63</v>
      </c>
      <c r="AL17" s="67" t="s">
        <v>67</v>
      </c>
      <c r="AM17" s="67" t="s">
        <v>86</v>
      </c>
      <c r="AN17" s="67" t="s">
        <v>87</v>
      </c>
      <c r="AO17" s="67" t="s">
        <v>85</v>
      </c>
      <c r="AP17" s="67" t="s">
        <v>93</v>
      </c>
      <c r="AQ17" s="68" t="s">
        <v>7</v>
      </c>
      <c r="AR17" s="67" t="s">
        <v>53</v>
      </c>
      <c r="AS17" s="67" t="s">
        <v>57</v>
      </c>
      <c r="AT17" s="67" t="s">
        <v>62</v>
      </c>
      <c r="AU17" s="67" t="s">
        <v>60</v>
      </c>
      <c r="AV17" s="67" t="s">
        <v>65</v>
      </c>
      <c r="AW17" s="67" t="s">
        <v>69</v>
      </c>
      <c r="AX17" s="67" t="s">
        <v>48</v>
      </c>
      <c r="AY17" s="67" t="s">
        <v>121</v>
      </c>
      <c r="AZ17" s="67" t="s">
        <v>73</v>
      </c>
      <c r="BA17" s="67" t="s">
        <v>54</v>
      </c>
      <c r="BB17" s="67" t="s">
        <v>42</v>
      </c>
      <c r="BC17" s="67" t="s">
        <v>61</v>
      </c>
      <c r="BD17" s="170" t="s">
        <v>66</v>
      </c>
      <c r="BE17" s="67" t="s">
        <v>88</v>
      </c>
      <c r="BF17" s="67" t="s">
        <v>71</v>
      </c>
      <c r="BG17" s="67" t="s">
        <v>49</v>
      </c>
      <c r="BH17" s="67" t="s">
        <v>75</v>
      </c>
      <c r="BI17" s="67" t="s">
        <v>76</v>
      </c>
      <c r="BJ17" s="67" t="s">
        <v>77</v>
      </c>
      <c r="BK17" s="67" t="s">
        <v>79</v>
      </c>
      <c r="BL17" s="67" t="s">
        <v>53</v>
      </c>
      <c r="BM17" s="67" t="s">
        <v>57</v>
      </c>
      <c r="BN17" s="67" t="s">
        <v>62</v>
      </c>
      <c r="BO17" s="67" t="s">
        <v>60</v>
      </c>
      <c r="BP17" s="67" t="s">
        <v>89</v>
      </c>
      <c r="BQ17" s="67" t="s">
        <v>94</v>
      </c>
      <c r="BR17" s="67" t="s">
        <v>90</v>
      </c>
      <c r="BS17" s="67" t="s">
        <v>65</v>
      </c>
      <c r="BT17" s="67" t="s">
        <v>244</v>
      </c>
      <c r="BU17" s="67" t="s">
        <v>121</v>
      </c>
      <c r="BV17" s="67" t="s">
        <v>73</v>
      </c>
      <c r="BW17" s="67" t="s">
        <v>78</v>
      </c>
      <c r="BX17" s="82" t="s">
        <v>245</v>
      </c>
      <c r="BY17" s="68" t="s">
        <v>50</v>
      </c>
      <c r="BZ17" s="83" t="s">
        <v>246</v>
      </c>
      <c r="CA17" s="70" t="s">
        <v>334</v>
      </c>
      <c r="CB17" s="69" t="s">
        <v>15</v>
      </c>
      <c r="CC17" s="69" t="s">
        <v>16</v>
      </c>
      <c r="CD17" s="69" t="s">
        <v>17</v>
      </c>
      <c r="CE17" s="70" t="s">
        <v>18</v>
      </c>
      <c r="CF17" s="69" t="s">
        <v>19</v>
      </c>
      <c r="CG17" s="58" t="s">
        <v>82</v>
      </c>
      <c r="CH17" s="58" t="s">
        <v>91</v>
      </c>
      <c r="CI17" s="58" t="s">
        <v>92</v>
      </c>
      <c r="CJ17" s="58" t="s">
        <v>95</v>
      </c>
      <c r="CK17" s="14"/>
      <c r="CL17" s="14"/>
      <c r="CM17" s="12"/>
      <c r="CN17" s="14"/>
      <c r="CO17" s="7" t="s">
        <v>22</v>
      </c>
      <c r="CP17" s="3" t="s">
        <v>23</v>
      </c>
      <c r="CQ17" s="4" t="s">
        <v>24</v>
      </c>
      <c r="CR17" s="3" t="s">
        <v>25</v>
      </c>
      <c r="CS17" s="3" t="s">
        <v>26</v>
      </c>
      <c r="CT17" s="4" t="s">
        <v>27</v>
      </c>
      <c r="CU17" s="9" t="s">
        <v>28</v>
      </c>
      <c r="CV17" s="4" t="s">
        <v>29</v>
      </c>
      <c r="CW17" s="9" t="s">
        <v>30</v>
      </c>
      <c r="CX17" s="4" t="s">
        <v>96</v>
      </c>
      <c r="CY17" s="9" t="s">
        <v>97</v>
      </c>
    </row>
    <row r="18" spans="1:103" s="14" customFormat="1" x14ac:dyDescent="0.25">
      <c r="A18" s="16"/>
      <c r="B18" s="50"/>
      <c r="C18" s="16"/>
      <c r="D18" s="16"/>
      <c r="E18" s="3"/>
      <c r="F18" s="61"/>
      <c r="G18" s="53"/>
      <c r="H18" s="3"/>
      <c r="I18" s="3"/>
      <c r="J18" s="3"/>
      <c r="K18" s="62"/>
      <c r="L18" s="3"/>
      <c r="M18" s="3"/>
      <c r="N18" s="17">
        <v>287</v>
      </c>
      <c r="O18" s="17">
        <f>+IFERROR(VLOOKUP($O$17,Sheet1!J:L,2,0),0)</f>
        <v>0</v>
      </c>
      <c r="P18" s="17">
        <f>+IFERROR(VLOOKUP($P$17,Sheet1!J:M,2,0),0)</f>
        <v>0</v>
      </c>
      <c r="Q18" s="17">
        <f>+IFERROR(VLOOKUP($Q$17,Sheet1!J:M,2,0),0)</f>
        <v>0</v>
      </c>
      <c r="R18" s="17">
        <f>+IFERROR(VLOOKUP($R$17,Sheet1!J:M,2,0),0)</f>
        <v>0</v>
      </c>
      <c r="S18" s="17">
        <f>+IFERROR(VLOOKUP($S$17,Sheet1!J:M,2,0),0)</f>
        <v>0</v>
      </c>
      <c r="T18" s="17">
        <f>+IFERROR(VLOOKUP($T$17,Sheet1!J:M,2,0),0)</f>
        <v>0</v>
      </c>
      <c r="U18" s="17">
        <f>+IFERROR(VLOOKUP($U$17,Sheet1!J:M,2,0),0)</f>
        <v>0</v>
      </c>
      <c r="V18" s="17">
        <f>+IFERROR(VLOOKUP($V$17,Sheet1!N:Q,2,0),0)</f>
        <v>0</v>
      </c>
      <c r="W18" s="17">
        <f>+IFERROR(VLOOKUP($W$17,Sheet1!N:O,2,0),0)</f>
        <v>0</v>
      </c>
      <c r="X18" s="18">
        <v>1135</v>
      </c>
      <c r="Y18" s="18">
        <f>+IFERROR(VLOOKUP($Y$17,Sheet1!F:I,2,0),0)</f>
        <v>0</v>
      </c>
      <c r="Z18" s="18">
        <f>+IFERROR(VLOOKUP($Z$17,Sheet1!F:I,2,0),0)</f>
        <v>0</v>
      </c>
      <c r="AA18" s="18">
        <f>+IFERROR(VLOOKUP($AA$17,Sheet1!F:I,2,0),0)</f>
        <v>0</v>
      </c>
      <c r="AB18" s="18">
        <f>+IFERROR(VLOOKUP($AB$17,Sheet1!F:I,2,0),0)</f>
        <v>0</v>
      </c>
      <c r="AC18" s="18">
        <f>+IFERROR(VLOOKUP($AC$17,Sheet1!F:I,2,0),0)</f>
        <v>0</v>
      </c>
      <c r="AD18" s="18">
        <f>+IFERROR(VLOOKUP($AD$17,Sheet1!F:I,2,0),0)</f>
        <v>0</v>
      </c>
      <c r="AE18" s="18">
        <f>+IFERROR(VLOOKUP($AE$17,Sheet1!F:I,2,0),0)</f>
        <v>0</v>
      </c>
      <c r="AF18" s="18">
        <f>+IFERROR(VLOOKUP($AF$17,Sheet1!R:U,2,0),0)</f>
        <v>0</v>
      </c>
      <c r="AG18" s="18">
        <v>178</v>
      </c>
      <c r="AH18" s="18">
        <f>+IFERROR(VLOOKUP($AH$17,Sheet1!V:Y,2,0),0)</f>
        <v>0</v>
      </c>
      <c r="AI18" s="18">
        <f>+IFERROR(VLOOKUP($AI$17,Sheet1!V:Y,2,0),0)</f>
        <v>0</v>
      </c>
      <c r="AJ18" s="18">
        <v>215</v>
      </c>
      <c r="AK18" s="18">
        <f>+IFERROR(VLOOKUP($AK$17,Sheet1!V:Y,2,0),0)</f>
        <v>0</v>
      </c>
      <c r="AL18" s="18">
        <f>+IFERROR(VLOOKUP($AL$17,Sheet1!V:Y,2,0),0)</f>
        <v>0</v>
      </c>
      <c r="AM18" s="18">
        <f>+IFERROR(VLOOKUP($AM$17,Sheet1!V:Y,2,0),0)</f>
        <v>0</v>
      </c>
      <c r="AN18" s="18">
        <f>+IFERROR(VLOOKUP($AN$17,Sheet1!V:Y,2,0),0)</f>
        <v>0</v>
      </c>
      <c r="AO18" s="18">
        <f>+IFERROR(VLOOKUP($AO$17,Sheet1!V:Y,2,0),0)</f>
        <v>0</v>
      </c>
      <c r="AP18" s="18">
        <f>+IFERROR(VLOOKUP($AP$17,Sheet1!V:Y,2,0),0)</f>
        <v>0</v>
      </c>
      <c r="AQ18" s="19">
        <v>108</v>
      </c>
      <c r="AR18" s="18">
        <f>+IFERROR(VLOOKUP($AR$17,Sheet1!AD2:AG840,2,0),0)</f>
        <v>0</v>
      </c>
      <c r="AS18" s="18">
        <f>+IFERROR(VLOOKUP($AS$17,Sheet1!AD2:AG840,2,0),0)</f>
        <v>0</v>
      </c>
      <c r="AT18" s="18">
        <f>+IFERROR(VLOOKUP($AT$17,Sheet1!AD2:AG840,2,0),0)</f>
        <v>0</v>
      </c>
      <c r="AU18" s="18">
        <f>+IFERROR(VLOOKUP($AU$17,Sheet1!AD2:AG840,2,0),0)</f>
        <v>0</v>
      </c>
      <c r="AV18" s="18">
        <f>+IFERROR(VLOOKUP($AV$17,Sheet1!AD2:AG840,2,0),0)</f>
        <v>0</v>
      </c>
      <c r="AW18" s="18">
        <f>+IFERROR(VLOOKUP($AW$17,Sheet1!AD2:AG840,2,0),0)</f>
        <v>0</v>
      </c>
      <c r="AX18" s="18">
        <v>62</v>
      </c>
      <c r="AY18" s="18">
        <f>+IFERROR(VLOOKUP($AY$17,Sheet1!AD2:AG840,2,0),0)</f>
        <v>0</v>
      </c>
      <c r="AZ18" s="18">
        <f>+IFERROR(VLOOKUP($AZ$17,Sheet1!AD2:AG840,2,0),0)</f>
        <v>0</v>
      </c>
      <c r="BA18" s="18">
        <f>+IFERROR(VLOOKUP($BA$17,Sheet1!AH2:AK840,2,0),0)</f>
        <v>0</v>
      </c>
      <c r="BB18" s="18">
        <f>+IFERROR(VLOOKUP($BB$17,Sheet1!AH2:AK840,2,0),0)</f>
        <v>0</v>
      </c>
      <c r="BC18" s="18">
        <f>+IFERROR(VLOOKUP($BC$17,Sheet1!AH2:AK840,2,0),0)</f>
        <v>0</v>
      </c>
      <c r="BD18" s="18">
        <v>292</v>
      </c>
      <c r="BE18" s="18">
        <f>+IFERROR(VLOOKUP($BE$17,Sheet1!AH2:AK840,2,0),0)</f>
        <v>0</v>
      </c>
      <c r="BF18" s="18">
        <f>+IFERROR(VLOOKUP($BF$17,Sheet1!AH2:AK840,2,0),0)</f>
        <v>0</v>
      </c>
      <c r="BG18" s="18">
        <v>75</v>
      </c>
      <c r="BH18" s="18">
        <f>+IFERROR(VLOOKUP($BH$17,Sheet1!AH2:AK840,2,0),0)</f>
        <v>0</v>
      </c>
      <c r="BI18" s="18">
        <f>+IFERROR(VLOOKUP($BI$17,Sheet1!AH2:AK840,2,0),0)</f>
        <v>0</v>
      </c>
      <c r="BJ18" s="18">
        <f>+IFERROR(VLOOKUP($BJ$17,Sheet1!AH2:AK840,2,0),0)</f>
        <v>0</v>
      </c>
      <c r="BK18" s="18">
        <f>+IFERROR(VLOOKUP($BK$17,Sheet1!AH2:AK840,2,0),0)</f>
        <v>0</v>
      </c>
      <c r="BL18" s="18">
        <f>+IFERROR(VLOOKUP($BL$17,Sheet1!AL2:AO840,2,0),0)</f>
        <v>0</v>
      </c>
      <c r="BM18" s="18">
        <f>+IFERROR(VLOOKUP($BM$17,Sheet1!AL2:AO840,2,0),0)</f>
        <v>0</v>
      </c>
      <c r="BN18" s="18">
        <f>+IFERROR(VLOOKUP($BN$17,Sheet1!AL2:AO840,2,0),0)</f>
        <v>0</v>
      </c>
      <c r="BO18" s="18">
        <f>+IFERROR(VLOOKUP($BO$17,Sheet1!AL2:AO840,2,0),0)</f>
        <v>0</v>
      </c>
      <c r="BP18" s="18">
        <f>+IFERROR(VLOOKUP($BP$17,Sheet1!AL2:AO840,2,0),0)</f>
        <v>0</v>
      </c>
      <c r="BQ18" s="18">
        <f>+IFERROR(VLOOKUP($BQ$17,Sheet1!AL2:AO840,2,0),0)</f>
        <v>0</v>
      </c>
      <c r="BR18" s="18">
        <v>105</v>
      </c>
      <c r="BS18" s="18">
        <f>+IFERROR(VLOOKUP($BS$17,Sheet1!AL2:AO840,2,0),0)</f>
        <v>0</v>
      </c>
      <c r="BT18" s="18">
        <f>AX18+7</f>
        <v>69</v>
      </c>
      <c r="BU18" s="18">
        <f>+IFERROR(VLOOKUP($BU$17,Sheet1!AL2:AO840,2,0),0)</f>
        <v>0</v>
      </c>
      <c r="BV18" s="18">
        <f>+IFERROR(VLOOKUP($BV$17,Sheet1!AL2:AO840,2,0),0)</f>
        <v>0</v>
      </c>
      <c r="BW18" s="18">
        <f>+IFERROR(VLOOKUP($BW$17,Sheet1!AL2:AO840,2,0),0)</f>
        <v>0</v>
      </c>
      <c r="BX18" s="19">
        <v>78</v>
      </c>
      <c r="BY18" s="19">
        <f>+IFERROR(VLOOKUP($BY$17,Sheet1!AT2:AW840,2,0),0)</f>
        <v>0</v>
      </c>
      <c r="BZ18" s="20">
        <v>300</v>
      </c>
      <c r="CA18" s="21">
        <v>415</v>
      </c>
      <c r="CB18" s="20">
        <f>+IFERROR(VLOOKUP($CB$17,Sheet1!BF2:BI840,2,0),0)</f>
        <v>0</v>
      </c>
      <c r="CC18" s="20">
        <f>+IFERROR(VLOOKUP($CC$17,Sheet1!BJ2:BM840,2,0),0)</f>
        <v>0</v>
      </c>
      <c r="CD18" s="20">
        <f>+IFERROR(VLOOKUP($CD$17,Sheet1!BN2:BQ840,2,0),0)</f>
        <v>0</v>
      </c>
      <c r="CE18" s="21">
        <v>285</v>
      </c>
      <c r="CF18" s="20">
        <f>+IFERROR(VLOOKUP($CF$17,Sheet1!BV2:BY840,2,0),0)</f>
        <v>0</v>
      </c>
      <c r="CG18" s="55"/>
      <c r="CH18" s="55"/>
      <c r="CI18" s="55"/>
      <c r="CJ18" s="55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spans="1:103" s="22" customFormat="1" ht="30" x14ac:dyDescent="0.25">
      <c r="A19" s="6" t="str">
        <f>Sheet1!A2</f>
        <v>ENQ-17670-25-26</v>
      </c>
      <c r="B19" s="71">
        <v>45958</v>
      </c>
      <c r="C19" s="6" t="str">
        <f>Sheet1!C2</f>
        <v>FA1300010</v>
      </c>
      <c r="D19" s="6" t="str">
        <f>Sheet1!D2</f>
        <v>3 CORE X 400 SQ. MM. AL/ARM - STRIP (XLPE) - 33 KV</v>
      </c>
      <c r="E19" s="23">
        <f>CS19+CU19+CW19+CY19</f>
        <v>4233504.9119999995</v>
      </c>
      <c r="F19" s="171">
        <f>ROUNDUP(M28,2)</f>
        <v>118730.76999999999</v>
      </c>
      <c r="G19" s="28">
        <f>E19+F19</f>
        <v>4352235.6819999991</v>
      </c>
      <c r="H19" s="29">
        <f>Sheet1!CR2</f>
        <v>0.18</v>
      </c>
      <c r="I19" s="28">
        <f>G19*H19</f>
        <v>783402.42275999975</v>
      </c>
      <c r="J19" s="28">
        <f>G19+I19</f>
        <v>5135638.1047599986</v>
      </c>
      <c r="K19" s="63">
        <f>Sheet1!CU2</f>
        <v>78</v>
      </c>
      <c r="L19" s="60" t="str">
        <f>Sheet1!CV2</f>
        <v>KMS</v>
      </c>
      <c r="M19" s="23">
        <f>J19*K19</f>
        <v>400579772.17127991</v>
      </c>
      <c r="N19" s="172">
        <f>+IFERROR(VLOOKUP($N$17,Sheet1!J2:L2,3,0),0)</f>
        <v>3240</v>
      </c>
      <c r="O19" s="85">
        <f>+IFERROR(VLOOKUP($O$17,Sheet1!J2:L2,3,0),0)</f>
        <v>0</v>
      </c>
      <c r="P19" s="85">
        <f>+IFERROR(VLOOKUP($P$17,Sheet1!J2:M2,3,0),0)</f>
        <v>0</v>
      </c>
      <c r="Q19" s="85">
        <f>+IFERROR(VLOOKUP($Q$17,Sheet1!J2:M2,3,0),0)</f>
        <v>0</v>
      </c>
      <c r="R19" s="85">
        <f>+IFERROR(VLOOKUP($R$17,Sheet1!J2:M2,3,0),0)</f>
        <v>0</v>
      </c>
      <c r="S19" s="85">
        <f>+IFERROR(VLOOKUP($S$17,Sheet1!J2:M2,3,0),0)</f>
        <v>0</v>
      </c>
      <c r="T19" s="85">
        <f>+IFERROR(VLOOKUP($T$17,Sheet1!J2:M2,3,0),0)</f>
        <v>0</v>
      </c>
      <c r="U19" s="85">
        <f>+IFERROR(VLOOKUP($U$17,Sheet1!J2:M2,3,0),0)</f>
        <v>0</v>
      </c>
      <c r="V19" s="85">
        <f>+IFERROR(VLOOKUP($V$17,Sheet1!N2:Q2,3,0),0)</f>
        <v>0</v>
      </c>
      <c r="W19" s="85">
        <f>+IFERROR(VLOOKUP($W$17,Sheet1!N2:Q2,3,0),0)</f>
        <v>0</v>
      </c>
      <c r="X19" s="172">
        <v>536</v>
      </c>
      <c r="Y19" s="85">
        <f>+IFERROR(VLOOKUP($Y$17,Sheet1!F2:I2,3,0),0)</f>
        <v>0</v>
      </c>
      <c r="Z19" s="85">
        <f>+IFERROR(VLOOKUP($Z$17,Sheet1!F2:I2,3,0),0)</f>
        <v>0</v>
      </c>
      <c r="AA19" s="85">
        <f>+IFERROR(VLOOKUP($AA$17,Sheet1!F2:I2,3,0),0)</f>
        <v>0</v>
      </c>
      <c r="AB19" s="85">
        <f>+IFERROR(VLOOKUP($AB$17,Sheet1!F2:I2,3,0),0)</f>
        <v>0</v>
      </c>
      <c r="AC19" s="85">
        <f>+IFERROR(VLOOKUP($AC$17,Sheet1!F2:I2,3,0),0)</f>
        <v>0</v>
      </c>
      <c r="AD19" s="85">
        <f>+IFERROR(VLOOKUP($AD$17,Sheet1!F2:I2,3,0),0)</f>
        <v>0</v>
      </c>
      <c r="AE19" s="85">
        <f>+IFERROR(VLOOKUP($AE$17,Sheet1!F2:I2,3,0),0)</f>
        <v>0</v>
      </c>
      <c r="AF19" s="85">
        <f>+IFERROR(VLOOKUP($AF$17,Sheet1!R2:U2,3,0),0)</f>
        <v>0</v>
      </c>
      <c r="AG19" s="173">
        <v>506</v>
      </c>
      <c r="AH19" s="85">
        <f>+IFERROR(VLOOKUP($AH$17,Sheet1!V2:Y2,3,0),0)</f>
        <v>0</v>
      </c>
      <c r="AI19" s="84">
        <f>+IFERROR(VLOOKUP($AI$17,Sheet1!V2:Y2,3,0),0)</f>
        <v>0</v>
      </c>
      <c r="AJ19" s="173">
        <v>2675</v>
      </c>
      <c r="AK19" s="84">
        <f>+IFERROR(VLOOKUP($AK$17,Sheet1!V2:Y2,3,0),0)</f>
        <v>0</v>
      </c>
      <c r="AL19" s="84">
        <f>+IFERROR(VLOOKUP($AL$17,Sheet1!V2:Y2,3,0),0)</f>
        <v>0</v>
      </c>
      <c r="AM19" s="84">
        <f>+IFERROR(VLOOKUP($AM$17,Sheet1!V2:Y2,3,0),0)</f>
        <v>0</v>
      </c>
      <c r="AN19" s="84">
        <f>+IFERROR(VLOOKUP($AN$17,Sheet1!V2:Y2,3,0),0)</f>
        <v>0</v>
      </c>
      <c r="AO19" s="84">
        <f>+IFERROR(VLOOKUP($AO$17,Sheet1!V2:Y2,3,0),0)</f>
        <v>0</v>
      </c>
      <c r="AP19" s="84">
        <f>+IFERROR(VLOOKUP($AP$17,Sheet1!V2:Y2,3,0),0)</f>
        <v>0</v>
      </c>
      <c r="AQ19" s="84">
        <f>+IFERROR(VLOOKUP($AQ$17,Sheet1!Z2:AB2,3,0),0)</f>
        <v>0</v>
      </c>
      <c r="AR19" s="84">
        <f>+IFERROR(VLOOKUP($AR$17,Sheet1!AD2:AG2,3,0),0)</f>
        <v>0</v>
      </c>
      <c r="AS19" s="84">
        <f>+IFERROR(VLOOKUP($AS$17,Sheet1!AD2:AG2,3,0),0)</f>
        <v>0</v>
      </c>
      <c r="AT19" s="84">
        <f>+IFERROR(VLOOKUP($AT$17,Sheet1!AD2:AG2,3,0),0)</f>
        <v>0</v>
      </c>
      <c r="AU19" s="84">
        <f>+IFERROR(VLOOKUP($AU$17,Sheet1!AD2:AG2,3,0),0)</f>
        <v>0</v>
      </c>
      <c r="AV19" s="84">
        <f>+IFERROR(VLOOKUP($AV$17,Sheet1!AD2:AG2,3,0),0)</f>
        <v>0</v>
      </c>
      <c r="AW19" s="84">
        <f>+IFERROR(VLOOKUP($AW$17,Sheet1!AD2:AG2,3,0),0)</f>
        <v>0</v>
      </c>
      <c r="AX19" s="173">
        <v>1547</v>
      </c>
      <c r="AY19" s="84">
        <f>+IFERROR(VLOOKUP($AY$17,Sheet1!AD2:AG2,3,0),0)</f>
        <v>0</v>
      </c>
      <c r="AZ19" s="84">
        <f>+IFERROR(VLOOKUP($AZ$17,Sheet1!AD2:AG2,3,0),0)</f>
        <v>0</v>
      </c>
      <c r="BA19" s="84">
        <f>+IFERROR(VLOOKUP($BA$17,Sheet1!AH2:AK2,3,0),0)</f>
        <v>0</v>
      </c>
      <c r="BB19" s="84">
        <f>+IFERROR(VLOOKUP($BB$17,Sheet1!AH2:AK2,3,0),0)</f>
        <v>0</v>
      </c>
      <c r="BC19" s="84">
        <f>+IFERROR(VLOOKUP($BC$17,Sheet1!AH2:AK2,3,0),0)</f>
        <v>0</v>
      </c>
      <c r="BD19" s="84">
        <f>+IFERROR(VLOOKUP($BD$17,Sheet1!AH2:AK2,3,0),0)</f>
        <v>0</v>
      </c>
      <c r="BE19" s="84">
        <f>+IFERROR(VLOOKUP($BE$17,Sheet1!AH2:AK2,3,0),0)</f>
        <v>0</v>
      </c>
      <c r="BF19" s="84">
        <f>+IFERROR(VLOOKUP($BF$17,Sheet1!AH2:AK2,3,0),0)</f>
        <v>0</v>
      </c>
      <c r="BG19" s="173">
        <v>1675</v>
      </c>
      <c r="BH19" s="84">
        <f>+IFERROR(VLOOKUP($BH$17,Sheet1!AH2:AK2,3,0),0)</f>
        <v>0</v>
      </c>
      <c r="BI19" s="84">
        <f>+IFERROR(VLOOKUP($BI$17,Sheet1!AH2:AK2,3,0),0)</f>
        <v>0</v>
      </c>
      <c r="BJ19" s="84">
        <f>+IFERROR(VLOOKUP($BJ$17,Sheet1!AH2:AK2,3,0),0)</f>
        <v>0</v>
      </c>
      <c r="BK19" s="84">
        <f>+IFERROR(VLOOKUP($BK$17,Sheet1!AH2:AK2,3,0),0)</f>
        <v>0</v>
      </c>
      <c r="BL19" s="84">
        <f>+IFERROR(VLOOKUP($BL$17,Sheet1!AL2:AO2,3,0),0)</f>
        <v>0</v>
      </c>
      <c r="BM19" s="84">
        <f>+IFERROR(VLOOKUP($BM$17,Sheet1!AL2:AO2,3,0),0)</f>
        <v>0</v>
      </c>
      <c r="BN19" s="84">
        <f>+IFERROR(VLOOKUP($BN$17,Sheet1!AL2:AO2,3,0),0)</f>
        <v>0</v>
      </c>
      <c r="BO19" s="84">
        <f>+IFERROR(VLOOKUP($BO$17,Sheet1!AL2:AO2,3,0),0)</f>
        <v>0</v>
      </c>
      <c r="BP19" s="84">
        <f>+IFERROR(VLOOKUP($BP$17,Sheet1!AL2:AO2,3,0),0)</f>
        <v>0</v>
      </c>
      <c r="BQ19" s="84">
        <f>+IFERROR(VLOOKUP($BQ$17,Sheet1!AL2:AO2,3,0),0)</f>
        <v>0</v>
      </c>
      <c r="BR19" s="173">
        <v>1063</v>
      </c>
      <c r="BS19" s="84">
        <f>+IFERROR(VLOOKUP($BS$17,Sheet1!AL2:AO2,3,0),0)</f>
        <v>0</v>
      </c>
      <c r="BT19" s="84">
        <f>+IFERROR(VLOOKUP($BT$17,Sheet1!AL2:AO2,3,0),0)</f>
        <v>0</v>
      </c>
      <c r="BU19" s="84">
        <f>+IFERROR(VLOOKUP($BU$17,Sheet1!AL2:AO2,3,0),0)</f>
        <v>0</v>
      </c>
      <c r="BV19" s="84">
        <f>+IFERROR(VLOOKUP($BV$17,Sheet1!AL2:AO2,3,0),0)</f>
        <v>0</v>
      </c>
      <c r="BW19" s="84">
        <f>+IFERROR(VLOOKUP($BW$17,Sheet1!AL2:AO2,3,0),0)</f>
        <v>0</v>
      </c>
      <c r="BX19" s="173">
        <v>1660</v>
      </c>
      <c r="BY19" s="84">
        <f>+IFERROR(VLOOKUP($BY$17,Sheet1!AT2:AW2,3,0),0)</f>
        <v>0</v>
      </c>
      <c r="BZ19" s="173">
        <v>58</v>
      </c>
      <c r="CA19" s="173">
        <v>108</v>
      </c>
      <c r="CB19" s="84">
        <f>+IFERROR(VLOOKUP($CB$17,Sheet1!BF2:BI2,3,0),0)</f>
        <v>0</v>
      </c>
      <c r="CC19" s="84">
        <f>+IFERROR(VLOOKUP($CC$17,Sheet1!BJ2:BM2,3,0),0)</f>
        <v>0</v>
      </c>
      <c r="CD19" s="84">
        <f>+IFERROR(VLOOKUP($CD$17,Sheet1!BN2:BQ2,3,0),0)</f>
        <v>0</v>
      </c>
      <c r="CE19" s="173">
        <v>164</v>
      </c>
      <c r="CF19" s="37">
        <f>+IFERROR(VLOOKUP($CF$17,Sheet1!BV2:BY2,3,0),0)</f>
        <v>0</v>
      </c>
      <c r="CG19" s="56" t="str">
        <f>Sheet1!E2</f>
        <v>STEEL</v>
      </c>
      <c r="CH19" s="57" t="s">
        <v>226</v>
      </c>
      <c r="CI19" s="57" t="s">
        <v>227</v>
      </c>
      <c r="CJ19" s="57">
        <v>250</v>
      </c>
      <c r="CK19" s="23">
        <f>33150/0.25</f>
        <v>132600</v>
      </c>
      <c r="CL19" s="23">
        <f>SUMPRODUCT($N$18:$CF$18,N19:CF19)+CK19</f>
        <v>2907627</v>
      </c>
      <c r="CM19" s="24">
        <f>Sheet1!CB2</f>
        <v>0</v>
      </c>
      <c r="CN19" s="23">
        <f>CL19*CM19</f>
        <v>0</v>
      </c>
      <c r="CO19" s="79">
        <v>0.4</v>
      </c>
      <c r="CP19" s="23">
        <f>CL19*CO19</f>
        <v>1163050.8</v>
      </c>
      <c r="CQ19" s="79">
        <v>0</v>
      </c>
      <c r="CR19" s="23">
        <f>CL19*CQ19</f>
        <v>0</v>
      </c>
      <c r="CS19" s="23">
        <f>CL19+CN19+CP19+CR19</f>
        <v>4070677.8</v>
      </c>
      <c r="CT19" s="79">
        <v>0.03</v>
      </c>
      <c r="CU19" s="6">
        <f>CS19*CT19</f>
        <v>122120.33399999999</v>
      </c>
      <c r="CV19" s="79">
        <v>0.01</v>
      </c>
      <c r="CW19" s="6">
        <f>CS19*CV19</f>
        <v>40706.777999999998</v>
      </c>
      <c r="CX19" s="79">
        <f>Sheet1!CM2</f>
        <v>0</v>
      </c>
      <c r="CY19" s="6">
        <f>CX19*CS19</f>
        <v>0</v>
      </c>
    </row>
    <row r="20" spans="1:103" s="22" customFormat="1" ht="30" x14ac:dyDescent="0.25">
      <c r="A20" s="6" t="str">
        <f>Sheet1!A4</f>
        <v>ENQ-17670-25-26</v>
      </c>
      <c r="B20" s="71">
        <v>45958</v>
      </c>
      <c r="C20" s="6" t="str">
        <f>Sheet1!C4</f>
        <v>FA1300027</v>
      </c>
      <c r="D20" s="6" t="str">
        <f>Sheet1!D4</f>
        <v>1 CORE X 630 SQ. MM. AL/ARM (XLPE)  - 33 KV</v>
      </c>
      <c r="E20" s="23">
        <f>CS20+CU20+CW20+CY20</f>
        <v>1999438.8959999999</v>
      </c>
      <c r="F20" s="171">
        <f t="shared" ref="F20:F23" si="0">ROUNDUP(M29,2)</f>
        <v>58026.32</v>
      </c>
      <c r="G20" s="28">
        <f>E20+F20</f>
        <v>2057465.216</v>
      </c>
      <c r="H20" s="29">
        <f>Sheet1!CR4</f>
        <v>0.18</v>
      </c>
      <c r="I20" s="28">
        <f>G20*H20</f>
        <v>370343.73887999996</v>
      </c>
      <c r="J20" s="28">
        <f>G20+I20</f>
        <v>2427808.9548800001</v>
      </c>
      <c r="K20" s="63">
        <f>Sheet1!CU4</f>
        <v>7.6</v>
      </c>
      <c r="L20" s="60" t="str">
        <f>Sheet1!CV4</f>
        <v>KMS</v>
      </c>
      <c r="M20" s="23">
        <f>J20*K20</f>
        <v>18451348.057087999</v>
      </c>
      <c r="N20" s="172">
        <v>1701</v>
      </c>
      <c r="O20" s="85">
        <f>+IFERROR(VLOOKUP($O$17,Sheet1!J4:L4,3,0),0)</f>
        <v>0</v>
      </c>
      <c r="P20" s="85">
        <f>+IFERROR(VLOOKUP($P$17,Sheet1!J4:M4,3,0),0)</f>
        <v>0</v>
      </c>
      <c r="Q20" s="85">
        <f>+IFERROR(VLOOKUP($Q$17,Sheet1!J4:M4,3,0),0)</f>
        <v>0</v>
      </c>
      <c r="R20" s="85">
        <f>+IFERROR(VLOOKUP($R$17,Sheet1!J4:M4,3,0),0)</f>
        <v>0</v>
      </c>
      <c r="S20" s="85">
        <f>+IFERROR(VLOOKUP($S$17,Sheet1!J4:M4,3,0),0)</f>
        <v>0</v>
      </c>
      <c r="T20" s="85">
        <f>+IFERROR(VLOOKUP($T$17,Sheet1!J4:M4,3,0),0)</f>
        <v>0</v>
      </c>
      <c r="U20" s="85">
        <f>+IFERROR(VLOOKUP($U$17,Sheet1!J4:M4,3,0),0)</f>
        <v>0</v>
      </c>
      <c r="V20" s="85">
        <f>+IFERROR(VLOOKUP($V$17,Sheet1!N4:Q4,3,0),0)</f>
        <v>0</v>
      </c>
      <c r="W20" s="85">
        <f>+IFERROR(VLOOKUP($W$17,Sheet1!N4:Q4,3,0),0)</f>
        <v>0</v>
      </c>
      <c r="X20" s="172">
        <v>204</v>
      </c>
      <c r="Y20" s="85">
        <f>+IFERROR(VLOOKUP($Y$17,Sheet1!F4:I4,3,0),0)</f>
        <v>0</v>
      </c>
      <c r="Z20" s="85">
        <f>+IFERROR(VLOOKUP($Z$17,Sheet1!F4:I4,3,0),0)</f>
        <v>0</v>
      </c>
      <c r="AA20" s="85">
        <f>+IFERROR(VLOOKUP($AA$17,Sheet1!F4:I4,3,0),0)</f>
        <v>0</v>
      </c>
      <c r="AB20" s="85">
        <f>+IFERROR(VLOOKUP($AB$17,Sheet1!F4:I4,3,0),0)</f>
        <v>0</v>
      </c>
      <c r="AC20" s="85">
        <f>+IFERROR(VLOOKUP($AC$17,Sheet1!F4:I4,3,0),0)</f>
        <v>0</v>
      </c>
      <c r="AD20" s="85">
        <f>+IFERROR(VLOOKUP($AD$17,Sheet1!F4:I4,3,0),0)</f>
        <v>0</v>
      </c>
      <c r="AE20" s="85">
        <f>+IFERROR(VLOOKUP($AE$17,Sheet1!F4:I4,3,0),0)</f>
        <v>0</v>
      </c>
      <c r="AF20" s="85">
        <f>+IFERROR(VLOOKUP($AF$17,Sheet1!R4:U4,3,0),0)</f>
        <v>0</v>
      </c>
      <c r="AG20" s="173">
        <v>200</v>
      </c>
      <c r="AH20" s="85">
        <f>+IFERROR(VLOOKUP($AH$17,Sheet1!V4:Y4,3,0),0)</f>
        <v>0</v>
      </c>
      <c r="AI20" s="84">
        <f>+IFERROR(VLOOKUP($AI$17,Sheet1!V4:Y4,3,0),0)</f>
        <v>0</v>
      </c>
      <c r="AJ20" s="173">
        <v>1056</v>
      </c>
      <c r="AK20" s="84">
        <f>+IFERROR(VLOOKUP($AK$17,Sheet1!V4:Y4,3,0),0)</f>
        <v>0</v>
      </c>
      <c r="AL20" s="84">
        <f>+IFERROR(VLOOKUP($AL$17,Sheet1!V4:Y4,3,0),0)</f>
        <v>0</v>
      </c>
      <c r="AM20" s="84">
        <f>+IFERROR(VLOOKUP($AM$17,Sheet1!V4:Y4,3,0),0)</f>
        <v>0</v>
      </c>
      <c r="AN20" s="84">
        <f>+IFERROR(VLOOKUP($AN$17,Sheet1!V4:Y4,3,0),0)</f>
        <v>0</v>
      </c>
      <c r="AO20" s="84">
        <f>+IFERROR(VLOOKUP($AO$17,Sheet1!V4:Y4,3,0),0)</f>
        <v>0</v>
      </c>
      <c r="AP20" s="84">
        <f>+IFERROR(VLOOKUP($AP$17,Sheet1!V4:Y4,3,0),0)</f>
        <v>0</v>
      </c>
      <c r="AQ20" s="84">
        <f>+IFERROR(VLOOKUP($AQ$17,Sheet1!Z4:AB4,3,0),0)</f>
        <v>0</v>
      </c>
      <c r="AR20" s="84">
        <f>+IFERROR(VLOOKUP($AR$17,Sheet1!AD4:AG4,3,0),0)</f>
        <v>0</v>
      </c>
      <c r="AS20" s="84">
        <f>+IFERROR(VLOOKUP($AS$17,Sheet1!AD4:AG4,3,0),0)</f>
        <v>0</v>
      </c>
      <c r="AT20" s="84">
        <f>+IFERROR(VLOOKUP($AT$17,Sheet1!AD4:AG4,3,0),0)</f>
        <v>0</v>
      </c>
      <c r="AU20" s="84">
        <f>+IFERROR(VLOOKUP($AU$17,Sheet1!AD4:AG4,3,0),0)</f>
        <v>0</v>
      </c>
      <c r="AV20" s="84">
        <f>+IFERROR(VLOOKUP($AV$17,Sheet1!AD4:AG4,3,0),0)</f>
        <v>0</v>
      </c>
      <c r="AW20" s="84">
        <f>+IFERROR(VLOOKUP($AW$17,Sheet1!AD4:AG4,3,0),0)</f>
        <v>0</v>
      </c>
      <c r="AX20" s="173">
        <v>215</v>
      </c>
      <c r="AY20" s="84">
        <f>+IFERROR(VLOOKUP($AY$17,Sheet1!AD4:AG4,3,0),0)</f>
        <v>0</v>
      </c>
      <c r="AZ20" s="84">
        <f>+IFERROR(VLOOKUP($AZ$17,Sheet1!AD4:AG4,3,0),0)</f>
        <v>0</v>
      </c>
      <c r="BA20" s="84">
        <f>+IFERROR(VLOOKUP($BA$17,Sheet1!AH4:AK4,3,0),0)</f>
        <v>0</v>
      </c>
      <c r="BB20" s="84">
        <f>+IFERROR(VLOOKUP($BB$17,Sheet1!AH4:AK4,3,0),0)</f>
        <v>0</v>
      </c>
      <c r="BC20" s="84">
        <f>+IFERROR(VLOOKUP($BC$17,Sheet1!AH4:AK4,3,0),0)</f>
        <v>0</v>
      </c>
      <c r="BD20" s="173">
        <v>842</v>
      </c>
      <c r="BE20" s="84">
        <f>+IFERROR(VLOOKUP($BE$17,Sheet1!AH4:AK4,3,0),0)</f>
        <v>0</v>
      </c>
      <c r="BF20" s="84">
        <f>+IFERROR(VLOOKUP($BF$17,Sheet1!AH4:AK4,3,0),0)</f>
        <v>0</v>
      </c>
      <c r="BG20" s="84">
        <f>+IFERROR(VLOOKUP($BG$17,Sheet1!AH4:AK4,3,0),0)</f>
        <v>0</v>
      </c>
      <c r="BH20" s="84">
        <f>+IFERROR(VLOOKUP($BH$17,Sheet1!AH4:AK4,3,0),0)</f>
        <v>0</v>
      </c>
      <c r="BI20" s="84">
        <f>+IFERROR(VLOOKUP($BI$17,Sheet1!AH4:AK4,3,0),0)</f>
        <v>0</v>
      </c>
      <c r="BJ20" s="84">
        <f>+IFERROR(VLOOKUP($BJ$17,Sheet1!AH4:AK4,3,0),0)</f>
        <v>0</v>
      </c>
      <c r="BK20" s="84">
        <f>+IFERROR(VLOOKUP($BK$17,Sheet1!AH4:AK4,3,0),0)</f>
        <v>0</v>
      </c>
      <c r="BL20" s="84">
        <f>+IFERROR(VLOOKUP($BL$17,Sheet1!AL4:AO4,3,0),0)</f>
        <v>0</v>
      </c>
      <c r="BM20" s="84">
        <f>+IFERROR(VLOOKUP($BM$17,Sheet1!AL4:AO4,3,0),0)</f>
        <v>0</v>
      </c>
      <c r="BN20" s="84">
        <f>+IFERROR(VLOOKUP($BN$17,Sheet1!AL4:AO4,3,0),0)</f>
        <v>0</v>
      </c>
      <c r="BO20" s="84">
        <f>+IFERROR(VLOOKUP($BO$17,Sheet1!AL4:AO4,3,0),0)</f>
        <v>0</v>
      </c>
      <c r="BP20" s="84">
        <f>+IFERROR(VLOOKUP($BP$17,Sheet1!AL4:AO4,3,0),0)</f>
        <v>0</v>
      </c>
      <c r="BQ20" s="84">
        <f>+IFERROR(VLOOKUP($BQ$17,Sheet1!AL4:AO4,3,0),0)</f>
        <v>0</v>
      </c>
      <c r="BR20" s="84">
        <f>+IFERROR(VLOOKUP($BR$17,Sheet1!AL4:AO4,3,0),0)</f>
        <v>0</v>
      </c>
      <c r="BS20" s="84">
        <f>+IFERROR(VLOOKUP($BS$17,Sheet1!AL4:AO4,3,0),0)</f>
        <v>0</v>
      </c>
      <c r="BT20" s="173">
        <v>765</v>
      </c>
      <c r="BU20" s="84">
        <f>+IFERROR(VLOOKUP($BU$17,Sheet1!AL4:AO4,3,0),0)</f>
        <v>0</v>
      </c>
      <c r="BV20" s="84">
        <f>+IFERROR(VLOOKUP($BV$17,Sheet1!AL4:AO4,3,0),0)</f>
        <v>0</v>
      </c>
      <c r="BW20" s="84">
        <f>+IFERROR(VLOOKUP($BW$17,Sheet1!AL4:AO4,3,0),0)</f>
        <v>0</v>
      </c>
      <c r="BX20" s="84">
        <f>+IFERROR(VLOOKUP($BX$17,Sheet1!AP4:AS4,3,0),0)</f>
        <v>0</v>
      </c>
      <c r="BY20" s="84">
        <f>+IFERROR(VLOOKUP($BY$17,Sheet1!AT4:AW4,3,0),0)</f>
        <v>0</v>
      </c>
      <c r="BZ20" s="173">
        <v>26</v>
      </c>
      <c r="CA20" s="173">
        <v>43</v>
      </c>
      <c r="CB20" s="84">
        <f>+IFERROR(VLOOKUP($CB$17,Sheet1!BF4:BI4,3,0),0)</f>
        <v>0</v>
      </c>
      <c r="CC20" s="84">
        <f>+IFERROR(VLOOKUP($CC$17,Sheet1!BJ4:BM4,3,0),0)</f>
        <v>0</v>
      </c>
      <c r="CD20" s="84">
        <f>+IFERROR(VLOOKUP($CD$17,Sheet1!BN4:BQ4,3,0),0)</f>
        <v>0</v>
      </c>
      <c r="CE20" s="173">
        <v>50</v>
      </c>
      <c r="CF20" s="37">
        <f>+IFERROR(VLOOKUP($CF$17,Sheet1!BV4:BY4,3,0),0)</f>
        <v>0</v>
      </c>
      <c r="CG20" s="56" t="s">
        <v>222</v>
      </c>
      <c r="CH20" s="57" t="s">
        <v>247</v>
      </c>
      <c r="CI20" s="57" t="s">
        <v>248</v>
      </c>
      <c r="CJ20" s="57">
        <v>500</v>
      </c>
      <c r="CK20" s="23">
        <f>19500/0.5</f>
        <v>39000</v>
      </c>
      <c r="CL20" s="23">
        <f>SUMPRODUCT($N$18:$CF$18,N20:CF20)+CK20</f>
        <v>1373241</v>
      </c>
      <c r="CM20" s="24">
        <f>Sheet1!CB4</f>
        <v>0</v>
      </c>
      <c r="CN20" s="23">
        <f>CL20*CM20</f>
        <v>0</v>
      </c>
      <c r="CO20" s="79">
        <v>0.4</v>
      </c>
      <c r="CP20" s="23">
        <f>CL20*CO20</f>
        <v>549296.4</v>
      </c>
      <c r="CQ20" s="79">
        <v>0</v>
      </c>
      <c r="CR20" s="23">
        <f>CL20*CQ20</f>
        <v>0</v>
      </c>
      <c r="CS20" s="23">
        <f>CL20+CN20+CP20+CR20</f>
        <v>1922537.4</v>
      </c>
      <c r="CT20" s="79">
        <v>0.03</v>
      </c>
      <c r="CU20" s="6">
        <f>CS20*CT20</f>
        <v>57676.121999999996</v>
      </c>
      <c r="CV20" s="79">
        <v>0.01</v>
      </c>
      <c r="CW20" s="6">
        <f>CS20*CV20</f>
        <v>19225.374</v>
      </c>
      <c r="CX20" s="79">
        <f>Sheet1!CM4</f>
        <v>0</v>
      </c>
      <c r="CY20" s="6">
        <f>CX20*CS20</f>
        <v>0</v>
      </c>
    </row>
    <row r="21" spans="1:103" s="22" customFormat="1" ht="30" x14ac:dyDescent="0.25">
      <c r="A21" s="6" t="str">
        <f>Sheet1!A3</f>
        <v>ENQ-17670-25-26</v>
      </c>
      <c r="B21" s="71">
        <v>45958</v>
      </c>
      <c r="C21" s="6" t="str">
        <f>Sheet1!C3</f>
        <v>FA1300017</v>
      </c>
      <c r="D21" s="6" t="str">
        <f>Sheet1!D3</f>
        <v>3 CORE X 400 SQ. MM. AL/ARM - STRIP (XLPE) - 11 KV</v>
      </c>
      <c r="E21" s="23">
        <f>CS21+CU21+CW21+CY21</f>
        <v>3158423.146666666</v>
      </c>
      <c r="F21" s="171">
        <f t="shared" si="0"/>
        <v>81892.099999999991</v>
      </c>
      <c r="G21" s="28">
        <f>E21+F21</f>
        <v>3240315.2466666661</v>
      </c>
      <c r="H21" s="29">
        <f>Sheet1!CR3</f>
        <v>0.18</v>
      </c>
      <c r="I21" s="28">
        <f>G21*H21</f>
        <v>583256.74439999985</v>
      </c>
      <c r="J21" s="28">
        <f>G21+I21</f>
        <v>3823571.9910666659</v>
      </c>
      <c r="K21" s="63">
        <f>Sheet1!CU3</f>
        <v>398.5</v>
      </c>
      <c r="L21" s="60" t="str">
        <f>Sheet1!CV3</f>
        <v>KMS</v>
      </c>
      <c r="M21" s="23">
        <f>J21*K21</f>
        <v>1523693438.4400663</v>
      </c>
      <c r="N21" s="172">
        <f>+IFERROR(VLOOKUP($N$17,Sheet1!J3:L3,3,0),0)</f>
        <v>3240</v>
      </c>
      <c r="O21" s="85">
        <f>+IFERROR(VLOOKUP($O$17,Sheet1!J3:L3,3,0),0)</f>
        <v>0</v>
      </c>
      <c r="P21" s="85">
        <f>+IFERROR(VLOOKUP($P$17,Sheet1!J3:M3,3,0),0)</f>
        <v>0</v>
      </c>
      <c r="Q21" s="85">
        <f>+IFERROR(VLOOKUP($Q$17,Sheet1!J3:M3,3,0),0)</f>
        <v>0</v>
      </c>
      <c r="R21" s="85">
        <f>+IFERROR(VLOOKUP($R$17,Sheet1!J3:M3,3,0),0)</f>
        <v>0</v>
      </c>
      <c r="S21" s="85">
        <f>+IFERROR(VLOOKUP($S$17,Sheet1!J3:M3,3,0),0)</f>
        <v>0</v>
      </c>
      <c r="T21" s="85">
        <f>+IFERROR(VLOOKUP($T$17,Sheet1!J3:M3,3,0),0)</f>
        <v>0</v>
      </c>
      <c r="U21" s="85">
        <f>+IFERROR(VLOOKUP($U$17,Sheet1!J3:M3,3,0),0)</f>
        <v>0</v>
      </c>
      <c r="V21" s="85">
        <f>+IFERROR(VLOOKUP($V$17,Sheet1!N3:Q3,3,0),0)</f>
        <v>0</v>
      </c>
      <c r="W21" s="85">
        <f>+IFERROR(VLOOKUP($W$17,Sheet1!N3:Q3,3,0),0)</f>
        <v>0</v>
      </c>
      <c r="X21" s="172">
        <v>410</v>
      </c>
      <c r="Y21" s="85">
        <f>+IFERROR(VLOOKUP($Y$17,Sheet1!F3:I3,3,0),0)</f>
        <v>0</v>
      </c>
      <c r="Z21" s="85">
        <f>+IFERROR(VLOOKUP($Z$17,Sheet1!F3:I3,3,0),0)</f>
        <v>0</v>
      </c>
      <c r="AA21" s="85">
        <f>+IFERROR(VLOOKUP($AA$17,Sheet1!F3:I3,3,0),0)</f>
        <v>0</v>
      </c>
      <c r="AB21" s="85">
        <f>+IFERROR(VLOOKUP($AB$17,Sheet1!F3:I3,3,0),0)</f>
        <v>0</v>
      </c>
      <c r="AC21" s="85">
        <f>+IFERROR(VLOOKUP($AC$17,Sheet1!F3:I3,3,0),0)</f>
        <v>0</v>
      </c>
      <c r="AD21" s="85">
        <f>+IFERROR(VLOOKUP($AD$17,Sheet1!F3:I3,3,0),0)</f>
        <v>0</v>
      </c>
      <c r="AE21" s="85">
        <f>+IFERROR(VLOOKUP($AE$17,Sheet1!F3:I3,3,0),0)</f>
        <v>0</v>
      </c>
      <c r="AF21" s="85">
        <f>+IFERROR(VLOOKUP($AF$17,Sheet1!R3:U3,3,0),0)</f>
        <v>0</v>
      </c>
      <c r="AG21" s="173">
        <v>430</v>
      </c>
      <c r="AH21" s="85">
        <f>+IFERROR(VLOOKUP($AH$17,Sheet1!V3:Y3,3,0),0)</f>
        <v>0</v>
      </c>
      <c r="AI21" s="84">
        <f>+IFERROR(VLOOKUP($AI$17,Sheet1!V3:Y3,3,0),0)</f>
        <v>0</v>
      </c>
      <c r="AJ21" s="173">
        <v>930</v>
      </c>
      <c r="AK21" s="84">
        <f>+IFERROR(VLOOKUP($AK$17,Sheet1!V3:Y3,3,0),0)</f>
        <v>0</v>
      </c>
      <c r="AL21" s="84">
        <f>+IFERROR(VLOOKUP($AL$17,Sheet1!V3:Y3,3,0),0)</f>
        <v>0</v>
      </c>
      <c r="AM21" s="84">
        <f>+IFERROR(VLOOKUP($AM$17,Sheet1!V3:Y3,3,0),0)</f>
        <v>0</v>
      </c>
      <c r="AN21" s="84">
        <f>+IFERROR(VLOOKUP($AN$17,Sheet1!V3:Y3,3,0),0)</f>
        <v>0</v>
      </c>
      <c r="AO21" s="84">
        <f>+IFERROR(VLOOKUP($AO$17,Sheet1!V3:Y3,3,0),0)</f>
        <v>0</v>
      </c>
      <c r="AP21" s="84">
        <f>+IFERROR(VLOOKUP($AP$17,Sheet1!V3:Y3,3,0),0)</f>
        <v>0</v>
      </c>
      <c r="AQ21" s="84">
        <f>+IFERROR(VLOOKUP($AQ$17,Sheet1!Z3:AB3,3,0),0)</f>
        <v>0</v>
      </c>
      <c r="AR21" s="84">
        <f>+IFERROR(VLOOKUP($AR$17,Sheet1!AD3:AG3,3,0),0)</f>
        <v>0</v>
      </c>
      <c r="AS21" s="84">
        <f>+IFERROR(VLOOKUP($AS$17,Sheet1!AD3:AG3,3,0),0)</f>
        <v>0</v>
      </c>
      <c r="AT21" s="84">
        <f>+IFERROR(VLOOKUP($AT$17,Sheet1!AD3:AG3,3,0),0)</f>
        <v>0</v>
      </c>
      <c r="AU21" s="84">
        <f>+IFERROR(VLOOKUP($AU$17,Sheet1!AD3:AG3,3,0),0)</f>
        <v>0</v>
      </c>
      <c r="AV21" s="84">
        <f>+IFERROR(VLOOKUP($AV$17,Sheet1!AD3:AG3,3,0),0)</f>
        <v>0</v>
      </c>
      <c r="AW21" s="84">
        <f>+IFERROR(VLOOKUP($AW$17,Sheet1!AD3:AG3,3,0),0)</f>
        <v>0</v>
      </c>
      <c r="AX21" s="173">
        <v>975</v>
      </c>
      <c r="AY21" s="84">
        <f>+IFERROR(VLOOKUP($AY$17,Sheet1!AD3:AG3,3,0),0)</f>
        <v>0</v>
      </c>
      <c r="AZ21" s="84">
        <f>+IFERROR(VLOOKUP($AZ$17,Sheet1!AD3:AG3,3,0),0)</f>
        <v>0</v>
      </c>
      <c r="BA21" s="84">
        <f>+IFERROR(VLOOKUP($BA$17,Sheet1!AH3:AK3,3,0),0)</f>
        <v>0</v>
      </c>
      <c r="BB21" s="84">
        <f>+IFERROR(VLOOKUP($BB$17,Sheet1!AH3:AK3,3,0),0)</f>
        <v>0</v>
      </c>
      <c r="BC21" s="84">
        <f>+IFERROR(VLOOKUP($BC$17,Sheet1!AH3:AK3,3,0),0)</f>
        <v>0</v>
      </c>
      <c r="BD21" s="84">
        <f>+IFERROR(VLOOKUP($BD$17,Sheet1!AH3:AK3,3,0),0)</f>
        <v>0</v>
      </c>
      <c r="BE21" s="84">
        <f>+IFERROR(VLOOKUP($BE$17,Sheet1!AH3:AK3,3,0),0)</f>
        <v>0</v>
      </c>
      <c r="BF21" s="84">
        <f>+IFERROR(VLOOKUP($BF$17,Sheet1!AH3:AK3,3,0),0)</f>
        <v>0</v>
      </c>
      <c r="BG21" s="173">
        <v>1325</v>
      </c>
      <c r="BH21" s="84">
        <f>+IFERROR(VLOOKUP($BH$17,Sheet1!AH3:AK3,3,0),0)</f>
        <v>0</v>
      </c>
      <c r="BI21" s="84">
        <f>+IFERROR(VLOOKUP($BI$17,Sheet1!AH3:AK3,3,0),0)</f>
        <v>0</v>
      </c>
      <c r="BJ21" s="84">
        <f>+IFERROR(VLOOKUP($BJ$17,Sheet1!AH3:AK3,3,0),0)</f>
        <v>0</v>
      </c>
      <c r="BK21" s="84">
        <f>+IFERROR(VLOOKUP($BK$17,Sheet1!AH3:AK3,3,0),0)</f>
        <v>0</v>
      </c>
      <c r="BL21" s="84">
        <f>+IFERROR(VLOOKUP($BL$17,Sheet1!AL3:AO3,3,0),0)</f>
        <v>0</v>
      </c>
      <c r="BM21" s="84">
        <f>+IFERROR(VLOOKUP($BM$17,Sheet1!AL3:AO3,3,0),0)</f>
        <v>0</v>
      </c>
      <c r="BN21" s="84">
        <f>+IFERROR(VLOOKUP($BN$17,Sheet1!AL3:AO3,3,0),0)</f>
        <v>0</v>
      </c>
      <c r="BO21" s="84">
        <f>+IFERROR(VLOOKUP($BO$17,Sheet1!AL3:AO3,3,0),0)</f>
        <v>0</v>
      </c>
      <c r="BP21" s="84">
        <f>+IFERROR(VLOOKUP($BP$17,Sheet1!AL3:AO3,3,0),0)</f>
        <v>0</v>
      </c>
      <c r="BQ21" s="84">
        <f>+IFERROR(VLOOKUP($BQ$17,Sheet1!AL3:AO3,3,0),0)</f>
        <v>0</v>
      </c>
      <c r="BR21" s="173">
        <v>790</v>
      </c>
      <c r="BS21" s="84">
        <f>+IFERROR(VLOOKUP($BS$17,Sheet1!AL3:AO3,3,0),0)</f>
        <v>0</v>
      </c>
      <c r="BT21" s="84">
        <f>+IFERROR(VLOOKUP($BT$17,Sheet1!AL3:AO3,3,0),0)</f>
        <v>0</v>
      </c>
      <c r="BU21" s="84">
        <f>+IFERROR(VLOOKUP($BU$17,Sheet1!AL3:AO3,3,0),0)</f>
        <v>0</v>
      </c>
      <c r="BV21" s="84">
        <f>+IFERROR(VLOOKUP($BV$17,Sheet1!AL3:AO3,3,0),0)</f>
        <v>0</v>
      </c>
      <c r="BW21" s="84">
        <f>+IFERROR(VLOOKUP($BW$17,Sheet1!AL3:AO3,3,0),0)</f>
        <v>0</v>
      </c>
      <c r="BX21" s="173">
        <v>980</v>
      </c>
      <c r="BY21" s="84">
        <f>+IFERROR(VLOOKUP($BY$17,Sheet1!AT3:AW3,3,0),0)</f>
        <v>0</v>
      </c>
      <c r="BZ21" s="173">
        <v>58</v>
      </c>
      <c r="CA21" s="173">
        <v>91</v>
      </c>
      <c r="CB21" s="84">
        <f>+IFERROR(VLOOKUP($CB$17,Sheet1!BF3:BI3,3,0),0)</f>
        <v>0</v>
      </c>
      <c r="CC21" s="84">
        <f>+IFERROR(VLOOKUP($CC$17,Sheet1!BJ3:BM3,3,0),0)</f>
        <v>0</v>
      </c>
      <c r="CD21" s="84">
        <f>+IFERROR(VLOOKUP($CD$17,Sheet1!BN3:BQ3,3,0),0)</f>
        <v>0</v>
      </c>
      <c r="CE21" s="173">
        <v>128</v>
      </c>
      <c r="CF21" s="37">
        <f>+IFERROR(VLOOKUP($CF$17,Sheet1!BV3:BY3,3,0),0)</f>
        <v>0</v>
      </c>
      <c r="CG21" s="56" t="str">
        <f>Sheet1!E3</f>
        <v>STEEL</v>
      </c>
      <c r="CH21" s="57" t="s">
        <v>230</v>
      </c>
      <c r="CI21" s="57" t="s">
        <v>231</v>
      </c>
      <c r="CJ21" s="57">
        <v>300</v>
      </c>
      <c r="CK21" s="23">
        <f>26000/0.3</f>
        <v>86666.666666666672</v>
      </c>
      <c r="CL21" s="23">
        <f>SUMPRODUCT($N$18:$CF$18,N21:CF21)+CK21</f>
        <v>2169246.6666666665</v>
      </c>
      <c r="CM21" s="24">
        <f>Sheet1!CB3</f>
        <v>0</v>
      </c>
      <c r="CN21" s="23">
        <f>CL21*CM21</f>
        <v>0</v>
      </c>
      <c r="CO21" s="79">
        <v>0.4</v>
      </c>
      <c r="CP21" s="23">
        <f>CL21*CO21</f>
        <v>867698.66666666663</v>
      </c>
      <c r="CQ21" s="79">
        <v>0</v>
      </c>
      <c r="CR21" s="23">
        <f>CL21*CQ21</f>
        <v>0</v>
      </c>
      <c r="CS21" s="23">
        <f>CL21+CN21+CP21+CR21</f>
        <v>3036945.333333333</v>
      </c>
      <c r="CT21" s="79">
        <v>0.03</v>
      </c>
      <c r="CU21" s="6">
        <f>CS21*CT21</f>
        <v>91108.359999999986</v>
      </c>
      <c r="CV21" s="79">
        <v>0.01</v>
      </c>
      <c r="CW21" s="6">
        <f>CS21*CV21</f>
        <v>30369.453333333331</v>
      </c>
      <c r="CX21" s="79">
        <f>Sheet1!CM3</f>
        <v>0</v>
      </c>
      <c r="CY21" s="6">
        <f>CX21*CS21</f>
        <v>0</v>
      </c>
    </row>
    <row r="22" spans="1:103" s="22" customFormat="1" ht="30" x14ac:dyDescent="0.25">
      <c r="A22" s="6" t="str">
        <f>Sheet1!A6</f>
        <v>ENQ-17670-25-26</v>
      </c>
      <c r="B22" s="71">
        <v>45958</v>
      </c>
      <c r="C22" s="6" t="str">
        <f>Sheet1!C6</f>
        <v>FA1300066</v>
      </c>
      <c r="D22" s="6" t="str">
        <f>Sheet1!D6</f>
        <v>1 CORE X 1000 SQ. MM. AL/ARM (XLPE) - 11 KV</v>
      </c>
      <c r="E22" s="23">
        <f>CS22+CU22+CW22+CY22</f>
        <v>2262251.2640000004</v>
      </c>
      <c r="F22" s="171">
        <f t="shared" si="0"/>
        <v>51760.57</v>
      </c>
      <c r="G22" s="28">
        <f>E22+F22</f>
        <v>2314011.8340000003</v>
      </c>
      <c r="H22" s="29">
        <f>Sheet1!CR6</f>
        <v>0.18</v>
      </c>
      <c r="I22" s="28">
        <f>G22*H22</f>
        <v>416522.13012000005</v>
      </c>
      <c r="J22" s="28">
        <f>G22+I22</f>
        <v>2730533.9641200001</v>
      </c>
      <c r="K22" s="63">
        <f>Sheet1!CU6</f>
        <v>14.2</v>
      </c>
      <c r="L22" s="60" t="str">
        <f>Sheet1!CV6</f>
        <v>KMS</v>
      </c>
      <c r="M22" s="23">
        <f>J22*K22</f>
        <v>38773582.290504001</v>
      </c>
      <c r="N22" s="172">
        <f>+IFERROR(VLOOKUP($N$17,Sheet1!J6:L6,3,0),0)</f>
        <v>2732</v>
      </c>
      <c r="O22" s="85">
        <f>+IFERROR(VLOOKUP($O$17,Sheet1!J6:L6,3,0),0)</f>
        <v>0</v>
      </c>
      <c r="P22" s="85">
        <f>+IFERROR(VLOOKUP($P$17,Sheet1!J6:M6,3,0),0)</f>
        <v>0</v>
      </c>
      <c r="Q22" s="85">
        <f>+IFERROR(VLOOKUP($Q$17,Sheet1!J6:M6,3,0),0)</f>
        <v>0</v>
      </c>
      <c r="R22" s="85">
        <f>+IFERROR(VLOOKUP($R$17,Sheet1!J6:M6,3,0),0)</f>
        <v>0</v>
      </c>
      <c r="S22" s="85">
        <f>+IFERROR(VLOOKUP($S$17,Sheet1!J6:M6,3,0),0)</f>
        <v>0</v>
      </c>
      <c r="T22" s="85">
        <f>+IFERROR(VLOOKUP($T$17,Sheet1!J6:M6,3,0),0)</f>
        <v>0</v>
      </c>
      <c r="U22" s="85">
        <f>+IFERROR(VLOOKUP($U$17,Sheet1!J6:M6,3,0),0)</f>
        <v>0</v>
      </c>
      <c r="V22" s="85">
        <f>+IFERROR(VLOOKUP($V$17,Sheet1!N6:Q6,3,0),0)</f>
        <v>0</v>
      </c>
      <c r="W22" s="85">
        <f>+IFERROR(VLOOKUP($W$17,Sheet1!N6:Q6,3,0),0)</f>
        <v>0</v>
      </c>
      <c r="X22" s="172">
        <v>199</v>
      </c>
      <c r="Y22" s="85">
        <f>+IFERROR(VLOOKUP($Y$17,Sheet1!F6:I6,3,0),0)</f>
        <v>0</v>
      </c>
      <c r="Z22" s="85">
        <f>+IFERROR(VLOOKUP($Z$17,Sheet1!F6:I6,3,0),0)</f>
        <v>0</v>
      </c>
      <c r="AA22" s="85">
        <f>+IFERROR(VLOOKUP($AA$17,Sheet1!F6:I6,3,0),0)</f>
        <v>0</v>
      </c>
      <c r="AB22" s="85">
        <f>+IFERROR(VLOOKUP($AB$17,Sheet1!F6:I6,3,0),0)</f>
        <v>0</v>
      </c>
      <c r="AC22" s="85">
        <f>+IFERROR(VLOOKUP($AC$17,Sheet1!F6:I6,3,0),0)</f>
        <v>0</v>
      </c>
      <c r="AD22" s="85">
        <f>+IFERROR(VLOOKUP($AD$17,Sheet1!F6:I6,3,0),0)</f>
        <v>0</v>
      </c>
      <c r="AE22" s="85">
        <f>+IFERROR(VLOOKUP($AE$17,Sheet1!F6:I6,3,0),0)</f>
        <v>0</v>
      </c>
      <c r="AF22" s="85">
        <f>+IFERROR(VLOOKUP($AF$17,Sheet1!R6:U6,3,0),0)</f>
        <v>0</v>
      </c>
      <c r="AG22" s="173">
        <v>236</v>
      </c>
      <c r="AH22" s="85">
        <f>+IFERROR(VLOOKUP($AH$17,Sheet1!V6:Y6,3,0),0)</f>
        <v>0</v>
      </c>
      <c r="AI22" s="84">
        <f>+IFERROR(VLOOKUP($AI$17,Sheet1!V6:Y6,3,0),0)</f>
        <v>0</v>
      </c>
      <c r="AJ22" s="173">
        <v>480</v>
      </c>
      <c r="AK22" s="84">
        <f>+IFERROR(VLOOKUP($AK$17,Sheet1!V6:Y6,3,0),0)</f>
        <v>0</v>
      </c>
      <c r="AL22" s="84">
        <f>+IFERROR(VLOOKUP($AL$17,Sheet1!V6:Y6,3,0),0)</f>
        <v>0</v>
      </c>
      <c r="AM22" s="84">
        <f>+IFERROR(VLOOKUP($AM$17,Sheet1!V6:Y6,3,0),0)</f>
        <v>0</v>
      </c>
      <c r="AN22" s="84">
        <f>+IFERROR(VLOOKUP($AN$17,Sheet1!V6:Y6,3,0),0)</f>
        <v>0</v>
      </c>
      <c r="AO22" s="84">
        <f>+IFERROR(VLOOKUP($AO$17,Sheet1!V6:Y6,3,0),0)</f>
        <v>0</v>
      </c>
      <c r="AP22" s="84">
        <f>+IFERROR(VLOOKUP($AP$17,Sheet1!V6:Y6,3,0),0)</f>
        <v>0</v>
      </c>
      <c r="AQ22" s="173">
        <v>15</v>
      </c>
      <c r="AR22" s="84">
        <f>+IFERROR(VLOOKUP($AR$17,Sheet1!AD6:AG6,3,0),0)</f>
        <v>0</v>
      </c>
      <c r="AS22" s="84">
        <f>+IFERROR(VLOOKUP($AS$17,Sheet1!AD6:AG6,3,0),0)</f>
        <v>0</v>
      </c>
      <c r="AT22" s="84">
        <f>+IFERROR(VLOOKUP($AT$17,Sheet1!AD6:AG6,3,0),0)</f>
        <v>0</v>
      </c>
      <c r="AU22" s="84">
        <f>+IFERROR(VLOOKUP($AU$17,Sheet1!AD6:AG6,3,0),0)</f>
        <v>0</v>
      </c>
      <c r="AV22" s="84">
        <f>+IFERROR(VLOOKUP($AV$17,Sheet1!AD6:AG6,3,0),0)</f>
        <v>0</v>
      </c>
      <c r="AW22" s="84">
        <f>+IFERROR(VLOOKUP($AW$17,Sheet1!AD6:AG6,3,0),0)</f>
        <v>0</v>
      </c>
      <c r="AX22" s="173">
        <v>205</v>
      </c>
      <c r="AY22" s="84">
        <f>+IFERROR(VLOOKUP($AY$17,Sheet1!AD6:AG6,3,0),0)</f>
        <v>0</v>
      </c>
      <c r="AZ22" s="84">
        <f>+IFERROR(VLOOKUP($AZ$17,Sheet1!AD6:AG6,3,0),0)</f>
        <v>0</v>
      </c>
      <c r="BA22" s="84">
        <f>+IFERROR(VLOOKUP($BA$17,Sheet1!AH6:AK6,3,0),0)</f>
        <v>0</v>
      </c>
      <c r="BB22" s="84">
        <f>+IFERROR(VLOOKUP($BB$17,Sheet1!AH6:AK6,3,0),0)</f>
        <v>0</v>
      </c>
      <c r="BC22" s="84">
        <f>+IFERROR(VLOOKUP($BC$17,Sheet1!AH6:AK6,3,0),0)</f>
        <v>0</v>
      </c>
      <c r="BD22" s="173">
        <v>814</v>
      </c>
      <c r="BE22" s="84">
        <f>+IFERROR(VLOOKUP($BE$17,Sheet1!AH6:AK6,3,0),0)</f>
        <v>0</v>
      </c>
      <c r="BF22" s="84">
        <f>+IFERROR(VLOOKUP($BF$17,Sheet1!AH6:AK6,3,0),0)</f>
        <v>0</v>
      </c>
      <c r="BG22" s="84">
        <f>+IFERROR(VLOOKUP($BG$17,Sheet1!AH6:AK6,3,0),0)</f>
        <v>0</v>
      </c>
      <c r="BH22" s="84">
        <f>+IFERROR(VLOOKUP($BH$17,Sheet1!AH6:AK6,3,0),0)</f>
        <v>0</v>
      </c>
      <c r="BI22" s="84">
        <f>+IFERROR(VLOOKUP($BI$17,Sheet1!AH6:AK6,3,0),0)</f>
        <v>0</v>
      </c>
      <c r="BJ22" s="84">
        <f>+IFERROR(VLOOKUP($BJ$17,Sheet1!AH6:AK6,3,0),0)</f>
        <v>0</v>
      </c>
      <c r="BK22" s="84">
        <f>+IFERROR(VLOOKUP($BK$17,Sheet1!AH6:AK6,3,0),0)</f>
        <v>0</v>
      </c>
      <c r="BL22" s="84">
        <f>+IFERROR(VLOOKUP($BL$17,Sheet1!AL6:AO6,3,0),0)</f>
        <v>0</v>
      </c>
      <c r="BM22" s="84">
        <f>+IFERROR(VLOOKUP($BM$17,Sheet1!AL6:AO6,3,0),0)</f>
        <v>0</v>
      </c>
      <c r="BN22" s="84">
        <f>+IFERROR(VLOOKUP($BN$17,Sheet1!AL6:AO6,3,0),0)</f>
        <v>0</v>
      </c>
      <c r="BO22" s="84">
        <f>+IFERROR(VLOOKUP($BO$17,Sheet1!AL6:AO6,3,0),0)</f>
        <v>0</v>
      </c>
      <c r="BP22" s="84">
        <f>+IFERROR(VLOOKUP($BP$17,Sheet1!AL6:AO6,3,0),0)</f>
        <v>0</v>
      </c>
      <c r="BQ22" s="84">
        <f>+IFERROR(VLOOKUP($BQ$17,Sheet1!AL6:AO6,3,0),0)</f>
        <v>0</v>
      </c>
      <c r="BR22" s="84">
        <f>+IFERROR(VLOOKUP($BR$17,Sheet1!AL6:AO6,3,0),0)</f>
        <v>0</v>
      </c>
      <c r="BS22" s="84">
        <f>+IFERROR(VLOOKUP($BS$17,Sheet1!AL6:AO6,3,0),0)</f>
        <v>0</v>
      </c>
      <c r="BT22" s="173">
        <v>706</v>
      </c>
      <c r="BU22" s="84">
        <f>+IFERROR(VLOOKUP($BU$17,Sheet1!AL6:AO6,3,0),0)</f>
        <v>0</v>
      </c>
      <c r="BV22" s="84">
        <f>+IFERROR(VLOOKUP($BV$17,Sheet1!AL6:AO6,3,0),0)</f>
        <v>0</v>
      </c>
      <c r="BW22" s="84">
        <f>+IFERROR(VLOOKUP($BW$17,Sheet1!AL6:AO6,3,0),0)</f>
        <v>0</v>
      </c>
      <c r="BX22" s="84">
        <f>+IFERROR(VLOOKUP($BX$17,Sheet1!AP6:AS6,3,0),0)</f>
        <v>0</v>
      </c>
      <c r="BY22" s="84">
        <f>+IFERROR(VLOOKUP($BY$17,Sheet1!AT6:AW6,3,0),0)</f>
        <v>0</v>
      </c>
      <c r="BZ22" s="173">
        <v>39</v>
      </c>
      <c r="CA22" s="173">
        <v>65</v>
      </c>
      <c r="CB22" s="84">
        <f>+IFERROR(VLOOKUP($CB$17,Sheet1!BF6:BI6,3,0),0)</f>
        <v>0</v>
      </c>
      <c r="CC22" s="84">
        <f>+IFERROR(VLOOKUP($CC$17,Sheet1!BJ6:BM6,3,0),0)</f>
        <v>0</v>
      </c>
      <c r="CD22" s="84">
        <f>+IFERROR(VLOOKUP($CD$17,Sheet1!BN6:BQ6,3,0),0)</f>
        <v>0</v>
      </c>
      <c r="CE22" s="173">
        <v>48</v>
      </c>
      <c r="CF22" s="37">
        <f>+IFERROR(VLOOKUP($CF$17,Sheet1!BV6:BY6,3,0),0)</f>
        <v>0</v>
      </c>
      <c r="CG22" s="56" t="str">
        <f>Sheet1!E6</f>
        <v>STEEL</v>
      </c>
      <c r="CH22" s="57" t="s">
        <v>241</v>
      </c>
      <c r="CI22" s="57" t="s">
        <v>242</v>
      </c>
      <c r="CJ22" s="57">
        <v>500</v>
      </c>
      <c r="CK22" s="23">
        <f>22750/0.5</f>
        <v>45500</v>
      </c>
      <c r="CL22" s="23">
        <f>SUMPRODUCT($N$18:$CF$18,N22:CF22)+CK22</f>
        <v>1553744</v>
      </c>
      <c r="CM22" s="24">
        <f>Sheet1!CB6</f>
        <v>0</v>
      </c>
      <c r="CN22" s="23">
        <f>CL22*CM22</f>
        <v>0</v>
      </c>
      <c r="CO22" s="79">
        <v>0.4</v>
      </c>
      <c r="CP22" s="23">
        <f>CL22*CO22</f>
        <v>621497.59999999998</v>
      </c>
      <c r="CQ22" s="79">
        <v>0</v>
      </c>
      <c r="CR22" s="23">
        <f>CL22*CQ22</f>
        <v>0</v>
      </c>
      <c r="CS22" s="23">
        <f>CL22+CN22+CP22+CR22</f>
        <v>2175241.6</v>
      </c>
      <c r="CT22" s="79">
        <v>0.03</v>
      </c>
      <c r="CU22" s="6">
        <f>CS22*CT22</f>
        <v>65257.248</v>
      </c>
      <c r="CV22" s="79">
        <v>0.01</v>
      </c>
      <c r="CW22" s="6">
        <f>CS22*CV22</f>
        <v>21752.416000000001</v>
      </c>
      <c r="CX22" s="79">
        <f>Sheet1!CM6</f>
        <v>0</v>
      </c>
      <c r="CY22" s="6">
        <f>CX22*CS22</f>
        <v>0</v>
      </c>
    </row>
    <row r="23" spans="1:103" s="22" customFormat="1" ht="30" x14ac:dyDescent="0.25">
      <c r="A23" s="6" t="str">
        <f>Sheet1!A5</f>
        <v>ENQ-17670-25-26</v>
      </c>
      <c r="B23" s="71">
        <v>45958</v>
      </c>
      <c r="C23" s="6" t="str">
        <f>Sheet1!C5</f>
        <v>FA1300052</v>
      </c>
      <c r="D23" s="6" t="str">
        <f>Sheet1!D5</f>
        <v>3 CORE X 150 SQ. MM. AL/ARM - STRIP (XLPE) - 11 KV</v>
      </c>
      <c r="E23" s="23">
        <f>CS23+CU23+CW23+CY23</f>
        <v>1743169.3066666669</v>
      </c>
      <c r="F23" s="171">
        <f t="shared" si="0"/>
        <v>51882.36</v>
      </c>
      <c r="G23" s="28">
        <f>E23+F23</f>
        <v>1795051.666666667</v>
      </c>
      <c r="H23" s="29">
        <f>Sheet1!CR5</f>
        <v>0.18</v>
      </c>
      <c r="I23" s="28">
        <f>G23*H23</f>
        <v>323109.30000000005</v>
      </c>
      <c r="J23" s="28">
        <f>G23+I23</f>
        <v>2118160.9666666668</v>
      </c>
      <c r="K23" s="63">
        <f>Sheet1!CU5</f>
        <v>8.5</v>
      </c>
      <c r="L23" s="60" t="str">
        <f>Sheet1!CV5</f>
        <v>KMS</v>
      </c>
      <c r="M23" s="23">
        <f>J23*K23</f>
        <v>18004368.216666669</v>
      </c>
      <c r="N23" s="85">
        <f>+IFERROR(VLOOKUP($N$17,Sheet1!J5:L5,3,0),0)</f>
        <v>1215</v>
      </c>
      <c r="O23" s="85">
        <f>+IFERROR(VLOOKUP($O$17,Sheet1!J5:L5,3,0),0)</f>
        <v>0</v>
      </c>
      <c r="P23" s="85">
        <f>+IFERROR(VLOOKUP($P$17,Sheet1!J5:M5,3,0),0)</f>
        <v>0</v>
      </c>
      <c r="Q23" s="85">
        <f>+IFERROR(VLOOKUP($Q$17,Sheet1!J5:M5,3,0),0)</f>
        <v>0</v>
      </c>
      <c r="R23" s="85">
        <f>+IFERROR(VLOOKUP($R$17,Sheet1!J5:M5,3,0),0)</f>
        <v>0</v>
      </c>
      <c r="S23" s="85">
        <f>+IFERROR(VLOOKUP($S$17,Sheet1!J5:M5,3,0),0)</f>
        <v>0</v>
      </c>
      <c r="T23" s="85">
        <f>+IFERROR(VLOOKUP($T$17,Sheet1!J5:M5,3,0),0)</f>
        <v>0</v>
      </c>
      <c r="U23" s="85">
        <f>+IFERROR(VLOOKUP($U$17,Sheet1!J5:M5,3,0),0)</f>
        <v>0</v>
      </c>
      <c r="V23" s="85">
        <f>+IFERROR(VLOOKUP($V$17,Sheet1!N5:Q5,3,0),0)</f>
        <v>0</v>
      </c>
      <c r="W23" s="85">
        <f>+IFERROR(VLOOKUP($W$17,Sheet1!N5:Q5,3,0),0)</f>
        <v>0</v>
      </c>
      <c r="X23" s="172">
        <v>303</v>
      </c>
      <c r="Y23" s="85">
        <f>+IFERROR(VLOOKUP($Y$17,Sheet1!F5:I5,3,0),0)</f>
        <v>0</v>
      </c>
      <c r="Z23" s="85">
        <f>+IFERROR(VLOOKUP($Z$17,Sheet1!F5:I5,3,0),0)</f>
        <v>0</v>
      </c>
      <c r="AA23" s="85">
        <f>+IFERROR(VLOOKUP($AA$17,Sheet1!F5:I5,3,0),0)</f>
        <v>0</v>
      </c>
      <c r="AB23" s="85">
        <f>+IFERROR(VLOOKUP($AB$17,Sheet1!F5:I5,3,0),0)</f>
        <v>0</v>
      </c>
      <c r="AC23" s="85">
        <f>+IFERROR(VLOOKUP($AC$17,Sheet1!F5:I5,3,0),0)</f>
        <v>0</v>
      </c>
      <c r="AD23" s="85">
        <f>+IFERROR(VLOOKUP($AD$17,Sheet1!F5:I5,3,0),0)</f>
        <v>0</v>
      </c>
      <c r="AE23" s="85">
        <f>+IFERROR(VLOOKUP($AE$17,Sheet1!F5:I5,3,0),0)</f>
        <v>0</v>
      </c>
      <c r="AF23" s="85">
        <f>+IFERROR(VLOOKUP($AF$17,Sheet1!R5:U5,3,0),0)</f>
        <v>0</v>
      </c>
      <c r="AG23" s="173">
        <v>296</v>
      </c>
      <c r="AH23" s="85">
        <f>+IFERROR(VLOOKUP($AH$17,Sheet1!V5:Y5,3,0),0)</f>
        <v>0</v>
      </c>
      <c r="AI23" s="84">
        <f>+IFERROR(VLOOKUP($AI$17,Sheet1!V5:Y5,3,0),0)</f>
        <v>0</v>
      </c>
      <c r="AJ23" s="173">
        <v>642</v>
      </c>
      <c r="AK23" s="84">
        <f>+IFERROR(VLOOKUP($AK$17,Sheet1!V5:Y5,3,0),0)</f>
        <v>0</v>
      </c>
      <c r="AL23" s="84">
        <f>+IFERROR(VLOOKUP($AL$17,Sheet1!V5:Y5,3,0),0)</f>
        <v>0</v>
      </c>
      <c r="AM23" s="84">
        <f>+IFERROR(VLOOKUP($AM$17,Sheet1!V5:Y5,3,0),0)</f>
        <v>0</v>
      </c>
      <c r="AN23" s="84">
        <f>+IFERROR(VLOOKUP($AN$17,Sheet1!V5:Y5,3,0),0)</f>
        <v>0</v>
      </c>
      <c r="AO23" s="84">
        <f>+IFERROR(VLOOKUP($AO$17,Sheet1!V5:Y5,3,0),0)</f>
        <v>0</v>
      </c>
      <c r="AP23" s="84">
        <f>+IFERROR(VLOOKUP($AP$17,Sheet1!V5:Y5,3,0),0)</f>
        <v>0</v>
      </c>
      <c r="AQ23" s="84">
        <f>+IFERROR(VLOOKUP($AQ$17,Sheet1!Z5:AB5,3,0),0)</f>
        <v>0</v>
      </c>
      <c r="AR23" s="84">
        <f>+IFERROR(VLOOKUP($AR$17,Sheet1!AD5:AG5,3,0),0)</f>
        <v>0</v>
      </c>
      <c r="AS23" s="84">
        <f>+IFERROR(VLOOKUP($AS$17,Sheet1!AD5:AG5,3,0),0)</f>
        <v>0</v>
      </c>
      <c r="AT23" s="84">
        <f>+IFERROR(VLOOKUP($AT$17,Sheet1!AD5:AG5,3,0),0)</f>
        <v>0</v>
      </c>
      <c r="AU23" s="84">
        <f>+IFERROR(VLOOKUP($AU$17,Sheet1!AD5:AG5,3,0),0)</f>
        <v>0</v>
      </c>
      <c r="AV23" s="84">
        <f>+IFERROR(VLOOKUP($AV$17,Sheet1!AD5:AG5,3,0),0)</f>
        <v>0</v>
      </c>
      <c r="AW23" s="84">
        <f>+IFERROR(VLOOKUP($AW$17,Sheet1!AD5:AG5,3,0),0)</f>
        <v>0</v>
      </c>
      <c r="AX23" s="173">
        <v>574</v>
      </c>
      <c r="AY23" s="84">
        <f>+IFERROR(VLOOKUP($AY$17,Sheet1!AD5:AG5,3,0),0)</f>
        <v>0</v>
      </c>
      <c r="AZ23" s="84">
        <f>+IFERROR(VLOOKUP($AZ$17,Sheet1!AD5:AG5,3,0),0)</f>
        <v>0</v>
      </c>
      <c r="BA23" s="84">
        <f>+IFERROR(VLOOKUP($BA$17,Sheet1!AH5:AK5,3,0),0)</f>
        <v>0</v>
      </c>
      <c r="BB23" s="84">
        <f>+IFERROR(VLOOKUP($BB$17,Sheet1!AH5:AK5,3,0),0)</f>
        <v>0</v>
      </c>
      <c r="BC23" s="84">
        <f>+IFERROR(VLOOKUP($BC$17,Sheet1!AH5:AK5,3,0),0)</f>
        <v>0</v>
      </c>
      <c r="BD23" s="84">
        <f>+IFERROR(VLOOKUP($BD$17,Sheet1!AH5:AK5,3,0),0)</f>
        <v>0</v>
      </c>
      <c r="BE23" s="84">
        <f>+IFERROR(VLOOKUP($BE$17,Sheet1!AH5:AK5,3,0),0)</f>
        <v>0</v>
      </c>
      <c r="BF23" s="84">
        <f>+IFERROR(VLOOKUP($BF$17,Sheet1!AH5:AK5,3,0),0)</f>
        <v>0</v>
      </c>
      <c r="BG23" s="173">
        <v>975</v>
      </c>
      <c r="BH23" s="84">
        <f>+IFERROR(VLOOKUP($BH$17,Sheet1!AH5:AK5,3,0),0)</f>
        <v>0</v>
      </c>
      <c r="BI23" s="84">
        <f>+IFERROR(VLOOKUP($BI$17,Sheet1!AH5:AK5,3,0),0)</f>
        <v>0</v>
      </c>
      <c r="BJ23" s="84">
        <f>+IFERROR(VLOOKUP($BJ$17,Sheet1!AH5:AK5,3,0),0)</f>
        <v>0</v>
      </c>
      <c r="BK23" s="84">
        <f>+IFERROR(VLOOKUP($BK$17,Sheet1!AH5:AK5,3,0),0)</f>
        <v>0</v>
      </c>
      <c r="BL23" s="84">
        <f>+IFERROR(VLOOKUP($BL$17,Sheet1!AL5:AO5,3,0),0)</f>
        <v>0</v>
      </c>
      <c r="BM23" s="84">
        <f>+IFERROR(VLOOKUP($BM$17,Sheet1!AL5:AO5,3,0),0)</f>
        <v>0</v>
      </c>
      <c r="BN23" s="84">
        <f>+IFERROR(VLOOKUP($BN$17,Sheet1!AL5:AO5,3,0),0)</f>
        <v>0</v>
      </c>
      <c r="BO23" s="84">
        <f>+IFERROR(VLOOKUP($BO$17,Sheet1!AL5:AO5,3,0),0)</f>
        <v>0</v>
      </c>
      <c r="BP23" s="84">
        <f>+IFERROR(VLOOKUP($BP$17,Sheet1!AL5:AO5,3,0),0)</f>
        <v>0</v>
      </c>
      <c r="BQ23" s="84">
        <f>+IFERROR(VLOOKUP($BQ$17,Sheet1!AL5:AO5,3,0),0)</f>
        <v>0</v>
      </c>
      <c r="BR23" s="84">
        <f>+IFERROR(VLOOKUP($BR$17,Sheet1!AL5:AO5,3,0),0)</f>
        <v>0</v>
      </c>
      <c r="BS23" s="84">
        <f>+IFERROR(VLOOKUP($BS$17,Sheet1!AL5:AO5,3,0),0)</f>
        <v>0</v>
      </c>
      <c r="BT23" s="173">
        <v>725</v>
      </c>
      <c r="BU23" s="84">
        <f>+IFERROR(VLOOKUP($BU$17,Sheet1!AL5:AO5,3,0),0)</f>
        <v>0</v>
      </c>
      <c r="BV23" s="84">
        <f>+IFERROR(VLOOKUP($BV$17,Sheet1!AL5:AO5,3,0),0)</f>
        <v>0</v>
      </c>
      <c r="BW23" s="84">
        <f>+IFERROR(VLOOKUP($BW$17,Sheet1!AL5:AO5,3,0),0)</f>
        <v>0</v>
      </c>
      <c r="BX23" s="173">
        <v>538</v>
      </c>
      <c r="BY23" s="84">
        <f>+IFERROR(VLOOKUP($BY$17,Sheet1!AT5:AW5,3,0),0)</f>
        <v>0</v>
      </c>
      <c r="BZ23" s="173">
        <v>18</v>
      </c>
      <c r="CA23" s="173">
        <v>64</v>
      </c>
      <c r="CB23" s="84">
        <f>+IFERROR(VLOOKUP($CB$17,Sheet1!BF5:BI5,3,0),0)</f>
        <v>0</v>
      </c>
      <c r="CC23" s="84">
        <f>+IFERROR(VLOOKUP($CC$17,Sheet1!BJ5:BM5,3,0),0)</f>
        <v>0</v>
      </c>
      <c r="CD23" s="84">
        <f>+IFERROR(VLOOKUP($CD$17,Sheet1!BN5:BQ5,3,0),0)</f>
        <v>0</v>
      </c>
      <c r="CE23" s="173">
        <v>95</v>
      </c>
      <c r="CF23" s="37">
        <f>+IFERROR(VLOOKUP($CF$17,Sheet1!BV5:BY5,3,0),0)</f>
        <v>0</v>
      </c>
      <c r="CG23" s="56" t="s">
        <v>222</v>
      </c>
      <c r="CH23" s="57" t="s">
        <v>340</v>
      </c>
      <c r="CI23" s="57" t="s">
        <v>341</v>
      </c>
      <c r="CJ23" s="57">
        <v>300</v>
      </c>
      <c r="CK23" s="23">
        <f>16250/0.3</f>
        <v>54166.666666666672</v>
      </c>
      <c r="CL23" s="23">
        <f>SUMPRODUCT($N$18:$CF$18,N23:CF23)+CK23</f>
        <v>1197231.6666666667</v>
      </c>
      <c r="CM23" s="24">
        <f>Sheet1!CB5</f>
        <v>0</v>
      </c>
      <c r="CN23" s="23">
        <f>CL23*CM23</f>
        <v>0</v>
      </c>
      <c r="CO23" s="79">
        <v>0.4</v>
      </c>
      <c r="CP23" s="23">
        <f>CL23*CO23</f>
        <v>478892.66666666674</v>
      </c>
      <c r="CQ23" s="79">
        <v>0</v>
      </c>
      <c r="CR23" s="23">
        <f>CL23*CQ23</f>
        <v>0</v>
      </c>
      <c r="CS23" s="23">
        <f>CL23+CN23+CP23+CR23</f>
        <v>1676124.3333333335</v>
      </c>
      <c r="CT23" s="79">
        <v>0.03</v>
      </c>
      <c r="CU23" s="6">
        <f>CS23*CT23</f>
        <v>50283.73</v>
      </c>
      <c r="CV23" s="79">
        <v>0.01</v>
      </c>
      <c r="CW23" s="6">
        <f>CS23*CV23</f>
        <v>16761.243333333336</v>
      </c>
      <c r="CX23" s="79">
        <f>Sheet1!CM5</f>
        <v>0</v>
      </c>
      <c r="CY23" s="6">
        <f>CX23*CS23</f>
        <v>0</v>
      </c>
    </row>
    <row r="24" spans="1:103" x14ac:dyDescent="0.25">
      <c r="B24" s="92" t="s">
        <v>276</v>
      </c>
      <c r="M24" s="174">
        <f>SUM(M19:M23)</f>
        <v>1999502509.1756048</v>
      </c>
      <c r="CQ24" s="5">
        <v>0</v>
      </c>
    </row>
    <row r="27" spans="1:103" ht="60" x14ac:dyDescent="0.25">
      <c r="E27" s="1" t="s">
        <v>126</v>
      </c>
      <c r="F27" s="1" t="s">
        <v>127</v>
      </c>
      <c r="G27" s="74" t="s">
        <v>128</v>
      </c>
      <c r="H27" s="1" t="s">
        <v>129</v>
      </c>
      <c r="I27" s="1" t="s">
        <v>130</v>
      </c>
      <c r="J27" s="1" t="s">
        <v>131</v>
      </c>
      <c r="K27" s="1" t="s">
        <v>132</v>
      </c>
      <c r="L27" s="1" t="s">
        <v>133</v>
      </c>
      <c r="M27" s="75" t="s">
        <v>134</v>
      </c>
      <c r="X27" s="15" t="s">
        <v>249</v>
      </c>
      <c r="AG27" s="15" t="s">
        <v>250</v>
      </c>
      <c r="AJ27" s="15" t="s">
        <v>251</v>
      </c>
      <c r="AQ27" s="15" t="s">
        <v>252</v>
      </c>
    </row>
    <row r="28" spans="1:103" ht="30" x14ac:dyDescent="0.25">
      <c r="D28" s="15" t="str">
        <f>D19</f>
        <v>3 CORE X 400 SQ. MM. AL/ARM - STRIP (XLPE) - 33 KV</v>
      </c>
      <c r="E28" s="76">
        <f>K19</f>
        <v>78</v>
      </c>
      <c r="F28" s="77">
        <f>CJ19/1000</f>
        <v>0.25</v>
      </c>
      <c r="G28" s="74" t="s">
        <v>253</v>
      </c>
      <c r="H28" s="78">
        <v>147000</v>
      </c>
      <c r="I28" s="77">
        <v>5</v>
      </c>
      <c r="J28" s="74">
        <f>F28*I28</f>
        <v>1.25</v>
      </c>
      <c r="K28" s="74">
        <f>ROUNDUP((E28/J28),0)</f>
        <v>63</v>
      </c>
      <c r="L28" s="74">
        <f>H28*K28</f>
        <v>9261000</v>
      </c>
      <c r="M28" s="80">
        <f>L28/E28</f>
        <v>118730.76923076923</v>
      </c>
      <c r="N28" s="86" t="str">
        <f>CH19</f>
        <v>SP0400105</v>
      </c>
      <c r="X28" s="15">
        <f>SUM(N19:CE19)</f>
        <v>13232</v>
      </c>
      <c r="AG28" s="15">
        <v>510</v>
      </c>
      <c r="AJ28" s="15">
        <f>((X28*F28)+AG28)</f>
        <v>3818</v>
      </c>
      <c r="AQ28" s="15">
        <f>AJ28*I28</f>
        <v>19090</v>
      </c>
    </row>
    <row r="29" spans="1:103" ht="30" x14ac:dyDescent="0.25">
      <c r="D29" s="15" t="str">
        <f t="shared" ref="D29:D32" si="1">D20</f>
        <v>1 CORE X 630 SQ. MM. AL/ARM (XLPE)  - 33 KV</v>
      </c>
      <c r="E29" s="76">
        <f t="shared" ref="E29:E32" si="2">K20</f>
        <v>7.6</v>
      </c>
      <c r="F29" s="77">
        <f t="shared" ref="F29:F32" si="3">CJ20/1000</f>
        <v>0.5</v>
      </c>
      <c r="G29" s="74" t="s">
        <v>253</v>
      </c>
      <c r="H29" s="78">
        <v>147000</v>
      </c>
      <c r="I29" s="77">
        <v>6</v>
      </c>
      <c r="J29" s="74">
        <f t="shared" ref="J29:J32" si="4">F29*I29</f>
        <v>3</v>
      </c>
      <c r="K29" s="74">
        <f t="shared" ref="K29:K32" si="5">ROUNDUP((E29/J29),0)</f>
        <v>3</v>
      </c>
      <c r="L29" s="74">
        <f t="shared" ref="L29:L32" si="6">H29*K29</f>
        <v>441000</v>
      </c>
      <c r="M29" s="80">
        <f t="shared" ref="M29:M32" si="7">L29/E29</f>
        <v>58026.315789473687</v>
      </c>
      <c r="N29" s="86" t="str">
        <f t="shared" ref="N29:N32" si="8">CH20</f>
        <v>SP0400123</v>
      </c>
      <c r="X29" s="15">
        <f t="shared" ref="X29:X32" si="9">SUM(N20:CE20)</f>
        <v>5102</v>
      </c>
      <c r="AG29" s="15">
        <v>300</v>
      </c>
      <c r="AJ29" s="15">
        <f t="shared" ref="AJ29:AJ32" si="10">((X29*F29)+AG29)</f>
        <v>2851</v>
      </c>
      <c r="AQ29" s="15">
        <f>AJ29*I29</f>
        <v>17106</v>
      </c>
    </row>
    <row r="30" spans="1:103" ht="30" x14ac:dyDescent="0.25">
      <c r="D30" s="15" t="str">
        <f t="shared" si="1"/>
        <v>3 CORE X 400 SQ. MM. AL/ARM - STRIP (XLPE) - 11 KV</v>
      </c>
      <c r="E30" s="76">
        <f t="shared" si="2"/>
        <v>398.5</v>
      </c>
      <c r="F30" s="77">
        <f t="shared" si="3"/>
        <v>0.3</v>
      </c>
      <c r="G30" s="74" t="s">
        <v>253</v>
      </c>
      <c r="H30" s="78">
        <v>147000</v>
      </c>
      <c r="I30" s="77">
        <v>6</v>
      </c>
      <c r="J30" s="74">
        <f t="shared" si="4"/>
        <v>1.7999999999999998</v>
      </c>
      <c r="K30" s="74">
        <f t="shared" si="5"/>
        <v>222</v>
      </c>
      <c r="L30" s="74">
        <f t="shared" si="6"/>
        <v>32634000</v>
      </c>
      <c r="M30" s="80">
        <f t="shared" si="7"/>
        <v>81892.095357590966</v>
      </c>
      <c r="N30" s="86" t="str">
        <f t="shared" si="8"/>
        <v>SP0400136</v>
      </c>
      <c r="X30" s="15">
        <f t="shared" si="9"/>
        <v>9357</v>
      </c>
      <c r="AG30" s="15">
        <v>400</v>
      </c>
      <c r="AJ30" s="15">
        <f t="shared" si="10"/>
        <v>3207.1</v>
      </c>
      <c r="AQ30" s="15">
        <f>AJ30*I30</f>
        <v>19242.599999999999</v>
      </c>
    </row>
    <row r="31" spans="1:103" ht="30" x14ac:dyDescent="0.25">
      <c r="D31" s="15" t="str">
        <f t="shared" si="1"/>
        <v>1 CORE X 1000 SQ. MM. AL/ARM (XLPE) - 11 KV</v>
      </c>
      <c r="E31" s="76">
        <f t="shared" si="2"/>
        <v>14.2</v>
      </c>
      <c r="F31" s="77">
        <f t="shared" si="3"/>
        <v>0.5</v>
      </c>
      <c r="G31" s="74" t="s">
        <v>253</v>
      </c>
      <c r="H31" s="78">
        <v>147000</v>
      </c>
      <c r="I31" s="77">
        <v>6</v>
      </c>
      <c r="J31" s="74">
        <f t="shared" si="4"/>
        <v>3</v>
      </c>
      <c r="K31" s="74">
        <f t="shared" si="5"/>
        <v>5</v>
      </c>
      <c r="L31" s="74">
        <f t="shared" si="6"/>
        <v>735000</v>
      </c>
      <c r="M31" s="80">
        <f t="shared" si="7"/>
        <v>51760.563380281696</v>
      </c>
      <c r="N31" s="86" t="str">
        <f t="shared" si="8"/>
        <v>SP0400107</v>
      </c>
      <c r="X31" s="15">
        <f t="shared" si="9"/>
        <v>5539</v>
      </c>
      <c r="AG31" s="15">
        <v>350</v>
      </c>
      <c r="AJ31" s="15">
        <f t="shared" si="10"/>
        <v>3119.5</v>
      </c>
      <c r="AQ31" s="15">
        <f>AJ31*I31</f>
        <v>18717</v>
      </c>
    </row>
    <row r="32" spans="1:103" ht="30" x14ac:dyDescent="0.25">
      <c r="D32" s="15" t="str">
        <f t="shared" si="1"/>
        <v>3 CORE X 150 SQ. MM. AL/ARM - STRIP (XLPE) - 11 KV</v>
      </c>
      <c r="E32" s="76">
        <f t="shared" si="2"/>
        <v>8.5</v>
      </c>
      <c r="F32" s="77">
        <f t="shared" si="3"/>
        <v>0.3</v>
      </c>
      <c r="G32" s="74" t="s">
        <v>253</v>
      </c>
      <c r="H32" s="78">
        <v>147000</v>
      </c>
      <c r="I32" s="77">
        <v>10</v>
      </c>
      <c r="J32" s="74">
        <f t="shared" si="4"/>
        <v>3</v>
      </c>
      <c r="K32" s="74">
        <f t="shared" si="5"/>
        <v>3</v>
      </c>
      <c r="L32" s="74">
        <f t="shared" si="6"/>
        <v>441000</v>
      </c>
      <c r="M32" s="80">
        <f t="shared" si="7"/>
        <v>51882.352941176468</v>
      </c>
      <c r="N32" s="86" t="str">
        <f t="shared" si="8"/>
        <v>SP0400091</v>
      </c>
      <c r="X32" s="15">
        <f t="shared" si="9"/>
        <v>5445</v>
      </c>
      <c r="AG32" s="15">
        <v>250</v>
      </c>
      <c r="AJ32" s="15">
        <f t="shared" si="10"/>
        <v>1883.5</v>
      </c>
      <c r="AQ32" s="15">
        <f>AJ32*I32</f>
        <v>18835</v>
      </c>
    </row>
    <row r="33" spans="1:24" x14ac:dyDescent="0.25">
      <c r="M33" s="81"/>
    </row>
    <row r="34" spans="1:24" x14ac:dyDescent="0.25">
      <c r="M34" s="81"/>
    </row>
    <row r="35" spans="1:24" x14ac:dyDescent="0.25">
      <c r="C35" s="201" t="s">
        <v>327</v>
      </c>
      <c r="D35" s="202" t="s">
        <v>328</v>
      </c>
      <c r="E35" s="202"/>
      <c r="F35" s="202"/>
      <c r="G35" s="202"/>
      <c r="H35" s="202"/>
      <c r="I35" s="202"/>
      <c r="J35" s="202"/>
      <c r="K35" s="202"/>
      <c r="L35" s="202"/>
      <c r="M35" s="202"/>
    </row>
    <row r="36" spans="1:24" x14ac:dyDescent="0.25">
      <c r="C36" s="201"/>
      <c r="D36" s="202" t="s">
        <v>329</v>
      </c>
      <c r="E36" s="202"/>
      <c r="F36" s="202"/>
      <c r="G36" s="202"/>
      <c r="H36" s="202"/>
      <c r="I36" s="202"/>
      <c r="J36" s="202"/>
      <c r="K36" s="202"/>
      <c r="L36" s="202"/>
      <c r="M36" s="202"/>
    </row>
    <row r="37" spans="1:24" x14ac:dyDescent="0.25">
      <c r="C37" s="201"/>
      <c r="D37" s="202" t="s">
        <v>330</v>
      </c>
      <c r="E37" s="202"/>
      <c r="F37" s="202"/>
      <c r="G37" s="202"/>
      <c r="H37" s="202"/>
      <c r="I37" s="202"/>
      <c r="J37" s="202"/>
      <c r="K37" s="202"/>
      <c r="L37" s="202"/>
      <c r="M37" s="202"/>
    </row>
    <row r="38" spans="1:24" x14ac:dyDescent="0.25">
      <c r="C38" s="201"/>
      <c r="D38" s="202" t="s">
        <v>331</v>
      </c>
      <c r="E38" s="202"/>
      <c r="F38" s="202"/>
      <c r="G38" s="202"/>
      <c r="H38" s="202"/>
      <c r="I38" s="202"/>
      <c r="J38" s="202"/>
      <c r="K38" s="202"/>
      <c r="L38" s="202"/>
      <c r="M38" s="202"/>
    </row>
    <row r="39" spans="1:24" x14ac:dyDescent="0.25">
      <c r="C39" s="201"/>
      <c r="D39" s="202" t="s">
        <v>332</v>
      </c>
      <c r="E39" s="202"/>
      <c r="F39" s="202"/>
      <c r="G39" s="202"/>
      <c r="H39" s="202"/>
      <c r="I39" s="202"/>
      <c r="J39" s="202"/>
      <c r="K39" s="202"/>
      <c r="L39" s="202"/>
      <c r="M39" s="202"/>
    </row>
    <row r="40" spans="1:24" x14ac:dyDescent="0.25">
      <c r="C40" s="201"/>
      <c r="D40" s="202" t="s">
        <v>333</v>
      </c>
      <c r="E40" s="202"/>
      <c r="F40" s="202"/>
      <c r="G40" s="202"/>
      <c r="H40" s="202"/>
      <c r="I40" s="202"/>
      <c r="J40" s="202"/>
      <c r="K40" s="202"/>
      <c r="L40" s="202"/>
      <c r="M40" s="202"/>
    </row>
    <row r="41" spans="1:24" x14ac:dyDescent="0.25">
      <c r="M41" s="81"/>
    </row>
    <row r="42" spans="1:24" x14ac:dyDescent="0.25">
      <c r="M42" s="81"/>
    </row>
    <row r="43" spans="1:24" ht="51" x14ac:dyDescent="0.25">
      <c r="A43" s="64" t="s">
        <v>0</v>
      </c>
      <c r="B43" s="65" t="s">
        <v>84</v>
      </c>
      <c r="C43" s="64" t="s">
        <v>1</v>
      </c>
      <c r="D43" s="64" t="s">
        <v>2</v>
      </c>
      <c r="E43" s="3" t="s">
        <v>335</v>
      </c>
      <c r="F43" s="9" t="s">
        <v>336</v>
      </c>
      <c r="G43" s="9" t="s">
        <v>337</v>
      </c>
      <c r="H43" s="4" t="s">
        <v>34</v>
      </c>
      <c r="I43" s="9" t="s">
        <v>35</v>
      </c>
      <c r="J43" s="9" t="s">
        <v>338</v>
      </c>
      <c r="K43" s="9" t="s">
        <v>37</v>
      </c>
      <c r="L43" s="9" t="s">
        <v>38</v>
      </c>
      <c r="M43" s="9" t="s">
        <v>39</v>
      </c>
    </row>
    <row r="44" spans="1:24" x14ac:dyDescent="0.25">
      <c r="A44" s="16"/>
      <c r="B44" s="50"/>
      <c r="C44" s="16"/>
      <c r="D44" s="16"/>
      <c r="E44" s="3"/>
      <c r="F44" s="61"/>
      <c r="G44" s="53"/>
      <c r="H44" s="3"/>
      <c r="I44" s="3"/>
      <c r="J44" s="3"/>
      <c r="K44" s="62"/>
      <c r="L44" s="3"/>
      <c r="M44" s="3"/>
    </row>
    <row r="45" spans="1:24" ht="30" x14ac:dyDescent="0.25">
      <c r="A45" s="6" t="str">
        <f>A19</f>
        <v>ENQ-17670-25-26</v>
      </c>
      <c r="B45" s="71">
        <f>B19</f>
        <v>45958</v>
      </c>
      <c r="C45" s="6" t="str">
        <f>C19</f>
        <v>FA1300010</v>
      </c>
      <c r="D45" s="6" t="str">
        <f>D19</f>
        <v>3 CORE X 400 SQ. MM. AL/ARM - STRIP (XLPE) - 33 KV</v>
      </c>
      <c r="E45" s="23">
        <f>ROUNDUP(E19/1000,2)</f>
        <v>4233.51</v>
      </c>
      <c r="F45" s="171">
        <f>ROUNDUP(F19/1000,2)</f>
        <v>118.74000000000001</v>
      </c>
      <c r="G45" s="28">
        <f>E45+F45</f>
        <v>4352.25</v>
      </c>
      <c r="H45" s="29">
        <f>H19</f>
        <v>0.18</v>
      </c>
      <c r="I45" s="28">
        <f>G45*H45</f>
        <v>783.40499999999997</v>
      </c>
      <c r="J45" s="28">
        <f>G45+I45</f>
        <v>5135.6549999999997</v>
      </c>
      <c r="K45" s="63">
        <f>K19*1000</f>
        <v>78000</v>
      </c>
      <c r="L45" s="60" t="s">
        <v>339</v>
      </c>
      <c r="M45" s="23">
        <f>J45*K45</f>
        <v>400581090</v>
      </c>
      <c r="X45" s="40">
        <f>G45*K45</f>
        <v>339475500</v>
      </c>
    </row>
    <row r="46" spans="1:24" ht="30" x14ac:dyDescent="0.25">
      <c r="A46" s="6" t="str">
        <f t="shared" ref="A46:D49" si="11">A20</f>
        <v>ENQ-17670-25-26</v>
      </c>
      <c r="B46" s="71">
        <f t="shared" si="11"/>
        <v>45958</v>
      </c>
      <c r="C46" s="6" t="str">
        <f t="shared" si="11"/>
        <v>FA1300027</v>
      </c>
      <c r="D46" s="6" t="str">
        <f t="shared" si="11"/>
        <v>1 CORE X 630 SQ. MM. AL/ARM (XLPE)  - 33 KV</v>
      </c>
      <c r="E46" s="23">
        <f t="shared" ref="E46:F49" si="12">ROUNDUP(E20/1000,2)</f>
        <v>1999.44</v>
      </c>
      <c r="F46" s="171">
        <f t="shared" si="12"/>
        <v>58.03</v>
      </c>
      <c r="G46" s="28">
        <f t="shared" ref="G46:G49" si="13">E46+F46</f>
        <v>2057.4700000000003</v>
      </c>
      <c r="H46" s="29">
        <f t="shared" ref="H46:H49" si="14">H20</f>
        <v>0.18</v>
      </c>
      <c r="I46" s="28">
        <f>G46*H46</f>
        <v>370.34460000000001</v>
      </c>
      <c r="J46" s="28">
        <f>G46+I46</f>
        <v>2427.8146000000002</v>
      </c>
      <c r="K46" s="63">
        <f t="shared" ref="K46:K49" si="15">K20*1000</f>
        <v>7600</v>
      </c>
      <c r="L46" s="60" t="s">
        <v>339</v>
      </c>
      <c r="M46" s="23">
        <f>J46*K46</f>
        <v>18451390.960000001</v>
      </c>
      <c r="X46" s="40">
        <f t="shared" ref="X46:X49" si="16">G46*K46</f>
        <v>15636772.000000002</v>
      </c>
    </row>
    <row r="47" spans="1:24" ht="30" x14ac:dyDescent="0.25">
      <c r="A47" s="6" t="str">
        <f t="shared" si="11"/>
        <v>ENQ-17670-25-26</v>
      </c>
      <c r="B47" s="71">
        <f t="shared" si="11"/>
        <v>45958</v>
      </c>
      <c r="C47" s="6" t="str">
        <f t="shared" si="11"/>
        <v>FA1300017</v>
      </c>
      <c r="D47" s="6" t="str">
        <f t="shared" si="11"/>
        <v>3 CORE X 400 SQ. MM. AL/ARM - STRIP (XLPE) - 11 KV</v>
      </c>
      <c r="E47" s="23">
        <f t="shared" si="12"/>
        <v>3158.4300000000003</v>
      </c>
      <c r="F47" s="171">
        <f t="shared" si="12"/>
        <v>81.900000000000006</v>
      </c>
      <c r="G47" s="28">
        <f t="shared" si="13"/>
        <v>3240.3300000000004</v>
      </c>
      <c r="H47" s="29">
        <f t="shared" si="14"/>
        <v>0.18</v>
      </c>
      <c r="I47" s="28">
        <f>G47*H47</f>
        <v>583.25940000000003</v>
      </c>
      <c r="J47" s="28">
        <f>G47+I47</f>
        <v>3823.5894000000003</v>
      </c>
      <c r="K47" s="63">
        <f t="shared" si="15"/>
        <v>398500</v>
      </c>
      <c r="L47" s="60" t="s">
        <v>339</v>
      </c>
      <c r="M47" s="23">
        <f>J47*K47</f>
        <v>1523700375.9000001</v>
      </c>
      <c r="X47" s="40">
        <f t="shared" si="16"/>
        <v>1291271505.0000002</v>
      </c>
    </row>
    <row r="48" spans="1:24" ht="30" x14ac:dyDescent="0.25">
      <c r="A48" s="6" t="str">
        <f t="shared" si="11"/>
        <v>ENQ-17670-25-26</v>
      </c>
      <c r="B48" s="71">
        <f t="shared" si="11"/>
        <v>45958</v>
      </c>
      <c r="C48" s="6" t="str">
        <f t="shared" si="11"/>
        <v>FA1300066</v>
      </c>
      <c r="D48" s="6" t="str">
        <f t="shared" si="11"/>
        <v>1 CORE X 1000 SQ. MM. AL/ARM (XLPE) - 11 KV</v>
      </c>
      <c r="E48" s="23">
        <f t="shared" si="12"/>
        <v>2262.2600000000002</v>
      </c>
      <c r="F48" s="171">
        <f t="shared" si="12"/>
        <v>51.769999999999996</v>
      </c>
      <c r="G48" s="28">
        <f t="shared" si="13"/>
        <v>2314.0300000000002</v>
      </c>
      <c r="H48" s="29">
        <f t="shared" si="14"/>
        <v>0.18</v>
      </c>
      <c r="I48" s="28">
        <f>G48*H48</f>
        <v>416.52540000000005</v>
      </c>
      <c r="J48" s="28">
        <f>G48+I48</f>
        <v>2730.5554000000002</v>
      </c>
      <c r="K48" s="63">
        <f t="shared" si="15"/>
        <v>14200</v>
      </c>
      <c r="L48" s="60" t="s">
        <v>339</v>
      </c>
      <c r="M48" s="23">
        <f>J48*K48</f>
        <v>38773886.68</v>
      </c>
      <c r="X48" s="40">
        <f t="shared" si="16"/>
        <v>32859226.000000004</v>
      </c>
    </row>
    <row r="49" spans="1:24" ht="30" x14ac:dyDescent="0.25">
      <c r="A49" s="6" t="str">
        <f t="shared" si="11"/>
        <v>ENQ-17670-25-26</v>
      </c>
      <c r="B49" s="71">
        <f t="shared" si="11"/>
        <v>45958</v>
      </c>
      <c r="C49" s="6" t="str">
        <f t="shared" si="11"/>
        <v>FA1300052</v>
      </c>
      <c r="D49" s="6" t="str">
        <f t="shared" si="11"/>
        <v>3 CORE X 150 SQ. MM. AL/ARM - STRIP (XLPE) - 11 KV</v>
      </c>
      <c r="E49" s="23">
        <f t="shared" si="12"/>
        <v>1743.17</v>
      </c>
      <c r="F49" s="171">
        <f t="shared" si="12"/>
        <v>51.89</v>
      </c>
      <c r="G49" s="28">
        <f t="shared" si="13"/>
        <v>1795.0600000000002</v>
      </c>
      <c r="H49" s="29">
        <f t="shared" si="14"/>
        <v>0.18</v>
      </c>
      <c r="I49" s="28">
        <f>G49*H49</f>
        <v>323.11080000000004</v>
      </c>
      <c r="J49" s="28">
        <f>G49+I49</f>
        <v>2118.1708000000003</v>
      </c>
      <c r="K49" s="63">
        <f t="shared" si="15"/>
        <v>8500</v>
      </c>
      <c r="L49" s="60" t="s">
        <v>339</v>
      </c>
      <c r="M49" s="23">
        <f>J49*K49</f>
        <v>18004451.800000004</v>
      </c>
      <c r="X49" s="40">
        <f t="shared" si="16"/>
        <v>15258010.000000002</v>
      </c>
    </row>
    <row r="50" spans="1:24" x14ac:dyDescent="0.25">
      <c r="B50" s="92" t="s">
        <v>276</v>
      </c>
      <c r="M50" s="174">
        <f>SUM(M45:M49)</f>
        <v>1999511195.3400002</v>
      </c>
      <c r="X50" s="175">
        <f>SUM(X45:X49)</f>
        <v>1694501013.0000002</v>
      </c>
    </row>
    <row r="51" spans="1:24" x14ac:dyDescent="0.25">
      <c r="M51" s="81">
        <f>M50-M24</f>
        <v>8686.1643953323364</v>
      </c>
    </row>
    <row r="52" spans="1:24" x14ac:dyDescent="0.25">
      <c r="M52" s="81"/>
    </row>
    <row r="53" spans="1:24" x14ac:dyDescent="0.25">
      <c r="M53" s="2"/>
    </row>
    <row r="54" spans="1:24" x14ac:dyDescent="0.25">
      <c r="M54" s="81"/>
    </row>
    <row r="55" spans="1:24" x14ac:dyDescent="0.25">
      <c r="M55" s="81"/>
    </row>
    <row r="56" spans="1:24" x14ac:dyDescent="0.25">
      <c r="M56" s="81"/>
    </row>
    <row r="57" spans="1:24" x14ac:dyDescent="0.25">
      <c r="M57" s="81"/>
    </row>
    <row r="58" spans="1:24" x14ac:dyDescent="0.25">
      <c r="M58" s="81"/>
    </row>
    <row r="59" spans="1:24" x14ac:dyDescent="0.25">
      <c r="M59" s="81"/>
    </row>
    <row r="60" spans="1:24" x14ac:dyDescent="0.25">
      <c r="M60" s="81"/>
    </row>
    <row r="61" spans="1:24" x14ac:dyDescent="0.25">
      <c r="M61" s="81"/>
    </row>
    <row r="62" spans="1:24" x14ac:dyDescent="0.25">
      <c r="M62" s="81"/>
    </row>
    <row r="63" spans="1:24" x14ac:dyDescent="0.25">
      <c r="M63" s="81"/>
    </row>
    <row r="64" spans="1:24" x14ac:dyDescent="0.25">
      <c r="M64" s="81"/>
    </row>
    <row r="65" spans="13:13" x14ac:dyDescent="0.25">
      <c r="M65" s="81"/>
    </row>
    <row r="66" spans="13:13" x14ac:dyDescent="0.25">
      <c r="M66" s="81"/>
    </row>
    <row r="67" spans="13:13" x14ac:dyDescent="0.25">
      <c r="M67" s="81"/>
    </row>
    <row r="68" spans="13:13" x14ac:dyDescent="0.25">
      <c r="M68" s="81"/>
    </row>
    <row r="69" spans="13:13" x14ac:dyDescent="0.25">
      <c r="M69" s="81"/>
    </row>
    <row r="70" spans="13:13" x14ac:dyDescent="0.25">
      <c r="M70" s="81"/>
    </row>
    <row r="71" spans="13:13" x14ac:dyDescent="0.25">
      <c r="M71" s="81"/>
    </row>
    <row r="72" spans="13:13" x14ac:dyDescent="0.25">
      <c r="M72" s="81"/>
    </row>
    <row r="73" spans="13:13" x14ac:dyDescent="0.25">
      <c r="M73" s="81"/>
    </row>
    <row r="74" spans="13:13" x14ac:dyDescent="0.25">
      <c r="M74" s="81"/>
    </row>
    <row r="75" spans="13:13" x14ac:dyDescent="0.25">
      <c r="M75" s="81"/>
    </row>
  </sheetData>
  <sortState xmlns:xlrd2="http://schemas.microsoft.com/office/spreadsheetml/2017/richdata2" ref="A19:CY23">
    <sortCondition ref="F19:F23"/>
  </sortState>
  <mergeCells count="28">
    <mergeCell ref="B13:R13"/>
    <mergeCell ref="B14:R14"/>
    <mergeCell ref="C35:C40"/>
    <mergeCell ref="D35:M35"/>
    <mergeCell ref="D40:M40"/>
    <mergeCell ref="D39:M39"/>
    <mergeCell ref="D38:M38"/>
    <mergeCell ref="D37:M37"/>
    <mergeCell ref="D36:M36"/>
    <mergeCell ref="B8:R8"/>
    <mergeCell ref="B9:R9"/>
    <mergeCell ref="B10:R10"/>
    <mergeCell ref="B11:R11"/>
    <mergeCell ref="B12:R12"/>
    <mergeCell ref="A2:R2"/>
    <mergeCell ref="B4:R4"/>
    <mergeCell ref="B5:R5"/>
    <mergeCell ref="B6:R6"/>
    <mergeCell ref="B7:R7"/>
    <mergeCell ref="CG16:CJ16"/>
    <mergeCell ref="AR16:AZ16"/>
    <mergeCell ref="BA16:BK16"/>
    <mergeCell ref="BL16:BW16"/>
    <mergeCell ref="N16:U16"/>
    <mergeCell ref="V16:W16"/>
    <mergeCell ref="X16:AE16"/>
    <mergeCell ref="AF16:AG16"/>
    <mergeCell ref="AH16:AP16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F673-DD6B-409D-84E2-609C5BF6B290}">
  <sheetPr>
    <tabColor rgb="FFFF0000"/>
    <pageSetUpPr fitToPage="1"/>
  </sheetPr>
  <dimension ref="A1:BB21"/>
  <sheetViews>
    <sheetView showZeros="0" topLeftCell="A8" zoomScaleNormal="100" workbookViewId="0">
      <selection activeCell="A31" sqref="A31"/>
    </sheetView>
  </sheetViews>
  <sheetFormatPr defaultRowHeight="12.75" x14ac:dyDescent="0.2"/>
  <cols>
    <col min="1" max="1" width="45.28515625" style="102" customWidth="1"/>
    <col min="2" max="2" width="14.7109375" style="102" customWidth="1"/>
    <col min="3" max="3" width="11.85546875" style="102" customWidth="1"/>
    <col min="4" max="4" width="10.7109375" style="102" customWidth="1"/>
    <col min="5" max="5" width="12" style="102" customWidth="1"/>
    <col min="6" max="6" width="13.140625" style="102" customWidth="1"/>
    <col min="7" max="7" width="12.28515625" style="102" customWidth="1"/>
    <col min="8" max="8" width="12.140625" style="102" customWidth="1"/>
    <col min="9" max="9" width="9.42578125" style="102" customWidth="1"/>
    <col min="10" max="10" width="11.85546875" style="102" customWidth="1"/>
    <col min="11" max="11" width="11.140625" style="102" customWidth="1"/>
    <col min="12" max="12" width="12.140625" style="102" customWidth="1"/>
    <col min="13" max="13" width="11.28515625" style="102" customWidth="1"/>
    <col min="14" max="14" width="11.5703125" style="102" customWidth="1"/>
    <col min="15" max="15" width="10.28515625" style="102" customWidth="1"/>
    <col min="16" max="17" width="7.28515625" style="102" customWidth="1"/>
    <col min="18" max="22" width="7.42578125" style="102" customWidth="1"/>
    <col min="23" max="23" width="12.140625" style="102" bestFit="1" customWidth="1"/>
    <col min="24" max="24" width="12" style="102" bestFit="1" customWidth="1"/>
    <col min="25" max="25" width="12" style="102" customWidth="1"/>
    <col min="26" max="26" width="11" style="102" bestFit="1" customWidth="1"/>
    <col min="27" max="27" width="11.42578125" style="102" bestFit="1" customWidth="1"/>
    <col min="28" max="29" width="11" style="102" customWidth="1"/>
    <col min="30" max="30" width="11" style="102" bestFit="1" customWidth="1"/>
    <col min="31" max="31" width="14.42578125" style="102" bestFit="1" customWidth="1"/>
    <col min="32" max="32" width="9.140625" style="102" customWidth="1"/>
    <col min="33" max="38" width="10.85546875" style="102" customWidth="1"/>
    <col min="39" max="39" width="13.28515625" style="102" bestFit="1" customWidth="1"/>
    <col min="40" max="40" width="9.5703125" style="102" customWidth="1"/>
    <col min="41" max="42" width="10.42578125" style="102" customWidth="1"/>
    <col min="43" max="43" width="12.7109375" style="102" customWidth="1"/>
    <col min="44" max="45" width="10.42578125" style="102" customWidth="1"/>
    <col min="46" max="46" width="10.5703125" style="102" bestFit="1" customWidth="1"/>
    <col min="47" max="47" width="9.5703125" style="102" bestFit="1" customWidth="1"/>
    <col min="48" max="48" width="10.5703125" style="102" customWidth="1"/>
    <col min="49" max="49" width="11.140625" style="102" bestFit="1" customWidth="1"/>
    <col min="50" max="268" width="9.140625" style="102"/>
    <col min="269" max="269" width="54.140625" style="102" bestFit="1" customWidth="1"/>
    <col min="270" max="270" width="14.7109375" style="102" customWidth="1"/>
    <col min="271" max="271" width="10.140625" style="102" customWidth="1"/>
    <col min="272" max="272" width="10.42578125" style="102" bestFit="1" customWidth="1"/>
    <col min="273" max="274" width="9.42578125" style="102" bestFit="1" customWidth="1"/>
    <col min="275" max="276" width="9.42578125" style="102" customWidth="1"/>
    <col min="277" max="277" width="10.140625" style="102" bestFit="1" customWidth="1"/>
    <col min="278" max="281" width="9.140625" style="102"/>
    <col min="282" max="282" width="7.28515625" style="102" customWidth="1"/>
    <col min="283" max="285" width="7.42578125" style="102" customWidth="1"/>
    <col min="286" max="286" width="10.42578125" style="102" bestFit="1" customWidth="1"/>
    <col min="287" max="287" width="12" style="102" bestFit="1" customWidth="1"/>
    <col min="288" max="288" width="11" style="102" bestFit="1" customWidth="1"/>
    <col min="289" max="290" width="11" style="102" customWidth="1"/>
    <col min="291" max="291" width="10" style="102" bestFit="1" customWidth="1"/>
    <col min="292" max="292" width="14.42578125" style="102" bestFit="1" customWidth="1"/>
    <col min="293" max="303" width="0" style="102" hidden="1" customWidth="1"/>
    <col min="304" max="524" width="9.140625" style="102"/>
    <col min="525" max="525" width="54.140625" style="102" bestFit="1" customWidth="1"/>
    <col min="526" max="526" width="14.7109375" style="102" customWidth="1"/>
    <col min="527" max="527" width="10.140625" style="102" customWidth="1"/>
    <col min="528" max="528" width="10.42578125" style="102" bestFit="1" customWidth="1"/>
    <col min="529" max="530" width="9.42578125" style="102" bestFit="1" customWidth="1"/>
    <col min="531" max="532" width="9.42578125" style="102" customWidth="1"/>
    <col min="533" max="533" width="10.140625" style="102" bestFit="1" customWidth="1"/>
    <col min="534" max="537" width="9.140625" style="102"/>
    <col min="538" max="538" width="7.28515625" style="102" customWidth="1"/>
    <col min="539" max="541" width="7.42578125" style="102" customWidth="1"/>
    <col min="542" max="542" width="10.42578125" style="102" bestFit="1" customWidth="1"/>
    <col min="543" max="543" width="12" style="102" bestFit="1" customWidth="1"/>
    <col min="544" max="544" width="11" style="102" bestFit="1" customWidth="1"/>
    <col min="545" max="546" width="11" style="102" customWidth="1"/>
    <col min="547" max="547" width="10" style="102" bestFit="1" customWidth="1"/>
    <col min="548" max="548" width="14.42578125" style="102" bestFit="1" customWidth="1"/>
    <col min="549" max="559" width="0" style="102" hidden="1" customWidth="1"/>
    <col min="560" max="780" width="9.140625" style="102"/>
    <col min="781" max="781" width="54.140625" style="102" bestFit="1" customWidth="1"/>
    <col min="782" max="782" width="14.7109375" style="102" customWidth="1"/>
    <col min="783" max="783" width="10.140625" style="102" customWidth="1"/>
    <col min="784" max="784" width="10.42578125" style="102" bestFit="1" customWidth="1"/>
    <col min="785" max="786" width="9.42578125" style="102" bestFit="1" customWidth="1"/>
    <col min="787" max="788" width="9.42578125" style="102" customWidth="1"/>
    <col min="789" max="789" width="10.140625" style="102" bestFit="1" customWidth="1"/>
    <col min="790" max="793" width="9.140625" style="102"/>
    <col min="794" max="794" width="7.28515625" style="102" customWidth="1"/>
    <col min="795" max="797" width="7.42578125" style="102" customWidth="1"/>
    <col min="798" max="798" width="10.42578125" style="102" bestFit="1" customWidth="1"/>
    <col min="799" max="799" width="12" style="102" bestFit="1" customWidth="1"/>
    <col min="800" max="800" width="11" style="102" bestFit="1" customWidth="1"/>
    <col min="801" max="802" width="11" style="102" customWidth="1"/>
    <col min="803" max="803" width="10" style="102" bestFit="1" customWidth="1"/>
    <col min="804" max="804" width="14.42578125" style="102" bestFit="1" customWidth="1"/>
    <col min="805" max="815" width="0" style="102" hidden="1" customWidth="1"/>
    <col min="816" max="1036" width="9.140625" style="102"/>
    <col min="1037" max="1037" width="54.140625" style="102" bestFit="1" customWidth="1"/>
    <col min="1038" max="1038" width="14.7109375" style="102" customWidth="1"/>
    <col min="1039" max="1039" width="10.140625" style="102" customWidth="1"/>
    <col min="1040" max="1040" width="10.42578125" style="102" bestFit="1" customWidth="1"/>
    <col min="1041" max="1042" width="9.42578125" style="102" bestFit="1" customWidth="1"/>
    <col min="1043" max="1044" width="9.42578125" style="102" customWidth="1"/>
    <col min="1045" max="1045" width="10.140625" style="102" bestFit="1" customWidth="1"/>
    <col min="1046" max="1049" width="9.140625" style="102"/>
    <col min="1050" max="1050" width="7.28515625" style="102" customWidth="1"/>
    <col min="1051" max="1053" width="7.42578125" style="102" customWidth="1"/>
    <col min="1054" max="1054" width="10.42578125" style="102" bestFit="1" customWidth="1"/>
    <col min="1055" max="1055" width="12" style="102" bestFit="1" customWidth="1"/>
    <col min="1056" max="1056" width="11" style="102" bestFit="1" customWidth="1"/>
    <col min="1057" max="1058" width="11" style="102" customWidth="1"/>
    <col min="1059" max="1059" width="10" style="102" bestFit="1" customWidth="1"/>
    <col min="1060" max="1060" width="14.42578125" style="102" bestFit="1" customWidth="1"/>
    <col min="1061" max="1071" width="0" style="102" hidden="1" customWidth="1"/>
    <col min="1072" max="1292" width="9.140625" style="102"/>
    <col min="1293" max="1293" width="54.140625" style="102" bestFit="1" customWidth="1"/>
    <col min="1294" max="1294" width="14.7109375" style="102" customWidth="1"/>
    <col min="1295" max="1295" width="10.140625" style="102" customWidth="1"/>
    <col min="1296" max="1296" width="10.42578125" style="102" bestFit="1" customWidth="1"/>
    <col min="1297" max="1298" width="9.42578125" style="102" bestFit="1" customWidth="1"/>
    <col min="1299" max="1300" width="9.42578125" style="102" customWidth="1"/>
    <col min="1301" max="1301" width="10.140625" style="102" bestFit="1" customWidth="1"/>
    <col min="1302" max="1305" width="9.140625" style="102"/>
    <col min="1306" max="1306" width="7.28515625" style="102" customWidth="1"/>
    <col min="1307" max="1309" width="7.42578125" style="102" customWidth="1"/>
    <col min="1310" max="1310" width="10.42578125" style="102" bestFit="1" customWidth="1"/>
    <col min="1311" max="1311" width="12" style="102" bestFit="1" customWidth="1"/>
    <col min="1312" max="1312" width="11" style="102" bestFit="1" customWidth="1"/>
    <col min="1313" max="1314" width="11" style="102" customWidth="1"/>
    <col min="1315" max="1315" width="10" style="102" bestFit="1" customWidth="1"/>
    <col min="1316" max="1316" width="14.42578125" style="102" bestFit="1" customWidth="1"/>
    <col min="1317" max="1327" width="0" style="102" hidden="1" customWidth="1"/>
    <col min="1328" max="1548" width="9.140625" style="102"/>
    <col min="1549" max="1549" width="54.140625" style="102" bestFit="1" customWidth="1"/>
    <col min="1550" max="1550" width="14.7109375" style="102" customWidth="1"/>
    <col min="1551" max="1551" width="10.140625" style="102" customWidth="1"/>
    <col min="1552" max="1552" width="10.42578125" style="102" bestFit="1" customWidth="1"/>
    <col min="1553" max="1554" width="9.42578125" style="102" bestFit="1" customWidth="1"/>
    <col min="1555" max="1556" width="9.42578125" style="102" customWidth="1"/>
    <col min="1557" max="1557" width="10.140625" style="102" bestFit="1" customWidth="1"/>
    <col min="1558" max="1561" width="9.140625" style="102"/>
    <col min="1562" max="1562" width="7.28515625" style="102" customWidth="1"/>
    <col min="1563" max="1565" width="7.42578125" style="102" customWidth="1"/>
    <col min="1566" max="1566" width="10.42578125" style="102" bestFit="1" customWidth="1"/>
    <col min="1567" max="1567" width="12" style="102" bestFit="1" customWidth="1"/>
    <col min="1568" max="1568" width="11" style="102" bestFit="1" customWidth="1"/>
    <col min="1569" max="1570" width="11" style="102" customWidth="1"/>
    <col min="1571" max="1571" width="10" style="102" bestFit="1" customWidth="1"/>
    <col min="1572" max="1572" width="14.42578125" style="102" bestFit="1" customWidth="1"/>
    <col min="1573" max="1583" width="0" style="102" hidden="1" customWidth="1"/>
    <col min="1584" max="1804" width="9.140625" style="102"/>
    <col min="1805" max="1805" width="54.140625" style="102" bestFit="1" customWidth="1"/>
    <col min="1806" max="1806" width="14.7109375" style="102" customWidth="1"/>
    <col min="1807" max="1807" width="10.140625" style="102" customWidth="1"/>
    <col min="1808" max="1808" width="10.42578125" style="102" bestFit="1" customWidth="1"/>
    <col min="1809" max="1810" width="9.42578125" style="102" bestFit="1" customWidth="1"/>
    <col min="1811" max="1812" width="9.42578125" style="102" customWidth="1"/>
    <col min="1813" max="1813" width="10.140625" style="102" bestFit="1" customWidth="1"/>
    <col min="1814" max="1817" width="9.140625" style="102"/>
    <col min="1818" max="1818" width="7.28515625" style="102" customWidth="1"/>
    <col min="1819" max="1821" width="7.42578125" style="102" customWidth="1"/>
    <col min="1822" max="1822" width="10.42578125" style="102" bestFit="1" customWidth="1"/>
    <col min="1823" max="1823" width="12" style="102" bestFit="1" customWidth="1"/>
    <col min="1824" max="1824" width="11" style="102" bestFit="1" customWidth="1"/>
    <col min="1825" max="1826" width="11" style="102" customWidth="1"/>
    <col min="1827" max="1827" width="10" style="102" bestFit="1" customWidth="1"/>
    <col min="1828" max="1828" width="14.42578125" style="102" bestFit="1" customWidth="1"/>
    <col min="1829" max="1839" width="0" style="102" hidden="1" customWidth="1"/>
    <col min="1840" max="2060" width="9.140625" style="102"/>
    <col min="2061" max="2061" width="54.140625" style="102" bestFit="1" customWidth="1"/>
    <col min="2062" max="2062" width="14.7109375" style="102" customWidth="1"/>
    <col min="2063" max="2063" width="10.140625" style="102" customWidth="1"/>
    <col min="2064" max="2064" width="10.42578125" style="102" bestFit="1" customWidth="1"/>
    <col min="2065" max="2066" width="9.42578125" style="102" bestFit="1" customWidth="1"/>
    <col min="2067" max="2068" width="9.42578125" style="102" customWidth="1"/>
    <col min="2069" max="2069" width="10.140625" style="102" bestFit="1" customWidth="1"/>
    <col min="2070" max="2073" width="9.140625" style="102"/>
    <col min="2074" max="2074" width="7.28515625" style="102" customWidth="1"/>
    <col min="2075" max="2077" width="7.42578125" style="102" customWidth="1"/>
    <col min="2078" max="2078" width="10.42578125" style="102" bestFit="1" customWidth="1"/>
    <col min="2079" max="2079" width="12" style="102" bestFit="1" customWidth="1"/>
    <col min="2080" max="2080" width="11" style="102" bestFit="1" customWidth="1"/>
    <col min="2081" max="2082" width="11" style="102" customWidth="1"/>
    <col min="2083" max="2083" width="10" style="102" bestFit="1" customWidth="1"/>
    <col min="2084" max="2084" width="14.42578125" style="102" bestFit="1" customWidth="1"/>
    <col min="2085" max="2095" width="0" style="102" hidden="1" customWidth="1"/>
    <col min="2096" max="2316" width="9.140625" style="102"/>
    <col min="2317" max="2317" width="54.140625" style="102" bestFit="1" customWidth="1"/>
    <col min="2318" max="2318" width="14.7109375" style="102" customWidth="1"/>
    <col min="2319" max="2319" width="10.140625" style="102" customWidth="1"/>
    <col min="2320" max="2320" width="10.42578125" style="102" bestFit="1" customWidth="1"/>
    <col min="2321" max="2322" width="9.42578125" style="102" bestFit="1" customWidth="1"/>
    <col min="2323" max="2324" width="9.42578125" style="102" customWidth="1"/>
    <col min="2325" max="2325" width="10.140625" style="102" bestFit="1" customWidth="1"/>
    <col min="2326" max="2329" width="9.140625" style="102"/>
    <col min="2330" max="2330" width="7.28515625" style="102" customWidth="1"/>
    <col min="2331" max="2333" width="7.42578125" style="102" customWidth="1"/>
    <col min="2334" max="2334" width="10.42578125" style="102" bestFit="1" customWidth="1"/>
    <col min="2335" max="2335" width="12" style="102" bestFit="1" customWidth="1"/>
    <col min="2336" max="2336" width="11" style="102" bestFit="1" customWidth="1"/>
    <col min="2337" max="2338" width="11" style="102" customWidth="1"/>
    <col min="2339" max="2339" width="10" style="102" bestFit="1" customWidth="1"/>
    <col min="2340" max="2340" width="14.42578125" style="102" bestFit="1" customWidth="1"/>
    <col min="2341" max="2351" width="0" style="102" hidden="1" customWidth="1"/>
    <col min="2352" max="2572" width="9.140625" style="102"/>
    <col min="2573" max="2573" width="54.140625" style="102" bestFit="1" customWidth="1"/>
    <col min="2574" max="2574" width="14.7109375" style="102" customWidth="1"/>
    <col min="2575" max="2575" width="10.140625" style="102" customWidth="1"/>
    <col min="2576" max="2576" width="10.42578125" style="102" bestFit="1" customWidth="1"/>
    <col min="2577" max="2578" width="9.42578125" style="102" bestFit="1" customWidth="1"/>
    <col min="2579" max="2580" width="9.42578125" style="102" customWidth="1"/>
    <col min="2581" max="2581" width="10.140625" style="102" bestFit="1" customWidth="1"/>
    <col min="2582" max="2585" width="9.140625" style="102"/>
    <col min="2586" max="2586" width="7.28515625" style="102" customWidth="1"/>
    <col min="2587" max="2589" width="7.42578125" style="102" customWidth="1"/>
    <col min="2590" max="2590" width="10.42578125" style="102" bestFit="1" customWidth="1"/>
    <col min="2591" max="2591" width="12" style="102" bestFit="1" customWidth="1"/>
    <col min="2592" max="2592" width="11" style="102" bestFit="1" customWidth="1"/>
    <col min="2593" max="2594" width="11" style="102" customWidth="1"/>
    <col min="2595" max="2595" width="10" style="102" bestFit="1" customWidth="1"/>
    <col min="2596" max="2596" width="14.42578125" style="102" bestFit="1" customWidth="1"/>
    <col min="2597" max="2607" width="0" style="102" hidden="1" customWidth="1"/>
    <col min="2608" max="2828" width="9.140625" style="102"/>
    <col min="2829" max="2829" width="54.140625" style="102" bestFit="1" customWidth="1"/>
    <col min="2830" max="2830" width="14.7109375" style="102" customWidth="1"/>
    <col min="2831" max="2831" width="10.140625" style="102" customWidth="1"/>
    <col min="2832" max="2832" width="10.42578125" style="102" bestFit="1" customWidth="1"/>
    <col min="2833" max="2834" width="9.42578125" style="102" bestFit="1" customWidth="1"/>
    <col min="2835" max="2836" width="9.42578125" style="102" customWidth="1"/>
    <col min="2837" max="2837" width="10.140625" style="102" bestFit="1" customWidth="1"/>
    <col min="2838" max="2841" width="9.140625" style="102"/>
    <col min="2842" max="2842" width="7.28515625" style="102" customWidth="1"/>
    <col min="2843" max="2845" width="7.42578125" style="102" customWidth="1"/>
    <col min="2846" max="2846" width="10.42578125" style="102" bestFit="1" customWidth="1"/>
    <col min="2847" max="2847" width="12" style="102" bestFit="1" customWidth="1"/>
    <col min="2848" max="2848" width="11" style="102" bestFit="1" customWidth="1"/>
    <col min="2849" max="2850" width="11" style="102" customWidth="1"/>
    <col min="2851" max="2851" width="10" style="102" bestFit="1" customWidth="1"/>
    <col min="2852" max="2852" width="14.42578125" style="102" bestFit="1" customWidth="1"/>
    <col min="2853" max="2863" width="0" style="102" hidden="1" customWidth="1"/>
    <col min="2864" max="3084" width="9.140625" style="102"/>
    <col min="3085" max="3085" width="54.140625" style="102" bestFit="1" customWidth="1"/>
    <col min="3086" max="3086" width="14.7109375" style="102" customWidth="1"/>
    <col min="3087" max="3087" width="10.140625" style="102" customWidth="1"/>
    <col min="3088" max="3088" width="10.42578125" style="102" bestFit="1" customWidth="1"/>
    <col min="3089" max="3090" width="9.42578125" style="102" bestFit="1" customWidth="1"/>
    <col min="3091" max="3092" width="9.42578125" style="102" customWidth="1"/>
    <col min="3093" max="3093" width="10.140625" style="102" bestFit="1" customWidth="1"/>
    <col min="3094" max="3097" width="9.140625" style="102"/>
    <col min="3098" max="3098" width="7.28515625" style="102" customWidth="1"/>
    <col min="3099" max="3101" width="7.42578125" style="102" customWidth="1"/>
    <col min="3102" max="3102" width="10.42578125" style="102" bestFit="1" customWidth="1"/>
    <col min="3103" max="3103" width="12" style="102" bestFit="1" customWidth="1"/>
    <col min="3104" max="3104" width="11" style="102" bestFit="1" customWidth="1"/>
    <col min="3105" max="3106" width="11" style="102" customWidth="1"/>
    <col min="3107" max="3107" width="10" style="102" bestFit="1" customWidth="1"/>
    <col min="3108" max="3108" width="14.42578125" style="102" bestFit="1" customWidth="1"/>
    <col min="3109" max="3119" width="0" style="102" hidden="1" customWidth="1"/>
    <col min="3120" max="3340" width="9.140625" style="102"/>
    <col min="3341" max="3341" width="54.140625" style="102" bestFit="1" customWidth="1"/>
    <col min="3342" max="3342" width="14.7109375" style="102" customWidth="1"/>
    <col min="3343" max="3343" width="10.140625" style="102" customWidth="1"/>
    <col min="3344" max="3344" width="10.42578125" style="102" bestFit="1" customWidth="1"/>
    <col min="3345" max="3346" width="9.42578125" style="102" bestFit="1" customWidth="1"/>
    <col min="3347" max="3348" width="9.42578125" style="102" customWidth="1"/>
    <col min="3349" max="3349" width="10.140625" style="102" bestFit="1" customWidth="1"/>
    <col min="3350" max="3353" width="9.140625" style="102"/>
    <col min="3354" max="3354" width="7.28515625" style="102" customWidth="1"/>
    <col min="3355" max="3357" width="7.42578125" style="102" customWidth="1"/>
    <col min="3358" max="3358" width="10.42578125" style="102" bestFit="1" customWidth="1"/>
    <col min="3359" max="3359" width="12" style="102" bestFit="1" customWidth="1"/>
    <col min="3360" max="3360" width="11" style="102" bestFit="1" customWidth="1"/>
    <col min="3361" max="3362" width="11" style="102" customWidth="1"/>
    <col min="3363" max="3363" width="10" style="102" bestFit="1" customWidth="1"/>
    <col min="3364" max="3364" width="14.42578125" style="102" bestFit="1" customWidth="1"/>
    <col min="3365" max="3375" width="0" style="102" hidden="1" customWidth="1"/>
    <col min="3376" max="3596" width="9.140625" style="102"/>
    <col min="3597" max="3597" width="54.140625" style="102" bestFit="1" customWidth="1"/>
    <col min="3598" max="3598" width="14.7109375" style="102" customWidth="1"/>
    <col min="3599" max="3599" width="10.140625" style="102" customWidth="1"/>
    <col min="3600" max="3600" width="10.42578125" style="102" bestFit="1" customWidth="1"/>
    <col min="3601" max="3602" width="9.42578125" style="102" bestFit="1" customWidth="1"/>
    <col min="3603" max="3604" width="9.42578125" style="102" customWidth="1"/>
    <col min="3605" max="3605" width="10.140625" style="102" bestFit="1" customWidth="1"/>
    <col min="3606" max="3609" width="9.140625" style="102"/>
    <col min="3610" max="3610" width="7.28515625" style="102" customWidth="1"/>
    <col min="3611" max="3613" width="7.42578125" style="102" customWidth="1"/>
    <col min="3614" max="3614" width="10.42578125" style="102" bestFit="1" customWidth="1"/>
    <col min="3615" max="3615" width="12" style="102" bestFit="1" customWidth="1"/>
    <col min="3616" max="3616" width="11" style="102" bestFit="1" customWidth="1"/>
    <col min="3617" max="3618" width="11" style="102" customWidth="1"/>
    <col min="3619" max="3619" width="10" style="102" bestFit="1" customWidth="1"/>
    <col min="3620" max="3620" width="14.42578125" style="102" bestFit="1" customWidth="1"/>
    <col min="3621" max="3631" width="0" style="102" hidden="1" customWidth="1"/>
    <col min="3632" max="3852" width="9.140625" style="102"/>
    <col min="3853" max="3853" width="54.140625" style="102" bestFit="1" customWidth="1"/>
    <col min="3854" max="3854" width="14.7109375" style="102" customWidth="1"/>
    <col min="3855" max="3855" width="10.140625" style="102" customWidth="1"/>
    <col min="3856" max="3856" width="10.42578125" style="102" bestFit="1" customWidth="1"/>
    <col min="3857" max="3858" width="9.42578125" style="102" bestFit="1" customWidth="1"/>
    <col min="3859" max="3860" width="9.42578125" style="102" customWidth="1"/>
    <col min="3861" max="3861" width="10.140625" style="102" bestFit="1" customWidth="1"/>
    <col min="3862" max="3865" width="9.140625" style="102"/>
    <col min="3866" max="3866" width="7.28515625" style="102" customWidth="1"/>
    <col min="3867" max="3869" width="7.42578125" style="102" customWidth="1"/>
    <col min="3870" max="3870" width="10.42578125" style="102" bestFit="1" customWidth="1"/>
    <col min="3871" max="3871" width="12" style="102" bestFit="1" customWidth="1"/>
    <col min="3872" max="3872" width="11" style="102" bestFit="1" customWidth="1"/>
    <col min="3873" max="3874" width="11" style="102" customWidth="1"/>
    <col min="3875" max="3875" width="10" style="102" bestFit="1" customWidth="1"/>
    <col min="3876" max="3876" width="14.42578125" style="102" bestFit="1" customWidth="1"/>
    <col min="3877" max="3887" width="0" style="102" hidden="1" customWidth="1"/>
    <col min="3888" max="4108" width="9.140625" style="102"/>
    <col min="4109" max="4109" width="54.140625" style="102" bestFit="1" customWidth="1"/>
    <col min="4110" max="4110" width="14.7109375" style="102" customWidth="1"/>
    <col min="4111" max="4111" width="10.140625" style="102" customWidth="1"/>
    <col min="4112" max="4112" width="10.42578125" style="102" bestFit="1" customWidth="1"/>
    <col min="4113" max="4114" width="9.42578125" style="102" bestFit="1" customWidth="1"/>
    <col min="4115" max="4116" width="9.42578125" style="102" customWidth="1"/>
    <col min="4117" max="4117" width="10.140625" style="102" bestFit="1" customWidth="1"/>
    <col min="4118" max="4121" width="9.140625" style="102"/>
    <col min="4122" max="4122" width="7.28515625" style="102" customWidth="1"/>
    <col min="4123" max="4125" width="7.42578125" style="102" customWidth="1"/>
    <col min="4126" max="4126" width="10.42578125" style="102" bestFit="1" customWidth="1"/>
    <col min="4127" max="4127" width="12" style="102" bestFit="1" customWidth="1"/>
    <col min="4128" max="4128" width="11" style="102" bestFit="1" customWidth="1"/>
    <col min="4129" max="4130" width="11" style="102" customWidth="1"/>
    <col min="4131" max="4131" width="10" style="102" bestFit="1" customWidth="1"/>
    <col min="4132" max="4132" width="14.42578125" style="102" bestFit="1" customWidth="1"/>
    <col min="4133" max="4143" width="0" style="102" hidden="1" customWidth="1"/>
    <col min="4144" max="4364" width="9.140625" style="102"/>
    <col min="4365" max="4365" width="54.140625" style="102" bestFit="1" customWidth="1"/>
    <col min="4366" max="4366" width="14.7109375" style="102" customWidth="1"/>
    <col min="4367" max="4367" width="10.140625" style="102" customWidth="1"/>
    <col min="4368" max="4368" width="10.42578125" style="102" bestFit="1" customWidth="1"/>
    <col min="4369" max="4370" width="9.42578125" style="102" bestFit="1" customWidth="1"/>
    <col min="4371" max="4372" width="9.42578125" style="102" customWidth="1"/>
    <col min="4373" max="4373" width="10.140625" style="102" bestFit="1" customWidth="1"/>
    <col min="4374" max="4377" width="9.140625" style="102"/>
    <col min="4378" max="4378" width="7.28515625" style="102" customWidth="1"/>
    <col min="4379" max="4381" width="7.42578125" style="102" customWidth="1"/>
    <col min="4382" max="4382" width="10.42578125" style="102" bestFit="1" customWidth="1"/>
    <col min="4383" max="4383" width="12" style="102" bestFit="1" customWidth="1"/>
    <col min="4384" max="4384" width="11" style="102" bestFit="1" customWidth="1"/>
    <col min="4385" max="4386" width="11" style="102" customWidth="1"/>
    <col min="4387" max="4387" width="10" style="102" bestFit="1" customWidth="1"/>
    <col min="4388" max="4388" width="14.42578125" style="102" bestFit="1" customWidth="1"/>
    <col min="4389" max="4399" width="0" style="102" hidden="1" customWidth="1"/>
    <col min="4400" max="4620" width="9.140625" style="102"/>
    <col min="4621" max="4621" width="54.140625" style="102" bestFit="1" customWidth="1"/>
    <col min="4622" max="4622" width="14.7109375" style="102" customWidth="1"/>
    <col min="4623" max="4623" width="10.140625" style="102" customWidth="1"/>
    <col min="4624" max="4624" width="10.42578125" style="102" bestFit="1" customWidth="1"/>
    <col min="4625" max="4626" width="9.42578125" style="102" bestFit="1" customWidth="1"/>
    <col min="4627" max="4628" width="9.42578125" style="102" customWidth="1"/>
    <col min="4629" max="4629" width="10.140625" style="102" bestFit="1" customWidth="1"/>
    <col min="4630" max="4633" width="9.140625" style="102"/>
    <col min="4634" max="4634" width="7.28515625" style="102" customWidth="1"/>
    <col min="4635" max="4637" width="7.42578125" style="102" customWidth="1"/>
    <col min="4638" max="4638" width="10.42578125" style="102" bestFit="1" customWidth="1"/>
    <col min="4639" max="4639" width="12" style="102" bestFit="1" customWidth="1"/>
    <col min="4640" max="4640" width="11" style="102" bestFit="1" customWidth="1"/>
    <col min="4641" max="4642" width="11" style="102" customWidth="1"/>
    <col min="4643" max="4643" width="10" style="102" bestFit="1" customWidth="1"/>
    <col min="4644" max="4644" width="14.42578125" style="102" bestFit="1" customWidth="1"/>
    <col min="4645" max="4655" width="0" style="102" hidden="1" customWidth="1"/>
    <col min="4656" max="4876" width="9.140625" style="102"/>
    <col min="4877" max="4877" width="54.140625" style="102" bestFit="1" customWidth="1"/>
    <col min="4878" max="4878" width="14.7109375" style="102" customWidth="1"/>
    <col min="4879" max="4879" width="10.140625" style="102" customWidth="1"/>
    <col min="4880" max="4880" width="10.42578125" style="102" bestFit="1" customWidth="1"/>
    <col min="4881" max="4882" width="9.42578125" style="102" bestFit="1" customWidth="1"/>
    <col min="4883" max="4884" width="9.42578125" style="102" customWidth="1"/>
    <col min="4885" max="4885" width="10.140625" style="102" bestFit="1" customWidth="1"/>
    <col min="4886" max="4889" width="9.140625" style="102"/>
    <col min="4890" max="4890" width="7.28515625" style="102" customWidth="1"/>
    <col min="4891" max="4893" width="7.42578125" style="102" customWidth="1"/>
    <col min="4894" max="4894" width="10.42578125" style="102" bestFit="1" customWidth="1"/>
    <col min="4895" max="4895" width="12" style="102" bestFit="1" customWidth="1"/>
    <col min="4896" max="4896" width="11" style="102" bestFit="1" customWidth="1"/>
    <col min="4897" max="4898" width="11" style="102" customWidth="1"/>
    <col min="4899" max="4899" width="10" style="102" bestFit="1" customWidth="1"/>
    <col min="4900" max="4900" width="14.42578125" style="102" bestFit="1" customWidth="1"/>
    <col min="4901" max="4911" width="0" style="102" hidden="1" customWidth="1"/>
    <col min="4912" max="5132" width="9.140625" style="102"/>
    <col min="5133" max="5133" width="54.140625" style="102" bestFit="1" customWidth="1"/>
    <col min="5134" max="5134" width="14.7109375" style="102" customWidth="1"/>
    <col min="5135" max="5135" width="10.140625" style="102" customWidth="1"/>
    <col min="5136" max="5136" width="10.42578125" style="102" bestFit="1" customWidth="1"/>
    <col min="5137" max="5138" width="9.42578125" style="102" bestFit="1" customWidth="1"/>
    <col min="5139" max="5140" width="9.42578125" style="102" customWidth="1"/>
    <col min="5141" max="5141" width="10.140625" style="102" bestFit="1" customWidth="1"/>
    <col min="5142" max="5145" width="9.140625" style="102"/>
    <col min="5146" max="5146" width="7.28515625" style="102" customWidth="1"/>
    <col min="5147" max="5149" width="7.42578125" style="102" customWidth="1"/>
    <col min="5150" max="5150" width="10.42578125" style="102" bestFit="1" customWidth="1"/>
    <col min="5151" max="5151" width="12" style="102" bestFit="1" customWidth="1"/>
    <col min="5152" max="5152" width="11" style="102" bestFit="1" customWidth="1"/>
    <col min="5153" max="5154" width="11" style="102" customWidth="1"/>
    <col min="5155" max="5155" width="10" style="102" bestFit="1" customWidth="1"/>
    <col min="5156" max="5156" width="14.42578125" style="102" bestFit="1" customWidth="1"/>
    <col min="5157" max="5167" width="0" style="102" hidden="1" customWidth="1"/>
    <col min="5168" max="5388" width="9.140625" style="102"/>
    <col min="5389" max="5389" width="54.140625" style="102" bestFit="1" customWidth="1"/>
    <col min="5390" max="5390" width="14.7109375" style="102" customWidth="1"/>
    <col min="5391" max="5391" width="10.140625" style="102" customWidth="1"/>
    <col min="5392" max="5392" width="10.42578125" style="102" bestFit="1" customWidth="1"/>
    <col min="5393" max="5394" width="9.42578125" style="102" bestFit="1" customWidth="1"/>
    <col min="5395" max="5396" width="9.42578125" style="102" customWidth="1"/>
    <col min="5397" max="5397" width="10.140625" style="102" bestFit="1" customWidth="1"/>
    <col min="5398" max="5401" width="9.140625" style="102"/>
    <col min="5402" max="5402" width="7.28515625" style="102" customWidth="1"/>
    <col min="5403" max="5405" width="7.42578125" style="102" customWidth="1"/>
    <col min="5406" max="5406" width="10.42578125" style="102" bestFit="1" customWidth="1"/>
    <col min="5407" max="5407" width="12" style="102" bestFit="1" customWidth="1"/>
    <col min="5408" max="5408" width="11" style="102" bestFit="1" customWidth="1"/>
    <col min="5409" max="5410" width="11" style="102" customWidth="1"/>
    <col min="5411" max="5411" width="10" style="102" bestFit="1" customWidth="1"/>
    <col min="5412" max="5412" width="14.42578125" style="102" bestFit="1" customWidth="1"/>
    <col min="5413" max="5423" width="0" style="102" hidden="1" customWidth="1"/>
    <col min="5424" max="5644" width="9.140625" style="102"/>
    <col min="5645" max="5645" width="54.140625" style="102" bestFit="1" customWidth="1"/>
    <col min="5646" max="5646" width="14.7109375" style="102" customWidth="1"/>
    <col min="5647" max="5647" width="10.140625" style="102" customWidth="1"/>
    <col min="5648" max="5648" width="10.42578125" style="102" bestFit="1" customWidth="1"/>
    <col min="5649" max="5650" width="9.42578125" style="102" bestFit="1" customWidth="1"/>
    <col min="5651" max="5652" width="9.42578125" style="102" customWidth="1"/>
    <col min="5653" max="5653" width="10.140625" style="102" bestFit="1" customWidth="1"/>
    <col min="5654" max="5657" width="9.140625" style="102"/>
    <col min="5658" max="5658" width="7.28515625" style="102" customWidth="1"/>
    <col min="5659" max="5661" width="7.42578125" style="102" customWidth="1"/>
    <col min="5662" max="5662" width="10.42578125" style="102" bestFit="1" customWidth="1"/>
    <col min="5663" max="5663" width="12" style="102" bestFit="1" customWidth="1"/>
    <col min="5664" max="5664" width="11" style="102" bestFit="1" customWidth="1"/>
    <col min="5665" max="5666" width="11" style="102" customWidth="1"/>
    <col min="5667" max="5667" width="10" style="102" bestFit="1" customWidth="1"/>
    <col min="5668" max="5668" width="14.42578125" style="102" bestFit="1" customWidth="1"/>
    <col min="5669" max="5679" width="0" style="102" hidden="1" customWidth="1"/>
    <col min="5680" max="5900" width="9.140625" style="102"/>
    <col min="5901" max="5901" width="54.140625" style="102" bestFit="1" customWidth="1"/>
    <col min="5902" max="5902" width="14.7109375" style="102" customWidth="1"/>
    <col min="5903" max="5903" width="10.140625" style="102" customWidth="1"/>
    <col min="5904" max="5904" width="10.42578125" style="102" bestFit="1" customWidth="1"/>
    <col min="5905" max="5906" width="9.42578125" style="102" bestFit="1" customWidth="1"/>
    <col min="5907" max="5908" width="9.42578125" style="102" customWidth="1"/>
    <col min="5909" max="5909" width="10.140625" style="102" bestFit="1" customWidth="1"/>
    <col min="5910" max="5913" width="9.140625" style="102"/>
    <col min="5914" max="5914" width="7.28515625" style="102" customWidth="1"/>
    <col min="5915" max="5917" width="7.42578125" style="102" customWidth="1"/>
    <col min="5918" max="5918" width="10.42578125" style="102" bestFit="1" customWidth="1"/>
    <col min="5919" max="5919" width="12" style="102" bestFit="1" customWidth="1"/>
    <col min="5920" max="5920" width="11" style="102" bestFit="1" customWidth="1"/>
    <col min="5921" max="5922" width="11" style="102" customWidth="1"/>
    <col min="5923" max="5923" width="10" style="102" bestFit="1" customWidth="1"/>
    <col min="5924" max="5924" width="14.42578125" style="102" bestFit="1" customWidth="1"/>
    <col min="5925" max="5935" width="0" style="102" hidden="1" customWidth="1"/>
    <col min="5936" max="6156" width="9.140625" style="102"/>
    <col min="6157" max="6157" width="54.140625" style="102" bestFit="1" customWidth="1"/>
    <col min="6158" max="6158" width="14.7109375" style="102" customWidth="1"/>
    <col min="6159" max="6159" width="10.140625" style="102" customWidth="1"/>
    <col min="6160" max="6160" width="10.42578125" style="102" bestFit="1" customWidth="1"/>
    <col min="6161" max="6162" width="9.42578125" style="102" bestFit="1" customWidth="1"/>
    <col min="6163" max="6164" width="9.42578125" style="102" customWidth="1"/>
    <col min="6165" max="6165" width="10.140625" style="102" bestFit="1" customWidth="1"/>
    <col min="6166" max="6169" width="9.140625" style="102"/>
    <col min="6170" max="6170" width="7.28515625" style="102" customWidth="1"/>
    <col min="6171" max="6173" width="7.42578125" style="102" customWidth="1"/>
    <col min="6174" max="6174" width="10.42578125" style="102" bestFit="1" customWidth="1"/>
    <col min="6175" max="6175" width="12" style="102" bestFit="1" customWidth="1"/>
    <col min="6176" max="6176" width="11" style="102" bestFit="1" customWidth="1"/>
    <col min="6177" max="6178" width="11" style="102" customWidth="1"/>
    <col min="6179" max="6179" width="10" style="102" bestFit="1" customWidth="1"/>
    <col min="6180" max="6180" width="14.42578125" style="102" bestFit="1" customWidth="1"/>
    <col min="6181" max="6191" width="0" style="102" hidden="1" customWidth="1"/>
    <col min="6192" max="6412" width="9.140625" style="102"/>
    <col min="6413" max="6413" width="54.140625" style="102" bestFit="1" customWidth="1"/>
    <col min="6414" max="6414" width="14.7109375" style="102" customWidth="1"/>
    <col min="6415" max="6415" width="10.140625" style="102" customWidth="1"/>
    <col min="6416" max="6416" width="10.42578125" style="102" bestFit="1" customWidth="1"/>
    <col min="6417" max="6418" width="9.42578125" style="102" bestFit="1" customWidth="1"/>
    <col min="6419" max="6420" width="9.42578125" style="102" customWidth="1"/>
    <col min="6421" max="6421" width="10.140625" style="102" bestFit="1" customWidth="1"/>
    <col min="6422" max="6425" width="9.140625" style="102"/>
    <col min="6426" max="6426" width="7.28515625" style="102" customWidth="1"/>
    <col min="6427" max="6429" width="7.42578125" style="102" customWidth="1"/>
    <col min="6430" max="6430" width="10.42578125" style="102" bestFit="1" customWidth="1"/>
    <col min="6431" max="6431" width="12" style="102" bestFit="1" customWidth="1"/>
    <col min="6432" max="6432" width="11" style="102" bestFit="1" customWidth="1"/>
    <col min="6433" max="6434" width="11" style="102" customWidth="1"/>
    <col min="6435" max="6435" width="10" style="102" bestFit="1" customWidth="1"/>
    <col min="6436" max="6436" width="14.42578125" style="102" bestFit="1" customWidth="1"/>
    <col min="6437" max="6447" width="0" style="102" hidden="1" customWidth="1"/>
    <col min="6448" max="6668" width="9.140625" style="102"/>
    <col min="6669" max="6669" width="54.140625" style="102" bestFit="1" customWidth="1"/>
    <col min="6670" max="6670" width="14.7109375" style="102" customWidth="1"/>
    <col min="6671" max="6671" width="10.140625" style="102" customWidth="1"/>
    <col min="6672" max="6672" width="10.42578125" style="102" bestFit="1" customWidth="1"/>
    <col min="6673" max="6674" width="9.42578125" style="102" bestFit="1" customWidth="1"/>
    <col min="6675" max="6676" width="9.42578125" style="102" customWidth="1"/>
    <col min="6677" max="6677" width="10.140625" style="102" bestFit="1" customWidth="1"/>
    <col min="6678" max="6681" width="9.140625" style="102"/>
    <col min="6682" max="6682" width="7.28515625" style="102" customWidth="1"/>
    <col min="6683" max="6685" width="7.42578125" style="102" customWidth="1"/>
    <col min="6686" max="6686" width="10.42578125" style="102" bestFit="1" customWidth="1"/>
    <col min="6687" max="6687" width="12" style="102" bestFit="1" customWidth="1"/>
    <col min="6688" max="6688" width="11" style="102" bestFit="1" customWidth="1"/>
    <col min="6689" max="6690" width="11" style="102" customWidth="1"/>
    <col min="6691" max="6691" width="10" style="102" bestFit="1" customWidth="1"/>
    <col min="6692" max="6692" width="14.42578125" style="102" bestFit="1" customWidth="1"/>
    <col min="6693" max="6703" width="0" style="102" hidden="1" customWidth="1"/>
    <col min="6704" max="6924" width="9.140625" style="102"/>
    <col min="6925" max="6925" width="54.140625" style="102" bestFit="1" customWidth="1"/>
    <col min="6926" max="6926" width="14.7109375" style="102" customWidth="1"/>
    <col min="6927" max="6927" width="10.140625" style="102" customWidth="1"/>
    <col min="6928" max="6928" width="10.42578125" style="102" bestFit="1" customWidth="1"/>
    <col min="6929" max="6930" width="9.42578125" style="102" bestFit="1" customWidth="1"/>
    <col min="6931" max="6932" width="9.42578125" style="102" customWidth="1"/>
    <col min="6933" max="6933" width="10.140625" style="102" bestFit="1" customWidth="1"/>
    <col min="6934" max="6937" width="9.140625" style="102"/>
    <col min="6938" max="6938" width="7.28515625" style="102" customWidth="1"/>
    <col min="6939" max="6941" width="7.42578125" style="102" customWidth="1"/>
    <col min="6942" max="6942" width="10.42578125" style="102" bestFit="1" customWidth="1"/>
    <col min="6943" max="6943" width="12" style="102" bestFit="1" customWidth="1"/>
    <col min="6944" max="6944" width="11" style="102" bestFit="1" customWidth="1"/>
    <col min="6945" max="6946" width="11" style="102" customWidth="1"/>
    <col min="6947" max="6947" width="10" style="102" bestFit="1" customWidth="1"/>
    <col min="6948" max="6948" width="14.42578125" style="102" bestFit="1" customWidth="1"/>
    <col min="6949" max="6959" width="0" style="102" hidden="1" customWidth="1"/>
    <col min="6960" max="7180" width="9.140625" style="102"/>
    <col min="7181" max="7181" width="54.140625" style="102" bestFit="1" customWidth="1"/>
    <col min="7182" max="7182" width="14.7109375" style="102" customWidth="1"/>
    <col min="7183" max="7183" width="10.140625" style="102" customWidth="1"/>
    <col min="7184" max="7184" width="10.42578125" style="102" bestFit="1" customWidth="1"/>
    <col min="7185" max="7186" width="9.42578125" style="102" bestFit="1" customWidth="1"/>
    <col min="7187" max="7188" width="9.42578125" style="102" customWidth="1"/>
    <col min="7189" max="7189" width="10.140625" style="102" bestFit="1" customWidth="1"/>
    <col min="7190" max="7193" width="9.140625" style="102"/>
    <col min="7194" max="7194" width="7.28515625" style="102" customWidth="1"/>
    <col min="7195" max="7197" width="7.42578125" style="102" customWidth="1"/>
    <col min="7198" max="7198" width="10.42578125" style="102" bestFit="1" customWidth="1"/>
    <col min="7199" max="7199" width="12" style="102" bestFit="1" customWidth="1"/>
    <col min="7200" max="7200" width="11" style="102" bestFit="1" customWidth="1"/>
    <col min="7201" max="7202" width="11" style="102" customWidth="1"/>
    <col min="7203" max="7203" width="10" style="102" bestFit="1" customWidth="1"/>
    <col min="7204" max="7204" width="14.42578125" style="102" bestFit="1" customWidth="1"/>
    <col min="7205" max="7215" width="0" style="102" hidden="1" customWidth="1"/>
    <col min="7216" max="7436" width="9.140625" style="102"/>
    <col min="7437" max="7437" width="54.140625" style="102" bestFit="1" customWidth="1"/>
    <col min="7438" max="7438" width="14.7109375" style="102" customWidth="1"/>
    <col min="7439" max="7439" width="10.140625" style="102" customWidth="1"/>
    <col min="7440" max="7440" width="10.42578125" style="102" bestFit="1" customWidth="1"/>
    <col min="7441" max="7442" width="9.42578125" style="102" bestFit="1" customWidth="1"/>
    <col min="7443" max="7444" width="9.42578125" style="102" customWidth="1"/>
    <col min="7445" max="7445" width="10.140625" style="102" bestFit="1" customWidth="1"/>
    <col min="7446" max="7449" width="9.140625" style="102"/>
    <col min="7450" max="7450" width="7.28515625" style="102" customWidth="1"/>
    <col min="7451" max="7453" width="7.42578125" style="102" customWidth="1"/>
    <col min="7454" max="7454" width="10.42578125" style="102" bestFit="1" customWidth="1"/>
    <col min="7455" max="7455" width="12" style="102" bestFit="1" customWidth="1"/>
    <col min="7456" max="7456" width="11" style="102" bestFit="1" customWidth="1"/>
    <col min="7457" max="7458" width="11" style="102" customWidth="1"/>
    <col min="7459" max="7459" width="10" style="102" bestFit="1" customWidth="1"/>
    <col min="7460" max="7460" width="14.42578125" style="102" bestFit="1" customWidth="1"/>
    <col min="7461" max="7471" width="0" style="102" hidden="1" customWidth="1"/>
    <col min="7472" max="7692" width="9.140625" style="102"/>
    <col min="7693" max="7693" width="54.140625" style="102" bestFit="1" customWidth="1"/>
    <col min="7694" max="7694" width="14.7109375" style="102" customWidth="1"/>
    <col min="7695" max="7695" width="10.140625" style="102" customWidth="1"/>
    <col min="7696" max="7696" width="10.42578125" style="102" bestFit="1" customWidth="1"/>
    <col min="7697" max="7698" width="9.42578125" style="102" bestFit="1" customWidth="1"/>
    <col min="7699" max="7700" width="9.42578125" style="102" customWidth="1"/>
    <col min="7701" max="7701" width="10.140625" style="102" bestFit="1" customWidth="1"/>
    <col min="7702" max="7705" width="9.140625" style="102"/>
    <col min="7706" max="7706" width="7.28515625" style="102" customWidth="1"/>
    <col min="7707" max="7709" width="7.42578125" style="102" customWidth="1"/>
    <col min="7710" max="7710" width="10.42578125" style="102" bestFit="1" customWidth="1"/>
    <col min="7711" max="7711" width="12" style="102" bestFit="1" customWidth="1"/>
    <col min="7712" max="7712" width="11" style="102" bestFit="1" customWidth="1"/>
    <col min="7713" max="7714" width="11" style="102" customWidth="1"/>
    <col min="7715" max="7715" width="10" style="102" bestFit="1" customWidth="1"/>
    <col min="7716" max="7716" width="14.42578125" style="102" bestFit="1" customWidth="1"/>
    <col min="7717" max="7727" width="0" style="102" hidden="1" customWidth="1"/>
    <col min="7728" max="7948" width="9.140625" style="102"/>
    <col min="7949" max="7949" width="54.140625" style="102" bestFit="1" customWidth="1"/>
    <col min="7950" max="7950" width="14.7109375" style="102" customWidth="1"/>
    <col min="7951" max="7951" width="10.140625" style="102" customWidth="1"/>
    <col min="7952" max="7952" width="10.42578125" style="102" bestFit="1" customWidth="1"/>
    <col min="7953" max="7954" width="9.42578125" style="102" bestFit="1" customWidth="1"/>
    <col min="7955" max="7956" width="9.42578125" style="102" customWidth="1"/>
    <col min="7957" max="7957" width="10.140625" style="102" bestFit="1" customWidth="1"/>
    <col min="7958" max="7961" width="9.140625" style="102"/>
    <col min="7962" max="7962" width="7.28515625" style="102" customWidth="1"/>
    <col min="7963" max="7965" width="7.42578125" style="102" customWidth="1"/>
    <col min="7966" max="7966" width="10.42578125" style="102" bestFit="1" customWidth="1"/>
    <col min="7967" max="7967" width="12" style="102" bestFit="1" customWidth="1"/>
    <col min="7968" max="7968" width="11" style="102" bestFit="1" customWidth="1"/>
    <col min="7969" max="7970" width="11" style="102" customWidth="1"/>
    <col min="7971" max="7971" width="10" style="102" bestFit="1" customWidth="1"/>
    <col min="7972" max="7972" width="14.42578125" style="102" bestFit="1" customWidth="1"/>
    <col min="7973" max="7983" width="0" style="102" hidden="1" customWidth="1"/>
    <col min="7984" max="8204" width="9.140625" style="102"/>
    <col min="8205" max="8205" width="54.140625" style="102" bestFit="1" customWidth="1"/>
    <col min="8206" max="8206" width="14.7109375" style="102" customWidth="1"/>
    <col min="8207" max="8207" width="10.140625" style="102" customWidth="1"/>
    <col min="8208" max="8208" width="10.42578125" style="102" bestFit="1" customWidth="1"/>
    <col min="8209" max="8210" width="9.42578125" style="102" bestFit="1" customWidth="1"/>
    <col min="8211" max="8212" width="9.42578125" style="102" customWidth="1"/>
    <col min="8213" max="8213" width="10.140625" style="102" bestFit="1" customWidth="1"/>
    <col min="8214" max="8217" width="9.140625" style="102"/>
    <col min="8218" max="8218" width="7.28515625" style="102" customWidth="1"/>
    <col min="8219" max="8221" width="7.42578125" style="102" customWidth="1"/>
    <col min="8222" max="8222" width="10.42578125" style="102" bestFit="1" customWidth="1"/>
    <col min="8223" max="8223" width="12" style="102" bestFit="1" customWidth="1"/>
    <col min="8224" max="8224" width="11" style="102" bestFit="1" customWidth="1"/>
    <col min="8225" max="8226" width="11" style="102" customWidth="1"/>
    <col min="8227" max="8227" width="10" style="102" bestFit="1" customWidth="1"/>
    <col min="8228" max="8228" width="14.42578125" style="102" bestFit="1" customWidth="1"/>
    <col min="8229" max="8239" width="0" style="102" hidden="1" customWidth="1"/>
    <col min="8240" max="8460" width="9.140625" style="102"/>
    <col min="8461" max="8461" width="54.140625" style="102" bestFit="1" customWidth="1"/>
    <col min="8462" max="8462" width="14.7109375" style="102" customWidth="1"/>
    <col min="8463" max="8463" width="10.140625" style="102" customWidth="1"/>
    <col min="8464" max="8464" width="10.42578125" style="102" bestFit="1" customWidth="1"/>
    <col min="8465" max="8466" width="9.42578125" style="102" bestFit="1" customWidth="1"/>
    <col min="8467" max="8468" width="9.42578125" style="102" customWidth="1"/>
    <col min="8469" max="8469" width="10.140625" style="102" bestFit="1" customWidth="1"/>
    <col min="8470" max="8473" width="9.140625" style="102"/>
    <col min="8474" max="8474" width="7.28515625" style="102" customWidth="1"/>
    <col min="8475" max="8477" width="7.42578125" style="102" customWidth="1"/>
    <col min="8478" max="8478" width="10.42578125" style="102" bestFit="1" customWidth="1"/>
    <col min="8479" max="8479" width="12" style="102" bestFit="1" customWidth="1"/>
    <col min="8480" max="8480" width="11" style="102" bestFit="1" customWidth="1"/>
    <col min="8481" max="8482" width="11" style="102" customWidth="1"/>
    <col min="8483" max="8483" width="10" style="102" bestFit="1" customWidth="1"/>
    <col min="8484" max="8484" width="14.42578125" style="102" bestFit="1" customWidth="1"/>
    <col min="8485" max="8495" width="0" style="102" hidden="1" customWidth="1"/>
    <col min="8496" max="8716" width="9.140625" style="102"/>
    <col min="8717" max="8717" width="54.140625" style="102" bestFit="1" customWidth="1"/>
    <col min="8718" max="8718" width="14.7109375" style="102" customWidth="1"/>
    <col min="8719" max="8719" width="10.140625" style="102" customWidth="1"/>
    <col min="8720" max="8720" width="10.42578125" style="102" bestFit="1" customWidth="1"/>
    <col min="8721" max="8722" width="9.42578125" style="102" bestFit="1" customWidth="1"/>
    <col min="8723" max="8724" width="9.42578125" style="102" customWidth="1"/>
    <col min="8725" max="8725" width="10.140625" style="102" bestFit="1" customWidth="1"/>
    <col min="8726" max="8729" width="9.140625" style="102"/>
    <col min="8730" max="8730" width="7.28515625" style="102" customWidth="1"/>
    <col min="8731" max="8733" width="7.42578125" style="102" customWidth="1"/>
    <col min="8734" max="8734" width="10.42578125" style="102" bestFit="1" customWidth="1"/>
    <col min="8735" max="8735" width="12" style="102" bestFit="1" customWidth="1"/>
    <col min="8736" max="8736" width="11" style="102" bestFit="1" customWidth="1"/>
    <col min="8737" max="8738" width="11" style="102" customWidth="1"/>
    <col min="8739" max="8739" width="10" style="102" bestFit="1" customWidth="1"/>
    <col min="8740" max="8740" width="14.42578125" style="102" bestFit="1" customWidth="1"/>
    <col min="8741" max="8751" width="0" style="102" hidden="1" customWidth="1"/>
    <col min="8752" max="8972" width="9.140625" style="102"/>
    <col min="8973" max="8973" width="54.140625" style="102" bestFit="1" customWidth="1"/>
    <col min="8974" max="8974" width="14.7109375" style="102" customWidth="1"/>
    <col min="8975" max="8975" width="10.140625" style="102" customWidth="1"/>
    <col min="8976" max="8976" width="10.42578125" style="102" bestFit="1" customWidth="1"/>
    <col min="8977" max="8978" width="9.42578125" style="102" bestFit="1" customWidth="1"/>
    <col min="8979" max="8980" width="9.42578125" style="102" customWidth="1"/>
    <col min="8981" max="8981" width="10.140625" style="102" bestFit="1" customWidth="1"/>
    <col min="8982" max="8985" width="9.140625" style="102"/>
    <col min="8986" max="8986" width="7.28515625" style="102" customWidth="1"/>
    <col min="8987" max="8989" width="7.42578125" style="102" customWidth="1"/>
    <col min="8990" max="8990" width="10.42578125" style="102" bestFit="1" customWidth="1"/>
    <col min="8991" max="8991" width="12" style="102" bestFit="1" customWidth="1"/>
    <col min="8992" max="8992" width="11" style="102" bestFit="1" customWidth="1"/>
    <col min="8993" max="8994" width="11" style="102" customWidth="1"/>
    <col min="8995" max="8995" width="10" style="102" bestFit="1" customWidth="1"/>
    <col min="8996" max="8996" width="14.42578125" style="102" bestFit="1" customWidth="1"/>
    <col min="8997" max="9007" width="0" style="102" hidden="1" customWidth="1"/>
    <col min="9008" max="9228" width="9.140625" style="102"/>
    <col min="9229" max="9229" width="54.140625" style="102" bestFit="1" customWidth="1"/>
    <col min="9230" max="9230" width="14.7109375" style="102" customWidth="1"/>
    <col min="9231" max="9231" width="10.140625" style="102" customWidth="1"/>
    <col min="9232" max="9232" width="10.42578125" style="102" bestFit="1" customWidth="1"/>
    <col min="9233" max="9234" width="9.42578125" style="102" bestFit="1" customWidth="1"/>
    <col min="9235" max="9236" width="9.42578125" style="102" customWidth="1"/>
    <col min="9237" max="9237" width="10.140625" style="102" bestFit="1" customWidth="1"/>
    <col min="9238" max="9241" width="9.140625" style="102"/>
    <col min="9242" max="9242" width="7.28515625" style="102" customWidth="1"/>
    <col min="9243" max="9245" width="7.42578125" style="102" customWidth="1"/>
    <col min="9246" max="9246" width="10.42578125" style="102" bestFit="1" customWidth="1"/>
    <col min="9247" max="9247" width="12" style="102" bestFit="1" customWidth="1"/>
    <col min="9248" max="9248" width="11" style="102" bestFit="1" customWidth="1"/>
    <col min="9249" max="9250" width="11" style="102" customWidth="1"/>
    <col min="9251" max="9251" width="10" style="102" bestFit="1" customWidth="1"/>
    <col min="9252" max="9252" width="14.42578125" style="102" bestFit="1" customWidth="1"/>
    <col min="9253" max="9263" width="0" style="102" hidden="1" customWidth="1"/>
    <col min="9264" max="9484" width="9.140625" style="102"/>
    <col min="9485" max="9485" width="54.140625" style="102" bestFit="1" customWidth="1"/>
    <col min="9486" max="9486" width="14.7109375" style="102" customWidth="1"/>
    <col min="9487" max="9487" width="10.140625" style="102" customWidth="1"/>
    <col min="9488" max="9488" width="10.42578125" style="102" bestFit="1" customWidth="1"/>
    <col min="9489" max="9490" width="9.42578125" style="102" bestFit="1" customWidth="1"/>
    <col min="9491" max="9492" width="9.42578125" style="102" customWidth="1"/>
    <col min="9493" max="9493" width="10.140625" style="102" bestFit="1" customWidth="1"/>
    <col min="9494" max="9497" width="9.140625" style="102"/>
    <col min="9498" max="9498" width="7.28515625" style="102" customWidth="1"/>
    <col min="9499" max="9501" width="7.42578125" style="102" customWidth="1"/>
    <col min="9502" max="9502" width="10.42578125" style="102" bestFit="1" customWidth="1"/>
    <col min="9503" max="9503" width="12" style="102" bestFit="1" customWidth="1"/>
    <col min="9504" max="9504" width="11" style="102" bestFit="1" customWidth="1"/>
    <col min="9505" max="9506" width="11" style="102" customWidth="1"/>
    <col min="9507" max="9507" width="10" style="102" bestFit="1" customWidth="1"/>
    <col min="9508" max="9508" width="14.42578125" style="102" bestFit="1" customWidth="1"/>
    <col min="9509" max="9519" width="0" style="102" hidden="1" customWidth="1"/>
    <col min="9520" max="9740" width="9.140625" style="102"/>
    <col min="9741" max="9741" width="54.140625" style="102" bestFit="1" customWidth="1"/>
    <col min="9742" max="9742" width="14.7109375" style="102" customWidth="1"/>
    <col min="9743" max="9743" width="10.140625" style="102" customWidth="1"/>
    <col min="9744" max="9744" width="10.42578125" style="102" bestFit="1" customWidth="1"/>
    <col min="9745" max="9746" width="9.42578125" style="102" bestFit="1" customWidth="1"/>
    <col min="9747" max="9748" width="9.42578125" style="102" customWidth="1"/>
    <col min="9749" max="9749" width="10.140625" style="102" bestFit="1" customWidth="1"/>
    <col min="9750" max="9753" width="9.140625" style="102"/>
    <col min="9754" max="9754" width="7.28515625" style="102" customWidth="1"/>
    <col min="9755" max="9757" width="7.42578125" style="102" customWidth="1"/>
    <col min="9758" max="9758" width="10.42578125" style="102" bestFit="1" customWidth="1"/>
    <col min="9759" max="9759" width="12" style="102" bestFit="1" customWidth="1"/>
    <col min="9760" max="9760" width="11" style="102" bestFit="1" customWidth="1"/>
    <col min="9761" max="9762" width="11" style="102" customWidth="1"/>
    <col min="9763" max="9763" width="10" style="102" bestFit="1" customWidth="1"/>
    <col min="9764" max="9764" width="14.42578125" style="102" bestFit="1" customWidth="1"/>
    <col min="9765" max="9775" width="0" style="102" hidden="1" customWidth="1"/>
    <col min="9776" max="9996" width="9.140625" style="102"/>
    <col min="9997" max="9997" width="54.140625" style="102" bestFit="1" customWidth="1"/>
    <col min="9998" max="9998" width="14.7109375" style="102" customWidth="1"/>
    <col min="9999" max="9999" width="10.140625" style="102" customWidth="1"/>
    <col min="10000" max="10000" width="10.42578125" style="102" bestFit="1" customWidth="1"/>
    <col min="10001" max="10002" width="9.42578125" style="102" bestFit="1" customWidth="1"/>
    <col min="10003" max="10004" width="9.42578125" style="102" customWidth="1"/>
    <col min="10005" max="10005" width="10.140625" style="102" bestFit="1" customWidth="1"/>
    <col min="10006" max="10009" width="9.140625" style="102"/>
    <col min="10010" max="10010" width="7.28515625" style="102" customWidth="1"/>
    <col min="10011" max="10013" width="7.42578125" style="102" customWidth="1"/>
    <col min="10014" max="10014" width="10.42578125" style="102" bestFit="1" customWidth="1"/>
    <col min="10015" max="10015" width="12" style="102" bestFit="1" customWidth="1"/>
    <col min="10016" max="10016" width="11" style="102" bestFit="1" customWidth="1"/>
    <col min="10017" max="10018" width="11" style="102" customWidth="1"/>
    <col min="10019" max="10019" width="10" style="102" bestFit="1" customWidth="1"/>
    <col min="10020" max="10020" width="14.42578125" style="102" bestFit="1" customWidth="1"/>
    <col min="10021" max="10031" width="0" style="102" hidden="1" customWidth="1"/>
    <col min="10032" max="10252" width="9.140625" style="102"/>
    <col min="10253" max="10253" width="54.140625" style="102" bestFit="1" customWidth="1"/>
    <col min="10254" max="10254" width="14.7109375" style="102" customWidth="1"/>
    <col min="10255" max="10255" width="10.140625" style="102" customWidth="1"/>
    <col min="10256" max="10256" width="10.42578125" style="102" bestFit="1" customWidth="1"/>
    <col min="10257" max="10258" width="9.42578125" style="102" bestFit="1" customWidth="1"/>
    <col min="10259" max="10260" width="9.42578125" style="102" customWidth="1"/>
    <col min="10261" max="10261" width="10.140625" style="102" bestFit="1" customWidth="1"/>
    <col min="10262" max="10265" width="9.140625" style="102"/>
    <col min="10266" max="10266" width="7.28515625" style="102" customWidth="1"/>
    <col min="10267" max="10269" width="7.42578125" style="102" customWidth="1"/>
    <col min="10270" max="10270" width="10.42578125" style="102" bestFit="1" customWidth="1"/>
    <col min="10271" max="10271" width="12" style="102" bestFit="1" customWidth="1"/>
    <col min="10272" max="10272" width="11" style="102" bestFit="1" customWidth="1"/>
    <col min="10273" max="10274" width="11" style="102" customWidth="1"/>
    <col min="10275" max="10275" width="10" style="102" bestFit="1" customWidth="1"/>
    <col min="10276" max="10276" width="14.42578125" style="102" bestFit="1" customWidth="1"/>
    <col min="10277" max="10287" width="0" style="102" hidden="1" customWidth="1"/>
    <col min="10288" max="10508" width="9.140625" style="102"/>
    <col min="10509" max="10509" width="54.140625" style="102" bestFit="1" customWidth="1"/>
    <col min="10510" max="10510" width="14.7109375" style="102" customWidth="1"/>
    <col min="10511" max="10511" width="10.140625" style="102" customWidth="1"/>
    <col min="10512" max="10512" width="10.42578125" style="102" bestFit="1" customWidth="1"/>
    <col min="10513" max="10514" width="9.42578125" style="102" bestFit="1" customWidth="1"/>
    <col min="10515" max="10516" width="9.42578125" style="102" customWidth="1"/>
    <col min="10517" max="10517" width="10.140625" style="102" bestFit="1" customWidth="1"/>
    <col min="10518" max="10521" width="9.140625" style="102"/>
    <col min="10522" max="10522" width="7.28515625" style="102" customWidth="1"/>
    <col min="10523" max="10525" width="7.42578125" style="102" customWidth="1"/>
    <col min="10526" max="10526" width="10.42578125" style="102" bestFit="1" customWidth="1"/>
    <col min="10527" max="10527" width="12" style="102" bestFit="1" customWidth="1"/>
    <col min="10528" max="10528" width="11" style="102" bestFit="1" customWidth="1"/>
    <col min="10529" max="10530" width="11" style="102" customWidth="1"/>
    <col min="10531" max="10531" width="10" style="102" bestFit="1" customWidth="1"/>
    <col min="10532" max="10532" width="14.42578125" style="102" bestFit="1" customWidth="1"/>
    <col min="10533" max="10543" width="0" style="102" hidden="1" customWidth="1"/>
    <col min="10544" max="10764" width="9.140625" style="102"/>
    <col min="10765" max="10765" width="54.140625" style="102" bestFit="1" customWidth="1"/>
    <col min="10766" max="10766" width="14.7109375" style="102" customWidth="1"/>
    <col min="10767" max="10767" width="10.140625" style="102" customWidth="1"/>
    <col min="10768" max="10768" width="10.42578125" style="102" bestFit="1" customWidth="1"/>
    <col min="10769" max="10770" width="9.42578125" style="102" bestFit="1" customWidth="1"/>
    <col min="10771" max="10772" width="9.42578125" style="102" customWidth="1"/>
    <col min="10773" max="10773" width="10.140625" style="102" bestFit="1" customWidth="1"/>
    <col min="10774" max="10777" width="9.140625" style="102"/>
    <col min="10778" max="10778" width="7.28515625" style="102" customWidth="1"/>
    <col min="10779" max="10781" width="7.42578125" style="102" customWidth="1"/>
    <col min="10782" max="10782" width="10.42578125" style="102" bestFit="1" customWidth="1"/>
    <col min="10783" max="10783" width="12" style="102" bestFit="1" customWidth="1"/>
    <col min="10784" max="10784" width="11" style="102" bestFit="1" customWidth="1"/>
    <col min="10785" max="10786" width="11" style="102" customWidth="1"/>
    <col min="10787" max="10787" width="10" style="102" bestFit="1" customWidth="1"/>
    <col min="10788" max="10788" width="14.42578125" style="102" bestFit="1" customWidth="1"/>
    <col min="10789" max="10799" width="0" style="102" hidden="1" customWidth="1"/>
    <col min="10800" max="11020" width="9.140625" style="102"/>
    <col min="11021" max="11021" width="54.140625" style="102" bestFit="1" customWidth="1"/>
    <col min="11022" max="11022" width="14.7109375" style="102" customWidth="1"/>
    <col min="11023" max="11023" width="10.140625" style="102" customWidth="1"/>
    <col min="11024" max="11024" width="10.42578125" style="102" bestFit="1" customWidth="1"/>
    <col min="11025" max="11026" width="9.42578125" style="102" bestFit="1" customWidth="1"/>
    <col min="11027" max="11028" width="9.42578125" style="102" customWidth="1"/>
    <col min="11029" max="11029" width="10.140625" style="102" bestFit="1" customWidth="1"/>
    <col min="11030" max="11033" width="9.140625" style="102"/>
    <col min="11034" max="11034" width="7.28515625" style="102" customWidth="1"/>
    <col min="11035" max="11037" width="7.42578125" style="102" customWidth="1"/>
    <col min="11038" max="11038" width="10.42578125" style="102" bestFit="1" customWidth="1"/>
    <col min="11039" max="11039" width="12" style="102" bestFit="1" customWidth="1"/>
    <col min="11040" max="11040" width="11" style="102" bestFit="1" customWidth="1"/>
    <col min="11041" max="11042" width="11" style="102" customWidth="1"/>
    <col min="11043" max="11043" width="10" style="102" bestFit="1" customWidth="1"/>
    <col min="11044" max="11044" width="14.42578125" style="102" bestFit="1" customWidth="1"/>
    <col min="11045" max="11055" width="0" style="102" hidden="1" customWidth="1"/>
    <col min="11056" max="11276" width="9.140625" style="102"/>
    <col min="11277" max="11277" width="54.140625" style="102" bestFit="1" customWidth="1"/>
    <col min="11278" max="11278" width="14.7109375" style="102" customWidth="1"/>
    <col min="11279" max="11279" width="10.140625" style="102" customWidth="1"/>
    <col min="11280" max="11280" width="10.42578125" style="102" bestFit="1" customWidth="1"/>
    <col min="11281" max="11282" width="9.42578125" style="102" bestFit="1" customWidth="1"/>
    <col min="11283" max="11284" width="9.42578125" style="102" customWidth="1"/>
    <col min="11285" max="11285" width="10.140625" style="102" bestFit="1" customWidth="1"/>
    <col min="11286" max="11289" width="9.140625" style="102"/>
    <col min="11290" max="11290" width="7.28515625" style="102" customWidth="1"/>
    <col min="11291" max="11293" width="7.42578125" style="102" customWidth="1"/>
    <col min="11294" max="11294" width="10.42578125" style="102" bestFit="1" customWidth="1"/>
    <col min="11295" max="11295" width="12" style="102" bestFit="1" customWidth="1"/>
    <col min="11296" max="11296" width="11" style="102" bestFit="1" customWidth="1"/>
    <col min="11297" max="11298" width="11" style="102" customWidth="1"/>
    <col min="11299" max="11299" width="10" style="102" bestFit="1" customWidth="1"/>
    <col min="11300" max="11300" width="14.42578125" style="102" bestFit="1" customWidth="1"/>
    <col min="11301" max="11311" width="0" style="102" hidden="1" customWidth="1"/>
    <col min="11312" max="11532" width="9.140625" style="102"/>
    <col min="11533" max="11533" width="54.140625" style="102" bestFit="1" customWidth="1"/>
    <col min="11534" max="11534" width="14.7109375" style="102" customWidth="1"/>
    <col min="11535" max="11535" width="10.140625" style="102" customWidth="1"/>
    <col min="11536" max="11536" width="10.42578125" style="102" bestFit="1" customWidth="1"/>
    <col min="11537" max="11538" width="9.42578125" style="102" bestFit="1" customWidth="1"/>
    <col min="11539" max="11540" width="9.42578125" style="102" customWidth="1"/>
    <col min="11541" max="11541" width="10.140625" style="102" bestFit="1" customWidth="1"/>
    <col min="11542" max="11545" width="9.140625" style="102"/>
    <col min="11546" max="11546" width="7.28515625" style="102" customWidth="1"/>
    <col min="11547" max="11549" width="7.42578125" style="102" customWidth="1"/>
    <col min="11550" max="11550" width="10.42578125" style="102" bestFit="1" customWidth="1"/>
    <col min="11551" max="11551" width="12" style="102" bestFit="1" customWidth="1"/>
    <col min="11552" max="11552" width="11" style="102" bestFit="1" customWidth="1"/>
    <col min="11553" max="11554" width="11" style="102" customWidth="1"/>
    <col min="11555" max="11555" width="10" style="102" bestFit="1" customWidth="1"/>
    <col min="11556" max="11556" width="14.42578125" style="102" bestFit="1" customWidth="1"/>
    <col min="11557" max="11567" width="0" style="102" hidden="1" customWidth="1"/>
    <col min="11568" max="11788" width="9.140625" style="102"/>
    <col min="11789" max="11789" width="54.140625" style="102" bestFit="1" customWidth="1"/>
    <col min="11790" max="11790" width="14.7109375" style="102" customWidth="1"/>
    <col min="11791" max="11791" width="10.140625" style="102" customWidth="1"/>
    <col min="11792" max="11792" width="10.42578125" style="102" bestFit="1" customWidth="1"/>
    <col min="11793" max="11794" width="9.42578125" style="102" bestFit="1" customWidth="1"/>
    <col min="11795" max="11796" width="9.42578125" style="102" customWidth="1"/>
    <col min="11797" max="11797" width="10.140625" style="102" bestFit="1" customWidth="1"/>
    <col min="11798" max="11801" width="9.140625" style="102"/>
    <col min="11802" max="11802" width="7.28515625" style="102" customWidth="1"/>
    <col min="11803" max="11805" width="7.42578125" style="102" customWidth="1"/>
    <col min="11806" max="11806" width="10.42578125" style="102" bestFit="1" customWidth="1"/>
    <col min="11807" max="11807" width="12" style="102" bestFit="1" customWidth="1"/>
    <col min="11808" max="11808" width="11" style="102" bestFit="1" customWidth="1"/>
    <col min="11809" max="11810" width="11" style="102" customWidth="1"/>
    <col min="11811" max="11811" width="10" style="102" bestFit="1" customWidth="1"/>
    <col min="11812" max="11812" width="14.42578125" style="102" bestFit="1" customWidth="1"/>
    <col min="11813" max="11823" width="0" style="102" hidden="1" customWidth="1"/>
    <col min="11824" max="12044" width="9.140625" style="102"/>
    <col min="12045" max="12045" width="54.140625" style="102" bestFit="1" customWidth="1"/>
    <col min="12046" max="12046" width="14.7109375" style="102" customWidth="1"/>
    <col min="12047" max="12047" width="10.140625" style="102" customWidth="1"/>
    <col min="12048" max="12048" width="10.42578125" style="102" bestFit="1" customWidth="1"/>
    <col min="12049" max="12050" width="9.42578125" style="102" bestFit="1" customWidth="1"/>
    <col min="12051" max="12052" width="9.42578125" style="102" customWidth="1"/>
    <col min="12053" max="12053" width="10.140625" style="102" bestFit="1" customWidth="1"/>
    <col min="12054" max="12057" width="9.140625" style="102"/>
    <col min="12058" max="12058" width="7.28515625" style="102" customWidth="1"/>
    <col min="12059" max="12061" width="7.42578125" style="102" customWidth="1"/>
    <col min="12062" max="12062" width="10.42578125" style="102" bestFit="1" customWidth="1"/>
    <col min="12063" max="12063" width="12" style="102" bestFit="1" customWidth="1"/>
    <col min="12064" max="12064" width="11" style="102" bestFit="1" customWidth="1"/>
    <col min="12065" max="12066" width="11" style="102" customWidth="1"/>
    <col min="12067" max="12067" width="10" style="102" bestFit="1" customWidth="1"/>
    <col min="12068" max="12068" width="14.42578125" style="102" bestFit="1" customWidth="1"/>
    <col min="12069" max="12079" width="0" style="102" hidden="1" customWidth="1"/>
    <col min="12080" max="12300" width="9.140625" style="102"/>
    <col min="12301" max="12301" width="54.140625" style="102" bestFit="1" customWidth="1"/>
    <col min="12302" max="12302" width="14.7109375" style="102" customWidth="1"/>
    <col min="12303" max="12303" width="10.140625" style="102" customWidth="1"/>
    <col min="12304" max="12304" width="10.42578125" style="102" bestFit="1" customWidth="1"/>
    <col min="12305" max="12306" width="9.42578125" style="102" bestFit="1" customWidth="1"/>
    <col min="12307" max="12308" width="9.42578125" style="102" customWidth="1"/>
    <col min="12309" max="12309" width="10.140625" style="102" bestFit="1" customWidth="1"/>
    <col min="12310" max="12313" width="9.140625" style="102"/>
    <col min="12314" max="12314" width="7.28515625" style="102" customWidth="1"/>
    <col min="12315" max="12317" width="7.42578125" style="102" customWidth="1"/>
    <col min="12318" max="12318" width="10.42578125" style="102" bestFit="1" customWidth="1"/>
    <col min="12319" max="12319" width="12" style="102" bestFit="1" customWidth="1"/>
    <col min="12320" max="12320" width="11" style="102" bestFit="1" customWidth="1"/>
    <col min="12321" max="12322" width="11" style="102" customWidth="1"/>
    <col min="12323" max="12323" width="10" style="102" bestFit="1" customWidth="1"/>
    <col min="12324" max="12324" width="14.42578125" style="102" bestFit="1" customWidth="1"/>
    <col min="12325" max="12335" width="0" style="102" hidden="1" customWidth="1"/>
    <col min="12336" max="12556" width="9.140625" style="102"/>
    <col min="12557" max="12557" width="54.140625" style="102" bestFit="1" customWidth="1"/>
    <col min="12558" max="12558" width="14.7109375" style="102" customWidth="1"/>
    <col min="12559" max="12559" width="10.140625" style="102" customWidth="1"/>
    <col min="12560" max="12560" width="10.42578125" style="102" bestFit="1" customWidth="1"/>
    <col min="12561" max="12562" width="9.42578125" style="102" bestFit="1" customWidth="1"/>
    <col min="12563" max="12564" width="9.42578125" style="102" customWidth="1"/>
    <col min="12565" max="12565" width="10.140625" style="102" bestFit="1" customWidth="1"/>
    <col min="12566" max="12569" width="9.140625" style="102"/>
    <col min="12570" max="12570" width="7.28515625" style="102" customWidth="1"/>
    <col min="12571" max="12573" width="7.42578125" style="102" customWidth="1"/>
    <col min="12574" max="12574" width="10.42578125" style="102" bestFit="1" customWidth="1"/>
    <col min="12575" max="12575" width="12" style="102" bestFit="1" customWidth="1"/>
    <col min="12576" max="12576" width="11" style="102" bestFit="1" customWidth="1"/>
    <col min="12577" max="12578" width="11" style="102" customWidth="1"/>
    <col min="12579" max="12579" width="10" style="102" bestFit="1" customWidth="1"/>
    <col min="12580" max="12580" width="14.42578125" style="102" bestFit="1" customWidth="1"/>
    <col min="12581" max="12591" width="0" style="102" hidden="1" customWidth="1"/>
    <col min="12592" max="12812" width="9.140625" style="102"/>
    <col min="12813" max="12813" width="54.140625" style="102" bestFit="1" customWidth="1"/>
    <col min="12814" max="12814" width="14.7109375" style="102" customWidth="1"/>
    <col min="12815" max="12815" width="10.140625" style="102" customWidth="1"/>
    <col min="12816" max="12816" width="10.42578125" style="102" bestFit="1" customWidth="1"/>
    <col min="12817" max="12818" width="9.42578125" style="102" bestFit="1" customWidth="1"/>
    <col min="12819" max="12820" width="9.42578125" style="102" customWidth="1"/>
    <col min="12821" max="12821" width="10.140625" style="102" bestFit="1" customWidth="1"/>
    <col min="12822" max="12825" width="9.140625" style="102"/>
    <col min="12826" max="12826" width="7.28515625" style="102" customWidth="1"/>
    <col min="12827" max="12829" width="7.42578125" style="102" customWidth="1"/>
    <col min="12830" max="12830" width="10.42578125" style="102" bestFit="1" customWidth="1"/>
    <col min="12831" max="12831" width="12" style="102" bestFit="1" customWidth="1"/>
    <col min="12832" max="12832" width="11" style="102" bestFit="1" customWidth="1"/>
    <col min="12833" max="12834" width="11" style="102" customWidth="1"/>
    <col min="12835" max="12835" width="10" style="102" bestFit="1" customWidth="1"/>
    <col min="12836" max="12836" width="14.42578125" style="102" bestFit="1" customWidth="1"/>
    <col min="12837" max="12847" width="0" style="102" hidden="1" customWidth="1"/>
    <col min="12848" max="13068" width="9.140625" style="102"/>
    <col min="13069" max="13069" width="54.140625" style="102" bestFit="1" customWidth="1"/>
    <col min="13070" max="13070" width="14.7109375" style="102" customWidth="1"/>
    <col min="13071" max="13071" width="10.140625" style="102" customWidth="1"/>
    <col min="13072" max="13072" width="10.42578125" style="102" bestFit="1" customWidth="1"/>
    <col min="13073" max="13074" width="9.42578125" style="102" bestFit="1" customWidth="1"/>
    <col min="13075" max="13076" width="9.42578125" style="102" customWidth="1"/>
    <col min="13077" max="13077" width="10.140625" style="102" bestFit="1" customWidth="1"/>
    <col min="13078" max="13081" width="9.140625" style="102"/>
    <col min="13082" max="13082" width="7.28515625" style="102" customWidth="1"/>
    <col min="13083" max="13085" width="7.42578125" style="102" customWidth="1"/>
    <col min="13086" max="13086" width="10.42578125" style="102" bestFit="1" customWidth="1"/>
    <col min="13087" max="13087" width="12" style="102" bestFit="1" customWidth="1"/>
    <col min="13088" max="13088" width="11" style="102" bestFit="1" customWidth="1"/>
    <col min="13089" max="13090" width="11" style="102" customWidth="1"/>
    <col min="13091" max="13091" width="10" style="102" bestFit="1" customWidth="1"/>
    <col min="13092" max="13092" width="14.42578125" style="102" bestFit="1" customWidth="1"/>
    <col min="13093" max="13103" width="0" style="102" hidden="1" customWidth="1"/>
    <col min="13104" max="13324" width="9.140625" style="102"/>
    <col min="13325" max="13325" width="54.140625" style="102" bestFit="1" customWidth="1"/>
    <col min="13326" max="13326" width="14.7109375" style="102" customWidth="1"/>
    <col min="13327" max="13327" width="10.140625" style="102" customWidth="1"/>
    <col min="13328" max="13328" width="10.42578125" style="102" bestFit="1" customWidth="1"/>
    <col min="13329" max="13330" width="9.42578125" style="102" bestFit="1" customWidth="1"/>
    <col min="13331" max="13332" width="9.42578125" style="102" customWidth="1"/>
    <col min="13333" max="13333" width="10.140625" style="102" bestFit="1" customWidth="1"/>
    <col min="13334" max="13337" width="9.140625" style="102"/>
    <col min="13338" max="13338" width="7.28515625" style="102" customWidth="1"/>
    <col min="13339" max="13341" width="7.42578125" style="102" customWidth="1"/>
    <col min="13342" max="13342" width="10.42578125" style="102" bestFit="1" customWidth="1"/>
    <col min="13343" max="13343" width="12" style="102" bestFit="1" customWidth="1"/>
    <col min="13344" max="13344" width="11" style="102" bestFit="1" customWidth="1"/>
    <col min="13345" max="13346" width="11" style="102" customWidth="1"/>
    <col min="13347" max="13347" width="10" style="102" bestFit="1" customWidth="1"/>
    <col min="13348" max="13348" width="14.42578125" style="102" bestFit="1" customWidth="1"/>
    <col min="13349" max="13359" width="0" style="102" hidden="1" customWidth="1"/>
    <col min="13360" max="13580" width="9.140625" style="102"/>
    <col min="13581" max="13581" width="54.140625" style="102" bestFit="1" customWidth="1"/>
    <col min="13582" max="13582" width="14.7109375" style="102" customWidth="1"/>
    <col min="13583" max="13583" width="10.140625" style="102" customWidth="1"/>
    <col min="13584" max="13584" width="10.42578125" style="102" bestFit="1" customWidth="1"/>
    <col min="13585" max="13586" width="9.42578125" style="102" bestFit="1" customWidth="1"/>
    <col min="13587" max="13588" width="9.42578125" style="102" customWidth="1"/>
    <col min="13589" max="13589" width="10.140625" style="102" bestFit="1" customWidth="1"/>
    <col min="13590" max="13593" width="9.140625" style="102"/>
    <col min="13594" max="13594" width="7.28515625" style="102" customWidth="1"/>
    <col min="13595" max="13597" width="7.42578125" style="102" customWidth="1"/>
    <col min="13598" max="13598" width="10.42578125" style="102" bestFit="1" customWidth="1"/>
    <col min="13599" max="13599" width="12" style="102" bestFit="1" customWidth="1"/>
    <col min="13600" max="13600" width="11" style="102" bestFit="1" customWidth="1"/>
    <col min="13601" max="13602" width="11" style="102" customWidth="1"/>
    <col min="13603" max="13603" width="10" style="102" bestFit="1" customWidth="1"/>
    <col min="13604" max="13604" width="14.42578125" style="102" bestFit="1" customWidth="1"/>
    <col min="13605" max="13615" width="0" style="102" hidden="1" customWidth="1"/>
    <col min="13616" max="13836" width="9.140625" style="102"/>
    <col min="13837" max="13837" width="54.140625" style="102" bestFit="1" customWidth="1"/>
    <col min="13838" max="13838" width="14.7109375" style="102" customWidth="1"/>
    <col min="13839" max="13839" width="10.140625" style="102" customWidth="1"/>
    <col min="13840" max="13840" width="10.42578125" style="102" bestFit="1" customWidth="1"/>
    <col min="13841" max="13842" width="9.42578125" style="102" bestFit="1" customWidth="1"/>
    <col min="13843" max="13844" width="9.42578125" style="102" customWidth="1"/>
    <col min="13845" max="13845" width="10.140625" style="102" bestFit="1" customWidth="1"/>
    <col min="13846" max="13849" width="9.140625" style="102"/>
    <col min="13850" max="13850" width="7.28515625" style="102" customWidth="1"/>
    <col min="13851" max="13853" width="7.42578125" style="102" customWidth="1"/>
    <col min="13854" max="13854" width="10.42578125" style="102" bestFit="1" customWidth="1"/>
    <col min="13855" max="13855" width="12" style="102" bestFit="1" customWidth="1"/>
    <col min="13856" max="13856" width="11" style="102" bestFit="1" customWidth="1"/>
    <col min="13857" max="13858" width="11" style="102" customWidth="1"/>
    <col min="13859" max="13859" width="10" style="102" bestFit="1" customWidth="1"/>
    <col min="13860" max="13860" width="14.42578125" style="102" bestFit="1" customWidth="1"/>
    <col min="13861" max="13871" width="0" style="102" hidden="1" customWidth="1"/>
    <col min="13872" max="14092" width="9.140625" style="102"/>
    <col min="14093" max="14093" width="54.140625" style="102" bestFit="1" customWidth="1"/>
    <col min="14094" max="14094" width="14.7109375" style="102" customWidth="1"/>
    <col min="14095" max="14095" width="10.140625" style="102" customWidth="1"/>
    <col min="14096" max="14096" width="10.42578125" style="102" bestFit="1" customWidth="1"/>
    <col min="14097" max="14098" width="9.42578125" style="102" bestFit="1" customWidth="1"/>
    <col min="14099" max="14100" width="9.42578125" style="102" customWidth="1"/>
    <col min="14101" max="14101" width="10.140625" style="102" bestFit="1" customWidth="1"/>
    <col min="14102" max="14105" width="9.140625" style="102"/>
    <col min="14106" max="14106" width="7.28515625" style="102" customWidth="1"/>
    <col min="14107" max="14109" width="7.42578125" style="102" customWidth="1"/>
    <col min="14110" max="14110" width="10.42578125" style="102" bestFit="1" customWidth="1"/>
    <col min="14111" max="14111" width="12" style="102" bestFit="1" customWidth="1"/>
    <col min="14112" max="14112" width="11" style="102" bestFit="1" customWidth="1"/>
    <col min="14113" max="14114" width="11" style="102" customWidth="1"/>
    <col min="14115" max="14115" width="10" style="102" bestFit="1" customWidth="1"/>
    <col min="14116" max="14116" width="14.42578125" style="102" bestFit="1" customWidth="1"/>
    <col min="14117" max="14127" width="0" style="102" hidden="1" customWidth="1"/>
    <col min="14128" max="14348" width="9.140625" style="102"/>
    <col min="14349" max="14349" width="54.140625" style="102" bestFit="1" customWidth="1"/>
    <col min="14350" max="14350" width="14.7109375" style="102" customWidth="1"/>
    <col min="14351" max="14351" width="10.140625" style="102" customWidth="1"/>
    <col min="14352" max="14352" width="10.42578125" style="102" bestFit="1" customWidth="1"/>
    <col min="14353" max="14354" width="9.42578125" style="102" bestFit="1" customWidth="1"/>
    <col min="14355" max="14356" width="9.42578125" style="102" customWidth="1"/>
    <col min="14357" max="14357" width="10.140625" style="102" bestFit="1" customWidth="1"/>
    <col min="14358" max="14361" width="9.140625" style="102"/>
    <col min="14362" max="14362" width="7.28515625" style="102" customWidth="1"/>
    <col min="14363" max="14365" width="7.42578125" style="102" customWidth="1"/>
    <col min="14366" max="14366" width="10.42578125" style="102" bestFit="1" customWidth="1"/>
    <col min="14367" max="14367" width="12" style="102" bestFit="1" customWidth="1"/>
    <col min="14368" max="14368" width="11" style="102" bestFit="1" customWidth="1"/>
    <col min="14369" max="14370" width="11" style="102" customWidth="1"/>
    <col min="14371" max="14371" width="10" style="102" bestFit="1" customWidth="1"/>
    <col min="14372" max="14372" width="14.42578125" style="102" bestFit="1" customWidth="1"/>
    <col min="14373" max="14383" width="0" style="102" hidden="1" customWidth="1"/>
    <col min="14384" max="14604" width="9.140625" style="102"/>
    <col min="14605" max="14605" width="54.140625" style="102" bestFit="1" customWidth="1"/>
    <col min="14606" max="14606" width="14.7109375" style="102" customWidth="1"/>
    <col min="14607" max="14607" width="10.140625" style="102" customWidth="1"/>
    <col min="14608" max="14608" width="10.42578125" style="102" bestFit="1" customWidth="1"/>
    <col min="14609" max="14610" width="9.42578125" style="102" bestFit="1" customWidth="1"/>
    <col min="14611" max="14612" width="9.42578125" style="102" customWidth="1"/>
    <col min="14613" max="14613" width="10.140625" style="102" bestFit="1" customWidth="1"/>
    <col min="14614" max="14617" width="9.140625" style="102"/>
    <col min="14618" max="14618" width="7.28515625" style="102" customWidth="1"/>
    <col min="14619" max="14621" width="7.42578125" style="102" customWidth="1"/>
    <col min="14622" max="14622" width="10.42578125" style="102" bestFit="1" customWidth="1"/>
    <col min="14623" max="14623" width="12" style="102" bestFit="1" customWidth="1"/>
    <col min="14624" max="14624" width="11" style="102" bestFit="1" customWidth="1"/>
    <col min="14625" max="14626" width="11" style="102" customWidth="1"/>
    <col min="14627" max="14627" width="10" style="102" bestFit="1" customWidth="1"/>
    <col min="14628" max="14628" width="14.42578125" style="102" bestFit="1" customWidth="1"/>
    <col min="14629" max="14639" width="0" style="102" hidden="1" customWidth="1"/>
    <col min="14640" max="14860" width="9.140625" style="102"/>
    <col min="14861" max="14861" width="54.140625" style="102" bestFit="1" customWidth="1"/>
    <col min="14862" max="14862" width="14.7109375" style="102" customWidth="1"/>
    <col min="14863" max="14863" width="10.140625" style="102" customWidth="1"/>
    <col min="14864" max="14864" width="10.42578125" style="102" bestFit="1" customWidth="1"/>
    <col min="14865" max="14866" width="9.42578125" style="102" bestFit="1" customWidth="1"/>
    <col min="14867" max="14868" width="9.42578125" style="102" customWidth="1"/>
    <col min="14869" max="14869" width="10.140625" style="102" bestFit="1" customWidth="1"/>
    <col min="14870" max="14873" width="9.140625" style="102"/>
    <col min="14874" max="14874" width="7.28515625" style="102" customWidth="1"/>
    <col min="14875" max="14877" width="7.42578125" style="102" customWidth="1"/>
    <col min="14878" max="14878" width="10.42578125" style="102" bestFit="1" customWidth="1"/>
    <col min="14879" max="14879" width="12" style="102" bestFit="1" customWidth="1"/>
    <col min="14880" max="14880" width="11" style="102" bestFit="1" customWidth="1"/>
    <col min="14881" max="14882" width="11" style="102" customWidth="1"/>
    <col min="14883" max="14883" width="10" style="102" bestFit="1" customWidth="1"/>
    <col min="14884" max="14884" width="14.42578125" style="102" bestFit="1" customWidth="1"/>
    <col min="14885" max="14895" width="0" style="102" hidden="1" customWidth="1"/>
    <col min="14896" max="15116" width="9.140625" style="102"/>
    <col min="15117" max="15117" width="54.140625" style="102" bestFit="1" customWidth="1"/>
    <col min="15118" max="15118" width="14.7109375" style="102" customWidth="1"/>
    <col min="15119" max="15119" width="10.140625" style="102" customWidth="1"/>
    <col min="15120" max="15120" width="10.42578125" style="102" bestFit="1" customWidth="1"/>
    <col min="15121" max="15122" width="9.42578125" style="102" bestFit="1" customWidth="1"/>
    <col min="15123" max="15124" width="9.42578125" style="102" customWidth="1"/>
    <col min="15125" max="15125" width="10.140625" style="102" bestFit="1" customWidth="1"/>
    <col min="15126" max="15129" width="9.140625" style="102"/>
    <col min="15130" max="15130" width="7.28515625" style="102" customWidth="1"/>
    <col min="15131" max="15133" width="7.42578125" style="102" customWidth="1"/>
    <col min="15134" max="15134" width="10.42578125" style="102" bestFit="1" customWidth="1"/>
    <col min="15135" max="15135" width="12" style="102" bestFit="1" customWidth="1"/>
    <col min="15136" max="15136" width="11" style="102" bestFit="1" customWidth="1"/>
    <col min="15137" max="15138" width="11" style="102" customWidth="1"/>
    <col min="15139" max="15139" width="10" style="102" bestFit="1" customWidth="1"/>
    <col min="15140" max="15140" width="14.42578125" style="102" bestFit="1" customWidth="1"/>
    <col min="15141" max="15151" width="0" style="102" hidden="1" customWidth="1"/>
    <col min="15152" max="15372" width="9.140625" style="102"/>
    <col min="15373" max="15373" width="54.140625" style="102" bestFit="1" customWidth="1"/>
    <col min="15374" max="15374" width="14.7109375" style="102" customWidth="1"/>
    <col min="15375" max="15375" width="10.140625" style="102" customWidth="1"/>
    <col min="15376" max="15376" width="10.42578125" style="102" bestFit="1" customWidth="1"/>
    <col min="15377" max="15378" width="9.42578125" style="102" bestFit="1" customWidth="1"/>
    <col min="15379" max="15380" width="9.42578125" style="102" customWidth="1"/>
    <col min="15381" max="15381" width="10.140625" style="102" bestFit="1" customWidth="1"/>
    <col min="15382" max="15385" width="9.140625" style="102"/>
    <col min="15386" max="15386" width="7.28515625" style="102" customWidth="1"/>
    <col min="15387" max="15389" width="7.42578125" style="102" customWidth="1"/>
    <col min="15390" max="15390" width="10.42578125" style="102" bestFit="1" customWidth="1"/>
    <col min="15391" max="15391" width="12" style="102" bestFit="1" customWidth="1"/>
    <col min="15392" max="15392" width="11" style="102" bestFit="1" customWidth="1"/>
    <col min="15393" max="15394" width="11" style="102" customWidth="1"/>
    <col min="15395" max="15395" width="10" style="102" bestFit="1" customWidth="1"/>
    <col min="15396" max="15396" width="14.42578125" style="102" bestFit="1" customWidth="1"/>
    <col min="15397" max="15407" width="0" style="102" hidden="1" customWidth="1"/>
    <col min="15408" max="15628" width="9.140625" style="102"/>
    <col min="15629" max="15629" width="54.140625" style="102" bestFit="1" customWidth="1"/>
    <col min="15630" max="15630" width="14.7109375" style="102" customWidth="1"/>
    <col min="15631" max="15631" width="10.140625" style="102" customWidth="1"/>
    <col min="15632" max="15632" width="10.42578125" style="102" bestFit="1" customWidth="1"/>
    <col min="15633" max="15634" width="9.42578125" style="102" bestFit="1" customWidth="1"/>
    <col min="15635" max="15636" width="9.42578125" style="102" customWidth="1"/>
    <col min="15637" max="15637" width="10.140625" style="102" bestFit="1" customWidth="1"/>
    <col min="15638" max="15641" width="9.140625" style="102"/>
    <col min="15642" max="15642" width="7.28515625" style="102" customWidth="1"/>
    <col min="15643" max="15645" width="7.42578125" style="102" customWidth="1"/>
    <col min="15646" max="15646" width="10.42578125" style="102" bestFit="1" customWidth="1"/>
    <col min="15647" max="15647" width="12" style="102" bestFit="1" customWidth="1"/>
    <col min="15648" max="15648" width="11" style="102" bestFit="1" customWidth="1"/>
    <col min="15649" max="15650" width="11" style="102" customWidth="1"/>
    <col min="15651" max="15651" width="10" style="102" bestFit="1" customWidth="1"/>
    <col min="15652" max="15652" width="14.42578125" style="102" bestFit="1" customWidth="1"/>
    <col min="15653" max="15663" width="0" style="102" hidden="1" customWidth="1"/>
    <col min="15664" max="15884" width="9.140625" style="102"/>
    <col min="15885" max="15885" width="54.140625" style="102" bestFit="1" customWidth="1"/>
    <col min="15886" max="15886" width="14.7109375" style="102" customWidth="1"/>
    <col min="15887" max="15887" width="10.140625" style="102" customWidth="1"/>
    <col min="15888" max="15888" width="10.42578125" style="102" bestFit="1" customWidth="1"/>
    <col min="15889" max="15890" width="9.42578125" style="102" bestFit="1" customWidth="1"/>
    <col min="15891" max="15892" width="9.42578125" style="102" customWidth="1"/>
    <col min="15893" max="15893" width="10.140625" style="102" bestFit="1" customWidth="1"/>
    <col min="15894" max="15897" width="9.140625" style="102"/>
    <col min="15898" max="15898" width="7.28515625" style="102" customWidth="1"/>
    <col min="15899" max="15901" width="7.42578125" style="102" customWidth="1"/>
    <col min="15902" max="15902" width="10.42578125" style="102" bestFit="1" customWidth="1"/>
    <col min="15903" max="15903" width="12" style="102" bestFit="1" customWidth="1"/>
    <col min="15904" max="15904" width="11" style="102" bestFit="1" customWidth="1"/>
    <col min="15905" max="15906" width="11" style="102" customWidth="1"/>
    <col min="15907" max="15907" width="10" style="102" bestFit="1" customWidth="1"/>
    <col min="15908" max="15908" width="14.42578125" style="102" bestFit="1" customWidth="1"/>
    <col min="15909" max="15919" width="0" style="102" hidden="1" customWidth="1"/>
    <col min="15920" max="16140" width="9.140625" style="102"/>
    <col min="16141" max="16141" width="54.140625" style="102" bestFit="1" customWidth="1"/>
    <col min="16142" max="16142" width="14.7109375" style="102" customWidth="1"/>
    <col min="16143" max="16143" width="10.140625" style="102" customWidth="1"/>
    <col min="16144" max="16144" width="10.42578125" style="102" bestFit="1" customWidth="1"/>
    <col min="16145" max="16146" width="9.42578125" style="102" bestFit="1" customWidth="1"/>
    <col min="16147" max="16148" width="9.42578125" style="102" customWidth="1"/>
    <col min="16149" max="16149" width="10.140625" style="102" bestFit="1" customWidth="1"/>
    <col min="16150" max="16153" width="9.140625" style="102"/>
    <col min="16154" max="16154" width="7.28515625" style="102" customWidth="1"/>
    <col min="16155" max="16157" width="7.42578125" style="102" customWidth="1"/>
    <col min="16158" max="16158" width="10.42578125" style="102" bestFit="1" customWidth="1"/>
    <col min="16159" max="16159" width="12" style="102" bestFit="1" customWidth="1"/>
    <col min="16160" max="16160" width="11" style="102" bestFit="1" customWidth="1"/>
    <col min="16161" max="16162" width="11" style="102" customWidth="1"/>
    <col min="16163" max="16163" width="10" style="102" bestFit="1" customWidth="1"/>
    <col min="16164" max="16164" width="14.42578125" style="102" bestFit="1" customWidth="1"/>
    <col min="16165" max="16175" width="0" style="102" hidden="1" customWidth="1"/>
    <col min="16176" max="16384" width="9.140625" style="102"/>
  </cols>
  <sheetData>
    <row r="1" spans="1:54" s="96" customFormat="1" ht="115.5" customHeight="1" x14ac:dyDescent="0.25">
      <c r="A1" s="93" t="s">
        <v>135</v>
      </c>
      <c r="B1" s="203" t="s">
        <v>321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5"/>
      <c r="AE1" s="95"/>
    </row>
    <row r="2" spans="1:54" ht="15.75" x14ac:dyDescent="0.2">
      <c r="A2" s="206" t="s">
        <v>277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7"/>
      <c r="N2" s="97"/>
      <c r="O2" s="98"/>
      <c r="P2" s="98"/>
      <c r="Q2" s="98"/>
      <c r="R2" s="99"/>
      <c r="S2" s="98"/>
      <c r="T2" s="98"/>
      <c r="U2" s="100"/>
      <c r="V2" s="100"/>
      <c r="W2" s="100"/>
      <c r="X2" s="100"/>
      <c r="Y2" s="100"/>
      <c r="Z2" s="100"/>
      <c r="AA2" s="100"/>
      <c r="AB2" s="100"/>
      <c r="AC2" s="100"/>
      <c r="AD2" s="101"/>
      <c r="AE2" s="101"/>
    </row>
    <row r="3" spans="1:54" ht="15" customHeight="1" x14ac:dyDescent="0.2">
      <c r="A3" s="208" t="s">
        <v>322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103"/>
      <c r="O3" s="104"/>
      <c r="P3" s="104"/>
      <c r="Q3" s="104"/>
      <c r="R3" s="104"/>
      <c r="S3" s="104"/>
      <c r="T3" s="104"/>
      <c r="U3" s="100"/>
      <c r="V3" s="100"/>
      <c r="W3" s="100"/>
    </row>
    <row r="4" spans="1:54" ht="15.75" customHeight="1" x14ac:dyDescent="0.2">
      <c r="A4" s="206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103"/>
      <c r="O4" s="104"/>
      <c r="P4" s="104"/>
      <c r="Q4" s="104"/>
      <c r="R4" s="104"/>
      <c r="S4" s="104"/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1"/>
      <c r="AE4" s="101"/>
    </row>
    <row r="5" spans="1:54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209"/>
      <c r="AE5" s="209"/>
    </row>
    <row r="6" spans="1:54" ht="18" customHeight="1" thickBot="1" x14ac:dyDescent="0.25"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105"/>
      <c r="Q6" s="105"/>
      <c r="R6" s="105"/>
      <c r="S6" s="163" t="s">
        <v>326</v>
      </c>
      <c r="T6" s="105"/>
      <c r="U6" s="105"/>
      <c r="V6" s="105"/>
      <c r="W6" s="105"/>
      <c r="X6" s="107"/>
      <c r="Y6" s="107"/>
      <c r="Z6" s="105"/>
      <c r="AA6" s="105"/>
      <c r="AB6" s="105"/>
      <c r="AC6" s="105"/>
      <c r="AD6" s="106"/>
      <c r="AE6" s="106"/>
    </row>
    <row r="7" spans="1:54" ht="13.5" thickBot="1" x14ac:dyDescent="0.25">
      <c r="C7" s="108"/>
      <c r="D7" s="109"/>
      <c r="E7" s="105"/>
      <c r="F7" s="105"/>
      <c r="G7" s="105"/>
      <c r="H7" s="105"/>
      <c r="I7" s="105"/>
      <c r="J7" s="105"/>
      <c r="K7" s="105" t="s">
        <v>324</v>
      </c>
      <c r="L7" s="105" t="s">
        <v>325</v>
      </c>
      <c r="M7" s="105"/>
      <c r="N7" s="94"/>
      <c r="O7" s="9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6"/>
      <c r="AE7" s="106"/>
      <c r="AF7" s="210" t="s">
        <v>278</v>
      </c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2"/>
    </row>
    <row r="8" spans="1:54" ht="26.25" customHeight="1" x14ac:dyDescent="0.2">
      <c r="A8" s="216" t="s">
        <v>279</v>
      </c>
      <c r="B8" s="218" t="s">
        <v>280</v>
      </c>
      <c r="C8" s="220" t="s">
        <v>281</v>
      </c>
      <c r="D8" s="223" t="s">
        <v>282</v>
      </c>
      <c r="E8" s="224"/>
      <c r="F8" s="224"/>
      <c r="G8" s="224"/>
      <c r="H8" s="224"/>
      <c r="I8" s="225"/>
      <c r="J8" s="223" t="s">
        <v>84</v>
      </c>
      <c r="K8" s="224"/>
      <c r="L8" s="224"/>
      <c r="M8" s="224"/>
      <c r="N8" s="224"/>
      <c r="O8" s="226"/>
      <c r="P8" s="223" t="s">
        <v>283</v>
      </c>
      <c r="Q8" s="224"/>
      <c r="R8" s="224"/>
      <c r="S8" s="224"/>
      <c r="T8" s="224"/>
      <c r="U8" s="224"/>
      <c r="V8" s="225"/>
      <c r="W8" s="230" t="s">
        <v>284</v>
      </c>
      <c r="X8" s="223" t="s">
        <v>285</v>
      </c>
      <c r="Y8" s="224" t="s">
        <v>286</v>
      </c>
      <c r="Z8" s="224" t="s">
        <v>287</v>
      </c>
      <c r="AA8" s="224" t="s">
        <v>288</v>
      </c>
      <c r="AB8" s="224" t="s">
        <v>289</v>
      </c>
      <c r="AC8" s="225" t="s">
        <v>290</v>
      </c>
      <c r="AD8" s="230" t="s">
        <v>291</v>
      </c>
      <c r="AE8" s="230" t="s">
        <v>292</v>
      </c>
      <c r="AF8" s="213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5"/>
    </row>
    <row r="9" spans="1:54" ht="39" customHeight="1" x14ac:dyDescent="0.2">
      <c r="A9" s="217"/>
      <c r="B9" s="219"/>
      <c r="C9" s="221"/>
      <c r="D9" s="228" t="s">
        <v>293</v>
      </c>
      <c r="E9" s="229" t="s">
        <v>294</v>
      </c>
      <c r="F9" s="229" t="s">
        <v>295</v>
      </c>
      <c r="G9" s="229" t="s">
        <v>296</v>
      </c>
      <c r="H9" s="229" t="s">
        <v>297</v>
      </c>
      <c r="I9" s="227" t="s">
        <v>298</v>
      </c>
      <c r="J9" s="228" t="s">
        <v>293</v>
      </c>
      <c r="K9" s="229" t="s">
        <v>299</v>
      </c>
      <c r="L9" s="229" t="s">
        <v>300</v>
      </c>
      <c r="M9" s="229" t="s">
        <v>301</v>
      </c>
      <c r="N9" s="234" t="s">
        <v>302</v>
      </c>
      <c r="O9" s="232" t="s">
        <v>303</v>
      </c>
      <c r="P9" s="228"/>
      <c r="Q9" s="229"/>
      <c r="R9" s="229"/>
      <c r="S9" s="229"/>
      <c r="T9" s="229"/>
      <c r="U9" s="229"/>
      <c r="V9" s="227"/>
      <c r="W9" s="231"/>
      <c r="X9" s="228"/>
      <c r="Y9" s="229"/>
      <c r="Z9" s="229"/>
      <c r="AA9" s="229"/>
      <c r="AB9" s="229"/>
      <c r="AC9" s="227"/>
      <c r="AD9" s="231"/>
      <c r="AE9" s="231"/>
      <c r="AF9" s="113" t="str">
        <f>'AUTO CALCULATION SHEET (2)'!N17</f>
        <v>Alumimium</v>
      </c>
      <c r="AG9" s="114" t="str">
        <f>'AUTO CALCULATION SHEET (2)'!X17</f>
        <v>Coper tape -50X 0.1 mm</v>
      </c>
      <c r="AH9" s="114" t="str">
        <f>'AUTO CALCULATION SHEET (2)'!AG17</f>
        <v>Extruded Semiconductive(Stripable)</v>
      </c>
      <c r="AI9" s="114" t="str">
        <f>'AUTO CALCULATION SHEET (2)'!AJ17</f>
        <v>TR XLPE</v>
      </c>
      <c r="AJ9" s="114" t="str">
        <f>'AUTO CALCULATION SHEET (2)'!AQ17</f>
        <v>POLY TAPE</v>
      </c>
      <c r="AK9" s="114" t="str">
        <f>'AUTO CALCULATION SHEET (2)'!AX17</f>
        <v>PVC Type ST-2</v>
      </c>
      <c r="AL9" s="114" t="str">
        <f>'AUTO CALCULATION SHEET (2)'!BD17</f>
        <v>Aluminium Round Wire</v>
      </c>
      <c r="AM9" s="114" t="str">
        <f>'AUTO CALCULATION SHEET (2)'!BG17</f>
        <v>Galvanised Steel Flat Strip</v>
      </c>
      <c r="AN9" s="114" t="str">
        <f>'AUTO CALCULATION SHEET (2)'!BR17</f>
        <v>PE-ST-7</v>
      </c>
      <c r="AO9" s="114" t="str">
        <f>'AUTO CALCULATION SHEET (2)'!BT17</f>
        <v>PVC Type ST-2 WITH ATR</v>
      </c>
      <c r="AP9" s="114" t="str">
        <f>'AUTO CALCULATION SHEET (2)'!BX17</f>
        <v>PP FILLER</v>
      </c>
      <c r="AQ9" s="114" t="str">
        <f>'AUTO CALCULATION SHEET (2)'!BZ17</f>
        <v>NCWBT</v>
      </c>
      <c r="AR9" s="114" t="str">
        <f>'AUTO CALCULATION SHEET (2)'!CA17</f>
        <v>Semi conducting Water Swellable tape (min 0.3)</v>
      </c>
      <c r="AS9" s="114" t="str">
        <f>'AUTO CALCULATION SHEET (2)'!CE17</f>
        <v>RUBBERIZED COTTON TAPE</v>
      </c>
      <c r="AT9" s="236" t="s">
        <v>304</v>
      </c>
      <c r="AU9" s="236" t="s">
        <v>305</v>
      </c>
      <c r="AV9" s="236" t="s">
        <v>306</v>
      </c>
      <c r="AW9" s="236" t="s">
        <v>307</v>
      </c>
      <c r="AX9" s="236" t="s">
        <v>308</v>
      </c>
      <c r="AY9" s="236" t="s">
        <v>309</v>
      </c>
      <c r="AZ9" s="236" t="s">
        <v>310</v>
      </c>
      <c r="BA9" s="236" t="s">
        <v>311</v>
      </c>
      <c r="BB9" s="239" t="s">
        <v>312</v>
      </c>
    </row>
    <row r="10" spans="1:54" ht="21.75" customHeight="1" thickBot="1" x14ac:dyDescent="0.25">
      <c r="A10" s="217"/>
      <c r="B10" s="219"/>
      <c r="C10" s="222"/>
      <c r="D10" s="228"/>
      <c r="E10" s="229"/>
      <c r="F10" s="229"/>
      <c r="G10" s="229"/>
      <c r="H10" s="229"/>
      <c r="I10" s="227"/>
      <c r="J10" s="228"/>
      <c r="K10" s="229"/>
      <c r="L10" s="229"/>
      <c r="M10" s="229"/>
      <c r="N10" s="235"/>
      <c r="O10" s="233"/>
      <c r="P10" s="110" t="s">
        <v>313</v>
      </c>
      <c r="Q10" s="111" t="s">
        <v>295</v>
      </c>
      <c r="R10" s="111" t="s">
        <v>314</v>
      </c>
      <c r="S10" s="111" t="s">
        <v>315</v>
      </c>
      <c r="T10" s="111" t="s">
        <v>316</v>
      </c>
      <c r="U10" s="111" t="s">
        <v>317</v>
      </c>
      <c r="V10" s="112" t="s">
        <v>318</v>
      </c>
      <c r="W10" s="231"/>
      <c r="X10" s="228"/>
      <c r="Y10" s="229"/>
      <c r="Z10" s="229"/>
      <c r="AA10" s="229"/>
      <c r="AB10" s="229"/>
      <c r="AC10" s="227"/>
      <c r="AD10" s="231"/>
      <c r="AE10" s="231"/>
      <c r="AF10" s="115">
        <v>284</v>
      </c>
      <c r="AG10" s="115">
        <v>1145</v>
      </c>
      <c r="AH10" s="115">
        <v>175</v>
      </c>
      <c r="AI10" s="115">
        <v>215</v>
      </c>
      <c r="AJ10" s="115">
        <v>110</v>
      </c>
      <c r="AK10" s="115">
        <v>61</v>
      </c>
      <c r="AL10" s="115">
        <v>289</v>
      </c>
      <c r="AM10" s="115">
        <v>75</v>
      </c>
      <c r="AN10" s="115">
        <v>96</v>
      </c>
      <c r="AO10" s="115">
        <f>AK10+7</f>
        <v>68</v>
      </c>
      <c r="AP10" s="115">
        <v>75</v>
      </c>
      <c r="AQ10" s="115">
        <v>300</v>
      </c>
      <c r="AR10" s="115">
        <v>415</v>
      </c>
      <c r="AS10" s="115">
        <v>285</v>
      </c>
      <c r="AT10" s="237"/>
      <c r="AU10" s="237"/>
      <c r="AV10" s="237"/>
      <c r="AW10" s="237"/>
      <c r="AX10" s="237"/>
      <c r="AY10" s="237"/>
      <c r="AZ10" s="237"/>
      <c r="BA10" s="237"/>
      <c r="BB10" s="240"/>
    </row>
    <row r="11" spans="1:54" ht="24" customHeight="1" x14ac:dyDescent="0.2">
      <c r="A11" s="116"/>
      <c r="B11" s="116"/>
      <c r="C11" s="101"/>
      <c r="D11" s="117"/>
      <c r="E11" s="118"/>
      <c r="F11" s="118"/>
      <c r="G11" s="118"/>
      <c r="H11" s="118"/>
      <c r="I11" s="119"/>
      <c r="J11" s="120"/>
      <c r="K11" s="157">
        <v>45958</v>
      </c>
      <c r="L11" s="157">
        <v>45958</v>
      </c>
      <c r="M11" s="157" t="s">
        <v>323</v>
      </c>
      <c r="N11" s="157" t="s">
        <v>323</v>
      </c>
      <c r="O11" s="157" t="s">
        <v>323</v>
      </c>
      <c r="P11" s="121"/>
      <c r="Q11" s="122"/>
      <c r="R11" s="122"/>
      <c r="S11" s="122"/>
      <c r="T11" s="122"/>
      <c r="U11" s="122"/>
      <c r="V11" s="123"/>
      <c r="W11" s="124"/>
      <c r="X11" s="110"/>
      <c r="Y11" s="111"/>
      <c r="Z11" s="111"/>
      <c r="AA11" s="111"/>
      <c r="AB11" s="111"/>
      <c r="AC11" s="112"/>
      <c r="AD11" s="125"/>
      <c r="AE11" s="125"/>
      <c r="AF11" s="115" t="s">
        <v>319</v>
      </c>
      <c r="AG11" s="115" t="s">
        <v>319</v>
      </c>
      <c r="AH11" s="115" t="s">
        <v>319</v>
      </c>
      <c r="AI11" s="115" t="s">
        <v>319</v>
      </c>
      <c r="AJ11" s="115" t="s">
        <v>319</v>
      </c>
      <c r="AK11" s="115" t="s">
        <v>319</v>
      </c>
      <c r="AL11" s="115" t="s">
        <v>319</v>
      </c>
      <c r="AM11" s="115" t="s">
        <v>319</v>
      </c>
      <c r="AN11" s="115" t="s">
        <v>319</v>
      </c>
      <c r="AO11" s="115" t="s">
        <v>319</v>
      </c>
      <c r="AP11" s="115" t="s">
        <v>319</v>
      </c>
      <c r="AQ11" s="115" t="s">
        <v>319</v>
      </c>
      <c r="AR11" s="115" t="s">
        <v>319</v>
      </c>
      <c r="AS11" s="115" t="s">
        <v>319</v>
      </c>
      <c r="AT11" s="238"/>
      <c r="AU11" s="238"/>
      <c r="AV11" s="238"/>
      <c r="AW11" s="238"/>
      <c r="AX11" s="238"/>
      <c r="AY11" s="238"/>
      <c r="AZ11" s="238"/>
      <c r="BA11" s="238"/>
      <c r="BB11" s="241"/>
    </row>
    <row r="12" spans="1:54" ht="24" customHeight="1" x14ac:dyDescent="0.2">
      <c r="A12" s="126" t="str">
        <f>'AUTO CALCULATION SHEET (2)'!D19</f>
        <v>3 CORE X 400 SQ. MM. AL/ARM - STRIP (XLPE) - 33 KV</v>
      </c>
      <c r="B12" s="127"/>
      <c r="C12" s="128" t="s">
        <v>320</v>
      </c>
      <c r="D12" s="129">
        <v>45982</v>
      </c>
      <c r="E12" s="160">
        <v>288466.81</v>
      </c>
      <c r="F12" s="161">
        <v>1032675.25</v>
      </c>
      <c r="G12" s="158">
        <v>192963</v>
      </c>
      <c r="H12" s="158">
        <v>157825</v>
      </c>
      <c r="I12" s="159">
        <v>81250</v>
      </c>
      <c r="J12" s="130">
        <v>45958</v>
      </c>
      <c r="K12" s="158">
        <v>286282</v>
      </c>
      <c r="L12" s="158">
        <v>1039488</v>
      </c>
      <c r="M12" s="158">
        <v>191538</v>
      </c>
      <c r="N12" s="158">
        <v>159825</v>
      </c>
      <c r="O12" s="159">
        <v>81250</v>
      </c>
      <c r="P12" s="131">
        <v>3.3740000000000001</v>
      </c>
      <c r="Q12" s="132"/>
      <c r="R12" s="132">
        <v>3.2290000000000001</v>
      </c>
      <c r="S12" s="162">
        <f>5.736*0.63</f>
        <v>3.61368</v>
      </c>
      <c r="T12" s="132"/>
      <c r="U12" s="132">
        <v>1.8759999999999999</v>
      </c>
      <c r="V12" s="133">
        <v>0.16400000000000001</v>
      </c>
      <c r="W12" s="164">
        <f>'AUTO CALCULATION SHEET (2)'!E45*1000</f>
        <v>4233510</v>
      </c>
      <c r="X12" s="165">
        <f t="shared" ref="X12:AA16" si="0">(P12*(E12-K12))</f>
        <v>7371.5489399999924</v>
      </c>
      <c r="Y12" s="166">
        <f t="shared" si="0"/>
        <v>0</v>
      </c>
      <c r="Z12" s="158">
        <f t="shared" si="0"/>
        <v>4601.3249999999998</v>
      </c>
      <c r="AA12" s="158">
        <f t="shared" si="0"/>
        <v>-7227.36</v>
      </c>
      <c r="AB12" s="158">
        <f>(U12*(I12-O12))</f>
        <v>0</v>
      </c>
      <c r="AC12" s="167">
        <f>V12*(F12-L12)</f>
        <v>-1117.2909999999999</v>
      </c>
      <c r="AD12" s="164">
        <f>X12+Y12+Z12+AA12+AB12+AC12</f>
        <v>3628.2229399999924</v>
      </c>
      <c r="AE12" s="168">
        <f>+W12+AD12</f>
        <v>4237138.2229399998</v>
      </c>
      <c r="AF12" s="134">
        <f>'AUTO CALCULATION SHEET (2)'!N19</f>
        <v>3240</v>
      </c>
      <c r="AG12" s="135">
        <f>'AUTO CALCULATION SHEET (2)'!X19</f>
        <v>536</v>
      </c>
      <c r="AH12" s="135">
        <f>'AUTO CALCULATION SHEET (2)'!AG19</f>
        <v>506</v>
      </c>
      <c r="AI12" s="135">
        <f>'AUTO CALCULATION SHEET (2)'!AJ19</f>
        <v>2675</v>
      </c>
      <c r="AJ12" s="135">
        <f>'AUTO CALCULATION SHEET (2)'!AQ19</f>
        <v>0</v>
      </c>
      <c r="AK12" s="135">
        <f>'AUTO CALCULATION SHEET (2)'!AX19</f>
        <v>1547</v>
      </c>
      <c r="AL12" s="135">
        <f>'AUTO CALCULATION SHEET (2)'!BD19</f>
        <v>0</v>
      </c>
      <c r="AM12" s="135">
        <f>'AUTO CALCULATION SHEET (2)'!BG19</f>
        <v>1675</v>
      </c>
      <c r="AN12" s="135">
        <f>'AUTO CALCULATION SHEET (2)'!BR19</f>
        <v>1063</v>
      </c>
      <c r="AO12" s="135">
        <f>'AUTO CALCULATION SHEET (2)'!BT19</f>
        <v>0</v>
      </c>
      <c r="AP12" s="135">
        <f>'AUTO CALCULATION SHEET (2)'!BX19</f>
        <v>1660</v>
      </c>
      <c r="AQ12" s="135">
        <f>'AUTO CALCULATION SHEET (2)'!BZ19</f>
        <v>58</v>
      </c>
      <c r="AR12" s="135">
        <f>'AUTO CALCULATION SHEET (2)'!CA19</f>
        <v>108</v>
      </c>
      <c r="AS12" s="135">
        <f>'AUTO CALCULATION SHEET (2)'!CE19</f>
        <v>164</v>
      </c>
      <c r="AT12" s="136">
        <f>SUMPRODUCT(AF12:AS12,$AF$10:$AS$10)</f>
        <v>2753055</v>
      </c>
      <c r="AU12" s="137">
        <f>'AUTO CALCULATION SHEET (2)'!CK19</f>
        <v>132600</v>
      </c>
      <c r="AV12" s="136">
        <f>AT12+AU12</f>
        <v>2885655</v>
      </c>
      <c r="AW12" s="137">
        <f>AE12-AV12</f>
        <v>1351483.2229399998</v>
      </c>
      <c r="AX12" s="136">
        <f>ROUND((AW12/AV12)*100,2)</f>
        <v>46.83</v>
      </c>
      <c r="AY12" s="137">
        <v>0</v>
      </c>
      <c r="AZ12" s="137">
        <v>3</v>
      </c>
      <c r="BA12" s="137">
        <v>1</v>
      </c>
      <c r="BB12" s="138">
        <f>AX12-AY12-AZ12-BA12</f>
        <v>42.83</v>
      </c>
    </row>
    <row r="13" spans="1:54" ht="24" customHeight="1" x14ac:dyDescent="0.2">
      <c r="A13" s="126" t="str">
        <f>'AUTO CALCULATION SHEET (2)'!D20</f>
        <v>1 CORE X 630 SQ. MM. AL/ARM (XLPE)  - 33 KV</v>
      </c>
      <c r="B13" s="127">
        <v>2.5</v>
      </c>
      <c r="C13" s="128" t="s">
        <v>320</v>
      </c>
      <c r="D13" s="129">
        <v>45982</v>
      </c>
      <c r="E13" s="160">
        <v>288466.81</v>
      </c>
      <c r="F13" s="161">
        <v>1032675.25</v>
      </c>
      <c r="G13" s="158">
        <v>192963</v>
      </c>
      <c r="H13" s="158">
        <v>157825</v>
      </c>
      <c r="I13" s="159"/>
      <c r="J13" s="130">
        <v>45958</v>
      </c>
      <c r="K13" s="158">
        <v>286282</v>
      </c>
      <c r="L13" s="158">
        <v>1039488</v>
      </c>
      <c r="M13" s="158">
        <v>191538</v>
      </c>
      <c r="N13" s="158">
        <v>159825</v>
      </c>
      <c r="O13" s="159"/>
      <c r="P13" s="131">
        <v>2.9780000000000002</v>
      </c>
      <c r="Q13" s="132"/>
      <c r="R13" s="132">
        <v>1.2649999999999999</v>
      </c>
      <c r="S13" s="132">
        <v>1.1679999999999999</v>
      </c>
      <c r="T13" s="132"/>
      <c r="U13" s="132"/>
      <c r="V13" s="133">
        <v>6.3E-2</v>
      </c>
      <c r="W13" s="164">
        <f>'AUTO CALCULATION SHEET (2)'!E46*1000</f>
        <v>1999440</v>
      </c>
      <c r="X13" s="165">
        <f t="shared" si="0"/>
        <v>6506.3641799999932</v>
      </c>
      <c r="Y13" s="166">
        <f t="shared" si="0"/>
        <v>0</v>
      </c>
      <c r="Z13" s="158">
        <f t="shared" si="0"/>
        <v>1802.6249999999998</v>
      </c>
      <c r="AA13" s="158">
        <f t="shared" si="0"/>
        <v>-2336</v>
      </c>
      <c r="AB13" s="158">
        <f>(U13*(I13-O13))</f>
        <v>0</v>
      </c>
      <c r="AC13" s="167">
        <f>V13*(F13-L13)</f>
        <v>-429.20325000000003</v>
      </c>
      <c r="AD13" s="164">
        <f>X13+Y13+Z13+AA13+AB13+AC13</f>
        <v>5543.7859299999927</v>
      </c>
      <c r="AE13" s="168">
        <f>+W13+AD13</f>
        <v>2004983.78593</v>
      </c>
      <c r="AF13" s="134">
        <f>'AUTO CALCULATION SHEET (2)'!N20</f>
        <v>1701</v>
      </c>
      <c r="AG13" s="135">
        <f>'AUTO CALCULATION SHEET (2)'!X20</f>
        <v>204</v>
      </c>
      <c r="AH13" s="135">
        <f>'AUTO CALCULATION SHEET (2)'!AG20</f>
        <v>200</v>
      </c>
      <c r="AI13" s="135">
        <f>'AUTO CALCULATION SHEET (2)'!AJ20</f>
        <v>1056</v>
      </c>
      <c r="AJ13" s="135">
        <f>'AUTO CALCULATION SHEET (2)'!AQ20</f>
        <v>0</v>
      </c>
      <c r="AK13" s="135">
        <f>'AUTO CALCULATION SHEET (2)'!AX20</f>
        <v>215</v>
      </c>
      <c r="AL13" s="135">
        <f>'AUTO CALCULATION SHEET (2)'!BD20</f>
        <v>842</v>
      </c>
      <c r="AM13" s="135">
        <f>'AUTO CALCULATION SHEET (2)'!BG20</f>
        <v>0</v>
      </c>
      <c r="AN13" s="135">
        <f>'AUTO CALCULATION SHEET (2)'!BR20</f>
        <v>0</v>
      </c>
      <c r="AO13" s="135">
        <f>'AUTO CALCULATION SHEET (2)'!BT20</f>
        <v>765</v>
      </c>
      <c r="AP13" s="135">
        <f>'AUTO CALCULATION SHEET (2)'!BX20</f>
        <v>0</v>
      </c>
      <c r="AQ13" s="135">
        <f>'AUTO CALCULATION SHEET (2)'!BZ20</f>
        <v>26</v>
      </c>
      <c r="AR13" s="135">
        <f>'AUTO CALCULATION SHEET (2)'!CA20</f>
        <v>43</v>
      </c>
      <c r="AS13" s="135">
        <f>'AUTO CALCULATION SHEET (2)'!CE20</f>
        <v>50</v>
      </c>
      <c r="AT13" s="136">
        <f>SUMPRODUCT(AF13:AS13,$AF$10:$AS$10)</f>
        <v>1327072</v>
      </c>
      <c r="AU13" s="137">
        <f>'AUTO CALCULATION SHEET (2)'!CK20</f>
        <v>39000</v>
      </c>
      <c r="AV13" s="136">
        <f>AT13+AU13</f>
        <v>1366072</v>
      </c>
      <c r="AW13" s="137">
        <f>AE13-AV13</f>
        <v>638911.78593000001</v>
      </c>
      <c r="AX13" s="136">
        <f>ROUND((AW13/AV13)*100,2)</f>
        <v>46.77</v>
      </c>
      <c r="AY13" s="137">
        <v>0</v>
      </c>
      <c r="AZ13" s="137">
        <v>3</v>
      </c>
      <c r="BA13" s="137">
        <v>1</v>
      </c>
      <c r="BB13" s="138">
        <f>AX13-AY13-AZ13-BA13</f>
        <v>42.77</v>
      </c>
    </row>
    <row r="14" spans="1:54" ht="24" customHeight="1" x14ac:dyDescent="0.2">
      <c r="A14" s="126" t="str">
        <f>'AUTO CALCULATION SHEET (2)'!D21</f>
        <v>3 CORE X 400 SQ. MM. AL/ARM - STRIP (XLPE) - 11 KV</v>
      </c>
      <c r="B14" s="127"/>
      <c r="C14" s="128" t="s">
        <v>320</v>
      </c>
      <c r="D14" s="129">
        <v>45982</v>
      </c>
      <c r="E14" s="160">
        <v>288466.81</v>
      </c>
      <c r="F14" s="161">
        <v>1032675.25</v>
      </c>
      <c r="G14" s="158">
        <v>192963</v>
      </c>
      <c r="H14" s="158">
        <v>157825</v>
      </c>
      <c r="I14" s="159">
        <v>81250</v>
      </c>
      <c r="J14" s="130">
        <v>45958</v>
      </c>
      <c r="K14" s="158">
        <v>286282</v>
      </c>
      <c r="L14" s="158">
        <v>1039488</v>
      </c>
      <c r="M14" s="158">
        <v>191538</v>
      </c>
      <c r="N14" s="158">
        <v>159825</v>
      </c>
      <c r="O14" s="159">
        <v>81250</v>
      </c>
      <c r="P14" s="131">
        <v>3.3740000000000001</v>
      </c>
      <c r="Q14" s="132"/>
      <c r="R14" s="132">
        <v>1.3140000000000001</v>
      </c>
      <c r="S14" s="162">
        <f>3.664*0.63</f>
        <v>2.3083200000000001</v>
      </c>
      <c r="T14" s="132"/>
      <c r="U14" s="132">
        <v>1.4350000000000001</v>
      </c>
      <c r="V14" s="133">
        <v>0.124</v>
      </c>
      <c r="W14" s="164">
        <f>'AUTO CALCULATION SHEET (2)'!E47*1000</f>
        <v>3158430.0000000005</v>
      </c>
      <c r="X14" s="165">
        <f t="shared" si="0"/>
        <v>7371.5489399999924</v>
      </c>
      <c r="Y14" s="166">
        <f t="shared" si="0"/>
        <v>0</v>
      </c>
      <c r="Z14" s="158">
        <f t="shared" si="0"/>
        <v>1872.45</v>
      </c>
      <c r="AA14" s="158">
        <f t="shared" si="0"/>
        <v>-4616.6400000000003</v>
      </c>
      <c r="AB14" s="158">
        <f>(U14*(I14-O14))</f>
        <v>0</v>
      </c>
      <c r="AC14" s="167">
        <f>V14*(F14-L14)</f>
        <v>-844.78099999999995</v>
      </c>
      <c r="AD14" s="164">
        <f>X14+Y14+Z14+AA14+AB14+AC14</f>
        <v>3782.5779399999919</v>
      </c>
      <c r="AE14" s="168">
        <f>+W14+AD14</f>
        <v>3162212.5779400007</v>
      </c>
      <c r="AF14" s="134">
        <f>'AUTO CALCULATION SHEET (2)'!N21</f>
        <v>3240</v>
      </c>
      <c r="AG14" s="135">
        <f>'AUTO CALCULATION SHEET (2)'!X21</f>
        <v>410</v>
      </c>
      <c r="AH14" s="135">
        <f>'AUTO CALCULATION SHEET (2)'!AG21</f>
        <v>430</v>
      </c>
      <c r="AI14" s="135">
        <f>'AUTO CALCULATION SHEET (2)'!AJ21</f>
        <v>930</v>
      </c>
      <c r="AJ14" s="135">
        <f>'AUTO CALCULATION SHEET (2)'!AQ21</f>
        <v>0</v>
      </c>
      <c r="AK14" s="135">
        <f>'AUTO CALCULATION SHEET (2)'!AX21</f>
        <v>975</v>
      </c>
      <c r="AL14" s="135">
        <f>'AUTO CALCULATION SHEET (2)'!BD21</f>
        <v>0</v>
      </c>
      <c r="AM14" s="135">
        <f>'AUTO CALCULATION SHEET (2)'!BG21</f>
        <v>1325</v>
      </c>
      <c r="AN14" s="135">
        <f>'AUTO CALCULATION SHEET (2)'!BR21</f>
        <v>790</v>
      </c>
      <c r="AO14" s="135">
        <f>'AUTO CALCULATION SHEET (2)'!BT21</f>
        <v>0</v>
      </c>
      <c r="AP14" s="135">
        <f>'AUTO CALCULATION SHEET (2)'!BX21</f>
        <v>980</v>
      </c>
      <c r="AQ14" s="135">
        <f>'AUTO CALCULATION SHEET (2)'!BZ21</f>
        <v>58</v>
      </c>
      <c r="AR14" s="135">
        <f>'AUTO CALCULATION SHEET (2)'!CA21</f>
        <v>91</v>
      </c>
      <c r="AS14" s="135">
        <f>'AUTO CALCULATION SHEET (2)'!CE21</f>
        <v>128</v>
      </c>
      <c r="AT14" s="136">
        <f>SUMPRODUCT(AF14:AS14,$AF$10:$AS$10)</f>
        <v>2064645</v>
      </c>
      <c r="AU14" s="137">
        <f>'AUTO CALCULATION SHEET (2)'!CK21</f>
        <v>86666.666666666672</v>
      </c>
      <c r="AV14" s="136">
        <f>AT14+AU14</f>
        <v>2151311.6666666665</v>
      </c>
      <c r="AW14" s="137">
        <f>AE14-AV14</f>
        <v>1010900.9112733342</v>
      </c>
      <c r="AX14" s="136">
        <f>ROUND((AW14/AV14)*100,2)</f>
        <v>46.99</v>
      </c>
      <c r="AY14" s="137">
        <v>0</v>
      </c>
      <c r="AZ14" s="137">
        <v>3</v>
      </c>
      <c r="BA14" s="137">
        <v>1</v>
      </c>
      <c r="BB14" s="138">
        <f>AX14-AY14-AZ14-BA14</f>
        <v>42.99</v>
      </c>
    </row>
    <row r="15" spans="1:54" ht="24" customHeight="1" x14ac:dyDescent="0.2">
      <c r="A15" s="126" t="str">
        <f>'AUTO CALCULATION SHEET (2)'!D22</f>
        <v>1 CORE X 1000 SQ. MM. AL/ARM (XLPE) - 11 KV</v>
      </c>
      <c r="B15" s="127">
        <v>2.5</v>
      </c>
      <c r="C15" s="128" t="s">
        <v>320</v>
      </c>
      <c r="D15" s="129">
        <v>45982</v>
      </c>
      <c r="E15" s="160">
        <v>288466.81</v>
      </c>
      <c r="F15" s="161">
        <v>1032675.25</v>
      </c>
      <c r="G15" s="158">
        <v>192963</v>
      </c>
      <c r="H15" s="158">
        <v>157825</v>
      </c>
      <c r="I15" s="159"/>
      <c r="J15" s="130">
        <v>45958</v>
      </c>
      <c r="K15" s="158">
        <v>286282</v>
      </c>
      <c r="L15" s="158">
        <v>1039488</v>
      </c>
      <c r="M15" s="158">
        <v>191538</v>
      </c>
      <c r="N15" s="158">
        <v>159825</v>
      </c>
      <c r="O15" s="159"/>
      <c r="P15" s="131">
        <v>3.7490000000000001</v>
      </c>
      <c r="Q15" s="132"/>
      <c r="R15" s="132">
        <v>0.66</v>
      </c>
      <c r="S15" s="132">
        <v>1.0349999999999999</v>
      </c>
      <c r="T15" s="132"/>
      <c r="U15" s="132"/>
      <c r="V15" s="133">
        <v>5.8000000000000003E-2</v>
      </c>
      <c r="W15" s="164">
        <f>'AUTO CALCULATION SHEET (2)'!E48*1000</f>
        <v>2262260</v>
      </c>
      <c r="X15" s="165">
        <f t="shared" si="0"/>
        <v>8190.8526899999915</v>
      </c>
      <c r="Y15" s="166">
        <f t="shared" si="0"/>
        <v>0</v>
      </c>
      <c r="Z15" s="158">
        <f t="shared" si="0"/>
        <v>940.5</v>
      </c>
      <c r="AA15" s="158">
        <f t="shared" si="0"/>
        <v>-2070</v>
      </c>
      <c r="AB15" s="158">
        <f>(U15*(I15-O15))</f>
        <v>0</v>
      </c>
      <c r="AC15" s="167">
        <f>V15*(F15-L15)</f>
        <v>-395.1395</v>
      </c>
      <c r="AD15" s="164">
        <f>X15+Y15+Z15+AA15+AB15+AC15</f>
        <v>6666.2131899999922</v>
      </c>
      <c r="AE15" s="168">
        <f>+W15+AD15</f>
        <v>2268926.21319</v>
      </c>
      <c r="AF15" s="134">
        <f>'AUTO CALCULATION SHEET (2)'!N22</f>
        <v>2732</v>
      </c>
      <c r="AG15" s="135">
        <f>'AUTO CALCULATION SHEET (2)'!X22</f>
        <v>199</v>
      </c>
      <c r="AH15" s="135">
        <f>'AUTO CALCULATION SHEET (2)'!AG22</f>
        <v>236</v>
      </c>
      <c r="AI15" s="135">
        <f>'AUTO CALCULATION SHEET (2)'!AJ22</f>
        <v>480</v>
      </c>
      <c r="AJ15" s="135">
        <f>'AUTO CALCULATION SHEET (2)'!AQ22</f>
        <v>15</v>
      </c>
      <c r="AK15" s="135">
        <f>'AUTO CALCULATION SHEET (2)'!AX22</f>
        <v>205</v>
      </c>
      <c r="AL15" s="135">
        <f>'AUTO CALCULATION SHEET (2)'!BD22</f>
        <v>814</v>
      </c>
      <c r="AM15" s="135">
        <f>'AUTO CALCULATION SHEET (2)'!BG22</f>
        <v>0</v>
      </c>
      <c r="AN15" s="135">
        <f>'AUTO CALCULATION SHEET (2)'!BR22</f>
        <v>0</v>
      </c>
      <c r="AO15" s="135">
        <f>'AUTO CALCULATION SHEET (2)'!BT22</f>
        <v>706</v>
      </c>
      <c r="AP15" s="135">
        <f>'AUTO CALCULATION SHEET (2)'!BX22</f>
        <v>0</v>
      </c>
      <c r="AQ15" s="135">
        <f>'AUTO CALCULATION SHEET (2)'!BZ22</f>
        <v>39</v>
      </c>
      <c r="AR15" s="135">
        <f>'AUTO CALCULATION SHEET (2)'!CA22</f>
        <v>65</v>
      </c>
      <c r="AS15" s="135">
        <f>'AUTO CALCULATION SHEET (2)'!CE22</f>
        <v>48</v>
      </c>
      <c r="AT15" s="136">
        <f>SUMPRODUCT(AF15:AS15,$AF$10:$AS$10)</f>
        <v>1498007</v>
      </c>
      <c r="AU15" s="137">
        <f>'AUTO CALCULATION SHEET (2)'!CK22</f>
        <v>45500</v>
      </c>
      <c r="AV15" s="136">
        <f>AT15+AU15</f>
        <v>1543507</v>
      </c>
      <c r="AW15" s="137">
        <f>AE15-AV15</f>
        <v>725419.21319000004</v>
      </c>
      <c r="AX15" s="136">
        <f>ROUND((AW15/AV15)*100,2)</f>
        <v>47</v>
      </c>
      <c r="AY15" s="137">
        <v>0</v>
      </c>
      <c r="AZ15" s="137">
        <v>3</v>
      </c>
      <c r="BA15" s="137">
        <v>1</v>
      </c>
      <c r="BB15" s="138">
        <f>AX15-AY15-AZ15-BA15</f>
        <v>43</v>
      </c>
    </row>
    <row r="16" spans="1:54" ht="24" customHeight="1" x14ac:dyDescent="0.2">
      <c r="A16" s="126" t="str">
        <f>'AUTO CALCULATION SHEET (2)'!D23</f>
        <v>3 CORE X 150 SQ. MM. AL/ARM - STRIP (XLPE) - 11 KV</v>
      </c>
      <c r="B16" s="127"/>
      <c r="C16" s="128" t="s">
        <v>320</v>
      </c>
      <c r="D16" s="129">
        <v>45982</v>
      </c>
      <c r="E16" s="160">
        <v>288466.81</v>
      </c>
      <c r="F16" s="161">
        <v>1032675.25</v>
      </c>
      <c r="G16" s="158">
        <v>192963</v>
      </c>
      <c r="H16" s="158">
        <v>157825</v>
      </c>
      <c r="I16" s="159">
        <v>81250</v>
      </c>
      <c r="J16" s="130">
        <v>45958</v>
      </c>
      <c r="K16" s="158">
        <v>286282</v>
      </c>
      <c r="L16" s="158">
        <v>1039488</v>
      </c>
      <c r="M16" s="158">
        <v>191538</v>
      </c>
      <c r="N16" s="158">
        <v>159825</v>
      </c>
      <c r="O16" s="159">
        <v>81250</v>
      </c>
      <c r="P16" s="131">
        <v>1.2789999999999999</v>
      </c>
      <c r="Q16" s="132"/>
      <c r="R16" s="132">
        <v>0.89</v>
      </c>
      <c r="S16" s="132">
        <v>2.0609999999999999</v>
      </c>
      <c r="T16" s="132"/>
      <c r="U16" s="132">
        <v>1.0549999999999999</v>
      </c>
      <c r="V16" s="133">
        <v>8.7999999999999995E-2</v>
      </c>
      <c r="W16" s="164">
        <f>'AUTO CALCULATION SHEET (2)'!E49*1000</f>
        <v>1743170</v>
      </c>
      <c r="X16" s="165">
        <f t="shared" si="0"/>
        <v>2794.3719899999969</v>
      </c>
      <c r="Y16" s="166">
        <f t="shared" si="0"/>
        <v>0</v>
      </c>
      <c r="Z16" s="158">
        <f t="shared" si="0"/>
        <v>1268.25</v>
      </c>
      <c r="AA16" s="158">
        <f t="shared" si="0"/>
        <v>-4122</v>
      </c>
      <c r="AB16" s="158">
        <f>(U16*(I16-O16))</f>
        <v>0</v>
      </c>
      <c r="AC16" s="167">
        <f>V16*(F16-L16)</f>
        <v>-599.52199999999993</v>
      </c>
      <c r="AD16" s="164">
        <f>X16+Y16+Z16+AA16+AB16+AC16</f>
        <v>-658.90001000000302</v>
      </c>
      <c r="AE16" s="168">
        <f>+W16+AD16</f>
        <v>1742511.09999</v>
      </c>
      <c r="AF16" s="134">
        <f>'AUTO CALCULATION SHEET (2)'!N23</f>
        <v>1215</v>
      </c>
      <c r="AG16" s="135">
        <f>'AUTO CALCULATION SHEET (2)'!X23</f>
        <v>303</v>
      </c>
      <c r="AH16" s="135">
        <f>'AUTO CALCULATION SHEET (2)'!AG23</f>
        <v>296</v>
      </c>
      <c r="AI16" s="135">
        <f>'AUTO CALCULATION SHEET (2)'!AJ23</f>
        <v>642</v>
      </c>
      <c r="AJ16" s="135">
        <f>'AUTO CALCULATION SHEET (2)'!AQ23</f>
        <v>0</v>
      </c>
      <c r="AK16" s="135">
        <f>'AUTO CALCULATION SHEET (2)'!AX23</f>
        <v>574</v>
      </c>
      <c r="AL16" s="135">
        <f>'AUTO CALCULATION SHEET (2)'!BD23</f>
        <v>0</v>
      </c>
      <c r="AM16" s="135">
        <f>'AUTO CALCULATION SHEET (2)'!BG23</f>
        <v>975</v>
      </c>
      <c r="AN16" s="135">
        <f>'AUTO CALCULATION SHEET (2)'!BR23</f>
        <v>0</v>
      </c>
      <c r="AO16" s="135">
        <f>'AUTO CALCULATION SHEET (2)'!BT23</f>
        <v>725</v>
      </c>
      <c r="AP16" s="135">
        <f>'AUTO CALCULATION SHEET (2)'!BX23</f>
        <v>538</v>
      </c>
      <c r="AQ16" s="135">
        <f>'AUTO CALCULATION SHEET (2)'!BZ23</f>
        <v>18</v>
      </c>
      <c r="AR16" s="135">
        <f>'AUTO CALCULATION SHEET (2)'!CA23</f>
        <v>64</v>
      </c>
      <c r="AS16" s="135">
        <f>'AUTO CALCULATION SHEET (2)'!CE23</f>
        <v>95</v>
      </c>
      <c r="AT16" s="136">
        <f>SUMPRODUCT(AF16:AS16,$AF$10:$AS$10)</f>
        <v>1138649</v>
      </c>
      <c r="AU16" s="137">
        <f>'AUTO CALCULATION SHEET (2)'!CK23</f>
        <v>54166.666666666672</v>
      </c>
      <c r="AV16" s="136">
        <f t="shared" ref="AV16" si="1">AT16+AU16</f>
        <v>1192815.6666666667</v>
      </c>
      <c r="AW16" s="137">
        <f>AE16-AV16</f>
        <v>549695.43332333327</v>
      </c>
      <c r="AX16" s="136">
        <f t="shared" ref="AX16" si="2">ROUND((AW16/AV16)*100,2)</f>
        <v>46.08</v>
      </c>
      <c r="AY16" s="137">
        <v>0</v>
      </c>
      <c r="AZ16" s="137">
        <v>3</v>
      </c>
      <c r="BA16" s="137">
        <v>1</v>
      </c>
      <c r="BB16" s="138">
        <f t="shared" ref="BB16" si="3">AX16-AY16-AZ16-BA16</f>
        <v>42.08</v>
      </c>
    </row>
    <row r="17" spans="1:54" s="154" customFormat="1" ht="31.5" customHeight="1" thickBot="1" x14ac:dyDescent="0.25">
      <c r="A17" s="139"/>
      <c r="B17" s="139"/>
      <c r="C17" s="140"/>
      <c r="D17" s="141"/>
      <c r="E17" s="142"/>
      <c r="F17" s="142"/>
      <c r="G17" s="142"/>
      <c r="H17" s="142"/>
      <c r="I17" s="143"/>
      <c r="J17" s="144"/>
      <c r="K17" s="145"/>
      <c r="L17" s="145"/>
      <c r="M17" s="145"/>
      <c r="N17" s="145"/>
      <c r="O17" s="146"/>
      <c r="P17" s="144"/>
      <c r="Q17" s="142"/>
      <c r="R17" s="142"/>
      <c r="S17" s="142"/>
      <c r="T17" s="142"/>
      <c r="U17" s="142"/>
      <c r="V17" s="143"/>
      <c r="W17" s="147"/>
      <c r="X17" s="148"/>
      <c r="Y17" s="149"/>
      <c r="Z17" s="149"/>
      <c r="AA17" s="149"/>
      <c r="AB17" s="149"/>
      <c r="AC17" s="150"/>
      <c r="AD17" s="151"/>
      <c r="AE17" s="147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3"/>
    </row>
    <row r="18" spans="1:54" s="154" customFormat="1" x14ac:dyDescent="0.2">
      <c r="A18" s="102"/>
      <c r="B18" s="102"/>
      <c r="C18" s="102"/>
      <c r="D18" s="102"/>
      <c r="E18" s="155"/>
      <c r="F18" s="155"/>
      <c r="G18" s="102"/>
      <c r="H18" s="102"/>
      <c r="I18" s="102"/>
      <c r="J18" s="102"/>
      <c r="K18" s="102"/>
      <c r="L18" s="102"/>
      <c r="M18" s="102"/>
    </row>
    <row r="20" spans="1:54" x14ac:dyDescent="0.2">
      <c r="J20" s="156"/>
    </row>
    <row r="21" spans="1:54" x14ac:dyDescent="0.2">
      <c r="J21" s="156"/>
    </row>
  </sheetData>
  <mergeCells count="41">
    <mergeCell ref="AZ9:AZ11"/>
    <mergeCell ref="BA9:BA11"/>
    <mergeCell ref="BB9:BB11"/>
    <mergeCell ref="AT9:AT11"/>
    <mergeCell ref="AU9:AU11"/>
    <mergeCell ref="AV9:AV11"/>
    <mergeCell ref="AW9:AW11"/>
    <mergeCell ref="AX9:AX11"/>
    <mergeCell ref="AY9:AY11"/>
    <mergeCell ref="AB8:AB10"/>
    <mergeCell ref="AC8:AC10"/>
    <mergeCell ref="AD8:AD10"/>
    <mergeCell ref="AE8:AE10"/>
    <mergeCell ref="Z8:Z10"/>
    <mergeCell ref="AA8:AA10"/>
    <mergeCell ref="E9:E10"/>
    <mergeCell ref="F9:F10"/>
    <mergeCell ref="G9:G10"/>
    <mergeCell ref="H9:H10"/>
    <mergeCell ref="O9:O10"/>
    <mergeCell ref="J9:J10"/>
    <mergeCell ref="K9:K10"/>
    <mergeCell ref="L9:L10"/>
    <mergeCell ref="M9:M10"/>
    <mergeCell ref="N9:N10"/>
    <mergeCell ref="B1:M1"/>
    <mergeCell ref="A2:M2"/>
    <mergeCell ref="A3:M4"/>
    <mergeCell ref="AD5:AE5"/>
    <mergeCell ref="AF7:BB8"/>
    <mergeCell ref="A8:A10"/>
    <mergeCell ref="B8:B10"/>
    <mergeCell ref="C8:C10"/>
    <mergeCell ref="D8:I8"/>
    <mergeCell ref="J8:O8"/>
    <mergeCell ref="I9:I10"/>
    <mergeCell ref="P8:V9"/>
    <mergeCell ref="W8:W10"/>
    <mergeCell ref="X8:X10"/>
    <mergeCell ref="Y8:Y10"/>
    <mergeCell ref="D9:D10"/>
  </mergeCells>
  <pageMargins left="0.17" right="0.17" top="4.3499999999999996" bottom="0.75" header="0.3" footer="0.3"/>
  <pageSetup paperSize="9" scale="2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98</v>
      </c>
    </row>
    <row r="2" spans="1:1" x14ac:dyDescent="0.25">
      <c r="A2" t="s">
        <v>99</v>
      </c>
    </row>
    <row r="4" spans="1:1" x14ac:dyDescent="0.25">
      <c r="A4" t="s">
        <v>100</v>
      </c>
    </row>
    <row r="5" spans="1:1" x14ac:dyDescent="0.25">
      <c r="A5" t="s">
        <v>101</v>
      </c>
    </row>
    <row r="6" spans="1:1" x14ac:dyDescent="0.25">
      <c r="A6" t="s">
        <v>102</v>
      </c>
    </row>
    <row r="8" spans="1:1" x14ac:dyDescent="0.25">
      <c r="A8" t="s">
        <v>108</v>
      </c>
    </row>
    <row r="9" spans="1:1" x14ac:dyDescent="0.25">
      <c r="A9" t="s">
        <v>103</v>
      </c>
    </row>
    <row r="10" spans="1:1" x14ac:dyDescent="0.25">
      <c r="A10" t="s">
        <v>104</v>
      </c>
    </row>
    <row r="11" spans="1:1" x14ac:dyDescent="0.25">
      <c r="A11" t="s">
        <v>105</v>
      </c>
    </row>
    <row r="12" spans="1:1" x14ac:dyDescent="0.25">
      <c r="A12" t="s">
        <v>106</v>
      </c>
    </row>
    <row r="13" spans="1:1" x14ac:dyDescent="0.25">
      <c r="A13" t="s">
        <v>107</v>
      </c>
    </row>
    <row r="14" spans="1:1" x14ac:dyDescent="0.25">
      <c r="A14" t="s">
        <v>109</v>
      </c>
    </row>
    <row r="15" spans="1:1" x14ac:dyDescent="0.25">
      <c r="A15" t="s">
        <v>110</v>
      </c>
    </row>
    <row r="16" spans="1:1" x14ac:dyDescent="0.25">
      <c r="A16" t="s">
        <v>111</v>
      </c>
    </row>
    <row r="17" spans="1:1" x14ac:dyDescent="0.25">
      <c r="A17" t="s">
        <v>112</v>
      </c>
    </row>
    <row r="18" spans="1:1" x14ac:dyDescent="0.25">
      <c r="A18" t="s">
        <v>113</v>
      </c>
    </row>
    <row r="19" spans="1:1" x14ac:dyDescent="0.25">
      <c r="A19" t="s">
        <v>119</v>
      </c>
    </row>
    <row r="20" spans="1:1" ht="15.75" customHeight="1" x14ac:dyDescent="0.25">
      <c r="A20" t="s">
        <v>120</v>
      </c>
    </row>
    <row r="21" spans="1:1" ht="15.75" customHeight="1" x14ac:dyDescent="0.25"/>
    <row r="22" spans="1:1" x14ac:dyDescent="0.25">
      <c r="A22" t="s">
        <v>114</v>
      </c>
    </row>
    <row r="23" spans="1:1" x14ac:dyDescent="0.25">
      <c r="A23" t="s">
        <v>115</v>
      </c>
    </row>
    <row r="25" spans="1:1" x14ac:dyDescent="0.25">
      <c r="A25" t="s">
        <v>116</v>
      </c>
    </row>
    <row r="26" spans="1:1" x14ac:dyDescent="0.25">
      <c r="A26" t="s">
        <v>117</v>
      </c>
    </row>
    <row r="27" spans="1:1" x14ac:dyDescent="0.25">
      <c r="A27" t="s">
        <v>118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AUTO CALCULATION SHEET (2)</vt:lpstr>
      <vt:lpstr>PV AUTO CALCULATION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2025-11-27T10:40:36Z</dcterms:modified>
</cp:coreProperties>
</file>