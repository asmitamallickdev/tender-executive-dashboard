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24226"/>
  <mc:AlternateContent xmlns:mc="http://schemas.openxmlformats.org/markup-compatibility/2006">
    <mc:Choice Requires="x15">
      <x15ac:absPath xmlns:x15ac="http://schemas.microsoft.com/office/spreadsheetml/2010/11/ac" url="E:\working\2024-25\02_FEBRUARY 2025\TPCODL-1767-HTCABLE-15138\"/>
    </mc:Choice>
  </mc:AlternateContent>
  <xr:revisionPtr revIDLastSave="0" documentId="13_ncr:1_{801C2AE7-937F-4AD9-8F90-805CB9D9AC31}" xr6:coauthVersionLast="47" xr6:coauthVersionMax="47" xr10:uidLastSave="{00000000-0000-0000-0000-000000000000}"/>
  <bookViews>
    <workbookView xWindow="-120" yWindow="-120" windowWidth="29040" windowHeight="15840" firstSheet="1" activeTab="1" xr2:uid="{00000000-000D-0000-FFFF-FFFF00000000}"/>
  </bookViews>
  <sheets>
    <sheet name="Sheet1" sheetId="1" state="hidden" r:id="rId1"/>
    <sheet name="AUTO CALCULATION SHEET (2)" sheetId="4" r:id="rId2"/>
    <sheet name="PV IS" sheetId="5" r:id="rId3"/>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89" i="4" l="1"/>
  <c r="J88" i="4"/>
  <c r="J87" i="4"/>
  <c r="J84" i="4"/>
  <c r="J83" i="4"/>
  <c r="J82" i="4"/>
  <c r="J79" i="4"/>
  <c r="J78" i="4"/>
  <c r="J77" i="4"/>
  <c r="J76" i="4"/>
  <c r="J75" i="4"/>
  <c r="J74" i="4"/>
  <c r="J73" i="4"/>
  <c r="J72" i="4"/>
  <c r="J71" i="4"/>
  <c r="J70" i="4"/>
  <c r="J69" i="4"/>
  <c r="I89" i="4"/>
  <c r="I88" i="4"/>
  <c r="I87" i="4"/>
  <c r="I84" i="4"/>
  <c r="I83" i="4"/>
  <c r="I82" i="4"/>
  <c r="I79" i="4"/>
  <c r="I78" i="4"/>
  <c r="I77" i="4"/>
  <c r="I76" i="4"/>
  <c r="I75" i="4"/>
  <c r="I74" i="4"/>
  <c r="I73" i="4"/>
  <c r="I72" i="4"/>
  <c r="I71" i="4"/>
  <c r="I70" i="4"/>
  <c r="I69" i="4"/>
  <c r="BZ26" i="4" l="1"/>
  <c r="BZ25" i="4"/>
  <c r="BZ33" i="4"/>
  <c r="BZ19" i="4"/>
  <c r="BZ20" i="4"/>
  <c r="B52" i="4"/>
  <c r="E39" i="4"/>
  <c r="E38" i="4"/>
  <c r="E37" i="4"/>
  <c r="E36" i="4"/>
  <c r="E35" i="4"/>
  <c r="E34" i="4"/>
  <c r="E32" i="4"/>
  <c r="E31" i="4"/>
  <c r="E30" i="4"/>
  <c r="E29" i="4"/>
  <c r="E28" i="4"/>
  <c r="E27" i="4"/>
  <c r="E24" i="4"/>
  <c r="E23" i="4"/>
  <c r="E22" i="4"/>
  <c r="E21" i="4"/>
  <c r="CH39" i="4"/>
  <c r="CH38" i="4"/>
  <c r="CH37" i="4"/>
  <c r="CH36" i="4"/>
  <c r="CH35" i="4"/>
  <c r="CH34" i="4"/>
  <c r="CH32" i="4"/>
  <c r="CH31" i="4"/>
  <c r="CH30" i="4"/>
  <c r="CH29" i="4"/>
  <c r="CH28" i="4"/>
  <c r="CH27" i="4"/>
  <c r="CH24" i="4"/>
  <c r="CH23" i="4"/>
  <c r="CH22" i="4"/>
  <c r="CH21" i="4"/>
  <c r="CJ27" i="4"/>
  <c r="CJ24" i="4"/>
  <c r="CJ23" i="4"/>
  <c r="CJ22" i="4"/>
  <c r="CJ21" i="4"/>
  <c r="CE39" i="4"/>
  <c r="CE38" i="4"/>
  <c r="CE37" i="4"/>
  <c r="CE36" i="4"/>
  <c r="CE35" i="4"/>
  <c r="CE34" i="4"/>
  <c r="CE32" i="4"/>
  <c r="CE31" i="4"/>
  <c r="CE30" i="4"/>
  <c r="CE29" i="4"/>
  <c r="CE28" i="4"/>
  <c r="CE27" i="4"/>
  <c r="CE24" i="4"/>
  <c r="CE23" i="4"/>
  <c r="CE22" i="4"/>
  <c r="CE21" i="4"/>
  <c r="CC39" i="4"/>
  <c r="CC38" i="4"/>
  <c r="CC37" i="4"/>
  <c r="CC36" i="4"/>
  <c r="CC35" i="4"/>
  <c r="CC34" i="4"/>
  <c r="CC32" i="4"/>
  <c r="CC31" i="4"/>
  <c r="CC30" i="4"/>
  <c r="CC29" i="4"/>
  <c r="CC28" i="4"/>
  <c r="CC27" i="4"/>
  <c r="CC24" i="4"/>
  <c r="CC23" i="4"/>
  <c r="CC22" i="4"/>
  <c r="CC21" i="4"/>
  <c r="CA39" i="4"/>
  <c r="CA38" i="4"/>
  <c r="CA37" i="4"/>
  <c r="CA36" i="4"/>
  <c r="CA35" i="4"/>
  <c r="CA34" i="4"/>
  <c r="CA33" i="4"/>
  <c r="CC33" i="4" s="1"/>
  <c r="CA32" i="4"/>
  <c r="CA31" i="4"/>
  <c r="CA30" i="4"/>
  <c r="CA29" i="4"/>
  <c r="CA28" i="4"/>
  <c r="CA27" i="4"/>
  <c r="CA26" i="4"/>
  <c r="CE26" i="4" s="1"/>
  <c r="CA25" i="4"/>
  <c r="CA24" i="4"/>
  <c r="CA23" i="4"/>
  <c r="CA22" i="4"/>
  <c r="CA21" i="4"/>
  <c r="CA20" i="4"/>
  <c r="CA19" i="4"/>
  <c r="AA39" i="5"/>
  <c r="AA37" i="5"/>
  <c r="AA36" i="5"/>
  <c r="AA35" i="5"/>
  <c r="AA34" i="5"/>
  <c r="AA33" i="5"/>
  <c r="AA32" i="5"/>
  <c r="AA31" i="5"/>
  <c r="AA29" i="5"/>
  <c r="AA27" i="5"/>
  <c r="AA26" i="5"/>
  <c r="AA25" i="5"/>
  <c r="AA24" i="5"/>
  <c r="AA23" i="5"/>
  <c r="AA22" i="5"/>
  <c r="AA21" i="5"/>
  <c r="AA20" i="5"/>
  <c r="AA19" i="5"/>
  <c r="Z39" i="5"/>
  <c r="Z38" i="5"/>
  <c r="Z37" i="5"/>
  <c r="Z36" i="5"/>
  <c r="Z35" i="5"/>
  <c r="Z34" i="5"/>
  <c r="Z33" i="5"/>
  <c r="Z32" i="5"/>
  <c r="Z31" i="5"/>
  <c r="Z30" i="5"/>
  <c r="Z29" i="5"/>
  <c r="Z28" i="5"/>
  <c r="Z27" i="5"/>
  <c r="Z26" i="5"/>
  <c r="Z25" i="5"/>
  <c r="Z24" i="5"/>
  <c r="Z23" i="5"/>
  <c r="Z22" i="5"/>
  <c r="Z21" i="5"/>
  <c r="Z20" i="5"/>
  <c r="Z19" i="5"/>
  <c r="Y39" i="5"/>
  <c r="Y38" i="5"/>
  <c r="Y37" i="5"/>
  <c r="Y36" i="5"/>
  <c r="Y35" i="5"/>
  <c r="Y34" i="5"/>
  <c r="Y33" i="5"/>
  <c r="Y32" i="5"/>
  <c r="Y31" i="5"/>
  <c r="Y30" i="5"/>
  <c r="Y29" i="5"/>
  <c r="Y28" i="5"/>
  <c r="Y27" i="5"/>
  <c r="Y26" i="5"/>
  <c r="Y25" i="5"/>
  <c r="Y24" i="5"/>
  <c r="Y23" i="5"/>
  <c r="Y22" i="5"/>
  <c r="Y21" i="5"/>
  <c r="Y20" i="5"/>
  <c r="Y19" i="5"/>
  <c r="X39" i="5"/>
  <c r="X38" i="5"/>
  <c r="X37" i="5"/>
  <c r="X36" i="5"/>
  <c r="X35" i="5"/>
  <c r="X34" i="5"/>
  <c r="X33" i="5"/>
  <c r="X32" i="5"/>
  <c r="X31" i="5"/>
  <c r="X30" i="5"/>
  <c r="X29" i="5"/>
  <c r="X28" i="5"/>
  <c r="X27" i="5"/>
  <c r="X26" i="5"/>
  <c r="X25" i="5"/>
  <c r="X24" i="5"/>
  <c r="X23" i="5"/>
  <c r="X22" i="5"/>
  <c r="X21" i="5"/>
  <c r="X20" i="5"/>
  <c r="X19" i="5"/>
  <c r="W39" i="5"/>
  <c r="W38" i="5"/>
  <c r="W37" i="5"/>
  <c r="W36" i="5"/>
  <c r="W35" i="5"/>
  <c r="W34" i="5"/>
  <c r="W33" i="5"/>
  <c r="W32" i="5"/>
  <c r="W31" i="5"/>
  <c r="W30" i="5"/>
  <c r="W29" i="5"/>
  <c r="W28" i="5"/>
  <c r="W27" i="5"/>
  <c r="W26" i="5"/>
  <c r="W25" i="5"/>
  <c r="W24" i="5"/>
  <c r="W22" i="5"/>
  <c r="W21" i="5"/>
  <c r="W20" i="5"/>
  <c r="W19" i="5"/>
  <c r="V39" i="5"/>
  <c r="V38" i="5"/>
  <c r="V37" i="5"/>
  <c r="V36" i="5"/>
  <c r="V35" i="5"/>
  <c r="V34" i="5"/>
  <c r="V33" i="5"/>
  <c r="V32" i="5"/>
  <c r="V30" i="5"/>
  <c r="V29" i="5"/>
  <c r="V28" i="5"/>
  <c r="V27" i="5"/>
  <c r="V26" i="5"/>
  <c r="V25" i="5"/>
  <c r="V24" i="5"/>
  <c r="V23" i="5"/>
  <c r="V22" i="5"/>
  <c r="V21" i="5"/>
  <c r="V20" i="5"/>
  <c r="V19" i="5"/>
  <c r="CC26" i="4" l="1"/>
  <c r="CC25" i="4"/>
  <c r="CE25" i="4"/>
  <c r="CE33" i="4"/>
  <c r="CC19" i="4"/>
  <c r="CE19" i="4"/>
  <c r="CC20" i="4"/>
  <c r="CE20" i="4"/>
  <c r="BZ39" i="4"/>
  <c r="BZ38" i="4"/>
  <c r="BZ37" i="4"/>
  <c r="BZ35" i="4"/>
  <c r="BZ31" i="4"/>
  <c r="BZ30" i="4"/>
  <c r="BZ34" i="4"/>
  <c r="BZ32" i="4"/>
  <c r="BZ36" i="4"/>
  <c r="BZ29" i="4"/>
  <c r="BZ28" i="4"/>
  <c r="BZ27" i="4"/>
  <c r="BZ24" i="4"/>
  <c r="BZ23" i="4"/>
  <c r="BZ22" i="4"/>
  <c r="BZ21" i="4"/>
  <c r="AK17" i="5" l="1"/>
  <c r="BF18" i="4"/>
  <c r="AQ20" i="5" l="1"/>
  <c r="AQ21" i="5"/>
  <c r="AQ22" i="5"/>
  <c r="AQ23" i="5"/>
  <c r="AQ24" i="5"/>
  <c r="AQ25" i="5"/>
  <c r="AQ26" i="5"/>
  <c r="AQ27" i="5"/>
  <c r="AQ28" i="5"/>
  <c r="AQ29" i="5"/>
  <c r="AQ30" i="5"/>
  <c r="AQ31" i="5"/>
  <c r="AQ32" i="5"/>
  <c r="AQ33" i="5"/>
  <c r="AQ34" i="5"/>
  <c r="AQ35" i="5"/>
  <c r="AQ36" i="5"/>
  <c r="AQ37" i="5"/>
  <c r="AQ38" i="5"/>
  <c r="AQ39" i="5"/>
  <c r="AD20" i="5"/>
  <c r="AE20" i="5"/>
  <c r="AF20" i="5"/>
  <c r="AH20" i="5"/>
  <c r="AJ20" i="5"/>
  <c r="AK20" i="5"/>
  <c r="AL20" i="5"/>
  <c r="AM20" i="5"/>
  <c r="AN20" i="5"/>
  <c r="AO20" i="5"/>
  <c r="AD21" i="5"/>
  <c r="AE21" i="5"/>
  <c r="AF21" i="5"/>
  <c r="AH21" i="5"/>
  <c r="AJ21" i="5"/>
  <c r="AK21" i="5"/>
  <c r="AL21" i="5"/>
  <c r="AM21" i="5"/>
  <c r="AN21" i="5"/>
  <c r="AO21" i="5"/>
  <c r="AD22" i="5"/>
  <c r="AE22" i="5"/>
  <c r="AF22" i="5"/>
  <c r="AH22" i="5"/>
  <c r="AJ22" i="5"/>
  <c r="AK22" i="5"/>
  <c r="AL22" i="5"/>
  <c r="AM22" i="5"/>
  <c r="AN22" i="5"/>
  <c r="AO22" i="5"/>
  <c r="AD23" i="5"/>
  <c r="AE23" i="5"/>
  <c r="AF23" i="5"/>
  <c r="AH23" i="5"/>
  <c r="AJ23" i="5"/>
  <c r="AK23" i="5"/>
  <c r="AL23" i="5"/>
  <c r="AM23" i="5"/>
  <c r="AN23" i="5"/>
  <c r="AO23" i="5"/>
  <c r="AD24" i="5"/>
  <c r="AE24" i="5"/>
  <c r="AF24" i="5"/>
  <c r="AH24" i="5"/>
  <c r="AJ24" i="5"/>
  <c r="AK24" i="5"/>
  <c r="AL24" i="5"/>
  <c r="AM24" i="5"/>
  <c r="AN24" i="5"/>
  <c r="AO24" i="5"/>
  <c r="AC25" i="5"/>
  <c r="AD25" i="5"/>
  <c r="AE25" i="5"/>
  <c r="AF25" i="5"/>
  <c r="AH25" i="5"/>
  <c r="AJ25" i="5"/>
  <c r="AK25" i="5"/>
  <c r="AL25" i="5"/>
  <c r="AM25" i="5"/>
  <c r="AN25" i="5"/>
  <c r="AO25" i="5"/>
  <c r="AD26" i="5"/>
  <c r="AE26" i="5"/>
  <c r="AF26" i="5"/>
  <c r="AG26" i="5"/>
  <c r="AH26" i="5"/>
  <c r="AI26" i="5"/>
  <c r="AK26" i="5"/>
  <c r="AM26" i="5"/>
  <c r="AN26" i="5"/>
  <c r="AO26" i="5"/>
  <c r="AD27" i="5"/>
  <c r="AE27" i="5"/>
  <c r="AF27" i="5"/>
  <c r="AG27" i="5"/>
  <c r="AH27" i="5"/>
  <c r="AI27" i="5"/>
  <c r="AK27" i="5"/>
  <c r="AM27" i="5"/>
  <c r="AN27" i="5"/>
  <c r="AO27" i="5"/>
  <c r="AD28" i="5"/>
  <c r="AE28" i="5"/>
  <c r="AF28" i="5"/>
  <c r="AG28" i="5"/>
  <c r="AH28" i="5"/>
  <c r="AI28" i="5"/>
  <c r="AK28" i="5"/>
  <c r="AM28" i="5"/>
  <c r="AN28" i="5"/>
  <c r="AO28" i="5"/>
  <c r="AD29" i="5"/>
  <c r="AE29" i="5"/>
  <c r="AF29" i="5"/>
  <c r="AG29" i="5"/>
  <c r="AH29" i="5"/>
  <c r="AI29" i="5"/>
  <c r="AK29" i="5"/>
  <c r="AM29" i="5"/>
  <c r="AN29" i="5"/>
  <c r="AO29" i="5"/>
  <c r="AD30" i="5"/>
  <c r="AE30" i="5"/>
  <c r="AF30" i="5"/>
  <c r="AH30" i="5"/>
  <c r="AJ30" i="5"/>
  <c r="AK30" i="5"/>
  <c r="AL30" i="5"/>
  <c r="AM30" i="5"/>
  <c r="AN30" i="5"/>
  <c r="AO30" i="5"/>
  <c r="AD31" i="5"/>
  <c r="AE31" i="5"/>
  <c r="AF31" i="5"/>
  <c r="AH31" i="5"/>
  <c r="AJ31" i="5"/>
  <c r="AK31" i="5"/>
  <c r="AL31" i="5"/>
  <c r="AM31" i="5"/>
  <c r="AN31" i="5"/>
  <c r="AO31" i="5"/>
  <c r="AD32" i="5"/>
  <c r="AE32" i="5"/>
  <c r="AF32" i="5"/>
  <c r="AH32" i="5"/>
  <c r="AJ32" i="5"/>
  <c r="AK32" i="5"/>
  <c r="AL32" i="5"/>
  <c r="AM32" i="5"/>
  <c r="AN32" i="5"/>
  <c r="AO32" i="5"/>
  <c r="AD33" i="5"/>
  <c r="AE33" i="5"/>
  <c r="AF33" i="5"/>
  <c r="AH33" i="5"/>
  <c r="AJ33" i="5"/>
  <c r="AK33" i="5"/>
  <c r="AL33" i="5"/>
  <c r="AM33" i="5"/>
  <c r="AN33" i="5"/>
  <c r="AO33" i="5"/>
  <c r="AD34" i="5"/>
  <c r="AE34" i="5"/>
  <c r="AF34" i="5"/>
  <c r="AH34" i="5"/>
  <c r="AJ34" i="5"/>
  <c r="AK34" i="5"/>
  <c r="AL34" i="5"/>
  <c r="AM34" i="5"/>
  <c r="AN34" i="5"/>
  <c r="AO34" i="5"/>
  <c r="AC35" i="5"/>
  <c r="AD35" i="5"/>
  <c r="AE35" i="5"/>
  <c r="AF35" i="5"/>
  <c r="AH35" i="5"/>
  <c r="AJ35" i="5"/>
  <c r="AK35" i="5"/>
  <c r="AL35" i="5"/>
  <c r="AM35" i="5"/>
  <c r="AN35" i="5"/>
  <c r="AO35" i="5"/>
  <c r="AC36" i="5"/>
  <c r="AD36" i="5"/>
  <c r="AE36" i="5"/>
  <c r="AF36" i="5"/>
  <c r="AH36" i="5"/>
  <c r="AJ36" i="5"/>
  <c r="AK36" i="5"/>
  <c r="AL36" i="5"/>
  <c r="AM36" i="5"/>
  <c r="AN36" i="5"/>
  <c r="AO36" i="5"/>
  <c r="AD37" i="5"/>
  <c r="AE37" i="5"/>
  <c r="AF37" i="5"/>
  <c r="AG37" i="5"/>
  <c r="AH37" i="5"/>
  <c r="AI37" i="5"/>
  <c r="AK37" i="5"/>
  <c r="AM37" i="5"/>
  <c r="AN37" i="5"/>
  <c r="AO37" i="5"/>
  <c r="AD38" i="5"/>
  <c r="AE38" i="5"/>
  <c r="AF38" i="5"/>
  <c r="AG38" i="5"/>
  <c r="AH38" i="5"/>
  <c r="AI38" i="5"/>
  <c r="AK38" i="5"/>
  <c r="AM38" i="5"/>
  <c r="AN38" i="5"/>
  <c r="AO38" i="5"/>
  <c r="AD39" i="5"/>
  <c r="AE39" i="5"/>
  <c r="AF39" i="5"/>
  <c r="AG39" i="5"/>
  <c r="AH39" i="5"/>
  <c r="AI39" i="5"/>
  <c r="AK39" i="5"/>
  <c r="AM39" i="5"/>
  <c r="AN39" i="5"/>
  <c r="AO39" i="5"/>
  <c r="AO19" i="5"/>
  <c r="AN19" i="5"/>
  <c r="AM19" i="5"/>
  <c r="AL19" i="5"/>
  <c r="AK19" i="5"/>
  <c r="AJ19" i="5"/>
  <c r="AH19" i="5"/>
  <c r="AF19" i="5"/>
  <c r="AE19" i="5"/>
  <c r="AD19" i="5"/>
  <c r="AI17" i="5"/>
  <c r="AQ19" i="5"/>
  <c r="AO16" i="5"/>
  <c r="AN16" i="5"/>
  <c r="AM16" i="5"/>
  <c r="AL16" i="5"/>
  <c r="AK16" i="5"/>
  <c r="AJ16" i="5"/>
  <c r="AI16" i="5"/>
  <c r="AH16" i="5"/>
  <c r="AG16" i="5"/>
  <c r="AF16" i="5"/>
  <c r="AE16" i="5"/>
  <c r="AD16" i="5"/>
  <c r="AC16" i="5"/>
  <c r="BS35" i="4"/>
  <c r="BR35" i="4"/>
  <c r="BQ35" i="4"/>
  <c r="BO35" i="4"/>
  <c r="BM35" i="4"/>
  <c r="BK35" i="4"/>
  <c r="BJ35" i="4"/>
  <c r="BI35" i="4"/>
  <c r="BH35" i="4"/>
  <c r="BG35" i="4"/>
  <c r="BE35" i="4"/>
  <c r="BD35" i="4"/>
  <c r="BC35" i="4"/>
  <c r="BB35" i="4"/>
  <c r="AZ35" i="4"/>
  <c r="AY35" i="4"/>
  <c r="AX35" i="4"/>
  <c r="AW35" i="4"/>
  <c r="AV35" i="4"/>
  <c r="AI35" i="5" s="1"/>
  <c r="AU35" i="4"/>
  <c r="AT35" i="4"/>
  <c r="AS35" i="4"/>
  <c r="AR35" i="4"/>
  <c r="AP35" i="4"/>
  <c r="AO35" i="4"/>
  <c r="AN35" i="4"/>
  <c r="AM35" i="4"/>
  <c r="AL35" i="4"/>
  <c r="AK35" i="4"/>
  <c r="AG35" i="5" s="1"/>
  <c r="AJ35" i="4"/>
  <c r="AI35" i="4"/>
  <c r="AH35" i="4"/>
  <c r="AG35" i="4"/>
  <c r="AF35" i="4"/>
  <c r="AD35" i="4"/>
  <c r="AB35" i="4"/>
  <c r="AA35" i="4"/>
  <c r="Z35" i="4"/>
  <c r="X35" i="4"/>
  <c r="W35" i="4"/>
  <c r="V35" i="4"/>
  <c r="U35" i="4"/>
  <c r="T35" i="4"/>
  <c r="S35" i="4"/>
  <c r="R35" i="4"/>
  <c r="Q35" i="4"/>
  <c r="P35" i="4"/>
  <c r="O35" i="4"/>
  <c r="Y59" i="4" s="1"/>
  <c r="J20" i="5"/>
  <c r="J21" i="5"/>
  <c r="J22" i="5"/>
  <c r="J23" i="5"/>
  <c r="J24" i="5"/>
  <c r="J25" i="5"/>
  <c r="J26" i="5"/>
  <c r="J27" i="5"/>
  <c r="J28" i="5"/>
  <c r="J29" i="5"/>
  <c r="J30" i="5"/>
  <c r="J31" i="5"/>
  <c r="J32" i="5"/>
  <c r="J33" i="5"/>
  <c r="J34" i="5"/>
  <c r="J35" i="5"/>
  <c r="J36" i="5"/>
  <c r="J37" i="5"/>
  <c r="J38" i="5"/>
  <c r="J39" i="5"/>
  <c r="J19" i="5"/>
  <c r="W23" i="5"/>
  <c r="V31" i="5"/>
  <c r="AA38" i="5" l="1"/>
  <c r="AP35" i="5"/>
  <c r="AR35" i="5" s="1"/>
  <c r="AA28" i="5"/>
  <c r="AA30" i="5"/>
  <c r="BY29" i="4" l="1"/>
  <c r="BY19" i="4"/>
  <c r="F43" i="4" s="1"/>
  <c r="BY34" i="4"/>
  <c r="BY33" i="4"/>
  <c r="F58" i="4" s="1"/>
  <c r="BY20" i="4"/>
  <c r="F44" i="4" s="1"/>
  <c r="BY21" i="4"/>
  <c r="F45" i="4" s="1"/>
  <c r="BY22" i="4"/>
  <c r="F46" i="4" s="1"/>
  <c r="BY23" i="4"/>
  <c r="F47" i="4" s="1"/>
  <c r="BY24" i="4"/>
  <c r="F48" i="4" s="1"/>
  <c r="BY37" i="4"/>
  <c r="BY26" i="4"/>
  <c r="F50" i="4" s="1"/>
  <c r="BY38" i="4"/>
  <c r="F63" i="4" s="1"/>
  <c r="BY39" i="4"/>
  <c r="F53" i="4" s="1"/>
  <c r="BY27" i="4"/>
  <c r="F51" i="4" s="1"/>
  <c r="BY28" i="4"/>
  <c r="F52" i="4" s="1"/>
  <c r="BY35" i="4"/>
  <c r="F60" i="4" s="1"/>
  <c r="BY36" i="4"/>
  <c r="BY25" i="4"/>
  <c r="F49" i="4" s="1"/>
  <c r="BY31" i="4"/>
  <c r="BY30" i="4"/>
  <c r="F55" i="4" s="1"/>
  <c r="BY32" i="4"/>
  <c r="BY17" i="4"/>
  <c r="A29" i="4"/>
  <c r="A79" i="4" s="1"/>
  <c r="B29" i="4"/>
  <c r="B79" i="4" s="1"/>
  <c r="C29" i="4"/>
  <c r="C79" i="4" s="1"/>
  <c r="D29" i="4"/>
  <c r="H29" i="4"/>
  <c r="H79" i="4" s="1"/>
  <c r="K29" i="4"/>
  <c r="K79" i="4" s="1"/>
  <c r="L29" i="4"/>
  <c r="N29" i="4"/>
  <c r="O29" i="4"/>
  <c r="P29" i="4"/>
  <c r="Q29" i="4"/>
  <c r="R29" i="4"/>
  <c r="S29" i="4"/>
  <c r="T29" i="4"/>
  <c r="U29" i="4"/>
  <c r="V29" i="4"/>
  <c r="W29" i="4"/>
  <c r="X29" i="4"/>
  <c r="Z29" i="4"/>
  <c r="AA29" i="4"/>
  <c r="AB29" i="4"/>
  <c r="AD29" i="4"/>
  <c r="AF29" i="4"/>
  <c r="AG29" i="4"/>
  <c r="AH29" i="4"/>
  <c r="AI29" i="4"/>
  <c r="AJ29" i="4"/>
  <c r="AL29" i="4"/>
  <c r="AM29" i="4"/>
  <c r="AN29" i="4"/>
  <c r="AO29" i="4"/>
  <c r="AP29" i="4"/>
  <c r="AR29" i="4"/>
  <c r="AS29" i="4"/>
  <c r="AT29" i="4"/>
  <c r="AU29" i="4"/>
  <c r="AW29" i="4"/>
  <c r="AX29" i="4"/>
  <c r="AY29" i="4"/>
  <c r="AZ29" i="4"/>
  <c r="BA29" i="4"/>
  <c r="AJ29" i="5" s="1"/>
  <c r="BB29" i="4"/>
  <c r="BC29" i="4"/>
  <c r="BD29" i="4"/>
  <c r="BE29" i="4"/>
  <c r="BG29" i="4"/>
  <c r="BH29" i="4"/>
  <c r="BI29" i="4"/>
  <c r="BJ29" i="4"/>
  <c r="BK29" i="4"/>
  <c r="BL29" i="4"/>
  <c r="AL29" i="5" s="1"/>
  <c r="BM29" i="4"/>
  <c r="BO29" i="4"/>
  <c r="BQ29" i="4"/>
  <c r="BR29" i="4"/>
  <c r="BS29" i="4"/>
  <c r="BU29" i="4"/>
  <c r="BV29" i="4"/>
  <c r="BW29" i="4"/>
  <c r="BX29" i="4"/>
  <c r="CF29" i="4"/>
  <c r="A19" i="4"/>
  <c r="A69" i="4" s="1"/>
  <c r="B19" i="4"/>
  <c r="B69" i="4" s="1"/>
  <c r="C19" i="4"/>
  <c r="C69" i="4" s="1"/>
  <c r="D19" i="4"/>
  <c r="H19" i="4"/>
  <c r="H69" i="4" s="1"/>
  <c r="K19" i="4"/>
  <c r="L19" i="4"/>
  <c r="N19" i="4"/>
  <c r="O19" i="4"/>
  <c r="P19" i="4"/>
  <c r="Q19" i="4"/>
  <c r="R19" i="4"/>
  <c r="S19" i="4"/>
  <c r="T19" i="4"/>
  <c r="U19" i="4"/>
  <c r="V19" i="4"/>
  <c r="W19" i="4"/>
  <c r="X19" i="4"/>
  <c r="Z19" i="4"/>
  <c r="AA19" i="4"/>
  <c r="AB19" i="4"/>
  <c r="AD19" i="4"/>
  <c r="AF19" i="4"/>
  <c r="AG19" i="4"/>
  <c r="AH19" i="4"/>
  <c r="AI19" i="4"/>
  <c r="AJ19" i="4"/>
  <c r="AK19" i="4"/>
  <c r="AG19" i="5" s="1"/>
  <c r="AL19" i="4"/>
  <c r="AM19" i="4"/>
  <c r="AN19" i="4"/>
  <c r="AO19" i="4"/>
  <c r="AP19" i="4"/>
  <c r="AS19" i="4"/>
  <c r="AT19" i="4"/>
  <c r="AU19" i="4"/>
  <c r="AV19" i="4"/>
  <c r="AI19" i="5" s="1"/>
  <c r="AW19" i="4"/>
  <c r="AX19" i="4"/>
  <c r="AY19" i="4"/>
  <c r="AZ19" i="4"/>
  <c r="BB19" i="4"/>
  <c r="BC19" i="4"/>
  <c r="BD19" i="4"/>
  <c r="BE19" i="4"/>
  <c r="BG19" i="4"/>
  <c r="BH19" i="4"/>
  <c r="BI19" i="4"/>
  <c r="BJ19" i="4"/>
  <c r="BK19" i="4"/>
  <c r="BM19" i="4"/>
  <c r="BO19" i="4"/>
  <c r="BQ19" i="4"/>
  <c r="BR19" i="4"/>
  <c r="BS19" i="4"/>
  <c r="BU19" i="4"/>
  <c r="BV19" i="4"/>
  <c r="CF19" i="4"/>
  <c r="A34" i="4"/>
  <c r="A84" i="4" s="1"/>
  <c r="B34" i="4"/>
  <c r="B84" i="4" s="1"/>
  <c r="C34" i="4"/>
  <c r="C84" i="4" s="1"/>
  <c r="D34" i="4"/>
  <c r="H34" i="4"/>
  <c r="H84" i="4" s="1"/>
  <c r="K34" i="4"/>
  <c r="K84" i="4" s="1"/>
  <c r="L34" i="4"/>
  <c r="N34" i="4"/>
  <c r="O34" i="4"/>
  <c r="P34" i="4"/>
  <c r="Q34" i="4"/>
  <c r="R34" i="4"/>
  <c r="S34" i="4"/>
  <c r="T34" i="4"/>
  <c r="U34" i="4"/>
  <c r="V34" i="4"/>
  <c r="W34" i="4"/>
  <c r="X34" i="4"/>
  <c r="Z34" i="4"/>
  <c r="AA34" i="4"/>
  <c r="AB34" i="4"/>
  <c r="AD34" i="4"/>
  <c r="AF34" i="4"/>
  <c r="AG34" i="4"/>
  <c r="AH34" i="4"/>
  <c r="AI34" i="4"/>
  <c r="AJ34" i="4"/>
  <c r="AK34" i="4"/>
  <c r="AG34" i="5" s="1"/>
  <c r="AL34" i="4"/>
  <c r="AM34" i="4"/>
  <c r="AN34" i="4"/>
  <c r="AO34" i="4"/>
  <c r="AP34" i="4"/>
  <c r="AS34" i="4"/>
  <c r="AT34" i="4"/>
  <c r="AU34" i="4"/>
  <c r="AV34" i="4"/>
  <c r="AI34" i="5" s="1"/>
  <c r="AW34" i="4"/>
  <c r="AX34" i="4"/>
  <c r="AY34" i="4"/>
  <c r="AZ34" i="4"/>
  <c r="BB34" i="4"/>
  <c r="BC34" i="4"/>
  <c r="BD34" i="4"/>
  <c r="BE34" i="4"/>
  <c r="BG34" i="4"/>
  <c r="BH34" i="4"/>
  <c r="BI34" i="4"/>
  <c r="BJ34" i="4"/>
  <c r="BK34" i="4"/>
  <c r="BM34" i="4"/>
  <c r="BO34" i="4"/>
  <c r="BQ34" i="4"/>
  <c r="BR34" i="4"/>
  <c r="BS34" i="4"/>
  <c r="BU34" i="4"/>
  <c r="BV34" i="4"/>
  <c r="BW34" i="4"/>
  <c r="BX34" i="4"/>
  <c r="CF34" i="4"/>
  <c r="A33" i="4"/>
  <c r="A83" i="4" s="1"/>
  <c r="B33" i="4"/>
  <c r="B83" i="4" s="1"/>
  <c r="C33" i="4"/>
  <c r="C83" i="4" s="1"/>
  <c r="D33" i="4"/>
  <c r="H33" i="4"/>
  <c r="H83" i="4" s="1"/>
  <c r="K33" i="4"/>
  <c r="L33" i="4"/>
  <c r="N33" i="4"/>
  <c r="O33" i="4"/>
  <c r="P33" i="4"/>
  <c r="Q33" i="4"/>
  <c r="R33" i="4"/>
  <c r="S33" i="4"/>
  <c r="T33" i="4"/>
  <c r="U33" i="4"/>
  <c r="V33" i="4"/>
  <c r="W33" i="4"/>
  <c r="X33" i="4"/>
  <c r="Z33" i="4"/>
  <c r="AA33" i="4"/>
  <c r="AB33" i="4"/>
  <c r="AD33" i="4"/>
  <c r="AF33" i="4"/>
  <c r="AG33" i="4"/>
  <c r="AH33" i="4"/>
  <c r="AI33" i="4"/>
  <c r="AJ33" i="4"/>
  <c r="AK33" i="4"/>
  <c r="AG33" i="5" s="1"/>
  <c r="AL33" i="4"/>
  <c r="AM33" i="4"/>
  <c r="AN33" i="4"/>
  <c r="AO33" i="4"/>
  <c r="AP33" i="4"/>
  <c r="AS33" i="4"/>
  <c r="AT33" i="4"/>
  <c r="AU33" i="4"/>
  <c r="AV33" i="4"/>
  <c r="AI33" i="5" s="1"/>
  <c r="AW33" i="4"/>
  <c r="AX33" i="4"/>
  <c r="AY33" i="4"/>
  <c r="AZ33" i="4"/>
  <c r="BB33" i="4"/>
  <c r="BC33" i="4"/>
  <c r="BD33" i="4"/>
  <c r="BE33" i="4"/>
  <c r="BG33" i="4"/>
  <c r="BH33" i="4"/>
  <c r="BI33" i="4"/>
  <c r="BJ33" i="4"/>
  <c r="BK33" i="4"/>
  <c r="BM33" i="4"/>
  <c r="BO33" i="4"/>
  <c r="BQ33" i="4"/>
  <c r="BR33" i="4"/>
  <c r="BS33" i="4"/>
  <c r="BU33" i="4"/>
  <c r="BV33" i="4"/>
  <c r="BW33" i="4"/>
  <c r="BX33" i="4"/>
  <c r="CF33" i="4"/>
  <c r="A20" i="4"/>
  <c r="A70" i="4" s="1"/>
  <c r="B20" i="4"/>
  <c r="B70" i="4" s="1"/>
  <c r="C20" i="4"/>
  <c r="C70" i="4" s="1"/>
  <c r="D20" i="4"/>
  <c r="H20" i="4"/>
  <c r="H70" i="4" s="1"/>
  <c r="K20" i="4"/>
  <c r="L20" i="4"/>
  <c r="N20" i="4"/>
  <c r="O20" i="4"/>
  <c r="P20" i="4"/>
  <c r="Q20" i="4"/>
  <c r="R20" i="4"/>
  <c r="S20" i="4"/>
  <c r="T20" i="4"/>
  <c r="U20" i="4"/>
  <c r="V20" i="4"/>
  <c r="W20" i="4"/>
  <c r="X20" i="4"/>
  <c r="Z20" i="4"/>
  <c r="AA20" i="4"/>
  <c r="AB20" i="4"/>
  <c r="AD20" i="4"/>
  <c r="AF20" i="4"/>
  <c r="AG20" i="4"/>
  <c r="AH20" i="4"/>
  <c r="AI20" i="4"/>
  <c r="AJ20" i="4"/>
  <c r="AK20" i="4"/>
  <c r="AG20" i="5" s="1"/>
  <c r="AL20" i="4"/>
  <c r="AM20" i="4"/>
  <c r="AN20" i="4"/>
  <c r="AO20" i="4"/>
  <c r="AP20" i="4"/>
  <c r="AS20" i="4"/>
  <c r="AT20" i="4"/>
  <c r="AU20" i="4"/>
  <c r="AV20" i="4"/>
  <c r="AI20" i="5" s="1"/>
  <c r="AW20" i="4"/>
  <c r="AX20" i="4"/>
  <c r="AY20" i="4"/>
  <c r="AZ20" i="4"/>
  <c r="BB20" i="4"/>
  <c r="BC20" i="4"/>
  <c r="BD20" i="4"/>
  <c r="BE20" i="4"/>
  <c r="BG20" i="4"/>
  <c r="BH20" i="4"/>
  <c r="BI20" i="4"/>
  <c r="BJ20" i="4"/>
  <c r="BK20" i="4"/>
  <c r="BM20" i="4"/>
  <c r="BO20" i="4"/>
  <c r="BQ20" i="4"/>
  <c r="BR20" i="4"/>
  <c r="BS20" i="4"/>
  <c r="BU20" i="4"/>
  <c r="BV20" i="4"/>
  <c r="BW20" i="4"/>
  <c r="BX20" i="4"/>
  <c r="CF20" i="4"/>
  <c r="A21" i="4"/>
  <c r="A71" i="4" s="1"/>
  <c r="B21" i="4"/>
  <c r="B71" i="4" s="1"/>
  <c r="C21" i="4"/>
  <c r="C71" i="4" s="1"/>
  <c r="D21" i="4"/>
  <c r="H21" i="4"/>
  <c r="H71" i="4" s="1"/>
  <c r="K21" i="4"/>
  <c r="L21" i="4"/>
  <c r="N21" i="4"/>
  <c r="O21" i="4"/>
  <c r="P21" i="4"/>
  <c r="Q21" i="4"/>
  <c r="R21" i="4"/>
  <c r="S21" i="4"/>
  <c r="T21" i="4"/>
  <c r="U21" i="4"/>
  <c r="V21" i="4"/>
  <c r="W21" i="4"/>
  <c r="X21" i="4"/>
  <c r="Z21" i="4"/>
  <c r="AA21" i="4"/>
  <c r="AB21" i="4"/>
  <c r="AD21" i="4"/>
  <c r="AF21" i="4"/>
  <c r="AG21" i="4"/>
  <c r="AH21" i="4"/>
  <c r="AI21" i="4"/>
  <c r="AJ21" i="4"/>
  <c r="AK21" i="4"/>
  <c r="AG21" i="5" s="1"/>
  <c r="AL21" i="4"/>
  <c r="AM21" i="4"/>
  <c r="AN21" i="4"/>
  <c r="AO21" i="4"/>
  <c r="AP21" i="4"/>
  <c r="AS21" i="4"/>
  <c r="AT21" i="4"/>
  <c r="AU21" i="4"/>
  <c r="AV21" i="4"/>
  <c r="AI21" i="5" s="1"/>
  <c r="AW21" i="4"/>
  <c r="AX21" i="4"/>
  <c r="AY21" i="4"/>
  <c r="AZ21" i="4"/>
  <c r="BB21" i="4"/>
  <c r="BC21" i="4"/>
  <c r="BD21" i="4"/>
  <c r="BE21" i="4"/>
  <c r="BG21" i="4"/>
  <c r="BH21" i="4"/>
  <c r="BI21" i="4"/>
  <c r="BJ21" i="4"/>
  <c r="BK21" i="4"/>
  <c r="BM21" i="4"/>
  <c r="BO21" i="4"/>
  <c r="BQ21" i="4"/>
  <c r="BR21" i="4"/>
  <c r="BS21" i="4"/>
  <c r="BU21" i="4"/>
  <c r="BV21" i="4"/>
  <c r="BW21" i="4"/>
  <c r="BX21" i="4"/>
  <c r="CF21" i="4"/>
  <c r="A22" i="4"/>
  <c r="A72" i="4" s="1"/>
  <c r="B22" i="4"/>
  <c r="B72" i="4" s="1"/>
  <c r="C22" i="4"/>
  <c r="C72" i="4" s="1"/>
  <c r="D22" i="4"/>
  <c r="H22" i="4"/>
  <c r="H72" i="4" s="1"/>
  <c r="K22" i="4"/>
  <c r="L22" i="4"/>
  <c r="N22" i="4"/>
  <c r="O22" i="4"/>
  <c r="P22" i="4"/>
  <c r="Q22" i="4"/>
  <c r="R22" i="4"/>
  <c r="S22" i="4"/>
  <c r="T22" i="4"/>
  <c r="U22" i="4"/>
  <c r="V22" i="4"/>
  <c r="W22" i="4"/>
  <c r="X22" i="4"/>
  <c r="Z22" i="4"/>
  <c r="AA22" i="4"/>
  <c r="AB22" i="4"/>
  <c r="AD22" i="4"/>
  <c r="AF22" i="4"/>
  <c r="AG22" i="4"/>
  <c r="AH22" i="4"/>
  <c r="AI22" i="4"/>
  <c r="AJ22" i="4"/>
  <c r="AK22" i="4"/>
  <c r="AG22" i="5" s="1"/>
  <c r="AL22" i="4"/>
  <c r="AM22" i="4"/>
  <c r="AN22" i="4"/>
  <c r="AO22" i="4"/>
  <c r="AP22" i="4"/>
  <c r="AS22" i="4"/>
  <c r="AT22" i="4"/>
  <c r="AU22" i="4"/>
  <c r="AV22" i="4"/>
  <c r="AI22" i="5" s="1"/>
  <c r="AW22" i="4"/>
  <c r="AX22" i="4"/>
  <c r="AY22" i="4"/>
  <c r="AZ22" i="4"/>
  <c r="BB22" i="4"/>
  <c r="BC22" i="4"/>
  <c r="BD22" i="4"/>
  <c r="BE22" i="4"/>
  <c r="BG22" i="4"/>
  <c r="BH22" i="4"/>
  <c r="BI22" i="4"/>
  <c r="BJ22" i="4"/>
  <c r="BK22" i="4"/>
  <c r="BM22" i="4"/>
  <c r="BO22" i="4"/>
  <c r="BQ22" i="4"/>
  <c r="BR22" i="4"/>
  <c r="BS22" i="4"/>
  <c r="BU22" i="4"/>
  <c r="BV22" i="4"/>
  <c r="CF22" i="4"/>
  <c r="A23" i="4"/>
  <c r="A73" i="4" s="1"/>
  <c r="B23" i="4"/>
  <c r="B73" i="4" s="1"/>
  <c r="C23" i="4"/>
  <c r="C73" i="4" s="1"/>
  <c r="D23" i="4"/>
  <c r="H23" i="4"/>
  <c r="H73" i="4" s="1"/>
  <c r="K23" i="4"/>
  <c r="L23" i="4"/>
  <c r="N23" i="4"/>
  <c r="O23" i="4"/>
  <c r="P23" i="4"/>
  <c r="Q23" i="4"/>
  <c r="R23" i="4"/>
  <c r="S23" i="4"/>
  <c r="T23" i="4"/>
  <c r="U23" i="4"/>
  <c r="V23" i="4"/>
  <c r="W23" i="4"/>
  <c r="X23" i="4"/>
  <c r="Z23" i="4"/>
  <c r="AA23" i="4"/>
  <c r="AB23" i="4"/>
  <c r="AD23" i="4"/>
  <c r="AF23" i="4"/>
  <c r="AG23" i="4"/>
  <c r="AH23" i="4"/>
  <c r="AI23" i="4"/>
  <c r="AJ23" i="4"/>
  <c r="AK23" i="4"/>
  <c r="AG23" i="5" s="1"/>
  <c r="AL23" i="4"/>
  <c r="AM23" i="4"/>
  <c r="AN23" i="4"/>
  <c r="AO23" i="4"/>
  <c r="AP23" i="4"/>
  <c r="AS23" i="4"/>
  <c r="AT23" i="4"/>
  <c r="AU23" i="4"/>
  <c r="AV23" i="4"/>
  <c r="AI23" i="5" s="1"/>
  <c r="AW23" i="4"/>
  <c r="AX23" i="4"/>
  <c r="AY23" i="4"/>
  <c r="AZ23" i="4"/>
  <c r="BB23" i="4"/>
  <c r="BC23" i="4"/>
  <c r="BD23" i="4"/>
  <c r="BE23" i="4"/>
  <c r="BG23" i="4"/>
  <c r="BH23" i="4"/>
  <c r="BI23" i="4"/>
  <c r="BJ23" i="4"/>
  <c r="BK23" i="4"/>
  <c r="BM23" i="4"/>
  <c r="BO23" i="4"/>
  <c r="BQ23" i="4"/>
  <c r="BR23" i="4"/>
  <c r="BS23" i="4"/>
  <c r="BU23" i="4"/>
  <c r="BV23" i="4"/>
  <c r="BW23" i="4"/>
  <c r="BX23" i="4"/>
  <c r="CF23" i="4"/>
  <c r="A24" i="4"/>
  <c r="A74" i="4" s="1"/>
  <c r="B24" i="4"/>
  <c r="B74" i="4" s="1"/>
  <c r="C24" i="4"/>
  <c r="C74" i="4" s="1"/>
  <c r="D24" i="4"/>
  <c r="H24" i="4"/>
  <c r="H74" i="4" s="1"/>
  <c r="K24" i="4"/>
  <c r="L24" i="4"/>
  <c r="N24" i="4"/>
  <c r="O24" i="4"/>
  <c r="P24" i="4"/>
  <c r="Q24" i="4"/>
  <c r="R24" i="4"/>
  <c r="S24" i="4"/>
  <c r="T24" i="4"/>
  <c r="U24" i="4"/>
  <c r="V24" i="4"/>
  <c r="W24" i="4"/>
  <c r="X24" i="4"/>
  <c r="Z24" i="4"/>
  <c r="AA24" i="4"/>
  <c r="AB24" i="4"/>
  <c r="AD24" i="4"/>
  <c r="AF24" i="4"/>
  <c r="AG24" i="4"/>
  <c r="AH24" i="4"/>
  <c r="AI24" i="4"/>
  <c r="AJ24" i="4"/>
  <c r="AK24" i="4"/>
  <c r="AG24" i="5" s="1"/>
  <c r="AL24" i="4"/>
  <c r="AM24" i="4"/>
  <c r="AN24" i="4"/>
  <c r="AO24" i="4"/>
  <c r="AP24" i="4"/>
  <c r="AS24" i="4"/>
  <c r="AT24" i="4"/>
  <c r="AU24" i="4"/>
  <c r="AV24" i="4"/>
  <c r="AI24" i="5" s="1"/>
  <c r="AW24" i="4"/>
  <c r="AX24" i="4"/>
  <c r="AY24" i="4"/>
  <c r="AZ24" i="4"/>
  <c r="BB24" i="4"/>
  <c r="BC24" i="4"/>
  <c r="BD24" i="4"/>
  <c r="BE24" i="4"/>
  <c r="BG24" i="4"/>
  <c r="BH24" i="4"/>
  <c r="BI24" i="4"/>
  <c r="BJ24" i="4"/>
  <c r="BK24" i="4"/>
  <c r="BO24" i="4"/>
  <c r="BQ24" i="4"/>
  <c r="BR24" i="4"/>
  <c r="BS24" i="4"/>
  <c r="BU24" i="4"/>
  <c r="BV24" i="4"/>
  <c r="BW24" i="4"/>
  <c r="BX24" i="4"/>
  <c r="CF24" i="4"/>
  <c r="A37" i="4"/>
  <c r="A87" i="4" s="1"/>
  <c r="B37" i="4"/>
  <c r="B87" i="4" s="1"/>
  <c r="C37" i="4"/>
  <c r="C87" i="4" s="1"/>
  <c r="D37" i="4"/>
  <c r="H37" i="4"/>
  <c r="H87" i="4" s="1"/>
  <c r="K37" i="4"/>
  <c r="K87" i="4" s="1"/>
  <c r="L37" i="4"/>
  <c r="N37" i="4"/>
  <c r="O37" i="4"/>
  <c r="P37" i="4"/>
  <c r="Q37" i="4"/>
  <c r="R37" i="4"/>
  <c r="S37" i="4"/>
  <c r="T37" i="4"/>
  <c r="U37" i="4"/>
  <c r="V37" i="4"/>
  <c r="W37" i="4"/>
  <c r="X37" i="4"/>
  <c r="Z37" i="4"/>
  <c r="AA37" i="4"/>
  <c r="AB37" i="4"/>
  <c r="AD37" i="4"/>
  <c r="AF37" i="4"/>
  <c r="AG37" i="4"/>
  <c r="AH37" i="4"/>
  <c r="AI37" i="4"/>
  <c r="AJ37" i="4"/>
  <c r="AL37" i="4"/>
  <c r="AM37" i="4"/>
  <c r="AN37" i="4"/>
  <c r="AO37" i="4"/>
  <c r="AP37" i="4"/>
  <c r="AR37" i="4"/>
  <c r="AS37" i="4"/>
  <c r="AT37" i="4"/>
  <c r="AU37" i="4"/>
  <c r="AW37" i="4"/>
  <c r="AX37" i="4"/>
  <c r="AY37" i="4"/>
  <c r="AZ37" i="4"/>
  <c r="BA37" i="4"/>
  <c r="AJ37" i="5" s="1"/>
  <c r="BB37" i="4"/>
  <c r="BC37" i="4"/>
  <c r="BD37" i="4"/>
  <c r="BE37" i="4"/>
  <c r="BG37" i="4"/>
  <c r="BH37" i="4"/>
  <c r="BI37" i="4"/>
  <c r="BJ37" i="4"/>
  <c r="BK37" i="4"/>
  <c r="BL37" i="4"/>
  <c r="AL37" i="5" s="1"/>
  <c r="BM37" i="4"/>
  <c r="BO37" i="4"/>
  <c r="BQ37" i="4"/>
  <c r="BR37" i="4"/>
  <c r="BS37" i="4"/>
  <c r="BU37" i="4"/>
  <c r="BV37" i="4"/>
  <c r="CF37" i="4"/>
  <c r="A26" i="4"/>
  <c r="A76" i="4" s="1"/>
  <c r="B26" i="4"/>
  <c r="B76" i="4" s="1"/>
  <c r="C26" i="4"/>
  <c r="C76" i="4" s="1"/>
  <c r="D26" i="4"/>
  <c r="H26" i="4"/>
  <c r="H76" i="4" s="1"/>
  <c r="K26" i="4"/>
  <c r="L26" i="4"/>
  <c r="N26" i="4"/>
  <c r="O26" i="4"/>
  <c r="P26" i="4"/>
  <c r="Q26" i="4"/>
  <c r="R26" i="4"/>
  <c r="S26" i="4"/>
  <c r="T26" i="4"/>
  <c r="U26" i="4"/>
  <c r="V26" i="4"/>
  <c r="W26" i="4"/>
  <c r="X26" i="4"/>
  <c r="Z26" i="4"/>
  <c r="AA26" i="4"/>
  <c r="AB26" i="4"/>
  <c r="AD26" i="4"/>
  <c r="AF26" i="4"/>
  <c r="AG26" i="4"/>
  <c r="AH26" i="4"/>
  <c r="AI26" i="4"/>
  <c r="AJ26" i="4"/>
  <c r="AL26" i="4"/>
  <c r="AM26" i="4"/>
  <c r="AN26" i="4"/>
  <c r="AO26" i="4"/>
  <c r="AP26" i="4"/>
  <c r="AR26" i="4"/>
  <c r="AS26" i="4"/>
  <c r="AT26" i="4"/>
  <c r="AU26" i="4"/>
  <c r="AW26" i="4"/>
  <c r="AX26" i="4"/>
  <c r="AY26" i="4"/>
  <c r="AZ26" i="4"/>
  <c r="BA26" i="4"/>
  <c r="AJ26" i="5" s="1"/>
  <c r="BB26" i="4"/>
  <c r="BC26" i="4"/>
  <c r="BD26" i="4"/>
  <c r="BE26" i="4"/>
  <c r="BG26" i="4"/>
  <c r="BH26" i="4"/>
  <c r="BI26" i="4"/>
  <c r="BJ26" i="4"/>
  <c r="BK26" i="4"/>
  <c r="BL26" i="4"/>
  <c r="AL26" i="5" s="1"/>
  <c r="BM26" i="4"/>
  <c r="BO26" i="4"/>
  <c r="BQ26" i="4"/>
  <c r="BR26" i="4"/>
  <c r="BS26" i="4"/>
  <c r="BU26" i="4"/>
  <c r="BV26" i="4"/>
  <c r="CF26" i="4"/>
  <c r="A38" i="4"/>
  <c r="A88" i="4" s="1"/>
  <c r="B38" i="4"/>
  <c r="B88" i="4" s="1"/>
  <c r="C38" i="4"/>
  <c r="C88" i="4" s="1"/>
  <c r="D38" i="4"/>
  <c r="H38" i="4"/>
  <c r="H88" i="4" s="1"/>
  <c r="K38" i="4"/>
  <c r="L38" i="4"/>
  <c r="N38" i="4"/>
  <c r="O38" i="4"/>
  <c r="P38" i="4"/>
  <c r="Q38" i="4"/>
  <c r="R38" i="4"/>
  <c r="S38" i="4"/>
  <c r="T38" i="4"/>
  <c r="U38" i="4"/>
  <c r="V38" i="4"/>
  <c r="W38" i="4"/>
  <c r="X38" i="4"/>
  <c r="Z38" i="4"/>
  <c r="AA38" i="4"/>
  <c r="AB38" i="4"/>
  <c r="AD38" i="4"/>
  <c r="AF38" i="4"/>
  <c r="AG38" i="4"/>
  <c r="AH38" i="4"/>
  <c r="AI38" i="4"/>
  <c r="AJ38" i="4"/>
  <c r="AL38" i="4"/>
  <c r="AM38" i="4"/>
  <c r="AN38" i="4"/>
  <c r="AO38" i="4"/>
  <c r="AP38" i="4"/>
  <c r="AR38" i="4"/>
  <c r="AS38" i="4"/>
  <c r="AT38" i="4"/>
  <c r="AU38" i="4"/>
  <c r="AW38" i="4"/>
  <c r="AX38" i="4"/>
  <c r="AY38" i="4"/>
  <c r="AZ38" i="4"/>
  <c r="BA38" i="4"/>
  <c r="AJ38" i="5" s="1"/>
  <c r="BB38" i="4"/>
  <c r="BC38" i="4"/>
  <c r="BD38" i="4"/>
  <c r="BE38" i="4"/>
  <c r="BG38" i="4"/>
  <c r="BH38" i="4"/>
  <c r="BI38" i="4"/>
  <c r="BJ38" i="4"/>
  <c r="BK38" i="4"/>
  <c r="BL38" i="4"/>
  <c r="AL38" i="5" s="1"/>
  <c r="BM38" i="4"/>
  <c r="BQ38" i="4"/>
  <c r="BR38" i="4"/>
  <c r="BS38" i="4"/>
  <c r="BU38" i="4"/>
  <c r="BV38" i="4"/>
  <c r="CF38" i="4"/>
  <c r="A39" i="4"/>
  <c r="A89" i="4" s="1"/>
  <c r="B39" i="4"/>
  <c r="B89" i="4" s="1"/>
  <c r="C39" i="4"/>
  <c r="C89" i="4" s="1"/>
  <c r="D39" i="4"/>
  <c r="H39" i="4"/>
  <c r="H89" i="4" s="1"/>
  <c r="K39" i="4"/>
  <c r="L39" i="4"/>
  <c r="N39" i="4"/>
  <c r="O39" i="4"/>
  <c r="P39" i="4"/>
  <c r="Q39" i="4"/>
  <c r="R39" i="4"/>
  <c r="S39" i="4"/>
  <c r="T39" i="4"/>
  <c r="U39" i="4"/>
  <c r="V39" i="4"/>
  <c r="W39" i="4"/>
  <c r="X39" i="4"/>
  <c r="Z39" i="4"/>
  <c r="AA39" i="4"/>
  <c r="AB39" i="4"/>
  <c r="AD39" i="4"/>
  <c r="AF39" i="4"/>
  <c r="AG39" i="4"/>
  <c r="AH39" i="4"/>
  <c r="AI39" i="4"/>
  <c r="AJ39" i="4"/>
  <c r="AL39" i="4"/>
  <c r="AM39" i="4"/>
  <c r="AN39" i="4"/>
  <c r="AO39" i="4"/>
  <c r="AP39" i="4"/>
  <c r="AR39" i="4"/>
  <c r="AS39" i="4"/>
  <c r="AT39" i="4"/>
  <c r="AU39" i="4"/>
  <c r="AW39" i="4"/>
  <c r="AX39" i="4"/>
  <c r="AY39" i="4"/>
  <c r="AZ39" i="4"/>
  <c r="BA39" i="4"/>
  <c r="AJ39" i="5" s="1"/>
  <c r="BB39" i="4"/>
  <c r="BC39" i="4"/>
  <c r="BD39" i="4"/>
  <c r="BE39" i="4"/>
  <c r="BG39" i="4"/>
  <c r="BH39" i="4"/>
  <c r="BI39" i="4"/>
  <c r="BJ39" i="4"/>
  <c r="BK39" i="4"/>
  <c r="BL39" i="4"/>
  <c r="AL39" i="5" s="1"/>
  <c r="BM39" i="4"/>
  <c r="BO39" i="4"/>
  <c r="BQ39" i="4"/>
  <c r="BR39" i="4"/>
  <c r="BS39" i="4"/>
  <c r="BU39" i="4"/>
  <c r="BV39" i="4"/>
  <c r="CF39" i="4"/>
  <c r="A27" i="4"/>
  <c r="A77" i="4" s="1"/>
  <c r="B27" i="4"/>
  <c r="B77" i="4" s="1"/>
  <c r="C27" i="4"/>
  <c r="C77" i="4" s="1"/>
  <c r="D27" i="4"/>
  <c r="H27" i="4"/>
  <c r="H77" i="4" s="1"/>
  <c r="K27" i="4"/>
  <c r="L27" i="4"/>
  <c r="N27" i="4"/>
  <c r="O27" i="4"/>
  <c r="P27" i="4"/>
  <c r="Q27" i="4"/>
  <c r="R27" i="4"/>
  <c r="S27" i="4"/>
  <c r="T27" i="4"/>
  <c r="U27" i="4"/>
  <c r="V27" i="4"/>
  <c r="W27" i="4"/>
  <c r="X27" i="4"/>
  <c r="Z27" i="4"/>
  <c r="AA27" i="4"/>
  <c r="AB27" i="4"/>
  <c r="AD27" i="4"/>
  <c r="AF27" i="4"/>
  <c r="AG27" i="4"/>
  <c r="AH27" i="4"/>
  <c r="AI27" i="4"/>
  <c r="AJ27" i="4"/>
  <c r="AL27" i="4"/>
  <c r="AM27" i="4"/>
  <c r="AN27" i="4"/>
  <c r="AO27" i="4"/>
  <c r="AP27" i="4"/>
  <c r="AR27" i="4"/>
  <c r="AS27" i="4"/>
  <c r="AT27" i="4"/>
  <c r="AU27" i="4"/>
  <c r="AW27" i="4"/>
  <c r="AX27" i="4"/>
  <c r="AY27" i="4"/>
  <c r="AZ27" i="4"/>
  <c r="BA27" i="4"/>
  <c r="AJ27" i="5" s="1"/>
  <c r="BB27" i="4"/>
  <c r="BC27" i="4"/>
  <c r="BD27" i="4"/>
  <c r="BE27" i="4"/>
  <c r="BG27" i="4"/>
  <c r="BH27" i="4"/>
  <c r="BI27" i="4"/>
  <c r="BJ27" i="4"/>
  <c r="BK27" i="4"/>
  <c r="BL27" i="4"/>
  <c r="AL27" i="5" s="1"/>
  <c r="BM27" i="4"/>
  <c r="BO27" i="4"/>
  <c r="BQ27" i="4"/>
  <c r="BR27" i="4"/>
  <c r="BS27" i="4"/>
  <c r="BU27" i="4"/>
  <c r="BV27" i="4"/>
  <c r="BW27" i="4"/>
  <c r="BX27" i="4"/>
  <c r="CF27" i="4"/>
  <c r="A28" i="4"/>
  <c r="A78" i="4" s="1"/>
  <c r="B28" i="4"/>
  <c r="B78" i="4" s="1"/>
  <c r="C28" i="4"/>
  <c r="C78" i="4" s="1"/>
  <c r="D28" i="4"/>
  <c r="H28" i="4"/>
  <c r="H78" i="4" s="1"/>
  <c r="K28" i="4"/>
  <c r="L28" i="4"/>
  <c r="N28" i="4"/>
  <c r="O28" i="4"/>
  <c r="P28" i="4"/>
  <c r="Q28" i="4"/>
  <c r="R28" i="4"/>
  <c r="S28" i="4"/>
  <c r="T28" i="4"/>
  <c r="U28" i="4"/>
  <c r="V28" i="4"/>
  <c r="W28" i="4"/>
  <c r="X28" i="4"/>
  <c r="Z28" i="4"/>
  <c r="AA28" i="4"/>
  <c r="AB28" i="4"/>
  <c r="AD28" i="4"/>
  <c r="AF28" i="4"/>
  <c r="AG28" i="4"/>
  <c r="AH28" i="4"/>
  <c r="AI28" i="4"/>
  <c r="AJ28" i="4"/>
  <c r="AL28" i="4"/>
  <c r="AM28" i="4"/>
  <c r="AN28" i="4"/>
  <c r="AO28" i="4"/>
  <c r="AP28" i="4"/>
  <c r="AR28" i="4"/>
  <c r="AS28" i="4"/>
  <c r="AT28" i="4"/>
  <c r="AU28" i="4"/>
  <c r="AW28" i="4"/>
  <c r="AX28" i="4"/>
  <c r="AY28" i="4"/>
  <c r="AZ28" i="4"/>
  <c r="BA28" i="4"/>
  <c r="AJ28" i="5" s="1"/>
  <c r="BB28" i="4"/>
  <c r="BC28" i="4"/>
  <c r="BD28" i="4"/>
  <c r="BE28" i="4"/>
  <c r="BG28" i="4"/>
  <c r="BH28" i="4"/>
  <c r="BI28" i="4"/>
  <c r="BJ28" i="4"/>
  <c r="BK28" i="4"/>
  <c r="BL28" i="4"/>
  <c r="AL28" i="5" s="1"/>
  <c r="BM28" i="4"/>
  <c r="BO28" i="4"/>
  <c r="BQ28" i="4"/>
  <c r="BR28" i="4"/>
  <c r="BS28" i="4"/>
  <c r="BU28" i="4"/>
  <c r="BV28" i="4"/>
  <c r="BW28" i="4"/>
  <c r="BX28" i="4"/>
  <c r="CF28" i="4"/>
  <c r="A35" i="4"/>
  <c r="A85" i="4" s="1"/>
  <c r="B35" i="4"/>
  <c r="B85" i="4" s="1"/>
  <c r="C35" i="4"/>
  <c r="C85" i="4" s="1"/>
  <c r="D35" i="4"/>
  <c r="H35" i="4"/>
  <c r="H85" i="4" s="1"/>
  <c r="K35" i="4"/>
  <c r="L35" i="4"/>
  <c r="BU35" i="4"/>
  <c r="BV35" i="4"/>
  <c r="BW35" i="4"/>
  <c r="BX35" i="4"/>
  <c r="CF35" i="4"/>
  <c r="A36" i="4"/>
  <c r="A86" i="4" s="1"/>
  <c r="B36" i="4"/>
  <c r="B86" i="4" s="1"/>
  <c r="C36" i="4"/>
  <c r="C86" i="4" s="1"/>
  <c r="D36" i="4"/>
  <c r="H36" i="4"/>
  <c r="H86" i="4" s="1"/>
  <c r="K36" i="4"/>
  <c r="L36" i="4"/>
  <c r="O36" i="4"/>
  <c r="P36" i="4"/>
  <c r="Q36" i="4"/>
  <c r="R36" i="4"/>
  <c r="S36" i="4"/>
  <c r="T36" i="4"/>
  <c r="U36" i="4"/>
  <c r="V36" i="4"/>
  <c r="W36" i="4"/>
  <c r="X36" i="4"/>
  <c r="Z36" i="4"/>
  <c r="AA36" i="4"/>
  <c r="AB36" i="4"/>
  <c r="AD36" i="4"/>
  <c r="AF36" i="4"/>
  <c r="AG36" i="4"/>
  <c r="AH36" i="4"/>
  <c r="AI36" i="4"/>
  <c r="AJ36" i="4"/>
  <c r="AK36" i="4"/>
  <c r="AG36" i="5" s="1"/>
  <c r="AL36" i="4"/>
  <c r="AM36" i="4"/>
  <c r="AN36" i="4"/>
  <c r="AO36" i="4"/>
  <c r="AP36" i="4"/>
  <c r="AR36" i="4"/>
  <c r="AS36" i="4"/>
  <c r="AT36" i="4"/>
  <c r="AU36" i="4"/>
  <c r="AV36" i="4"/>
  <c r="AI36" i="5" s="1"/>
  <c r="AW36" i="4"/>
  <c r="AX36" i="4"/>
  <c r="AY36" i="4"/>
  <c r="AZ36" i="4"/>
  <c r="BB36" i="4"/>
  <c r="BC36" i="4"/>
  <c r="BD36" i="4"/>
  <c r="BE36" i="4"/>
  <c r="BG36" i="4"/>
  <c r="BH36" i="4"/>
  <c r="BI36" i="4"/>
  <c r="BJ36" i="4"/>
  <c r="BK36" i="4"/>
  <c r="BM36" i="4"/>
  <c r="BO36" i="4"/>
  <c r="BQ36" i="4"/>
  <c r="BR36" i="4"/>
  <c r="BS36" i="4"/>
  <c r="BU36" i="4"/>
  <c r="BV36" i="4"/>
  <c r="BW36" i="4"/>
  <c r="BX36" i="4"/>
  <c r="CF36" i="4"/>
  <c r="A25" i="4"/>
  <c r="A75" i="4" s="1"/>
  <c r="B25" i="4"/>
  <c r="B75" i="4" s="1"/>
  <c r="C25" i="4"/>
  <c r="C75" i="4" s="1"/>
  <c r="D25" i="4"/>
  <c r="H25" i="4"/>
  <c r="H75" i="4" s="1"/>
  <c r="K25" i="4"/>
  <c r="L25" i="4"/>
  <c r="O25" i="4"/>
  <c r="P25" i="4"/>
  <c r="Q25" i="4"/>
  <c r="R25" i="4"/>
  <c r="S25" i="4"/>
  <c r="T25" i="4"/>
  <c r="U25" i="4"/>
  <c r="V25" i="4"/>
  <c r="W25" i="4"/>
  <c r="X25" i="4"/>
  <c r="Z25" i="4"/>
  <c r="AA25" i="4"/>
  <c r="AB25" i="4"/>
  <c r="AD25" i="4"/>
  <c r="AF25" i="4"/>
  <c r="AG25" i="4"/>
  <c r="AH25" i="4"/>
  <c r="AI25" i="4"/>
  <c r="AJ25" i="4"/>
  <c r="AK25" i="4"/>
  <c r="AG25" i="5" s="1"/>
  <c r="AL25" i="4"/>
  <c r="AM25" i="4"/>
  <c r="AN25" i="4"/>
  <c r="AO25" i="4"/>
  <c r="AP25" i="4"/>
  <c r="AR25" i="4"/>
  <c r="AS25" i="4"/>
  <c r="AT25" i="4"/>
  <c r="AU25" i="4"/>
  <c r="AV25" i="4"/>
  <c r="AI25" i="5" s="1"/>
  <c r="AW25" i="4"/>
  <c r="AX25" i="4"/>
  <c r="AY25" i="4"/>
  <c r="AZ25" i="4"/>
  <c r="BB25" i="4"/>
  <c r="BC25" i="4"/>
  <c r="BD25" i="4"/>
  <c r="BE25" i="4"/>
  <c r="BG25" i="4"/>
  <c r="BH25" i="4"/>
  <c r="BI25" i="4"/>
  <c r="BJ25" i="4"/>
  <c r="BK25" i="4"/>
  <c r="BM25" i="4"/>
  <c r="BO25" i="4"/>
  <c r="BQ25" i="4"/>
  <c r="BR25" i="4"/>
  <c r="BS25" i="4"/>
  <c r="BU25" i="4"/>
  <c r="CF25" i="4"/>
  <c r="A31" i="4"/>
  <c r="A81" i="4" s="1"/>
  <c r="B31" i="4"/>
  <c r="B81" i="4" s="1"/>
  <c r="C31" i="4"/>
  <c r="C81" i="4" s="1"/>
  <c r="D31" i="4"/>
  <c r="H31" i="4"/>
  <c r="H81" i="4" s="1"/>
  <c r="K31" i="4"/>
  <c r="K81" i="4" s="1"/>
  <c r="L31" i="4"/>
  <c r="N31" i="4"/>
  <c r="O31" i="4"/>
  <c r="P31" i="4"/>
  <c r="Q31" i="4"/>
  <c r="R31" i="4"/>
  <c r="S31" i="4"/>
  <c r="T31" i="4"/>
  <c r="U31" i="4"/>
  <c r="V31" i="4"/>
  <c r="W31" i="4"/>
  <c r="X31" i="4"/>
  <c r="Z31" i="4"/>
  <c r="AA31" i="4"/>
  <c r="AB31" i="4"/>
  <c r="AD31" i="4"/>
  <c r="AF31" i="4"/>
  <c r="AG31" i="4"/>
  <c r="AH31" i="4"/>
  <c r="AI31" i="4"/>
  <c r="AJ31" i="4"/>
  <c r="AK31" i="4"/>
  <c r="AG31" i="5" s="1"/>
  <c r="AL31" i="4"/>
  <c r="AM31" i="4"/>
  <c r="AN31" i="4"/>
  <c r="AO31" i="4"/>
  <c r="AP31" i="4"/>
  <c r="AS31" i="4"/>
  <c r="AT31" i="4"/>
  <c r="AU31" i="4"/>
  <c r="AV31" i="4"/>
  <c r="AI31" i="5" s="1"/>
  <c r="AW31" i="4"/>
  <c r="AX31" i="4"/>
  <c r="AY31" i="4"/>
  <c r="AZ31" i="4"/>
  <c r="BB31" i="4"/>
  <c r="BC31" i="4"/>
  <c r="BD31" i="4"/>
  <c r="BE31" i="4"/>
  <c r="BG31" i="4"/>
  <c r="BH31" i="4"/>
  <c r="BI31" i="4"/>
  <c r="BJ31" i="4"/>
  <c r="BK31" i="4"/>
  <c r="BM31" i="4"/>
  <c r="BO31" i="4"/>
  <c r="BQ31" i="4"/>
  <c r="BR31" i="4"/>
  <c r="BS31" i="4"/>
  <c r="BU31" i="4"/>
  <c r="BV31" i="4"/>
  <c r="CF31" i="4"/>
  <c r="A30" i="4"/>
  <c r="A80" i="4" s="1"/>
  <c r="B30" i="4"/>
  <c r="B80" i="4" s="1"/>
  <c r="C30" i="4"/>
  <c r="C80" i="4" s="1"/>
  <c r="D30" i="4"/>
  <c r="H30" i="4"/>
  <c r="H80" i="4" s="1"/>
  <c r="K30" i="4"/>
  <c r="L30" i="4"/>
  <c r="N30" i="4"/>
  <c r="O30" i="4"/>
  <c r="P30" i="4"/>
  <c r="Q30" i="4"/>
  <c r="R30" i="4"/>
  <c r="S30" i="4"/>
  <c r="T30" i="4"/>
  <c r="U30" i="4"/>
  <c r="V30" i="4"/>
  <c r="W30" i="4"/>
  <c r="X30" i="4"/>
  <c r="Z30" i="4"/>
  <c r="AA30" i="4"/>
  <c r="AB30" i="4"/>
  <c r="AD30" i="4"/>
  <c r="AF30" i="4"/>
  <c r="AG30" i="4"/>
  <c r="AH30" i="4"/>
  <c r="AI30" i="4"/>
  <c r="AJ30" i="4"/>
  <c r="AK30" i="4"/>
  <c r="AG30" i="5" s="1"/>
  <c r="AL30" i="4"/>
  <c r="AM30" i="4"/>
  <c r="AN30" i="4"/>
  <c r="AO30" i="4"/>
  <c r="AP30" i="4"/>
  <c r="AS30" i="4"/>
  <c r="AT30" i="4"/>
  <c r="AU30" i="4"/>
  <c r="AV30" i="4"/>
  <c r="AI30" i="5" s="1"/>
  <c r="AW30" i="4"/>
  <c r="AX30" i="4"/>
  <c r="AY30" i="4"/>
  <c r="AZ30" i="4"/>
  <c r="BB30" i="4"/>
  <c r="BC30" i="4"/>
  <c r="BD30" i="4"/>
  <c r="BE30" i="4"/>
  <c r="BG30" i="4"/>
  <c r="BH30" i="4"/>
  <c r="BI30" i="4"/>
  <c r="BJ30" i="4"/>
  <c r="BK30" i="4"/>
  <c r="BM30" i="4"/>
  <c r="BQ30" i="4"/>
  <c r="BR30" i="4"/>
  <c r="BS30" i="4"/>
  <c r="BU30" i="4"/>
  <c r="BV30" i="4"/>
  <c r="BW30" i="4"/>
  <c r="BX30" i="4"/>
  <c r="CF30" i="4"/>
  <c r="Y55" i="4" l="1"/>
  <c r="AC31" i="5"/>
  <c r="AP31" i="5" s="1"/>
  <c r="AR31" i="5" s="1"/>
  <c r="D81" i="4"/>
  <c r="A31" i="5"/>
  <c r="Y49" i="4"/>
  <c r="E49" i="4"/>
  <c r="K75" i="4"/>
  <c r="D49" i="4"/>
  <c r="D75" i="4"/>
  <c r="A25" i="5"/>
  <c r="AP36" i="5"/>
  <c r="AR36" i="5" s="1"/>
  <c r="E60" i="4"/>
  <c r="K85" i="4"/>
  <c r="D85" i="4"/>
  <c r="A35" i="5"/>
  <c r="Y52" i="4"/>
  <c r="AC28" i="5"/>
  <c r="AP28" i="5" s="1"/>
  <c r="AR28" i="5" s="1"/>
  <c r="E52" i="4"/>
  <c r="K78" i="4"/>
  <c r="D52" i="4"/>
  <c r="D78" i="4"/>
  <c r="A28" i="5"/>
  <c r="Y51" i="4"/>
  <c r="AC27" i="5"/>
  <c r="AP27" i="5" s="1"/>
  <c r="AR27" i="5" s="1"/>
  <c r="E51" i="4"/>
  <c r="K77" i="4"/>
  <c r="D51" i="4"/>
  <c r="D77" i="4"/>
  <c r="A27" i="5"/>
  <c r="Y63" i="4"/>
  <c r="AC39" i="5"/>
  <c r="AP39" i="5" s="1"/>
  <c r="AR39" i="5" s="1"/>
  <c r="E53" i="4"/>
  <c r="K89" i="4"/>
  <c r="D53" i="4"/>
  <c r="D89" i="4"/>
  <c r="A39" i="5"/>
  <c r="Y47" i="4"/>
  <c r="AC23" i="5"/>
  <c r="AP23" i="5" s="1"/>
  <c r="AR23" i="5" s="1"/>
  <c r="E47" i="4"/>
  <c r="K73" i="4"/>
  <c r="D47" i="4"/>
  <c r="D73" i="4"/>
  <c r="A23" i="5"/>
  <c r="Y45" i="4"/>
  <c r="AC21" i="5"/>
  <c r="AP21" i="5" s="1"/>
  <c r="AR21" i="5" s="1"/>
  <c r="E45" i="4"/>
  <c r="K71" i="4"/>
  <c r="D45" i="4"/>
  <c r="D71" i="4"/>
  <c r="A21" i="5"/>
  <c r="Y57" i="4"/>
  <c r="AC33" i="5"/>
  <c r="AP33" i="5" s="1"/>
  <c r="AR33" i="5" s="1"/>
  <c r="E58" i="4"/>
  <c r="K83" i="4"/>
  <c r="D83" i="4"/>
  <c r="A33" i="5"/>
  <c r="Y43" i="4"/>
  <c r="AC19" i="5"/>
  <c r="AP19" i="5" s="1"/>
  <c r="AR19" i="5" s="1"/>
  <c r="E43" i="4"/>
  <c r="K69" i="4"/>
  <c r="D43" i="4"/>
  <c r="D69" i="4"/>
  <c r="A19" i="5"/>
  <c r="Y53" i="4"/>
  <c r="AC29" i="5"/>
  <c r="AP29" i="5" s="1"/>
  <c r="AR29" i="5" s="1"/>
  <c r="D79" i="4"/>
  <c r="A29" i="5"/>
  <c r="J55" i="4"/>
  <c r="K55" i="4" s="1"/>
  <c r="M55" i="4" s="1"/>
  <c r="AC55" i="4"/>
  <c r="J49" i="4"/>
  <c r="AC49" i="4"/>
  <c r="J60" i="4"/>
  <c r="AC60" i="4"/>
  <c r="J51" i="4"/>
  <c r="AC51" i="4"/>
  <c r="J63" i="4"/>
  <c r="AC63" i="4"/>
  <c r="J47" i="4"/>
  <c r="AC47" i="4"/>
  <c r="J45" i="4"/>
  <c r="AC45" i="4"/>
  <c r="J58" i="4"/>
  <c r="AC58" i="4"/>
  <c r="J43" i="4"/>
  <c r="AC43" i="4"/>
  <c r="Y54" i="4"/>
  <c r="AC30" i="5"/>
  <c r="AP30" i="5" s="1"/>
  <c r="AR30" i="5" s="1"/>
  <c r="E55" i="4"/>
  <c r="K80" i="4"/>
  <c r="D80" i="4"/>
  <c r="A30" i="5"/>
  <c r="AP25" i="5"/>
  <c r="AR25" i="5" s="1"/>
  <c r="Y60" i="4"/>
  <c r="AE60" i="4" s="1"/>
  <c r="AK60" i="4" s="1"/>
  <c r="E61" i="4"/>
  <c r="K86" i="4"/>
  <c r="D86" i="4"/>
  <c r="A36" i="5"/>
  <c r="Y62" i="4"/>
  <c r="AC38" i="5"/>
  <c r="AP38" i="5" s="1"/>
  <c r="AR38" i="5" s="1"/>
  <c r="E63" i="4"/>
  <c r="K88" i="4"/>
  <c r="D88" i="4"/>
  <c r="A38" i="5"/>
  <c r="Y50" i="4"/>
  <c r="AC26" i="5"/>
  <c r="AP26" i="5" s="1"/>
  <c r="AR26" i="5" s="1"/>
  <c r="E50" i="4"/>
  <c r="K76" i="4"/>
  <c r="D50" i="4"/>
  <c r="D76" i="4"/>
  <c r="A26" i="5"/>
  <c r="Y61" i="4"/>
  <c r="AC37" i="5"/>
  <c r="AP37" i="5" s="1"/>
  <c r="AR37" i="5" s="1"/>
  <c r="D62" i="4"/>
  <c r="D87" i="4"/>
  <c r="A37" i="5"/>
  <c r="Y48" i="4"/>
  <c r="AC24" i="5"/>
  <c r="AP24" i="5" s="1"/>
  <c r="AR24" i="5" s="1"/>
  <c r="E48" i="4"/>
  <c r="K74" i="4"/>
  <c r="D48" i="4"/>
  <c r="D74" i="4"/>
  <c r="A24" i="5"/>
  <c r="Y46" i="4"/>
  <c r="AC22" i="5"/>
  <c r="AP22" i="5" s="1"/>
  <c r="AR22" i="5" s="1"/>
  <c r="E46" i="4"/>
  <c r="K72" i="4"/>
  <c r="D46" i="4"/>
  <c r="D72" i="4"/>
  <c r="A22" i="5"/>
  <c r="Y44" i="4"/>
  <c r="AC20" i="5"/>
  <c r="AP20" i="5" s="1"/>
  <c r="AR20" i="5" s="1"/>
  <c r="E44" i="4"/>
  <c r="K70" i="4"/>
  <c r="D44" i="4"/>
  <c r="D70" i="4"/>
  <c r="A20" i="5"/>
  <c r="Y58" i="4"/>
  <c r="AE58" i="4" s="1"/>
  <c r="AK58" i="4" s="1"/>
  <c r="AC34" i="5"/>
  <c r="AP34" i="5" s="1"/>
  <c r="AR34" i="5" s="1"/>
  <c r="D59" i="4"/>
  <c r="D84" i="4"/>
  <c r="A34" i="5"/>
  <c r="F56" i="4"/>
  <c r="J52" i="4"/>
  <c r="AC52" i="4"/>
  <c r="J53" i="4"/>
  <c r="AC53" i="4"/>
  <c r="J50" i="4"/>
  <c r="AC50" i="4"/>
  <c r="J48" i="4"/>
  <c r="K48" i="4" s="1"/>
  <c r="M48" i="4" s="1"/>
  <c r="AC48" i="4"/>
  <c r="J46" i="4"/>
  <c r="AC46" i="4"/>
  <c r="J44" i="4"/>
  <c r="AC44" i="4"/>
  <c r="K46" i="4"/>
  <c r="K63" i="4"/>
  <c r="M63" i="4" s="1"/>
  <c r="F61" i="4"/>
  <c r="E59" i="4"/>
  <c r="F59" i="4"/>
  <c r="D61" i="4"/>
  <c r="E62" i="4"/>
  <c r="D54" i="4"/>
  <c r="F62" i="4"/>
  <c r="D55" i="4"/>
  <c r="D60" i="4"/>
  <c r="D63" i="4"/>
  <c r="D58" i="4"/>
  <c r="E54" i="4"/>
  <c r="F57" i="4"/>
  <c r="F54" i="4"/>
  <c r="K43" i="4"/>
  <c r="M43" i="4" s="1"/>
  <c r="K44" i="4"/>
  <c r="M44" i="4" s="1"/>
  <c r="M46" i="4"/>
  <c r="B32" i="4"/>
  <c r="B82" i="4" s="1"/>
  <c r="L48" i="4" l="1"/>
  <c r="F24" i="4"/>
  <c r="F74" i="4" s="1"/>
  <c r="L43" i="4"/>
  <c r="F19" i="4"/>
  <c r="F69" i="4" s="1"/>
  <c r="J57" i="4"/>
  <c r="AC57" i="4"/>
  <c r="L44" i="4"/>
  <c r="F20" i="4"/>
  <c r="F70" i="4" s="1"/>
  <c r="J54" i="4"/>
  <c r="K54" i="4" s="1"/>
  <c r="M54" i="4" s="1"/>
  <c r="AC54" i="4"/>
  <c r="L63" i="4"/>
  <c r="F39" i="4"/>
  <c r="F89" i="4" s="1"/>
  <c r="J56" i="4"/>
  <c r="AC56" i="4"/>
  <c r="AE44" i="4"/>
  <c r="AK44" i="4" s="1"/>
  <c r="AE48" i="4"/>
  <c r="AK48" i="4" s="1"/>
  <c r="K50" i="4"/>
  <c r="M50" i="4" s="1"/>
  <c r="AE50" i="4"/>
  <c r="AK50" i="4" s="1"/>
  <c r="AE54" i="4"/>
  <c r="AK54" i="4" s="1"/>
  <c r="AE53" i="4"/>
  <c r="AK53" i="4" s="1"/>
  <c r="K45" i="4"/>
  <c r="M45" i="4" s="1"/>
  <c r="AE45" i="4"/>
  <c r="AK45" i="4" s="1"/>
  <c r="K53" i="4"/>
  <c r="M53" i="4" s="1"/>
  <c r="AE63" i="4"/>
  <c r="AK63" i="4" s="1"/>
  <c r="K52" i="4"/>
  <c r="M52" i="4" s="1"/>
  <c r="AE52" i="4"/>
  <c r="AK52" i="4" s="1"/>
  <c r="K60" i="4"/>
  <c r="M60" i="4" s="1"/>
  <c r="K49" i="4"/>
  <c r="M49" i="4" s="1"/>
  <c r="L46" i="4"/>
  <c r="F22" i="4"/>
  <c r="F72" i="4" s="1"/>
  <c r="J62" i="4"/>
  <c r="AC62" i="4"/>
  <c r="AE62" i="4" s="1"/>
  <c r="AK62" i="4" s="1"/>
  <c r="J59" i="4"/>
  <c r="AC59" i="4"/>
  <c r="AE59" i="4"/>
  <c r="AK59" i="4" s="1"/>
  <c r="J61" i="4"/>
  <c r="K61" i="4" s="1"/>
  <c r="M61" i="4" s="1"/>
  <c r="AC61" i="4"/>
  <c r="L55" i="4"/>
  <c r="F31" i="4"/>
  <c r="F81" i="4" s="1"/>
  <c r="AE46" i="4"/>
  <c r="AK46" i="4" s="1"/>
  <c r="AE61" i="4"/>
  <c r="AK61" i="4" s="1"/>
  <c r="AE43" i="4"/>
  <c r="AK43" i="4" s="1"/>
  <c r="K58" i="4"/>
  <c r="M58" i="4" s="1"/>
  <c r="AE57" i="4"/>
  <c r="AK57" i="4" s="1"/>
  <c r="K47" i="4"/>
  <c r="M47" i="4" s="1"/>
  <c r="AE47" i="4"/>
  <c r="AK47" i="4" s="1"/>
  <c r="K51" i="4"/>
  <c r="M51" i="4" s="1"/>
  <c r="AE51" i="4"/>
  <c r="AK51" i="4" s="1"/>
  <c r="AE49" i="4"/>
  <c r="AK49" i="4" s="1"/>
  <c r="AE55" i="4"/>
  <c r="AK55" i="4" s="1"/>
  <c r="K59" i="4"/>
  <c r="M59" i="4" s="1"/>
  <c r="K62" i="4"/>
  <c r="M62" i="4" s="1"/>
  <c r="BX17" i="4"/>
  <c r="BW17" i="4"/>
  <c r="BV32" i="4"/>
  <c r="BV17" i="4"/>
  <c r="B17" i="4"/>
  <c r="L59" i="4" l="1"/>
  <c r="F35" i="4"/>
  <c r="F85" i="4" s="1"/>
  <c r="L51" i="4"/>
  <c r="F27" i="4"/>
  <c r="F77" i="4" s="1"/>
  <c r="L47" i="4"/>
  <c r="F23" i="4"/>
  <c r="F73" i="4" s="1"/>
  <c r="L58" i="4"/>
  <c r="F34" i="4"/>
  <c r="F84" i="4" s="1"/>
  <c r="L60" i="4"/>
  <c r="F36" i="4"/>
  <c r="F86" i="4" s="1"/>
  <c r="L52" i="4"/>
  <c r="F28" i="4"/>
  <c r="F78" i="4" s="1"/>
  <c r="L53" i="4"/>
  <c r="F29" i="4"/>
  <c r="F79" i="4" s="1"/>
  <c r="L45" i="4"/>
  <c r="F21" i="4"/>
  <c r="F71" i="4" s="1"/>
  <c r="L62" i="4"/>
  <c r="F38" i="4"/>
  <c r="F88" i="4" s="1"/>
  <c r="L54" i="4"/>
  <c r="F30" i="4"/>
  <c r="F80" i="4" s="1"/>
  <c r="L61" i="4"/>
  <c r="F37" i="4"/>
  <c r="F87" i="4" s="1"/>
  <c r="L49" i="4"/>
  <c r="F25" i="4"/>
  <c r="F75" i="4" s="1"/>
  <c r="L50" i="4"/>
  <c r="F26" i="4"/>
  <c r="F76" i="4" s="1"/>
  <c r="T18" i="4"/>
  <c r="S18" i="4"/>
  <c r="AB32" i="4" l="1"/>
  <c r="AA32" i="4"/>
  <c r="Z32" i="4"/>
  <c r="X32" i="4"/>
  <c r="W32" i="4"/>
  <c r="V32" i="4"/>
  <c r="U32" i="4"/>
  <c r="T32" i="4"/>
  <c r="S32" i="4"/>
  <c r="BU32" i="4"/>
  <c r="BS32" i="4"/>
  <c r="BR32" i="4"/>
  <c r="BQ32" i="4"/>
  <c r="BO32" i="4"/>
  <c r="BS18" i="4"/>
  <c r="BT18" i="4"/>
  <c r="BU18" i="4"/>
  <c r="BR18" i="4"/>
  <c r="BQ18" i="4"/>
  <c r="BP18" i="4"/>
  <c r="BM32" i="4"/>
  <c r="BK32" i="4"/>
  <c r="BJ32" i="4"/>
  <c r="BI32" i="4"/>
  <c r="BH32" i="4"/>
  <c r="BG32" i="4"/>
  <c r="BE32" i="4"/>
  <c r="BD32" i="4"/>
  <c r="BC32" i="4"/>
  <c r="BK18" i="4"/>
  <c r="BJ18" i="4"/>
  <c r="BI18" i="4"/>
  <c r="BH18" i="4"/>
  <c r="BG18" i="4"/>
  <c r="BE18" i="4"/>
  <c r="BD18" i="4"/>
  <c r="BC18" i="4"/>
  <c r="BB32" i="4"/>
  <c r="AZ32" i="4"/>
  <c r="AY32" i="4"/>
  <c r="AX32" i="4"/>
  <c r="AW32" i="4"/>
  <c r="AV32" i="4"/>
  <c r="AI32" i="5" s="1"/>
  <c r="AU32" i="4"/>
  <c r="AT32" i="4"/>
  <c r="AS32" i="4"/>
  <c r="BB18" i="4"/>
  <c r="AZ18" i="4"/>
  <c r="AY18" i="4"/>
  <c r="AX18" i="4"/>
  <c r="AW18" i="4"/>
  <c r="AU18" i="4"/>
  <c r="AT18" i="4"/>
  <c r="AS18" i="4"/>
  <c r="AP32" i="4"/>
  <c r="AO32" i="4"/>
  <c r="AN32" i="4"/>
  <c r="AM32" i="4"/>
  <c r="AL32" i="4"/>
  <c r="AP18" i="4"/>
  <c r="AO18" i="4"/>
  <c r="AN18" i="4"/>
  <c r="AM18" i="4"/>
  <c r="AL18" i="4"/>
  <c r="CF32" i="4"/>
  <c r="AK32" i="4"/>
  <c r="AG32" i="5" s="1"/>
  <c r="AJ32" i="4"/>
  <c r="AI32" i="4"/>
  <c r="AH32" i="4"/>
  <c r="AG32" i="4"/>
  <c r="AF32" i="4"/>
  <c r="AJ18" i="4"/>
  <c r="AI18" i="4"/>
  <c r="AH18" i="4"/>
  <c r="AE18" i="4"/>
  <c r="AG18" i="4"/>
  <c r="AF18" i="4"/>
  <c r="AD18" i="4"/>
  <c r="AD32" i="4"/>
  <c r="AC18" i="4"/>
  <c r="AB18" i="4" l="1"/>
  <c r="AA18" i="4"/>
  <c r="Z18" i="4"/>
  <c r="X18" i="4"/>
  <c r="W18" i="4"/>
  <c r="V18" i="4"/>
  <c r="U18" i="4"/>
  <c r="R18" i="4" l="1"/>
  <c r="Q18" i="4"/>
  <c r="P18" i="4"/>
  <c r="O18" i="4"/>
  <c r="N32" i="4"/>
  <c r="R32" i="4"/>
  <c r="Q32" i="4"/>
  <c r="P32" i="4"/>
  <c r="O32" i="4"/>
  <c r="N16" i="4"/>
  <c r="L32" i="4"/>
  <c r="K32" i="4"/>
  <c r="K82" i="4" s="1"/>
  <c r="H32" i="4"/>
  <c r="H82" i="4" s="1"/>
  <c r="D32" i="4"/>
  <c r="C32" i="4"/>
  <c r="C82" i="4" s="1"/>
  <c r="A32" i="4"/>
  <c r="A82" i="4" s="1"/>
  <c r="D82" i="4" l="1"/>
  <c r="A32" i="5"/>
  <c r="Y56" i="4"/>
  <c r="AE56" i="4" s="1"/>
  <c r="AK56" i="4" s="1"/>
  <c r="AC32" i="5"/>
  <c r="AP32" i="5" s="1"/>
  <c r="AR32" i="5" s="1"/>
  <c r="D57" i="4"/>
  <c r="D56" i="4"/>
  <c r="E57" i="4"/>
  <c r="K57" i="4" s="1"/>
  <c r="M57" i="4" s="1"/>
  <c r="E56" i="4"/>
  <c r="K56" i="4" s="1"/>
  <c r="M56" i="4" s="1"/>
  <c r="CG29" i="4" l="1"/>
  <c r="L57" i="4"/>
  <c r="F33" i="4"/>
  <c r="F83" i="4" s="1"/>
  <c r="L56" i="4"/>
  <c r="F32" i="4"/>
  <c r="F82" i="4" s="1"/>
  <c r="CL29" i="4"/>
  <c r="CG19" i="4"/>
  <c r="CH19" i="4" s="1"/>
  <c r="CG35" i="4"/>
  <c r="CG28" i="4"/>
  <c r="CG22" i="4"/>
  <c r="CG25" i="4"/>
  <c r="CH25" i="4" s="1"/>
  <c r="CG26" i="4"/>
  <c r="CH26" i="4" s="1"/>
  <c r="CG34" i="4"/>
  <c r="CG23" i="4"/>
  <c r="CG21" i="4"/>
  <c r="CG37" i="4"/>
  <c r="CG27" i="4"/>
  <c r="CG31" i="4"/>
  <c r="CG20" i="4"/>
  <c r="CH20" i="4" s="1"/>
  <c r="CG30" i="4"/>
  <c r="CG33" i="4"/>
  <c r="CH33" i="4" s="1"/>
  <c r="CG36" i="4"/>
  <c r="CG24" i="4"/>
  <c r="CG39" i="4"/>
  <c r="CG38" i="4"/>
  <c r="CG32" i="4"/>
  <c r="CJ26" i="4" l="1"/>
  <c r="CJ25" i="4"/>
  <c r="CJ19" i="4"/>
  <c r="CJ20" i="4"/>
  <c r="CJ29" i="4"/>
  <c r="E79" i="4" s="1"/>
  <c r="G79" i="4" s="1"/>
  <c r="CJ37" i="4"/>
  <c r="M79" i="4" l="1"/>
  <c r="G29" i="4"/>
  <c r="I29" i="4" s="1"/>
  <c r="J29" i="4" s="1"/>
  <c r="M29" i="4" s="1"/>
  <c r="U29" i="5"/>
  <c r="CL19" i="4"/>
  <c r="CL23" i="4"/>
  <c r="E73" i="4" s="1"/>
  <c r="G73" i="4" s="1"/>
  <c r="CL37" i="4"/>
  <c r="E87" i="4" s="1"/>
  <c r="G87" i="4" s="1"/>
  <c r="CL22" i="4"/>
  <c r="E72" i="4" s="1"/>
  <c r="G72" i="4" s="1"/>
  <c r="CJ35" i="4"/>
  <c r="CL35" i="4"/>
  <c r="CJ30" i="4"/>
  <c r="CL30" i="4"/>
  <c r="CJ34" i="4"/>
  <c r="CL34" i="4"/>
  <c r="CL26" i="4"/>
  <c r="E26" i="4" s="1"/>
  <c r="CL38" i="4"/>
  <c r="CJ38" i="4"/>
  <c r="CL27" i="4"/>
  <c r="CL21" i="4"/>
  <c r="CL36" i="4"/>
  <c r="CJ36" i="4"/>
  <c r="CJ31" i="4"/>
  <c r="CL31" i="4"/>
  <c r="CL24" i="4"/>
  <c r="CL28" i="4"/>
  <c r="CJ28" i="4"/>
  <c r="CL20" i="4"/>
  <c r="E20" i="4" s="1"/>
  <c r="CL25" i="4"/>
  <c r="E25" i="4" s="1"/>
  <c r="CJ33" i="4"/>
  <c r="E33" i="4" s="1"/>
  <c r="CL33" i="4"/>
  <c r="CJ39" i="4"/>
  <c r="CL39" i="4"/>
  <c r="CJ32" i="4"/>
  <c r="CL32" i="4"/>
  <c r="E19" i="4" l="1"/>
  <c r="E69" i="4" s="1"/>
  <c r="G69" i="4" s="1"/>
  <c r="M69" i="4" s="1"/>
  <c r="AB29" i="5"/>
  <c r="AS29" i="5" s="1"/>
  <c r="AT29" i="5" s="1"/>
  <c r="AX29" i="5" s="1"/>
  <c r="M72" i="4"/>
  <c r="M73" i="4"/>
  <c r="M87" i="4"/>
  <c r="G19" i="4"/>
  <c r="I19" i="4" s="1"/>
  <c r="J19" i="4" s="1"/>
  <c r="M19" i="4" s="1"/>
  <c r="G22" i="4"/>
  <c r="I22" i="4" s="1"/>
  <c r="J22" i="4" s="1"/>
  <c r="M22" i="4" s="1"/>
  <c r="U22" i="5"/>
  <c r="G37" i="4"/>
  <c r="I37" i="4" s="1"/>
  <c r="J37" i="4" s="1"/>
  <c r="M37" i="4" s="1"/>
  <c r="U37" i="5"/>
  <c r="G23" i="4"/>
  <c r="I23" i="4" s="1"/>
  <c r="J23" i="4" s="1"/>
  <c r="M23" i="4" s="1"/>
  <c r="U23" i="5"/>
  <c r="E81" i="4"/>
  <c r="G81" i="4" s="1"/>
  <c r="E71" i="4"/>
  <c r="G71" i="4" s="1"/>
  <c r="E80" i="4"/>
  <c r="G80" i="4" s="1"/>
  <c r="E74" i="4"/>
  <c r="G74" i="4" s="1"/>
  <c r="E84" i="4"/>
  <c r="G84" i="4" s="1"/>
  <c r="E70" i="4"/>
  <c r="G70" i="4" s="1"/>
  <c r="E76" i="4"/>
  <c r="G76" i="4" s="1"/>
  <c r="E89" i="4"/>
  <c r="G89" i="4" s="1"/>
  <c r="E75" i="4"/>
  <c r="G75" i="4" s="1"/>
  <c r="E78" i="4"/>
  <c r="G78" i="4" s="1"/>
  <c r="E86" i="4"/>
  <c r="G86" i="4" s="1"/>
  <c r="E77" i="4"/>
  <c r="G77" i="4" s="1"/>
  <c r="E83" i="4"/>
  <c r="G83" i="4" s="1"/>
  <c r="E88" i="4"/>
  <c r="G88" i="4" s="1"/>
  <c r="E85" i="4"/>
  <c r="G85" i="4" s="1"/>
  <c r="J86" i="4" l="1"/>
  <c r="I86" i="4"/>
  <c r="J85" i="4"/>
  <c r="I85" i="4"/>
  <c r="I81" i="4"/>
  <c r="J81" i="4" s="1"/>
  <c r="I80" i="4"/>
  <c r="J80" i="4"/>
  <c r="M80" i="4" s="1"/>
  <c r="U19" i="5"/>
  <c r="AB37" i="5"/>
  <c r="AS37" i="5" s="1"/>
  <c r="AT37" i="5" s="1"/>
  <c r="AX37" i="5" s="1"/>
  <c r="AB23" i="5"/>
  <c r="AS23" i="5" s="1"/>
  <c r="AT23" i="5" s="1"/>
  <c r="AX23" i="5" s="1"/>
  <c r="AB22" i="5"/>
  <c r="AS22" i="5" s="1"/>
  <c r="AT22" i="5" s="1"/>
  <c r="AX22" i="5" s="1"/>
  <c r="AB19" i="5"/>
  <c r="AS19" i="5" s="1"/>
  <c r="AT19" i="5" s="1"/>
  <c r="AX19" i="5" s="1"/>
  <c r="U32" i="5"/>
  <c r="E82" i="4"/>
  <c r="G82" i="4" s="1"/>
  <c r="M77" i="4"/>
  <c r="M89" i="4"/>
  <c r="M70" i="4"/>
  <c r="M71" i="4"/>
  <c r="M88" i="4"/>
  <c r="M78" i="4"/>
  <c r="M85" i="4"/>
  <c r="M83" i="4"/>
  <c r="M75" i="4"/>
  <c r="M76" i="4"/>
  <c r="M84" i="4"/>
  <c r="G27" i="4"/>
  <c r="I27" i="4" s="1"/>
  <c r="J27" i="4" s="1"/>
  <c r="M27" i="4" s="1"/>
  <c r="U27" i="5"/>
  <c r="G39" i="4"/>
  <c r="I39" i="4" s="1"/>
  <c r="J39" i="4" s="1"/>
  <c r="M39" i="4" s="1"/>
  <c r="U39" i="5"/>
  <c r="G24" i="4"/>
  <c r="I24" i="4" s="1"/>
  <c r="J24" i="4" s="1"/>
  <c r="M24" i="4" s="1"/>
  <c r="U24" i="5"/>
  <c r="G35" i="4"/>
  <c r="I35" i="4" s="1"/>
  <c r="J35" i="4" s="1"/>
  <c r="M35" i="4" s="1"/>
  <c r="U35" i="5"/>
  <c r="G26" i="4"/>
  <c r="I26" i="4" s="1"/>
  <c r="J26" i="4" s="1"/>
  <c r="M26" i="4" s="1"/>
  <c r="U26" i="5"/>
  <c r="G30" i="4"/>
  <c r="I30" i="4" s="1"/>
  <c r="J30" i="4" s="1"/>
  <c r="M30" i="4" s="1"/>
  <c r="U30" i="5"/>
  <c r="AB30" i="5" s="1"/>
  <c r="AS30" i="5" s="1"/>
  <c r="AT30" i="5" s="1"/>
  <c r="AX30" i="5" s="1"/>
  <c r="G38" i="4"/>
  <c r="I38" i="4" s="1"/>
  <c r="J38" i="4" s="1"/>
  <c r="M38" i="4" s="1"/>
  <c r="U38" i="5"/>
  <c r="AB38" i="5" s="1"/>
  <c r="AS38" i="5" s="1"/>
  <c r="AT38" i="5" s="1"/>
  <c r="AX38" i="5" s="1"/>
  <c r="G28" i="4"/>
  <c r="I28" i="4" s="1"/>
  <c r="J28" i="4" s="1"/>
  <c r="M28" i="4" s="1"/>
  <c r="U28" i="5"/>
  <c r="G20" i="4"/>
  <c r="I20" i="4" s="1"/>
  <c r="J20" i="4" s="1"/>
  <c r="M20" i="4" s="1"/>
  <c r="U20" i="5"/>
  <c r="G21" i="4"/>
  <c r="I21" i="4" s="1"/>
  <c r="J21" i="4" s="1"/>
  <c r="M21" i="4" s="1"/>
  <c r="U21" i="5"/>
  <c r="G33" i="4"/>
  <c r="I33" i="4" s="1"/>
  <c r="J33" i="4" s="1"/>
  <c r="M33" i="4" s="1"/>
  <c r="U33" i="5"/>
  <c r="G25" i="4"/>
  <c r="U25" i="5"/>
  <c r="AB25" i="5" s="1"/>
  <c r="AS25" i="5" s="1"/>
  <c r="AT25" i="5" s="1"/>
  <c r="AX25" i="5" s="1"/>
  <c r="G34" i="4"/>
  <c r="I34" i="4" s="1"/>
  <c r="J34" i="4" s="1"/>
  <c r="M34" i="4" s="1"/>
  <c r="U34" i="5"/>
  <c r="AB34" i="5" s="1"/>
  <c r="AS34" i="5" s="1"/>
  <c r="AT34" i="5" s="1"/>
  <c r="AX34" i="5" s="1"/>
  <c r="G31" i="4"/>
  <c r="I31" i="4" s="1"/>
  <c r="J31" i="4" s="1"/>
  <c r="M31" i="4" s="1"/>
  <c r="U31" i="5"/>
  <c r="G36" i="4"/>
  <c r="I36" i="4" s="1"/>
  <c r="J36" i="4" s="1"/>
  <c r="M36" i="4" s="1"/>
  <c r="U36" i="5"/>
  <c r="I25" i="4"/>
  <c r="J25" i="4" s="1"/>
  <c r="M25" i="4" s="1"/>
  <c r="G32" i="4"/>
  <c r="I32" i="4" s="1"/>
  <c r="J32" i="4" s="1"/>
  <c r="M32" i="4" s="1"/>
  <c r="AB39" i="5" l="1"/>
  <c r="AS39" i="5" s="1"/>
  <c r="AT39" i="5" s="1"/>
  <c r="AX39" i="5" s="1"/>
  <c r="AB36" i="5"/>
  <c r="AS36" i="5" s="1"/>
  <c r="AT36" i="5" s="1"/>
  <c r="AX36" i="5" s="1"/>
  <c r="AB35" i="5"/>
  <c r="AS35" i="5" s="1"/>
  <c r="AT35" i="5" s="1"/>
  <c r="AX35" i="5" s="1"/>
  <c r="AB33" i="5"/>
  <c r="AS33" i="5" s="1"/>
  <c r="AT33" i="5" s="1"/>
  <c r="AX33" i="5" s="1"/>
  <c r="AB32" i="5"/>
  <c r="AS32" i="5" s="1"/>
  <c r="AT32" i="5" s="1"/>
  <c r="AX32" i="5" s="1"/>
  <c r="AB31" i="5"/>
  <c r="AS31" i="5" s="1"/>
  <c r="AT31" i="5" s="1"/>
  <c r="AX31" i="5" s="1"/>
  <c r="AB28" i="5"/>
  <c r="AS28" i="5" s="1"/>
  <c r="AT28" i="5" s="1"/>
  <c r="AX28" i="5" s="1"/>
  <c r="AB27" i="5"/>
  <c r="AS27" i="5" s="1"/>
  <c r="AT27" i="5" s="1"/>
  <c r="AX27" i="5" s="1"/>
  <c r="AB26" i="5"/>
  <c r="AS26" i="5" s="1"/>
  <c r="AT26" i="5" s="1"/>
  <c r="AX26" i="5" s="1"/>
  <c r="AB24" i="5"/>
  <c r="AS24" i="5" s="1"/>
  <c r="AT24" i="5" s="1"/>
  <c r="AX24" i="5" s="1"/>
  <c r="AB21" i="5"/>
  <c r="AS21" i="5" s="1"/>
  <c r="AT21" i="5" s="1"/>
  <c r="AX21" i="5" s="1"/>
  <c r="M40" i="4"/>
  <c r="AB20" i="5"/>
  <c r="AS20" i="5" s="1"/>
  <c r="AT20" i="5" s="1"/>
  <c r="AX20" i="5" s="1"/>
  <c r="M81" i="4"/>
  <c r="M86" i="4"/>
  <c r="M74" i="4"/>
  <c r="M90" i="4" s="1"/>
  <c r="M91" i="4" s="1"/>
  <c r="M8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42" authorId="0" shapeId="0" xr:uid="{02B56D6E-3814-4833-A8D7-E63FBDB00A5E}">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<sst xmlns="http://schemas.openxmlformats.org/spreadsheetml/2006/main" count="878" uniqueCount="353">
  <si>
    <t>DOCKET NO.</t>
  </si>
  <si>
    <t>ITEM CODE</t>
  </si>
  <si>
    <t>PROPOSE ERP ITEM NAME</t>
  </si>
  <si>
    <t>Insulation Screening (Metallic)</t>
  </si>
  <si>
    <t>Weight (Insulation Screening (Metallic))</t>
  </si>
  <si>
    <t>Conductor</t>
  </si>
  <si>
    <t>AL ALLOY</t>
  </si>
  <si>
    <t>Insulation Screening (Non-Metallic)</t>
  </si>
  <si>
    <t>Insulation</t>
  </si>
  <si>
    <t>POLY TAPE</t>
  </si>
  <si>
    <t>Inner Sheath</t>
  </si>
  <si>
    <t>Armouring</t>
  </si>
  <si>
    <t>Outer Sheath</t>
  </si>
  <si>
    <t>FILLER</t>
  </si>
  <si>
    <t>GREASE</t>
  </si>
  <si>
    <t>Water swellable Tape</t>
  </si>
  <si>
    <t>Semi conducting Water Swellable tape</t>
  </si>
  <si>
    <t>SEMICON TAPE</t>
  </si>
  <si>
    <t>GLASS FIBER TAPE</t>
  </si>
  <si>
    <t>COPPER WIRE 0.8 MM</t>
  </si>
  <si>
    <t>RUBBERIZED COTTON TAPE</t>
  </si>
  <si>
    <t>Water Tight Compound</t>
  </si>
  <si>
    <t>DRUM COST PER KM</t>
  </si>
  <si>
    <t>TOTAL RM COST</t>
  </si>
  <si>
    <t>FIRM %</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</si>
  <si>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</si>
  <si>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</si>
  <si>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</si>
  <si>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</si>
  <si>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</si>
  <si>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</si>
  <si>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</si>
  <si>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</si>
  <si>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</si>
  <si>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</si>
  <si>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</si>
  <si>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</si>
  <si>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</si>
  <si>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</si>
  <si>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</si>
  <si>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</si>
  <si>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</si>
  <si>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</si>
  <si>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</si>
  <si>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</si>
  <si>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</si>
  <si>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</si>
  <si>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</si>
  <si>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</si>
  <si>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</si>
  <si>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</si>
  <si>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</si>
  <si>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</si>
  <si>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</si>
  <si>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</si>
  <si>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</si>
  <si>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</si>
  <si>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</si>
  <si>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</si>
  <si>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</si>
  <si>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</si>
  <si>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</si>
  <si>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</si>
  <si>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</si>
  <si>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</si>
  <si>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</si>
  <si>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</si>
  <si>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</si>
  <si>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</si>
  <si>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</si>
  <si>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</si>
  <si>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</si>
  <si>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</si>
  <si>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</si>
  <si>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</si>
  <si>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</si>
  <si>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</si>
  <si>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</si>
  <si>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</si>
  <si>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</si>
  <si>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</si>
  <si>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</si>
  <si>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</si>
  <si>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</si>
  <si>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</si>
  <si>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Galvanised Steel Round Wire (Double)</t>
  </si>
  <si>
    <t>EXTRA CONSUMPTION VALUE</t>
  </si>
  <si>
    <t>REVERSE AUCTION</t>
  </si>
  <si>
    <t>TENDER SPECIFICATION NO ()</t>
  </si>
  <si>
    <t>TENDER DESCRIPTION  ()</t>
  </si>
  <si>
    <t>Last Date &amp; Time of Submission ()</t>
  </si>
  <si>
    <t>Price ()</t>
  </si>
  <si>
    <t>Validity  ()</t>
  </si>
  <si>
    <t>Delivery Period  ()</t>
  </si>
  <si>
    <t>Payment Terms ()</t>
  </si>
  <si>
    <t>Standard length ()</t>
  </si>
  <si>
    <t>Packing  ()</t>
  </si>
  <si>
    <t>Technical Specification</t>
  </si>
  <si>
    <t>Base Date</t>
  </si>
  <si>
    <t>DRUM CODE</t>
  </si>
  <si>
    <t>DRUM SIZE (FxbXtx Ft)</t>
  </si>
  <si>
    <t>Propose Drum Type</t>
  </si>
  <si>
    <t>Insulation Screening(Metallic)</t>
  </si>
  <si>
    <t>RM Rate(Insulation Screening(Metallic))</t>
  </si>
  <si>
    <t>Cost Insulation Screening(Metallic)</t>
  </si>
  <si>
    <t>RM Rate(Conductor)</t>
  </si>
  <si>
    <t>Weight(Conductor)</t>
  </si>
  <si>
    <t>Cost(Conductor)</t>
  </si>
  <si>
    <t>RM Rate(AL Alloy)</t>
  </si>
  <si>
    <t>Weight(Al Alloy)</t>
  </si>
  <si>
    <t>Cost(AL Alloy)</t>
  </si>
  <si>
    <t>Insulation Screening(Non-Metallic)</t>
  </si>
  <si>
    <t>RM Rate(Insulation Screening(Non-Metallic))</t>
  </si>
  <si>
    <t>Weight(Insulation Screening(Non-Metallic)</t>
  </si>
  <si>
    <t>Cost(Insulation Screening(Non-Metallic)</t>
  </si>
  <si>
    <t>RM Rate(Insulation)</t>
  </si>
  <si>
    <t>Weight(Insulation)</t>
  </si>
  <si>
    <t>Cost(Insulation)</t>
  </si>
  <si>
    <t>Poly Tape</t>
  </si>
  <si>
    <t>RM Rate(Poly Tape)</t>
  </si>
  <si>
    <t>Weight(Poly Tape)</t>
  </si>
  <si>
    <t>Cost(Poly Tape)</t>
  </si>
  <si>
    <t>RM Rate(Inner Sheath)</t>
  </si>
  <si>
    <t>Weight(Inner Sheath)</t>
  </si>
  <si>
    <t>Cost(Inner Sheath)</t>
  </si>
  <si>
    <t>RM Rate(Armouring)</t>
  </si>
  <si>
    <t>Weight(Armouring)</t>
  </si>
  <si>
    <t>Cost(Armouring)</t>
  </si>
  <si>
    <t>RM Rate(Outer Sheath)</t>
  </si>
  <si>
    <t>Weight(Outer Sheath)</t>
  </si>
  <si>
    <t>Cost(Outer Sheath)</t>
  </si>
  <si>
    <t>Filler</t>
  </si>
  <si>
    <t>RM Rate(Filler)</t>
  </si>
  <si>
    <t>Weight(Filler)</t>
  </si>
  <si>
    <t>Cost(Filler)</t>
  </si>
  <si>
    <t>RM Rate(Grease)</t>
  </si>
  <si>
    <t>Weight(Grease)</t>
  </si>
  <si>
    <t>Cost(Grease)</t>
  </si>
  <si>
    <t>Water Swellable Tape</t>
  </si>
  <si>
    <t>RM Rate(Water Swellable Tape)</t>
  </si>
  <si>
    <t>Weight(Water Swellable Tape)</t>
  </si>
  <si>
    <t>Cost(Water Swellable Tape)</t>
  </si>
  <si>
    <t>Semi Conducting Water Swellable Tape</t>
  </si>
  <si>
    <t>RM Rate(Semi Conducting Water Swellable Tape)</t>
  </si>
  <si>
    <t>Weight(Semi Conducting Water Swellable Tape)</t>
  </si>
  <si>
    <t>Cost(Semi Conducting Water Swellable Tape)</t>
  </si>
  <si>
    <t>Semicon Tape</t>
  </si>
  <si>
    <t>RM Rate(Semicon Tape)</t>
  </si>
  <si>
    <t>Weight(Semicon Tape)</t>
  </si>
  <si>
    <t>Cost(Semicon Tape)</t>
  </si>
  <si>
    <t>Glass Fiber Tape</t>
  </si>
  <si>
    <t>RM Rate(Glass Fiber Tape)</t>
  </si>
  <si>
    <t>Weight(Glass Fiber Tape)</t>
  </si>
  <si>
    <t>Cost(Glass Fiber Tape)</t>
  </si>
  <si>
    <t>Copper Wire 0.8MM</t>
  </si>
  <si>
    <t>RM Rate(Copper Wire 0.8MM)</t>
  </si>
  <si>
    <t>Weight(Copper Wire 0.8MM)</t>
  </si>
  <si>
    <t>Cost(Copper Wire 0.8MM)</t>
  </si>
  <si>
    <t>Rubberized Cotton Tape</t>
  </si>
  <si>
    <t>RM Rate(Rubberized Cotton Tape)</t>
  </si>
  <si>
    <t>Weight(Rubberized Cotton Tape)</t>
  </si>
  <si>
    <t>Cost(Rubberized Cotton Tape)</t>
  </si>
  <si>
    <t>RM Rate(Water Tight Compound)</t>
  </si>
  <si>
    <t>Weight(Water Tight Compound)</t>
  </si>
  <si>
    <t>Cost(Water Tight Compound)</t>
  </si>
  <si>
    <t>Drum Cost Per KM</t>
  </si>
  <si>
    <t>Total RM Cost</t>
  </si>
  <si>
    <t>Firm Value</t>
  </si>
  <si>
    <t>MFG Value</t>
  </si>
  <si>
    <t>Profit Value</t>
  </si>
  <si>
    <t>1st EX-Works</t>
  </si>
  <si>
    <t>Intt Value</t>
  </si>
  <si>
    <t>Insp Value</t>
  </si>
  <si>
    <t>EX-Works Per KM</t>
  </si>
  <si>
    <t>Freight Per KM</t>
  </si>
  <si>
    <t>Price Including Freight Per KM</t>
  </si>
  <si>
    <t>GST Value</t>
  </si>
  <si>
    <t>Price Including GST &amp; Freight Per KM</t>
  </si>
  <si>
    <t>Total Price Of Full QTY(Including Freight&amp;GST)</t>
  </si>
  <si>
    <t>Party Standard Length(MTR)</t>
  </si>
  <si>
    <t>ENQ-15138-22-23</t>
  </si>
  <si>
    <t>FA1300079</t>
  </si>
  <si>
    <t>3 CORE X 185 SQ. MM AL/ARM - WIRE (XLPE) - 33 KV</t>
  </si>
  <si>
    <t>STEEL</t>
  </si>
  <si>
    <t>Extruded Semiconductive</t>
  </si>
  <si>
    <t>Polypropylene Filler</t>
  </si>
  <si>
    <t>KMS</t>
  </si>
  <si>
    <t>SP0400081</t>
  </si>
  <si>
    <t>CORRUGATED DISPATCH STEEL  DRUM 2500 X 1400 X 1250 MM</t>
  </si>
  <si>
    <t>FA1300083</t>
  </si>
  <si>
    <t>3 CORE X 400 SQ. MM. AL/ARM - WIRE (XLPE) - 11 KV</t>
  </si>
  <si>
    <t>SP0400105</t>
  </si>
  <si>
    <t>CORRUGATED DISPATCH STEEL DRUM 2500 X 1500 X 1400</t>
  </si>
  <si>
    <t>FA1300120</t>
  </si>
  <si>
    <t>3 CORE X 70 SQ. MM. AL/ARM - WIRE (XLPE) - 33 KV</t>
  </si>
  <si>
    <t>SP0400136</t>
  </si>
  <si>
    <t>CORRUGATED DISPATCH STEEL DRUM 2200 X 1300 X 1200 MM</t>
  </si>
  <si>
    <t>FA1300200</t>
  </si>
  <si>
    <t>3 CORE X 95 SQ. MM. AL/ARM  WIRE (XLPE) - 33 KV</t>
  </si>
  <si>
    <t>FA1300091</t>
  </si>
  <si>
    <t>3 CORE X 300 SQ. MM. AL/ARM - WIRE (XLPE) - 11 KV</t>
  </si>
  <si>
    <t>FA1300090</t>
  </si>
  <si>
    <t>3 CORE X 185 SQ. MM AL/ARM - WIRE (XLPE) - 11 KV</t>
  </si>
  <si>
    <t>SP0400111</t>
  </si>
  <si>
    <t>CORRUGATED DISPATCH STEEL DRUM 1900 X 1000 X 1000 MM</t>
  </si>
  <si>
    <t>FA1300176</t>
  </si>
  <si>
    <t>3 CORE X 150 SQ. MM. AL/ARM - WIRE (XLPE) - 11 KV</t>
  </si>
  <si>
    <t>FA1300197</t>
  </si>
  <si>
    <t>3 CORE X 120 SQ. MM. AL/ARM - WIRE (XLPE) - 11 KV</t>
  </si>
  <si>
    <t>SP0400118</t>
  </si>
  <si>
    <t>CORRUGATED DISPATCH STEEL DRUM 1700 X 1000 X 1200</t>
  </si>
  <si>
    <t>FA1300088</t>
  </si>
  <si>
    <t>3 CORE X 95 SQ. MM. AL/ARM - WIRE (XLPE) - 11 KV (E)</t>
  </si>
  <si>
    <t>SP0400110</t>
  </si>
  <si>
    <t>CORRUGATED DISPATCH STEEL DRUM 1600 X 900 X 1000 MM</t>
  </si>
  <si>
    <t>FA1300027</t>
  </si>
  <si>
    <t>1 CORE X 630 SQ. MM. AL/ARM (XLPE)  - 33 KV</t>
  </si>
  <si>
    <t>SP0400123</t>
  </si>
  <si>
    <t>CORRUGATED DISPATCH STEEL DRUM 2000 X 1000 X 1200 MM</t>
  </si>
  <si>
    <t>FA1300066</t>
  </si>
  <si>
    <t>1 CORE X 1000 SQ. MM. AL/ARM (XLPE) - 11 KV</t>
  </si>
  <si>
    <t>SP0400107</t>
  </si>
  <si>
    <t>CORRUGATED DISPATCH STEEL DRUM 2150 X 1080 X 1240 MM</t>
  </si>
  <si>
    <t>FA1300018</t>
  </si>
  <si>
    <t>1 CORE X 400 SQ. MM. AL/ARM (XLPE) - 33 KV</t>
  </si>
  <si>
    <t>SP0400112</t>
  </si>
  <si>
    <t>CORRUGATED DISPATCH STEEL DRUM 2000 X 1000 X 1000 MM</t>
  </si>
  <si>
    <t>FA1300019</t>
  </si>
  <si>
    <t>1 CORE X 300 SQ. MM. AL/ARM (XLPE)  - 33 KV</t>
  </si>
  <si>
    <t>FA1300016</t>
  </si>
  <si>
    <t>1 CORE X 630 SQ. MM. AL/ARM (XLPE)  - 11 KV</t>
  </si>
  <si>
    <t>SP0400091</t>
  </si>
  <si>
    <t>CORRUGATED DISPATCH STEEL DRUM 1800 X 900 X 1000</t>
  </si>
  <si>
    <t>FA1300047</t>
  </si>
  <si>
    <t>1 CORE X 400 SQ. MM. AL/ARM (XLPE) - 11 KV</t>
  </si>
  <si>
    <t>SP0400125</t>
  </si>
  <si>
    <t>CORRUGATED DISPATCH STEEL DRUM 1600 X 700 X 915 MM</t>
  </si>
  <si>
    <t>FA1300022</t>
  </si>
  <si>
    <t>3 CORE X 50 SQ. MM. AL/ARD - WIRE (XLPE) - 33 KV (E)</t>
  </si>
  <si>
    <t>FA1300297</t>
  </si>
  <si>
    <t>3 CORE X 35 SQ. MM. AL/ARM - WIRE (XLPE) - 33 KV (E)</t>
  </si>
  <si>
    <t>FA1300313</t>
  </si>
  <si>
    <t>3 CORE X 50 SQ. MM. AL/ARD - WIRE (XLPE) - 11 KV</t>
  </si>
  <si>
    <t>FA1300081</t>
  </si>
  <si>
    <t>3 CORE X 300 SQ. MM. AL/ARM - WIRE (XLPE) - 33 KV</t>
  </si>
  <si>
    <t>SP0400137</t>
  </si>
  <si>
    <t>CORRUGATED DISPATCH STEEL DRUM 2600 X 1600 X 1600</t>
  </si>
  <si>
    <t>FA1300080</t>
  </si>
  <si>
    <t>3 CORE X 400 SQ. MM AL/ARM - WIRE (XLPE) - 33 KV</t>
  </si>
  <si>
    <t>CORRUGATED DISPATCH STEEL DRUM 2600 X 1600 X 1600 MM</t>
  </si>
  <si>
    <t>FA1300009</t>
  </si>
  <si>
    <t>1 CORE X 300 SQ. MM. AL./ARM (XLPE)  - 11 KV</t>
  </si>
  <si>
    <t>SP0400152</t>
  </si>
  <si>
    <t>CORRUGATED DISPATCH STEEL DRUM 1500 X 800 X 915</t>
  </si>
  <si>
    <t>TPCODL / CCG / FY 24-25 / 1000001767</t>
  </si>
  <si>
    <t>One Year Rate Contract for supply of HT Cables at TPCODL, TPNODL, TPSODL &amp; TPWODL</t>
  </si>
  <si>
    <t>TP Odisha DISCOMs</t>
  </si>
  <si>
    <t>17.02.2025 [16:00 Hrs]</t>
  </si>
  <si>
    <t>No of bidders allowed to participate in RA process shall be: Total No of bidders on whom tender would be split PLUS 2 more bidders.
Illustrative example: Total no of qualified bidders is 10 &amp; tender needs to split amongst 4 bidders.</t>
  </si>
  <si>
    <t>The line-item prices shall be subject to Price Variation clause as per latest IEEMA Circular. (Base Date of IEEMA for price consideration shall be Dec-24).</t>
  </si>
  <si>
    <t>Bids shall remain valid for 180 days from the due date of submission of the bid.
Notwithstanding clause above, CCG may solicit the Bidder’s consent to an extension of the Period of Bid Validity.
The request and responses thereto shall be made in writing.</t>
  </si>
  <si>
    <t>The delivery period for a quantity of up to 40 KM shall be 90 days from the date of issuance of the RO or GTP drawing approval, whichever is later.</t>
  </si>
  <si>
    <t>100% payment will be made within 60 days of submission of error-free certified invoice complete in all respects. For MSME payment cycle shall be within 45 days.</t>
  </si>
  <si>
    <t>Cable length on one drum shall be 250 meters for 3 core cables &amp; 500 meters for 1 core cables max. +/- 5%. (As per PO Terms.)</t>
  </si>
  <si>
    <t>Steel drums shall be provided. Drum shall be free from sharp edges and visual defect. Stencil plate on one flange side of the drum and laminated paper sheet on other side flange of drum.</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</si>
  <si>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</si>
  <si>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</si>
  <si>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</si>
  <si>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</si>
  <si>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</si>
  <si>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</si>
  <si>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</si>
  <si>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</si>
  <si>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</si>
  <si>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25 MT TRAILER</t>
  </si>
  <si>
    <t>PV Terms(Price Variation Formula)</t>
  </si>
  <si>
    <t>PV FORMULA</t>
  </si>
  <si>
    <t>P=Po+Alf (Al-Alo)+XLFAL(CC-Cco)+CCFAI(PVCc-PVCco)+FeF (Fe-Feo)</t>
  </si>
  <si>
    <t>Alf</t>
  </si>
  <si>
    <t>Variation factor for aluminum.</t>
  </si>
  <si>
    <t>CCFAI</t>
  </si>
  <si>
    <t>Variation factor for PVC compound/Polymer for aluminum conductor cable.</t>
  </si>
  <si>
    <t>XLFAL</t>
  </si>
  <si>
    <t>Variation Factor For XLPE</t>
  </si>
  <si>
    <t>Fef</t>
  </si>
  <si>
    <t>Variation factor for steel</t>
  </si>
  <si>
    <t>Item</t>
  </si>
  <si>
    <t>Ex-Work</t>
  </si>
  <si>
    <t>VALUE ADDITION CALCULATION</t>
  </si>
  <si>
    <t>Calculation part</t>
  </si>
  <si>
    <t>Date of Inspection</t>
  </si>
  <si>
    <t>Applicable Date</t>
  </si>
  <si>
    <t>BASE DATE</t>
  </si>
  <si>
    <t>FACTORS</t>
  </si>
  <si>
    <t>Ex-Work
Po</t>
  </si>
  <si>
    <t>PVC of al</t>
  </si>
  <si>
    <t>PVC of XLPE</t>
  </si>
  <si>
    <t>PVC OF PVC</t>
  </si>
  <si>
    <t>PVC OF FE</t>
  </si>
  <si>
    <t>PVC OF CU TAPE</t>
  </si>
  <si>
    <t>PV/PKM</t>
  </si>
  <si>
    <t>Billing Price/PKM</t>
  </si>
  <si>
    <t>Date</t>
  </si>
  <si>
    <t>Al</t>
  </si>
  <si>
    <t>Cu</t>
  </si>
  <si>
    <t>Cc</t>
  </si>
  <si>
    <t>PVCc</t>
  </si>
  <si>
    <t>Fe</t>
  </si>
  <si>
    <t>Alo</t>
  </si>
  <si>
    <t>Cuo</t>
  </si>
  <si>
    <t>Cco</t>
  </si>
  <si>
    <t>PVCco</t>
  </si>
  <si>
    <t>Feo</t>
  </si>
  <si>
    <t>RMC</t>
  </si>
  <si>
    <t>Drum</t>
  </si>
  <si>
    <t>RMC+Drum</t>
  </si>
  <si>
    <t>VA</t>
  </si>
  <si>
    <t>Groos VA%</t>
  </si>
  <si>
    <t>Mfg %</t>
  </si>
  <si>
    <t>Int %</t>
  </si>
  <si>
    <t>Ins%</t>
  </si>
  <si>
    <t>Net VA</t>
  </si>
  <si>
    <t>FeF</t>
  </si>
  <si>
    <t>Smif</t>
  </si>
  <si>
    <t>Kg/Km</t>
  </si>
  <si>
    <t>PROVISIONAL</t>
  </si>
  <si>
    <t xml:space="preserve">The line-item prices shall be subject to Price Variation clause as per latest IEEMA Circular. (Base Date of IEEMA for price consideration shall be Dec-24). </t>
  </si>
  <si>
    <t>NCWBT</t>
  </si>
  <si>
    <t>PP FILLER</t>
  </si>
  <si>
    <t>Consider 1% extra cost  for complete cable .</t>
  </si>
  <si>
    <t>Rs. 15/kg extra</t>
  </si>
  <si>
    <t>Non Returnable Steel Drum</t>
  </si>
  <si>
    <t>SP0400108</t>
  </si>
  <si>
    <t>CORRUGATED DISPATCH STEEL DRUM 2250 X 1200 X 1400 MM</t>
  </si>
  <si>
    <t>SP0400126</t>
  </si>
  <si>
    <t>CORRUGATED DISPATCH STEEL DRUM 1900 X 830 X 915 MM</t>
  </si>
  <si>
    <t>sombhu sir confirmed overphone IN LAST TENDER DOCKET 12171 &amp; 12172</t>
  </si>
  <si>
    <t>CABLE WEIGHT KG/KM</t>
  </si>
  <si>
    <t>DRUM WEIGHT</t>
  </si>
  <si>
    <t>CABLE+DRUM WEIGHT</t>
  </si>
  <si>
    <t>TRAILOR WEIGHT</t>
  </si>
  <si>
    <t>EX-WORKS (PER MTR)</t>
  </si>
  <si>
    <t>FREIGHT PER MTR</t>
  </si>
  <si>
    <t>PRICE INCLUDING FREIGHT (PER MTR)</t>
  </si>
  <si>
    <t>PRICE INCLUDING GST &amp; FREIGHT (PER MTR)</t>
  </si>
  <si>
    <t>MTR</t>
  </si>
  <si>
    <t>ARM WIRE DIA</t>
  </si>
  <si>
    <t>BHUBANESWAR</t>
  </si>
  <si>
    <t>BALIA</t>
  </si>
  <si>
    <t>BERHAMPUR</t>
  </si>
  <si>
    <t>BURLA</t>
  </si>
  <si>
    <t>FREIGHT CHARGES</t>
  </si>
  <si>
    <t xml:space="preserve">AVERAGE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</si>
</sst>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_ * #,##0.00_ ;_ * \-#,##0.00_ ;_ * &quot;-&quot;??_ ;_ @_ "/>
    <numFmt numFmtId="165" formatCode="0.000%"/>
    <numFmt numFmtId="166" formatCode="0.0000"/>
    <numFmt numFmtId="167" formatCode="&quot;Rs.&quot;#,##0"/>
    <numFmt numFmtId="168" formatCode="0.0"/>
    <numFmt numFmtId="169" formatCode="0.000"/>
    <numFmt numFmtId="170" formatCode="0.00000"/>
  </numFmts>
  <fonts count="2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b/>
      <sz val="9"/>
      <color indexed="81"/>
      <name val="Tahoma"/>
      <family val="2"/>
    </font>
    <font>
      <sz val="9"/>
      <color indexed="81"/>
      <name val="Tahoma"/>
      <family val="2"/>
    </font>
    <font>
      <b/>
      <sz val="10"/>
      <name val="Verdana"/>
      <family val="2"/>
    </font>
    <font>
      <b/>
      <sz val="10"/>
      <name val="Calibri"/>
      <family val="2"/>
      <scheme val="minor"/>
    </font>
    <font>
      <sz val="10"/>
      <name val="Calibri"/>
      <family val="2"/>
      <scheme val="minor"/>
    </font>
    <font>
      <sz val="14"/>
      <name val="Calibri"/>
      <family val="2"/>
      <scheme val="minor"/>
    </font>
    <font>
      <b/>
      <sz val="10"/>
      <name val="Arial"/>
      <family val="2"/>
    </font>
    <font>
      <sz val="10"/>
      <color rgb="FFFF0000"/>
      <name val="Calibri"/>
      <family val="2"/>
      <scheme val="minor"/>
    </font>
    <font>
      <b/>
      <sz val="10"/>
      <color rgb="FF000000"/>
      <name val="Arial"/>
      <family val="2"/>
    </font>
    <font>
      <sz val="12"/>
      <color rgb="FF000000"/>
      <name val="Arial"/>
      <family val="2"/>
    </font>
    <font>
      <b/>
      <sz val="12"/>
      <color rgb="FF000000"/>
      <name val="Arial"/>
      <family val="2"/>
    </font>
  </fonts>
  <fills count="12">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0"/>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43" fontId="1" fillId="0" borderId="0" applyFont="0" applyFill="0" applyBorder="0" applyAlignment="0" applyProtection="0"/>
  </cellStyleXfs>
  <cellXfs count="228">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164" fontId="0" fillId="0" borderId="1" xfId="1" applyFont="1" applyBorder="1" applyAlignment="1">
      <alignment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164" fontId="0" fillId="0" borderId="1" xfId="0" applyNumberFormat="1" applyBorder="1" applyAlignment="1">
      <alignment wrapText="1"/>
    </xf>
    <xf numFmtId="0" fontId="0" fillId="0" borderId="1" xfId="0"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1" xfId="2" applyNumberFormat="1" applyFont="1" applyBorder="1" applyAlignment="1">
      <alignment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0" fontId="0" fillId="0" borderId="4" xfId="0" applyBorder="1" applyAlignment="1">
      <alignment horizontal="center" vertical="center" wrapText="1"/>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0" fontId="0" fillId="0" borderId="0" xfId="0" applyAlignment="1">
      <alignment vertical="center"/>
    </xf>
    <xf numFmtId="0" fontId="2" fillId="5" borderId="5" xfId="0" applyFont="1" applyFill="1" applyBorder="1" applyAlignment="1">
      <alignment vertical="top" wrapText="1"/>
    </xf>
    <xf numFmtId="0" fontId="2" fillId="5" borderId="6" xfId="0" applyFont="1" applyFill="1" applyBorder="1" applyAlignment="1">
      <alignment vertical="top" wrapText="1"/>
    </xf>
    <xf numFmtId="0" fontId="9" fillId="0" borderId="0" xfId="0" applyFont="1"/>
    <xf numFmtId="10" fontId="2" fillId="0" borderId="1" xfId="2" applyNumberFormat="1" applyFont="1" applyBorder="1" applyAlignment="1">
      <alignment wrapText="1"/>
    </xf>
    <xf numFmtId="0" fontId="2" fillId="5" borderId="1" xfId="0" applyFont="1" applyFill="1" applyBorder="1" applyAlignment="1">
      <alignment vertical="center" wrapText="1"/>
    </xf>
    <xf numFmtId="0" fontId="2" fillId="0" borderId="0" xfId="0" applyFont="1" applyAlignment="1">
      <alignment vertical="center" wrapText="1"/>
    </xf>
    <xf numFmtId="14" fontId="0" fillId="0" borderId="1" xfId="0" applyNumberFormat="1" applyBorder="1" applyAlignment="1">
      <alignment wrapText="1"/>
    </xf>
    <xf numFmtId="164" fontId="8" fillId="0" borderId="0" xfId="1" applyFont="1" applyFill="1" applyBorder="1" applyAlignment="1">
      <alignment vertical="center" wrapText="1"/>
    </xf>
    <xf numFmtId="0" fontId="8" fillId="5" borderId="1" xfId="0" applyFont="1" applyFill="1" applyBorder="1" applyAlignment="1">
      <alignment vertical="center" wrapText="1"/>
    </xf>
    <xf numFmtId="14" fontId="0" fillId="0" borderId="0" xfId="0" applyNumberFormat="1"/>
    <xf numFmtId="4" fontId="0" fillId="0" borderId="0" xfId="0" applyNumberFormat="1"/>
    <xf numFmtId="10" fontId="0" fillId="0" borderId="0" xfId="0" applyNumberFormat="1"/>
    <xf numFmtId="3" fontId="0" fillId="0" borderId="0" xfId="0" applyNumberFormat="1"/>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xf>
    <xf numFmtId="43" fontId="2" fillId="0" borderId="1" xfId="7" applyFont="1" applyFill="1" applyBorder="1" applyAlignment="1">
      <alignment horizontal="center" vertical="center"/>
    </xf>
    <xf numFmtId="43" fontId="2" fillId="6" borderId="1" xfId="7" applyFont="1" applyFill="1" applyBorder="1" applyAlignment="1">
      <alignment horizontal="center" vertical="center"/>
    </xf>
    <xf numFmtId="0" fontId="0" fillId="0" borderId="1" xfId="0" applyBorder="1" applyAlignment="1">
      <alignment vertical="center" wrapText="1"/>
    </xf>
    <xf numFmtId="0" fontId="11" fillId="0" borderId="1" xfId="4" applyBorder="1" applyAlignment="1">
      <alignment horizontal="center" vertical="center"/>
    </xf>
    <xf numFmtId="0" fontId="16" fillId="0" borderId="0" xfId="4" applyFont="1" applyAlignment="1">
      <alignment horizontal="center" vertical="center"/>
    </xf>
    <xf numFmtId="0" fontId="17" fillId="0" borderId="0" xfId="5" applyFont="1" applyAlignment="1">
      <alignment horizontal="center" vertical="center"/>
    </xf>
    <xf numFmtId="0" fontId="11" fillId="0" borderId="0" xfId="4" applyAlignment="1">
      <alignment horizontal="center" vertical="center"/>
    </xf>
    <xf numFmtId="0" fontId="16" fillId="0" borderId="1" xfId="4" applyFont="1" applyBorder="1" applyAlignment="1">
      <alignment vertical="center" wrapText="1"/>
    </xf>
    <xf numFmtId="0" fontId="11" fillId="0" borderId="0" xfId="4" applyAlignment="1">
      <alignment horizontal="left"/>
    </xf>
    <xf numFmtId="0" fontId="17" fillId="0" borderId="0" xfId="4" applyFont="1" applyAlignment="1">
      <alignment horizontal="center"/>
    </xf>
    <xf numFmtId="0" fontId="17" fillId="0" borderId="0" xfId="5" applyFont="1"/>
    <xf numFmtId="0" fontId="11" fillId="0" borderId="0" xfId="4"/>
    <xf numFmtId="0" fontId="16" fillId="0" borderId="1" xfId="4" applyFont="1" applyBorder="1" applyAlignment="1">
      <alignment horizontal="center" vertical="center"/>
    </xf>
    <xf numFmtId="0" fontId="16" fillId="0" borderId="0" xfId="4" applyFont="1" applyAlignment="1">
      <alignment horizontal="left" vertical="center" wrapText="1"/>
    </xf>
    <xf numFmtId="0" fontId="16" fillId="0" borderId="0" xfId="4" applyFont="1"/>
    <xf numFmtId="0" fontId="16" fillId="0" borderId="0" xfId="4" applyFont="1" applyAlignment="1">
      <alignment horizontal="center"/>
    </xf>
    <xf numFmtId="0" fontId="16" fillId="0" borderId="0" xfId="4" applyFont="1" applyAlignment="1">
      <alignment vertical="center"/>
    </xf>
    <xf numFmtId="0" fontId="11" fillId="0" borderId="0" xfId="4" applyAlignment="1">
      <alignment horizontal="center"/>
    </xf>
    <xf numFmtId="0" fontId="16" fillId="0" borderId="1" xfId="4" applyFont="1" applyBorder="1" applyAlignment="1">
      <alignment horizontal="left" vertical="center"/>
    </xf>
    <xf numFmtId="0" fontId="16" fillId="0" borderId="1" xfId="4" applyFont="1" applyBorder="1" applyAlignment="1">
      <alignment horizontal="center" vertical="center" wrapText="1"/>
    </xf>
    <xf numFmtId="166" fontId="16" fillId="0" borderId="0" xfId="4" applyNumberFormat="1" applyFont="1" applyAlignment="1">
      <alignment vertical="center"/>
    </xf>
    <xf numFmtId="0" fontId="15" fillId="0" borderId="1" xfId="4" applyFont="1" applyBorder="1" applyAlignment="1">
      <alignment horizontal="center"/>
    </xf>
    <xf numFmtId="14" fontId="17" fillId="0" borderId="0" xfId="4" applyNumberFormat="1" applyFont="1" applyAlignment="1">
      <alignment horizontal="center"/>
    </xf>
    <xf numFmtId="0" fontId="16" fillId="0" borderId="6" xfId="5" applyFont="1" applyBorder="1" applyAlignment="1">
      <alignment horizontal="center" vertical="center" wrapText="1"/>
    </xf>
    <xf numFmtId="0" fontId="16" fillId="0" borderId="1" xfId="5" applyFont="1" applyBorder="1" applyAlignment="1">
      <alignment horizontal="center" vertical="center" wrapText="1"/>
    </xf>
    <xf numFmtId="0" fontId="16" fillId="0" borderId="4" xfId="5" applyFont="1" applyBorder="1" applyAlignment="1">
      <alignment horizontal="center" vertical="center" wrapText="1"/>
    </xf>
    <xf numFmtId="0" fontId="16" fillId="0" borderId="2" xfId="5" applyFont="1" applyBorder="1" applyAlignment="1">
      <alignment horizontal="center" vertical="center" wrapText="1"/>
    </xf>
    <xf numFmtId="0" fontId="16" fillId="0" borderId="28" xfId="5" applyFont="1" applyBorder="1" applyAlignment="1">
      <alignment horizontal="center" vertical="center" wrapText="1"/>
    </xf>
    <xf numFmtId="0" fontId="19" fillId="0" borderId="4" xfId="5" applyFont="1" applyBorder="1" applyAlignment="1">
      <alignment horizontal="center" vertical="center" wrapText="1"/>
    </xf>
    <xf numFmtId="0" fontId="19" fillId="0" borderId="1" xfId="5" applyFont="1" applyBorder="1" applyAlignment="1">
      <alignment horizontal="center" vertical="center" wrapText="1"/>
    </xf>
    <xf numFmtId="167" fontId="19" fillId="0" borderId="4" xfId="5" applyNumberFormat="1" applyFont="1" applyBorder="1" applyAlignment="1">
      <alignment horizontal="center" vertical="center" wrapText="1"/>
    </xf>
    <xf numFmtId="167" fontId="19" fillId="0" borderId="1" xfId="5" applyNumberFormat="1" applyFont="1" applyBorder="1" applyAlignment="1">
      <alignment horizontal="center" vertical="center"/>
    </xf>
    <xf numFmtId="0" fontId="11" fillId="0" borderId="21" xfId="4" applyBorder="1"/>
    <xf numFmtId="0" fontId="17" fillId="0" borderId="6" xfId="5" applyFont="1" applyBorder="1" applyAlignment="1">
      <alignment horizontal="left" vertical="center" wrapText="1"/>
    </xf>
    <xf numFmtId="14" fontId="17" fillId="0" borderId="1" xfId="5" applyNumberFormat="1" applyFont="1" applyBorder="1" applyAlignment="1">
      <alignment horizontal="center" vertical="center" wrapText="1"/>
    </xf>
    <xf numFmtId="14" fontId="17" fillId="0" borderId="20" xfId="5" applyNumberFormat="1" applyFont="1" applyBorder="1" applyAlignment="1">
      <alignment horizontal="center" vertical="center" wrapText="1"/>
    </xf>
    <xf numFmtId="14" fontId="17" fillId="0" borderId="6" xfId="5" applyNumberFormat="1" applyFont="1" applyBorder="1" applyAlignment="1">
      <alignment horizontal="center" vertical="center" wrapText="1"/>
    </xf>
    <xf numFmtId="14" fontId="17" fillId="0" borderId="2" xfId="5" applyNumberFormat="1" applyFont="1" applyBorder="1" applyAlignment="1">
      <alignment horizontal="center" vertical="center" wrapText="1"/>
    </xf>
    <xf numFmtId="2" fontId="16" fillId="0" borderId="6" xfId="5" applyNumberFormat="1" applyFont="1" applyBorder="1" applyAlignment="1">
      <alignment horizontal="center" vertical="center" wrapText="1"/>
    </xf>
    <xf numFmtId="2" fontId="16" fillId="0" borderId="1" xfId="5" applyNumberFormat="1" applyFont="1" applyBorder="1" applyAlignment="1">
      <alignment horizontal="center" vertical="center" wrapText="1"/>
    </xf>
    <xf numFmtId="2" fontId="16" fillId="0" borderId="28" xfId="5" applyNumberFormat="1" applyFont="1" applyBorder="1" applyAlignment="1">
      <alignment horizontal="center" vertical="center" wrapText="1"/>
    </xf>
    <xf numFmtId="2" fontId="16" fillId="0" borderId="27" xfId="5" applyNumberFormat="1" applyFont="1" applyBorder="1" applyAlignment="1">
      <alignment horizontal="center" vertical="center" wrapText="1"/>
    </xf>
    <xf numFmtId="0" fontId="17" fillId="0" borderId="28" xfId="5" applyFont="1" applyBorder="1" applyAlignment="1">
      <alignment horizontal="center" vertical="center" wrapText="1"/>
    </xf>
    <xf numFmtId="0" fontId="17" fillId="0" borderId="27" xfId="5" applyFont="1" applyBorder="1" applyAlignment="1">
      <alignment horizontal="center" vertical="center" wrapText="1"/>
    </xf>
    <xf numFmtId="0" fontId="11" fillId="0" borderId="2" xfId="4" applyBorder="1" applyAlignment="1">
      <alignment horizontal="center" vertical="center" wrapText="1"/>
    </xf>
    <xf numFmtId="14" fontId="4" fillId="0" borderId="3" xfId="5" applyNumberFormat="1" applyFont="1" applyBorder="1" applyAlignment="1">
      <alignment horizontal="center" vertical="center" wrapText="1"/>
    </xf>
    <xf numFmtId="14" fontId="4" fillId="8" borderId="6" xfId="5" applyNumberFormat="1" applyFont="1" applyFill="1" applyBorder="1" applyAlignment="1">
      <alignment horizontal="center" vertical="center" wrapText="1"/>
    </xf>
    <xf numFmtId="168" fontId="20" fillId="0" borderId="1" xfId="6" applyNumberFormat="1" applyFont="1" applyBorder="1" applyAlignment="1">
      <alignment horizontal="center" vertical="center" wrapText="1"/>
    </xf>
    <xf numFmtId="168" fontId="17" fillId="0" borderId="1" xfId="6" applyNumberFormat="1" applyFont="1" applyBorder="1" applyAlignment="1">
      <alignment horizontal="center" vertical="center" wrapText="1"/>
    </xf>
    <xf numFmtId="168" fontId="17" fillId="0" borderId="2" xfId="6" applyNumberFormat="1" applyFont="1" applyBorder="1" applyAlignment="1">
      <alignment horizontal="center" vertical="center" wrapText="1"/>
    </xf>
    <xf numFmtId="14" fontId="17" fillId="8" borderId="6" xfId="6" applyNumberFormat="1" applyFont="1" applyFill="1" applyBorder="1" applyAlignment="1">
      <alignment horizontal="center" vertical="center" wrapText="1"/>
    </xf>
    <xf numFmtId="169" fontId="17" fillId="0" borderId="6" xfId="5" applyNumberFormat="1" applyFont="1" applyBorder="1" applyAlignment="1">
      <alignment horizontal="center" vertical="center" wrapText="1"/>
    </xf>
    <xf numFmtId="169" fontId="17" fillId="0" borderId="1" xfId="5" applyNumberFormat="1" applyFont="1" applyBorder="1" applyAlignment="1">
      <alignment horizontal="center" vertical="center" wrapText="1"/>
    </xf>
    <xf numFmtId="166" fontId="17" fillId="0" borderId="28" xfId="5" applyNumberFormat="1" applyFont="1" applyBorder="1" applyAlignment="1">
      <alignment horizontal="center" vertical="center" wrapText="1"/>
    </xf>
    <xf numFmtId="2" fontId="17" fillId="0" borderId="27" xfId="5" applyNumberFormat="1" applyFont="1" applyBorder="1" applyAlignment="1">
      <alignment horizontal="center" vertical="center" wrapText="1"/>
    </xf>
    <xf numFmtId="166" fontId="17" fillId="0" borderId="4" xfId="5" applyNumberFormat="1" applyFont="1" applyBorder="1" applyAlignment="1">
      <alignment vertical="center" wrapText="1"/>
    </xf>
    <xf numFmtId="169" fontId="17" fillId="0" borderId="2" xfId="5" applyNumberFormat="1" applyFont="1" applyBorder="1" applyAlignment="1">
      <alignment horizontal="center" vertical="center" wrapText="1"/>
    </xf>
    <xf numFmtId="2" fontId="17" fillId="0" borderId="28" xfId="5" applyNumberFormat="1" applyFont="1" applyBorder="1" applyAlignment="1">
      <alignment horizontal="center" vertical="center" wrapText="1"/>
    </xf>
    <xf numFmtId="2" fontId="17" fillId="9" borderId="27" xfId="5" applyNumberFormat="1" applyFont="1" applyFill="1" applyBorder="1" applyAlignment="1">
      <alignment horizontal="center" vertical="center" wrapText="1"/>
    </xf>
    <xf numFmtId="169" fontId="12" fillId="0" borderId="4" xfId="5" applyNumberFormat="1" applyBorder="1" applyAlignment="1">
      <alignment vertical="center"/>
    </xf>
    <xf numFmtId="169" fontId="12" fillId="0" borderId="1" xfId="5" applyNumberFormat="1" applyBorder="1" applyAlignment="1">
      <alignment vertical="center"/>
    </xf>
    <xf numFmtId="2" fontId="19" fillId="0" borderId="1" xfId="5" applyNumberFormat="1" applyFont="1" applyBorder="1" applyAlignment="1">
      <alignment vertical="center"/>
    </xf>
    <xf numFmtId="2" fontId="12" fillId="0" borderId="1" xfId="5" applyNumberFormat="1" applyBorder="1" applyAlignment="1">
      <alignment vertical="center"/>
    </xf>
    <xf numFmtId="2" fontId="19" fillId="0" borderId="20" xfId="5" applyNumberFormat="1" applyFont="1" applyBorder="1" applyAlignment="1">
      <alignment vertical="center"/>
    </xf>
    <xf numFmtId="0" fontId="11" fillId="0" borderId="37" xfId="4" applyBorder="1" applyAlignment="1">
      <alignment wrapText="1"/>
    </xf>
    <xf numFmtId="14" fontId="17" fillId="0" borderId="38" xfId="5" applyNumberFormat="1" applyFont="1" applyBorder="1" applyAlignment="1">
      <alignment horizontal="center" vertical="center" wrapText="1"/>
    </xf>
    <xf numFmtId="14" fontId="17" fillId="0" borderId="39" xfId="5" applyNumberFormat="1" applyFont="1" applyBorder="1" applyAlignment="1">
      <alignment horizontal="center" vertical="center" wrapText="1"/>
    </xf>
    <xf numFmtId="2" fontId="17" fillId="0" borderId="40" xfId="5" applyNumberFormat="1" applyFont="1" applyBorder="1" applyAlignment="1">
      <alignment horizontal="center" vertical="center" wrapText="1"/>
    </xf>
    <xf numFmtId="2" fontId="17" fillId="0" borderId="40" xfId="6" applyNumberFormat="1" applyFont="1" applyBorder="1" applyAlignment="1">
      <alignment horizontal="center" vertical="center" wrapText="1"/>
    </xf>
    <xf numFmtId="2" fontId="17" fillId="0" borderId="41" xfId="6" applyNumberFormat="1" applyFont="1" applyBorder="1" applyAlignment="1">
      <alignment horizontal="center" vertical="center" wrapText="1"/>
    </xf>
    <xf numFmtId="2" fontId="17" fillId="0" borderId="39" xfId="6" applyNumberFormat="1" applyFont="1" applyBorder="1" applyAlignment="1">
      <alignment horizontal="center" vertical="center" wrapText="1"/>
    </xf>
    <xf numFmtId="168" fontId="17" fillId="0" borderId="40" xfId="6" applyNumberFormat="1" applyFont="1" applyBorder="1" applyAlignment="1">
      <alignment horizontal="center" vertical="center" wrapText="1"/>
    </xf>
    <xf numFmtId="168" fontId="17" fillId="0" borderId="42" xfId="6" applyNumberFormat="1" applyFont="1" applyBorder="1" applyAlignment="1">
      <alignment horizontal="center" vertical="center" wrapText="1"/>
    </xf>
    <xf numFmtId="2" fontId="17" fillId="0" borderId="39" xfId="5" applyNumberFormat="1" applyFont="1" applyBorder="1" applyAlignment="1">
      <alignment horizontal="center" vertical="center" wrapText="1"/>
    </xf>
    <xf numFmtId="2" fontId="17" fillId="0" borderId="42" xfId="5" applyNumberFormat="1" applyFont="1" applyBorder="1" applyAlignment="1">
      <alignment horizontal="center" vertical="center" wrapText="1"/>
    </xf>
    <xf numFmtId="2" fontId="17" fillId="0" borderId="41" xfId="5" applyNumberFormat="1" applyFont="1" applyBorder="1" applyAlignment="1">
      <alignment horizontal="center" vertical="center" wrapText="1"/>
    </xf>
    <xf numFmtId="2" fontId="17" fillId="0" borderId="43" xfId="5" applyNumberFormat="1" applyFont="1" applyBorder="1" applyAlignment="1">
      <alignment horizontal="center" vertical="center" wrapText="1"/>
    </xf>
    <xf numFmtId="170" fontId="17" fillId="0" borderId="44" xfId="5" applyNumberFormat="1" applyFont="1" applyBorder="1" applyAlignment="1">
      <alignment vertical="center" wrapText="1"/>
    </xf>
    <xf numFmtId="170" fontId="17" fillId="0" borderId="40" xfId="5" applyNumberFormat="1" applyFont="1" applyBorder="1" applyAlignment="1">
      <alignment vertical="center" wrapText="1"/>
    </xf>
    <xf numFmtId="170" fontId="17" fillId="0" borderId="42" xfId="5" applyNumberFormat="1" applyFont="1" applyBorder="1" applyAlignment="1">
      <alignment vertical="center" wrapText="1"/>
    </xf>
    <xf numFmtId="166" fontId="17" fillId="0" borderId="45" xfId="5" applyNumberFormat="1" applyFont="1" applyBorder="1" applyAlignment="1">
      <alignment horizontal="center" vertical="center" wrapText="1"/>
    </xf>
    <xf numFmtId="0" fontId="11" fillId="0" borderId="46" xfId="4" applyBorder="1"/>
    <xf numFmtId="0" fontId="11" fillId="0" borderId="47" xfId="4" applyBorder="1"/>
    <xf numFmtId="0" fontId="11" fillId="0" borderId="0" xfId="4" applyAlignment="1">
      <alignment wrapText="1"/>
    </xf>
    <xf numFmtId="0" fontId="15" fillId="0" borderId="0" xfId="4" applyFont="1"/>
    <xf numFmtId="166" fontId="17" fillId="10" borderId="28" xfId="5" applyNumberFormat="1" applyFont="1" applyFill="1" applyBorder="1" applyAlignment="1">
      <alignment horizontal="center" vertical="center" wrapText="1"/>
    </xf>
    <xf numFmtId="169" fontId="17" fillId="10" borderId="1" xfId="5" applyNumberFormat="1" applyFont="1" applyFill="1" applyBorder="1" applyAlignment="1">
      <alignment horizontal="center" vertical="center" wrapText="1"/>
    </xf>
    <xf numFmtId="0" fontId="7" fillId="4" borderId="1" xfId="0" applyFont="1" applyFill="1" applyBorder="1" applyAlignment="1">
      <alignment vertical="center" wrapText="1"/>
    </xf>
    <xf numFmtId="0" fontId="0" fillId="11" borderId="1" xfId="0" applyFill="1" applyBorder="1" applyAlignment="1">
      <alignment wrapText="1"/>
    </xf>
    <xf numFmtId="0" fontId="3" fillId="10" borderId="1" xfId="0" applyFont="1" applyFill="1" applyBorder="1" applyAlignment="1">
      <alignment horizontal="center" vertical="center" wrapText="1"/>
    </xf>
    <xf numFmtId="0" fontId="0" fillId="10" borderId="1" xfId="0" applyFill="1" applyBorder="1" applyAlignment="1">
      <alignment vertical="center" wrapText="1"/>
    </xf>
    <xf numFmtId="164" fontId="21" fillId="0" borderId="0" xfId="1" applyFont="1" applyFill="1" applyBorder="1" applyAlignment="1">
      <alignment vertical="center" wrapText="1"/>
    </xf>
    <xf numFmtId="0" fontId="2" fillId="10" borderId="1" xfId="0" applyFont="1" applyFill="1" applyBorder="1" applyAlignment="1">
      <alignment horizontal="center" vertical="center" wrapText="1"/>
    </xf>
    <xf numFmtId="43" fontId="0" fillId="0" borderId="0" xfId="0" applyNumberFormat="1" applyAlignment="1">
      <alignment wrapText="1"/>
    </xf>
    <xf numFmtId="43" fontId="0" fillId="0" borderId="1" xfId="0" applyNumberFormat="1" applyBorder="1" applyAlignment="1">
      <alignment wrapText="1"/>
    </xf>
    <xf numFmtId="164" fontId="0" fillId="0" borderId="0" xfId="0" applyNumberFormat="1"/>
    <xf numFmtId="2" fontId="11" fillId="0" borderId="21" xfId="4" applyNumberFormat="1" applyBorder="1" applyAlignment="1">
      <alignment horizontal="center" wrapText="1"/>
    </xf>
    <xf numFmtId="0" fontId="11" fillId="0" borderId="35" xfId="4" applyBorder="1" applyAlignment="1">
      <alignment horizontal="center" wrapText="1"/>
    </xf>
    <xf numFmtId="0" fontId="22" fillId="0" borderId="0" xfId="0" applyFont="1"/>
    <xf numFmtId="0" fontId="0" fillId="0" borderId="0" xfId="0" applyAlignment="1">
      <alignment horizontal="right"/>
    </xf>
    <xf numFmtId="0" fontId="23" fillId="0" borderId="0" xfId="0" applyFont="1" applyAlignment="1">
      <alignment horizontal="right"/>
    </xf>
    <xf numFmtId="164" fontId="2" fillId="0" borderId="0" xfId="0" applyNumberFormat="1" applyFont="1"/>
    <xf numFmtId="0" fontId="10" fillId="0" borderId="2" xfId="0" applyFont="1" applyBorder="1" applyAlignment="1">
      <alignment horizontal="justify" vertical="top" wrapText="1"/>
    </xf>
    <xf numFmtId="0" fontId="10" fillId="0" borderId="3" xfId="0" applyFont="1" applyBorder="1" applyAlignment="1">
      <alignment horizontal="justify" vertical="top" wrapText="1"/>
    </xf>
    <xf numFmtId="0" fontId="10" fillId="0" borderId="4" xfId="0" applyFont="1" applyBorder="1" applyAlignment="1">
      <alignment horizontal="justify" vertical="top" wrapText="1"/>
    </xf>
    <xf numFmtId="0" fontId="0" fillId="0" borderId="1" xfId="0" applyBorder="1" applyAlignment="1">
      <alignment vertical="center" wrapText="1"/>
    </xf>
    <xf numFmtId="0" fontId="10" fillId="0" borderId="1" xfId="0" applyFont="1" applyBorder="1" applyAlignment="1">
      <alignment horizontal="left" vertical="top"/>
    </xf>
    <xf numFmtId="0" fontId="10" fillId="0" borderId="1" xfId="0" applyFont="1" applyBorder="1" applyAlignment="1">
      <alignment horizontal="left" vertical="top"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10" fillId="0" borderId="2" xfId="0" applyFont="1" applyBorder="1" applyAlignment="1">
      <alignment horizontal="left" vertical="top" wrapText="1"/>
    </xf>
    <xf numFmtId="0" fontId="10" fillId="0" borderId="3" xfId="0" applyFont="1" applyBorder="1" applyAlignment="1">
      <alignment horizontal="left" vertical="top" wrapText="1"/>
    </xf>
    <xf numFmtId="0" fontId="10" fillId="0" borderId="4" xfId="0" applyFont="1" applyBorder="1" applyAlignment="1">
      <alignment horizontal="left" vertical="top" wrapText="1"/>
    </xf>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19" fillId="0" borderId="22" xfId="5" applyFont="1" applyBorder="1" applyAlignment="1">
      <alignment horizontal="center" vertical="center" wrapText="1"/>
    </xf>
    <xf numFmtId="0" fontId="19" fillId="0" borderId="33" xfId="5" applyFont="1" applyBorder="1" applyAlignment="1">
      <alignment horizontal="center" vertical="center" wrapText="1"/>
    </xf>
    <xf numFmtId="0" fontId="19" fillId="0" borderId="31" xfId="5" applyFont="1" applyBorder="1" applyAlignment="1">
      <alignment horizontal="center" vertical="center" wrapText="1"/>
    </xf>
    <xf numFmtId="0" fontId="19" fillId="0" borderId="29" xfId="5" applyFont="1" applyBorder="1" applyAlignment="1">
      <alignment horizontal="center" vertical="center" wrapText="1"/>
    </xf>
    <xf numFmtId="0" fontId="19" fillId="0" borderId="34" xfId="5" applyFont="1" applyBorder="1" applyAlignment="1">
      <alignment horizontal="center" vertical="center" wrapText="1"/>
    </xf>
    <xf numFmtId="0" fontId="19" fillId="0" borderId="36" xfId="5" applyFont="1" applyBorder="1" applyAlignment="1">
      <alignment horizontal="center" vertical="center" wrapText="1"/>
    </xf>
    <xf numFmtId="0" fontId="16" fillId="0" borderId="23" xfId="5" applyFont="1" applyBorder="1" applyAlignment="1">
      <alignment horizontal="center" vertical="center" wrapText="1"/>
    </xf>
    <xf numFmtId="0" fontId="16" fillId="0" borderId="32" xfId="5" applyFont="1" applyBorder="1" applyAlignment="1">
      <alignment horizontal="center" vertical="center" wrapText="1"/>
    </xf>
    <xf numFmtId="0" fontId="16" fillId="0" borderId="17" xfId="5" applyFont="1" applyBorder="1" applyAlignment="1">
      <alignment horizontal="center" vertical="center" wrapText="1"/>
    </xf>
    <xf numFmtId="0" fontId="16" fillId="0" borderId="27" xfId="5" applyFont="1" applyBorder="1" applyAlignment="1">
      <alignment horizontal="center" vertical="center" wrapText="1"/>
    </xf>
    <xf numFmtId="0" fontId="19" fillId="0" borderId="5" xfId="5" applyFont="1" applyBorder="1" applyAlignment="1">
      <alignment horizontal="center" vertical="center"/>
    </xf>
    <xf numFmtId="0" fontId="19" fillId="0" borderId="10" xfId="5" applyFont="1" applyBorder="1" applyAlignment="1">
      <alignment horizontal="center" vertical="center"/>
    </xf>
    <xf numFmtId="0" fontId="19" fillId="0" borderId="11" xfId="5" applyFont="1" applyBorder="1" applyAlignment="1">
      <alignment horizontal="center" vertical="center"/>
    </xf>
    <xf numFmtId="0" fontId="19" fillId="0" borderId="4" xfId="5" applyFont="1" applyBorder="1" applyAlignment="1">
      <alignment horizontal="center" vertical="center"/>
    </xf>
    <xf numFmtId="0" fontId="19" fillId="0" borderId="1" xfId="5" applyFont="1" applyBorder="1" applyAlignment="1">
      <alignment horizontal="center" vertical="center"/>
    </xf>
    <xf numFmtId="0" fontId="19" fillId="0" borderId="20" xfId="5" applyFont="1" applyBorder="1" applyAlignment="1">
      <alignment horizontal="center" vertical="center"/>
    </xf>
    <xf numFmtId="0" fontId="16" fillId="0" borderId="15" xfId="5" applyFont="1" applyBorder="1" applyAlignment="1">
      <alignment horizontal="center" vertical="center" wrapText="1"/>
    </xf>
    <xf numFmtId="0" fontId="16" fillId="0" borderId="13" xfId="5" applyFont="1" applyBorder="1" applyAlignment="1">
      <alignment horizontal="center" vertical="center" wrapText="1"/>
    </xf>
    <xf numFmtId="0" fontId="16" fillId="0" borderId="16" xfId="5" applyFont="1" applyBorder="1" applyAlignment="1">
      <alignment horizontal="center" vertical="center" wrapText="1"/>
    </xf>
    <xf numFmtId="0" fontId="16" fillId="0" borderId="24" xfId="5" applyFont="1" applyBorder="1" applyAlignment="1">
      <alignment horizontal="center" vertical="center" wrapText="1"/>
    </xf>
    <xf numFmtId="0" fontId="16" fillId="0" borderId="25" xfId="5" applyFont="1" applyBorder="1" applyAlignment="1">
      <alignment horizontal="center" vertical="center" wrapText="1"/>
    </xf>
    <xf numFmtId="0" fontId="16" fillId="0" borderId="26" xfId="5" applyFont="1" applyBorder="1" applyAlignment="1">
      <alignment horizontal="center" vertical="center" wrapText="1"/>
    </xf>
    <xf numFmtId="0" fontId="16" fillId="0" borderId="18" xfId="5" applyFont="1" applyBorder="1" applyAlignment="1">
      <alignment horizontal="center" vertical="center" wrapText="1"/>
    </xf>
    <xf numFmtId="0" fontId="16" fillId="0" borderId="4" xfId="5" applyFont="1" applyBorder="1" applyAlignment="1">
      <alignment horizontal="center" vertical="center" wrapText="1"/>
    </xf>
    <xf numFmtId="0" fontId="16" fillId="0" borderId="10" xfId="5" applyFont="1" applyBorder="1" applyAlignment="1">
      <alignment horizontal="center" vertical="center" wrapText="1"/>
    </xf>
    <xf numFmtId="0" fontId="16" fillId="0" borderId="1" xfId="5" applyFont="1" applyBorder="1" applyAlignment="1">
      <alignment horizontal="center" vertical="center" wrapText="1"/>
    </xf>
    <xf numFmtId="0" fontId="16" fillId="0" borderId="20" xfId="5" applyFont="1" applyBorder="1" applyAlignment="1">
      <alignment horizontal="center" vertical="center" wrapText="1"/>
    </xf>
    <xf numFmtId="0" fontId="16" fillId="0" borderId="6" xfId="5" applyFont="1" applyBorder="1" applyAlignment="1">
      <alignment horizontal="center" vertical="center" wrapText="1"/>
    </xf>
    <xf numFmtId="0" fontId="11" fillId="0" borderId="0" xfId="4" applyAlignment="1">
      <alignment horizontal="center"/>
    </xf>
    <xf numFmtId="0" fontId="15" fillId="0" borderId="12" xfId="4" applyFont="1" applyBorder="1" applyAlignment="1">
      <alignment horizontal="center" vertical="center"/>
    </xf>
    <xf numFmtId="0" fontId="15" fillId="0" borderId="21" xfId="4" applyFont="1" applyBorder="1" applyAlignment="1">
      <alignment horizontal="center" vertical="center"/>
    </xf>
    <xf numFmtId="0" fontId="15" fillId="0" borderId="30" xfId="4" applyFont="1" applyBorder="1" applyAlignment="1">
      <alignment horizontal="center" vertical="center"/>
    </xf>
    <xf numFmtId="0" fontId="15" fillId="0" borderId="12" xfId="4" applyFont="1" applyBorder="1" applyAlignment="1">
      <alignment horizontal="center" vertical="center" wrapText="1"/>
    </xf>
    <xf numFmtId="0" fontId="15" fillId="0" borderId="21" xfId="4" applyFont="1" applyBorder="1" applyAlignment="1">
      <alignment horizontal="center" vertical="center" wrapText="1"/>
    </xf>
    <xf numFmtId="0" fontId="15" fillId="0" borderId="30" xfId="4" applyFont="1" applyBorder="1" applyAlignment="1">
      <alignment horizontal="center" vertical="center" wrapText="1"/>
    </xf>
    <xf numFmtId="0" fontId="16" fillId="0" borderId="0" xfId="5" applyFont="1" applyAlignment="1">
      <alignment horizontal="center" vertical="center" wrapText="1"/>
    </xf>
    <xf numFmtId="0" fontId="16" fillId="0" borderId="5" xfId="5" applyFont="1" applyBorder="1" applyAlignment="1">
      <alignment horizontal="center" vertical="center" wrapText="1"/>
    </xf>
    <xf numFmtId="0" fontId="16" fillId="0" borderId="11" xfId="5" applyFont="1" applyBorder="1" applyAlignment="1">
      <alignment horizontal="center" vertical="center" wrapText="1"/>
    </xf>
    <xf numFmtId="0" fontId="16" fillId="0" borderId="14" xfId="5" applyFont="1" applyBorder="1" applyAlignment="1">
      <alignment horizontal="center" vertical="center" wrapText="1"/>
    </xf>
    <xf numFmtId="0" fontId="16" fillId="0" borderId="22" xfId="5" applyFont="1" applyBorder="1" applyAlignment="1">
      <alignment horizontal="center" vertical="center" wrapText="1"/>
    </xf>
    <xf numFmtId="0" fontId="16" fillId="0" borderId="31" xfId="5" applyFont="1" applyBorder="1" applyAlignment="1">
      <alignment horizontal="center" vertical="center" wrapText="1"/>
    </xf>
    <xf numFmtId="0" fontId="16" fillId="0" borderId="2" xfId="5" applyFont="1" applyBorder="1" applyAlignment="1">
      <alignment horizontal="center" vertical="center" wrapText="1"/>
    </xf>
    <xf numFmtId="0" fontId="16" fillId="0" borderId="19" xfId="5" applyFont="1" applyBorder="1" applyAlignment="1">
      <alignment horizontal="center" vertical="center" wrapText="1"/>
    </xf>
    <xf numFmtId="0" fontId="16" fillId="0" borderId="28" xfId="5" applyFont="1" applyBorder="1" applyAlignment="1">
      <alignment horizontal="center" vertical="center" wrapText="1"/>
    </xf>
    <xf numFmtId="0" fontId="16" fillId="0" borderId="2" xfId="4" applyFont="1" applyBorder="1" applyAlignment="1">
      <alignment horizontal="left" vertical="center" wrapText="1"/>
    </xf>
    <xf numFmtId="0" fontId="16" fillId="0" borderId="4" xfId="4" applyFont="1" applyBorder="1" applyAlignment="1">
      <alignment horizontal="left" vertical="center"/>
    </xf>
    <xf numFmtId="14" fontId="15" fillId="5" borderId="2" xfId="4" applyNumberFormat="1" applyFont="1" applyFill="1" applyBorder="1" applyAlignment="1">
      <alignment horizontal="center" vertical="center"/>
    </xf>
    <xf numFmtId="0" fontId="15" fillId="5" borderId="3" xfId="4" applyFont="1" applyFill="1" applyBorder="1" applyAlignment="1">
      <alignment horizontal="center" vertical="center"/>
    </xf>
    <xf numFmtId="0" fontId="15" fillId="5" borderId="4" xfId="4" applyFont="1" applyFill="1" applyBorder="1" applyAlignment="1">
      <alignment horizontal="center" vertical="center"/>
    </xf>
    <xf numFmtId="0" fontId="18" fillId="0" borderId="2" xfId="4" applyFont="1" applyBorder="1" applyAlignment="1">
      <alignment vertical="center" wrapText="1"/>
    </xf>
    <xf numFmtId="0" fontId="16" fillId="0" borderId="3" xfId="4" applyFont="1" applyBorder="1" applyAlignment="1">
      <alignment vertical="center" wrapText="1"/>
    </xf>
    <xf numFmtId="0" fontId="16" fillId="0" borderId="4" xfId="4" applyFont="1" applyBorder="1" applyAlignment="1">
      <alignment vertical="center" wrapText="1"/>
    </xf>
    <xf numFmtId="0" fontId="16" fillId="0" borderId="1" xfId="4" applyFont="1" applyBorder="1" applyAlignment="1">
      <alignment horizontal="center" vertical="center"/>
    </xf>
    <xf numFmtId="2" fontId="0" fillId="0" borderId="0" xfId="0" applyNumberFormat="1"/>
  </cellXfs>
  <cellStyles count="8">
    <cellStyle name="Comma" xfId="1" builtinId="3"/>
    <cellStyle name="Comma 3" xfId="7" xr:uid="{00000000-0005-0000-0000-000001000000}"/>
    <cellStyle name="Normal" xfId="0" builtinId="0"/>
    <cellStyle name="Normal 2" xfId="3" xr:uid="{00000000-0005-0000-0000-000003000000}"/>
    <cellStyle name="Normal 2 2" xfId="5" xr:uid="{00000000-0005-0000-0000-000004000000}"/>
    <cellStyle name="Normal 2 2 2" xfId="6" xr:uid="{00000000-0005-0000-0000-000005000000}"/>
    <cellStyle name="Normal 6 2" xfId="4" xr:uid="{00000000-0005-0000-0000-00000600000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X23"/>
  <sheetViews>
    <sheetView topLeftCell="BX1" workbookViewId="0">
      <selection activeCell="A22" sqref="A22:CX23"/>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2" s="14" customFormat="1" x14ac:dyDescent="0.25">
      <c r="A1" t="s">
        <v>0</v>
      </c>
      <c r="B1" t="s">
        <v>98</v>
      </c>
      <c r="C1" t="s">
        <v>1</v>
      </c>
      <c r="D1" t="s">
        <v>2</v>
      </c>
      <c r="E1" t="s">
        <v>101</v>
      </c>
      <c r="F1" t="s">
        <v>102</v>
      </c>
      <c r="G1" t="s">
        <v>103</v>
      </c>
      <c r="H1" t="s">
        <v>4</v>
      </c>
      <c r="I1" t="s">
        <v>104</v>
      </c>
      <c r="J1" t="s">
        <v>5</v>
      </c>
      <c r="K1" t="s">
        <v>105</v>
      </c>
      <c r="L1" t="s">
        <v>106</v>
      </c>
      <c r="M1" t="s">
        <v>107</v>
      </c>
      <c r="N1" t="s">
        <v>6</v>
      </c>
      <c r="O1" t="s">
        <v>108</v>
      </c>
      <c r="P1" t="s">
        <v>109</v>
      </c>
      <c r="Q1" t="s">
        <v>110</v>
      </c>
      <c r="R1" t="s">
        <v>111</v>
      </c>
      <c r="S1" t="s">
        <v>112</v>
      </c>
      <c r="T1" t="s">
        <v>113</v>
      </c>
      <c r="U1" t="s">
        <v>114</v>
      </c>
      <c r="V1" t="s">
        <v>8</v>
      </c>
      <c r="W1" t="s">
        <v>115</v>
      </c>
      <c r="X1" t="s">
        <v>116</v>
      </c>
      <c r="Y1" t="s">
        <v>117</v>
      </c>
      <c r="Z1" t="s">
        <v>118</v>
      </c>
      <c r="AA1" t="s">
        <v>119</v>
      </c>
      <c r="AB1" t="s">
        <v>120</v>
      </c>
      <c r="AC1" t="s">
        <v>121</v>
      </c>
      <c r="AD1" t="s">
        <v>10</v>
      </c>
      <c r="AE1" t="s">
        <v>122</v>
      </c>
      <c r="AF1" t="s">
        <v>123</v>
      </c>
      <c r="AG1" t="s">
        <v>124</v>
      </c>
      <c r="AH1" t="s">
        <v>11</v>
      </c>
      <c r="AI1" t="s">
        <v>125</v>
      </c>
      <c r="AJ1" t="s">
        <v>126</v>
      </c>
      <c r="AK1" t="s">
        <v>127</v>
      </c>
      <c r="AL1" t="s">
        <v>12</v>
      </c>
      <c r="AM1" t="s">
        <v>128</v>
      </c>
      <c r="AN1" t="s">
        <v>129</v>
      </c>
      <c r="AO1" t="s">
        <v>130</v>
      </c>
      <c r="AP1" t="s">
        <v>131</v>
      </c>
      <c r="AQ1" t="s">
        <v>132</v>
      </c>
      <c r="AR1" t="s">
        <v>133</v>
      </c>
      <c r="AS1" t="s">
        <v>134</v>
      </c>
      <c r="AT1" t="s">
        <v>53</v>
      </c>
      <c r="AU1" t="s">
        <v>135</v>
      </c>
      <c r="AV1" t="s">
        <v>136</v>
      </c>
      <c r="AW1" t="s">
        <v>137</v>
      </c>
      <c r="AX1" t="s">
        <v>138</v>
      </c>
      <c r="AY1" t="s">
        <v>139</v>
      </c>
      <c r="AZ1" t="s">
        <v>140</v>
      </c>
      <c r="BA1" t="s">
        <v>141</v>
      </c>
      <c r="BB1" t="s">
        <v>142</v>
      </c>
      <c r="BC1" t="s">
        <v>143</v>
      </c>
      <c r="BD1" t="s">
        <v>144</v>
      </c>
      <c r="BE1" t="s">
        <v>145</v>
      </c>
      <c r="BF1" t="s">
        <v>146</v>
      </c>
      <c r="BG1" t="s">
        <v>147</v>
      </c>
      <c r="BH1" t="s">
        <v>148</v>
      </c>
      <c r="BI1" t="s">
        <v>149</v>
      </c>
      <c r="BJ1" t="s">
        <v>150</v>
      </c>
      <c r="BK1" t="s">
        <v>151</v>
      </c>
      <c r="BL1" t="s">
        <v>152</v>
      </c>
      <c r="BM1" t="s">
        <v>153</v>
      </c>
      <c r="BN1" t="s">
        <v>154</v>
      </c>
      <c r="BO1" t="s">
        <v>155</v>
      </c>
      <c r="BP1" t="s">
        <v>156</v>
      </c>
      <c r="BQ1" t="s">
        <v>157</v>
      </c>
      <c r="BR1" t="s">
        <v>158</v>
      </c>
      <c r="BS1" t="s">
        <v>159</v>
      </c>
      <c r="BT1" t="s">
        <v>160</v>
      </c>
      <c r="BU1" t="s">
        <v>161</v>
      </c>
      <c r="BV1" t="s">
        <v>21</v>
      </c>
      <c r="BW1" t="s">
        <v>162</v>
      </c>
      <c r="BX1" t="s">
        <v>163</v>
      </c>
      <c r="BY1" t="s">
        <v>164</v>
      </c>
      <c r="BZ1" t="s">
        <v>165</v>
      </c>
      <c r="CA1" t="s">
        <v>166</v>
      </c>
      <c r="CB1" t="s">
        <v>24</v>
      </c>
      <c r="CC1" t="s">
        <v>167</v>
      </c>
      <c r="CD1" t="s">
        <v>25</v>
      </c>
      <c r="CE1" t="s">
        <v>168</v>
      </c>
      <c r="CF1" t="s">
        <v>27</v>
      </c>
      <c r="CG1" t="s">
        <v>169</v>
      </c>
      <c r="CH1" t="s">
        <v>170</v>
      </c>
      <c r="CI1" t="s">
        <v>30</v>
      </c>
      <c r="CJ1" t="s">
        <v>171</v>
      </c>
      <c r="CK1" t="s">
        <v>32</v>
      </c>
      <c r="CL1" t="s">
        <v>172</v>
      </c>
      <c r="CM1" t="s">
        <v>173</v>
      </c>
      <c r="CN1" t="s">
        <v>174</v>
      </c>
      <c r="CO1" t="s">
        <v>175</v>
      </c>
      <c r="CP1" t="s">
        <v>37</v>
      </c>
      <c r="CQ1" t="s">
        <v>176</v>
      </c>
      <c r="CR1" t="s">
        <v>177</v>
      </c>
      <c r="CS1" t="s">
        <v>40</v>
      </c>
      <c r="CT1" t="s">
        <v>41</v>
      </c>
      <c r="CU1" t="s">
        <v>178</v>
      </c>
      <c r="CV1" t="s">
        <v>99</v>
      </c>
      <c r="CW1" t="s">
        <v>100</v>
      </c>
      <c r="CX1" t="s">
        <v>179</v>
      </c>
    </row>
    <row r="2" spans="1:102" x14ac:dyDescent="0.25">
      <c r="A2" t="s">
        <v>180</v>
      </c>
      <c r="B2" s="50">
        <v>45627</v>
      </c>
      <c r="C2" t="s">
        <v>181</v>
      </c>
      <c r="D2" t="s">
        <v>182</v>
      </c>
      <c r="E2" t="s">
        <v>183</v>
      </c>
      <c r="F2" t="s">
        <v>72</v>
      </c>
      <c r="G2">
        <v>873.4</v>
      </c>
      <c r="H2">
        <v>149</v>
      </c>
      <c r="I2">
        <v>130136.6</v>
      </c>
      <c r="J2" t="s">
        <v>44</v>
      </c>
      <c r="K2">
        <v>257</v>
      </c>
      <c r="L2">
        <v>1499</v>
      </c>
      <c r="M2">
        <v>385243</v>
      </c>
      <c r="P2">
        <v>0</v>
      </c>
      <c r="R2" t="s">
        <v>184</v>
      </c>
      <c r="S2">
        <v>180</v>
      </c>
      <c r="T2">
        <v>326</v>
      </c>
      <c r="U2" s="51">
        <v>58680</v>
      </c>
      <c r="V2" t="s">
        <v>54</v>
      </c>
      <c r="W2">
        <v>140</v>
      </c>
      <c r="X2">
        <v>2040</v>
      </c>
      <c r="Y2" s="51">
        <v>285600</v>
      </c>
      <c r="AB2">
        <v>0</v>
      </c>
      <c r="AD2" t="s">
        <v>80</v>
      </c>
      <c r="AE2">
        <v>87</v>
      </c>
      <c r="AF2">
        <v>335</v>
      </c>
      <c r="AG2">
        <v>29145</v>
      </c>
      <c r="AH2" t="s">
        <v>84</v>
      </c>
      <c r="AI2">
        <v>90.2</v>
      </c>
      <c r="AJ2">
        <v>5745</v>
      </c>
      <c r="AK2">
        <v>518199</v>
      </c>
      <c r="AL2" t="s">
        <v>64</v>
      </c>
      <c r="AM2">
        <v>89</v>
      </c>
      <c r="AN2">
        <v>1411</v>
      </c>
      <c r="AO2">
        <v>125579</v>
      </c>
      <c r="AP2" t="s">
        <v>185</v>
      </c>
      <c r="AR2">
        <v>1838</v>
      </c>
      <c r="AV2">
        <v>0</v>
      </c>
      <c r="AX2" t="s">
        <v>15</v>
      </c>
      <c r="AY2">
        <v>420</v>
      </c>
      <c r="AZ2">
        <v>0</v>
      </c>
      <c r="BA2">
        <v>0</v>
      </c>
      <c r="BB2" t="s">
        <v>16</v>
      </c>
      <c r="BC2">
        <v>400</v>
      </c>
      <c r="BD2">
        <v>0</v>
      </c>
      <c r="BE2">
        <v>0</v>
      </c>
      <c r="BH2">
        <v>0</v>
      </c>
      <c r="BL2">
        <v>0</v>
      </c>
      <c r="BP2">
        <v>0</v>
      </c>
      <c r="BR2" t="s">
        <v>20</v>
      </c>
      <c r="BS2">
        <v>375</v>
      </c>
      <c r="BT2">
        <v>0</v>
      </c>
      <c r="BU2">
        <v>0</v>
      </c>
      <c r="BX2">
        <v>0</v>
      </c>
      <c r="BZ2">
        <v>171000</v>
      </c>
      <c r="CA2">
        <v>1703582.6</v>
      </c>
      <c r="CH2">
        <v>1703582.6</v>
      </c>
      <c r="CM2">
        <v>1703582.6</v>
      </c>
      <c r="CO2">
        <v>1703582.6</v>
      </c>
      <c r="CP2" s="52">
        <v>0.18</v>
      </c>
      <c r="CQ2">
        <v>306644.87</v>
      </c>
      <c r="CR2">
        <v>2010227.47</v>
      </c>
      <c r="CS2">
        <v>12.5</v>
      </c>
      <c r="CT2" t="s">
        <v>186</v>
      </c>
      <c r="CU2" s="53">
        <v>25127843</v>
      </c>
      <c r="CV2" t="s">
        <v>187</v>
      </c>
      <c r="CW2" t="s">
        <v>188</v>
      </c>
      <c r="CX2">
        <v>250</v>
      </c>
    </row>
    <row r="3" spans="1:102" x14ac:dyDescent="0.25">
      <c r="A3" t="s">
        <v>180</v>
      </c>
      <c r="B3" s="50">
        <v>45627</v>
      </c>
      <c r="C3" t="s">
        <v>189</v>
      </c>
      <c r="D3" t="s">
        <v>190</v>
      </c>
      <c r="E3" t="s">
        <v>183</v>
      </c>
      <c r="F3" t="s">
        <v>72</v>
      </c>
      <c r="G3">
        <v>873.4</v>
      </c>
      <c r="H3">
        <v>136</v>
      </c>
      <c r="I3">
        <v>118782.39999999999</v>
      </c>
      <c r="J3" t="s">
        <v>44</v>
      </c>
      <c r="K3">
        <v>257</v>
      </c>
      <c r="L3">
        <v>3240</v>
      </c>
      <c r="M3">
        <v>832680</v>
      </c>
      <c r="P3">
        <v>0</v>
      </c>
      <c r="R3" t="s">
        <v>184</v>
      </c>
      <c r="S3">
        <v>180</v>
      </c>
      <c r="T3">
        <v>366</v>
      </c>
      <c r="U3" s="51">
        <v>65880</v>
      </c>
      <c r="V3" t="s">
        <v>54</v>
      </c>
      <c r="W3">
        <v>140</v>
      </c>
      <c r="X3">
        <v>908</v>
      </c>
      <c r="Y3" s="51">
        <v>127120</v>
      </c>
      <c r="AB3">
        <v>0</v>
      </c>
      <c r="AD3" t="s">
        <v>80</v>
      </c>
      <c r="AE3">
        <v>87</v>
      </c>
      <c r="AF3">
        <v>305</v>
      </c>
      <c r="AG3">
        <v>26535</v>
      </c>
      <c r="AH3" t="s">
        <v>84</v>
      </c>
      <c r="AI3">
        <v>90.2</v>
      </c>
      <c r="AJ3">
        <v>5335</v>
      </c>
      <c r="AK3">
        <v>481217</v>
      </c>
      <c r="AL3" t="s">
        <v>64</v>
      </c>
      <c r="AM3">
        <v>89</v>
      </c>
      <c r="AN3">
        <v>1308</v>
      </c>
      <c r="AO3">
        <v>116412</v>
      </c>
      <c r="AP3" t="s">
        <v>185</v>
      </c>
      <c r="AR3">
        <v>1535</v>
      </c>
      <c r="AV3">
        <v>0</v>
      </c>
      <c r="AX3" t="s">
        <v>15</v>
      </c>
      <c r="AY3">
        <v>420</v>
      </c>
      <c r="AZ3">
        <v>0</v>
      </c>
      <c r="BA3">
        <v>0</v>
      </c>
      <c r="BB3" t="s">
        <v>16</v>
      </c>
      <c r="BC3">
        <v>400</v>
      </c>
      <c r="BD3">
        <v>64</v>
      </c>
      <c r="BE3" s="51">
        <v>25600</v>
      </c>
      <c r="BH3">
        <v>0</v>
      </c>
      <c r="BL3">
        <v>0</v>
      </c>
      <c r="BP3">
        <v>0</v>
      </c>
      <c r="BR3" t="s">
        <v>20</v>
      </c>
      <c r="BS3">
        <v>375</v>
      </c>
      <c r="BT3">
        <v>0</v>
      </c>
      <c r="BU3">
        <v>0</v>
      </c>
      <c r="BX3">
        <v>0</v>
      </c>
      <c r="BZ3">
        <v>182400</v>
      </c>
      <c r="CA3">
        <v>1976626.4</v>
      </c>
      <c r="CH3">
        <v>1976626.4</v>
      </c>
      <c r="CM3">
        <v>1976626.4</v>
      </c>
      <c r="CO3">
        <v>1976626.4</v>
      </c>
      <c r="CP3" s="52">
        <v>0.18</v>
      </c>
      <c r="CQ3">
        <v>355792.75</v>
      </c>
      <c r="CR3">
        <v>2332419.15</v>
      </c>
      <c r="CS3">
        <v>314</v>
      </c>
      <c r="CT3" t="s">
        <v>186</v>
      </c>
      <c r="CU3" s="53">
        <v>732379614</v>
      </c>
      <c r="CV3" t="s">
        <v>191</v>
      </c>
      <c r="CW3" t="s">
        <v>192</v>
      </c>
      <c r="CX3">
        <v>250</v>
      </c>
    </row>
    <row r="4" spans="1:102" x14ac:dyDescent="0.25">
      <c r="A4" t="s">
        <v>180</v>
      </c>
      <c r="B4" s="50">
        <v>45627</v>
      </c>
      <c r="C4" t="s">
        <v>193</v>
      </c>
      <c r="D4" t="s">
        <v>194</v>
      </c>
      <c r="E4" t="s">
        <v>183</v>
      </c>
      <c r="F4" t="s">
        <v>72</v>
      </c>
      <c r="G4">
        <v>873.4</v>
      </c>
      <c r="H4">
        <v>134</v>
      </c>
      <c r="I4">
        <v>117035.6</v>
      </c>
      <c r="J4" t="s">
        <v>44</v>
      </c>
      <c r="K4">
        <v>257</v>
      </c>
      <c r="L4">
        <v>567</v>
      </c>
      <c r="M4">
        <v>145719</v>
      </c>
      <c r="P4">
        <v>0</v>
      </c>
      <c r="R4" t="s">
        <v>184</v>
      </c>
      <c r="S4">
        <v>180</v>
      </c>
      <c r="T4">
        <v>245</v>
      </c>
      <c r="U4" s="51">
        <v>44100</v>
      </c>
      <c r="V4" t="s">
        <v>54</v>
      </c>
      <c r="W4">
        <v>140</v>
      </c>
      <c r="X4">
        <v>1561</v>
      </c>
      <c r="Y4" s="51">
        <v>218540</v>
      </c>
      <c r="AB4">
        <v>0</v>
      </c>
      <c r="AD4" t="s">
        <v>80</v>
      </c>
      <c r="AE4">
        <v>87</v>
      </c>
      <c r="AF4">
        <v>280</v>
      </c>
      <c r="AG4">
        <v>24360</v>
      </c>
      <c r="AH4" t="s">
        <v>84</v>
      </c>
      <c r="AI4">
        <v>90.2</v>
      </c>
      <c r="AJ4">
        <v>3818</v>
      </c>
      <c r="AK4">
        <v>344383.6</v>
      </c>
      <c r="AL4" t="s">
        <v>64</v>
      </c>
      <c r="AM4">
        <v>89</v>
      </c>
      <c r="AN4">
        <v>1124</v>
      </c>
      <c r="AO4">
        <v>100036</v>
      </c>
      <c r="AP4" t="s">
        <v>185</v>
      </c>
      <c r="AR4">
        <v>1267</v>
      </c>
      <c r="AV4">
        <v>0</v>
      </c>
      <c r="AX4" t="s">
        <v>15</v>
      </c>
      <c r="AY4">
        <v>420</v>
      </c>
      <c r="AZ4">
        <v>0</v>
      </c>
      <c r="BA4">
        <v>0</v>
      </c>
      <c r="BB4" t="s">
        <v>16</v>
      </c>
      <c r="BC4">
        <v>400</v>
      </c>
      <c r="BD4">
        <v>0</v>
      </c>
      <c r="BE4">
        <v>0</v>
      </c>
      <c r="BH4">
        <v>0</v>
      </c>
      <c r="BL4">
        <v>0</v>
      </c>
      <c r="BP4">
        <v>0</v>
      </c>
      <c r="BR4" t="s">
        <v>20</v>
      </c>
      <c r="BS4">
        <v>375</v>
      </c>
      <c r="BT4">
        <v>0</v>
      </c>
      <c r="BU4">
        <v>0</v>
      </c>
      <c r="BX4">
        <v>0</v>
      </c>
      <c r="BZ4">
        <v>171000</v>
      </c>
      <c r="CA4">
        <v>1165174.2</v>
      </c>
      <c r="CH4">
        <v>1165174.2</v>
      </c>
      <c r="CM4">
        <v>1165174.2</v>
      </c>
      <c r="CO4">
        <v>1165174.2</v>
      </c>
      <c r="CP4" s="52">
        <v>0.18</v>
      </c>
      <c r="CQ4">
        <v>209731.36</v>
      </c>
      <c r="CR4">
        <v>1374905.56</v>
      </c>
      <c r="CS4">
        <v>3</v>
      </c>
      <c r="CT4" t="s">
        <v>186</v>
      </c>
      <c r="CU4" s="53">
        <v>4124717</v>
      </c>
      <c r="CV4" t="s">
        <v>195</v>
      </c>
      <c r="CW4" t="s">
        <v>196</v>
      </c>
      <c r="CX4">
        <v>250</v>
      </c>
    </row>
    <row r="5" spans="1:102" x14ac:dyDescent="0.25">
      <c r="A5" t="s">
        <v>180</v>
      </c>
      <c r="B5" s="50">
        <v>45627</v>
      </c>
      <c r="C5" t="s">
        <v>197</v>
      </c>
      <c r="D5" t="s">
        <v>198</v>
      </c>
      <c r="E5" t="s">
        <v>183</v>
      </c>
      <c r="F5" t="s">
        <v>72</v>
      </c>
      <c r="G5">
        <v>873.4</v>
      </c>
      <c r="H5">
        <v>129</v>
      </c>
      <c r="I5">
        <v>112668.6</v>
      </c>
      <c r="J5" t="s">
        <v>44</v>
      </c>
      <c r="K5">
        <v>257</v>
      </c>
      <c r="L5">
        <v>770</v>
      </c>
      <c r="M5">
        <v>197890</v>
      </c>
      <c r="P5">
        <v>0</v>
      </c>
      <c r="R5" t="s">
        <v>184</v>
      </c>
      <c r="S5">
        <v>180</v>
      </c>
      <c r="T5">
        <v>265</v>
      </c>
      <c r="U5" s="51">
        <v>47700</v>
      </c>
      <c r="V5" t="s">
        <v>54</v>
      </c>
      <c r="W5">
        <v>140</v>
      </c>
      <c r="X5">
        <v>1670</v>
      </c>
      <c r="Y5" s="51">
        <v>233800</v>
      </c>
      <c r="AB5">
        <v>0</v>
      </c>
      <c r="AD5" t="s">
        <v>80</v>
      </c>
      <c r="AE5">
        <v>87</v>
      </c>
      <c r="AF5">
        <v>292</v>
      </c>
      <c r="AG5">
        <v>25404</v>
      </c>
      <c r="AH5" t="s">
        <v>84</v>
      </c>
      <c r="AI5">
        <v>90.2</v>
      </c>
      <c r="AJ5">
        <v>3945</v>
      </c>
      <c r="AK5">
        <v>355839</v>
      </c>
      <c r="AL5" t="s">
        <v>64</v>
      </c>
      <c r="AM5">
        <v>89</v>
      </c>
      <c r="AN5">
        <v>1228</v>
      </c>
      <c r="AO5">
        <v>109292</v>
      </c>
      <c r="AP5" t="s">
        <v>185</v>
      </c>
      <c r="AR5">
        <v>1389</v>
      </c>
      <c r="AV5">
        <v>0</v>
      </c>
      <c r="AX5" t="s">
        <v>15</v>
      </c>
      <c r="AY5">
        <v>420</v>
      </c>
      <c r="AZ5">
        <v>0</v>
      </c>
      <c r="BA5">
        <v>0</v>
      </c>
      <c r="BB5" t="s">
        <v>16</v>
      </c>
      <c r="BC5">
        <v>400</v>
      </c>
      <c r="BD5">
        <v>0</v>
      </c>
      <c r="BE5">
        <v>0</v>
      </c>
      <c r="BH5">
        <v>0</v>
      </c>
      <c r="BL5">
        <v>0</v>
      </c>
      <c r="BP5">
        <v>0</v>
      </c>
      <c r="BR5" t="s">
        <v>20</v>
      </c>
      <c r="BS5">
        <v>375</v>
      </c>
      <c r="BT5">
        <v>0</v>
      </c>
      <c r="BU5">
        <v>0</v>
      </c>
      <c r="BX5">
        <v>0</v>
      </c>
      <c r="BZ5">
        <v>147200</v>
      </c>
      <c r="CA5">
        <v>1229793.6000000001</v>
      </c>
      <c r="CH5">
        <v>1229793.6000000001</v>
      </c>
      <c r="CM5">
        <v>1229793.6000000001</v>
      </c>
      <c r="CO5">
        <v>1229793.6000000001</v>
      </c>
      <c r="CP5" s="52">
        <v>0.18</v>
      </c>
      <c r="CQ5">
        <v>221362.85</v>
      </c>
      <c r="CR5">
        <v>1451156.45</v>
      </c>
      <c r="CS5">
        <v>4</v>
      </c>
      <c r="CT5" t="s">
        <v>186</v>
      </c>
      <c r="CU5" s="53">
        <v>5804626</v>
      </c>
      <c r="CV5" t="s">
        <v>195</v>
      </c>
      <c r="CW5" t="s">
        <v>196</v>
      </c>
      <c r="CX5">
        <v>250</v>
      </c>
    </row>
    <row r="6" spans="1:102" x14ac:dyDescent="0.25">
      <c r="A6" t="s">
        <v>180</v>
      </c>
      <c r="B6" s="50">
        <v>45627</v>
      </c>
      <c r="C6" t="s">
        <v>199</v>
      </c>
      <c r="D6" t="s">
        <v>200</v>
      </c>
      <c r="E6" t="s">
        <v>183</v>
      </c>
      <c r="F6" t="s">
        <v>72</v>
      </c>
      <c r="G6">
        <v>873.4</v>
      </c>
      <c r="H6">
        <v>122</v>
      </c>
      <c r="I6">
        <v>106554.8</v>
      </c>
      <c r="J6" t="s">
        <v>44</v>
      </c>
      <c r="K6">
        <v>257</v>
      </c>
      <c r="L6">
        <v>2430</v>
      </c>
      <c r="M6">
        <v>624510</v>
      </c>
      <c r="P6">
        <v>0</v>
      </c>
      <c r="R6" t="s">
        <v>184</v>
      </c>
      <c r="S6">
        <v>180</v>
      </c>
      <c r="T6">
        <v>337</v>
      </c>
      <c r="U6" s="51">
        <v>60660</v>
      </c>
      <c r="V6" t="s">
        <v>54</v>
      </c>
      <c r="W6">
        <v>140</v>
      </c>
      <c r="X6">
        <v>802</v>
      </c>
      <c r="Y6" s="51">
        <v>112280</v>
      </c>
      <c r="AB6">
        <v>0</v>
      </c>
      <c r="AD6" t="s">
        <v>80</v>
      </c>
      <c r="AE6">
        <v>87</v>
      </c>
      <c r="AF6">
        <v>277</v>
      </c>
      <c r="AG6">
        <v>24099</v>
      </c>
      <c r="AH6" t="s">
        <v>84</v>
      </c>
      <c r="AI6">
        <v>90.2</v>
      </c>
      <c r="AJ6">
        <v>3753</v>
      </c>
      <c r="AK6">
        <v>338520.6</v>
      </c>
      <c r="AL6" t="s">
        <v>64</v>
      </c>
      <c r="AM6">
        <v>89</v>
      </c>
      <c r="AN6">
        <v>1120</v>
      </c>
      <c r="AO6">
        <v>99680</v>
      </c>
      <c r="AP6" t="s">
        <v>185</v>
      </c>
      <c r="AR6">
        <v>1258</v>
      </c>
      <c r="AV6">
        <v>0</v>
      </c>
      <c r="AX6" t="s">
        <v>15</v>
      </c>
      <c r="AY6">
        <v>420</v>
      </c>
      <c r="AZ6">
        <v>0</v>
      </c>
      <c r="BA6">
        <v>0</v>
      </c>
      <c r="BB6" t="s">
        <v>16</v>
      </c>
      <c r="BC6">
        <v>400</v>
      </c>
      <c r="BD6">
        <v>115</v>
      </c>
      <c r="BE6" s="51">
        <v>46000</v>
      </c>
      <c r="BH6">
        <v>34</v>
      </c>
      <c r="BL6">
        <v>0</v>
      </c>
      <c r="BP6">
        <v>0</v>
      </c>
      <c r="BR6" t="s">
        <v>20</v>
      </c>
      <c r="BS6">
        <v>375</v>
      </c>
      <c r="BT6">
        <v>0</v>
      </c>
      <c r="BU6">
        <v>0</v>
      </c>
      <c r="BX6">
        <v>0</v>
      </c>
      <c r="BZ6">
        <v>171000</v>
      </c>
      <c r="CA6">
        <v>1583304.4</v>
      </c>
      <c r="CH6">
        <v>1583304.4</v>
      </c>
      <c r="CM6">
        <v>1583304.4</v>
      </c>
      <c r="CO6">
        <v>1583304.4</v>
      </c>
      <c r="CP6" s="52">
        <v>0.18</v>
      </c>
      <c r="CQ6">
        <v>284994.78999999998</v>
      </c>
      <c r="CR6">
        <v>1868299.19</v>
      </c>
      <c r="CS6">
        <v>43</v>
      </c>
      <c r="CT6" t="s">
        <v>186</v>
      </c>
      <c r="CU6" s="53">
        <v>80336865</v>
      </c>
      <c r="CV6" t="s">
        <v>195</v>
      </c>
      <c r="CW6" t="s">
        <v>196</v>
      </c>
      <c r="CX6">
        <v>250</v>
      </c>
    </row>
    <row r="7" spans="1:102" x14ac:dyDescent="0.25">
      <c r="A7" t="s">
        <v>180</v>
      </c>
      <c r="B7" s="50">
        <v>45627</v>
      </c>
      <c r="C7" t="s">
        <v>201</v>
      </c>
      <c r="D7" t="s">
        <v>202</v>
      </c>
      <c r="E7" t="s">
        <v>183</v>
      </c>
      <c r="F7" t="s">
        <v>72</v>
      </c>
      <c r="G7">
        <v>873.4</v>
      </c>
      <c r="H7">
        <v>105</v>
      </c>
      <c r="I7">
        <v>91707</v>
      </c>
      <c r="J7" t="s">
        <v>44</v>
      </c>
      <c r="K7">
        <v>257</v>
      </c>
      <c r="L7">
        <v>1499</v>
      </c>
      <c r="M7">
        <v>385243</v>
      </c>
      <c r="P7">
        <v>0</v>
      </c>
      <c r="R7" t="s">
        <v>184</v>
      </c>
      <c r="S7">
        <v>180</v>
      </c>
      <c r="T7">
        <v>276</v>
      </c>
      <c r="U7" s="51">
        <v>49680</v>
      </c>
      <c r="V7" t="s">
        <v>54</v>
      </c>
      <c r="W7">
        <v>140</v>
      </c>
      <c r="X7">
        <v>663</v>
      </c>
      <c r="Y7" s="51">
        <v>92820</v>
      </c>
      <c r="AB7">
        <v>0</v>
      </c>
      <c r="AD7" t="s">
        <v>80</v>
      </c>
      <c r="AE7">
        <v>87</v>
      </c>
      <c r="AF7">
        <v>237</v>
      </c>
      <c r="AG7">
        <v>20619</v>
      </c>
      <c r="AH7" t="s">
        <v>84</v>
      </c>
      <c r="AI7">
        <v>90.2</v>
      </c>
      <c r="AJ7">
        <v>3244</v>
      </c>
      <c r="AK7">
        <v>292608.8</v>
      </c>
      <c r="AL7" t="s">
        <v>64</v>
      </c>
      <c r="AM7">
        <v>89</v>
      </c>
      <c r="AN7">
        <v>862</v>
      </c>
      <c r="AO7">
        <v>76718</v>
      </c>
      <c r="AP7" t="s">
        <v>185</v>
      </c>
      <c r="AR7">
        <v>914</v>
      </c>
      <c r="AV7">
        <v>0</v>
      </c>
      <c r="AX7" t="s">
        <v>15</v>
      </c>
      <c r="AY7">
        <v>420</v>
      </c>
      <c r="AZ7">
        <v>0</v>
      </c>
      <c r="BA7">
        <v>0</v>
      </c>
      <c r="BB7" t="s">
        <v>16</v>
      </c>
      <c r="BC7">
        <v>400</v>
      </c>
      <c r="BD7">
        <v>0</v>
      </c>
      <c r="BE7">
        <v>0</v>
      </c>
      <c r="BH7">
        <v>0</v>
      </c>
      <c r="BL7">
        <v>0</v>
      </c>
      <c r="BP7">
        <v>0</v>
      </c>
      <c r="BR7" t="s">
        <v>20</v>
      </c>
      <c r="BS7">
        <v>375</v>
      </c>
      <c r="BT7">
        <v>0</v>
      </c>
      <c r="BU7">
        <v>0</v>
      </c>
      <c r="BX7">
        <v>0</v>
      </c>
      <c r="BZ7">
        <v>76000</v>
      </c>
      <c r="CA7">
        <v>1085395.8</v>
      </c>
      <c r="CH7">
        <v>1085395.8</v>
      </c>
      <c r="CM7">
        <v>1085395.8</v>
      </c>
      <c r="CO7">
        <v>1085395.8</v>
      </c>
      <c r="CP7" s="52">
        <v>0.18</v>
      </c>
      <c r="CQ7">
        <v>195371.24</v>
      </c>
      <c r="CR7">
        <v>1280767.04</v>
      </c>
      <c r="CS7">
        <v>2</v>
      </c>
      <c r="CT7" t="s">
        <v>186</v>
      </c>
      <c r="CU7" s="53">
        <v>2561534</v>
      </c>
      <c r="CV7" t="s">
        <v>203</v>
      </c>
      <c r="CW7" t="s">
        <v>204</v>
      </c>
      <c r="CX7">
        <v>250</v>
      </c>
    </row>
    <row r="8" spans="1:102" x14ac:dyDescent="0.25">
      <c r="A8" t="s">
        <v>180</v>
      </c>
      <c r="B8" s="50">
        <v>45627</v>
      </c>
      <c r="C8" t="s">
        <v>205</v>
      </c>
      <c r="D8" t="s">
        <v>206</v>
      </c>
      <c r="E8" t="s">
        <v>183</v>
      </c>
      <c r="F8" t="s">
        <v>72</v>
      </c>
      <c r="G8">
        <v>873.4</v>
      </c>
      <c r="H8">
        <v>99</v>
      </c>
      <c r="I8">
        <v>86466.6</v>
      </c>
      <c r="J8" t="s">
        <v>44</v>
      </c>
      <c r="K8">
        <v>257</v>
      </c>
      <c r="L8">
        <v>1215</v>
      </c>
      <c r="M8">
        <v>312255</v>
      </c>
      <c r="P8">
        <v>0</v>
      </c>
      <c r="R8" t="s">
        <v>184</v>
      </c>
      <c r="S8">
        <v>180</v>
      </c>
      <c r="T8">
        <v>246</v>
      </c>
      <c r="U8" s="51">
        <v>44280</v>
      </c>
      <c r="V8" t="s">
        <v>54</v>
      </c>
      <c r="W8">
        <v>140</v>
      </c>
      <c r="X8">
        <v>620</v>
      </c>
      <c r="Y8" s="51">
        <v>86800</v>
      </c>
      <c r="AB8">
        <v>0</v>
      </c>
      <c r="AD8" t="s">
        <v>80</v>
      </c>
      <c r="AE8">
        <v>87</v>
      </c>
      <c r="AF8">
        <v>200</v>
      </c>
      <c r="AG8">
        <v>17400</v>
      </c>
      <c r="AH8" t="s">
        <v>84</v>
      </c>
      <c r="AI8">
        <v>90.2</v>
      </c>
      <c r="AJ8">
        <v>2404</v>
      </c>
      <c r="AK8">
        <v>216840.8</v>
      </c>
      <c r="AL8" t="s">
        <v>64</v>
      </c>
      <c r="AM8">
        <v>89</v>
      </c>
      <c r="AN8">
        <v>755</v>
      </c>
      <c r="AO8">
        <v>67195</v>
      </c>
      <c r="AP8" t="s">
        <v>185</v>
      </c>
      <c r="AR8">
        <v>809</v>
      </c>
      <c r="AV8">
        <v>0</v>
      </c>
      <c r="AX8" t="s">
        <v>15</v>
      </c>
      <c r="AY8">
        <v>420</v>
      </c>
      <c r="AZ8">
        <v>0</v>
      </c>
      <c r="BA8">
        <v>0</v>
      </c>
      <c r="BB8" t="s">
        <v>16</v>
      </c>
      <c r="BC8">
        <v>400</v>
      </c>
      <c r="BD8">
        <v>162</v>
      </c>
      <c r="BE8" s="51">
        <v>64800</v>
      </c>
      <c r="BH8">
        <v>0</v>
      </c>
      <c r="BL8">
        <v>0</v>
      </c>
      <c r="BP8">
        <v>0</v>
      </c>
      <c r="BR8" t="s">
        <v>20</v>
      </c>
      <c r="BS8">
        <v>375</v>
      </c>
      <c r="BT8">
        <v>0</v>
      </c>
      <c r="BU8">
        <v>0</v>
      </c>
      <c r="BX8">
        <v>0</v>
      </c>
      <c r="BZ8">
        <v>108300</v>
      </c>
      <c r="CA8">
        <v>1004337.4</v>
      </c>
      <c r="CH8">
        <v>1004337.4</v>
      </c>
      <c r="CM8">
        <v>1004337.4</v>
      </c>
      <c r="CO8">
        <v>1004337.4</v>
      </c>
      <c r="CP8" s="52">
        <v>0.18</v>
      </c>
      <c r="CQ8">
        <v>180780.73</v>
      </c>
      <c r="CR8">
        <v>1185118.1299999999</v>
      </c>
      <c r="CS8">
        <v>4</v>
      </c>
      <c r="CT8" t="s">
        <v>186</v>
      </c>
      <c r="CU8" s="53">
        <v>4740473</v>
      </c>
      <c r="CV8" t="s">
        <v>203</v>
      </c>
      <c r="CW8" t="s">
        <v>204</v>
      </c>
      <c r="CX8">
        <v>250</v>
      </c>
    </row>
    <row r="9" spans="1:102" x14ac:dyDescent="0.25">
      <c r="A9" t="s">
        <v>180</v>
      </c>
      <c r="B9" s="50">
        <v>45627</v>
      </c>
      <c r="C9" t="s">
        <v>207</v>
      </c>
      <c r="D9" t="s">
        <v>208</v>
      </c>
      <c r="E9" t="s">
        <v>183</v>
      </c>
      <c r="F9" t="s">
        <v>72</v>
      </c>
      <c r="G9">
        <v>873.4</v>
      </c>
      <c r="H9">
        <v>93</v>
      </c>
      <c r="I9">
        <v>81226.2</v>
      </c>
      <c r="J9" t="s">
        <v>44</v>
      </c>
      <c r="K9">
        <v>257</v>
      </c>
      <c r="L9">
        <v>972</v>
      </c>
      <c r="M9">
        <v>249804</v>
      </c>
      <c r="P9">
        <v>0</v>
      </c>
      <c r="R9" t="s">
        <v>184</v>
      </c>
      <c r="S9">
        <v>180</v>
      </c>
      <c r="T9">
        <v>232</v>
      </c>
      <c r="U9" s="51">
        <v>41760</v>
      </c>
      <c r="V9" t="s">
        <v>54</v>
      </c>
      <c r="W9">
        <v>140</v>
      </c>
      <c r="X9">
        <v>567</v>
      </c>
      <c r="Y9" s="51">
        <v>79380</v>
      </c>
      <c r="AB9">
        <v>0</v>
      </c>
      <c r="AD9" t="s">
        <v>80</v>
      </c>
      <c r="AE9">
        <v>87</v>
      </c>
      <c r="AF9">
        <v>185</v>
      </c>
      <c r="AG9">
        <v>16095</v>
      </c>
      <c r="AH9" t="s">
        <v>84</v>
      </c>
      <c r="AI9">
        <v>90.2</v>
      </c>
      <c r="AJ9">
        <v>2244</v>
      </c>
      <c r="AK9">
        <v>202408.8</v>
      </c>
      <c r="AL9" t="s">
        <v>64</v>
      </c>
      <c r="AM9">
        <v>89</v>
      </c>
      <c r="AN9">
        <v>669</v>
      </c>
      <c r="AO9">
        <v>59541</v>
      </c>
      <c r="AP9" t="s">
        <v>185</v>
      </c>
      <c r="AR9">
        <v>704</v>
      </c>
      <c r="AV9">
        <v>0</v>
      </c>
      <c r="AX9" t="s">
        <v>15</v>
      </c>
      <c r="AY9">
        <v>420</v>
      </c>
      <c r="AZ9">
        <v>0</v>
      </c>
      <c r="BA9">
        <v>0</v>
      </c>
      <c r="BB9" t="s">
        <v>16</v>
      </c>
      <c r="BC9">
        <v>400</v>
      </c>
      <c r="BD9">
        <v>59</v>
      </c>
      <c r="BE9" s="51">
        <v>23600</v>
      </c>
      <c r="BH9">
        <v>0</v>
      </c>
      <c r="BL9">
        <v>0</v>
      </c>
      <c r="BP9">
        <v>0</v>
      </c>
      <c r="BR9" t="s">
        <v>20</v>
      </c>
      <c r="BS9">
        <v>375</v>
      </c>
      <c r="BT9">
        <v>0</v>
      </c>
      <c r="BU9">
        <v>0</v>
      </c>
      <c r="BX9">
        <v>0</v>
      </c>
      <c r="BZ9">
        <v>95000</v>
      </c>
      <c r="CA9">
        <v>848815</v>
      </c>
      <c r="CH9">
        <v>848815</v>
      </c>
      <c r="CM9">
        <v>848815</v>
      </c>
      <c r="CO9">
        <v>848815</v>
      </c>
      <c r="CP9" s="52">
        <v>0.18</v>
      </c>
      <c r="CQ9">
        <v>152786.70000000001</v>
      </c>
      <c r="CR9">
        <v>1001601.7</v>
      </c>
      <c r="CS9">
        <v>10</v>
      </c>
      <c r="CT9" t="s">
        <v>186</v>
      </c>
      <c r="CU9" s="53">
        <v>10016017</v>
      </c>
      <c r="CV9" t="s">
        <v>209</v>
      </c>
      <c r="CW9" t="s">
        <v>210</v>
      </c>
      <c r="CX9">
        <v>250</v>
      </c>
    </row>
    <row r="10" spans="1:102" x14ac:dyDescent="0.25">
      <c r="A10" t="s">
        <v>180</v>
      </c>
      <c r="B10" s="50">
        <v>45627</v>
      </c>
      <c r="C10" t="s">
        <v>211</v>
      </c>
      <c r="D10" t="s">
        <v>212</v>
      </c>
      <c r="E10" t="s">
        <v>183</v>
      </c>
      <c r="F10" t="s">
        <v>72</v>
      </c>
      <c r="G10">
        <v>873.4</v>
      </c>
      <c r="H10">
        <v>86</v>
      </c>
      <c r="I10">
        <v>75112.399999999994</v>
      </c>
      <c r="J10" t="s">
        <v>44</v>
      </c>
      <c r="K10">
        <v>257</v>
      </c>
      <c r="L10">
        <v>770</v>
      </c>
      <c r="M10">
        <v>197890</v>
      </c>
      <c r="P10">
        <v>0</v>
      </c>
      <c r="R10" t="s">
        <v>184</v>
      </c>
      <c r="S10">
        <v>180</v>
      </c>
      <c r="T10">
        <v>173</v>
      </c>
      <c r="U10" s="51">
        <v>31140</v>
      </c>
      <c r="V10" t="s">
        <v>54</v>
      </c>
      <c r="W10">
        <v>140</v>
      </c>
      <c r="X10">
        <v>525</v>
      </c>
      <c r="Y10" s="51">
        <v>73500</v>
      </c>
      <c r="AB10">
        <v>0</v>
      </c>
      <c r="AD10" t="s">
        <v>80</v>
      </c>
      <c r="AE10">
        <v>87</v>
      </c>
      <c r="AF10">
        <v>129</v>
      </c>
      <c r="AG10">
        <v>11223</v>
      </c>
      <c r="AH10" t="s">
        <v>84</v>
      </c>
      <c r="AI10">
        <v>90.2</v>
      </c>
      <c r="AJ10">
        <v>2001</v>
      </c>
      <c r="AK10">
        <v>180490.2</v>
      </c>
      <c r="AL10" t="s">
        <v>64</v>
      </c>
      <c r="AM10">
        <v>89</v>
      </c>
      <c r="AN10">
        <v>605</v>
      </c>
      <c r="AO10">
        <v>53845</v>
      </c>
      <c r="AP10" t="s">
        <v>13</v>
      </c>
      <c r="AQ10">
        <v>28</v>
      </c>
      <c r="AR10">
        <v>573</v>
      </c>
      <c r="AS10">
        <v>16044</v>
      </c>
      <c r="AV10">
        <v>0</v>
      </c>
      <c r="AX10" t="s">
        <v>15</v>
      </c>
      <c r="AY10">
        <v>420</v>
      </c>
      <c r="AZ10">
        <v>0</v>
      </c>
      <c r="BA10">
        <v>0</v>
      </c>
      <c r="BB10" t="s">
        <v>16</v>
      </c>
      <c r="BC10">
        <v>400</v>
      </c>
      <c r="BD10">
        <v>52</v>
      </c>
      <c r="BE10" s="51">
        <v>20800</v>
      </c>
      <c r="BH10">
        <v>0</v>
      </c>
      <c r="BL10">
        <v>0</v>
      </c>
      <c r="BP10">
        <v>0</v>
      </c>
      <c r="BT10">
        <v>0</v>
      </c>
      <c r="BX10">
        <v>0</v>
      </c>
      <c r="BZ10">
        <v>72000</v>
      </c>
      <c r="CA10">
        <v>732044.6</v>
      </c>
      <c r="CH10">
        <v>732044.6</v>
      </c>
      <c r="CM10">
        <v>732044.6</v>
      </c>
      <c r="CO10">
        <v>732044.6</v>
      </c>
      <c r="CP10" s="52">
        <v>0.18</v>
      </c>
      <c r="CQ10">
        <v>131768.03</v>
      </c>
      <c r="CR10">
        <v>863812.63</v>
      </c>
      <c r="CS10">
        <v>23</v>
      </c>
      <c r="CT10" t="s">
        <v>186</v>
      </c>
      <c r="CU10" s="53">
        <v>19867690</v>
      </c>
      <c r="CV10" t="s">
        <v>213</v>
      </c>
      <c r="CW10" t="s">
        <v>214</v>
      </c>
      <c r="CX10">
        <v>250</v>
      </c>
    </row>
    <row r="11" spans="1:102" x14ac:dyDescent="0.25">
      <c r="A11" t="s">
        <v>180</v>
      </c>
      <c r="B11" s="50">
        <v>45627</v>
      </c>
      <c r="C11" t="s">
        <v>215</v>
      </c>
      <c r="D11" t="s">
        <v>216</v>
      </c>
      <c r="E11" t="s">
        <v>183</v>
      </c>
      <c r="F11" t="s">
        <v>72</v>
      </c>
      <c r="G11">
        <v>873.4</v>
      </c>
      <c r="H11">
        <v>69</v>
      </c>
      <c r="I11">
        <v>60264.6</v>
      </c>
      <c r="J11" t="s">
        <v>44</v>
      </c>
      <c r="K11">
        <v>257</v>
      </c>
      <c r="L11">
        <v>1701</v>
      </c>
      <c r="M11">
        <v>437157</v>
      </c>
      <c r="P11">
        <v>0</v>
      </c>
      <c r="R11" t="s">
        <v>184</v>
      </c>
      <c r="S11">
        <v>180</v>
      </c>
      <c r="T11">
        <v>172</v>
      </c>
      <c r="U11" s="51">
        <v>30960</v>
      </c>
      <c r="V11" t="s">
        <v>54</v>
      </c>
      <c r="W11">
        <v>140</v>
      </c>
      <c r="X11">
        <v>1040</v>
      </c>
      <c r="Y11" s="51">
        <v>145600</v>
      </c>
      <c r="Z11" t="s">
        <v>9</v>
      </c>
      <c r="AA11">
        <v>123.8</v>
      </c>
      <c r="AB11">
        <v>0</v>
      </c>
      <c r="AC11">
        <v>0</v>
      </c>
      <c r="AD11" t="s">
        <v>51</v>
      </c>
      <c r="AE11">
        <v>62</v>
      </c>
      <c r="AF11">
        <v>193</v>
      </c>
      <c r="AG11">
        <v>11966</v>
      </c>
      <c r="AH11" t="s">
        <v>70</v>
      </c>
      <c r="AI11">
        <v>262</v>
      </c>
      <c r="AJ11">
        <v>800</v>
      </c>
      <c r="AK11">
        <v>209600</v>
      </c>
      <c r="AL11" t="s">
        <v>64</v>
      </c>
      <c r="AM11">
        <v>89</v>
      </c>
      <c r="AN11">
        <v>738</v>
      </c>
      <c r="AO11">
        <v>65682</v>
      </c>
      <c r="AR11">
        <v>0</v>
      </c>
      <c r="AV11">
        <v>0</v>
      </c>
      <c r="AX11" t="s">
        <v>15</v>
      </c>
      <c r="AY11">
        <v>420</v>
      </c>
      <c r="AZ11">
        <v>0</v>
      </c>
      <c r="BA11">
        <v>0</v>
      </c>
      <c r="BB11" t="s">
        <v>16</v>
      </c>
      <c r="BC11">
        <v>400</v>
      </c>
      <c r="BD11">
        <v>0</v>
      </c>
      <c r="BE11">
        <v>0</v>
      </c>
      <c r="BH11">
        <v>0</v>
      </c>
      <c r="BL11">
        <v>0</v>
      </c>
      <c r="BP11">
        <v>0</v>
      </c>
      <c r="BR11" t="s">
        <v>20</v>
      </c>
      <c r="BS11">
        <v>375</v>
      </c>
      <c r="BT11">
        <v>0</v>
      </c>
      <c r="BU11">
        <v>0</v>
      </c>
      <c r="BX11">
        <v>0</v>
      </c>
      <c r="BZ11">
        <v>53200</v>
      </c>
      <c r="CA11">
        <v>1014429.6</v>
      </c>
      <c r="CH11">
        <v>1014429.6</v>
      </c>
      <c r="CM11">
        <v>1014429.6</v>
      </c>
      <c r="CO11">
        <v>1014429.6</v>
      </c>
      <c r="CP11" s="52">
        <v>0.18</v>
      </c>
      <c r="CQ11">
        <v>182597.33</v>
      </c>
      <c r="CR11">
        <v>1197026.93</v>
      </c>
      <c r="CS11">
        <v>547.5</v>
      </c>
      <c r="CT11" t="s">
        <v>186</v>
      </c>
      <c r="CU11" s="53">
        <v>655372243</v>
      </c>
      <c r="CV11" t="s">
        <v>217</v>
      </c>
      <c r="CW11" t="s">
        <v>218</v>
      </c>
      <c r="CX11">
        <v>500</v>
      </c>
    </row>
    <row r="12" spans="1:102" x14ac:dyDescent="0.25">
      <c r="A12" t="s">
        <v>180</v>
      </c>
      <c r="B12" s="50">
        <v>45627</v>
      </c>
      <c r="C12" t="s">
        <v>219</v>
      </c>
      <c r="D12" t="s">
        <v>220</v>
      </c>
      <c r="E12" t="s">
        <v>183</v>
      </c>
      <c r="F12" t="s">
        <v>72</v>
      </c>
      <c r="G12">
        <v>873.4</v>
      </c>
      <c r="H12">
        <v>66</v>
      </c>
      <c r="I12">
        <v>57644.4</v>
      </c>
      <c r="J12" t="s">
        <v>44</v>
      </c>
      <c r="K12">
        <v>257</v>
      </c>
      <c r="L12">
        <v>2732</v>
      </c>
      <c r="M12">
        <v>702124</v>
      </c>
      <c r="P12">
        <v>0</v>
      </c>
      <c r="R12" t="s">
        <v>184</v>
      </c>
      <c r="S12">
        <v>180</v>
      </c>
      <c r="T12">
        <v>200</v>
      </c>
      <c r="U12" s="51">
        <v>36000</v>
      </c>
      <c r="V12" t="s">
        <v>54</v>
      </c>
      <c r="W12">
        <v>140</v>
      </c>
      <c r="X12">
        <v>465</v>
      </c>
      <c r="Y12" s="51">
        <v>65100</v>
      </c>
      <c r="Z12" t="s">
        <v>9</v>
      </c>
      <c r="AA12">
        <v>123.8</v>
      </c>
      <c r="AB12">
        <v>0</v>
      </c>
      <c r="AC12">
        <v>0</v>
      </c>
      <c r="AD12" t="s">
        <v>51</v>
      </c>
      <c r="AE12">
        <v>62</v>
      </c>
      <c r="AF12">
        <v>185</v>
      </c>
      <c r="AG12">
        <v>11470</v>
      </c>
      <c r="AH12" t="s">
        <v>70</v>
      </c>
      <c r="AI12">
        <v>262</v>
      </c>
      <c r="AJ12">
        <v>773</v>
      </c>
      <c r="AK12">
        <v>202526</v>
      </c>
      <c r="AL12" t="s">
        <v>64</v>
      </c>
      <c r="AM12">
        <v>89</v>
      </c>
      <c r="AN12">
        <v>655</v>
      </c>
      <c r="AO12">
        <v>58295</v>
      </c>
      <c r="AR12">
        <v>0</v>
      </c>
      <c r="AV12">
        <v>0</v>
      </c>
      <c r="AX12" t="s">
        <v>15</v>
      </c>
      <c r="AY12">
        <v>420</v>
      </c>
      <c r="AZ12">
        <v>0</v>
      </c>
      <c r="BA12">
        <v>0</v>
      </c>
      <c r="BB12" t="s">
        <v>16</v>
      </c>
      <c r="BC12">
        <v>400</v>
      </c>
      <c r="BD12">
        <v>99</v>
      </c>
      <c r="BE12" s="51">
        <v>39600</v>
      </c>
      <c r="BH12">
        <v>59</v>
      </c>
      <c r="BL12">
        <v>0</v>
      </c>
      <c r="BP12">
        <v>0</v>
      </c>
      <c r="BR12" t="s">
        <v>20</v>
      </c>
      <c r="BS12">
        <v>375</v>
      </c>
      <c r="BT12">
        <v>52</v>
      </c>
      <c r="BU12" s="51">
        <v>19500</v>
      </c>
      <c r="BX12">
        <v>0</v>
      </c>
      <c r="BZ12">
        <v>66500</v>
      </c>
      <c r="CA12">
        <v>1258759.3999999999</v>
      </c>
      <c r="CH12">
        <v>1258759.3999999999</v>
      </c>
      <c r="CM12">
        <v>1258759.3999999999</v>
      </c>
      <c r="CO12">
        <v>1258759.3999999999</v>
      </c>
      <c r="CP12" s="52">
        <v>0.18</v>
      </c>
      <c r="CQ12">
        <v>226576.69</v>
      </c>
      <c r="CR12">
        <v>1485336.09</v>
      </c>
      <c r="CS12">
        <v>1</v>
      </c>
      <c r="CT12" t="s">
        <v>186</v>
      </c>
      <c r="CU12" s="53">
        <v>1485336</v>
      </c>
      <c r="CV12" t="s">
        <v>221</v>
      </c>
      <c r="CW12" t="s">
        <v>222</v>
      </c>
      <c r="CX12">
        <v>500</v>
      </c>
    </row>
    <row r="13" spans="1:102" x14ac:dyDescent="0.25">
      <c r="A13" t="s">
        <v>180</v>
      </c>
      <c r="B13" s="50">
        <v>45627</v>
      </c>
      <c r="C13" t="s">
        <v>223</v>
      </c>
      <c r="D13" t="s">
        <v>224</v>
      </c>
      <c r="E13" t="s">
        <v>183</v>
      </c>
      <c r="F13" t="s">
        <v>72</v>
      </c>
      <c r="G13">
        <v>873.4</v>
      </c>
      <c r="H13">
        <v>60</v>
      </c>
      <c r="I13">
        <v>52404</v>
      </c>
      <c r="J13" t="s">
        <v>44</v>
      </c>
      <c r="K13">
        <v>257</v>
      </c>
      <c r="L13">
        <v>1080</v>
      </c>
      <c r="M13">
        <v>277560</v>
      </c>
      <c r="P13">
        <v>0</v>
      </c>
      <c r="R13" t="s">
        <v>184</v>
      </c>
      <c r="S13">
        <v>180</v>
      </c>
      <c r="T13">
        <v>141</v>
      </c>
      <c r="U13" s="51">
        <v>25380</v>
      </c>
      <c r="V13" t="s">
        <v>54</v>
      </c>
      <c r="W13">
        <v>140</v>
      </c>
      <c r="X13">
        <v>870</v>
      </c>
      <c r="Y13" s="51">
        <v>121800</v>
      </c>
      <c r="Z13" t="s">
        <v>9</v>
      </c>
      <c r="AA13">
        <v>123.8</v>
      </c>
      <c r="AB13">
        <v>0</v>
      </c>
      <c r="AC13">
        <v>0</v>
      </c>
      <c r="AD13" t="s">
        <v>51</v>
      </c>
      <c r="AE13">
        <v>62</v>
      </c>
      <c r="AF13">
        <v>147</v>
      </c>
      <c r="AG13">
        <v>9114</v>
      </c>
      <c r="AH13" t="s">
        <v>70</v>
      </c>
      <c r="AI13">
        <v>262</v>
      </c>
      <c r="AJ13">
        <v>702</v>
      </c>
      <c r="AK13">
        <v>183924</v>
      </c>
      <c r="AL13" t="s">
        <v>64</v>
      </c>
      <c r="AM13">
        <v>89</v>
      </c>
      <c r="AN13">
        <v>575</v>
      </c>
      <c r="AO13">
        <v>51175</v>
      </c>
      <c r="AR13">
        <v>0</v>
      </c>
      <c r="AV13">
        <v>0</v>
      </c>
      <c r="AX13" t="s">
        <v>15</v>
      </c>
      <c r="AY13">
        <v>420</v>
      </c>
      <c r="AZ13">
        <v>54</v>
      </c>
      <c r="BA13" s="51">
        <v>22680</v>
      </c>
      <c r="BB13" t="s">
        <v>16</v>
      </c>
      <c r="BC13">
        <v>400</v>
      </c>
      <c r="BD13">
        <v>0</v>
      </c>
      <c r="BE13">
        <v>0</v>
      </c>
      <c r="BH13">
        <v>52</v>
      </c>
      <c r="BL13">
        <v>0</v>
      </c>
      <c r="BP13">
        <v>0</v>
      </c>
      <c r="BR13" t="s">
        <v>20</v>
      </c>
      <c r="BS13">
        <v>375</v>
      </c>
      <c r="BT13">
        <v>0</v>
      </c>
      <c r="BU13">
        <v>0</v>
      </c>
      <c r="BX13">
        <v>0</v>
      </c>
      <c r="BZ13">
        <v>53200</v>
      </c>
      <c r="CA13">
        <v>797237</v>
      </c>
      <c r="CH13">
        <v>797237</v>
      </c>
      <c r="CM13">
        <v>797237</v>
      </c>
      <c r="CO13">
        <v>797237</v>
      </c>
      <c r="CP13" s="52">
        <v>0.18</v>
      </c>
      <c r="CQ13">
        <v>143502.66</v>
      </c>
      <c r="CR13">
        <v>940739.66</v>
      </c>
      <c r="CS13">
        <v>17.5</v>
      </c>
      <c r="CT13" t="s">
        <v>186</v>
      </c>
      <c r="CU13" s="53">
        <v>16462944</v>
      </c>
      <c r="CV13" t="s">
        <v>225</v>
      </c>
      <c r="CW13" t="s">
        <v>226</v>
      </c>
      <c r="CX13">
        <v>500</v>
      </c>
    </row>
    <row r="14" spans="1:102" x14ac:dyDescent="0.25">
      <c r="A14" t="s">
        <v>180</v>
      </c>
      <c r="B14" s="50">
        <v>45627</v>
      </c>
      <c r="C14" t="s">
        <v>227</v>
      </c>
      <c r="D14" t="s">
        <v>228</v>
      </c>
      <c r="E14" t="s">
        <v>183</v>
      </c>
      <c r="F14" t="s">
        <v>72</v>
      </c>
      <c r="G14">
        <v>873.4</v>
      </c>
      <c r="H14">
        <v>55</v>
      </c>
      <c r="I14">
        <v>48037</v>
      </c>
      <c r="J14" t="s">
        <v>44</v>
      </c>
      <c r="K14">
        <v>257</v>
      </c>
      <c r="L14">
        <v>810</v>
      </c>
      <c r="M14">
        <v>208170</v>
      </c>
      <c r="P14">
        <v>0</v>
      </c>
      <c r="R14" t="s">
        <v>184</v>
      </c>
      <c r="S14">
        <v>180</v>
      </c>
      <c r="T14">
        <v>128</v>
      </c>
      <c r="U14" s="51">
        <v>23040</v>
      </c>
      <c r="V14" t="s">
        <v>54</v>
      </c>
      <c r="W14">
        <v>140</v>
      </c>
      <c r="X14">
        <v>792</v>
      </c>
      <c r="Y14" s="51">
        <v>110880</v>
      </c>
      <c r="Z14" t="s">
        <v>9</v>
      </c>
      <c r="AA14">
        <v>123.8</v>
      </c>
      <c r="AB14">
        <v>0</v>
      </c>
      <c r="AC14">
        <v>0</v>
      </c>
      <c r="AD14" t="s">
        <v>51</v>
      </c>
      <c r="AE14">
        <v>62</v>
      </c>
      <c r="AF14">
        <v>138</v>
      </c>
      <c r="AG14">
        <v>8556</v>
      </c>
      <c r="AH14" t="s">
        <v>70</v>
      </c>
      <c r="AI14">
        <v>262</v>
      </c>
      <c r="AJ14">
        <v>648</v>
      </c>
      <c r="AK14">
        <v>169776</v>
      </c>
      <c r="AL14" t="s">
        <v>64</v>
      </c>
      <c r="AM14">
        <v>89</v>
      </c>
      <c r="AN14">
        <v>542</v>
      </c>
      <c r="AO14">
        <v>48238</v>
      </c>
      <c r="AR14">
        <v>0</v>
      </c>
      <c r="AV14">
        <v>0</v>
      </c>
      <c r="AX14" t="s">
        <v>15</v>
      </c>
      <c r="AY14">
        <v>420</v>
      </c>
      <c r="AZ14">
        <v>0</v>
      </c>
      <c r="BA14">
        <v>0</v>
      </c>
      <c r="BB14" t="s">
        <v>16</v>
      </c>
      <c r="BC14">
        <v>400</v>
      </c>
      <c r="BD14">
        <v>0</v>
      </c>
      <c r="BE14">
        <v>0</v>
      </c>
      <c r="BH14">
        <v>0</v>
      </c>
      <c r="BL14">
        <v>0</v>
      </c>
      <c r="BP14">
        <v>0</v>
      </c>
      <c r="BR14" t="s">
        <v>20</v>
      </c>
      <c r="BS14">
        <v>375</v>
      </c>
      <c r="BT14">
        <v>0</v>
      </c>
      <c r="BU14">
        <v>0</v>
      </c>
      <c r="BX14">
        <v>0</v>
      </c>
      <c r="BZ14">
        <v>47500</v>
      </c>
      <c r="CA14">
        <v>664197</v>
      </c>
      <c r="CH14">
        <v>664197</v>
      </c>
      <c r="CM14">
        <v>664197</v>
      </c>
      <c r="CO14">
        <v>664197</v>
      </c>
      <c r="CP14" s="52">
        <v>0.18</v>
      </c>
      <c r="CQ14">
        <v>119555.46</v>
      </c>
      <c r="CR14">
        <v>783752.46</v>
      </c>
      <c r="CS14">
        <v>7</v>
      </c>
      <c r="CT14" t="s">
        <v>186</v>
      </c>
      <c r="CU14" s="53">
        <v>5486267</v>
      </c>
      <c r="CV14" t="s">
        <v>213</v>
      </c>
      <c r="CW14" t="s">
        <v>214</v>
      </c>
      <c r="CX14">
        <v>500</v>
      </c>
    </row>
    <row r="15" spans="1:102" x14ac:dyDescent="0.25">
      <c r="A15" t="s">
        <v>180</v>
      </c>
      <c r="B15" s="50">
        <v>45627</v>
      </c>
      <c r="C15" t="s">
        <v>229</v>
      </c>
      <c r="D15" t="s">
        <v>230</v>
      </c>
      <c r="E15" t="s">
        <v>183</v>
      </c>
      <c r="F15" t="s">
        <v>72</v>
      </c>
      <c r="G15">
        <v>873.4</v>
      </c>
      <c r="H15">
        <v>54</v>
      </c>
      <c r="I15">
        <v>47163.6</v>
      </c>
      <c r="J15" t="s">
        <v>44</v>
      </c>
      <c r="K15">
        <v>257</v>
      </c>
      <c r="L15">
        <v>1701</v>
      </c>
      <c r="M15">
        <v>437157</v>
      </c>
      <c r="P15">
        <v>0</v>
      </c>
      <c r="R15" t="s">
        <v>184</v>
      </c>
      <c r="S15">
        <v>180</v>
      </c>
      <c r="T15">
        <v>150</v>
      </c>
      <c r="U15" s="51">
        <v>27000</v>
      </c>
      <c r="V15" t="s">
        <v>54</v>
      </c>
      <c r="W15">
        <v>140</v>
      </c>
      <c r="X15">
        <v>374</v>
      </c>
      <c r="Y15" s="51">
        <v>52360</v>
      </c>
      <c r="Z15" t="s">
        <v>9</v>
      </c>
      <c r="AA15">
        <v>123.8</v>
      </c>
      <c r="AB15">
        <v>0</v>
      </c>
      <c r="AC15">
        <v>0</v>
      </c>
      <c r="AD15" t="s">
        <v>51</v>
      </c>
      <c r="AE15">
        <v>62</v>
      </c>
      <c r="AF15">
        <v>134</v>
      </c>
      <c r="AG15">
        <v>8308</v>
      </c>
      <c r="AH15" t="s">
        <v>70</v>
      </c>
      <c r="AI15">
        <v>262</v>
      </c>
      <c r="AJ15">
        <v>511</v>
      </c>
      <c r="AK15">
        <v>133882</v>
      </c>
      <c r="AL15" t="s">
        <v>64</v>
      </c>
      <c r="AM15">
        <v>89</v>
      </c>
      <c r="AN15">
        <v>472</v>
      </c>
      <c r="AO15">
        <v>42008</v>
      </c>
      <c r="AR15">
        <v>0</v>
      </c>
      <c r="AV15">
        <v>0</v>
      </c>
      <c r="AX15" t="s">
        <v>15</v>
      </c>
      <c r="AY15">
        <v>420</v>
      </c>
      <c r="AZ15">
        <v>0</v>
      </c>
      <c r="BA15">
        <v>0</v>
      </c>
      <c r="BB15" t="s">
        <v>16</v>
      </c>
      <c r="BC15">
        <v>400</v>
      </c>
      <c r="BD15">
        <v>70</v>
      </c>
      <c r="BE15" s="51">
        <v>28000</v>
      </c>
      <c r="BH15">
        <v>0</v>
      </c>
      <c r="BL15">
        <v>0</v>
      </c>
      <c r="BP15">
        <v>0</v>
      </c>
      <c r="BR15" t="s">
        <v>20</v>
      </c>
      <c r="BS15">
        <v>375</v>
      </c>
      <c r="BT15">
        <v>0</v>
      </c>
      <c r="BU15">
        <v>0</v>
      </c>
      <c r="BX15">
        <v>0</v>
      </c>
      <c r="BZ15">
        <v>48450</v>
      </c>
      <c r="CA15">
        <v>824328.6</v>
      </c>
      <c r="CH15">
        <v>824328.6</v>
      </c>
      <c r="CM15">
        <v>824328.6</v>
      </c>
      <c r="CO15">
        <v>824328.6</v>
      </c>
      <c r="CP15" s="52">
        <v>0.18</v>
      </c>
      <c r="CQ15">
        <v>148379.15</v>
      </c>
      <c r="CR15">
        <v>972707.75</v>
      </c>
      <c r="CS15">
        <v>11</v>
      </c>
      <c r="CT15" t="s">
        <v>186</v>
      </c>
      <c r="CU15" s="53">
        <v>10699785</v>
      </c>
      <c r="CV15" t="s">
        <v>231</v>
      </c>
      <c r="CW15" t="s">
        <v>232</v>
      </c>
      <c r="CX15">
        <v>500</v>
      </c>
    </row>
    <row r="16" spans="1:102" x14ac:dyDescent="0.25">
      <c r="A16" t="s">
        <v>180</v>
      </c>
      <c r="B16" s="50">
        <v>45627</v>
      </c>
      <c r="C16" t="s">
        <v>233</v>
      </c>
      <c r="D16" t="s">
        <v>234</v>
      </c>
      <c r="E16" t="s">
        <v>183</v>
      </c>
      <c r="F16" t="s">
        <v>72</v>
      </c>
      <c r="G16">
        <v>873.4</v>
      </c>
      <c r="H16">
        <v>45</v>
      </c>
      <c r="I16">
        <v>39303</v>
      </c>
      <c r="J16" t="s">
        <v>44</v>
      </c>
      <c r="K16">
        <v>257</v>
      </c>
      <c r="L16">
        <v>1080</v>
      </c>
      <c r="M16">
        <v>277560</v>
      </c>
      <c r="P16">
        <v>0</v>
      </c>
      <c r="R16" t="s">
        <v>184</v>
      </c>
      <c r="S16">
        <v>180</v>
      </c>
      <c r="T16">
        <v>122</v>
      </c>
      <c r="U16" s="51">
        <v>21960</v>
      </c>
      <c r="V16" t="s">
        <v>54</v>
      </c>
      <c r="W16">
        <v>140</v>
      </c>
      <c r="X16">
        <v>305</v>
      </c>
      <c r="Y16" s="51">
        <v>42700</v>
      </c>
      <c r="AB16">
        <v>0</v>
      </c>
      <c r="AD16" t="s">
        <v>51</v>
      </c>
      <c r="AE16">
        <v>62</v>
      </c>
      <c r="AF16">
        <v>96</v>
      </c>
      <c r="AG16">
        <v>5952</v>
      </c>
      <c r="AH16" t="s">
        <v>70</v>
      </c>
      <c r="AI16">
        <v>262</v>
      </c>
      <c r="AJ16">
        <v>423</v>
      </c>
      <c r="AK16">
        <v>110826</v>
      </c>
      <c r="AL16" t="s">
        <v>64</v>
      </c>
      <c r="AM16">
        <v>89</v>
      </c>
      <c r="AN16">
        <v>376</v>
      </c>
      <c r="AO16">
        <v>33464</v>
      </c>
      <c r="AR16">
        <v>0</v>
      </c>
      <c r="AV16">
        <v>0</v>
      </c>
      <c r="AX16" t="s">
        <v>15</v>
      </c>
      <c r="AY16">
        <v>420</v>
      </c>
      <c r="AZ16">
        <v>0</v>
      </c>
      <c r="BA16">
        <v>0</v>
      </c>
      <c r="BB16" t="s">
        <v>16</v>
      </c>
      <c r="BC16">
        <v>400</v>
      </c>
      <c r="BD16">
        <v>54</v>
      </c>
      <c r="BE16" s="51">
        <v>21600</v>
      </c>
      <c r="BH16">
        <v>0</v>
      </c>
      <c r="BL16">
        <v>0</v>
      </c>
      <c r="BP16">
        <v>0</v>
      </c>
      <c r="BT16">
        <v>0</v>
      </c>
      <c r="BX16">
        <v>0</v>
      </c>
      <c r="BZ16">
        <v>34200</v>
      </c>
      <c r="CA16">
        <v>587565</v>
      </c>
      <c r="CH16">
        <v>587565</v>
      </c>
      <c r="CM16">
        <v>587565</v>
      </c>
      <c r="CO16">
        <v>587565</v>
      </c>
      <c r="CP16" s="52">
        <v>0.18</v>
      </c>
      <c r="CQ16">
        <v>105761.7</v>
      </c>
      <c r="CR16">
        <v>693326.7</v>
      </c>
      <c r="CS16">
        <v>4</v>
      </c>
      <c r="CT16" t="s">
        <v>186</v>
      </c>
      <c r="CU16" s="53">
        <v>2773307</v>
      </c>
      <c r="CV16" t="s">
        <v>235</v>
      </c>
      <c r="CW16" t="s">
        <v>236</v>
      </c>
      <c r="CX16">
        <v>500</v>
      </c>
    </row>
    <row r="17" spans="1:102" x14ac:dyDescent="0.25">
      <c r="A17" t="s">
        <v>180</v>
      </c>
      <c r="B17" s="50">
        <v>45627</v>
      </c>
      <c r="C17" t="s">
        <v>237</v>
      </c>
      <c r="D17" t="s">
        <v>238</v>
      </c>
      <c r="E17" t="s">
        <v>183</v>
      </c>
      <c r="F17" t="s">
        <v>72</v>
      </c>
      <c r="G17">
        <v>873.4</v>
      </c>
      <c r="J17" t="s">
        <v>44</v>
      </c>
      <c r="K17">
        <v>257</v>
      </c>
      <c r="R17" t="s">
        <v>184</v>
      </c>
      <c r="S17">
        <v>180</v>
      </c>
      <c r="V17" t="s">
        <v>54</v>
      </c>
      <c r="W17">
        <v>140</v>
      </c>
      <c r="AD17" t="s">
        <v>80</v>
      </c>
      <c r="AE17">
        <v>87</v>
      </c>
      <c r="AH17" t="s">
        <v>84</v>
      </c>
      <c r="AI17">
        <v>90.2</v>
      </c>
      <c r="AL17" t="s">
        <v>64</v>
      </c>
      <c r="AM17">
        <v>89</v>
      </c>
      <c r="AP17" t="s">
        <v>185</v>
      </c>
      <c r="AX17" t="s">
        <v>15</v>
      </c>
      <c r="AY17">
        <v>420</v>
      </c>
      <c r="BB17" t="s">
        <v>16</v>
      </c>
      <c r="BC17">
        <v>400</v>
      </c>
      <c r="BR17" t="s">
        <v>20</v>
      </c>
      <c r="BS17">
        <v>375</v>
      </c>
      <c r="BZ17">
        <v>106400</v>
      </c>
      <c r="CA17">
        <v>106400</v>
      </c>
      <c r="CH17">
        <v>106400</v>
      </c>
      <c r="CM17">
        <v>106400</v>
      </c>
      <c r="CO17">
        <v>106400</v>
      </c>
      <c r="CP17" s="52">
        <v>0.18</v>
      </c>
      <c r="CQ17">
        <v>19152</v>
      </c>
      <c r="CR17">
        <v>125552</v>
      </c>
      <c r="CS17">
        <v>5</v>
      </c>
      <c r="CT17" t="s">
        <v>186</v>
      </c>
      <c r="CU17" s="53">
        <v>627760</v>
      </c>
      <c r="CV17" t="s">
        <v>225</v>
      </c>
      <c r="CW17" t="s">
        <v>226</v>
      </c>
      <c r="CX17">
        <v>250</v>
      </c>
    </row>
    <row r="18" spans="1:102" x14ac:dyDescent="0.25">
      <c r="A18" t="s">
        <v>180</v>
      </c>
      <c r="B18" s="50">
        <v>45627</v>
      </c>
      <c r="C18" t="s">
        <v>239</v>
      </c>
      <c r="D18" t="s">
        <v>240</v>
      </c>
      <c r="E18" t="s">
        <v>183</v>
      </c>
      <c r="F18" t="s">
        <v>72</v>
      </c>
      <c r="G18">
        <v>873.4</v>
      </c>
      <c r="J18" t="s">
        <v>44</v>
      </c>
      <c r="K18">
        <v>257</v>
      </c>
      <c r="R18" t="s">
        <v>184</v>
      </c>
      <c r="S18">
        <v>180</v>
      </c>
      <c r="V18" t="s">
        <v>54</v>
      </c>
      <c r="W18">
        <v>140</v>
      </c>
      <c r="AD18" t="s">
        <v>80</v>
      </c>
      <c r="AE18">
        <v>87</v>
      </c>
      <c r="AH18" t="s">
        <v>84</v>
      </c>
      <c r="AI18">
        <v>90.2</v>
      </c>
      <c r="AL18" t="s">
        <v>64</v>
      </c>
      <c r="AM18">
        <v>89</v>
      </c>
      <c r="AP18" t="s">
        <v>185</v>
      </c>
      <c r="AX18" t="s">
        <v>15</v>
      </c>
      <c r="AY18">
        <v>420</v>
      </c>
      <c r="BB18" t="s">
        <v>16</v>
      </c>
      <c r="BC18">
        <v>400</v>
      </c>
      <c r="BR18" t="s">
        <v>20</v>
      </c>
      <c r="BS18">
        <v>375</v>
      </c>
      <c r="BZ18">
        <v>80000</v>
      </c>
      <c r="CA18">
        <v>80000</v>
      </c>
      <c r="CH18">
        <v>80000</v>
      </c>
      <c r="CM18">
        <v>80000</v>
      </c>
      <c r="CO18">
        <v>80000</v>
      </c>
      <c r="CP18" s="52">
        <v>0.18</v>
      </c>
      <c r="CQ18">
        <v>14400</v>
      </c>
      <c r="CR18">
        <v>94400</v>
      </c>
      <c r="CS18">
        <v>4</v>
      </c>
      <c r="CT18" t="s">
        <v>186</v>
      </c>
      <c r="CU18" s="53">
        <v>377600</v>
      </c>
      <c r="CV18" t="s">
        <v>225</v>
      </c>
      <c r="CW18" t="s">
        <v>226</v>
      </c>
      <c r="CX18">
        <v>250</v>
      </c>
    </row>
    <row r="19" spans="1:102" x14ac:dyDescent="0.25">
      <c r="A19" t="s">
        <v>180</v>
      </c>
      <c r="B19" s="50">
        <v>45627</v>
      </c>
      <c r="C19" t="s">
        <v>241</v>
      </c>
      <c r="D19" t="s">
        <v>242</v>
      </c>
      <c r="H19">
        <v>0</v>
      </c>
      <c r="L19">
        <v>405</v>
      </c>
      <c r="P19">
        <v>0</v>
      </c>
      <c r="T19">
        <v>165</v>
      </c>
      <c r="X19">
        <v>423</v>
      </c>
      <c r="AB19">
        <v>0</v>
      </c>
      <c r="AF19">
        <v>130</v>
      </c>
      <c r="AJ19">
        <v>1804</v>
      </c>
      <c r="AN19">
        <v>520</v>
      </c>
      <c r="AR19">
        <v>448</v>
      </c>
      <c r="AV19">
        <v>0</v>
      </c>
      <c r="AZ19">
        <v>0</v>
      </c>
      <c r="BD19">
        <v>0</v>
      </c>
      <c r="BH19">
        <v>0</v>
      </c>
      <c r="BL19">
        <v>0</v>
      </c>
      <c r="BP19">
        <v>0</v>
      </c>
      <c r="BT19">
        <v>0</v>
      </c>
      <c r="BX19">
        <v>0</v>
      </c>
      <c r="CM19"/>
      <c r="CP19" s="52">
        <v>0.18</v>
      </c>
      <c r="CS19">
        <v>7.5</v>
      </c>
      <c r="CT19" t="s">
        <v>186</v>
      </c>
      <c r="CX19">
        <v>250</v>
      </c>
    </row>
    <row r="20" spans="1:102" x14ac:dyDescent="0.25">
      <c r="A20" t="s">
        <v>180</v>
      </c>
      <c r="B20" s="50">
        <v>45627</v>
      </c>
      <c r="C20" t="s">
        <v>243</v>
      </c>
      <c r="D20" t="s">
        <v>244</v>
      </c>
      <c r="E20" t="s">
        <v>183</v>
      </c>
      <c r="F20" t="s">
        <v>72</v>
      </c>
      <c r="G20">
        <v>873.4</v>
      </c>
      <c r="H20">
        <v>165</v>
      </c>
      <c r="I20">
        <v>144111</v>
      </c>
      <c r="J20" t="s">
        <v>44</v>
      </c>
      <c r="K20">
        <v>257</v>
      </c>
      <c r="L20">
        <v>2430</v>
      </c>
      <c r="M20">
        <v>624510</v>
      </c>
      <c r="P20">
        <v>0</v>
      </c>
      <c r="R20" t="s">
        <v>184</v>
      </c>
      <c r="S20">
        <v>180</v>
      </c>
      <c r="T20">
        <v>386</v>
      </c>
      <c r="U20" s="51">
        <v>69480</v>
      </c>
      <c r="V20" t="s">
        <v>54</v>
      </c>
      <c r="W20">
        <v>140</v>
      </c>
      <c r="X20">
        <v>2385</v>
      </c>
      <c r="Y20" s="51">
        <v>333900</v>
      </c>
      <c r="AB20">
        <v>0</v>
      </c>
      <c r="AD20" t="s">
        <v>80</v>
      </c>
      <c r="AE20">
        <v>87</v>
      </c>
      <c r="AF20">
        <v>378</v>
      </c>
      <c r="AG20">
        <v>32886</v>
      </c>
      <c r="AH20" t="s">
        <v>84</v>
      </c>
      <c r="AI20">
        <v>90.2</v>
      </c>
      <c r="AJ20">
        <v>6463</v>
      </c>
      <c r="AK20">
        <v>582962.6</v>
      </c>
      <c r="AL20" t="s">
        <v>64</v>
      </c>
      <c r="AM20">
        <v>89</v>
      </c>
      <c r="AN20">
        <v>1558</v>
      </c>
      <c r="AO20">
        <v>138662</v>
      </c>
      <c r="AP20" t="s">
        <v>185</v>
      </c>
      <c r="AR20">
        <v>2315</v>
      </c>
      <c r="AV20">
        <v>0</v>
      </c>
      <c r="AX20" t="s">
        <v>15</v>
      </c>
      <c r="AY20">
        <v>420</v>
      </c>
      <c r="AZ20">
        <v>0</v>
      </c>
      <c r="BA20">
        <v>0</v>
      </c>
      <c r="BB20" t="s">
        <v>16</v>
      </c>
      <c r="BC20">
        <v>400</v>
      </c>
      <c r="BD20">
        <v>0</v>
      </c>
      <c r="BE20">
        <v>0</v>
      </c>
      <c r="BH20">
        <v>0</v>
      </c>
      <c r="BL20">
        <v>0</v>
      </c>
      <c r="BP20">
        <v>0</v>
      </c>
      <c r="BR20" t="s">
        <v>20</v>
      </c>
      <c r="BS20">
        <v>375</v>
      </c>
      <c r="BT20">
        <v>0</v>
      </c>
      <c r="BU20">
        <v>0</v>
      </c>
      <c r="BX20">
        <v>0</v>
      </c>
      <c r="BZ20">
        <v>190000</v>
      </c>
      <c r="CA20">
        <v>2116511.6</v>
      </c>
      <c r="CH20">
        <v>2116511.6</v>
      </c>
      <c r="CM20">
        <v>2116511.6</v>
      </c>
      <c r="CO20">
        <v>2116511.6</v>
      </c>
      <c r="CP20" s="52">
        <v>0.18</v>
      </c>
      <c r="CQ20">
        <v>380972.09</v>
      </c>
      <c r="CR20">
        <v>2497483.69</v>
      </c>
      <c r="CS20">
        <v>17.5</v>
      </c>
      <c r="CT20" t="s">
        <v>186</v>
      </c>
      <c r="CU20" s="53">
        <v>43705965</v>
      </c>
      <c r="CV20" t="s">
        <v>245</v>
      </c>
      <c r="CW20" t="s">
        <v>246</v>
      </c>
      <c r="CX20">
        <v>250</v>
      </c>
    </row>
    <row r="21" spans="1:102" x14ac:dyDescent="0.25">
      <c r="A21" t="s">
        <v>180</v>
      </c>
      <c r="B21" s="50">
        <v>45627</v>
      </c>
      <c r="C21" t="s">
        <v>247</v>
      </c>
      <c r="D21" t="s">
        <v>248</v>
      </c>
      <c r="E21" t="s">
        <v>183</v>
      </c>
      <c r="F21" t="s">
        <v>72</v>
      </c>
      <c r="G21">
        <v>873.4</v>
      </c>
      <c r="H21">
        <v>179</v>
      </c>
      <c r="I21">
        <v>156338.6</v>
      </c>
      <c r="J21" t="s">
        <v>44</v>
      </c>
      <c r="K21">
        <v>257</v>
      </c>
      <c r="L21">
        <v>3240</v>
      </c>
      <c r="M21">
        <v>832680</v>
      </c>
      <c r="P21">
        <v>0</v>
      </c>
      <c r="R21" t="s">
        <v>184</v>
      </c>
      <c r="S21">
        <v>180</v>
      </c>
      <c r="T21">
        <v>427</v>
      </c>
      <c r="U21" s="51">
        <v>76860</v>
      </c>
      <c r="V21" t="s">
        <v>54</v>
      </c>
      <c r="W21">
        <v>140</v>
      </c>
      <c r="X21">
        <v>2621</v>
      </c>
      <c r="Y21" s="51">
        <v>366940</v>
      </c>
      <c r="AB21">
        <v>0</v>
      </c>
      <c r="AD21" t="s">
        <v>80</v>
      </c>
      <c r="AE21">
        <v>87</v>
      </c>
      <c r="AF21">
        <v>405</v>
      </c>
      <c r="AG21">
        <v>35235</v>
      </c>
      <c r="AH21" t="s">
        <v>84</v>
      </c>
      <c r="AI21">
        <v>90.2</v>
      </c>
      <c r="AJ21">
        <v>6975</v>
      </c>
      <c r="AK21">
        <v>629145</v>
      </c>
      <c r="AL21" t="s">
        <v>64</v>
      </c>
      <c r="AM21">
        <v>89</v>
      </c>
      <c r="AN21">
        <v>1660</v>
      </c>
      <c r="AO21">
        <v>147740</v>
      </c>
      <c r="AP21" t="s">
        <v>185</v>
      </c>
      <c r="AR21">
        <v>2672</v>
      </c>
      <c r="AV21">
        <v>0</v>
      </c>
      <c r="AX21" t="s">
        <v>15</v>
      </c>
      <c r="AY21">
        <v>420</v>
      </c>
      <c r="AZ21">
        <v>120</v>
      </c>
      <c r="BA21" s="51">
        <v>50400</v>
      </c>
      <c r="BB21" t="s">
        <v>16</v>
      </c>
      <c r="BC21">
        <v>400</v>
      </c>
      <c r="BD21">
        <v>0</v>
      </c>
      <c r="BE21">
        <v>0</v>
      </c>
      <c r="BH21">
        <v>144</v>
      </c>
      <c r="BL21">
        <v>0</v>
      </c>
      <c r="BP21">
        <v>0</v>
      </c>
      <c r="BR21" t="s">
        <v>20</v>
      </c>
      <c r="BS21">
        <v>375</v>
      </c>
      <c r="BT21">
        <v>0</v>
      </c>
      <c r="BU21">
        <v>0</v>
      </c>
      <c r="BX21">
        <v>0</v>
      </c>
      <c r="BZ21">
        <v>190000</v>
      </c>
      <c r="CA21">
        <v>2485338.6</v>
      </c>
      <c r="CH21">
        <v>2485338.6</v>
      </c>
      <c r="CM21">
        <v>2485338.6</v>
      </c>
      <c r="CO21">
        <v>2485338.6</v>
      </c>
      <c r="CP21" s="52">
        <v>0.18</v>
      </c>
      <c r="CQ21">
        <v>447360.95</v>
      </c>
      <c r="CR21">
        <v>2932699.55</v>
      </c>
      <c r="CS21">
        <v>222.75</v>
      </c>
      <c r="CT21" t="s">
        <v>186</v>
      </c>
      <c r="CU21" s="53">
        <v>653258824</v>
      </c>
      <c r="CV21" t="s">
        <v>245</v>
      </c>
      <c r="CW21" t="s">
        <v>249</v>
      </c>
      <c r="CX21">
        <v>250</v>
      </c>
    </row>
    <row r="22" spans="1:102" x14ac:dyDescent="0.25">
      <c r="A22" t="s">
        <v>0</v>
      </c>
      <c r="B22" t="s">
        <v>98</v>
      </c>
      <c r="C22" t="s">
        <v>1</v>
      </c>
      <c r="D22" t="s">
        <v>2</v>
      </c>
      <c r="E22" t="s">
        <v>101</v>
      </c>
      <c r="F22" t="s">
        <v>102</v>
      </c>
      <c r="G22" t="s">
        <v>103</v>
      </c>
      <c r="H22" t="s">
        <v>4</v>
      </c>
      <c r="I22" t="s">
        <v>104</v>
      </c>
      <c r="J22" t="s">
        <v>5</v>
      </c>
      <c r="K22" t="s">
        <v>105</v>
      </c>
      <c r="L22" t="s">
        <v>106</v>
      </c>
      <c r="M22" t="s">
        <v>107</v>
      </c>
      <c r="N22" t="s">
        <v>6</v>
      </c>
      <c r="O22" t="s">
        <v>108</v>
      </c>
      <c r="P22" t="s">
        <v>109</v>
      </c>
      <c r="Q22" t="s">
        <v>110</v>
      </c>
      <c r="R22" t="s">
        <v>111</v>
      </c>
      <c r="S22" t="s">
        <v>112</v>
      </c>
      <c r="T22" t="s">
        <v>113</v>
      </c>
      <c r="U22" t="s">
        <v>114</v>
      </c>
      <c r="V22" t="s">
        <v>8</v>
      </c>
      <c r="W22" t="s">
        <v>115</v>
      </c>
      <c r="X22" t="s">
        <v>116</v>
      </c>
      <c r="Y22" t="s">
        <v>117</v>
      </c>
      <c r="Z22" t="s">
        <v>118</v>
      </c>
      <c r="AA22" t="s">
        <v>119</v>
      </c>
      <c r="AB22" t="s">
        <v>120</v>
      </c>
      <c r="AC22" t="s">
        <v>121</v>
      </c>
      <c r="AD22" t="s">
        <v>10</v>
      </c>
      <c r="AE22" t="s">
        <v>122</v>
      </c>
      <c r="AF22" t="s">
        <v>123</v>
      </c>
      <c r="AG22" t="s">
        <v>124</v>
      </c>
      <c r="AH22" t="s">
        <v>11</v>
      </c>
      <c r="AI22" t="s">
        <v>125</v>
      </c>
      <c r="AJ22" t="s">
        <v>126</v>
      </c>
      <c r="AK22" t="s">
        <v>127</v>
      </c>
      <c r="AL22" t="s">
        <v>12</v>
      </c>
      <c r="AM22" t="s">
        <v>128</v>
      </c>
      <c r="AN22" t="s">
        <v>129</v>
      </c>
      <c r="AO22" t="s">
        <v>130</v>
      </c>
      <c r="AP22" t="s">
        <v>131</v>
      </c>
      <c r="AQ22" t="s">
        <v>132</v>
      </c>
      <c r="AR22" t="s">
        <v>133</v>
      </c>
      <c r="AS22" t="s">
        <v>134</v>
      </c>
      <c r="AT22" t="s">
        <v>53</v>
      </c>
      <c r="AU22" t="s">
        <v>135</v>
      </c>
      <c r="AV22" t="s">
        <v>136</v>
      </c>
      <c r="AW22" t="s">
        <v>137</v>
      </c>
      <c r="AX22" t="s">
        <v>138</v>
      </c>
      <c r="AY22" t="s">
        <v>139</v>
      </c>
      <c r="AZ22" t="s">
        <v>140</v>
      </c>
      <c r="BA22" t="s">
        <v>141</v>
      </c>
      <c r="BB22" t="s">
        <v>142</v>
      </c>
      <c r="BC22" t="s">
        <v>143</v>
      </c>
      <c r="BD22" t="s">
        <v>144</v>
      </c>
      <c r="BE22" t="s">
        <v>145</v>
      </c>
      <c r="BF22" t="s">
        <v>146</v>
      </c>
      <c r="BG22" t="s">
        <v>147</v>
      </c>
      <c r="BH22" t="s">
        <v>148</v>
      </c>
      <c r="BI22" t="s">
        <v>149</v>
      </c>
      <c r="BJ22" t="s">
        <v>150</v>
      </c>
      <c r="BK22" t="s">
        <v>151</v>
      </c>
      <c r="BL22" t="s">
        <v>152</v>
      </c>
      <c r="BM22" t="s">
        <v>153</v>
      </c>
      <c r="BN22" t="s">
        <v>154</v>
      </c>
      <c r="BO22" t="s">
        <v>155</v>
      </c>
      <c r="BP22" t="s">
        <v>156</v>
      </c>
      <c r="BQ22" t="s">
        <v>157</v>
      </c>
      <c r="BR22" t="s">
        <v>158</v>
      </c>
      <c r="BS22" t="s">
        <v>159</v>
      </c>
      <c r="BT22" t="s">
        <v>160</v>
      </c>
      <c r="BU22" t="s">
        <v>161</v>
      </c>
      <c r="BV22" t="s">
        <v>21</v>
      </c>
      <c r="BW22" t="s">
        <v>162</v>
      </c>
      <c r="BX22" t="s">
        <v>163</v>
      </c>
      <c r="BY22" t="s">
        <v>164</v>
      </c>
      <c r="BZ22" t="s">
        <v>165</v>
      </c>
      <c r="CA22" t="s">
        <v>166</v>
      </c>
      <c r="CB22" t="s">
        <v>24</v>
      </c>
      <c r="CC22" t="s">
        <v>167</v>
      </c>
      <c r="CD22" t="s">
        <v>25</v>
      </c>
      <c r="CE22" t="s">
        <v>168</v>
      </c>
      <c r="CF22" t="s">
        <v>27</v>
      </c>
      <c r="CG22" t="s">
        <v>169</v>
      </c>
      <c r="CH22" t="s">
        <v>170</v>
      </c>
      <c r="CI22" t="s">
        <v>30</v>
      </c>
      <c r="CJ22" t="s">
        <v>171</v>
      </c>
      <c r="CK22" t="s">
        <v>32</v>
      </c>
      <c r="CL22" t="s">
        <v>172</v>
      </c>
      <c r="CM22" t="s">
        <v>173</v>
      </c>
      <c r="CN22" t="s">
        <v>174</v>
      </c>
      <c r="CO22" t="s">
        <v>175</v>
      </c>
      <c r="CP22" t="s">
        <v>37</v>
      </c>
      <c r="CQ22" t="s">
        <v>176</v>
      </c>
      <c r="CR22" t="s">
        <v>177</v>
      </c>
      <c r="CS22" t="s">
        <v>40</v>
      </c>
      <c r="CT22" t="s">
        <v>41</v>
      </c>
      <c r="CU22" t="s">
        <v>178</v>
      </c>
      <c r="CV22" t="s">
        <v>99</v>
      </c>
      <c r="CW22" t="s">
        <v>100</v>
      </c>
      <c r="CX22" t="s">
        <v>179</v>
      </c>
    </row>
    <row r="23" spans="1:102" x14ac:dyDescent="0.25">
      <c r="A23" t="s">
        <v>180</v>
      </c>
      <c r="B23" s="50">
        <v>45627</v>
      </c>
      <c r="C23" t="s">
        <v>250</v>
      </c>
      <c r="D23" t="s">
        <v>251</v>
      </c>
      <c r="E23" t="s">
        <v>183</v>
      </c>
      <c r="F23" t="s">
        <v>72</v>
      </c>
      <c r="G23">
        <v>873.4</v>
      </c>
      <c r="H23">
        <v>41</v>
      </c>
      <c r="I23">
        <v>35809.4</v>
      </c>
      <c r="J23" t="s">
        <v>44</v>
      </c>
      <c r="K23">
        <v>257</v>
      </c>
      <c r="L23">
        <v>810</v>
      </c>
      <c r="M23">
        <v>208170</v>
      </c>
      <c r="P23">
        <v>0</v>
      </c>
      <c r="R23" t="s">
        <v>184</v>
      </c>
      <c r="S23">
        <v>180</v>
      </c>
      <c r="T23">
        <v>112</v>
      </c>
      <c r="U23" s="51">
        <v>20160</v>
      </c>
      <c r="V23" t="s">
        <v>54</v>
      </c>
      <c r="W23">
        <v>140</v>
      </c>
      <c r="X23">
        <v>267</v>
      </c>
      <c r="Y23" s="51">
        <v>37380</v>
      </c>
      <c r="Z23" t="s">
        <v>9</v>
      </c>
      <c r="AA23">
        <v>123.8</v>
      </c>
      <c r="AB23">
        <v>0</v>
      </c>
      <c r="AC23">
        <v>0</v>
      </c>
      <c r="AD23" t="s">
        <v>51</v>
      </c>
      <c r="AE23">
        <v>62</v>
      </c>
      <c r="AF23">
        <v>87</v>
      </c>
      <c r="AG23">
        <v>5394</v>
      </c>
      <c r="AH23" t="s">
        <v>70</v>
      </c>
      <c r="AI23">
        <v>262</v>
      </c>
      <c r="AJ23">
        <v>388</v>
      </c>
      <c r="AK23">
        <v>101656</v>
      </c>
      <c r="AL23" t="s">
        <v>64</v>
      </c>
      <c r="AM23">
        <v>89</v>
      </c>
      <c r="AN23">
        <v>318</v>
      </c>
      <c r="AO23">
        <v>28302</v>
      </c>
      <c r="AR23">
        <v>0</v>
      </c>
      <c r="AV23">
        <v>0</v>
      </c>
      <c r="AX23" t="s">
        <v>15</v>
      </c>
      <c r="AY23">
        <v>420</v>
      </c>
      <c r="AZ23">
        <v>0</v>
      </c>
      <c r="BA23">
        <v>0</v>
      </c>
      <c r="BB23" t="s">
        <v>16</v>
      </c>
      <c r="BC23">
        <v>400</v>
      </c>
      <c r="BD23">
        <v>38</v>
      </c>
      <c r="BE23" s="51">
        <v>15200</v>
      </c>
      <c r="BH23">
        <v>0</v>
      </c>
      <c r="BL23">
        <v>0</v>
      </c>
      <c r="BP23">
        <v>0</v>
      </c>
      <c r="BR23" t="s">
        <v>20</v>
      </c>
      <c r="BS23">
        <v>375</v>
      </c>
      <c r="BT23">
        <v>0</v>
      </c>
      <c r="BU23">
        <v>0</v>
      </c>
      <c r="BX23">
        <v>0</v>
      </c>
      <c r="BZ23">
        <v>27000</v>
      </c>
      <c r="CA23">
        <v>479071.4</v>
      </c>
      <c r="CH23">
        <v>479071.4</v>
      </c>
      <c r="CM23">
        <v>479071.4</v>
      </c>
      <c r="CO23">
        <v>479071.4</v>
      </c>
      <c r="CP23" s="52">
        <v>0.18</v>
      </c>
      <c r="CQ23">
        <v>86232.85</v>
      </c>
      <c r="CR23">
        <v>565304.25</v>
      </c>
      <c r="CS23">
        <v>6.5</v>
      </c>
      <c r="CT23" t="s">
        <v>186</v>
      </c>
      <c r="CU23" s="53">
        <v>3674478</v>
      </c>
      <c r="CV23" t="s">
        <v>252</v>
      </c>
      <c r="CW23" t="s">
        <v>253</v>
      </c>
      <c r="CX23">
        <v>500</v>
      </c>
    </row>
  </sheetData>
  <autoFilter ref="A1:CU1" xr:uid="{00000000-0009-0000-0000-000000000000}"/>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L91"/>
  <sheetViews>
    <sheetView showZeros="0" tabSelected="1" topLeftCell="A58" workbookViewId="0">
      <selection activeCell="I61" sqref="I61"/>
    </sheetView>
  </sheetViews>
  <sheetFormatPr defaultRowHeight="15" x14ac:dyDescent="0.25"/>
  <cols>
    <col min="1" max="1" width="18.7109375" customWidth="1"/>
    <col min="2" max="2" width="10.7109375" bestFit="1" customWidth="1"/>
    <col min="3" max="3" width="10.28515625" bestFit="1" customWidth="1"/>
    <col min="4" max="4" width="49.28515625" bestFit="1" customWidth="1"/>
    <col min="5" max="5" width="13.85546875" style="4" customWidth="1"/>
    <col min="6" max="6" width="10" bestFit="1" customWidth="1"/>
    <col min="7" max="7" width="13.85546875" customWidth="1"/>
    <col min="8" max="8" width="11.42578125" style="8" customWidth="1"/>
    <col min="9" max="9" width="12.28515625" customWidth="1"/>
    <col min="10" max="10" width="13.85546875" customWidth="1"/>
    <col min="11" max="12" width="9.140625" customWidth="1"/>
    <col min="13" max="13" width="16.85546875" bestFit="1" customWidth="1"/>
    <col min="14" max="14" width="7.85546875" style="26" customWidth="1"/>
    <col min="15" max="24" width="7.85546875" style="26" hidden="1" customWidth="1"/>
    <col min="25" max="25" width="7.85546875" style="26" customWidth="1"/>
    <col min="26" max="28" width="7.85546875" style="26" hidden="1" customWidth="1"/>
    <col min="29" max="29" width="7.85546875" style="26" customWidth="1"/>
    <col min="30" max="30" width="7.85546875" style="26" hidden="1" customWidth="1"/>
    <col min="31" max="31" width="9.28515625" style="26" customWidth="1"/>
    <col min="32" max="35" width="7.85546875" style="26" hidden="1" customWidth="1"/>
    <col min="36" max="36" width="0.7109375" style="26" hidden="1" customWidth="1"/>
    <col min="37" max="37" width="10.42578125" style="26" customWidth="1"/>
    <col min="38" max="42" width="7.85546875" style="26" hidden="1" customWidth="1"/>
    <col min="43" max="43" width="7.85546875" style="26" customWidth="1"/>
    <col min="44" max="47" width="7.85546875" style="26" hidden="1" customWidth="1"/>
    <col min="48" max="48" width="7.85546875" style="26" customWidth="1"/>
    <col min="49" max="52" width="7.85546875" style="26" hidden="1" customWidth="1"/>
    <col min="53" max="53" width="7.85546875" style="26" customWidth="1"/>
    <col min="54" max="57" width="7.85546875" style="26" hidden="1" customWidth="1"/>
    <col min="58" max="58" width="10" style="26" customWidth="1"/>
    <col min="59" max="63" width="7.85546875" style="26" hidden="1" customWidth="1"/>
    <col min="64" max="64" width="7.85546875" style="26" customWidth="1"/>
    <col min="65" max="65" width="7.85546875" style="26" hidden="1" customWidth="1"/>
    <col min="66" max="66" width="7.85546875" style="26" customWidth="1"/>
    <col min="67" max="67" width="7.85546875" style="26" hidden="1" customWidth="1"/>
    <col min="68" max="68" width="7.85546875" style="26" customWidth="1"/>
    <col min="69" max="71" width="7.85546875" style="26" hidden="1" customWidth="1"/>
    <col min="72" max="72" width="7.85546875" style="26" customWidth="1"/>
    <col min="73" max="73" width="7.85546875" style="26" hidden="1" customWidth="1"/>
    <col min="74" max="74" width="7.85546875" style="26" customWidth="1"/>
    <col min="75" max="75" width="14.42578125" style="26" customWidth="1"/>
    <col min="76" max="76" width="26.5703125" style="26" customWidth="1"/>
    <col min="77" max="77" width="12.42578125" style="26" customWidth="1"/>
    <col min="78" max="78" width="13.5703125" style="4" customWidth="1"/>
    <col min="79" max="79" width="13.85546875" style="4" bestFit="1" customWidth="1"/>
    <col min="80" max="80" width="9.140625" style="24" customWidth="1"/>
    <col min="81" max="81" width="11.42578125" style="4" customWidth="1"/>
    <col min="82" max="82" width="9.140625" style="12" customWidth="1"/>
    <col min="83" max="83" width="12" style="4" bestFit="1" customWidth="1"/>
    <col min="84" max="84" width="9.140625" style="8" customWidth="1"/>
    <col min="85" max="85" width="12.28515625" style="4" bestFit="1" customWidth="1"/>
    <col min="86" max="86" width="13.85546875" style="4" bestFit="1" customWidth="1"/>
    <col min="87" max="87" width="9.140625" style="8" customWidth="1"/>
    <col min="88" max="88" width="11.5703125" customWidth="1"/>
    <col min="89" max="89" width="9.140625" style="8" customWidth="1"/>
    <col min="90" max="90" width="9.140625" customWidth="1"/>
  </cols>
  <sheetData>
    <row r="1" spans="1:89" s="40" customFormat="1" ht="15.75" thickBot="1" x14ac:dyDescent="0.3"/>
    <row r="2" spans="1:89" s="40" customFormat="1" ht="23.25" thickBot="1" x14ac:dyDescent="0.5">
      <c r="A2" s="171" t="s">
        <v>256</v>
      </c>
      <c r="B2" s="172"/>
      <c r="C2" s="172"/>
      <c r="D2" s="172"/>
      <c r="E2" s="172"/>
      <c r="F2" s="172"/>
      <c r="G2" s="172"/>
      <c r="H2" s="172"/>
      <c r="I2" s="172"/>
      <c r="J2" s="172"/>
      <c r="K2" s="172"/>
      <c r="L2" s="172"/>
      <c r="M2" s="172"/>
      <c r="N2" s="172"/>
      <c r="O2" s="172"/>
      <c r="P2" s="172"/>
      <c r="Q2" s="172"/>
      <c r="R2" s="173"/>
      <c r="S2" s="43"/>
      <c r="T2" s="43"/>
    </row>
    <row r="3" spans="1:89" s="40" customFormat="1" ht="15.75" thickBot="1" x14ac:dyDescent="0.3">
      <c r="A3"/>
      <c r="B3"/>
      <c r="C3"/>
      <c r="D3"/>
      <c r="E3"/>
      <c r="F3"/>
      <c r="G3"/>
      <c r="H3"/>
      <c r="I3"/>
      <c r="J3"/>
      <c r="K3"/>
      <c r="L3"/>
      <c r="M3"/>
      <c r="N3"/>
      <c r="O3"/>
      <c r="P3"/>
      <c r="Q3"/>
      <c r="R3"/>
      <c r="S3"/>
    </row>
    <row r="4" spans="1:89" s="40" customFormat="1" ht="45.75" customHeight="1" thickBot="1" x14ac:dyDescent="0.3">
      <c r="A4" s="41" t="s">
        <v>88</v>
      </c>
      <c r="B4" s="163" t="s">
        <v>254</v>
      </c>
      <c r="C4" s="163"/>
      <c r="D4" s="163"/>
      <c r="E4" s="163"/>
      <c r="F4" s="163"/>
      <c r="G4" s="163"/>
      <c r="H4" s="163"/>
      <c r="I4" s="163"/>
      <c r="J4" s="163"/>
      <c r="K4" s="163"/>
      <c r="L4" s="163"/>
      <c r="M4" s="163"/>
      <c r="N4" s="163"/>
      <c r="O4" s="163"/>
      <c r="P4" s="163"/>
      <c r="Q4" s="163"/>
      <c r="R4" s="163"/>
      <c r="S4"/>
    </row>
    <row r="5" spans="1:89" s="40" customFormat="1" ht="34.5" customHeight="1" x14ac:dyDescent="0.25">
      <c r="A5" s="41" t="s">
        <v>89</v>
      </c>
      <c r="B5" s="163" t="s">
        <v>255</v>
      </c>
      <c r="C5" s="163"/>
      <c r="D5" s="163"/>
      <c r="E5" s="163"/>
      <c r="F5" s="163"/>
      <c r="G5" s="163"/>
      <c r="H5" s="163"/>
      <c r="I5" s="163"/>
      <c r="J5" s="163"/>
      <c r="K5" s="163"/>
      <c r="L5" s="163"/>
      <c r="M5" s="163"/>
      <c r="N5" s="163"/>
      <c r="O5" s="163"/>
      <c r="P5" s="163"/>
      <c r="Q5" s="163"/>
      <c r="R5" s="163"/>
      <c r="S5"/>
    </row>
    <row r="6" spans="1:89" s="40" customFormat="1" ht="45" customHeight="1" x14ac:dyDescent="0.25">
      <c r="A6" s="42" t="s">
        <v>90</v>
      </c>
      <c r="B6" s="164" t="s">
        <v>257</v>
      </c>
      <c r="C6" s="163"/>
      <c r="D6" s="163"/>
      <c r="E6" s="163"/>
      <c r="F6" s="163"/>
      <c r="G6" s="163"/>
      <c r="H6" s="163"/>
      <c r="I6" s="163"/>
      <c r="J6" s="163"/>
      <c r="K6" s="163"/>
      <c r="L6" s="163"/>
      <c r="M6" s="163"/>
      <c r="N6" s="163"/>
      <c r="O6" s="163"/>
      <c r="P6" s="163"/>
      <c r="Q6" s="163"/>
      <c r="R6" s="163"/>
      <c r="S6"/>
    </row>
    <row r="7" spans="1:89" s="40" customFormat="1" ht="30" x14ac:dyDescent="0.25">
      <c r="A7" s="42" t="s">
        <v>87</v>
      </c>
      <c r="B7" s="164" t="s">
        <v>258</v>
      </c>
      <c r="C7" s="163"/>
      <c r="D7" s="163"/>
      <c r="E7" s="163"/>
      <c r="F7" s="163"/>
      <c r="G7" s="163"/>
      <c r="H7" s="163"/>
      <c r="I7" s="163"/>
      <c r="J7" s="163"/>
      <c r="K7" s="163"/>
      <c r="L7" s="163"/>
      <c r="M7" s="163"/>
      <c r="N7" s="163"/>
      <c r="O7" s="163"/>
      <c r="P7" s="163"/>
      <c r="Q7" s="163"/>
      <c r="R7" s="163"/>
      <c r="S7"/>
    </row>
    <row r="8" spans="1:89" s="40" customFormat="1" ht="28.5" customHeight="1" x14ac:dyDescent="0.25">
      <c r="A8" s="42" t="s">
        <v>91</v>
      </c>
      <c r="B8" s="164" t="s">
        <v>259</v>
      </c>
      <c r="C8" s="164"/>
      <c r="D8" s="164"/>
      <c r="E8" s="164"/>
      <c r="F8" s="164"/>
      <c r="G8" s="164"/>
      <c r="H8" s="164"/>
      <c r="I8" s="164"/>
      <c r="J8" s="164"/>
      <c r="K8" s="164"/>
      <c r="L8" s="164"/>
      <c r="M8" s="164"/>
      <c r="N8" s="164"/>
      <c r="O8" s="164"/>
      <c r="P8" s="164"/>
      <c r="Q8" s="164"/>
      <c r="R8" s="164"/>
      <c r="S8"/>
    </row>
    <row r="9" spans="1:89" s="40" customFormat="1" ht="48" customHeight="1" x14ac:dyDescent="0.25">
      <c r="A9" s="42" t="s">
        <v>92</v>
      </c>
      <c r="B9" s="168" t="s">
        <v>260</v>
      </c>
      <c r="C9" s="169"/>
      <c r="D9" s="169"/>
      <c r="E9" s="169"/>
      <c r="F9" s="169"/>
      <c r="G9" s="169"/>
      <c r="H9" s="169"/>
      <c r="I9" s="169"/>
      <c r="J9" s="169"/>
      <c r="K9" s="169"/>
      <c r="L9" s="169"/>
      <c r="M9" s="169"/>
      <c r="N9" s="169"/>
      <c r="O9" s="169"/>
      <c r="P9" s="169"/>
      <c r="Q9" s="169"/>
      <c r="R9" s="170"/>
    </row>
    <row r="10" spans="1:89" s="40" customFormat="1" ht="34.5" customHeight="1" x14ac:dyDescent="0.25">
      <c r="A10" s="42" t="s">
        <v>93</v>
      </c>
      <c r="B10" s="164" t="s">
        <v>261</v>
      </c>
      <c r="C10" s="164"/>
      <c r="D10" s="164"/>
      <c r="E10" s="164"/>
      <c r="F10" s="164"/>
      <c r="G10" s="164"/>
      <c r="H10" s="164"/>
      <c r="I10" s="164"/>
      <c r="J10" s="164"/>
      <c r="K10" s="164"/>
      <c r="L10" s="164"/>
      <c r="M10" s="164"/>
      <c r="N10" s="164"/>
      <c r="O10" s="164"/>
      <c r="P10" s="164"/>
      <c r="Q10" s="164"/>
      <c r="R10" s="164"/>
      <c r="S10"/>
    </row>
    <row r="11" spans="1:89" s="40" customFormat="1" ht="32.25" customHeight="1" x14ac:dyDescent="0.25">
      <c r="A11" s="42" t="s">
        <v>94</v>
      </c>
      <c r="B11" s="159" t="s">
        <v>262</v>
      </c>
      <c r="C11" s="160"/>
      <c r="D11" s="160"/>
      <c r="E11" s="160"/>
      <c r="F11" s="160"/>
      <c r="G11" s="160"/>
      <c r="H11" s="160"/>
      <c r="I11" s="160"/>
      <c r="J11" s="160"/>
      <c r="K11" s="160"/>
      <c r="L11" s="160"/>
      <c r="M11" s="160"/>
      <c r="N11" s="160"/>
      <c r="O11" s="160"/>
      <c r="P11" s="160"/>
      <c r="Q11" s="160"/>
      <c r="R11" s="161"/>
      <c r="S11"/>
    </row>
    <row r="12" spans="1:89" s="40" customFormat="1" ht="30" x14ac:dyDescent="0.25">
      <c r="A12" s="45" t="s">
        <v>95</v>
      </c>
      <c r="B12" s="162" t="s">
        <v>263</v>
      </c>
      <c r="C12" s="162"/>
      <c r="D12" s="162"/>
      <c r="E12" s="162"/>
      <c r="F12" s="162"/>
      <c r="G12" s="162"/>
      <c r="H12" s="162"/>
      <c r="I12" s="162"/>
      <c r="J12" s="162"/>
      <c r="K12" s="162"/>
      <c r="L12" s="162"/>
      <c r="M12" s="162"/>
      <c r="N12" s="162"/>
      <c r="O12" s="162"/>
      <c r="P12" s="162"/>
      <c r="Q12" s="162"/>
      <c r="R12" s="162"/>
    </row>
    <row r="13" spans="1:89" s="40" customFormat="1" ht="24.75" customHeight="1" x14ac:dyDescent="0.25">
      <c r="A13" s="45" t="s">
        <v>96</v>
      </c>
      <c r="B13" s="162" t="s">
        <v>264</v>
      </c>
      <c r="C13" s="162"/>
      <c r="D13" s="162"/>
      <c r="E13" s="162"/>
      <c r="F13" s="162"/>
      <c r="G13" s="162"/>
      <c r="H13" s="162"/>
      <c r="I13" s="162"/>
      <c r="J13" s="162"/>
      <c r="K13" s="162"/>
      <c r="L13" s="162"/>
      <c r="M13" s="162"/>
      <c r="N13" s="162"/>
      <c r="O13" s="162"/>
      <c r="P13" s="162"/>
      <c r="Q13" s="162"/>
      <c r="R13" s="162"/>
    </row>
    <row r="14" spans="1:89" s="40" customFormat="1" ht="30" x14ac:dyDescent="0.25">
      <c r="A14" s="46" t="s">
        <v>97</v>
      </c>
      <c r="B14" s="162"/>
      <c r="C14" s="162"/>
      <c r="D14" s="162"/>
      <c r="E14" s="162"/>
      <c r="F14" s="162"/>
      <c r="G14" s="162"/>
      <c r="H14" s="162"/>
      <c r="I14" s="162"/>
      <c r="J14" s="162"/>
      <c r="K14" s="162"/>
      <c r="L14" s="162"/>
      <c r="M14" s="162"/>
      <c r="N14" s="162"/>
      <c r="O14" s="162"/>
      <c r="P14" s="162"/>
      <c r="Q14" s="162"/>
      <c r="R14" s="162"/>
    </row>
    <row r="16" spans="1:89" s="33" customFormat="1" ht="35.25" customHeight="1" x14ac:dyDescent="0.25">
      <c r="E16" s="38"/>
      <c r="H16" s="39"/>
      <c r="N16" s="167" t="str">
        <f>Sheet1!J1</f>
        <v>Conductor</v>
      </c>
      <c r="O16" s="167"/>
      <c r="P16" s="167"/>
      <c r="Q16" s="167"/>
      <c r="R16" s="167"/>
      <c r="S16" s="167" t="s">
        <v>6</v>
      </c>
      <c r="T16" s="167"/>
      <c r="U16" s="167" t="s">
        <v>3</v>
      </c>
      <c r="V16" s="167"/>
      <c r="W16" s="167"/>
      <c r="X16" s="167"/>
      <c r="Y16" s="167"/>
      <c r="Z16" s="167"/>
      <c r="AA16" s="167"/>
      <c r="AB16" s="167"/>
      <c r="AC16" s="167" t="s">
        <v>7</v>
      </c>
      <c r="AD16" s="167"/>
      <c r="AE16" s="167" t="s">
        <v>8</v>
      </c>
      <c r="AF16" s="167"/>
      <c r="AG16" s="167"/>
      <c r="AH16" s="167"/>
      <c r="AI16" s="167"/>
      <c r="AJ16" s="167"/>
      <c r="AK16" s="10" t="s">
        <v>9</v>
      </c>
      <c r="AL16" s="165" t="s">
        <v>10</v>
      </c>
      <c r="AM16" s="166"/>
      <c r="AN16" s="166"/>
      <c r="AO16" s="166"/>
      <c r="AP16" s="166"/>
      <c r="AQ16" s="166"/>
      <c r="AR16" s="166"/>
      <c r="AS16" s="167" t="s">
        <v>11</v>
      </c>
      <c r="AT16" s="167"/>
      <c r="AU16" s="167"/>
      <c r="AV16" s="167"/>
      <c r="AW16" s="167"/>
      <c r="AX16" s="167"/>
      <c r="AY16" s="167"/>
      <c r="AZ16" s="167"/>
      <c r="BA16" s="167"/>
      <c r="BB16" s="167"/>
      <c r="BC16" s="59" t="s">
        <v>12</v>
      </c>
      <c r="BD16" s="59"/>
      <c r="BE16" s="59"/>
      <c r="BF16" s="147" t="s">
        <v>330</v>
      </c>
      <c r="BG16" s="59"/>
      <c r="BH16" s="59"/>
      <c r="BI16" s="59"/>
      <c r="BJ16" s="59"/>
      <c r="BK16" s="59"/>
      <c r="BL16" s="59"/>
      <c r="BM16" s="34" t="s">
        <v>13</v>
      </c>
      <c r="BN16" s="10" t="s">
        <v>14</v>
      </c>
      <c r="BO16" s="10" t="s">
        <v>15</v>
      </c>
      <c r="BP16" s="10" t="s">
        <v>16</v>
      </c>
      <c r="BQ16" s="10" t="s">
        <v>17</v>
      </c>
      <c r="BR16" s="10" t="s">
        <v>18</v>
      </c>
      <c r="BS16" s="10" t="s">
        <v>19</v>
      </c>
      <c r="BT16" s="10" t="s">
        <v>20</v>
      </c>
      <c r="BU16" s="10" t="s">
        <v>21</v>
      </c>
      <c r="BV16" s="10"/>
      <c r="BW16" s="10"/>
      <c r="BX16" s="10"/>
      <c r="BY16" s="10"/>
      <c r="BZ16" s="35" t="s">
        <v>22</v>
      </c>
      <c r="CA16" s="35" t="s">
        <v>23</v>
      </c>
      <c r="CB16" s="36" t="s">
        <v>43</v>
      </c>
      <c r="CC16" s="35" t="s">
        <v>86</v>
      </c>
      <c r="CD16" s="37"/>
      <c r="CE16" s="38"/>
      <c r="CF16" s="39"/>
      <c r="CG16" s="38"/>
      <c r="CH16" s="38"/>
      <c r="CI16" s="39"/>
      <c r="CK16" s="39"/>
    </row>
    <row r="17" spans="1:90" s="15" customFormat="1" ht="89.25" x14ac:dyDescent="0.25">
      <c r="A17" s="18" t="s">
        <v>0</v>
      </c>
      <c r="B17" s="18" t="str">
        <f>Sheet1!B1</f>
        <v>Base Date</v>
      </c>
      <c r="C17" s="18" t="s">
        <v>1</v>
      </c>
      <c r="D17" s="18" t="s">
        <v>2</v>
      </c>
      <c r="E17" s="5" t="s">
        <v>34</v>
      </c>
      <c r="F17" s="13" t="s">
        <v>35</v>
      </c>
      <c r="G17" s="13" t="s">
        <v>36</v>
      </c>
      <c r="H17" s="6" t="s">
        <v>37</v>
      </c>
      <c r="I17" s="13" t="s">
        <v>38</v>
      </c>
      <c r="J17" s="13" t="s">
        <v>39</v>
      </c>
      <c r="K17" s="13" t="s">
        <v>40</v>
      </c>
      <c r="L17" s="13" t="s">
        <v>41</v>
      </c>
      <c r="M17" s="13" t="s">
        <v>42</v>
      </c>
      <c r="N17" s="19" t="s">
        <v>44</v>
      </c>
      <c r="O17" s="19" t="s">
        <v>49</v>
      </c>
      <c r="P17" s="19" t="s">
        <v>46</v>
      </c>
      <c r="Q17" s="19" t="s">
        <v>47</v>
      </c>
      <c r="R17" s="19" t="s">
        <v>48</v>
      </c>
      <c r="S17" s="19" t="s">
        <v>44</v>
      </c>
      <c r="T17" s="19" t="s">
        <v>49</v>
      </c>
      <c r="U17" s="20" t="s">
        <v>56</v>
      </c>
      <c r="V17" s="20" t="s">
        <v>60</v>
      </c>
      <c r="W17" s="20" t="s">
        <v>63</v>
      </c>
      <c r="X17" s="20" t="s">
        <v>68</v>
      </c>
      <c r="Y17" s="20" t="s">
        <v>72</v>
      </c>
      <c r="Z17" s="20" t="s">
        <v>76</v>
      </c>
      <c r="AA17" s="20" t="s">
        <v>79</v>
      </c>
      <c r="AB17" s="20" t="s">
        <v>81</v>
      </c>
      <c r="AC17" s="20" t="s">
        <v>55</v>
      </c>
      <c r="AD17" s="20" t="s">
        <v>59</v>
      </c>
      <c r="AE17" s="20" t="s">
        <v>54</v>
      </c>
      <c r="AF17" s="20" t="s">
        <v>50</v>
      </c>
      <c r="AG17" s="20" t="s">
        <v>62</v>
      </c>
      <c r="AH17" s="20" t="s">
        <v>67</v>
      </c>
      <c r="AI17" s="20" t="s">
        <v>71</v>
      </c>
      <c r="AJ17" s="20" t="s">
        <v>75</v>
      </c>
      <c r="AK17" s="16" t="s">
        <v>9</v>
      </c>
      <c r="AL17" s="20" t="s">
        <v>57</v>
      </c>
      <c r="AM17" s="20" t="s">
        <v>61</v>
      </c>
      <c r="AN17" s="20" t="s">
        <v>64</v>
      </c>
      <c r="AO17" s="20" t="s">
        <v>69</v>
      </c>
      <c r="AP17" s="20" t="s">
        <v>73</v>
      </c>
      <c r="AQ17" s="20" t="s">
        <v>51</v>
      </c>
      <c r="AR17" s="20" t="s">
        <v>80</v>
      </c>
      <c r="AS17" s="20" t="s">
        <v>58</v>
      </c>
      <c r="AT17" s="20" t="s">
        <v>45</v>
      </c>
      <c r="AU17" s="20" t="s">
        <v>65</v>
      </c>
      <c r="AV17" s="20" t="s">
        <v>70</v>
      </c>
      <c r="AW17" s="20" t="s">
        <v>77</v>
      </c>
      <c r="AX17" s="20" t="s">
        <v>52</v>
      </c>
      <c r="AY17" s="20" t="s">
        <v>82</v>
      </c>
      <c r="AZ17" s="20" t="s">
        <v>83</v>
      </c>
      <c r="BA17" s="20" t="s">
        <v>84</v>
      </c>
      <c r="BB17" s="20" t="s">
        <v>85</v>
      </c>
      <c r="BC17" s="20" t="s">
        <v>57</v>
      </c>
      <c r="BD17" s="20" t="s">
        <v>61</v>
      </c>
      <c r="BE17" s="20" t="s">
        <v>66</v>
      </c>
      <c r="BF17" s="20" t="s">
        <v>64</v>
      </c>
      <c r="BG17" s="20" t="s">
        <v>74</v>
      </c>
      <c r="BH17" s="20" t="s">
        <v>78</v>
      </c>
      <c r="BI17" s="20" t="s">
        <v>69</v>
      </c>
      <c r="BJ17" s="20" t="s">
        <v>51</v>
      </c>
      <c r="BK17" s="20" t="s">
        <v>80</v>
      </c>
      <c r="BL17" s="20" t="s">
        <v>328</v>
      </c>
      <c r="BM17" s="16" t="s">
        <v>13</v>
      </c>
      <c r="BN17" s="144" t="s">
        <v>327</v>
      </c>
      <c r="BO17" s="17" t="s">
        <v>15</v>
      </c>
      <c r="BP17" s="21" t="s">
        <v>16</v>
      </c>
      <c r="BQ17" s="17" t="s">
        <v>17</v>
      </c>
      <c r="BR17" s="17" t="s">
        <v>18</v>
      </c>
      <c r="BS17" s="17" t="s">
        <v>19</v>
      </c>
      <c r="BT17" s="21" t="s">
        <v>20</v>
      </c>
      <c r="BU17" s="17" t="s">
        <v>21</v>
      </c>
      <c r="BV17" s="17" t="str">
        <f>Sheet1!E1</f>
        <v>Propose Drum Type</v>
      </c>
      <c r="BW17" s="49" t="str">
        <f>Sheet1!CV1</f>
        <v>DRUM CODE</v>
      </c>
      <c r="BX17" s="49" t="str">
        <f>Sheet1!CW1</f>
        <v>DRUM SIZE (FxbXtx Ft)</v>
      </c>
      <c r="BY17" s="49" t="str">
        <f>Sheet1!CX1</f>
        <v>Party Standard Length(MTR)</v>
      </c>
      <c r="BZ17" s="25"/>
      <c r="CA17" s="25"/>
      <c r="CB17" s="22" t="s">
        <v>329</v>
      </c>
      <c r="CC17" s="25"/>
      <c r="CD17" s="11" t="s">
        <v>25</v>
      </c>
      <c r="CE17" s="5" t="s">
        <v>26</v>
      </c>
      <c r="CF17" s="6" t="s">
        <v>27</v>
      </c>
      <c r="CG17" s="5" t="s">
        <v>28</v>
      </c>
      <c r="CH17" s="5" t="s">
        <v>29</v>
      </c>
      <c r="CI17" s="6" t="s">
        <v>30</v>
      </c>
      <c r="CJ17" s="13" t="s">
        <v>31</v>
      </c>
      <c r="CK17" s="6" t="s">
        <v>32</v>
      </c>
      <c r="CL17" s="13" t="s">
        <v>33</v>
      </c>
    </row>
    <row r="18" spans="1:90" s="25" customFormat="1" ht="27.75" customHeight="1" x14ac:dyDescent="0.25">
      <c r="A18" s="27"/>
      <c r="B18" s="27"/>
      <c r="C18" s="27"/>
      <c r="D18" s="27"/>
      <c r="E18" s="5"/>
      <c r="F18" s="5"/>
      <c r="G18" s="5"/>
      <c r="H18" s="5"/>
      <c r="I18" s="5"/>
      <c r="J18" s="5"/>
      <c r="K18" s="5"/>
      <c r="L18" s="5"/>
      <c r="M18" s="5"/>
      <c r="N18" s="28">
        <v>256</v>
      </c>
      <c r="O18" s="28">
        <f>+IFERROR(VLOOKUP($O$17,Sheet1!J:L,2,0),0)</f>
        <v>0</v>
      </c>
      <c r="P18" s="28">
        <f>+IFERROR(VLOOKUP($P$17,Sheet1!J:M,2,0),0)</f>
        <v>0</v>
      </c>
      <c r="Q18" s="28">
        <f>+IFERROR(VLOOKUP($Q$17,Sheet1!J:M,2,0),0)</f>
        <v>0</v>
      </c>
      <c r="R18" s="28">
        <f>+IFERROR(VLOOKUP($R$17,Sheet1!J:M,2,0),0)</f>
        <v>0</v>
      </c>
      <c r="S18" s="28">
        <f>+IFERROR(VLOOKUP($S$17,Sheet1!N:Q,2,0),0)</f>
        <v>0</v>
      </c>
      <c r="T18" s="28">
        <f>+IFERROR(VLOOKUP($T$17,Sheet1!N:O,2,0),0)</f>
        <v>0</v>
      </c>
      <c r="U18" s="29">
        <f>+IFERROR(VLOOKUP($U$17,Sheet1!F:I,2,0),0)</f>
        <v>0</v>
      </c>
      <c r="V18" s="29">
        <f>+IFERROR(VLOOKUP($V$17,Sheet1!F:I,2,0),0)</f>
        <v>0</v>
      </c>
      <c r="W18" s="29">
        <f>+IFERROR(VLOOKUP($W$17,Sheet1!F:I,2,0),0)</f>
        <v>0</v>
      </c>
      <c r="X18" s="29">
        <f>+IFERROR(VLOOKUP($X$17,Sheet1!F:I,2,0),0)</f>
        <v>0</v>
      </c>
      <c r="Y18" s="29">
        <v>924</v>
      </c>
      <c r="Z18" s="29">
        <f>+IFERROR(VLOOKUP($Z$17,Sheet1!F:I,2,0),0)</f>
        <v>0</v>
      </c>
      <c r="AA18" s="29">
        <f>+IFERROR(VLOOKUP($AA$17,Sheet1!F:I,2,0),0)</f>
        <v>0</v>
      </c>
      <c r="AB18" s="29">
        <f>+IFERROR(VLOOKUP($AB$17,Sheet1!F:I,2,0),0)</f>
        <v>0</v>
      </c>
      <c r="AC18" s="29">
        <f>+IFERROR(VLOOKUP($AC$17,Sheet1!R:U,2,0),0)</f>
        <v>180</v>
      </c>
      <c r="AD18" s="29">
        <f>+IFERROR(VLOOKUP($AD$17,Sheet1!R:U,2,0),0)</f>
        <v>0</v>
      </c>
      <c r="AE18" s="29">
        <f>+IFERROR(VLOOKUP($AE$17,Sheet1!V:Y,2,0),0)</f>
        <v>140</v>
      </c>
      <c r="AF18" s="29">
        <f>+IFERROR(VLOOKUP($AF$17,Sheet1!V:Y,2,0),0)</f>
        <v>0</v>
      </c>
      <c r="AG18" s="29">
        <f>+IFERROR(VLOOKUP($AG$17,Sheet1!V:Y,2,0),0)</f>
        <v>0</v>
      </c>
      <c r="AH18" s="29">
        <f>+IFERROR(VLOOKUP($AH$17,Sheet1!V:Y,2,0),0)</f>
        <v>0</v>
      </c>
      <c r="AI18" s="29">
        <f>+IFERROR(VLOOKUP($AI$17,Sheet1!V:Y,2,0),0)</f>
        <v>0</v>
      </c>
      <c r="AJ18" s="29">
        <f>+IFERROR(VLOOKUP($AJ$17,Sheet1!V:Y,2,0),0)</f>
        <v>0</v>
      </c>
      <c r="AK18" s="30">
        <v>124</v>
      </c>
      <c r="AL18" s="29">
        <f>+IFERROR(VLOOKUP($AL$17,Sheet1!AD2:AG840,2,0),0)</f>
        <v>0</v>
      </c>
      <c r="AM18" s="29">
        <f>+IFERROR(VLOOKUP($AM$17,Sheet1!AD2:AG840,2,0),0)</f>
        <v>0</v>
      </c>
      <c r="AN18" s="29">
        <f>+IFERROR(VLOOKUP($AN$17,Sheet1!AD2:AG840,2,0),0)</f>
        <v>0</v>
      </c>
      <c r="AO18" s="29">
        <f>+IFERROR(VLOOKUP($AO$17,Sheet1!AD2:AG840,2,0),0)</f>
        <v>0</v>
      </c>
      <c r="AP18" s="29">
        <f>+IFERROR(VLOOKUP($AP$17,Sheet1!AD2:AG840,2,0),0)</f>
        <v>0</v>
      </c>
      <c r="AQ18" s="29">
        <v>69</v>
      </c>
      <c r="AR18" s="29"/>
      <c r="AS18" s="29">
        <f>+IFERROR(VLOOKUP($AS$17,Sheet1!AH2:AK840,2,0),0)</f>
        <v>0</v>
      </c>
      <c r="AT18" s="29">
        <f>+IFERROR(VLOOKUP($AT$17,Sheet1!AH2:AK840,2,0),0)</f>
        <v>0</v>
      </c>
      <c r="AU18" s="29">
        <f>+IFERROR(VLOOKUP($AU$17,Sheet1!AH2:AK840,2,0),0)</f>
        <v>0</v>
      </c>
      <c r="AV18" s="29">
        <v>261</v>
      </c>
      <c r="AW18" s="29">
        <f>+IFERROR(VLOOKUP($AW$17,Sheet1!AH2:AK840,2,0),0)</f>
        <v>0</v>
      </c>
      <c r="AX18" s="29">
        <f>+IFERROR(VLOOKUP($AX$17,Sheet1!AH2:AK840,2,0),0)</f>
        <v>0</v>
      </c>
      <c r="AY18" s="29">
        <f>+IFERROR(VLOOKUP($AY$17,Sheet1!AH2:AK840,2,0),0)</f>
        <v>0</v>
      </c>
      <c r="AZ18" s="29">
        <f>+IFERROR(VLOOKUP($AZ$17,Sheet1!AH2:AK840,2,0),0)</f>
        <v>0</v>
      </c>
      <c r="BA18" s="29">
        <v>89</v>
      </c>
      <c r="BB18" s="29">
        <f>+IFERROR(VLOOKUP($BB$17,Sheet1!AH2:AK840,2,0),0)</f>
        <v>0</v>
      </c>
      <c r="BC18" s="29">
        <f>+IFERROR(VLOOKUP($BC$17,Sheet1!AL2:AO840,2,0),0)</f>
        <v>0</v>
      </c>
      <c r="BD18" s="29">
        <f>+IFERROR(VLOOKUP($BD$17,Sheet1!AL2:AO840,2,0),0)</f>
        <v>0</v>
      </c>
      <c r="BE18" s="29">
        <f>+IFERROR(VLOOKUP($BE$17,Sheet1!AL2:AO840,2,0),0)</f>
        <v>0</v>
      </c>
      <c r="BF18" s="29">
        <f>90+15</f>
        <v>105</v>
      </c>
      <c r="BG18" s="29">
        <f>+IFERROR(VLOOKUP($BG$17,Sheet1!AL2:AO840,2,0),0)</f>
        <v>0</v>
      </c>
      <c r="BH18" s="29">
        <f>+IFERROR(VLOOKUP($BH$17,Sheet1!AL2:AO840,2,0),0)</f>
        <v>0</v>
      </c>
      <c r="BI18" s="29">
        <f>+IFERROR(VLOOKUP($BI$17,Sheet1!AL2:AO840,2,0),0)</f>
        <v>0</v>
      </c>
      <c r="BJ18" s="29">
        <f>+IFERROR(VLOOKUP($BJ$17,Sheet1!AL2:AO840,2,0),0)</f>
        <v>0</v>
      </c>
      <c r="BK18" s="29">
        <f>+IFERROR(VLOOKUP($BK$17,Sheet1!AL2:AO840,2,0),0)</f>
        <v>0</v>
      </c>
      <c r="BL18" s="29">
        <v>85</v>
      </c>
      <c r="BM18" s="29"/>
      <c r="BN18" s="29">
        <v>340</v>
      </c>
      <c r="BO18" s="31"/>
      <c r="BP18" s="32">
        <f>+IFERROR(VLOOKUP($BP$17,Sheet1!BB2:BE840,2,0),0)</f>
        <v>400</v>
      </c>
      <c r="BQ18" s="31" t="str">
        <f>+IFERROR(VLOOKUP($BQ$17,Sheet1!BF2:BI840,2,0),0)</f>
        <v>RM Rate(Semicon Tape)</v>
      </c>
      <c r="BR18" s="31" t="str">
        <f>+IFERROR(VLOOKUP($BR$17,Sheet1!BJ2:BM840,2,0),0)</f>
        <v>RM Rate(Glass Fiber Tape)</v>
      </c>
      <c r="BS18" s="31">
        <f>+IFERROR(VLOOKUP($BS$17,Sheet1!BN2:BQ840,2,0),0)</f>
        <v>0</v>
      </c>
      <c r="BT18" s="32">
        <f>+IFERROR(VLOOKUP($BT$17,Sheet1!BR2:BU840,2,0),0)</f>
        <v>375</v>
      </c>
      <c r="BU18" s="31" t="str">
        <f>+IFERROR(VLOOKUP($BU$17,Sheet1!BV2:BY840,2,0),0)</f>
        <v>RM Rate(Water Tight Compound)</v>
      </c>
      <c r="BV18" s="48"/>
      <c r="BW18" s="48"/>
      <c r="BX18" s="148" t="s">
        <v>331</v>
      </c>
      <c r="BY18" s="48"/>
      <c r="CD18" s="5"/>
      <c r="CE18" s="5"/>
      <c r="CF18" s="5"/>
      <c r="CG18" s="5"/>
      <c r="CH18" s="5"/>
      <c r="CI18" s="5"/>
      <c r="CJ18" s="5"/>
      <c r="CK18" s="5"/>
      <c r="CL18" s="5"/>
    </row>
    <row r="19" spans="1:90" ht="25.5" x14ac:dyDescent="0.25">
      <c r="A19" s="1" t="str">
        <f>Sheet1!A3</f>
        <v>ENQ-15138-22-23</v>
      </c>
      <c r="B19" s="47">
        <f>Sheet1!B3</f>
        <v>45627</v>
      </c>
      <c r="C19" s="1" t="str">
        <f>Sheet1!C3</f>
        <v>FA1300083</v>
      </c>
      <c r="D19" s="145" t="str">
        <f>Sheet1!D3</f>
        <v>3 CORE X 400 SQ. MM. AL/ARM - WIRE (XLPE) - 11 KV</v>
      </c>
      <c r="E19" s="3">
        <f t="shared" ref="E19:E39" si="0">CH19+CJ19+CL19</f>
        <v>2890355.0381999998</v>
      </c>
      <c r="F19" s="151">
        <f>ROUNDUP(M43,0)</f>
        <v>52166</v>
      </c>
      <c r="G19" s="9">
        <f t="shared" ref="G19:G39" si="1">E19+F19</f>
        <v>2942521.0381999998</v>
      </c>
      <c r="H19" s="7">
        <f>Sheet1!CP3</f>
        <v>0.18</v>
      </c>
      <c r="I19" s="9">
        <f t="shared" ref="I19:I39" si="2">G19*H19</f>
        <v>529653.786876</v>
      </c>
      <c r="J19" s="9">
        <f t="shared" ref="J19:J39" si="3">G19+I19</f>
        <v>3472174.8250759998</v>
      </c>
      <c r="K19" s="1">
        <f>Sheet1!CS3</f>
        <v>314</v>
      </c>
      <c r="L19" s="1" t="str">
        <f>Sheet1!CT3</f>
        <v>KMS</v>
      </c>
      <c r="M19" s="3">
        <f t="shared" ref="M19:M39" si="4">J19*K19</f>
        <v>1090262895.073864</v>
      </c>
      <c r="N19" s="149">
        <f>+IFERROR(VLOOKUP($N$17,Sheet1!J3:L3,3,0),0)</f>
        <v>3240</v>
      </c>
      <c r="O19" s="2">
        <f>+IFERROR(VLOOKUP($O$17,Sheet1!J3:L3,3,0),0)</f>
        <v>0</v>
      </c>
      <c r="P19" s="2">
        <f>+IFERROR(VLOOKUP($P$17,Sheet1!J3:M3,3,0),0)</f>
        <v>0</v>
      </c>
      <c r="Q19" s="2">
        <f>+IFERROR(VLOOKUP($Q$17,Sheet1!J3:M3,3,0),0)</f>
        <v>0</v>
      </c>
      <c r="R19" s="2">
        <f>+IFERROR(VLOOKUP($R$17,Sheet1!J3:M3,3,0),0)</f>
        <v>0</v>
      </c>
      <c r="S19" s="2">
        <f>+IFERROR(VLOOKUP($S$17,Sheet1!N3:Q3,3,0),0)</f>
        <v>0</v>
      </c>
      <c r="T19" s="2">
        <f>+IFERROR(VLOOKUP($T$17,Sheet1!N3:Q3,3,0),0)</f>
        <v>0</v>
      </c>
      <c r="U19" s="2">
        <f>+IFERROR(VLOOKUP($U$17,Sheet1!F3:I3,3,0),0)</f>
        <v>0</v>
      </c>
      <c r="V19" s="2">
        <f>+IFERROR(VLOOKUP($V$17,Sheet1!F3:I3,3,0),0)</f>
        <v>0</v>
      </c>
      <c r="W19" s="2">
        <f>+IFERROR(VLOOKUP($W$17,Sheet1!F3:I3,3,0),0)</f>
        <v>0</v>
      </c>
      <c r="X19" s="2">
        <f>+IFERROR(VLOOKUP($X$17,Sheet1!F3:I3,3,0),0)</f>
        <v>0</v>
      </c>
      <c r="Y19" s="149">
        <v>176</v>
      </c>
      <c r="Z19" s="2">
        <f>+IFERROR(VLOOKUP($Z$17,Sheet1!F3:I3,3,0),0)</f>
        <v>0</v>
      </c>
      <c r="AA19" s="2">
        <f>+IFERROR(VLOOKUP($AA$17,Sheet1!F3:I3,3,0),0)</f>
        <v>0</v>
      </c>
      <c r="AB19" s="2">
        <f>+IFERROR(VLOOKUP($AB$17,Sheet1!F3:I3,3,0),0)</f>
        <v>0</v>
      </c>
      <c r="AC19" s="149">
        <v>518</v>
      </c>
      <c r="AD19" s="13">
        <f>+IFERROR(VLOOKUP($AD$17,Sheet1!R3:U3,2,0),0)</f>
        <v>0</v>
      </c>
      <c r="AE19" s="149">
        <v>930</v>
      </c>
      <c r="AF19" s="13">
        <f>+IFERROR(VLOOKUP($AF$17,Sheet1!V3:Y3,3,0),0)</f>
        <v>0</v>
      </c>
      <c r="AG19" s="13">
        <f>+IFERROR(VLOOKUP($AG$17,Sheet1!V3:Y3,3,0),0)</f>
        <v>0</v>
      </c>
      <c r="AH19" s="13">
        <f>+IFERROR(VLOOKUP($AH$17,Sheet1!V3:Y3,3,0),0)</f>
        <v>0</v>
      </c>
      <c r="AI19" s="13">
        <f>+IFERROR(VLOOKUP($AI$17,Sheet1!V3:Y3,3,0),0)</f>
        <v>0</v>
      </c>
      <c r="AJ19" s="13">
        <f>+IFERROR(VLOOKUP($AJ$17,Sheet1!V3:Y3,3,0),0)</f>
        <v>0</v>
      </c>
      <c r="AK19" s="13">
        <f>+IFERROR(VLOOKUP($AK$17,Sheet1!Z3:AB3,3,0),0)</f>
        <v>0</v>
      </c>
      <c r="AL19" s="13">
        <f>+IFERROR(VLOOKUP($AL$17,Sheet1!AD3:AG3,3,0),0)</f>
        <v>0</v>
      </c>
      <c r="AM19" s="13">
        <f>+IFERROR(VLOOKUP($AM$17,Sheet1!AD3:AG3,3,0),0)</f>
        <v>0</v>
      </c>
      <c r="AN19" s="13">
        <f>+IFERROR(VLOOKUP($AN$17,Sheet1!AD3:AG3,3,0),0)</f>
        <v>0</v>
      </c>
      <c r="AO19" s="13">
        <f>+IFERROR(VLOOKUP($AO$17,Sheet1!AD3:AG3,3,0),0)</f>
        <v>0</v>
      </c>
      <c r="AP19" s="13">
        <f>+IFERROR(VLOOKUP($AP$17,Sheet1!AD3:AG3,3,0),0)</f>
        <v>0</v>
      </c>
      <c r="AQ19" s="146">
        <v>1027</v>
      </c>
      <c r="AR19" s="13"/>
      <c r="AS19" s="13">
        <f>+IFERROR(VLOOKUP($AS$17,Sheet1!AH3:AK3,3,0),0)</f>
        <v>0</v>
      </c>
      <c r="AT19" s="13">
        <f>+IFERROR(VLOOKUP($AT$17,Sheet1!AH3:AK3,3,0),0)</f>
        <v>0</v>
      </c>
      <c r="AU19" s="13">
        <f>+IFERROR(VLOOKUP($AU$17,Sheet1!AH3:AK3,3,0),0)</f>
        <v>0</v>
      </c>
      <c r="AV19" s="13">
        <f>+IFERROR(VLOOKUP($AV$17,Sheet1!AH3:AK3,3,0),0)</f>
        <v>0</v>
      </c>
      <c r="AW19" s="13">
        <f>+IFERROR(VLOOKUP($AW$17,Sheet1!AH3:AK3,3,0),0)</f>
        <v>0</v>
      </c>
      <c r="AX19" s="13">
        <f>+IFERROR(VLOOKUP($AX$17,Sheet1!AH3:AK3,3,0),0)</f>
        <v>0</v>
      </c>
      <c r="AY19" s="13">
        <f>+IFERROR(VLOOKUP($AY$17,Sheet1!AH3:AK3,3,0),0)</f>
        <v>0</v>
      </c>
      <c r="AZ19" s="13">
        <f>+IFERROR(VLOOKUP($AZ$17,Sheet1!AH3:AK3,3,0),0)</f>
        <v>0</v>
      </c>
      <c r="BA19" s="146">
        <v>5643</v>
      </c>
      <c r="BB19" s="13">
        <f>+IFERROR(VLOOKUP($BB$17,Sheet1!AH3:AK3,3,0),0)</f>
        <v>0</v>
      </c>
      <c r="BC19" s="13">
        <f>+IFERROR(VLOOKUP($BC$17,Sheet1!AL3:AO3,3,0),0)</f>
        <v>0</v>
      </c>
      <c r="BD19" s="13">
        <f>+IFERROR(VLOOKUP($BD$17,Sheet1!AL3:AO3,3,0),0)</f>
        <v>0</v>
      </c>
      <c r="BE19" s="13">
        <f>+IFERROR(VLOOKUP($BE$17,Sheet1!AL3:AO3,3,0),0)</f>
        <v>0</v>
      </c>
      <c r="BF19" s="146">
        <v>1377</v>
      </c>
      <c r="BG19" s="13">
        <f>+IFERROR(VLOOKUP($BG$17,Sheet1!AL3:AO3,3,0),0)</f>
        <v>0</v>
      </c>
      <c r="BH19" s="13">
        <f>+IFERROR(VLOOKUP($BH$17,Sheet1!AL3:AO3,3,0),0)</f>
        <v>0</v>
      </c>
      <c r="BI19" s="13">
        <f>+IFERROR(VLOOKUP($BI$17,Sheet1!AL3:AO3,3,0),0)</f>
        <v>0</v>
      </c>
      <c r="BJ19" s="13">
        <f>+IFERROR(VLOOKUP($BJ$17,Sheet1!AL3:AO3,3,0),0)</f>
        <v>0</v>
      </c>
      <c r="BK19" s="13">
        <f>+IFERROR(VLOOKUP($BK$17,Sheet1!AL3:AO3,3,0),0)</f>
        <v>0</v>
      </c>
      <c r="BL19" s="146">
        <v>1032</v>
      </c>
      <c r="BM19" s="13">
        <f>+IFERROR(VLOOKUP($BM$17,Sheet1!AP3:AS3,3,0),0)</f>
        <v>0</v>
      </c>
      <c r="BN19" s="146">
        <v>58</v>
      </c>
      <c r="BO19" s="13">
        <f>+IFERROR(VLOOKUP($BO$17,Sheet1!AX3:BA3,3,0),0)</f>
        <v>0</v>
      </c>
      <c r="BP19" s="146">
        <v>95</v>
      </c>
      <c r="BQ19" s="13">
        <f>+IFERROR(VLOOKUP($BQ$17,Sheet1!BF3:BI3,3,0),0)</f>
        <v>0</v>
      </c>
      <c r="BR19" s="13">
        <f>+IFERROR(VLOOKUP($BR$17,Sheet1!BJ3:BM3,3,0),0)</f>
        <v>0</v>
      </c>
      <c r="BS19" s="13">
        <f>+IFERROR(VLOOKUP($BS$17,Sheet1!BN3:BQ3,3,0),0)</f>
        <v>0</v>
      </c>
      <c r="BT19" s="146">
        <v>60</v>
      </c>
      <c r="BU19" s="13">
        <f>+IFERROR(VLOOKUP($BU$17,Sheet1!BV3:BY3,3,0),0)</f>
        <v>0</v>
      </c>
      <c r="BV19" s="13" t="str">
        <f>Sheet1!E3</f>
        <v>STEEL</v>
      </c>
      <c r="BW19" s="13" t="s">
        <v>195</v>
      </c>
      <c r="BX19" s="146" t="s">
        <v>196</v>
      </c>
      <c r="BY19" s="146">
        <f>Sheet1!CX3</f>
        <v>250</v>
      </c>
      <c r="BZ19" s="3">
        <f>31500/0.25</f>
        <v>126000</v>
      </c>
      <c r="CA19" s="3">
        <f t="shared" ref="CA19:CA39" si="5">SUMPRODUCT($N$18:$BU$18,N19:BU19)+BZ19</f>
        <v>2227119</v>
      </c>
      <c r="CB19" s="23">
        <v>0.01</v>
      </c>
      <c r="CC19" s="3">
        <f t="shared" ref="CC19:CC39" si="6">CA19*CB19</f>
        <v>22271.19</v>
      </c>
      <c r="CD19" s="44">
        <v>0.25</v>
      </c>
      <c r="CE19" s="3">
        <f t="shared" ref="CE19:CE39" si="7">CA19*CD19</f>
        <v>556779.75</v>
      </c>
      <c r="CF19" s="44">
        <f>Sheet1!CF3</f>
        <v>0</v>
      </c>
      <c r="CG19" s="3">
        <f t="shared" ref="CG19:CG39" si="8">CA19*CF19</f>
        <v>0</v>
      </c>
      <c r="CH19" s="3">
        <f t="shared" ref="CH19:CH39" si="9">CA19+CC19+CE19+CG19</f>
        <v>2806169.94</v>
      </c>
      <c r="CI19" s="44">
        <v>0.02</v>
      </c>
      <c r="CJ19" s="151">
        <f t="shared" ref="CJ19:CJ27" si="10">CH19*CI19</f>
        <v>56123.398800000003</v>
      </c>
      <c r="CK19" s="44">
        <v>0.01</v>
      </c>
      <c r="CL19" s="1">
        <f t="shared" ref="CL19:CL39" si="11">CH19*CK19</f>
        <v>28061.699400000001</v>
      </c>
    </row>
    <row r="20" spans="1:90" ht="25.5" x14ac:dyDescent="0.25">
      <c r="A20" s="1" t="str">
        <f>Sheet1!A6</f>
        <v>ENQ-15138-22-23</v>
      </c>
      <c r="B20" s="47">
        <f>Sheet1!B6</f>
        <v>45627</v>
      </c>
      <c r="C20" s="1" t="str">
        <f>Sheet1!C6</f>
        <v>FA1300091</v>
      </c>
      <c r="D20" s="145" t="str">
        <f>Sheet1!D6</f>
        <v>3 CORE X 300 SQ. MM. AL/ARM - WIRE (XLPE) - 11 KV</v>
      </c>
      <c r="E20" s="3">
        <f t="shared" si="0"/>
        <v>2318788.3446000004</v>
      </c>
      <c r="F20" s="151">
        <f t="shared" ref="F20:F39" si="12">ROUNDUP(M44,0)</f>
        <v>52907</v>
      </c>
      <c r="G20" s="9">
        <f t="shared" si="1"/>
        <v>2371695.3446000004</v>
      </c>
      <c r="H20" s="7">
        <f>Sheet1!CP6</f>
        <v>0.18</v>
      </c>
      <c r="I20" s="9">
        <f t="shared" si="2"/>
        <v>426905.16202800005</v>
      </c>
      <c r="J20" s="9">
        <f t="shared" si="3"/>
        <v>2798600.5066280006</v>
      </c>
      <c r="K20" s="1">
        <f>Sheet1!CS6</f>
        <v>43</v>
      </c>
      <c r="L20" s="1" t="str">
        <f>Sheet1!CT6</f>
        <v>KMS</v>
      </c>
      <c r="M20" s="3">
        <f t="shared" si="4"/>
        <v>120339821.78500403</v>
      </c>
      <c r="N20" s="2">
        <f>+IFERROR(VLOOKUP($N$17,Sheet1!J6:L6,3,0),0)</f>
        <v>2430</v>
      </c>
      <c r="O20" s="2">
        <f>+IFERROR(VLOOKUP($O$17,Sheet1!J6:L6,3,0),0)</f>
        <v>0</v>
      </c>
      <c r="P20" s="2">
        <f>+IFERROR(VLOOKUP($P$17,Sheet1!J6:M6,3,0),0)</f>
        <v>0</v>
      </c>
      <c r="Q20" s="2">
        <f>+IFERROR(VLOOKUP($Q$17,Sheet1!J6:M6,3,0),0)</f>
        <v>0</v>
      </c>
      <c r="R20" s="2">
        <f>+IFERROR(VLOOKUP($R$17,Sheet1!J6:M6,3,0),0)</f>
        <v>0</v>
      </c>
      <c r="S20" s="2">
        <f>+IFERROR(VLOOKUP($S$17,Sheet1!N6:Q6,3,0),0)</f>
        <v>0</v>
      </c>
      <c r="T20" s="2">
        <f>+IFERROR(VLOOKUP($T$17,Sheet1!N6:Q6,3,0),0)</f>
        <v>0</v>
      </c>
      <c r="U20" s="2">
        <f>+IFERROR(VLOOKUP($U$17,Sheet1!F6:I6,3,0),0)</f>
        <v>0</v>
      </c>
      <c r="V20" s="2">
        <f>+IFERROR(VLOOKUP($V$17,Sheet1!F6:I6,3,0),0)</f>
        <v>0</v>
      </c>
      <c r="W20" s="2">
        <f>+IFERROR(VLOOKUP($W$17,Sheet1!F6:I6,3,0),0)</f>
        <v>0</v>
      </c>
      <c r="X20" s="2">
        <f>+IFERROR(VLOOKUP($X$17,Sheet1!F6:I6,3,0),0)</f>
        <v>0</v>
      </c>
      <c r="Y20" s="149">
        <v>161</v>
      </c>
      <c r="Z20" s="2">
        <f>+IFERROR(VLOOKUP($Z$17,Sheet1!F6:I6,3,0),0)</f>
        <v>0</v>
      </c>
      <c r="AA20" s="2">
        <f>+IFERROR(VLOOKUP($AA$17,Sheet1!F6:I6,3,0),0)</f>
        <v>0</v>
      </c>
      <c r="AB20" s="2">
        <f>+IFERROR(VLOOKUP($AB$17,Sheet1!F6:I6,3,0),0)</f>
        <v>0</v>
      </c>
      <c r="AC20" s="149">
        <v>465</v>
      </c>
      <c r="AD20" s="13">
        <f>+IFERROR(VLOOKUP($AD$17,Sheet1!R6:U6,2,0),0)</f>
        <v>0</v>
      </c>
      <c r="AE20" s="149">
        <v>835</v>
      </c>
      <c r="AF20" s="13">
        <f>+IFERROR(VLOOKUP($AF$17,Sheet1!V6:Y6,3,0),0)</f>
        <v>0</v>
      </c>
      <c r="AG20" s="13">
        <f>+IFERROR(VLOOKUP($AG$17,Sheet1!V6:Y6,3,0),0)</f>
        <v>0</v>
      </c>
      <c r="AH20" s="13">
        <f>+IFERROR(VLOOKUP($AH$17,Sheet1!V6:Y6,3,0),0)</f>
        <v>0</v>
      </c>
      <c r="AI20" s="13">
        <f>+IFERROR(VLOOKUP($AI$17,Sheet1!V6:Y6,3,0),0)</f>
        <v>0</v>
      </c>
      <c r="AJ20" s="13">
        <f>+IFERROR(VLOOKUP($AJ$17,Sheet1!V6:Y6,3,0),0)</f>
        <v>0</v>
      </c>
      <c r="AK20" s="13">
        <f>+IFERROR(VLOOKUP($AK$17,Sheet1!Z6:AB6,3,0),0)</f>
        <v>0</v>
      </c>
      <c r="AL20" s="13">
        <f>+IFERROR(VLOOKUP($AL$17,Sheet1!AD6:AG6,3,0),0)</f>
        <v>0</v>
      </c>
      <c r="AM20" s="13">
        <f>+IFERROR(VLOOKUP($AM$17,Sheet1!AD6:AG6,3,0),0)</f>
        <v>0</v>
      </c>
      <c r="AN20" s="13">
        <f>+IFERROR(VLOOKUP($AN$17,Sheet1!AD6:AG6,3,0),0)</f>
        <v>0</v>
      </c>
      <c r="AO20" s="13">
        <f>+IFERROR(VLOOKUP($AO$17,Sheet1!AD6:AG6,3,0),0)</f>
        <v>0</v>
      </c>
      <c r="AP20" s="13">
        <f>+IFERROR(VLOOKUP($AP$17,Sheet1!AD6:AG6,3,0),0)</f>
        <v>0</v>
      </c>
      <c r="AQ20" s="146">
        <v>885</v>
      </c>
      <c r="AR20" s="13"/>
      <c r="AS20" s="13">
        <f>+IFERROR(VLOOKUP($AS$17,Sheet1!AH6:AK6,3,0),0)</f>
        <v>0</v>
      </c>
      <c r="AT20" s="13">
        <f>+IFERROR(VLOOKUP($AT$17,Sheet1!AH6:AK6,3,0),0)</f>
        <v>0</v>
      </c>
      <c r="AU20" s="13">
        <f>+IFERROR(VLOOKUP($AU$17,Sheet1!AH6:AK6,3,0),0)</f>
        <v>0</v>
      </c>
      <c r="AV20" s="13">
        <f>+IFERROR(VLOOKUP($AV$17,Sheet1!AH6:AK6,3,0),0)</f>
        <v>0</v>
      </c>
      <c r="AW20" s="13">
        <f>+IFERROR(VLOOKUP($AW$17,Sheet1!AH6:AK6,3,0),0)</f>
        <v>0</v>
      </c>
      <c r="AX20" s="13">
        <f>+IFERROR(VLOOKUP($AX$17,Sheet1!AH6:AK6,3,0),0)</f>
        <v>0</v>
      </c>
      <c r="AY20" s="13">
        <f>+IFERROR(VLOOKUP($AY$17,Sheet1!AH6:AK6,3,0),0)</f>
        <v>0</v>
      </c>
      <c r="AZ20" s="13">
        <f>+IFERROR(VLOOKUP($AZ$17,Sheet1!AH6:AK6,3,0),0)</f>
        <v>0</v>
      </c>
      <c r="BA20" s="146">
        <v>4072</v>
      </c>
      <c r="BB20" s="13">
        <f>+IFERROR(VLOOKUP($BB$17,Sheet1!AH6:AK6,3,0),0)</f>
        <v>0</v>
      </c>
      <c r="BC20" s="13">
        <f>+IFERROR(VLOOKUP($BC$17,Sheet1!AL6:AO6,3,0),0)</f>
        <v>0</v>
      </c>
      <c r="BD20" s="13">
        <f>+IFERROR(VLOOKUP($BD$17,Sheet1!AL6:AO6,3,0),0)</f>
        <v>0</v>
      </c>
      <c r="BE20" s="13">
        <f>+IFERROR(VLOOKUP($BE$17,Sheet1!AL6:AO6,3,0),0)</f>
        <v>0</v>
      </c>
      <c r="BF20" s="146">
        <v>1190</v>
      </c>
      <c r="BG20" s="13">
        <f>+IFERROR(VLOOKUP($BG$17,Sheet1!AL6:AO6,3,0),0)</f>
        <v>0</v>
      </c>
      <c r="BH20" s="13">
        <f>+IFERROR(VLOOKUP($BH$17,Sheet1!AL6:AO6,3,0),0)</f>
        <v>0</v>
      </c>
      <c r="BI20" s="13">
        <f>+IFERROR(VLOOKUP($BI$17,Sheet1!AL6:AO6,3,0),0)</f>
        <v>0</v>
      </c>
      <c r="BJ20" s="13">
        <f>+IFERROR(VLOOKUP($BJ$17,Sheet1!AL6:AO6,3,0),0)</f>
        <v>0</v>
      </c>
      <c r="BK20" s="13">
        <f>+IFERROR(VLOOKUP($BK$17,Sheet1!AL6:AO6,3,0),0)</f>
        <v>0</v>
      </c>
      <c r="BL20" s="146">
        <v>862</v>
      </c>
      <c r="BM20" s="13">
        <f>+IFERROR(VLOOKUP($BM$17,Sheet1!AP6:AS6,3,0),0)</f>
        <v>0</v>
      </c>
      <c r="BN20" s="146">
        <v>38</v>
      </c>
      <c r="BO20" s="13">
        <f>+IFERROR(VLOOKUP($BO$17,Sheet1!AX6:BA6,3,0),0)</f>
        <v>0</v>
      </c>
      <c r="BP20" s="146">
        <v>86</v>
      </c>
      <c r="BQ20" s="13">
        <f>+IFERROR(VLOOKUP($BQ$17,Sheet1!BF6:BI6,3,0),0)</f>
        <v>0</v>
      </c>
      <c r="BR20" s="13">
        <f>+IFERROR(VLOOKUP($BR$17,Sheet1!BJ6:BM6,3,0),0)</f>
        <v>0</v>
      </c>
      <c r="BS20" s="13">
        <f>+IFERROR(VLOOKUP($BS$17,Sheet1!BN6:BQ6,3,0),0)</f>
        <v>0</v>
      </c>
      <c r="BT20" s="146">
        <v>54</v>
      </c>
      <c r="BU20" s="13">
        <f>+IFERROR(VLOOKUP($BU$17,Sheet1!BV6:BY6,3,0),0)</f>
        <v>0</v>
      </c>
      <c r="BV20" s="13" t="str">
        <f>Sheet1!E6</f>
        <v>STEEL</v>
      </c>
      <c r="BW20" s="13" t="str">
        <f>Sheet1!CV6</f>
        <v>SP0400136</v>
      </c>
      <c r="BX20" s="146" t="str">
        <f>Sheet1!CW6</f>
        <v>CORRUGATED DISPATCH STEEL DRUM 2200 X 1300 X 1200 MM</v>
      </c>
      <c r="BY20" s="146">
        <f>Sheet1!CX6</f>
        <v>250</v>
      </c>
      <c r="BZ20" s="3">
        <f>31500/0.25</f>
        <v>126000</v>
      </c>
      <c r="CA20" s="3">
        <f t="shared" si="5"/>
        <v>1786707</v>
      </c>
      <c r="CB20" s="23">
        <v>0.01</v>
      </c>
      <c r="CC20" s="3">
        <f t="shared" si="6"/>
        <v>17867.07</v>
      </c>
      <c r="CD20" s="44">
        <v>0.25</v>
      </c>
      <c r="CE20" s="3">
        <f t="shared" si="7"/>
        <v>446676.75</v>
      </c>
      <c r="CF20" s="44">
        <f>Sheet1!CF6</f>
        <v>0</v>
      </c>
      <c r="CG20" s="3">
        <f t="shared" si="8"/>
        <v>0</v>
      </c>
      <c r="CH20" s="3">
        <f t="shared" si="9"/>
        <v>2251250.8200000003</v>
      </c>
      <c r="CI20" s="44">
        <v>0.02</v>
      </c>
      <c r="CJ20" s="151">
        <f t="shared" si="10"/>
        <v>45025.016400000008</v>
      </c>
      <c r="CK20" s="44">
        <v>0.01</v>
      </c>
      <c r="CL20" s="1">
        <f t="shared" si="11"/>
        <v>22512.508200000004</v>
      </c>
    </row>
    <row r="21" spans="1:90" ht="25.5" x14ac:dyDescent="0.25">
      <c r="A21" s="1" t="str">
        <f>Sheet1!A7</f>
        <v>ENQ-15138-22-23</v>
      </c>
      <c r="B21" s="47">
        <f>Sheet1!B7</f>
        <v>45627</v>
      </c>
      <c r="C21" s="1" t="str">
        <f>Sheet1!C7</f>
        <v>FA1300090</v>
      </c>
      <c r="D21" s="145" t="str">
        <f>Sheet1!D7</f>
        <v>3 CORE X 185 SQ. MM AL/ARM - WIRE (XLPE) - 11 KV</v>
      </c>
      <c r="E21" s="3">
        <f t="shared" si="0"/>
        <v>1723155.2478</v>
      </c>
      <c r="F21" s="151">
        <f t="shared" si="12"/>
        <v>65000</v>
      </c>
      <c r="G21" s="9">
        <f t="shared" si="1"/>
        <v>1788155.2478</v>
      </c>
      <c r="H21" s="7">
        <f>Sheet1!CP7</f>
        <v>0.18</v>
      </c>
      <c r="I21" s="9">
        <f t="shared" si="2"/>
        <v>321867.94460400002</v>
      </c>
      <c r="J21" s="9">
        <f t="shared" si="3"/>
        <v>2110023.1924040001</v>
      </c>
      <c r="K21" s="1">
        <f>Sheet1!CS7</f>
        <v>2</v>
      </c>
      <c r="L21" s="1" t="str">
        <f>Sheet1!CT7</f>
        <v>KMS</v>
      </c>
      <c r="M21" s="3">
        <f t="shared" si="4"/>
        <v>4220046.3848080002</v>
      </c>
      <c r="N21" s="2">
        <f>+IFERROR(VLOOKUP($N$17,Sheet1!J7:L7,3,0),0)</f>
        <v>1499</v>
      </c>
      <c r="O21" s="2">
        <f>+IFERROR(VLOOKUP($O$17,Sheet1!J7:L7,3,0),0)</f>
        <v>0</v>
      </c>
      <c r="P21" s="2">
        <f>+IFERROR(VLOOKUP($P$17,Sheet1!J7:M7,3,0),0)</f>
        <v>0</v>
      </c>
      <c r="Q21" s="2">
        <f>+IFERROR(VLOOKUP($Q$17,Sheet1!J7:M7,3,0),0)</f>
        <v>0</v>
      </c>
      <c r="R21" s="2">
        <f>+IFERROR(VLOOKUP($R$17,Sheet1!J7:M7,3,0),0)</f>
        <v>0</v>
      </c>
      <c r="S21" s="2">
        <f>+IFERROR(VLOOKUP($S$17,Sheet1!N7:Q7,3,0),0)</f>
        <v>0</v>
      </c>
      <c r="T21" s="2">
        <f>+IFERROR(VLOOKUP($T$17,Sheet1!N7:Q7,3,0),0)</f>
        <v>0</v>
      </c>
      <c r="U21" s="2">
        <f>+IFERROR(VLOOKUP($U$17,Sheet1!F7:I7,3,0),0)</f>
        <v>0</v>
      </c>
      <c r="V21" s="2">
        <f>+IFERROR(VLOOKUP($V$17,Sheet1!F7:I7,3,0),0)</f>
        <v>0</v>
      </c>
      <c r="W21" s="2">
        <f>+IFERROR(VLOOKUP($W$17,Sheet1!F7:I7,3,0),0)</f>
        <v>0</v>
      </c>
      <c r="X21" s="2">
        <f>+IFERROR(VLOOKUP($X$17,Sheet1!F7:I7,3,0),0)</f>
        <v>0</v>
      </c>
      <c r="Y21" s="149">
        <v>138</v>
      </c>
      <c r="Z21" s="2">
        <f>+IFERROR(VLOOKUP($Z$17,Sheet1!F7:I7,3,0),0)</f>
        <v>0</v>
      </c>
      <c r="AA21" s="2">
        <f>+IFERROR(VLOOKUP($AA$17,Sheet1!F7:I7,3,0),0)</f>
        <v>0</v>
      </c>
      <c r="AB21" s="2">
        <f>+IFERROR(VLOOKUP($AB$17,Sheet1!F7:I7,3,0),0)</f>
        <v>0</v>
      </c>
      <c r="AC21" s="149">
        <v>387</v>
      </c>
      <c r="AD21" s="13">
        <f>+IFERROR(VLOOKUP($AD$17,Sheet1!R7:U7,2,0),0)</f>
        <v>0</v>
      </c>
      <c r="AE21" s="149">
        <v>693</v>
      </c>
      <c r="AF21" s="13">
        <f>+IFERROR(VLOOKUP($AF$17,Sheet1!V7:Y7,3,0),0)</f>
        <v>0</v>
      </c>
      <c r="AG21" s="13">
        <f>+IFERROR(VLOOKUP($AG$17,Sheet1!V7:Y7,3,0),0)</f>
        <v>0</v>
      </c>
      <c r="AH21" s="13">
        <f>+IFERROR(VLOOKUP($AH$17,Sheet1!V7:Y7,3,0),0)</f>
        <v>0</v>
      </c>
      <c r="AI21" s="13">
        <f>+IFERROR(VLOOKUP($AI$17,Sheet1!V7:Y7,3,0),0)</f>
        <v>0</v>
      </c>
      <c r="AJ21" s="13">
        <f>+IFERROR(VLOOKUP($AJ$17,Sheet1!V7:Y7,3,0),0)</f>
        <v>0</v>
      </c>
      <c r="AK21" s="13">
        <f>+IFERROR(VLOOKUP($AK$17,Sheet1!Z7:AB7,3,0),0)</f>
        <v>0</v>
      </c>
      <c r="AL21" s="13">
        <f>+IFERROR(VLOOKUP($AL$17,Sheet1!AD7:AG7,3,0),0)</f>
        <v>0</v>
      </c>
      <c r="AM21" s="13">
        <f>+IFERROR(VLOOKUP($AM$17,Sheet1!AD7:AG7,3,0),0)</f>
        <v>0</v>
      </c>
      <c r="AN21" s="13">
        <f>+IFERROR(VLOOKUP($AN$17,Sheet1!AD7:AG7,3,0),0)</f>
        <v>0</v>
      </c>
      <c r="AO21" s="13">
        <f>+IFERROR(VLOOKUP($AO$17,Sheet1!AD7:AG7,3,0),0)</f>
        <v>0</v>
      </c>
      <c r="AP21" s="13">
        <f>+IFERROR(VLOOKUP($AP$17,Sheet1!AD7:AG7,3,0),0)</f>
        <v>0</v>
      </c>
      <c r="AQ21" s="146">
        <v>735</v>
      </c>
      <c r="AR21" s="13"/>
      <c r="AS21" s="13">
        <f>+IFERROR(VLOOKUP($AS$17,Sheet1!AH7:AK7,3,0),0)</f>
        <v>0</v>
      </c>
      <c r="AT21" s="13">
        <f>+IFERROR(VLOOKUP($AT$17,Sheet1!AH7:AK7,3,0),0)</f>
        <v>0</v>
      </c>
      <c r="AU21" s="13">
        <f>+IFERROR(VLOOKUP($AU$17,Sheet1!AH7:AK7,3,0),0)</f>
        <v>0</v>
      </c>
      <c r="AV21" s="13">
        <f>+IFERROR(VLOOKUP($AV$17,Sheet1!AH7:AK7,3,0),0)</f>
        <v>0</v>
      </c>
      <c r="AW21" s="13">
        <f>+IFERROR(VLOOKUP($AW$17,Sheet1!AH7:AK7,3,0),0)</f>
        <v>0</v>
      </c>
      <c r="AX21" s="13">
        <f>+IFERROR(VLOOKUP($AX$17,Sheet1!AH7:AK7,3,0),0)</f>
        <v>0</v>
      </c>
      <c r="AY21" s="13">
        <f>+IFERROR(VLOOKUP($AY$17,Sheet1!AH7:AK7,3,0),0)</f>
        <v>0</v>
      </c>
      <c r="AZ21" s="13">
        <f>+IFERROR(VLOOKUP($AZ$17,Sheet1!AH7:AK7,3,0),0)</f>
        <v>0</v>
      </c>
      <c r="BA21" s="146">
        <v>3500</v>
      </c>
      <c r="BB21" s="13">
        <f>+IFERROR(VLOOKUP($BB$17,Sheet1!AH7:AK7,3,0),0)</f>
        <v>0</v>
      </c>
      <c r="BC21" s="13">
        <f>+IFERROR(VLOOKUP($BC$17,Sheet1!AL7:AO7,3,0),0)</f>
        <v>0</v>
      </c>
      <c r="BD21" s="13">
        <f>+IFERROR(VLOOKUP($BD$17,Sheet1!AL7:AO7,3,0),0)</f>
        <v>0</v>
      </c>
      <c r="BE21" s="13">
        <f>+IFERROR(VLOOKUP($BE$17,Sheet1!AL7:AO7,3,0),0)</f>
        <v>0</v>
      </c>
      <c r="BF21" s="146">
        <v>945</v>
      </c>
      <c r="BG21" s="13">
        <f>+IFERROR(VLOOKUP($BG$17,Sheet1!AL7:AO7,3,0),0)</f>
        <v>0</v>
      </c>
      <c r="BH21" s="13">
        <f>+IFERROR(VLOOKUP($BH$17,Sheet1!AL7:AO7,3,0),0)</f>
        <v>0</v>
      </c>
      <c r="BI21" s="13">
        <f>+IFERROR(VLOOKUP($BI$17,Sheet1!AL7:AO7,3,0),0)</f>
        <v>0</v>
      </c>
      <c r="BJ21" s="13">
        <f>+IFERROR(VLOOKUP($BJ$17,Sheet1!AL7:AO7,3,0),0)</f>
        <v>0</v>
      </c>
      <c r="BK21" s="13">
        <f>+IFERROR(VLOOKUP($BK$17,Sheet1!AL7:AO7,3,0),0)</f>
        <v>0</v>
      </c>
      <c r="BL21" s="146">
        <v>615</v>
      </c>
      <c r="BM21" s="13">
        <f>+IFERROR(VLOOKUP($BM$17,Sheet1!AP7:AS7,3,0),0)</f>
        <v>0</v>
      </c>
      <c r="BN21" s="146">
        <v>35</v>
      </c>
      <c r="BO21" s="13">
        <f>+IFERROR(VLOOKUP($BO$17,Sheet1!AX7:BA7,3,0),0)</f>
        <v>0</v>
      </c>
      <c r="BP21" s="146">
        <v>72</v>
      </c>
      <c r="BQ21" s="13">
        <f>+IFERROR(VLOOKUP($BQ$17,Sheet1!BF7:BI7,3,0),0)</f>
        <v>0</v>
      </c>
      <c r="BR21" s="13">
        <f>+IFERROR(VLOOKUP($BR$17,Sheet1!BJ7:BM7,3,0),0)</f>
        <v>0</v>
      </c>
      <c r="BS21" s="13">
        <f>+IFERROR(VLOOKUP($BS$17,Sheet1!BN7:BQ7,3,0),0)</f>
        <v>0</v>
      </c>
      <c r="BT21" s="146">
        <v>48</v>
      </c>
      <c r="BU21" s="13">
        <f>+IFERROR(VLOOKUP($BU$17,Sheet1!BV7:BY7,3,0),0)</f>
        <v>0</v>
      </c>
      <c r="BV21" s="13" t="str">
        <f>Sheet1!E7</f>
        <v>STEEL</v>
      </c>
      <c r="BW21" s="13" t="str">
        <f>Sheet1!CV7</f>
        <v>SP0400111</v>
      </c>
      <c r="BX21" s="146" t="str">
        <f>Sheet1!CW7</f>
        <v>CORRUGATED DISPATCH STEEL DRUM 1900 X 1000 X 1000 MM</v>
      </c>
      <c r="BY21" s="146">
        <f>Sheet1!CX7</f>
        <v>250</v>
      </c>
      <c r="BZ21" s="3">
        <f>19350/0.25</f>
        <v>77400</v>
      </c>
      <c r="CA21" s="3">
        <f t="shared" si="5"/>
        <v>1327751</v>
      </c>
      <c r="CB21" s="23">
        <v>0.01</v>
      </c>
      <c r="CC21" s="3">
        <f t="shared" si="6"/>
        <v>13277.51</v>
      </c>
      <c r="CD21" s="44">
        <v>0.25</v>
      </c>
      <c r="CE21" s="3">
        <f t="shared" si="7"/>
        <v>331937.75</v>
      </c>
      <c r="CF21" s="44">
        <f>Sheet1!CF7</f>
        <v>0</v>
      </c>
      <c r="CG21" s="3">
        <f t="shared" si="8"/>
        <v>0</v>
      </c>
      <c r="CH21" s="3">
        <f t="shared" si="9"/>
        <v>1672966.26</v>
      </c>
      <c r="CI21" s="44">
        <v>0.02</v>
      </c>
      <c r="CJ21" s="151">
        <f t="shared" si="10"/>
        <v>33459.325199999999</v>
      </c>
      <c r="CK21" s="44">
        <v>0.01</v>
      </c>
      <c r="CL21" s="1">
        <f t="shared" si="11"/>
        <v>16729.6626</v>
      </c>
    </row>
    <row r="22" spans="1:90" ht="25.5" x14ac:dyDescent="0.25">
      <c r="A22" s="1" t="str">
        <f>Sheet1!A8</f>
        <v>ENQ-15138-22-23</v>
      </c>
      <c r="B22" s="47">
        <f>Sheet1!B8</f>
        <v>45627</v>
      </c>
      <c r="C22" s="1" t="str">
        <f>Sheet1!C8</f>
        <v>FA1300176</v>
      </c>
      <c r="D22" s="145" t="str">
        <f>Sheet1!D8</f>
        <v>3 CORE X 150 SQ. MM. AL/ARM - WIRE (XLPE) - 11 KV</v>
      </c>
      <c r="E22" s="3">
        <f t="shared" si="0"/>
        <v>1443834.9449999998</v>
      </c>
      <c r="F22" s="151">
        <f t="shared" si="12"/>
        <v>32500</v>
      </c>
      <c r="G22" s="9">
        <f t="shared" si="1"/>
        <v>1476334.9449999998</v>
      </c>
      <c r="H22" s="7">
        <f>Sheet1!CP8</f>
        <v>0.18</v>
      </c>
      <c r="I22" s="9">
        <f t="shared" si="2"/>
        <v>265740.29009999998</v>
      </c>
      <c r="J22" s="9">
        <f t="shared" si="3"/>
        <v>1742075.2350999997</v>
      </c>
      <c r="K22" s="1">
        <f>Sheet1!CS8</f>
        <v>4</v>
      </c>
      <c r="L22" s="1" t="str">
        <f>Sheet1!CT8</f>
        <v>KMS</v>
      </c>
      <c r="M22" s="3">
        <f t="shared" si="4"/>
        <v>6968300.9403999988</v>
      </c>
      <c r="N22" s="2">
        <f>+IFERROR(VLOOKUP($N$17,Sheet1!J8:L8,3,0),0)</f>
        <v>1215</v>
      </c>
      <c r="O22" s="2">
        <f>+IFERROR(VLOOKUP($O$17,Sheet1!J8:L8,3,0),0)</f>
        <v>0</v>
      </c>
      <c r="P22" s="2">
        <f>+IFERROR(VLOOKUP($P$17,Sheet1!J8:M8,3,0),0)</f>
        <v>0</v>
      </c>
      <c r="Q22" s="2">
        <f>+IFERROR(VLOOKUP($Q$17,Sheet1!J8:M8,3,0),0)</f>
        <v>0</v>
      </c>
      <c r="R22" s="2">
        <f>+IFERROR(VLOOKUP($R$17,Sheet1!J8:M8,3,0),0)</f>
        <v>0</v>
      </c>
      <c r="S22" s="2">
        <f>+IFERROR(VLOOKUP($S$17,Sheet1!N8:Q8,3,0),0)</f>
        <v>0</v>
      </c>
      <c r="T22" s="2">
        <f>+IFERROR(VLOOKUP($T$17,Sheet1!N8:Q8,3,0),0)</f>
        <v>0</v>
      </c>
      <c r="U22" s="2">
        <f>+IFERROR(VLOOKUP($U$17,Sheet1!F8:I8,3,0),0)</f>
        <v>0</v>
      </c>
      <c r="V22" s="2">
        <f>+IFERROR(VLOOKUP($V$17,Sheet1!F8:I8,3,0),0)</f>
        <v>0</v>
      </c>
      <c r="W22" s="2">
        <f>+IFERROR(VLOOKUP($W$17,Sheet1!F8:I8,3,0),0)</f>
        <v>0</v>
      </c>
      <c r="X22" s="2">
        <f>+IFERROR(VLOOKUP($X$17,Sheet1!F8:I8,3,0),0)</f>
        <v>0</v>
      </c>
      <c r="Y22" s="149">
        <v>130</v>
      </c>
      <c r="Z22" s="2">
        <f>+IFERROR(VLOOKUP($Z$17,Sheet1!F8:I8,3,0),0)</f>
        <v>0</v>
      </c>
      <c r="AA22" s="2">
        <f>+IFERROR(VLOOKUP($AA$17,Sheet1!F8:I8,3,0),0)</f>
        <v>0</v>
      </c>
      <c r="AB22" s="2">
        <f>+IFERROR(VLOOKUP($AB$17,Sheet1!F8:I8,3,0),0)</f>
        <v>0</v>
      </c>
      <c r="AC22" s="149">
        <v>359</v>
      </c>
      <c r="AD22" s="13">
        <f>+IFERROR(VLOOKUP($AD$17,Sheet1!R8:U8,2,0),0)</f>
        <v>0</v>
      </c>
      <c r="AE22" s="149">
        <v>642</v>
      </c>
      <c r="AF22" s="13">
        <f>+IFERROR(VLOOKUP($AF$17,Sheet1!V8:Y8,3,0),0)</f>
        <v>0</v>
      </c>
      <c r="AG22" s="13">
        <f>+IFERROR(VLOOKUP($AG$17,Sheet1!V8:Y8,3,0),0)</f>
        <v>0</v>
      </c>
      <c r="AH22" s="13">
        <f>+IFERROR(VLOOKUP($AH$17,Sheet1!V8:Y8,3,0),0)</f>
        <v>0</v>
      </c>
      <c r="AI22" s="13">
        <f>+IFERROR(VLOOKUP($AI$17,Sheet1!V8:Y8,3,0),0)</f>
        <v>0</v>
      </c>
      <c r="AJ22" s="13">
        <f>+IFERROR(VLOOKUP($AJ$17,Sheet1!V8:Y8,3,0),0)</f>
        <v>0</v>
      </c>
      <c r="AK22" s="13">
        <f>+IFERROR(VLOOKUP($AK$17,Sheet1!Z8:AB8,3,0),0)</f>
        <v>0</v>
      </c>
      <c r="AL22" s="13">
        <f>+IFERROR(VLOOKUP($AL$17,Sheet1!AD8:AG8,3,0),0)</f>
        <v>0</v>
      </c>
      <c r="AM22" s="13">
        <f>+IFERROR(VLOOKUP($AM$17,Sheet1!AD8:AG8,3,0),0)</f>
        <v>0</v>
      </c>
      <c r="AN22" s="13">
        <f>+IFERROR(VLOOKUP($AN$17,Sheet1!AD8:AG8,3,0),0)</f>
        <v>0</v>
      </c>
      <c r="AO22" s="13">
        <f>+IFERROR(VLOOKUP($AO$17,Sheet1!AD8:AG8,3,0),0)</f>
        <v>0</v>
      </c>
      <c r="AP22" s="13">
        <f>+IFERROR(VLOOKUP($AP$17,Sheet1!AD8:AG8,3,0),0)</f>
        <v>0</v>
      </c>
      <c r="AQ22" s="146">
        <v>605</v>
      </c>
      <c r="AR22" s="13"/>
      <c r="AS22" s="13">
        <f>+IFERROR(VLOOKUP($AS$17,Sheet1!AH8:AK8,3,0),0)</f>
        <v>0</v>
      </c>
      <c r="AT22" s="13">
        <f>+IFERROR(VLOOKUP($AT$17,Sheet1!AH8:AK8,3,0),0)</f>
        <v>0</v>
      </c>
      <c r="AU22" s="13">
        <f>+IFERROR(VLOOKUP($AU$17,Sheet1!AH8:AK8,3,0),0)</f>
        <v>0</v>
      </c>
      <c r="AV22" s="13">
        <f>+IFERROR(VLOOKUP($AV$17,Sheet1!AH8:AK8,3,0),0)</f>
        <v>0</v>
      </c>
      <c r="AW22" s="13">
        <f>+IFERROR(VLOOKUP($AW$17,Sheet1!AH8:AK8,3,0),0)</f>
        <v>0</v>
      </c>
      <c r="AX22" s="13">
        <f>+IFERROR(VLOOKUP($AX$17,Sheet1!AH8:AK8,3,0),0)</f>
        <v>0</v>
      </c>
      <c r="AY22" s="13">
        <f>+IFERROR(VLOOKUP($AY$17,Sheet1!AH8:AK8,3,0),0)</f>
        <v>0</v>
      </c>
      <c r="AZ22" s="13">
        <f>+IFERROR(VLOOKUP($AZ$17,Sheet1!AH8:AK8,3,0),0)</f>
        <v>0</v>
      </c>
      <c r="BA22" s="146">
        <v>2605</v>
      </c>
      <c r="BB22" s="13">
        <f>+IFERROR(VLOOKUP($BB$17,Sheet1!AH8:AK8,3,0),0)</f>
        <v>0</v>
      </c>
      <c r="BC22" s="13">
        <f>+IFERROR(VLOOKUP($BC$17,Sheet1!AL8:AO8,3,0),0)</f>
        <v>0</v>
      </c>
      <c r="BD22" s="13">
        <f>+IFERROR(VLOOKUP($BD$17,Sheet1!AL8:AO8,3,0),0)</f>
        <v>0</v>
      </c>
      <c r="BE22" s="13">
        <f>+IFERROR(VLOOKUP($BE$17,Sheet1!AL8:AO8,3,0),0)</f>
        <v>0</v>
      </c>
      <c r="BF22" s="146">
        <v>812</v>
      </c>
      <c r="BG22" s="13">
        <f>+IFERROR(VLOOKUP($BG$17,Sheet1!AL8:AO8,3,0),0)</f>
        <v>0</v>
      </c>
      <c r="BH22" s="13">
        <f>+IFERROR(VLOOKUP($BH$17,Sheet1!AL8:AO8,3,0),0)</f>
        <v>0</v>
      </c>
      <c r="BI22" s="13">
        <f>+IFERROR(VLOOKUP($BI$17,Sheet1!AL8:AO8,3,0),0)</f>
        <v>0</v>
      </c>
      <c r="BJ22" s="13">
        <f>+IFERROR(VLOOKUP($BJ$17,Sheet1!AL8:AO8,3,0),0)</f>
        <v>0</v>
      </c>
      <c r="BK22" s="13">
        <f>+IFERROR(VLOOKUP($BK$17,Sheet1!AL8:AO8,3,0),0)</f>
        <v>0</v>
      </c>
      <c r="BL22" s="146">
        <v>567</v>
      </c>
      <c r="BM22" s="13">
        <f>+IFERROR(VLOOKUP($BM$17,Sheet1!AP8:AS8,3,0),0)</f>
        <v>0</v>
      </c>
      <c r="BN22" s="146">
        <v>18</v>
      </c>
      <c r="BO22" s="13">
        <f>+IFERROR(VLOOKUP($BO$17,Sheet1!AX8:BA8,3,0),0)</f>
        <v>0</v>
      </c>
      <c r="BP22" s="146">
        <v>67</v>
      </c>
      <c r="BQ22" s="13">
        <f>+IFERROR(VLOOKUP($BQ$17,Sheet1!BF8:BI8,3,0),0)</f>
        <v>0</v>
      </c>
      <c r="BR22" s="13">
        <f>+IFERROR(VLOOKUP($BR$17,Sheet1!BJ8:BM8,3,0),0)</f>
        <v>0</v>
      </c>
      <c r="BS22" s="13">
        <f>+IFERROR(VLOOKUP($BS$17,Sheet1!BN8:BQ8,3,0),0)</f>
        <v>0</v>
      </c>
      <c r="BT22" s="146">
        <v>44</v>
      </c>
      <c r="BU22" s="13">
        <f>+IFERROR(VLOOKUP($BU$17,Sheet1!BV8:BY8,3,0),0)</f>
        <v>0</v>
      </c>
      <c r="BV22" s="13" t="str">
        <f>Sheet1!E8</f>
        <v>STEEL</v>
      </c>
      <c r="BW22" s="13" t="s">
        <v>209</v>
      </c>
      <c r="BX22" s="146" t="s">
        <v>210</v>
      </c>
      <c r="BY22" s="146">
        <f>Sheet1!CX8</f>
        <v>250</v>
      </c>
      <c r="BZ22" s="3">
        <f>17600/0.25</f>
        <v>70400</v>
      </c>
      <c r="CA22" s="3">
        <f t="shared" si="5"/>
        <v>1112525</v>
      </c>
      <c r="CB22" s="23">
        <v>0.01</v>
      </c>
      <c r="CC22" s="3">
        <f t="shared" si="6"/>
        <v>11125.25</v>
      </c>
      <c r="CD22" s="44">
        <v>0.25</v>
      </c>
      <c r="CE22" s="3">
        <f t="shared" si="7"/>
        <v>278131.25</v>
      </c>
      <c r="CF22" s="44">
        <f>Sheet1!CF8</f>
        <v>0</v>
      </c>
      <c r="CG22" s="3">
        <f t="shared" si="8"/>
        <v>0</v>
      </c>
      <c r="CH22" s="3">
        <f t="shared" si="9"/>
        <v>1401781.5</v>
      </c>
      <c r="CI22" s="44">
        <v>0.02</v>
      </c>
      <c r="CJ22" s="151">
        <f t="shared" si="10"/>
        <v>28035.63</v>
      </c>
      <c r="CK22" s="44">
        <v>0.01</v>
      </c>
      <c r="CL22" s="1">
        <f t="shared" si="11"/>
        <v>14017.815000000001</v>
      </c>
    </row>
    <row r="23" spans="1:90" ht="25.5" x14ac:dyDescent="0.25">
      <c r="A23" s="1" t="str">
        <f>Sheet1!A9</f>
        <v>ENQ-15138-22-23</v>
      </c>
      <c r="B23" s="47">
        <f>Sheet1!B9</f>
        <v>45627</v>
      </c>
      <c r="C23" s="1" t="str">
        <f>Sheet1!C9</f>
        <v>FA1300197</v>
      </c>
      <c r="D23" s="145" t="str">
        <f>Sheet1!D9</f>
        <v>3 CORE X 120 SQ. MM. AL/ARM - WIRE (XLPE) - 11 KV</v>
      </c>
      <c r="E23" s="3">
        <f t="shared" si="0"/>
        <v>1297921.9931999999</v>
      </c>
      <c r="F23" s="151">
        <f t="shared" si="12"/>
        <v>32500</v>
      </c>
      <c r="G23" s="9">
        <f t="shared" si="1"/>
        <v>1330421.9931999999</v>
      </c>
      <c r="H23" s="7">
        <f>Sheet1!CP9</f>
        <v>0.18</v>
      </c>
      <c r="I23" s="9">
        <f t="shared" si="2"/>
        <v>239475.95877599998</v>
      </c>
      <c r="J23" s="9">
        <f t="shared" si="3"/>
        <v>1569897.9519759999</v>
      </c>
      <c r="K23" s="1">
        <f>Sheet1!CS9</f>
        <v>10</v>
      </c>
      <c r="L23" s="1" t="str">
        <f>Sheet1!CT9</f>
        <v>KMS</v>
      </c>
      <c r="M23" s="3">
        <f t="shared" si="4"/>
        <v>15698979.519759998</v>
      </c>
      <c r="N23" s="2">
        <f>+IFERROR(VLOOKUP($N$17,Sheet1!J9:L9,3,0),0)</f>
        <v>972</v>
      </c>
      <c r="O23" s="2">
        <f>+IFERROR(VLOOKUP($O$17,Sheet1!J9:L9,3,0),0)</f>
        <v>0</v>
      </c>
      <c r="P23" s="2">
        <f>+IFERROR(VLOOKUP($P$17,Sheet1!J9:M9,3,0),0)</f>
        <v>0</v>
      </c>
      <c r="Q23" s="2">
        <f>+IFERROR(VLOOKUP($Q$17,Sheet1!J9:M9,3,0),0)</f>
        <v>0</v>
      </c>
      <c r="R23" s="2">
        <f>+IFERROR(VLOOKUP($R$17,Sheet1!J9:M9,3,0),0)</f>
        <v>0</v>
      </c>
      <c r="S23" s="2">
        <f>+IFERROR(VLOOKUP($S$17,Sheet1!N9:Q9,3,0),0)</f>
        <v>0</v>
      </c>
      <c r="T23" s="2">
        <f>+IFERROR(VLOOKUP($T$17,Sheet1!N9:Q9,3,0),0)</f>
        <v>0</v>
      </c>
      <c r="U23" s="2">
        <f>+IFERROR(VLOOKUP($U$17,Sheet1!F9:I9,3,0),0)</f>
        <v>0</v>
      </c>
      <c r="V23" s="2">
        <f>+IFERROR(VLOOKUP($V$17,Sheet1!F9:I9,3,0),0)</f>
        <v>0</v>
      </c>
      <c r="W23" s="2">
        <f>+IFERROR(VLOOKUP($W$17,Sheet1!F9:I9,3,0),0)</f>
        <v>0</v>
      </c>
      <c r="X23" s="2">
        <f>+IFERROR(VLOOKUP($X$17,Sheet1!F9:I9,3,0),0)</f>
        <v>0</v>
      </c>
      <c r="Y23" s="149">
        <v>123</v>
      </c>
      <c r="Z23" s="2">
        <f>+IFERROR(VLOOKUP($Z$17,Sheet1!F9:I9,3,0),0)</f>
        <v>0</v>
      </c>
      <c r="AA23" s="2">
        <f>+IFERROR(VLOOKUP($AA$17,Sheet1!F9:I9,3,0),0)</f>
        <v>0</v>
      </c>
      <c r="AB23" s="2">
        <f>+IFERROR(VLOOKUP($AB$17,Sheet1!F9:I9,3,0),0)</f>
        <v>0</v>
      </c>
      <c r="AC23" s="149">
        <v>332</v>
      </c>
      <c r="AD23" s="13">
        <f>+IFERROR(VLOOKUP($AD$17,Sheet1!R9:U9,2,0),0)</f>
        <v>0</v>
      </c>
      <c r="AE23" s="149">
        <v>593</v>
      </c>
      <c r="AF23" s="13">
        <f>+IFERROR(VLOOKUP($AF$17,Sheet1!V9:Y9,3,0),0)</f>
        <v>0</v>
      </c>
      <c r="AG23" s="13">
        <f>+IFERROR(VLOOKUP($AG$17,Sheet1!V9:Y9,3,0),0)</f>
        <v>0</v>
      </c>
      <c r="AH23" s="13">
        <f>+IFERROR(VLOOKUP($AH$17,Sheet1!V9:Y9,3,0),0)</f>
        <v>0</v>
      </c>
      <c r="AI23" s="13">
        <f>+IFERROR(VLOOKUP($AI$17,Sheet1!V9:Y9,3,0),0)</f>
        <v>0</v>
      </c>
      <c r="AJ23" s="13">
        <f>+IFERROR(VLOOKUP($AJ$17,Sheet1!V9:Y9,3,0),0)</f>
        <v>0</v>
      </c>
      <c r="AK23" s="13">
        <f>+IFERROR(VLOOKUP($AK$17,Sheet1!Z9:AB9,3,0),0)</f>
        <v>0</v>
      </c>
      <c r="AL23" s="13">
        <f>+IFERROR(VLOOKUP($AL$17,Sheet1!AD9:AG9,3,0),0)</f>
        <v>0</v>
      </c>
      <c r="AM23" s="13">
        <f>+IFERROR(VLOOKUP($AM$17,Sheet1!AD9:AG9,3,0),0)</f>
        <v>0</v>
      </c>
      <c r="AN23" s="13">
        <f>+IFERROR(VLOOKUP($AN$17,Sheet1!AD9:AG9,3,0),0)</f>
        <v>0</v>
      </c>
      <c r="AO23" s="13">
        <f>+IFERROR(VLOOKUP($AO$17,Sheet1!AD9:AG9,3,0),0)</f>
        <v>0</v>
      </c>
      <c r="AP23" s="13">
        <f>+IFERROR(VLOOKUP($AP$17,Sheet1!AD9:AG9,3,0),0)</f>
        <v>0</v>
      </c>
      <c r="AQ23" s="146">
        <v>550</v>
      </c>
      <c r="AR23" s="13"/>
      <c r="AS23" s="13">
        <f>+IFERROR(VLOOKUP($AS$17,Sheet1!AH9:AK9,3,0),0)</f>
        <v>0</v>
      </c>
      <c r="AT23" s="13">
        <f>+IFERROR(VLOOKUP($AT$17,Sheet1!AH9:AK9,3,0),0)</f>
        <v>0</v>
      </c>
      <c r="AU23" s="13">
        <f>+IFERROR(VLOOKUP($AU$17,Sheet1!AH9:AK9,3,0),0)</f>
        <v>0</v>
      </c>
      <c r="AV23" s="13">
        <f>+IFERROR(VLOOKUP($AV$17,Sheet1!AH9:AK9,3,0),0)</f>
        <v>0</v>
      </c>
      <c r="AW23" s="13">
        <f>+IFERROR(VLOOKUP($AW$17,Sheet1!AH9:AK9,3,0),0)</f>
        <v>0</v>
      </c>
      <c r="AX23" s="13">
        <f>+IFERROR(VLOOKUP($AX$17,Sheet1!AH9:AK9,3,0),0)</f>
        <v>0</v>
      </c>
      <c r="AY23" s="13">
        <f>+IFERROR(VLOOKUP($AY$17,Sheet1!AH9:AK9,3,0),0)</f>
        <v>0</v>
      </c>
      <c r="AZ23" s="13">
        <f>+IFERROR(VLOOKUP($AZ$17,Sheet1!AH9:AK9,3,0),0)</f>
        <v>0</v>
      </c>
      <c r="BA23" s="146">
        <v>2485</v>
      </c>
      <c r="BB23" s="13">
        <f>+IFERROR(VLOOKUP($BB$17,Sheet1!AH9:AK9,3,0),0)</f>
        <v>0</v>
      </c>
      <c r="BC23" s="13">
        <f>+IFERROR(VLOOKUP($BC$17,Sheet1!AL9:AO9,3,0),0)</f>
        <v>0</v>
      </c>
      <c r="BD23" s="13">
        <f>+IFERROR(VLOOKUP($BD$17,Sheet1!AL9:AO9,3,0),0)</f>
        <v>0</v>
      </c>
      <c r="BE23" s="13">
        <f>+IFERROR(VLOOKUP($BE$17,Sheet1!AL9:AO9,3,0),0)</f>
        <v>0</v>
      </c>
      <c r="BF23" s="146">
        <v>726</v>
      </c>
      <c r="BG23" s="13">
        <f>+IFERROR(VLOOKUP($BG$17,Sheet1!AL9:AO9,3,0),0)</f>
        <v>0</v>
      </c>
      <c r="BH23" s="13">
        <f>+IFERROR(VLOOKUP($BH$17,Sheet1!AL9:AO9,3,0),0)</f>
        <v>0</v>
      </c>
      <c r="BI23" s="13">
        <f>+IFERROR(VLOOKUP($BI$17,Sheet1!AL9:AO9,3,0),0)</f>
        <v>0</v>
      </c>
      <c r="BJ23" s="13">
        <f>+IFERROR(VLOOKUP($BJ$17,Sheet1!AL9:AO9,3,0),0)</f>
        <v>0</v>
      </c>
      <c r="BK23" s="13">
        <f>+IFERROR(VLOOKUP($BK$17,Sheet1!AL9:AO9,3,0),0)</f>
        <v>0</v>
      </c>
      <c r="BL23" s="146">
        <v>503</v>
      </c>
      <c r="BM23" s="13">
        <f>+IFERROR(VLOOKUP($BM$17,Sheet1!AP9:AS9,3,0),0)</f>
        <v>0</v>
      </c>
      <c r="BN23" s="146">
        <v>17</v>
      </c>
      <c r="BO23" s="13">
        <f>+IFERROR(VLOOKUP($BO$17,Sheet1!AX9:BA9,3,0),0)</f>
        <v>0</v>
      </c>
      <c r="BP23" s="146">
        <v>62</v>
      </c>
      <c r="BQ23" s="13">
        <f>+IFERROR(VLOOKUP($BQ$17,Sheet1!BF9:BI9,3,0),0)</f>
        <v>0</v>
      </c>
      <c r="BR23" s="13">
        <f>+IFERROR(VLOOKUP($BR$17,Sheet1!BJ9:BM9,3,0),0)</f>
        <v>0</v>
      </c>
      <c r="BS23" s="13">
        <f>+IFERROR(VLOOKUP($BS$17,Sheet1!BN9:BQ9,3,0),0)</f>
        <v>0</v>
      </c>
      <c r="BT23" s="146">
        <v>42</v>
      </c>
      <c r="BU23" s="13">
        <f>+IFERROR(VLOOKUP($BU$17,Sheet1!BV9:BY9,3,0),0)</f>
        <v>0</v>
      </c>
      <c r="BV23" s="13" t="str">
        <f>Sheet1!E9</f>
        <v>STEEL</v>
      </c>
      <c r="BW23" s="13" t="str">
        <f>Sheet1!CV9</f>
        <v>SP0400118</v>
      </c>
      <c r="BX23" s="146" t="str">
        <f>Sheet1!CW9</f>
        <v>CORRUGATED DISPATCH STEEL DRUM 1700 X 1000 X 1200</v>
      </c>
      <c r="BY23" s="146">
        <f>Sheet1!CX9</f>
        <v>250</v>
      </c>
      <c r="BZ23" s="3">
        <f>17600/0.25</f>
        <v>70400</v>
      </c>
      <c r="CA23" s="3">
        <f t="shared" si="5"/>
        <v>1000094</v>
      </c>
      <c r="CB23" s="23">
        <v>0.01</v>
      </c>
      <c r="CC23" s="3">
        <f t="shared" si="6"/>
        <v>10000.94</v>
      </c>
      <c r="CD23" s="44">
        <v>0.25</v>
      </c>
      <c r="CE23" s="3">
        <f t="shared" si="7"/>
        <v>250023.5</v>
      </c>
      <c r="CF23" s="44">
        <f>Sheet1!CF9</f>
        <v>0</v>
      </c>
      <c r="CG23" s="3">
        <f t="shared" si="8"/>
        <v>0</v>
      </c>
      <c r="CH23" s="3">
        <f t="shared" si="9"/>
        <v>1260118.44</v>
      </c>
      <c r="CI23" s="44">
        <v>0.02</v>
      </c>
      <c r="CJ23" s="151">
        <f t="shared" si="10"/>
        <v>25202.3688</v>
      </c>
      <c r="CK23" s="44">
        <v>0.01</v>
      </c>
      <c r="CL23" s="1">
        <f t="shared" si="11"/>
        <v>12601.1844</v>
      </c>
    </row>
    <row r="24" spans="1:90" ht="25.5" x14ac:dyDescent="0.25">
      <c r="A24" s="1" t="str">
        <f>Sheet1!A10</f>
        <v>ENQ-15138-22-23</v>
      </c>
      <c r="B24" s="47">
        <f>Sheet1!B10</f>
        <v>45627</v>
      </c>
      <c r="C24" s="1" t="str">
        <f>Sheet1!C10</f>
        <v>FA1300088</v>
      </c>
      <c r="D24" s="145" t="str">
        <f>Sheet1!D10</f>
        <v>3 CORE X 95 SQ. MM. AL/ARM - WIRE (XLPE) - 11 KV (E)</v>
      </c>
      <c r="E24" s="3">
        <f t="shared" si="0"/>
        <v>1162904.0724000002</v>
      </c>
      <c r="F24" s="151">
        <f t="shared" si="12"/>
        <v>33914</v>
      </c>
      <c r="G24" s="9">
        <f t="shared" si="1"/>
        <v>1196818.0724000002</v>
      </c>
      <c r="H24" s="7">
        <f>Sheet1!CP10</f>
        <v>0.18</v>
      </c>
      <c r="I24" s="9">
        <f t="shared" si="2"/>
        <v>215427.25303200004</v>
      </c>
      <c r="J24" s="9">
        <f t="shared" si="3"/>
        <v>1412245.3254320002</v>
      </c>
      <c r="K24" s="1">
        <f>Sheet1!CS10</f>
        <v>23</v>
      </c>
      <c r="L24" s="1" t="str">
        <f>Sheet1!CT10</f>
        <v>KMS</v>
      </c>
      <c r="M24" s="3">
        <f t="shared" si="4"/>
        <v>32481642.484936006</v>
      </c>
      <c r="N24" s="2">
        <f>+IFERROR(VLOOKUP($N$17,Sheet1!J10:L10,3,0),0)</f>
        <v>770</v>
      </c>
      <c r="O24" s="2">
        <f>+IFERROR(VLOOKUP($O$17,Sheet1!J10:L10,3,0),0)</f>
        <v>0</v>
      </c>
      <c r="P24" s="2">
        <f>+IFERROR(VLOOKUP($P$17,Sheet1!J10:M10,3,0),0)</f>
        <v>0</v>
      </c>
      <c r="Q24" s="2">
        <f>+IFERROR(VLOOKUP($Q$17,Sheet1!J10:M10,3,0),0)</f>
        <v>0</v>
      </c>
      <c r="R24" s="2">
        <f>+IFERROR(VLOOKUP($R$17,Sheet1!J10:M10,3,0),0)</f>
        <v>0</v>
      </c>
      <c r="S24" s="2">
        <f>+IFERROR(VLOOKUP($S$17,Sheet1!N10:Q10,3,0),0)</f>
        <v>0</v>
      </c>
      <c r="T24" s="2">
        <f>+IFERROR(VLOOKUP($T$17,Sheet1!N10:Q10,3,0),0)</f>
        <v>0</v>
      </c>
      <c r="U24" s="2">
        <f>+IFERROR(VLOOKUP($U$17,Sheet1!F10:I10,3,0),0)</f>
        <v>0</v>
      </c>
      <c r="V24" s="2">
        <f>+IFERROR(VLOOKUP($V$17,Sheet1!F10:I10,3,0),0)</f>
        <v>0</v>
      </c>
      <c r="W24" s="2">
        <f>+IFERROR(VLOOKUP($W$17,Sheet1!F10:I10,3,0),0)</f>
        <v>0</v>
      </c>
      <c r="X24" s="2">
        <f>+IFERROR(VLOOKUP($X$17,Sheet1!F10:I10,3,0),0)</f>
        <v>0</v>
      </c>
      <c r="Y24" s="149">
        <v>115</v>
      </c>
      <c r="Z24" s="2">
        <f>+IFERROR(VLOOKUP($Z$17,Sheet1!F10:I10,3,0),0)</f>
        <v>0</v>
      </c>
      <c r="AA24" s="2">
        <f>+IFERROR(VLOOKUP($AA$17,Sheet1!F10:I10,3,0),0)</f>
        <v>0</v>
      </c>
      <c r="AB24" s="2">
        <f>+IFERROR(VLOOKUP($AB$17,Sheet1!F10:I10,3,0),0)</f>
        <v>0</v>
      </c>
      <c r="AC24" s="149">
        <v>304</v>
      </c>
      <c r="AD24" s="13">
        <f>+IFERROR(VLOOKUP($AD$17,Sheet1!R10:U10,2,0),0)</f>
        <v>0</v>
      </c>
      <c r="AE24" s="149">
        <v>542</v>
      </c>
      <c r="AF24" s="13">
        <f>+IFERROR(VLOOKUP($AF$17,Sheet1!V10:Y10,3,0),0)</f>
        <v>0</v>
      </c>
      <c r="AG24" s="13">
        <f>+IFERROR(VLOOKUP($AG$17,Sheet1!V10:Y10,3,0),0)</f>
        <v>0</v>
      </c>
      <c r="AH24" s="13">
        <f>+IFERROR(VLOOKUP($AH$17,Sheet1!V10:Y10,3,0),0)</f>
        <v>0</v>
      </c>
      <c r="AI24" s="13">
        <f>+IFERROR(VLOOKUP($AI$17,Sheet1!V10:Y10,3,0),0)</f>
        <v>0</v>
      </c>
      <c r="AJ24" s="13">
        <f>+IFERROR(VLOOKUP($AJ$17,Sheet1!V10:Y10,3,0),0)</f>
        <v>0</v>
      </c>
      <c r="AK24" s="13">
        <f>+IFERROR(VLOOKUP($AK$17,Sheet1!Z10:AB10,3,0),0)</f>
        <v>0</v>
      </c>
      <c r="AL24" s="13">
        <f>+IFERROR(VLOOKUP($AL$17,Sheet1!AD10:AG10,3,0),0)</f>
        <v>0</v>
      </c>
      <c r="AM24" s="13">
        <f>+IFERROR(VLOOKUP($AM$17,Sheet1!AD10:AG10,3,0),0)</f>
        <v>0</v>
      </c>
      <c r="AN24" s="13">
        <f>+IFERROR(VLOOKUP($AN$17,Sheet1!AD10:AG10,3,0),0)</f>
        <v>0</v>
      </c>
      <c r="AO24" s="13">
        <f>+IFERROR(VLOOKUP($AO$17,Sheet1!AD10:AG10,3,0),0)</f>
        <v>0</v>
      </c>
      <c r="AP24" s="13">
        <f>+IFERROR(VLOOKUP($AP$17,Sheet1!AD10:AG10,3,0),0)</f>
        <v>0</v>
      </c>
      <c r="AQ24" s="146">
        <v>523</v>
      </c>
      <c r="AR24" s="13">
        <v>0</v>
      </c>
      <c r="AS24" s="13">
        <f>+IFERROR(VLOOKUP($AS$17,Sheet1!AH10:AK10,3,0),0)</f>
        <v>0</v>
      </c>
      <c r="AT24" s="13">
        <f>+IFERROR(VLOOKUP($AT$17,Sheet1!AH10:AK10,3,0),0)</f>
        <v>0</v>
      </c>
      <c r="AU24" s="13">
        <f>+IFERROR(VLOOKUP($AU$17,Sheet1!AH10:AK10,3,0),0)</f>
        <v>0</v>
      </c>
      <c r="AV24" s="13">
        <f>+IFERROR(VLOOKUP($AV$17,Sheet1!AH10:AK10,3,0),0)</f>
        <v>0</v>
      </c>
      <c r="AW24" s="13">
        <f>+IFERROR(VLOOKUP($AW$17,Sheet1!AH10:AK10,3,0),0)</f>
        <v>0</v>
      </c>
      <c r="AX24" s="13">
        <f>+IFERROR(VLOOKUP($AX$17,Sheet1!AH10:AK10,3,0),0)</f>
        <v>0</v>
      </c>
      <c r="AY24" s="13">
        <f>+IFERROR(VLOOKUP($AY$17,Sheet1!AH10:AK10,3,0),0)</f>
        <v>0</v>
      </c>
      <c r="AZ24" s="13">
        <f>+IFERROR(VLOOKUP($AZ$17,Sheet1!AH10:AK10,3,0),0)</f>
        <v>0</v>
      </c>
      <c r="BA24" s="146">
        <v>2324</v>
      </c>
      <c r="BB24" s="13">
        <f>+IFERROR(VLOOKUP($BB$17,Sheet1!AH10:AK10,3,0),0)</f>
        <v>0</v>
      </c>
      <c r="BC24" s="13">
        <f>+IFERROR(VLOOKUP($BC$17,Sheet1!AL10:AO10,3,0),0)</f>
        <v>0</v>
      </c>
      <c r="BD24" s="13">
        <f>+IFERROR(VLOOKUP($BD$17,Sheet1!AL10:AO10,3,0),0)</f>
        <v>0</v>
      </c>
      <c r="BE24" s="13">
        <f>+IFERROR(VLOOKUP($BE$17,Sheet1!AL10:AO10,3,0),0)</f>
        <v>0</v>
      </c>
      <c r="BF24" s="146">
        <v>685</v>
      </c>
      <c r="BG24" s="13">
        <f>+IFERROR(VLOOKUP($BG$17,Sheet1!AL10:AO10,3,0),0)</f>
        <v>0</v>
      </c>
      <c r="BH24" s="13">
        <f>+IFERROR(VLOOKUP($BH$17,Sheet1!AL10:AO10,3,0),0)</f>
        <v>0</v>
      </c>
      <c r="BI24" s="13">
        <f>+IFERROR(VLOOKUP($BI$17,Sheet1!AL10:AO10,3,0),0)</f>
        <v>0</v>
      </c>
      <c r="BJ24" s="13">
        <f>+IFERROR(VLOOKUP($BJ$17,Sheet1!AL10:AO10,3,0),0)</f>
        <v>0</v>
      </c>
      <c r="BK24" s="13">
        <f>+IFERROR(VLOOKUP($BK$17,Sheet1!AL10:AO10,3,0),0)</f>
        <v>0</v>
      </c>
      <c r="BL24" s="146">
        <v>418</v>
      </c>
      <c r="BM24" s="13">
        <v>0</v>
      </c>
      <c r="BN24" s="146">
        <v>15</v>
      </c>
      <c r="BO24" s="13">
        <f>+IFERROR(VLOOKUP($BO$17,Sheet1!AX10:BA10,3,0),0)</f>
        <v>0</v>
      </c>
      <c r="BP24" s="146">
        <v>57</v>
      </c>
      <c r="BQ24" s="13">
        <f>+IFERROR(VLOOKUP($BQ$17,Sheet1!BF10:BI10,3,0),0)</f>
        <v>0</v>
      </c>
      <c r="BR24" s="13">
        <f>+IFERROR(VLOOKUP($BR$17,Sheet1!BJ10:BM10,3,0),0)</f>
        <v>0</v>
      </c>
      <c r="BS24" s="13">
        <f>+IFERROR(VLOOKUP($BS$17,Sheet1!BN10:BQ10,3,0),0)</f>
        <v>0</v>
      </c>
      <c r="BT24" s="146">
        <v>40</v>
      </c>
      <c r="BU24" s="13">
        <f>+IFERROR(VLOOKUP($BU$17,Sheet1!BV10:BY10,3,0),0)</f>
        <v>0</v>
      </c>
      <c r="BV24" s="13" t="str">
        <f>Sheet1!E10</f>
        <v>STEEL</v>
      </c>
      <c r="BW24" s="13" t="str">
        <f>Sheet1!CV10</f>
        <v>SP0400110</v>
      </c>
      <c r="BX24" s="146" t="str">
        <f>Sheet1!CW10</f>
        <v>CORRUGATED DISPATCH STEEL DRUM 1600 X 900 X 1000 MM</v>
      </c>
      <c r="BY24" s="146">
        <f>Sheet1!CX10</f>
        <v>250</v>
      </c>
      <c r="BZ24" s="3">
        <f>17200/0.25</f>
        <v>68800</v>
      </c>
      <c r="CA24" s="3">
        <f t="shared" si="5"/>
        <v>896058</v>
      </c>
      <c r="CB24" s="23">
        <v>0.01</v>
      </c>
      <c r="CC24" s="3">
        <f t="shared" si="6"/>
        <v>8960.58</v>
      </c>
      <c r="CD24" s="44">
        <v>0.25</v>
      </c>
      <c r="CE24" s="3">
        <f t="shared" si="7"/>
        <v>224014.5</v>
      </c>
      <c r="CF24" s="44">
        <f>Sheet1!CF10</f>
        <v>0</v>
      </c>
      <c r="CG24" s="3">
        <f t="shared" si="8"/>
        <v>0</v>
      </c>
      <c r="CH24" s="3">
        <f t="shared" si="9"/>
        <v>1129033.08</v>
      </c>
      <c r="CI24" s="44">
        <v>0.02</v>
      </c>
      <c r="CJ24" s="151">
        <f t="shared" si="10"/>
        <v>22580.661600000003</v>
      </c>
      <c r="CK24" s="44">
        <v>0.01</v>
      </c>
      <c r="CL24" s="1">
        <f t="shared" si="11"/>
        <v>11290.330800000002</v>
      </c>
    </row>
    <row r="25" spans="1:90" ht="25.5" x14ac:dyDescent="0.25">
      <c r="A25" s="1" t="str">
        <f>Sheet1!A19</f>
        <v>ENQ-15138-22-23</v>
      </c>
      <c r="B25" s="47">
        <f>Sheet1!B19</f>
        <v>45627</v>
      </c>
      <c r="C25" s="1" t="str">
        <f>Sheet1!C19</f>
        <v>FA1300313</v>
      </c>
      <c r="D25" s="145" t="str">
        <f>Sheet1!D19</f>
        <v>3 CORE X 50 SQ. MM. AL/ARD - WIRE (XLPE) - 11 KV</v>
      </c>
      <c r="E25" s="3">
        <f t="shared" si="0"/>
        <v>892612.56420000002</v>
      </c>
      <c r="F25" s="151">
        <f t="shared" si="12"/>
        <v>26000</v>
      </c>
      <c r="G25" s="9">
        <f t="shared" si="1"/>
        <v>918612.56420000002</v>
      </c>
      <c r="H25" s="7">
        <f>Sheet1!CP19</f>
        <v>0.18</v>
      </c>
      <c r="I25" s="9">
        <f t="shared" si="2"/>
        <v>165350.26155600001</v>
      </c>
      <c r="J25" s="9">
        <f t="shared" si="3"/>
        <v>1083962.8257560001</v>
      </c>
      <c r="K25" s="1">
        <f>Sheet1!CS19</f>
        <v>7.5</v>
      </c>
      <c r="L25" s="1" t="str">
        <f>Sheet1!CT19</f>
        <v>KMS</v>
      </c>
      <c r="M25" s="3">
        <f t="shared" si="4"/>
        <v>8129721.1931700008</v>
      </c>
      <c r="N25" s="149">
        <v>405</v>
      </c>
      <c r="O25" s="2">
        <f>+IFERROR(VLOOKUP($O$17,Sheet1!J19:L19,3,0),0)</f>
        <v>0</v>
      </c>
      <c r="P25" s="2">
        <f>+IFERROR(VLOOKUP($P$17,Sheet1!J19:M19,3,0),0)</f>
        <v>0</v>
      </c>
      <c r="Q25" s="2">
        <f>+IFERROR(VLOOKUP($Q$17,Sheet1!J19:M19,3,0),0)</f>
        <v>0</v>
      </c>
      <c r="R25" s="2">
        <f>+IFERROR(VLOOKUP($R$17,Sheet1!J19:M19,3,0),0)</f>
        <v>0</v>
      </c>
      <c r="S25" s="2">
        <f>+IFERROR(VLOOKUP($S$17,Sheet1!N19:Q19,3,0),0)</f>
        <v>0</v>
      </c>
      <c r="T25" s="2">
        <f>+IFERROR(VLOOKUP($T$17,Sheet1!N19:Q19,3,0),0)</f>
        <v>0</v>
      </c>
      <c r="U25" s="2">
        <f>+IFERROR(VLOOKUP($U$17,Sheet1!F19:I19,3,0),0)</f>
        <v>0</v>
      </c>
      <c r="V25" s="2">
        <f>+IFERROR(VLOOKUP($V$17,Sheet1!F19:I19,3,0),0)</f>
        <v>0</v>
      </c>
      <c r="W25" s="2">
        <f>+IFERROR(VLOOKUP($W$17,Sheet1!F19:I19,3,0),0)</f>
        <v>0</v>
      </c>
      <c r="X25" s="2">
        <f>+IFERROR(VLOOKUP($X$17,Sheet1!F19:I19,3,0),0)</f>
        <v>0</v>
      </c>
      <c r="Y25" s="149">
        <v>90</v>
      </c>
      <c r="Z25" s="2">
        <f>+IFERROR(VLOOKUP($Z$17,Sheet1!F19:I19,3,0),0)</f>
        <v>0</v>
      </c>
      <c r="AA25" s="2">
        <f>+IFERROR(VLOOKUP($AA$17,Sheet1!F19:I19,3,0),0)</f>
        <v>0</v>
      </c>
      <c r="AB25" s="2">
        <f>+IFERROR(VLOOKUP($AB$17,Sheet1!F19:I19,3,0),0)</f>
        <v>0</v>
      </c>
      <c r="AC25" s="149">
        <v>181</v>
      </c>
      <c r="AD25" s="13">
        <f>+IFERROR(VLOOKUP($AD$17,Sheet1!R19:U19,2,0),0)</f>
        <v>0</v>
      </c>
      <c r="AE25" s="149">
        <v>445</v>
      </c>
      <c r="AF25" s="13">
        <f>+IFERROR(VLOOKUP($AF$17,Sheet1!V19:Y19,3,0),0)</f>
        <v>0</v>
      </c>
      <c r="AG25" s="13">
        <f>+IFERROR(VLOOKUP($AG$17,Sheet1!V19:Y19,3,0),0)</f>
        <v>0</v>
      </c>
      <c r="AH25" s="13">
        <f>+IFERROR(VLOOKUP($AH$17,Sheet1!V19:Y19,3,0),0)</f>
        <v>0</v>
      </c>
      <c r="AI25" s="13">
        <f>+IFERROR(VLOOKUP($AI$17,Sheet1!V19:Y19,3,0),0)</f>
        <v>0</v>
      </c>
      <c r="AJ25" s="13">
        <f>+IFERROR(VLOOKUP($AJ$17,Sheet1!V19:Y19,3,0),0)</f>
        <v>0</v>
      </c>
      <c r="AK25" s="13">
        <f>+IFERROR(VLOOKUP($AK$17,Sheet1!Z19:AB19,3,0),0)</f>
        <v>0</v>
      </c>
      <c r="AL25" s="13">
        <f>+IFERROR(VLOOKUP($AL$17,Sheet1!AD19:AG19,3,0),0)</f>
        <v>0</v>
      </c>
      <c r="AM25" s="13">
        <f>+IFERROR(VLOOKUP($AM$17,Sheet1!AD19:AG19,3,0),0)</f>
        <v>0</v>
      </c>
      <c r="AN25" s="13">
        <f>+IFERROR(VLOOKUP($AN$17,Sheet1!AD19:AG19,3,0),0)</f>
        <v>0</v>
      </c>
      <c r="AO25" s="13">
        <f>+IFERROR(VLOOKUP($AO$17,Sheet1!AD19:AG19,3,0),0)</f>
        <v>0</v>
      </c>
      <c r="AP25" s="13">
        <f>+IFERROR(VLOOKUP($AP$17,Sheet1!AD19:AG19,3,0),0)</f>
        <v>0</v>
      </c>
      <c r="AQ25" s="146">
        <v>352</v>
      </c>
      <c r="AR25" s="13">
        <f>+IFERROR(VLOOKUP($AR$17,Sheet1!AD19:AG19,3,0),0)</f>
        <v>0</v>
      </c>
      <c r="AS25" s="13">
        <f>+IFERROR(VLOOKUP($AS$17,Sheet1!AH19:AK19,3,0),0)</f>
        <v>0</v>
      </c>
      <c r="AT25" s="13">
        <f>+IFERROR(VLOOKUP($AT$17,Sheet1!AH19:AK19,3,0),0)</f>
        <v>0</v>
      </c>
      <c r="AU25" s="13">
        <f>+IFERROR(VLOOKUP($AU$17,Sheet1!AH19:AK19,3,0),0)</f>
        <v>0</v>
      </c>
      <c r="AV25" s="13">
        <f>+IFERROR(VLOOKUP($AV$17,Sheet1!AH19:AK19,3,0),0)</f>
        <v>0</v>
      </c>
      <c r="AW25" s="13">
        <f>+IFERROR(VLOOKUP($AW$17,Sheet1!AH19:AK19,3,0),0)</f>
        <v>0</v>
      </c>
      <c r="AX25" s="13">
        <f>+IFERROR(VLOOKUP($AX$17,Sheet1!AH19:AK19,3,0),0)</f>
        <v>0</v>
      </c>
      <c r="AY25" s="13">
        <f>+IFERROR(VLOOKUP($AY$17,Sheet1!AH19:AK19,3,0),0)</f>
        <v>0</v>
      </c>
      <c r="AZ25" s="13">
        <f>+IFERROR(VLOOKUP($AZ$17,Sheet1!AH19:AK19,3,0),0)</f>
        <v>0</v>
      </c>
      <c r="BA25" s="146">
        <v>1964</v>
      </c>
      <c r="BB25" s="13">
        <f>+IFERROR(VLOOKUP($BB$17,Sheet1!AH19:AK19,3,0),0)</f>
        <v>0</v>
      </c>
      <c r="BC25" s="13">
        <f>+IFERROR(VLOOKUP($BC$17,Sheet1!AL19:AO19,3,0),0)</f>
        <v>0</v>
      </c>
      <c r="BD25" s="13">
        <f>+IFERROR(VLOOKUP($BD$17,Sheet1!AL19:AO19,3,0),0)</f>
        <v>0</v>
      </c>
      <c r="BE25" s="13">
        <f>+IFERROR(VLOOKUP($BE$17,Sheet1!AL19:AO19,3,0),0)</f>
        <v>0</v>
      </c>
      <c r="BF25" s="146">
        <v>551</v>
      </c>
      <c r="BG25" s="13">
        <f>+IFERROR(VLOOKUP($BG$17,Sheet1!AL19:AO19,3,0),0)</f>
        <v>0</v>
      </c>
      <c r="BH25" s="13">
        <f>+IFERROR(VLOOKUP($BH$17,Sheet1!AL19:AO19,3,0),0)</f>
        <v>0</v>
      </c>
      <c r="BI25" s="13">
        <f>+IFERROR(VLOOKUP($BI$17,Sheet1!AL19:AO19,3,0),0)</f>
        <v>0</v>
      </c>
      <c r="BJ25" s="13">
        <f>+IFERROR(VLOOKUP($BJ$17,Sheet1!AL19:AO19,3,0),0)</f>
        <v>0</v>
      </c>
      <c r="BK25" s="13">
        <f>+IFERROR(VLOOKUP($BK$17,Sheet1!AL19:AO19,3,0),0)</f>
        <v>0</v>
      </c>
      <c r="BL25" s="146">
        <v>308</v>
      </c>
      <c r="BM25" s="13">
        <f>+IFERROR(VLOOKUP($BM$17,Sheet1!AP19:AS19,3,0),0)</f>
        <v>0</v>
      </c>
      <c r="BN25" s="146">
        <v>10</v>
      </c>
      <c r="BO25" s="13">
        <f>+IFERROR(VLOOKUP($BO$17,Sheet1!AX19:BA19,3,0),0)</f>
        <v>0</v>
      </c>
      <c r="BP25" s="146">
        <v>42</v>
      </c>
      <c r="BQ25" s="13">
        <f>+IFERROR(VLOOKUP($BQ$17,Sheet1!BF19:BI19,3,0),0)</f>
        <v>0</v>
      </c>
      <c r="BR25" s="13">
        <f>+IFERROR(VLOOKUP($BR$17,Sheet1!BJ19:BM19,3,0),0)</f>
        <v>0</v>
      </c>
      <c r="BS25" s="13">
        <f>+IFERROR(VLOOKUP($BS$17,Sheet1!BN19:BQ19,3,0),0)</f>
        <v>0</v>
      </c>
      <c r="BT25" s="146">
        <v>34</v>
      </c>
      <c r="BU25" s="13">
        <f>+IFERROR(VLOOKUP($BU$17,Sheet1!BV19:BY19,3,0),0)</f>
        <v>0</v>
      </c>
      <c r="BV25" s="13" t="s">
        <v>183</v>
      </c>
      <c r="BW25" s="146" t="s">
        <v>252</v>
      </c>
      <c r="BX25" s="146" t="s">
        <v>253</v>
      </c>
      <c r="BY25" s="13">
        <f>Sheet1!CX19</f>
        <v>250</v>
      </c>
      <c r="BZ25" s="3">
        <f>22500/0.25</f>
        <v>90000</v>
      </c>
      <c r="CA25" s="3">
        <f t="shared" si="5"/>
        <v>687789</v>
      </c>
      <c r="CB25" s="23">
        <v>0.01</v>
      </c>
      <c r="CC25" s="3">
        <f t="shared" si="6"/>
        <v>6877.89</v>
      </c>
      <c r="CD25" s="44">
        <v>0.25</v>
      </c>
      <c r="CE25" s="3">
        <f t="shared" si="7"/>
        <v>171947.25</v>
      </c>
      <c r="CF25" s="44">
        <f>Sheet1!CF19</f>
        <v>0</v>
      </c>
      <c r="CG25" s="3">
        <f t="shared" si="8"/>
        <v>0</v>
      </c>
      <c r="CH25" s="3">
        <f t="shared" si="9"/>
        <v>866614.14</v>
      </c>
      <c r="CI25" s="44">
        <v>0.02</v>
      </c>
      <c r="CJ25" s="151">
        <f t="shared" si="10"/>
        <v>17332.282800000001</v>
      </c>
      <c r="CK25" s="44">
        <v>0.01</v>
      </c>
      <c r="CL25" s="1">
        <f t="shared" si="11"/>
        <v>8666.1414000000004</v>
      </c>
    </row>
    <row r="26" spans="1:90" ht="25.5" x14ac:dyDescent="0.25">
      <c r="A26" s="1" t="str">
        <f>Sheet1!A12</f>
        <v>ENQ-15138-22-23</v>
      </c>
      <c r="B26" s="47">
        <f>Sheet1!B12</f>
        <v>45627</v>
      </c>
      <c r="C26" s="1" t="str">
        <f>Sheet1!C12</f>
        <v>FA1300066</v>
      </c>
      <c r="D26" s="145" t="str">
        <f>Sheet1!D12</f>
        <v>1 CORE X 1000 SQ. MM. AL/ARM (XLPE) - 11 KV</v>
      </c>
      <c r="E26" s="3">
        <f t="shared" si="0"/>
        <v>1700227.0152</v>
      </c>
      <c r="F26" s="151">
        <f t="shared" si="12"/>
        <v>65000</v>
      </c>
      <c r="G26" s="9">
        <f t="shared" si="1"/>
        <v>1765227.0152</v>
      </c>
      <c r="H26" s="7">
        <f>Sheet1!CP12</f>
        <v>0.18</v>
      </c>
      <c r="I26" s="9">
        <f t="shared" si="2"/>
        <v>317740.86273599998</v>
      </c>
      <c r="J26" s="9">
        <f t="shared" si="3"/>
        <v>2082967.877936</v>
      </c>
      <c r="K26" s="1">
        <f>Sheet1!CS12</f>
        <v>1</v>
      </c>
      <c r="L26" s="1" t="str">
        <f>Sheet1!CT12</f>
        <v>KMS</v>
      </c>
      <c r="M26" s="3">
        <f t="shared" si="4"/>
        <v>2082967.877936</v>
      </c>
      <c r="N26" s="149">
        <f>+IFERROR(VLOOKUP($N$17,Sheet1!J12:L12,3,0),0)</f>
        <v>2732</v>
      </c>
      <c r="O26" s="2">
        <f>+IFERROR(VLOOKUP($O$17,Sheet1!J12:L12,3,0),0)</f>
        <v>0</v>
      </c>
      <c r="P26" s="2">
        <f>+IFERROR(VLOOKUP($P$17,Sheet1!J12:M12,3,0),0)</f>
        <v>0</v>
      </c>
      <c r="Q26" s="2">
        <f>+IFERROR(VLOOKUP($Q$17,Sheet1!J12:M12,3,0),0)</f>
        <v>0</v>
      </c>
      <c r="R26" s="2">
        <f>+IFERROR(VLOOKUP($R$17,Sheet1!J12:M12,3,0),0)</f>
        <v>0</v>
      </c>
      <c r="S26" s="2">
        <f>+IFERROR(VLOOKUP($S$17,Sheet1!N12:Q12,3,0),0)</f>
        <v>0</v>
      </c>
      <c r="T26" s="2">
        <f>+IFERROR(VLOOKUP($T$17,Sheet1!N12:Q12,3,0),0)</f>
        <v>0</v>
      </c>
      <c r="U26" s="2">
        <f>+IFERROR(VLOOKUP($U$17,Sheet1!F12:I12,3,0),0)</f>
        <v>0</v>
      </c>
      <c r="V26" s="2">
        <f>+IFERROR(VLOOKUP($V$17,Sheet1!F12:I12,3,0),0)</f>
        <v>0</v>
      </c>
      <c r="W26" s="2">
        <f>+IFERROR(VLOOKUP($W$17,Sheet1!F12:I12,3,0),0)</f>
        <v>0</v>
      </c>
      <c r="X26" s="2">
        <f>+IFERROR(VLOOKUP($X$17,Sheet1!F12:I12,3,0),0)</f>
        <v>0</v>
      </c>
      <c r="Y26" s="149">
        <v>84</v>
      </c>
      <c r="Z26" s="2">
        <f>+IFERROR(VLOOKUP($Z$17,Sheet1!F12:I12,3,0),0)</f>
        <v>0</v>
      </c>
      <c r="AA26" s="2">
        <f>+IFERROR(VLOOKUP($AA$17,Sheet1!F12:I12,3,0),0)</f>
        <v>0</v>
      </c>
      <c r="AB26" s="2">
        <f>+IFERROR(VLOOKUP($AB$17,Sheet1!F12:I12,3,0),0)</f>
        <v>0</v>
      </c>
      <c r="AC26" s="149">
        <v>276</v>
      </c>
      <c r="AD26" s="13">
        <f>+IFERROR(VLOOKUP($AD$17,Sheet1!R12:U12,2,0),0)</f>
        <v>0</v>
      </c>
      <c r="AE26" s="149">
        <v>480</v>
      </c>
      <c r="AF26" s="13">
        <f>+IFERROR(VLOOKUP($AF$17,Sheet1!V12:Y12,3,0),0)</f>
        <v>0</v>
      </c>
      <c r="AG26" s="13">
        <f>+IFERROR(VLOOKUP($AG$17,Sheet1!V12:Y12,3,0),0)</f>
        <v>0</v>
      </c>
      <c r="AH26" s="13">
        <f>+IFERROR(VLOOKUP($AH$17,Sheet1!V12:Y12,3,0),0)</f>
        <v>0</v>
      </c>
      <c r="AI26" s="13">
        <f>+IFERROR(VLOOKUP($AI$17,Sheet1!V12:Y12,3,0),0)</f>
        <v>0</v>
      </c>
      <c r="AJ26" s="13">
        <f>+IFERROR(VLOOKUP($AJ$17,Sheet1!V12:Y12,3,0),0)</f>
        <v>0</v>
      </c>
      <c r="AK26" s="146">
        <v>35</v>
      </c>
      <c r="AL26" s="13">
        <f>+IFERROR(VLOOKUP($AL$17,Sheet1!AD12:AG12,3,0),0)</f>
        <v>0</v>
      </c>
      <c r="AM26" s="13">
        <f>+IFERROR(VLOOKUP($AM$17,Sheet1!AD12:AG12,3,0),0)</f>
        <v>0</v>
      </c>
      <c r="AN26" s="13">
        <f>+IFERROR(VLOOKUP($AN$17,Sheet1!AD12:AG12,3,0),0)</f>
        <v>0</v>
      </c>
      <c r="AO26" s="13">
        <f>+IFERROR(VLOOKUP($AO$17,Sheet1!AD12:AG12,3,0),0)</f>
        <v>0</v>
      </c>
      <c r="AP26" s="13">
        <f>+IFERROR(VLOOKUP($AP$17,Sheet1!AD12:AG12,3,0),0)</f>
        <v>0</v>
      </c>
      <c r="AQ26" s="146">
        <v>198</v>
      </c>
      <c r="AR26" s="13">
        <f>+IFERROR(VLOOKUP($AR$17,Sheet1!AD12:AG12,3,0),0)</f>
        <v>0</v>
      </c>
      <c r="AS26" s="13">
        <f>+IFERROR(VLOOKUP($AS$17,Sheet1!AH12:AK12,3,0),0)</f>
        <v>0</v>
      </c>
      <c r="AT26" s="13">
        <f>+IFERROR(VLOOKUP($AT$17,Sheet1!AH12:AK12,3,0),0)</f>
        <v>0</v>
      </c>
      <c r="AU26" s="13">
        <f>+IFERROR(VLOOKUP($AU$17,Sheet1!AH12:AK12,3,0),0)</f>
        <v>0</v>
      </c>
      <c r="AV26" s="146">
        <v>814</v>
      </c>
      <c r="AW26" s="13">
        <f>+IFERROR(VLOOKUP($AW$17,Sheet1!AH12:AK12,3,0),0)</f>
        <v>0</v>
      </c>
      <c r="AX26" s="13">
        <f>+IFERROR(VLOOKUP($AX$17,Sheet1!AH12:AK12,3,0),0)</f>
        <v>0</v>
      </c>
      <c r="AY26" s="13">
        <f>+IFERROR(VLOOKUP($AY$17,Sheet1!AH12:AK12,3,0),0)</f>
        <v>0</v>
      </c>
      <c r="AZ26" s="13">
        <f>+IFERROR(VLOOKUP($AZ$17,Sheet1!AH12:AK12,3,0),0)</f>
        <v>0</v>
      </c>
      <c r="BA26" s="13">
        <f>+IFERROR(VLOOKUP($BA$17,Sheet1!AH12:AK12,3,0),0)</f>
        <v>0</v>
      </c>
      <c r="BB26" s="13">
        <f>+IFERROR(VLOOKUP($BB$17,Sheet1!AH12:AK12,3,0),0)</f>
        <v>0</v>
      </c>
      <c r="BC26" s="13">
        <f>+IFERROR(VLOOKUP($BC$17,Sheet1!AL12:AO12,3,0),0)</f>
        <v>0</v>
      </c>
      <c r="BD26" s="13">
        <f>+IFERROR(VLOOKUP($BD$17,Sheet1!AL12:AO12,3,0),0)</f>
        <v>0</v>
      </c>
      <c r="BE26" s="13">
        <f>+IFERROR(VLOOKUP($BE$17,Sheet1!AL12:AO12,3,0),0)</f>
        <v>0</v>
      </c>
      <c r="BF26" s="146">
        <v>706</v>
      </c>
      <c r="BG26" s="13">
        <f>+IFERROR(VLOOKUP($BG$17,Sheet1!AL12:AO12,3,0),0)</f>
        <v>0</v>
      </c>
      <c r="BH26" s="13">
        <f>+IFERROR(VLOOKUP($BH$17,Sheet1!AL12:AO12,3,0),0)</f>
        <v>0</v>
      </c>
      <c r="BI26" s="13">
        <f>+IFERROR(VLOOKUP($BI$17,Sheet1!AL12:AO12,3,0),0)</f>
        <v>0</v>
      </c>
      <c r="BJ26" s="13">
        <f>+IFERROR(VLOOKUP($BJ$17,Sheet1!AL12:AO12,3,0),0)</f>
        <v>0</v>
      </c>
      <c r="BK26" s="13">
        <f>+IFERROR(VLOOKUP($BK$17,Sheet1!AL12:AO12,3,0),0)</f>
        <v>0</v>
      </c>
      <c r="BL26" s="13">
        <f>+IFERROR(VLOOKUP($BL$17,Sheet1!AL12:AO12,3,0),0)</f>
        <v>0</v>
      </c>
      <c r="BM26" s="13">
        <f>+IFERROR(VLOOKUP($BM$17,Sheet1!AP12:AS12,3,0),0)</f>
        <v>0</v>
      </c>
      <c r="BN26" s="146">
        <v>39</v>
      </c>
      <c r="BO26" s="13">
        <f>+IFERROR(VLOOKUP($BO$17,Sheet1!AX12:BA12,3,0),0)</f>
        <v>0</v>
      </c>
      <c r="BP26" s="146">
        <v>49</v>
      </c>
      <c r="BQ26" s="13">
        <f>+IFERROR(VLOOKUP($BQ$17,Sheet1!BF12:BI12,3,0),0)</f>
        <v>0</v>
      </c>
      <c r="BR26" s="13">
        <f>+IFERROR(VLOOKUP($BR$17,Sheet1!BJ12:BM12,3,0),0)</f>
        <v>0</v>
      </c>
      <c r="BS26" s="13">
        <f>+IFERROR(VLOOKUP($BS$17,Sheet1!BN12:BQ12,3,0),0)</f>
        <v>0</v>
      </c>
      <c r="BT26" s="146">
        <v>42</v>
      </c>
      <c r="BU26" s="13">
        <f>+IFERROR(VLOOKUP($BU$17,Sheet1!BV12:BY12,3,0),0)</f>
        <v>0</v>
      </c>
      <c r="BV26" s="13" t="str">
        <f>Sheet1!E12</f>
        <v>STEEL</v>
      </c>
      <c r="BW26" s="13" t="s">
        <v>217</v>
      </c>
      <c r="BX26" s="146" t="s">
        <v>218</v>
      </c>
      <c r="BY26" s="146">
        <f>Sheet1!CX12</f>
        <v>500</v>
      </c>
      <c r="BZ26" s="3">
        <f>31500/0.5</f>
        <v>63000</v>
      </c>
      <c r="CA26" s="3">
        <f t="shared" si="5"/>
        <v>1310084</v>
      </c>
      <c r="CB26" s="23">
        <v>0.01</v>
      </c>
      <c r="CC26" s="3">
        <f t="shared" si="6"/>
        <v>13100.84</v>
      </c>
      <c r="CD26" s="44">
        <v>0.25</v>
      </c>
      <c r="CE26" s="3">
        <f t="shared" si="7"/>
        <v>327521</v>
      </c>
      <c r="CF26" s="44">
        <f>Sheet1!CF12</f>
        <v>0</v>
      </c>
      <c r="CG26" s="3">
        <f t="shared" si="8"/>
        <v>0</v>
      </c>
      <c r="CH26" s="3">
        <f t="shared" si="9"/>
        <v>1650705.84</v>
      </c>
      <c r="CI26" s="44">
        <v>0.02</v>
      </c>
      <c r="CJ26" s="151">
        <f t="shared" si="10"/>
        <v>33014.116800000003</v>
      </c>
      <c r="CK26" s="44">
        <v>0.01</v>
      </c>
      <c r="CL26" s="1">
        <f t="shared" si="11"/>
        <v>16507.058400000002</v>
      </c>
    </row>
    <row r="27" spans="1:90" ht="25.5" x14ac:dyDescent="0.25">
      <c r="A27" s="1" t="str">
        <f>Sheet1!A15</f>
        <v>ENQ-15138-22-23</v>
      </c>
      <c r="B27" s="47">
        <f>Sheet1!B15</f>
        <v>45627</v>
      </c>
      <c r="C27" s="1" t="str">
        <f>Sheet1!C15</f>
        <v>FA1300016</v>
      </c>
      <c r="D27" s="145" t="str">
        <f>Sheet1!D15</f>
        <v>1 CORE X 630 SQ. MM. AL/ARM (XLPE)  - 11 KV</v>
      </c>
      <c r="E27" s="3">
        <f t="shared" si="0"/>
        <v>1140867.4284000001</v>
      </c>
      <c r="F27" s="151">
        <f t="shared" si="12"/>
        <v>17728</v>
      </c>
      <c r="G27" s="9">
        <f t="shared" si="1"/>
        <v>1158595.4284000001</v>
      </c>
      <c r="H27" s="7">
        <f>Sheet1!CP15</f>
        <v>0.18</v>
      </c>
      <c r="I27" s="9">
        <f t="shared" si="2"/>
        <v>208547.177112</v>
      </c>
      <c r="J27" s="9">
        <f t="shared" si="3"/>
        <v>1367142.6055120002</v>
      </c>
      <c r="K27" s="1">
        <f>Sheet1!CS15</f>
        <v>11</v>
      </c>
      <c r="L27" s="1" t="str">
        <f>Sheet1!CT15</f>
        <v>KMS</v>
      </c>
      <c r="M27" s="3">
        <f t="shared" si="4"/>
        <v>15038568.660632001</v>
      </c>
      <c r="N27" s="149">
        <f>+IFERROR(VLOOKUP($N$17,Sheet1!J15:L15,3,0),0)</f>
        <v>1701</v>
      </c>
      <c r="O27" s="2">
        <f>+IFERROR(VLOOKUP($O$17,Sheet1!J15:L15,3,0),0)</f>
        <v>0</v>
      </c>
      <c r="P27" s="2">
        <f>+IFERROR(VLOOKUP($P$17,Sheet1!J15:M15,3,0),0)</f>
        <v>0</v>
      </c>
      <c r="Q27" s="2">
        <f>+IFERROR(VLOOKUP($Q$17,Sheet1!J15:M15,3,0),0)</f>
        <v>0</v>
      </c>
      <c r="R27" s="2">
        <f>+IFERROR(VLOOKUP($R$17,Sheet1!J15:M15,3,0),0)</f>
        <v>0</v>
      </c>
      <c r="S27" s="2">
        <f>+IFERROR(VLOOKUP($S$17,Sheet1!N15:Q15,3,0),0)</f>
        <v>0</v>
      </c>
      <c r="T27" s="2">
        <f>+IFERROR(VLOOKUP($T$17,Sheet1!N15:Q15,3,0),0)</f>
        <v>0</v>
      </c>
      <c r="U27" s="2">
        <f>+IFERROR(VLOOKUP($U$17,Sheet1!F15:I15,3,0),0)</f>
        <v>0</v>
      </c>
      <c r="V27" s="2">
        <f>+IFERROR(VLOOKUP($V$17,Sheet1!F15:I15,3,0),0)</f>
        <v>0</v>
      </c>
      <c r="W27" s="2">
        <f>+IFERROR(VLOOKUP($W$17,Sheet1!F15:I15,3,0),0)</f>
        <v>0</v>
      </c>
      <c r="X27" s="2">
        <f>+IFERROR(VLOOKUP($X$17,Sheet1!F15:I15,3,0),0)</f>
        <v>0</v>
      </c>
      <c r="Y27" s="149">
        <v>69</v>
      </c>
      <c r="Z27" s="2">
        <f>+IFERROR(VLOOKUP($Z$17,Sheet1!F15:I15,3,0),0)</f>
        <v>0</v>
      </c>
      <c r="AA27" s="2">
        <f>+IFERROR(VLOOKUP($AA$17,Sheet1!F15:I15,3,0),0)</f>
        <v>0</v>
      </c>
      <c r="AB27" s="2">
        <f>+IFERROR(VLOOKUP($AB$17,Sheet1!F15:I15,3,0),0)</f>
        <v>0</v>
      </c>
      <c r="AC27" s="149">
        <v>213</v>
      </c>
      <c r="AD27" s="13">
        <f>+IFERROR(VLOOKUP($AD$17,Sheet1!R15:U15,2,0),0)</f>
        <v>0</v>
      </c>
      <c r="AE27" s="149">
        <v>380</v>
      </c>
      <c r="AF27" s="13">
        <f>+IFERROR(VLOOKUP($AF$17,Sheet1!V15:Y15,3,0),0)</f>
        <v>0</v>
      </c>
      <c r="AG27" s="13">
        <f>+IFERROR(VLOOKUP($AG$17,Sheet1!V15:Y15,3,0),0)</f>
        <v>0</v>
      </c>
      <c r="AH27" s="13">
        <f>+IFERROR(VLOOKUP($AH$17,Sheet1!V15:Y15,3,0),0)</f>
        <v>0</v>
      </c>
      <c r="AI27" s="13">
        <f>+IFERROR(VLOOKUP($AI$17,Sheet1!V15:Y15,3,0),0)</f>
        <v>0</v>
      </c>
      <c r="AJ27" s="13">
        <f>+IFERROR(VLOOKUP($AJ$17,Sheet1!V15:Y15,3,0),0)</f>
        <v>0</v>
      </c>
      <c r="AK27" s="146">
        <v>29</v>
      </c>
      <c r="AL27" s="13">
        <f>+IFERROR(VLOOKUP($AL$17,Sheet1!AD15:AG15,3,0),0)</f>
        <v>0</v>
      </c>
      <c r="AM27" s="13">
        <f>+IFERROR(VLOOKUP($AM$17,Sheet1!AD15:AG15,3,0),0)</f>
        <v>0</v>
      </c>
      <c r="AN27" s="13">
        <f>+IFERROR(VLOOKUP($AN$17,Sheet1!AD15:AG15,3,0),0)</f>
        <v>0</v>
      </c>
      <c r="AO27" s="13">
        <f>+IFERROR(VLOOKUP($AO$17,Sheet1!AD15:AG15,3,0),0)</f>
        <v>0</v>
      </c>
      <c r="AP27" s="13">
        <f>+IFERROR(VLOOKUP($AP$17,Sheet1!AD15:AG15,3,0),0)</f>
        <v>0</v>
      </c>
      <c r="AQ27" s="146">
        <v>144</v>
      </c>
      <c r="AR27" s="13">
        <f>+IFERROR(VLOOKUP($AR$17,Sheet1!AD15:AG15,3,0),0)</f>
        <v>0</v>
      </c>
      <c r="AS27" s="13">
        <f>+IFERROR(VLOOKUP($AS$17,Sheet1!AH15:AK15,3,0),0)</f>
        <v>0</v>
      </c>
      <c r="AT27" s="13">
        <f>+IFERROR(VLOOKUP($AT$17,Sheet1!AH15:AK15,3,0),0)</f>
        <v>0</v>
      </c>
      <c r="AU27" s="13">
        <f>+IFERROR(VLOOKUP($AU$17,Sheet1!AH15:AK15,3,0),0)</f>
        <v>0</v>
      </c>
      <c r="AV27" s="146">
        <v>539</v>
      </c>
      <c r="AW27" s="13">
        <f>+IFERROR(VLOOKUP($AW$17,Sheet1!AH15:AK15,3,0),0)</f>
        <v>0</v>
      </c>
      <c r="AX27" s="13">
        <f>+IFERROR(VLOOKUP($AX$17,Sheet1!AH15:AK15,3,0),0)</f>
        <v>0</v>
      </c>
      <c r="AY27" s="13">
        <f>+IFERROR(VLOOKUP($AY$17,Sheet1!AH15:AK15,3,0),0)</f>
        <v>0</v>
      </c>
      <c r="AZ27" s="13">
        <f>+IFERROR(VLOOKUP($AZ$17,Sheet1!AH15:AK15,3,0),0)</f>
        <v>0</v>
      </c>
      <c r="BA27" s="13">
        <f>+IFERROR(VLOOKUP($BA$17,Sheet1!AH15:AK15,3,0),0)</f>
        <v>0</v>
      </c>
      <c r="BB27" s="13">
        <f>+IFERROR(VLOOKUP($BB$17,Sheet1!AH15:AK15,3,0),0)</f>
        <v>0</v>
      </c>
      <c r="BC27" s="13">
        <f>+IFERROR(VLOOKUP($BC$17,Sheet1!AL15:AO15,3,0),0)</f>
        <v>0</v>
      </c>
      <c r="BD27" s="13">
        <f>+IFERROR(VLOOKUP($BD$17,Sheet1!AL15:AO15,3,0),0)</f>
        <v>0</v>
      </c>
      <c r="BE27" s="13">
        <f>+IFERROR(VLOOKUP($BE$17,Sheet1!AL15:AO15,3,0),0)</f>
        <v>0</v>
      </c>
      <c r="BF27" s="146">
        <v>500</v>
      </c>
      <c r="BG27" s="13">
        <f>+IFERROR(VLOOKUP($BG$17,Sheet1!AL15:AO15,3,0),0)</f>
        <v>0</v>
      </c>
      <c r="BH27" s="13">
        <f>+IFERROR(VLOOKUP($BH$17,Sheet1!AL15:AO15,3,0),0)</f>
        <v>0</v>
      </c>
      <c r="BI27" s="13">
        <f>+IFERROR(VLOOKUP($BI$17,Sheet1!AL15:AO15,3,0),0)</f>
        <v>0</v>
      </c>
      <c r="BJ27" s="13">
        <f>+IFERROR(VLOOKUP($BJ$17,Sheet1!AL15:AO15,3,0),0)</f>
        <v>0</v>
      </c>
      <c r="BK27" s="13">
        <f>+IFERROR(VLOOKUP($BK$17,Sheet1!AL15:AO15,3,0),0)</f>
        <v>0</v>
      </c>
      <c r="BL27" s="13">
        <f>+IFERROR(VLOOKUP($BL$17,Sheet1!AL15:AO15,3,0),0)</f>
        <v>0</v>
      </c>
      <c r="BM27" s="13">
        <f>+IFERROR(VLOOKUP($BM$17,Sheet1!AP15:AS15,3,0),0)</f>
        <v>0</v>
      </c>
      <c r="BN27" s="146">
        <v>26</v>
      </c>
      <c r="BO27" s="13">
        <f>+IFERROR(VLOOKUP($BO$17,Sheet1!AX15:BA15,3,0),0)</f>
        <v>0</v>
      </c>
      <c r="BP27" s="146">
        <v>39</v>
      </c>
      <c r="BQ27" s="13">
        <f>+IFERROR(VLOOKUP($BQ$17,Sheet1!BF15:BI15,3,0),0)</f>
        <v>0</v>
      </c>
      <c r="BR27" s="13">
        <f>+IFERROR(VLOOKUP($BR$17,Sheet1!BJ15:BM15,3,0),0)</f>
        <v>0</v>
      </c>
      <c r="BS27" s="13">
        <f>+IFERROR(VLOOKUP($BS$17,Sheet1!BN15:BQ15,3,0),0)</f>
        <v>0</v>
      </c>
      <c r="BT27" s="146">
        <v>33</v>
      </c>
      <c r="BU27" s="13">
        <f>+IFERROR(VLOOKUP($BU$17,Sheet1!BV15:BY15,3,0),0)</f>
        <v>0</v>
      </c>
      <c r="BV27" s="13" t="str">
        <f>Sheet1!E15</f>
        <v>STEEL</v>
      </c>
      <c r="BW27" s="13" t="str">
        <f>Sheet1!CV15</f>
        <v>SP0400091</v>
      </c>
      <c r="BX27" s="146" t="str">
        <f>Sheet1!CW15</f>
        <v>CORRUGATED DISPATCH STEEL DRUM 1800 X 900 X 1000</v>
      </c>
      <c r="BY27" s="146">
        <f>Sheet1!CX15</f>
        <v>500</v>
      </c>
      <c r="BZ27" s="3">
        <f>22400/0.5</f>
        <v>44800</v>
      </c>
      <c r="CA27" s="3">
        <f t="shared" si="5"/>
        <v>879078</v>
      </c>
      <c r="CB27" s="23">
        <v>0.01</v>
      </c>
      <c r="CC27" s="3">
        <f t="shared" si="6"/>
        <v>8790.7800000000007</v>
      </c>
      <c r="CD27" s="44">
        <v>0.25</v>
      </c>
      <c r="CE27" s="3">
        <f t="shared" si="7"/>
        <v>219769.5</v>
      </c>
      <c r="CF27" s="44">
        <f>Sheet1!CF15</f>
        <v>0</v>
      </c>
      <c r="CG27" s="3">
        <f t="shared" si="8"/>
        <v>0</v>
      </c>
      <c r="CH27" s="3">
        <f t="shared" si="9"/>
        <v>1107638.28</v>
      </c>
      <c r="CI27" s="44">
        <v>0.02</v>
      </c>
      <c r="CJ27" s="151">
        <f t="shared" si="10"/>
        <v>22152.765600000002</v>
      </c>
      <c r="CK27" s="44">
        <v>0.01</v>
      </c>
      <c r="CL27" s="1">
        <f t="shared" si="11"/>
        <v>11076.382800000001</v>
      </c>
    </row>
    <row r="28" spans="1:90" ht="25.5" x14ac:dyDescent="0.25">
      <c r="A28" s="1" t="str">
        <f>Sheet1!A16</f>
        <v>ENQ-15138-22-23</v>
      </c>
      <c r="B28" s="47">
        <f>Sheet1!B16</f>
        <v>45627</v>
      </c>
      <c r="C28" s="1" t="str">
        <f>Sheet1!C16</f>
        <v>FA1300047</v>
      </c>
      <c r="D28" s="145" t="str">
        <f>Sheet1!D16</f>
        <v>1 CORE X 400 SQ. MM. AL/ARM (XLPE) - 11 KV</v>
      </c>
      <c r="E28" s="3">
        <f t="shared" si="0"/>
        <v>831134.4804</v>
      </c>
      <c r="F28" s="151">
        <f t="shared" si="12"/>
        <v>16250</v>
      </c>
      <c r="G28" s="9">
        <f t="shared" si="1"/>
        <v>847384.4804</v>
      </c>
      <c r="H28" s="7">
        <f>Sheet1!CP16</f>
        <v>0.18</v>
      </c>
      <c r="I28" s="9">
        <f t="shared" si="2"/>
        <v>152529.20647199999</v>
      </c>
      <c r="J28" s="9">
        <f t="shared" si="3"/>
        <v>999913.68687199999</v>
      </c>
      <c r="K28" s="1">
        <f>Sheet1!CS16</f>
        <v>4</v>
      </c>
      <c r="L28" s="1" t="str">
        <f>Sheet1!CT16</f>
        <v>KMS</v>
      </c>
      <c r="M28" s="3">
        <f t="shared" si="4"/>
        <v>3999654.747488</v>
      </c>
      <c r="N28" s="2">
        <f>+IFERROR(VLOOKUP($N$17,Sheet1!J16:L16,3,0),0)</f>
        <v>1080</v>
      </c>
      <c r="O28" s="2">
        <f>+IFERROR(VLOOKUP($O$17,Sheet1!J16:L16,3,0),0)</f>
        <v>0</v>
      </c>
      <c r="P28" s="2">
        <f>+IFERROR(VLOOKUP($P$17,Sheet1!J16:M16,3,0),0)</f>
        <v>0</v>
      </c>
      <c r="Q28" s="2">
        <f>+IFERROR(VLOOKUP($Q$17,Sheet1!J16:M16,3,0),0)</f>
        <v>0</v>
      </c>
      <c r="R28" s="2">
        <f>+IFERROR(VLOOKUP($R$17,Sheet1!J16:M16,3,0),0)</f>
        <v>0</v>
      </c>
      <c r="S28" s="2">
        <f>+IFERROR(VLOOKUP($S$17,Sheet1!N16:Q16,3,0),0)</f>
        <v>0</v>
      </c>
      <c r="T28" s="2">
        <f>+IFERROR(VLOOKUP($T$17,Sheet1!N16:Q16,3,0),0)</f>
        <v>0</v>
      </c>
      <c r="U28" s="2">
        <f>+IFERROR(VLOOKUP($U$17,Sheet1!F16:I16,3,0),0)</f>
        <v>0</v>
      </c>
      <c r="V28" s="2">
        <f>+IFERROR(VLOOKUP($V$17,Sheet1!F16:I16,3,0),0)</f>
        <v>0</v>
      </c>
      <c r="W28" s="2">
        <f>+IFERROR(VLOOKUP($W$17,Sheet1!F16:I16,3,0),0)</f>
        <v>0</v>
      </c>
      <c r="X28" s="2">
        <f>+IFERROR(VLOOKUP($X$17,Sheet1!F16:I16,3,0),0)</f>
        <v>0</v>
      </c>
      <c r="Y28" s="149">
        <v>59</v>
      </c>
      <c r="Z28" s="2">
        <f>+IFERROR(VLOOKUP($Z$17,Sheet1!F16:I16,3,0),0)</f>
        <v>0</v>
      </c>
      <c r="AA28" s="2">
        <f>+IFERROR(VLOOKUP($AA$17,Sheet1!F16:I16,3,0),0)</f>
        <v>0</v>
      </c>
      <c r="AB28" s="2">
        <f>+IFERROR(VLOOKUP($AB$17,Sheet1!F16:I16,3,0),0)</f>
        <v>0</v>
      </c>
      <c r="AC28" s="149">
        <v>172</v>
      </c>
      <c r="AD28" s="13">
        <f>+IFERROR(VLOOKUP($AD$17,Sheet1!R16:U16,2,0),0)</f>
        <v>0</v>
      </c>
      <c r="AE28" s="149">
        <v>310</v>
      </c>
      <c r="AF28" s="13">
        <f>+IFERROR(VLOOKUP($AF$17,Sheet1!V16:Y16,3,0),0)</f>
        <v>0</v>
      </c>
      <c r="AG28" s="13">
        <f>+IFERROR(VLOOKUP($AG$17,Sheet1!V16:Y16,3,0),0)</f>
        <v>0</v>
      </c>
      <c r="AH28" s="13">
        <f>+IFERROR(VLOOKUP($AH$17,Sheet1!V16:Y16,3,0),0)</f>
        <v>0</v>
      </c>
      <c r="AI28" s="13">
        <f>+IFERROR(VLOOKUP($AI$17,Sheet1!V16:Y16,3,0),0)</f>
        <v>0</v>
      </c>
      <c r="AJ28" s="13">
        <f>+IFERROR(VLOOKUP($AJ$17,Sheet1!V16:Y16,3,0),0)</f>
        <v>0</v>
      </c>
      <c r="AK28" s="146">
        <v>24</v>
      </c>
      <c r="AL28" s="13">
        <f>+IFERROR(VLOOKUP($AL$17,Sheet1!AD16:AG16,3,0),0)</f>
        <v>0</v>
      </c>
      <c r="AM28" s="13">
        <f>+IFERROR(VLOOKUP($AM$17,Sheet1!AD16:AG16,3,0),0)</f>
        <v>0</v>
      </c>
      <c r="AN28" s="13">
        <f>+IFERROR(VLOOKUP($AN$17,Sheet1!AD16:AG16,3,0),0)</f>
        <v>0</v>
      </c>
      <c r="AO28" s="13">
        <f>+IFERROR(VLOOKUP($AO$17,Sheet1!AD16:AG16,3,0),0)</f>
        <v>0</v>
      </c>
      <c r="AP28" s="13">
        <f>+IFERROR(VLOOKUP($AP$17,Sheet1!AD16:AG16,3,0),0)</f>
        <v>0</v>
      </c>
      <c r="AQ28" s="146">
        <v>104</v>
      </c>
      <c r="AR28" s="13">
        <f>+IFERROR(VLOOKUP($AR$17,Sheet1!AD16:AG16,3,0),0)</f>
        <v>0</v>
      </c>
      <c r="AS28" s="13">
        <f>+IFERROR(VLOOKUP($AS$17,Sheet1!AH16:AK16,3,0),0)</f>
        <v>0</v>
      </c>
      <c r="AT28" s="13">
        <f>+IFERROR(VLOOKUP($AT$17,Sheet1!AH16:AK16,3,0),0)</f>
        <v>0</v>
      </c>
      <c r="AU28" s="13">
        <f>+IFERROR(VLOOKUP($AU$17,Sheet1!AH16:AK16,3,0),0)</f>
        <v>0</v>
      </c>
      <c r="AV28" s="146">
        <v>460</v>
      </c>
      <c r="AW28" s="13">
        <f>+IFERROR(VLOOKUP($AW$17,Sheet1!AH16:AK16,3,0),0)</f>
        <v>0</v>
      </c>
      <c r="AX28" s="13">
        <f>+IFERROR(VLOOKUP($AX$17,Sheet1!AH16:AK16,3,0),0)</f>
        <v>0</v>
      </c>
      <c r="AY28" s="13">
        <f>+IFERROR(VLOOKUP($AY$17,Sheet1!AH16:AK16,3,0),0)</f>
        <v>0</v>
      </c>
      <c r="AZ28" s="13">
        <f>+IFERROR(VLOOKUP($AZ$17,Sheet1!AH16:AK16,3,0),0)</f>
        <v>0</v>
      </c>
      <c r="BA28" s="13">
        <f>+IFERROR(VLOOKUP($BA$17,Sheet1!AH16:AK16,3,0),0)</f>
        <v>0</v>
      </c>
      <c r="BB28" s="13">
        <f>+IFERROR(VLOOKUP($BB$17,Sheet1!AH16:AK16,3,0),0)</f>
        <v>0</v>
      </c>
      <c r="BC28" s="13">
        <f>+IFERROR(VLOOKUP($BC$17,Sheet1!AL16:AO16,3,0),0)</f>
        <v>0</v>
      </c>
      <c r="BD28" s="13">
        <f>+IFERROR(VLOOKUP($BD$17,Sheet1!AL16:AO16,3,0),0)</f>
        <v>0</v>
      </c>
      <c r="BE28" s="13">
        <f>+IFERROR(VLOOKUP($BE$17,Sheet1!AL16:AO16,3,0),0)</f>
        <v>0</v>
      </c>
      <c r="BF28" s="146">
        <v>400</v>
      </c>
      <c r="BG28" s="13">
        <f>+IFERROR(VLOOKUP($BG$17,Sheet1!AL16:AO16,3,0),0)</f>
        <v>0</v>
      </c>
      <c r="BH28" s="13">
        <f>+IFERROR(VLOOKUP($BH$17,Sheet1!AL16:AO16,3,0),0)</f>
        <v>0</v>
      </c>
      <c r="BI28" s="13">
        <f>+IFERROR(VLOOKUP($BI$17,Sheet1!AL16:AO16,3,0),0)</f>
        <v>0</v>
      </c>
      <c r="BJ28" s="13">
        <f>+IFERROR(VLOOKUP($BJ$17,Sheet1!AL16:AO16,3,0),0)</f>
        <v>0</v>
      </c>
      <c r="BK28" s="13">
        <f>+IFERROR(VLOOKUP($BK$17,Sheet1!AL16:AO16,3,0),0)</f>
        <v>0</v>
      </c>
      <c r="BL28" s="13">
        <f>+IFERROR(VLOOKUP($BL$17,Sheet1!AL16:AO16,3,0),0)</f>
        <v>0</v>
      </c>
      <c r="BM28" s="13">
        <f>+IFERROR(VLOOKUP($BM$17,Sheet1!AP16:AS16,3,0),0)</f>
        <v>0</v>
      </c>
      <c r="BN28" s="146">
        <v>20</v>
      </c>
      <c r="BO28" s="13">
        <f>+IFERROR(VLOOKUP($BO$17,Sheet1!AX16:BA16,3,0),0)</f>
        <v>0</v>
      </c>
      <c r="BP28" s="146">
        <v>32</v>
      </c>
      <c r="BQ28" s="13">
        <f>+IFERROR(VLOOKUP($BQ$17,Sheet1!BF16:BI16,3,0),0)</f>
        <v>0</v>
      </c>
      <c r="BR28" s="13">
        <f>+IFERROR(VLOOKUP($BR$17,Sheet1!BJ16:BM16,3,0),0)</f>
        <v>0</v>
      </c>
      <c r="BS28" s="13">
        <f>+IFERROR(VLOOKUP($BS$17,Sheet1!BN16:BQ16,3,0),0)</f>
        <v>0</v>
      </c>
      <c r="BT28" s="146">
        <v>30</v>
      </c>
      <c r="BU28" s="13">
        <f>+IFERROR(VLOOKUP($BU$17,Sheet1!BV16:BY16,3,0),0)</f>
        <v>0</v>
      </c>
      <c r="BV28" s="13" t="str">
        <f>Sheet1!E16</f>
        <v>STEEL</v>
      </c>
      <c r="BW28" s="13" t="str">
        <f>Sheet1!CV16</f>
        <v>SP0400125</v>
      </c>
      <c r="BX28" s="146" t="str">
        <f>Sheet1!CW16</f>
        <v>CORRUGATED DISPATCH STEEL DRUM 1600 X 700 X 915 MM</v>
      </c>
      <c r="BY28" s="146">
        <f>Sheet1!CX16</f>
        <v>500</v>
      </c>
      <c r="BZ28" s="3">
        <f>16000/0.5</f>
        <v>32000</v>
      </c>
      <c r="CA28" s="3">
        <f t="shared" si="5"/>
        <v>640418</v>
      </c>
      <c r="CB28" s="23">
        <v>0.01</v>
      </c>
      <c r="CC28" s="3">
        <f t="shared" si="6"/>
        <v>6404.18</v>
      </c>
      <c r="CD28" s="44">
        <v>0.25</v>
      </c>
      <c r="CE28" s="3">
        <f t="shared" si="7"/>
        <v>160104.5</v>
      </c>
      <c r="CF28" s="44">
        <f>Sheet1!CF16</f>
        <v>0</v>
      </c>
      <c r="CG28" s="3">
        <f t="shared" si="8"/>
        <v>0</v>
      </c>
      <c r="CH28" s="3">
        <f t="shared" si="9"/>
        <v>806926.68</v>
      </c>
      <c r="CI28" s="44">
        <v>0.02</v>
      </c>
      <c r="CJ28" s="1">
        <f t="shared" ref="CJ28:CJ39" si="13">CH28*CI28</f>
        <v>16138.533600000001</v>
      </c>
      <c r="CK28" s="44">
        <v>0.01</v>
      </c>
      <c r="CL28" s="1">
        <f t="shared" si="11"/>
        <v>8069.2668000000003</v>
      </c>
    </row>
    <row r="29" spans="1:90" ht="25.5" x14ac:dyDescent="0.25">
      <c r="A29" s="1" t="str">
        <f>Sheet1!A23</f>
        <v>ENQ-15138-22-23</v>
      </c>
      <c r="B29" s="47">
        <f>Sheet1!B23</f>
        <v>45627</v>
      </c>
      <c r="C29" s="1" t="str">
        <f>Sheet1!C23</f>
        <v>FA1300009</v>
      </c>
      <c r="D29" s="145" t="str">
        <f>Sheet1!D23</f>
        <v>1 CORE X 300 SQ. MM. AL./ARM (XLPE)  - 11 KV</v>
      </c>
      <c r="E29" s="3">
        <f t="shared" si="0"/>
        <v>694300.93739999994</v>
      </c>
      <c r="F29" s="151">
        <f t="shared" si="12"/>
        <v>20000</v>
      </c>
      <c r="G29" s="9">
        <f t="shared" si="1"/>
        <v>714300.93739999994</v>
      </c>
      <c r="H29" s="7">
        <f>Sheet1!CP23</f>
        <v>0.18</v>
      </c>
      <c r="I29" s="9">
        <f t="shared" si="2"/>
        <v>128574.16873199999</v>
      </c>
      <c r="J29" s="9">
        <f t="shared" si="3"/>
        <v>842875.10613199999</v>
      </c>
      <c r="K29" s="1">
        <f>Sheet1!CS23</f>
        <v>6.5</v>
      </c>
      <c r="L29" s="1" t="str">
        <f>Sheet1!CT23</f>
        <v>KMS</v>
      </c>
      <c r="M29" s="3">
        <f t="shared" si="4"/>
        <v>5478688.1898579998</v>
      </c>
      <c r="N29" s="149">
        <f>+IFERROR(VLOOKUP($N$17,Sheet1!J23:L23,3,0),0)</f>
        <v>810</v>
      </c>
      <c r="O29" s="2">
        <f>+IFERROR(VLOOKUP($O$17,Sheet1!J23:L23,3,0),0)</f>
        <v>0</v>
      </c>
      <c r="P29" s="2">
        <f>+IFERROR(VLOOKUP($P$17,Sheet1!J23:M23,3,0),0)</f>
        <v>0</v>
      </c>
      <c r="Q29" s="2">
        <f>+IFERROR(VLOOKUP($Q$17,Sheet1!J23:M23,3,0),0)</f>
        <v>0</v>
      </c>
      <c r="R29" s="2">
        <f>+IFERROR(VLOOKUP($R$17,Sheet1!J23:M23,3,0),0)</f>
        <v>0</v>
      </c>
      <c r="S29" s="2">
        <f>+IFERROR(VLOOKUP($S$17,Sheet1!N23:Q23,3,0),0)</f>
        <v>0</v>
      </c>
      <c r="T29" s="2">
        <f>+IFERROR(VLOOKUP($T$17,Sheet1!N23:Q23,3,0),0)</f>
        <v>0</v>
      </c>
      <c r="U29" s="2">
        <f>+IFERROR(VLOOKUP($U$17,Sheet1!F23:I23,3,0),0)</f>
        <v>0</v>
      </c>
      <c r="V29" s="2">
        <f>+IFERROR(VLOOKUP($V$17,Sheet1!F23:I23,3,0),0)</f>
        <v>0</v>
      </c>
      <c r="W29" s="2">
        <f>+IFERROR(VLOOKUP($W$17,Sheet1!F23:I23,3,0),0)</f>
        <v>0</v>
      </c>
      <c r="X29" s="2">
        <f>+IFERROR(VLOOKUP($X$17,Sheet1!F23:I23,3,0),0)</f>
        <v>0</v>
      </c>
      <c r="Y29" s="149">
        <v>54</v>
      </c>
      <c r="Z29" s="2">
        <f>+IFERROR(VLOOKUP($Z$17,Sheet1!F23:I23,3,0),0)</f>
        <v>0</v>
      </c>
      <c r="AA29" s="2">
        <f>+IFERROR(VLOOKUP($AA$17,Sheet1!F23:I23,3,0),0)</f>
        <v>0</v>
      </c>
      <c r="AB29" s="2">
        <f>+IFERROR(VLOOKUP($AB$17,Sheet1!F23:I23,3,0),0)</f>
        <v>0</v>
      </c>
      <c r="AC29" s="149">
        <v>155</v>
      </c>
      <c r="AD29" s="13">
        <f>+IFERROR(VLOOKUP($AD$17,Sheet1!R23:U23,2,0),0)</f>
        <v>0</v>
      </c>
      <c r="AE29" s="149">
        <v>278</v>
      </c>
      <c r="AF29" s="13">
        <f>+IFERROR(VLOOKUP($AF$17,Sheet1!V23:Y23,3,0),0)</f>
        <v>0</v>
      </c>
      <c r="AG29" s="13">
        <f>+IFERROR(VLOOKUP($AG$17,Sheet1!V23:Y23,3,0),0)</f>
        <v>0</v>
      </c>
      <c r="AH29" s="13">
        <f>+IFERROR(VLOOKUP($AH$17,Sheet1!V23:Y23,3,0),0)</f>
        <v>0</v>
      </c>
      <c r="AI29" s="13">
        <f>+IFERROR(VLOOKUP($AI$17,Sheet1!V23:Y23,3,0),0)</f>
        <v>0</v>
      </c>
      <c r="AJ29" s="13">
        <f>+IFERROR(VLOOKUP($AJ$17,Sheet1!V23:Y23,3,0),0)</f>
        <v>0</v>
      </c>
      <c r="AK29" s="146">
        <v>22</v>
      </c>
      <c r="AL29" s="13">
        <f>+IFERROR(VLOOKUP($AL$17,Sheet1!AD23:AG23,3,0),0)</f>
        <v>0</v>
      </c>
      <c r="AM29" s="13">
        <f>+IFERROR(VLOOKUP($AM$17,Sheet1!AD23:AG23,3,0),0)</f>
        <v>0</v>
      </c>
      <c r="AN29" s="13">
        <f>+IFERROR(VLOOKUP($AN$17,Sheet1!AD23:AG23,3,0),0)</f>
        <v>0</v>
      </c>
      <c r="AO29" s="13">
        <f>+IFERROR(VLOOKUP($AO$17,Sheet1!AD23:AG23,3,0),0)</f>
        <v>0</v>
      </c>
      <c r="AP29" s="13">
        <f>+IFERROR(VLOOKUP($AP$17,Sheet1!AD23:AG23,3,0),0)</f>
        <v>0</v>
      </c>
      <c r="AQ29" s="146">
        <v>95</v>
      </c>
      <c r="AR29" s="13">
        <f>+IFERROR(VLOOKUP($AR$17,Sheet1!AD23:AG23,3,0),0)</f>
        <v>0</v>
      </c>
      <c r="AS29" s="13">
        <f>+IFERROR(VLOOKUP($AS$17,Sheet1!AH23:AK23,3,0),0)</f>
        <v>0</v>
      </c>
      <c r="AT29" s="13">
        <f>+IFERROR(VLOOKUP($AT$17,Sheet1!AH23:AK23,3,0),0)</f>
        <v>0</v>
      </c>
      <c r="AU29" s="13">
        <f>+IFERROR(VLOOKUP($AU$17,Sheet1!AH23:AK23,3,0),0)</f>
        <v>0</v>
      </c>
      <c r="AV29" s="146">
        <v>424</v>
      </c>
      <c r="AW29" s="13">
        <f>+IFERROR(VLOOKUP($AW$17,Sheet1!AH23:AK23,3,0),0)</f>
        <v>0</v>
      </c>
      <c r="AX29" s="13">
        <f>+IFERROR(VLOOKUP($AX$17,Sheet1!AH23:AK23,3,0),0)</f>
        <v>0</v>
      </c>
      <c r="AY29" s="13">
        <f>+IFERROR(VLOOKUP($AY$17,Sheet1!AH23:AK23,3,0),0)</f>
        <v>0</v>
      </c>
      <c r="AZ29" s="13">
        <f>+IFERROR(VLOOKUP($AZ$17,Sheet1!AH23:AK23,3,0),0)</f>
        <v>0</v>
      </c>
      <c r="BA29" s="13">
        <f>+IFERROR(VLOOKUP($BA$17,Sheet1!AH23:AK23,3,0),0)</f>
        <v>0</v>
      </c>
      <c r="BB29" s="13">
        <f>+IFERROR(VLOOKUP($BB$17,Sheet1!AH23:AK23,3,0),0)</f>
        <v>0</v>
      </c>
      <c r="BC29" s="13">
        <f>+IFERROR(VLOOKUP($BC$17,Sheet1!AL23:AO23,3,0),0)</f>
        <v>0</v>
      </c>
      <c r="BD29" s="13">
        <f>+IFERROR(VLOOKUP($BD$17,Sheet1!AL23:AO23,3,0),0)</f>
        <v>0</v>
      </c>
      <c r="BE29" s="13">
        <f>+IFERROR(VLOOKUP($BE$17,Sheet1!AL23:AO23,3,0),0)</f>
        <v>0</v>
      </c>
      <c r="BF29" s="146">
        <v>343</v>
      </c>
      <c r="BG29" s="13">
        <f>+IFERROR(VLOOKUP($BG$17,Sheet1!AL23:AO23,3,0),0)</f>
        <v>0</v>
      </c>
      <c r="BH29" s="13">
        <f>+IFERROR(VLOOKUP($BH$17,Sheet1!AL23:AO23,3,0),0)</f>
        <v>0</v>
      </c>
      <c r="BI29" s="13">
        <f>+IFERROR(VLOOKUP($BI$17,Sheet1!AL23:AO23,3,0),0)</f>
        <v>0</v>
      </c>
      <c r="BJ29" s="13">
        <f>+IFERROR(VLOOKUP($BJ$17,Sheet1!AL23:AO23,3,0),0)</f>
        <v>0</v>
      </c>
      <c r="BK29" s="13">
        <f>+IFERROR(VLOOKUP($BK$17,Sheet1!AL23:AO23,3,0),0)</f>
        <v>0</v>
      </c>
      <c r="BL29" s="13">
        <f>+IFERROR(VLOOKUP($BL$17,Sheet1!AL23:AO23,3,0),0)</f>
        <v>0</v>
      </c>
      <c r="BM29" s="13">
        <f>+IFERROR(VLOOKUP($BM$17,Sheet1!AP23:AS23,3,0),0)</f>
        <v>0</v>
      </c>
      <c r="BN29" s="146">
        <v>13</v>
      </c>
      <c r="BO29" s="13">
        <f>+IFERROR(VLOOKUP($BO$17,Sheet1!AX23:BA23,3,0),0)</f>
        <v>0</v>
      </c>
      <c r="BP29" s="146">
        <v>29</v>
      </c>
      <c r="BQ29" s="13">
        <f>+IFERROR(VLOOKUP($BQ$17,Sheet1!BF23:BI23,3,0),0)</f>
        <v>0</v>
      </c>
      <c r="BR29" s="13">
        <f>+IFERROR(VLOOKUP($BR$17,Sheet1!BJ23:BM23,3,0),0)</f>
        <v>0</v>
      </c>
      <c r="BS29" s="13">
        <f>+IFERROR(VLOOKUP($BS$17,Sheet1!BN23:BQ23,3,0),0)</f>
        <v>0</v>
      </c>
      <c r="BT29" s="146">
        <v>27</v>
      </c>
      <c r="BU29" s="13">
        <f>+IFERROR(VLOOKUP($BU$17,Sheet1!BV23:BY23,3,0),0)</f>
        <v>0</v>
      </c>
      <c r="BV29" s="13" t="str">
        <f>Sheet1!E23</f>
        <v>STEEL</v>
      </c>
      <c r="BW29" s="13" t="str">
        <f>Sheet1!CV23</f>
        <v>SP0400152</v>
      </c>
      <c r="BX29" s="146" t="str">
        <f>Sheet1!CW23</f>
        <v>CORRUGATED DISPATCH STEEL DRUM 1500 X 800 X 915</v>
      </c>
      <c r="BY29" s="146">
        <f>Sheet1!CX23</f>
        <v>500</v>
      </c>
      <c r="BZ29" s="3">
        <f>14400/0.5</f>
        <v>28800</v>
      </c>
      <c r="CA29" s="3">
        <f t="shared" si="5"/>
        <v>534983</v>
      </c>
      <c r="CB29" s="23">
        <v>0.01</v>
      </c>
      <c r="CC29" s="3">
        <f t="shared" si="6"/>
        <v>5349.83</v>
      </c>
      <c r="CD29" s="44">
        <v>0.25</v>
      </c>
      <c r="CE29" s="3">
        <f t="shared" si="7"/>
        <v>133745.75</v>
      </c>
      <c r="CF29" s="44">
        <f>Sheet1!CF23</f>
        <v>0</v>
      </c>
      <c r="CG29" s="3">
        <f t="shared" si="8"/>
        <v>0</v>
      </c>
      <c r="CH29" s="3">
        <f t="shared" si="9"/>
        <v>674078.58</v>
      </c>
      <c r="CI29" s="44">
        <v>0.02</v>
      </c>
      <c r="CJ29" s="1">
        <f t="shared" si="13"/>
        <v>13481.571599999999</v>
      </c>
      <c r="CK29" s="44">
        <v>0.01</v>
      </c>
      <c r="CL29" s="1">
        <f t="shared" si="11"/>
        <v>6740.7857999999997</v>
      </c>
    </row>
    <row r="30" spans="1:90" ht="25.5" x14ac:dyDescent="0.25">
      <c r="A30" s="1" t="str">
        <f>Sheet1!A21</f>
        <v>ENQ-15138-22-23</v>
      </c>
      <c r="B30" s="47">
        <f>Sheet1!B21</f>
        <v>45627</v>
      </c>
      <c r="C30" s="1" t="str">
        <f>Sheet1!C21</f>
        <v>FA1300080</v>
      </c>
      <c r="D30" s="145" t="str">
        <f>Sheet1!D21</f>
        <v>3 CORE X 400 SQ. MM AL/ARM - WIRE (XLPE) - 33 KV</v>
      </c>
      <c r="E30" s="3">
        <f t="shared" si="0"/>
        <v>3751528.3974000001</v>
      </c>
      <c r="F30" s="151">
        <f t="shared" si="12"/>
        <v>65073</v>
      </c>
      <c r="G30" s="9">
        <f t="shared" si="1"/>
        <v>3816601.3974000001</v>
      </c>
      <c r="H30" s="7">
        <f>Sheet1!CP21</f>
        <v>0.18</v>
      </c>
      <c r="I30" s="9">
        <f t="shared" si="2"/>
        <v>686988.25153200002</v>
      </c>
      <c r="J30" s="9">
        <f t="shared" si="3"/>
        <v>4503589.6489320006</v>
      </c>
      <c r="K30" s="1">
        <f>Sheet1!CS21</f>
        <v>222.75</v>
      </c>
      <c r="L30" s="1" t="str">
        <f>Sheet1!CT21</f>
        <v>KMS</v>
      </c>
      <c r="M30" s="3">
        <f t="shared" si="4"/>
        <v>1003174594.2996031</v>
      </c>
      <c r="N30" s="149">
        <f>+IFERROR(VLOOKUP($N$17,Sheet1!J21:L21,3,0),0)</f>
        <v>3240</v>
      </c>
      <c r="O30" s="2">
        <f>+IFERROR(VLOOKUP($O$17,Sheet1!J21:L21,3,0),0)</f>
        <v>0</v>
      </c>
      <c r="P30" s="2">
        <f>+IFERROR(VLOOKUP($P$17,Sheet1!J21:M21,3,0),0)</f>
        <v>0</v>
      </c>
      <c r="Q30" s="2">
        <f>+IFERROR(VLOOKUP($Q$17,Sheet1!J21:M21,3,0),0)</f>
        <v>0</v>
      </c>
      <c r="R30" s="2">
        <f>+IFERROR(VLOOKUP($R$17,Sheet1!J21:M21,3,0),0)</f>
        <v>0</v>
      </c>
      <c r="S30" s="2">
        <f>+IFERROR(VLOOKUP($S$17,Sheet1!N21:Q21,3,0),0)</f>
        <v>0</v>
      </c>
      <c r="T30" s="2">
        <f>+IFERROR(VLOOKUP($T$17,Sheet1!N21:Q21,3,0),0)</f>
        <v>0</v>
      </c>
      <c r="U30" s="2">
        <f>+IFERROR(VLOOKUP($U$17,Sheet1!F21:I21,3,0),0)</f>
        <v>0</v>
      </c>
      <c r="V30" s="2">
        <f>+IFERROR(VLOOKUP($V$17,Sheet1!F21:I21,3,0),0)</f>
        <v>0</v>
      </c>
      <c r="W30" s="2">
        <f>+IFERROR(VLOOKUP($W$17,Sheet1!F21:I21,3,0),0)</f>
        <v>0</v>
      </c>
      <c r="X30" s="2">
        <f>+IFERROR(VLOOKUP($X$17,Sheet1!F21:I21,3,0),0)</f>
        <v>0</v>
      </c>
      <c r="Y30" s="149">
        <v>229</v>
      </c>
      <c r="Z30" s="2">
        <f>+IFERROR(VLOOKUP($Z$17,Sheet1!F21:I21,3,0),0)</f>
        <v>0</v>
      </c>
      <c r="AA30" s="2">
        <f>+IFERROR(VLOOKUP($AA$17,Sheet1!F21:I21,3,0),0)</f>
        <v>0</v>
      </c>
      <c r="AB30" s="2">
        <f>+IFERROR(VLOOKUP($AB$17,Sheet1!F21:I21,3,0),0)</f>
        <v>0</v>
      </c>
      <c r="AC30" s="149">
        <v>618</v>
      </c>
      <c r="AD30" s="13">
        <f>+IFERROR(VLOOKUP($AD$17,Sheet1!R21:U21,2,0),0)</f>
        <v>0</v>
      </c>
      <c r="AE30" s="149">
        <v>2674</v>
      </c>
      <c r="AF30" s="13">
        <f>+IFERROR(VLOOKUP($AF$17,Sheet1!V21:Y21,3,0),0)</f>
        <v>0</v>
      </c>
      <c r="AG30" s="13">
        <f>+IFERROR(VLOOKUP($AG$17,Sheet1!V21:Y21,3,0),0)</f>
        <v>0</v>
      </c>
      <c r="AH30" s="13">
        <f>+IFERROR(VLOOKUP($AH$17,Sheet1!V21:Y21,3,0),0)</f>
        <v>0</v>
      </c>
      <c r="AI30" s="13">
        <f>+IFERROR(VLOOKUP($AI$17,Sheet1!V21:Y21,3,0),0)</f>
        <v>0</v>
      </c>
      <c r="AJ30" s="13">
        <f>+IFERROR(VLOOKUP($AJ$17,Sheet1!V21:Y21,3,0),0)</f>
        <v>0</v>
      </c>
      <c r="AK30" s="13">
        <f>+IFERROR(VLOOKUP($AK$17,Sheet1!Z21:AB21,3,0),0)</f>
        <v>0</v>
      </c>
      <c r="AL30" s="13">
        <f>+IFERROR(VLOOKUP($AL$17,Sheet1!AD21:AG21,3,0),0)</f>
        <v>0</v>
      </c>
      <c r="AM30" s="13">
        <f>+IFERROR(VLOOKUP($AM$17,Sheet1!AD21:AG21,3,0),0)</f>
        <v>0</v>
      </c>
      <c r="AN30" s="13">
        <f>+IFERROR(VLOOKUP($AN$17,Sheet1!AD21:AG21,3,0),0)</f>
        <v>0</v>
      </c>
      <c r="AO30" s="13">
        <f>+IFERROR(VLOOKUP($AO$17,Sheet1!AD21:AG21,3,0),0)</f>
        <v>0</v>
      </c>
      <c r="AP30" s="13">
        <f>+IFERROR(VLOOKUP($AP$17,Sheet1!AD21:AG21,3,0),0)</f>
        <v>0</v>
      </c>
      <c r="AQ30" s="146">
        <v>1629</v>
      </c>
      <c r="AR30" s="13"/>
      <c r="AS30" s="13">
        <f>+IFERROR(VLOOKUP($AS$17,Sheet1!AH21:AK21,3,0),0)</f>
        <v>0</v>
      </c>
      <c r="AT30" s="13">
        <f>+IFERROR(VLOOKUP($AT$17,Sheet1!AH21:AK21,3,0),0)</f>
        <v>0</v>
      </c>
      <c r="AU30" s="13">
        <f>+IFERROR(VLOOKUP($AU$17,Sheet1!AH21:AK21,3,0),0)</f>
        <v>0</v>
      </c>
      <c r="AV30" s="13">
        <f>+IFERROR(VLOOKUP($AV$17,Sheet1!AH21:AK21,3,0),0)</f>
        <v>0</v>
      </c>
      <c r="AW30" s="13">
        <f>+IFERROR(VLOOKUP($AW$17,Sheet1!AH21:AK21,3,0),0)</f>
        <v>0</v>
      </c>
      <c r="AX30" s="13">
        <f>+IFERROR(VLOOKUP($AX$17,Sheet1!AH21:AK21,3,0),0)</f>
        <v>0</v>
      </c>
      <c r="AY30" s="13">
        <f>+IFERROR(VLOOKUP($AY$17,Sheet1!AH21:AK21,3,0),0)</f>
        <v>0</v>
      </c>
      <c r="AZ30" s="13">
        <f>+IFERROR(VLOOKUP($AZ$17,Sheet1!AH21:AK21,3,0),0)</f>
        <v>0</v>
      </c>
      <c r="BA30" s="146">
        <v>7284</v>
      </c>
      <c r="BB30" s="13">
        <f>+IFERROR(VLOOKUP($BB$17,Sheet1!AH21:AK21,3,0),0)</f>
        <v>0</v>
      </c>
      <c r="BC30" s="13">
        <f>+IFERROR(VLOOKUP($BC$17,Sheet1!AL21:AO21,3,0),0)</f>
        <v>0</v>
      </c>
      <c r="BD30" s="13">
        <f>+IFERROR(VLOOKUP($BD$17,Sheet1!AL21:AO21,3,0),0)</f>
        <v>0</v>
      </c>
      <c r="BE30" s="13">
        <f>+IFERROR(VLOOKUP($BE$17,Sheet1!AL21:AO21,3,0),0)</f>
        <v>0</v>
      </c>
      <c r="BF30" s="146">
        <v>1760</v>
      </c>
      <c r="BG30" s="13">
        <f>+IFERROR(VLOOKUP($BG$17,Sheet1!AL21:AO21,3,0),0)</f>
        <v>0</v>
      </c>
      <c r="BH30" s="13">
        <f>+IFERROR(VLOOKUP($BH$17,Sheet1!AL21:AO21,3,0),0)</f>
        <v>0</v>
      </c>
      <c r="BI30" s="13">
        <f>+IFERROR(VLOOKUP($BI$17,Sheet1!AL21:AO21,3,0),0)</f>
        <v>0</v>
      </c>
      <c r="BJ30" s="13">
        <f>+IFERROR(VLOOKUP($BJ$17,Sheet1!AL21:AO21,3,0),0)</f>
        <v>0</v>
      </c>
      <c r="BK30" s="13">
        <f>+IFERROR(VLOOKUP($BK$17,Sheet1!AL21:AO21,3,0),0)</f>
        <v>0</v>
      </c>
      <c r="BL30" s="146">
        <v>1750</v>
      </c>
      <c r="BM30" s="13">
        <f>+IFERROR(VLOOKUP($BM$17,Sheet1!AP21:AS21,3,0),0)</f>
        <v>0</v>
      </c>
      <c r="BN30" s="146">
        <v>58</v>
      </c>
      <c r="BO30" s="13"/>
      <c r="BP30" s="146">
        <v>114</v>
      </c>
      <c r="BQ30" s="13">
        <f>+IFERROR(VLOOKUP($BQ$17,Sheet1!BF21:BI21,3,0),0)</f>
        <v>0</v>
      </c>
      <c r="BR30" s="13">
        <f>+IFERROR(VLOOKUP($BR$17,Sheet1!BJ21:BM21,3,0),0)</f>
        <v>0</v>
      </c>
      <c r="BS30" s="13">
        <f>+IFERROR(VLOOKUP($BS$17,Sheet1!BN21:BQ21,3,0),0)</f>
        <v>0</v>
      </c>
      <c r="BT30" s="146">
        <v>76</v>
      </c>
      <c r="BU30" s="13">
        <f>+IFERROR(VLOOKUP($BU$17,Sheet1!BV21:BY21,3,0),0)</f>
        <v>0</v>
      </c>
      <c r="BV30" s="13" t="str">
        <f>Sheet1!E21</f>
        <v>STEEL</v>
      </c>
      <c r="BW30" s="13" t="str">
        <f>Sheet1!CV21</f>
        <v>SP0400137</v>
      </c>
      <c r="BX30" s="146" t="str">
        <f>Sheet1!CW21</f>
        <v>CORRUGATED DISPATCH STEEL DRUM 2600 X 1600 X 1600 MM</v>
      </c>
      <c r="BY30" s="146">
        <f>Sheet1!CX21</f>
        <v>250</v>
      </c>
      <c r="BZ30" s="3">
        <f>44000/0.25</f>
        <v>176000</v>
      </c>
      <c r="CA30" s="3">
        <f t="shared" si="5"/>
        <v>2890683</v>
      </c>
      <c r="CB30" s="23">
        <v>0.01</v>
      </c>
      <c r="CC30" s="3">
        <f t="shared" si="6"/>
        <v>28906.83</v>
      </c>
      <c r="CD30" s="44">
        <v>0.25</v>
      </c>
      <c r="CE30" s="3">
        <f t="shared" si="7"/>
        <v>722670.75</v>
      </c>
      <c r="CF30" s="44">
        <f>Sheet1!CF21</f>
        <v>0</v>
      </c>
      <c r="CG30" s="3">
        <f t="shared" si="8"/>
        <v>0</v>
      </c>
      <c r="CH30" s="3">
        <f t="shared" si="9"/>
        <v>3642260.58</v>
      </c>
      <c r="CI30" s="44">
        <v>0.02</v>
      </c>
      <c r="CJ30" s="1">
        <f t="shared" si="13"/>
        <v>72845.21160000001</v>
      </c>
      <c r="CK30" s="44">
        <v>0.01</v>
      </c>
      <c r="CL30" s="1">
        <f t="shared" si="11"/>
        <v>36422.605800000005</v>
      </c>
    </row>
    <row r="31" spans="1:90" ht="25.5" x14ac:dyDescent="0.25">
      <c r="A31" s="1" t="str">
        <f>Sheet1!A20</f>
        <v>ENQ-15138-22-23</v>
      </c>
      <c r="B31" s="47">
        <f>Sheet1!B20</f>
        <v>45627</v>
      </c>
      <c r="C31" s="1" t="str">
        <f>Sheet1!C20</f>
        <v>FA1300081</v>
      </c>
      <c r="D31" s="145" t="str">
        <f>Sheet1!D20</f>
        <v>3 CORE X 300 SQ. MM. AL/ARM - WIRE (XLPE) - 33 KV</v>
      </c>
      <c r="E31" s="3">
        <f t="shared" si="0"/>
        <v>3269603.3454</v>
      </c>
      <c r="F31" s="151">
        <f t="shared" si="12"/>
        <v>66858</v>
      </c>
      <c r="G31" s="9">
        <f t="shared" si="1"/>
        <v>3336461.3454</v>
      </c>
      <c r="H31" s="7">
        <f>Sheet1!CP20</f>
        <v>0.18</v>
      </c>
      <c r="I31" s="9">
        <f t="shared" si="2"/>
        <v>600563.04217199993</v>
      </c>
      <c r="J31" s="9">
        <f t="shared" si="3"/>
        <v>3937024.3875719998</v>
      </c>
      <c r="K31" s="1">
        <f>Sheet1!CS20</f>
        <v>17.5</v>
      </c>
      <c r="L31" s="1" t="str">
        <f>Sheet1!CT20</f>
        <v>KMS</v>
      </c>
      <c r="M31" s="3">
        <f t="shared" si="4"/>
        <v>68897926.782509997</v>
      </c>
      <c r="N31" s="2">
        <f>+IFERROR(VLOOKUP($N$17,Sheet1!J20:L20,3,0),0)</f>
        <v>2430</v>
      </c>
      <c r="O31" s="2">
        <f>+IFERROR(VLOOKUP($O$17,Sheet1!J20:L20,3,0),0)</f>
        <v>0</v>
      </c>
      <c r="P31" s="2">
        <f>+IFERROR(VLOOKUP($P$17,Sheet1!J20:M20,3,0),0)</f>
        <v>0</v>
      </c>
      <c r="Q31" s="2">
        <f>+IFERROR(VLOOKUP($Q$17,Sheet1!J20:M20,3,0),0)</f>
        <v>0</v>
      </c>
      <c r="R31" s="2">
        <f>+IFERROR(VLOOKUP($R$17,Sheet1!J20:M20,3,0),0)</f>
        <v>0</v>
      </c>
      <c r="S31" s="2">
        <f>+IFERROR(VLOOKUP($S$17,Sheet1!N20:Q20,3,0),0)</f>
        <v>0</v>
      </c>
      <c r="T31" s="2">
        <f>+IFERROR(VLOOKUP($T$17,Sheet1!N20:Q20,3,0),0)</f>
        <v>0</v>
      </c>
      <c r="U31" s="2">
        <f>+IFERROR(VLOOKUP($U$17,Sheet1!F20:I20,3,0),0)</f>
        <v>0</v>
      </c>
      <c r="V31" s="2">
        <f>+IFERROR(VLOOKUP($V$17,Sheet1!F20:I20,3,0),0)</f>
        <v>0</v>
      </c>
      <c r="W31" s="2">
        <f>+IFERROR(VLOOKUP($W$17,Sheet1!F20:I20,3,0),0)</f>
        <v>0</v>
      </c>
      <c r="X31" s="2">
        <f>+IFERROR(VLOOKUP($X$17,Sheet1!F20:I20,3,0),0)</f>
        <v>0</v>
      </c>
      <c r="Y31" s="149">
        <v>214</v>
      </c>
      <c r="Z31" s="2">
        <f>+IFERROR(VLOOKUP($Z$17,Sheet1!F20:I20,3,0),0)</f>
        <v>0</v>
      </c>
      <c r="AA31" s="2">
        <f>+IFERROR(VLOOKUP($AA$17,Sheet1!F20:I20,3,0),0)</f>
        <v>0</v>
      </c>
      <c r="AB31" s="2">
        <f>+IFERROR(VLOOKUP($AB$17,Sheet1!F20:I20,3,0),0)</f>
        <v>0</v>
      </c>
      <c r="AC31" s="149">
        <v>564</v>
      </c>
      <c r="AD31" s="13">
        <f>+IFERROR(VLOOKUP($AD$17,Sheet1!R20:U20,2,0),0)</f>
        <v>0</v>
      </c>
      <c r="AE31" s="149">
        <v>2438</v>
      </c>
      <c r="AF31" s="13">
        <f>+IFERROR(VLOOKUP($AF$17,Sheet1!V20:Y20,3,0),0)</f>
        <v>0</v>
      </c>
      <c r="AG31" s="13">
        <f>+IFERROR(VLOOKUP($AG$17,Sheet1!V20:Y20,3,0),0)</f>
        <v>0</v>
      </c>
      <c r="AH31" s="13">
        <f>+IFERROR(VLOOKUP($AH$17,Sheet1!V20:Y20,3,0),0)</f>
        <v>0</v>
      </c>
      <c r="AI31" s="13">
        <f>+IFERROR(VLOOKUP($AI$17,Sheet1!V20:Y20,3,0),0)</f>
        <v>0</v>
      </c>
      <c r="AJ31" s="13">
        <f>+IFERROR(VLOOKUP($AJ$17,Sheet1!V20:Y20,3,0),0)</f>
        <v>0</v>
      </c>
      <c r="AK31" s="13">
        <f>+IFERROR(VLOOKUP($AK$17,Sheet1!Z20:AB20,3,0),0)</f>
        <v>0</v>
      </c>
      <c r="AL31" s="13">
        <f>+IFERROR(VLOOKUP($AL$17,Sheet1!AD20:AG20,3,0),0)</f>
        <v>0</v>
      </c>
      <c r="AM31" s="13">
        <f>+IFERROR(VLOOKUP($AM$17,Sheet1!AD20:AG20,3,0),0)</f>
        <v>0</v>
      </c>
      <c r="AN31" s="13">
        <f>+IFERROR(VLOOKUP($AN$17,Sheet1!AD20:AG20,3,0),0)</f>
        <v>0</v>
      </c>
      <c r="AO31" s="13">
        <f>+IFERROR(VLOOKUP($AO$17,Sheet1!AD20:AG20,3,0),0)</f>
        <v>0</v>
      </c>
      <c r="AP31" s="13">
        <f>+IFERROR(VLOOKUP($AP$17,Sheet1!AD20:AG20,3,0),0)</f>
        <v>0</v>
      </c>
      <c r="AQ31" s="146">
        <v>1449</v>
      </c>
      <c r="AR31" s="13"/>
      <c r="AS31" s="13">
        <f>+IFERROR(VLOOKUP($AS$17,Sheet1!AH20:AK20,3,0),0)</f>
        <v>0</v>
      </c>
      <c r="AT31" s="13">
        <f>+IFERROR(VLOOKUP($AT$17,Sheet1!AH20:AK20,3,0),0)</f>
        <v>0</v>
      </c>
      <c r="AU31" s="13">
        <f>+IFERROR(VLOOKUP($AU$17,Sheet1!AH20:AK20,3,0),0)</f>
        <v>0</v>
      </c>
      <c r="AV31" s="13">
        <f>+IFERROR(VLOOKUP($AV$17,Sheet1!AH20:AK20,3,0),0)</f>
        <v>0</v>
      </c>
      <c r="AW31" s="13">
        <f>+IFERROR(VLOOKUP($AW$17,Sheet1!AH20:AK20,3,0),0)</f>
        <v>0</v>
      </c>
      <c r="AX31" s="13">
        <f>+IFERROR(VLOOKUP($AX$17,Sheet1!AH20:AK20,3,0),0)</f>
        <v>0</v>
      </c>
      <c r="AY31" s="13">
        <f>+IFERROR(VLOOKUP($AY$17,Sheet1!AH20:AK20,3,0),0)</f>
        <v>0</v>
      </c>
      <c r="AZ31" s="13">
        <f>+IFERROR(VLOOKUP($AZ$17,Sheet1!AH20:AK20,3,0),0)</f>
        <v>0</v>
      </c>
      <c r="BA31" s="146">
        <v>6874</v>
      </c>
      <c r="BB31" s="13">
        <f>+IFERROR(VLOOKUP($BB$17,Sheet1!AH20:AK20,3,0),0)</f>
        <v>0</v>
      </c>
      <c r="BC31" s="13">
        <f>+IFERROR(VLOOKUP($BC$17,Sheet1!AL20:AO20,3,0),0)</f>
        <v>0</v>
      </c>
      <c r="BD31" s="13">
        <f>+IFERROR(VLOOKUP($BD$17,Sheet1!AL20:AO20,3,0),0)</f>
        <v>0</v>
      </c>
      <c r="BE31" s="13">
        <f>+IFERROR(VLOOKUP($BE$17,Sheet1!AL20:AO20,3,0),0)</f>
        <v>0</v>
      </c>
      <c r="BF31" s="146">
        <v>1655</v>
      </c>
      <c r="BG31" s="13">
        <f>+IFERROR(VLOOKUP($BG$17,Sheet1!AL20:AO20,3,0),0)</f>
        <v>0</v>
      </c>
      <c r="BH31" s="13">
        <f>+IFERROR(VLOOKUP($BH$17,Sheet1!AL20:AO20,3,0),0)</f>
        <v>0</v>
      </c>
      <c r="BI31" s="13">
        <f>+IFERROR(VLOOKUP($BI$17,Sheet1!AL20:AO20,3,0),0)</f>
        <v>0</v>
      </c>
      <c r="BJ31" s="13">
        <f>+IFERROR(VLOOKUP($BJ$17,Sheet1!AL20:AO20,3,0),0)</f>
        <v>0</v>
      </c>
      <c r="BK31" s="13">
        <f>+IFERROR(VLOOKUP($BK$17,Sheet1!AL20:AO20,3,0),0)</f>
        <v>0</v>
      </c>
      <c r="BL31" s="146">
        <v>1525</v>
      </c>
      <c r="BM31" s="13">
        <f>+IFERROR(VLOOKUP($BM$17,Sheet1!AP20:AS20,3,0),0)</f>
        <v>0</v>
      </c>
      <c r="BN31" s="146">
        <v>38</v>
      </c>
      <c r="BO31" s="13">
        <f>+IFERROR(VLOOKUP($BO$17,Sheet1!AX20:BA20,3,0),0)</f>
        <v>0</v>
      </c>
      <c r="BP31" s="146">
        <v>104</v>
      </c>
      <c r="BQ31" s="13">
        <f>+IFERROR(VLOOKUP($BQ$17,Sheet1!BF20:BI20,3,0),0)</f>
        <v>0</v>
      </c>
      <c r="BR31" s="13">
        <f>+IFERROR(VLOOKUP($BR$17,Sheet1!BJ20:BM20,3,0),0)</f>
        <v>0</v>
      </c>
      <c r="BS31" s="13">
        <f>+IFERROR(VLOOKUP($BS$17,Sheet1!BN20:BQ20,3,0),0)</f>
        <v>0</v>
      </c>
      <c r="BT31" s="146">
        <v>72</v>
      </c>
      <c r="BU31" s="13">
        <f>+IFERROR(VLOOKUP($BU$17,Sheet1!BV20:BY20,3,0),0)</f>
        <v>0</v>
      </c>
      <c r="BV31" s="13" t="str">
        <f>Sheet1!E20</f>
        <v>STEEL</v>
      </c>
      <c r="BW31" s="13" t="s">
        <v>191</v>
      </c>
      <c r="BX31" s="146" t="s">
        <v>192</v>
      </c>
      <c r="BY31" s="146">
        <f>Sheet1!CX20</f>
        <v>250</v>
      </c>
      <c r="BZ31" s="3">
        <f>40000/0.25</f>
        <v>160000</v>
      </c>
      <c r="CA31" s="3">
        <f t="shared" si="5"/>
        <v>2519343</v>
      </c>
      <c r="CB31" s="23">
        <v>0.01</v>
      </c>
      <c r="CC31" s="3">
        <f t="shared" si="6"/>
        <v>25193.43</v>
      </c>
      <c r="CD31" s="44">
        <v>0.25</v>
      </c>
      <c r="CE31" s="3">
        <f t="shared" si="7"/>
        <v>629835.75</v>
      </c>
      <c r="CF31" s="44">
        <f>Sheet1!CF20</f>
        <v>0</v>
      </c>
      <c r="CG31" s="3">
        <f t="shared" si="8"/>
        <v>0</v>
      </c>
      <c r="CH31" s="3">
        <f t="shared" si="9"/>
        <v>3174372.18</v>
      </c>
      <c r="CI31" s="44">
        <v>0.02</v>
      </c>
      <c r="CJ31" s="1">
        <f t="shared" si="13"/>
        <v>63487.443600000006</v>
      </c>
      <c r="CK31" s="44">
        <v>0.01</v>
      </c>
      <c r="CL31" s="1">
        <f t="shared" si="11"/>
        <v>31743.721800000003</v>
      </c>
    </row>
    <row r="32" spans="1:90" ht="25.5" x14ac:dyDescent="0.25">
      <c r="A32" s="1" t="str">
        <f>Sheet1!A2</f>
        <v>ENQ-15138-22-23</v>
      </c>
      <c r="B32" s="47">
        <f>Sheet1!B2</f>
        <v>45627</v>
      </c>
      <c r="C32" s="1" t="str">
        <f>Sheet1!C2</f>
        <v>FA1300079</v>
      </c>
      <c r="D32" s="145" t="str">
        <f>Sheet1!D2</f>
        <v>3 CORE X 185 SQ. MM AL/ARM - WIRE (XLPE) - 33 KV</v>
      </c>
      <c r="E32" s="3">
        <f t="shared" si="0"/>
        <v>2659700.9375999998</v>
      </c>
      <c r="F32" s="151">
        <f t="shared" si="12"/>
        <v>46800</v>
      </c>
      <c r="G32" s="9">
        <f t="shared" si="1"/>
        <v>2706500.9375999998</v>
      </c>
      <c r="H32" s="7">
        <f>Sheet1!CP2</f>
        <v>0.18</v>
      </c>
      <c r="I32" s="9">
        <f t="shared" si="2"/>
        <v>487170.16876799997</v>
      </c>
      <c r="J32" s="9">
        <f t="shared" si="3"/>
        <v>3193671.1063679997</v>
      </c>
      <c r="K32" s="1">
        <f>Sheet1!CS2</f>
        <v>12.5</v>
      </c>
      <c r="L32" s="1" t="str">
        <f>Sheet1!CT2</f>
        <v>KMS</v>
      </c>
      <c r="M32" s="3">
        <f t="shared" si="4"/>
        <v>39920888.829599999</v>
      </c>
      <c r="N32" s="2">
        <f>+IFERROR(VLOOKUP($N$17,Sheet1!J2:L2,3,0),0)</f>
        <v>1499</v>
      </c>
      <c r="O32" s="2">
        <f>+IFERROR(VLOOKUP($O$17,Sheet1!J2:L2,3,0),0)</f>
        <v>0</v>
      </c>
      <c r="P32" s="2">
        <f>+IFERROR(VLOOKUP($P$17,Sheet1!J2:M2,3,0),0)</f>
        <v>0</v>
      </c>
      <c r="Q32" s="2">
        <f>+IFERROR(VLOOKUP($Q$17,Sheet1!J2:M2,3,0),0)</f>
        <v>0</v>
      </c>
      <c r="R32" s="2">
        <f>+IFERROR(VLOOKUP($R$17,Sheet1!J2:M2,3,0),0)</f>
        <v>0</v>
      </c>
      <c r="S32" s="2">
        <f>+IFERROR(VLOOKUP($S$17,Sheet1!N2:Q2,3,0),0)</f>
        <v>0</v>
      </c>
      <c r="T32" s="2">
        <f>+IFERROR(VLOOKUP($T$17,Sheet1!N2:Q2,3,0),0)</f>
        <v>0</v>
      </c>
      <c r="U32" s="2">
        <f>+IFERROR(VLOOKUP($U$17,Sheet1!F2:I2,3,0),0)</f>
        <v>0</v>
      </c>
      <c r="V32" s="2">
        <f>+IFERROR(VLOOKUP($V$17,Sheet1!F2:I2,3,0),0)</f>
        <v>0</v>
      </c>
      <c r="W32" s="2">
        <f>+IFERROR(VLOOKUP($W$17,Sheet1!F2:I2,3,0),0)</f>
        <v>0</v>
      </c>
      <c r="X32" s="2">
        <f>+IFERROR(VLOOKUP($X$17,Sheet1!F2:I2,3,0),0)</f>
        <v>0</v>
      </c>
      <c r="Y32" s="149">
        <v>191</v>
      </c>
      <c r="Z32" s="2">
        <f>+IFERROR(VLOOKUP($Z$17,Sheet1!F2:I2,3,0),0)</f>
        <v>0</v>
      </c>
      <c r="AA32" s="2">
        <f>+IFERROR(VLOOKUP($AA$17,Sheet1!F2:I2,3,0),0)</f>
        <v>0</v>
      </c>
      <c r="AB32" s="2">
        <f>+IFERROR(VLOOKUP($AB$17,Sheet1!F2:I2,3,0),0)</f>
        <v>0</v>
      </c>
      <c r="AC32" s="149">
        <v>486</v>
      </c>
      <c r="AD32" s="13">
        <f>+IFERROR(VLOOKUP($AD$17,Sheet1!R2:U2,2,0),0)</f>
        <v>0</v>
      </c>
      <c r="AE32" s="149">
        <v>2091</v>
      </c>
      <c r="AF32" s="13">
        <f>+IFERROR(VLOOKUP($AF$17,Sheet1!V2:Y2,3,0),0)</f>
        <v>0</v>
      </c>
      <c r="AG32" s="13">
        <f>+IFERROR(VLOOKUP($AG$17,Sheet1!V2:Y2,3,0),0)</f>
        <v>0</v>
      </c>
      <c r="AH32" s="13">
        <f>+IFERROR(VLOOKUP($AH$17,Sheet1!V2:Y2,3,0),0)</f>
        <v>0</v>
      </c>
      <c r="AI32" s="13">
        <f>+IFERROR(VLOOKUP($AI$17,Sheet1!V2:Y2,3,0),0)</f>
        <v>0</v>
      </c>
      <c r="AJ32" s="13">
        <f>+IFERROR(VLOOKUP($AJ$17,Sheet1!V2:Y2,3,0),0)</f>
        <v>0</v>
      </c>
      <c r="AK32" s="13">
        <f>+IFERROR(VLOOKUP($AK$17,Sheet1!Z2:AB2,3,0),0)</f>
        <v>0</v>
      </c>
      <c r="AL32" s="13">
        <f>+IFERROR(VLOOKUP($AL$17,Sheet1!AD2:AG2,3,0),0)</f>
        <v>0</v>
      </c>
      <c r="AM32" s="13">
        <f>+IFERROR(VLOOKUP($AM$17,Sheet1!AD2:AG2,3,0),0)</f>
        <v>0</v>
      </c>
      <c r="AN32" s="13">
        <f>+IFERROR(VLOOKUP($AN$17,Sheet1!AD2:AG2,3,0),0)</f>
        <v>0</v>
      </c>
      <c r="AO32" s="13">
        <f>+IFERROR(VLOOKUP($AO$17,Sheet1!AD2:AG2,3,0),0)</f>
        <v>0</v>
      </c>
      <c r="AP32" s="13">
        <f>+IFERROR(VLOOKUP($AP$17,Sheet1!AD2:AG2,3,0),0)</f>
        <v>0</v>
      </c>
      <c r="AQ32" s="146">
        <v>1186</v>
      </c>
      <c r="AR32" s="13"/>
      <c r="AS32" s="13">
        <f>+IFERROR(VLOOKUP($AS$17,Sheet1!AH2:AK2,3,0),0)</f>
        <v>0</v>
      </c>
      <c r="AT32" s="13">
        <f>+IFERROR(VLOOKUP($AT$17,Sheet1!AH2:AK2,3,0),0)</f>
        <v>0</v>
      </c>
      <c r="AU32" s="13">
        <f>+IFERROR(VLOOKUP($AU$17,Sheet1!AH2:AK2,3,0),0)</f>
        <v>0</v>
      </c>
      <c r="AV32" s="13">
        <f>+IFERROR(VLOOKUP($AV$17,Sheet1!AH2:AK2,3,0),0)</f>
        <v>0</v>
      </c>
      <c r="AW32" s="13">
        <f>+IFERROR(VLOOKUP($AW$17,Sheet1!AH2:AK2,3,0),0)</f>
        <v>0</v>
      </c>
      <c r="AX32" s="13">
        <f>+IFERROR(VLOOKUP($AX$17,Sheet1!AH2:AK2,3,0),0)</f>
        <v>0</v>
      </c>
      <c r="AY32" s="13">
        <f>+IFERROR(VLOOKUP($AY$17,Sheet1!AH2:AK2,3,0),0)</f>
        <v>0</v>
      </c>
      <c r="AZ32" s="13">
        <f>+IFERROR(VLOOKUP($AZ$17,Sheet1!AH2:AK2,3,0),0)</f>
        <v>0</v>
      </c>
      <c r="BA32" s="146">
        <v>6155</v>
      </c>
      <c r="BB32" s="13">
        <f>+IFERROR(VLOOKUP($BB$17,Sheet1!AH2:AK2,3,0),0)</f>
        <v>0</v>
      </c>
      <c r="BC32" s="13">
        <f>+IFERROR(VLOOKUP($BC$17,Sheet1!AL2:AO2,3,0),0)</f>
        <v>0</v>
      </c>
      <c r="BD32" s="13">
        <f>+IFERROR(VLOOKUP($BD$17,Sheet1!AL2:AO2,3,0),0)</f>
        <v>0</v>
      </c>
      <c r="BE32" s="13">
        <f>+IFERROR(VLOOKUP($BE$17,Sheet1!AL2:AO2,3,0),0)</f>
        <v>0</v>
      </c>
      <c r="BF32" s="146">
        <v>1480</v>
      </c>
      <c r="BG32" s="13">
        <f>+IFERROR(VLOOKUP($BG$17,Sheet1!AL2:AO2,3,0),0)</f>
        <v>0</v>
      </c>
      <c r="BH32" s="13">
        <f>+IFERROR(VLOOKUP($BH$17,Sheet1!AL2:AO2,3,0),0)</f>
        <v>0</v>
      </c>
      <c r="BI32" s="13">
        <f>+IFERROR(VLOOKUP($BI$17,Sheet1!AL2:AO2,3,0),0)</f>
        <v>0</v>
      </c>
      <c r="BJ32" s="13">
        <f>+IFERROR(VLOOKUP($BJ$17,Sheet1!AL2:AO2,3,0),0)</f>
        <v>0</v>
      </c>
      <c r="BK32" s="13">
        <f>+IFERROR(VLOOKUP($BK$17,Sheet1!AL2:AO2,3,0),0)</f>
        <v>0</v>
      </c>
      <c r="BL32" s="146">
        <v>1224</v>
      </c>
      <c r="BM32" s="13">
        <f>+IFERROR(VLOOKUP($BM$17,Sheet1!AP2:AS2,3,0),0)</f>
        <v>0</v>
      </c>
      <c r="BN32" s="146">
        <v>35</v>
      </c>
      <c r="BO32" s="13">
        <f>+IFERROR(VLOOKUP($BO$17,Sheet1!AX2:BA2,3,0),0)</f>
        <v>0</v>
      </c>
      <c r="BP32" s="146">
        <v>90</v>
      </c>
      <c r="BQ32" s="13">
        <f>+IFERROR(VLOOKUP($BQ$17,Sheet1!BF2:BI2,3,0),0)</f>
        <v>0</v>
      </c>
      <c r="BR32" s="13">
        <f>+IFERROR(VLOOKUP($BR$17,Sheet1!BJ2:BM2,3,0),0)</f>
        <v>0</v>
      </c>
      <c r="BS32" s="13">
        <f>+IFERROR(VLOOKUP($BS$17,Sheet1!BN2:BQ2,3,0),0)</f>
        <v>0</v>
      </c>
      <c r="BT32" s="146">
        <v>65</v>
      </c>
      <c r="BU32" s="13">
        <f>+IFERROR(VLOOKUP($BU$17,Sheet1!BV2:BY2,3,0),0)</f>
        <v>0</v>
      </c>
      <c r="BV32" s="13" t="str">
        <f>Sheet1!E2</f>
        <v>STEEL</v>
      </c>
      <c r="BW32" s="13" t="s">
        <v>332</v>
      </c>
      <c r="BX32" s="146" t="s">
        <v>333</v>
      </c>
      <c r="BY32" s="146">
        <f>Sheet1!CX2</f>
        <v>250</v>
      </c>
      <c r="BZ32" s="3">
        <f>36900/0.25</f>
        <v>147600</v>
      </c>
      <c r="CA32" s="3">
        <f t="shared" si="5"/>
        <v>2049392</v>
      </c>
      <c r="CB32" s="23">
        <v>0.01</v>
      </c>
      <c r="CC32" s="3">
        <f t="shared" si="6"/>
        <v>20493.920000000002</v>
      </c>
      <c r="CD32" s="44">
        <v>0.25</v>
      </c>
      <c r="CE32" s="3">
        <f t="shared" si="7"/>
        <v>512348</v>
      </c>
      <c r="CF32" s="44">
        <f>Sheet1!CF2</f>
        <v>0</v>
      </c>
      <c r="CG32" s="3">
        <f t="shared" si="8"/>
        <v>0</v>
      </c>
      <c r="CH32" s="3">
        <f t="shared" si="9"/>
        <v>2582233.92</v>
      </c>
      <c r="CI32" s="44">
        <v>0.02</v>
      </c>
      <c r="CJ32" s="1">
        <f t="shared" si="13"/>
        <v>51644.678399999997</v>
      </c>
      <c r="CK32" s="44">
        <v>0.01</v>
      </c>
      <c r="CL32" s="1">
        <f t="shared" si="11"/>
        <v>25822.339199999999</v>
      </c>
    </row>
    <row r="33" spans="1:90" ht="25.5" x14ac:dyDescent="0.25">
      <c r="A33" s="1" t="str">
        <f>Sheet1!A5</f>
        <v>ENQ-15138-22-23</v>
      </c>
      <c r="B33" s="47">
        <f>Sheet1!B5</f>
        <v>45627</v>
      </c>
      <c r="C33" s="1" t="str">
        <f>Sheet1!C5</f>
        <v>FA1300200</v>
      </c>
      <c r="D33" s="145" t="str">
        <f>Sheet1!D5</f>
        <v>3 CORE X 95 SQ. MM. AL/ARM  WIRE (XLPE) - 33 KV</v>
      </c>
      <c r="E33" s="3">
        <f t="shared" si="0"/>
        <v>1960522.8677999999</v>
      </c>
      <c r="F33" s="151">
        <f t="shared" si="12"/>
        <v>32500</v>
      </c>
      <c r="G33" s="9">
        <f t="shared" si="1"/>
        <v>1993022.8677999999</v>
      </c>
      <c r="H33" s="7">
        <f>Sheet1!CP5</f>
        <v>0.18</v>
      </c>
      <c r="I33" s="9">
        <f t="shared" si="2"/>
        <v>358744.11620399996</v>
      </c>
      <c r="J33" s="9">
        <f t="shared" si="3"/>
        <v>2351766.9840039997</v>
      </c>
      <c r="K33" s="1">
        <f>Sheet1!CS5</f>
        <v>4</v>
      </c>
      <c r="L33" s="1" t="str">
        <f>Sheet1!CT5</f>
        <v>KMS</v>
      </c>
      <c r="M33" s="3">
        <f t="shared" si="4"/>
        <v>9407067.9360159989</v>
      </c>
      <c r="N33" s="2">
        <f>+IFERROR(VLOOKUP($N$17,Sheet1!J5:L5,3,0),0)</f>
        <v>770</v>
      </c>
      <c r="O33" s="2">
        <f>+IFERROR(VLOOKUP($O$17,Sheet1!J5:L5,3,0),0)</f>
        <v>0</v>
      </c>
      <c r="P33" s="2">
        <f>+IFERROR(VLOOKUP($P$17,Sheet1!J5:M5,3,0),0)</f>
        <v>0</v>
      </c>
      <c r="Q33" s="2">
        <f>+IFERROR(VLOOKUP($Q$17,Sheet1!J5:M5,3,0),0)</f>
        <v>0</v>
      </c>
      <c r="R33" s="2">
        <f>+IFERROR(VLOOKUP($R$17,Sheet1!J5:M5,3,0),0)</f>
        <v>0</v>
      </c>
      <c r="S33" s="2">
        <f>+IFERROR(VLOOKUP($S$17,Sheet1!N5:Q5,3,0),0)</f>
        <v>0</v>
      </c>
      <c r="T33" s="2">
        <f>+IFERROR(VLOOKUP($T$17,Sheet1!N5:Q5,3,0),0)</f>
        <v>0</v>
      </c>
      <c r="U33" s="2">
        <f>+IFERROR(VLOOKUP($U$17,Sheet1!F5:I5,3,0),0)</f>
        <v>0</v>
      </c>
      <c r="V33" s="2">
        <f>+IFERROR(VLOOKUP($V$17,Sheet1!F5:I5,3,0),0)</f>
        <v>0</v>
      </c>
      <c r="W33" s="2">
        <f>+IFERROR(VLOOKUP($W$17,Sheet1!F5:I5,3,0),0)</f>
        <v>0</v>
      </c>
      <c r="X33" s="2">
        <f>+IFERROR(VLOOKUP($X$17,Sheet1!F5:I5,3,0),0)</f>
        <v>0</v>
      </c>
      <c r="Y33" s="149">
        <v>167</v>
      </c>
      <c r="Z33" s="2">
        <f>+IFERROR(VLOOKUP($Z$17,Sheet1!F5:I5,3,0),0)</f>
        <v>0</v>
      </c>
      <c r="AA33" s="2">
        <f>+IFERROR(VLOOKUP($AA$17,Sheet1!F5:I5,3,0),0)</f>
        <v>0</v>
      </c>
      <c r="AB33" s="2">
        <f>+IFERROR(VLOOKUP($AB$17,Sheet1!F5:I5,3,0),0)</f>
        <v>0</v>
      </c>
      <c r="AC33" s="149">
        <v>403</v>
      </c>
      <c r="AD33" s="13">
        <f>+IFERROR(VLOOKUP($AD$17,Sheet1!R5:U5,2,0),0)</f>
        <v>0</v>
      </c>
      <c r="AE33" s="149">
        <v>1724</v>
      </c>
      <c r="AF33" s="13">
        <f>+IFERROR(VLOOKUP($AF$17,Sheet1!V5:Y5,3,0),0)</f>
        <v>0</v>
      </c>
      <c r="AG33" s="13">
        <f>+IFERROR(VLOOKUP($AG$17,Sheet1!V5:Y5,3,0),0)</f>
        <v>0</v>
      </c>
      <c r="AH33" s="13">
        <f>+IFERROR(VLOOKUP($AH$17,Sheet1!V5:Y5,3,0),0)</f>
        <v>0</v>
      </c>
      <c r="AI33" s="13">
        <f>+IFERROR(VLOOKUP($AI$17,Sheet1!V5:Y5,3,0),0)</f>
        <v>0</v>
      </c>
      <c r="AJ33" s="13">
        <f>+IFERROR(VLOOKUP($AJ$17,Sheet1!V5:Y5,3,0),0)</f>
        <v>0</v>
      </c>
      <c r="AK33" s="13">
        <f>+IFERROR(VLOOKUP($AK$17,Sheet1!Z5:AB5,3,0),0)</f>
        <v>0</v>
      </c>
      <c r="AL33" s="13">
        <f>+IFERROR(VLOOKUP($AL$17,Sheet1!AD5:AG5,3,0),0)</f>
        <v>0</v>
      </c>
      <c r="AM33" s="13">
        <f>+IFERROR(VLOOKUP($AM$17,Sheet1!AD5:AG5,3,0),0)</f>
        <v>0</v>
      </c>
      <c r="AN33" s="13">
        <f>+IFERROR(VLOOKUP($AN$17,Sheet1!AD5:AG5,3,0),0)</f>
        <v>0</v>
      </c>
      <c r="AO33" s="13">
        <f>+IFERROR(VLOOKUP($AO$17,Sheet1!AD5:AG5,3,0),0)</f>
        <v>0</v>
      </c>
      <c r="AP33" s="13">
        <f>+IFERROR(VLOOKUP($AP$17,Sheet1!AD5:AG5,3,0),0)</f>
        <v>0</v>
      </c>
      <c r="AQ33" s="146">
        <v>950</v>
      </c>
      <c r="AR33" s="13"/>
      <c r="AS33" s="13">
        <f>+IFERROR(VLOOKUP($AS$17,Sheet1!AH5:AK5,3,0),0)</f>
        <v>0</v>
      </c>
      <c r="AT33" s="13">
        <f>+IFERROR(VLOOKUP($AT$17,Sheet1!AH5:AK5,3,0),0)</f>
        <v>0</v>
      </c>
      <c r="AU33" s="13">
        <f>+IFERROR(VLOOKUP($AU$17,Sheet1!AH5:AK5,3,0),0)</f>
        <v>0</v>
      </c>
      <c r="AV33" s="13">
        <f>+IFERROR(VLOOKUP($AV$17,Sheet1!AH5:AK5,3,0),0)</f>
        <v>0</v>
      </c>
      <c r="AW33" s="13">
        <f>+IFERROR(VLOOKUP($AW$17,Sheet1!AH5:AK5,3,0),0)</f>
        <v>0</v>
      </c>
      <c r="AX33" s="13">
        <f>+IFERROR(VLOOKUP($AX$17,Sheet1!AH5:AK5,3,0),0)</f>
        <v>0</v>
      </c>
      <c r="AY33" s="13">
        <f>+IFERROR(VLOOKUP($AY$17,Sheet1!AH5:AK5,3,0),0)</f>
        <v>0</v>
      </c>
      <c r="AZ33" s="13">
        <f>+IFERROR(VLOOKUP($AZ$17,Sheet1!AH5:AK5,3,0),0)</f>
        <v>0</v>
      </c>
      <c r="BA33" s="146">
        <v>4262</v>
      </c>
      <c r="BB33" s="13">
        <f>+IFERROR(VLOOKUP($BB$17,Sheet1!AH5:AK5,3,0),0)</f>
        <v>0</v>
      </c>
      <c r="BC33" s="13">
        <f>+IFERROR(VLOOKUP($BC$17,Sheet1!AL5:AO5,3,0),0)</f>
        <v>0</v>
      </c>
      <c r="BD33" s="13">
        <f>+IFERROR(VLOOKUP($BD$17,Sheet1!AL5:AO5,3,0),0)</f>
        <v>0</v>
      </c>
      <c r="BE33" s="13">
        <f>+IFERROR(VLOOKUP($BE$17,Sheet1!AL5:AO5,3,0),0)</f>
        <v>0</v>
      </c>
      <c r="BF33" s="146">
        <v>1296</v>
      </c>
      <c r="BG33" s="13">
        <f>+IFERROR(VLOOKUP($BG$17,Sheet1!AL5:AO5,3,0),0)</f>
        <v>0</v>
      </c>
      <c r="BH33" s="13">
        <f>+IFERROR(VLOOKUP($BH$17,Sheet1!AL5:AO5,3,0),0)</f>
        <v>0</v>
      </c>
      <c r="BI33" s="13">
        <f>+IFERROR(VLOOKUP($BI$17,Sheet1!AL5:AO5,3,0),0)</f>
        <v>0</v>
      </c>
      <c r="BJ33" s="13">
        <f>+IFERROR(VLOOKUP($BJ$17,Sheet1!AL5:AO5,3,0),0)</f>
        <v>0</v>
      </c>
      <c r="BK33" s="13">
        <f>+IFERROR(VLOOKUP($BK$17,Sheet1!AL5:AO5,3,0),0)</f>
        <v>0</v>
      </c>
      <c r="BL33" s="146">
        <v>940</v>
      </c>
      <c r="BM33" s="13">
        <f>+IFERROR(VLOOKUP($BM$17,Sheet1!AP5:AS5,3,0),0)</f>
        <v>0</v>
      </c>
      <c r="BN33" s="146">
        <v>15</v>
      </c>
      <c r="BO33" s="13">
        <f>+IFERROR(VLOOKUP($BO$17,Sheet1!AX5:BA5,3,0),0)</f>
        <v>0</v>
      </c>
      <c r="BP33" s="146">
        <v>75</v>
      </c>
      <c r="BQ33" s="13">
        <f>+IFERROR(VLOOKUP($BQ$17,Sheet1!BF5:BI5,3,0),0)</f>
        <v>0</v>
      </c>
      <c r="BR33" s="13">
        <f>+IFERROR(VLOOKUP($BR$17,Sheet1!BJ5:BM5,3,0),0)</f>
        <v>0</v>
      </c>
      <c r="BS33" s="13">
        <f>+IFERROR(VLOOKUP($BS$17,Sheet1!BN5:BQ5,3,0),0)</f>
        <v>0</v>
      </c>
      <c r="BT33" s="146">
        <v>57</v>
      </c>
      <c r="BU33" s="13">
        <f>+IFERROR(VLOOKUP($BU$17,Sheet1!BV5:BY5,3,0),0)</f>
        <v>0</v>
      </c>
      <c r="BV33" s="13" t="str">
        <f>Sheet1!E5</f>
        <v>STEEL</v>
      </c>
      <c r="BW33" s="13" t="str">
        <f>Sheet1!CV5</f>
        <v>SP0400136</v>
      </c>
      <c r="BX33" s="146" t="str">
        <f>Sheet1!CW5</f>
        <v>CORRUGATED DISPATCH STEEL DRUM 2200 X 1300 X 1200 MM</v>
      </c>
      <c r="BY33" s="146">
        <f>Sheet1!CX5</f>
        <v>250</v>
      </c>
      <c r="BZ33" s="3">
        <f>32000/0.25</f>
        <v>128000</v>
      </c>
      <c r="CA33" s="3">
        <f t="shared" si="5"/>
        <v>1510651</v>
      </c>
      <c r="CB33" s="23">
        <v>0.01</v>
      </c>
      <c r="CC33" s="3">
        <f t="shared" si="6"/>
        <v>15106.51</v>
      </c>
      <c r="CD33" s="44">
        <v>0.25</v>
      </c>
      <c r="CE33" s="3">
        <f t="shared" si="7"/>
        <v>377662.75</v>
      </c>
      <c r="CF33" s="44">
        <f>Sheet1!CF5</f>
        <v>0</v>
      </c>
      <c r="CG33" s="3">
        <f t="shared" si="8"/>
        <v>0</v>
      </c>
      <c r="CH33" s="3">
        <f t="shared" si="9"/>
        <v>1903420.26</v>
      </c>
      <c r="CI33" s="44">
        <v>0.02</v>
      </c>
      <c r="CJ33" s="1">
        <f t="shared" si="13"/>
        <v>38068.405200000001</v>
      </c>
      <c r="CK33" s="44">
        <v>0.01</v>
      </c>
      <c r="CL33" s="1">
        <f t="shared" si="11"/>
        <v>19034.202600000001</v>
      </c>
    </row>
    <row r="34" spans="1:90" ht="25.5" x14ac:dyDescent="0.25">
      <c r="A34" s="1" t="str">
        <f>Sheet1!A4</f>
        <v>ENQ-15138-22-23</v>
      </c>
      <c r="B34" s="47">
        <f>Sheet1!B4</f>
        <v>45627</v>
      </c>
      <c r="C34" s="1" t="str">
        <f>Sheet1!C4</f>
        <v>FA1300120</v>
      </c>
      <c r="D34" s="145" t="str">
        <f>Sheet1!D4</f>
        <v>3 CORE X 70 SQ. MM. AL/ARM - WIRE (XLPE) - 33 KV</v>
      </c>
      <c r="E34" s="3">
        <f t="shared" si="0"/>
        <v>1826652.2021999999</v>
      </c>
      <c r="F34" s="151">
        <f t="shared" si="12"/>
        <v>43334</v>
      </c>
      <c r="G34" s="9">
        <f t="shared" si="1"/>
        <v>1869986.2021999999</v>
      </c>
      <c r="H34" s="7">
        <f>Sheet1!CP4</f>
        <v>0.18</v>
      </c>
      <c r="I34" s="9">
        <f t="shared" si="2"/>
        <v>336597.51639599999</v>
      </c>
      <c r="J34" s="9">
        <f t="shared" si="3"/>
        <v>2206583.7185959998</v>
      </c>
      <c r="K34" s="1">
        <f>Sheet1!CS4</f>
        <v>3</v>
      </c>
      <c r="L34" s="1" t="str">
        <f>Sheet1!CT4</f>
        <v>KMS</v>
      </c>
      <c r="M34" s="3">
        <f t="shared" si="4"/>
        <v>6619751.1557879988</v>
      </c>
      <c r="N34" s="149">
        <f>+IFERROR(VLOOKUP($N$17,Sheet1!J4:L4,3,0),0)</f>
        <v>567</v>
      </c>
      <c r="O34" s="2">
        <f>+IFERROR(VLOOKUP($O$17,Sheet1!J4:L4,3,0),0)</f>
        <v>0</v>
      </c>
      <c r="P34" s="2">
        <f>+IFERROR(VLOOKUP($P$17,Sheet1!J4:M4,3,0),0)</f>
        <v>0</v>
      </c>
      <c r="Q34" s="2">
        <f>+IFERROR(VLOOKUP($Q$17,Sheet1!J4:M4,3,0),0)</f>
        <v>0</v>
      </c>
      <c r="R34" s="2">
        <f>+IFERROR(VLOOKUP($R$17,Sheet1!J4:M4,3,0),0)</f>
        <v>0</v>
      </c>
      <c r="S34" s="2">
        <f>+IFERROR(VLOOKUP($S$17,Sheet1!N4:Q4,3,0),0)</f>
        <v>0</v>
      </c>
      <c r="T34" s="2">
        <f>+IFERROR(VLOOKUP($T$17,Sheet1!N4:Q4,3,0),0)</f>
        <v>0</v>
      </c>
      <c r="U34" s="2">
        <f>+IFERROR(VLOOKUP($U$17,Sheet1!F4:I4,3,0),0)</f>
        <v>0</v>
      </c>
      <c r="V34" s="2">
        <f>+IFERROR(VLOOKUP($V$17,Sheet1!F4:I4,3,0),0)</f>
        <v>0</v>
      </c>
      <c r="W34" s="2">
        <f>+IFERROR(VLOOKUP($W$17,Sheet1!F4:I4,3,0),0)</f>
        <v>0</v>
      </c>
      <c r="X34" s="2">
        <f>+IFERROR(VLOOKUP($X$17,Sheet1!F4:I4,3,0),0)</f>
        <v>0</v>
      </c>
      <c r="Y34" s="149">
        <v>161</v>
      </c>
      <c r="Z34" s="2">
        <f>+IFERROR(VLOOKUP($Z$17,Sheet1!F4:I4,3,0),0)</f>
        <v>0</v>
      </c>
      <c r="AA34" s="2">
        <f>+IFERROR(VLOOKUP($AA$17,Sheet1!F4:I4,3,0),0)</f>
        <v>0</v>
      </c>
      <c r="AB34" s="2">
        <f>+IFERROR(VLOOKUP($AB$17,Sheet1!F4:I4,3,0),0)</f>
        <v>0</v>
      </c>
      <c r="AC34" s="149">
        <v>378</v>
      </c>
      <c r="AD34" s="13">
        <f>+IFERROR(VLOOKUP($AD$17,Sheet1!R4:U4,2,0),0)</f>
        <v>0</v>
      </c>
      <c r="AE34" s="149">
        <v>1615</v>
      </c>
      <c r="AF34" s="13">
        <f>+IFERROR(VLOOKUP($AF$17,Sheet1!V4:Y4,3,0),0)</f>
        <v>0</v>
      </c>
      <c r="AG34" s="13">
        <f>+IFERROR(VLOOKUP($AG$17,Sheet1!V4:Y4,3,0),0)</f>
        <v>0</v>
      </c>
      <c r="AH34" s="13">
        <f>+IFERROR(VLOOKUP($AH$17,Sheet1!V4:Y4,3,0),0)</f>
        <v>0</v>
      </c>
      <c r="AI34" s="13">
        <f>+IFERROR(VLOOKUP($AI$17,Sheet1!V4:Y4,3,0),0)</f>
        <v>0</v>
      </c>
      <c r="AJ34" s="13">
        <f>+IFERROR(VLOOKUP($AJ$17,Sheet1!V4:Y4,3,0),0)</f>
        <v>0</v>
      </c>
      <c r="AK34" s="13">
        <f>+IFERROR(VLOOKUP($AK$17,Sheet1!Z4:AB4,3,0),0)</f>
        <v>0</v>
      </c>
      <c r="AL34" s="13">
        <f>+IFERROR(VLOOKUP($AL$17,Sheet1!AD4:AG4,3,0),0)</f>
        <v>0</v>
      </c>
      <c r="AM34" s="13">
        <f>+IFERROR(VLOOKUP($AM$17,Sheet1!AD4:AG4,3,0),0)</f>
        <v>0</v>
      </c>
      <c r="AN34" s="13">
        <f>+IFERROR(VLOOKUP($AN$17,Sheet1!AD4:AG4,3,0),0)</f>
        <v>0</v>
      </c>
      <c r="AO34" s="13">
        <f>+IFERROR(VLOOKUP($AO$17,Sheet1!AD4:AG4,3,0),0)</f>
        <v>0</v>
      </c>
      <c r="AP34" s="13">
        <f>+IFERROR(VLOOKUP($AP$17,Sheet1!AD4:AG4,3,0),0)</f>
        <v>0</v>
      </c>
      <c r="AQ34" s="146">
        <v>885</v>
      </c>
      <c r="AR34" s="13"/>
      <c r="AS34" s="13">
        <f>+IFERROR(VLOOKUP($AS$17,Sheet1!AH4:AK4,3,0),0)</f>
        <v>0</v>
      </c>
      <c r="AT34" s="13">
        <f>+IFERROR(VLOOKUP($AT$17,Sheet1!AH4:AK4,3,0),0)</f>
        <v>0</v>
      </c>
      <c r="AU34" s="13">
        <f>+IFERROR(VLOOKUP($AU$17,Sheet1!AH4:AK4,3,0),0)</f>
        <v>0</v>
      </c>
      <c r="AV34" s="13">
        <f>+IFERROR(VLOOKUP($AV$17,Sheet1!AH4:AK4,3,0),0)</f>
        <v>0</v>
      </c>
      <c r="AW34" s="13">
        <f>+IFERROR(VLOOKUP($AW$17,Sheet1!AH4:AK4,3,0),0)</f>
        <v>0</v>
      </c>
      <c r="AX34" s="13">
        <f>+IFERROR(VLOOKUP($AX$17,Sheet1!AH4:AK4,3,0),0)</f>
        <v>0</v>
      </c>
      <c r="AY34" s="13">
        <f>+IFERROR(VLOOKUP($AY$17,Sheet1!AH4:AK4,3,0),0)</f>
        <v>0</v>
      </c>
      <c r="AZ34" s="13">
        <f>+IFERROR(VLOOKUP($AZ$17,Sheet1!AH4:AK4,3,0),0)</f>
        <v>0</v>
      </c>
      <c r="BA34" s="146">
        <v>4072</v>
      </c>
      <c r="BB34" s="13">
        <f>+IFERROR(VLOOKUP($BB$17,Sheet1!AH4:AK4,3,0),0)</f>
        <v>0</v>
      </c>
      <c r="BC34" s="13">
        <f>+IFERROR(VLOOKUP($BC$17,Sheet1!AL4:AO4,3,0),0)</f>
        <v>0</v>
      </c>
      <c r="BD34" s="13">
        <f>+IFERROR(VLOOKUP($BD$17,Sheet1!AL4:AO4,3,0),0)</f>
        <v>0</v>
      </c>
      <c r="BE34" s="13">
        <f>+IFERROR(VLOOKUP($BE$17,Sheet1!AL4:AO4,3,0),0)</f>
        <v>0</v>
      </c>
      <c r="BF34" s="146">
        <v>1190</v>
      </c>
      <c r="BG34" s="13">
        <f>+IFERROR(VLOOKUP($BG$17,Sheet1!AL4:AO4,3,0),0)</f>
        <v>0</v>
      </c>
      <c r="BH34" s="13">
        <f>+IFERROR(VLOOKUP($BH$17,Sheet1!AL4:AO4,3,0),0)</f>
        <v>0</v>
      </c>
      <c r="BI34" s="13">
        <f>+IFERROR(VLOOKUP($BI$17,Sheet1!AL4:AO4,3,0),0)</f>
        <v>0</v>
      </c>
      <c r="BJ34" s="13">
        <f>+IFERROR(VLOOKUP($BJ$17,Sheet1!AL4:AO4,3,0),0)</f>
        <v>0</v>
      </c>
      <c r="BK34" s="13">
        <f>+IFERROR(VLOOKUP($BK$17,Sheet1!AL4:AO4,3,0),0)</f>
        <v>0</v>
      </c>
      <c r="BL34" s="146">
        <v>862</v>
      </c>
      <c r="BM34" s="13">
        <f>+IFERROR(VLOOKUP($BM$17,Sheet1!AP4:AS4,3,0),0)</f>
        <v>0</v>
      </c>
      <c r="BN34" s="146">
        <v>15</v>
      </c>
      <c r="BO34" s="13">
        <f>+IFERROR(VLOOKUP($BO$17,Sheet1!AX4:BA4,3,0),0)</f>
        <v>0</v>
      </c>
      <c r="BP34" s="146">
        <v>71</v>
      </c>
      <c r="BQ34" s="13">
        <f>+IFERROR(VLOOKUP($BQ$17,Sheet1!BF4:BI4,3,0),0)</f>
        <v>0</v>
      </c>
      <c r="BR34" s="13">
        <f>+IFERROR(VLOOKUP($BR$17,Sheet1!BJ4:BM4,3,0),0)</f>
        <v>0</v>
      </c>
      <c r="BS34" s="13">
        <f>+IFERROR(VLOOKUP($BS$17,Sheet1!BN4:BQ4,3,0),0)</f>
        <v>0</v>
      </c>
      <c r="BT34" s="146">
        <v>54</v>
      </c>
      <c r="BU34" s="13">
        <f>+IFERROR(VLOOKUP($BU$17,Sheet1!BV4:BY4,3,0),0)</f>
        <v>0</v>
      </c>
      <c r="BV34" s="13" t="str">
        <f>Sheet1!E4</f>
        <v>STEEL</v>
      </c>
      <c r="BW34" s="13" t="str">
        <f>Sheet1!CV4</f>
        <v>SP0400136</v>
      </c>
      <c r="BX34" s="146" t="str">
        <f>Sheet1!CW4</f>
        <v>CORRUGATED DISPATCH STEEL DRUM 2200 X 1300 X 1200 MM</v>
      </c>
      <c r="BY34" s="146">
        <f>Sheet1!CX4</f>
        <v>250</v>
      </c>
      <c r="BZ34" s="3">
        <f>36000/0.25</f>
        <v>144000</v>
      </c>
      <c r="CA34" s="3">
        <f t="shared" si="5"/>
        <v>1407499</v>
      </c>
      <c r="CB34" s="23">
        <v>0.01</v>
      </c>
      <c r="CC34" s="3">
        <f t="shared" si="6"/>
        <v>14074.99</v>
      </c>
      <c r="CD34" s="44">
        <v>0.25</v>
      </c>
      <c r="CE34" s="3">
        <f t="shared" si="7"/>
        <v>351874.75</v>
      </c>
      <c r="CF34" s="44">
        <f>Sheet1!CF4</f>
        <v>0</v>
      </c>
      <c r="CG34" s="3">
        <f t="shared" si="8"/>
        <v>0</v>
      </c>
      <c r="CH34" s="3">
        <f t="shared" si="9"/>
        <v>1773448.74</v>
      </c>
      <c r="CI34" s="44">
        <v>0.02</v>
      </c>
      <c r="CJ34" s="1">
        <f t="shared" si="13"/>
        <v>35468.974800000004</v>
      </c>
      <c r="CK34" s="44">
        <v>0.01</v>
      </c>
      <c r="CL34" s="1">
        <f t="shared" si="11"/>
        <v>17734.487400000002</v>
      </c>
    </row>
    <row r="35" spans="1:90" ht="25.5" x14ac:dyDescent="0.25">
      <c r="A35" s="1" t="str">
        <f>Sheet1!A17</f>
        <v>ENQ-15138-22-23</v>
      </c>
      <c r="B35" s="47">
        <f>Sheet1!B17</f>
        <v>45627</v>
      </c>
      <c r="C35" s="1" t="str">
        <f>Sheet1!C17</f>
        <v>FA1300022</v>
      </c>
      <c r="D35" s="145" t="str">
        <f>Sheet1!D17</f>
        <v>3 CORE X 50 SQ. MM. AL/ARD - WIRE (XLPE) - 33 KV (E)</v>
      </c>
      <c r="E35" s="3">
        <f t="shared" si="0"/>
        <v>1591041.8034000001</v>
      </c>
      <c r="F35" s="151">
        <f t="shared" si="12"/>
        <v>39000</v>
      </c>
      <c r="G35" s="9">
        <f t="shared" si="1"/>
        <v>1630041.8034000001</v>
      </c>
      <c r="H35" s="7">
        <f>Sheet1!CP17</f>
        <v>0.18</v>
      </c>
      <c r="I35" s="9">
        <f t="shared" si="2"/>
        <v>293407.52461199998</v>
      </c>
      <c r="J35" s="9">
        <f t="shared" si="3"/>
        <v>1923449.3280120001</v>
      </c>
      <c r="K35" s="1">
        <f>Sheet1!CS17</f>
        <v>5</v>
      </c>
      <c r="L35" s="1" t="str">
        <f>Sheet1!CT17</f>
        <v>KMS</v>
      </c>
      <c r="M35" s="3">
        <f t="shared" si="4"/>
        <v>9617246.6400600001</v>
      </c>
      <c r="N35" s="149">
        <v>405</v>
      </c>
      <c r="O35" s="2">
        <f>+IFERROR(VLOOKUP($O$17,Sheet1!J17:L17,3,0),0)</f>
        <v>0</v>
      </c>
      <c r="P35" s="2">
        <f>+IFERROR(VLOOKUP($P$17,Sheet1!J17:M17,3,0),0)</f>
        <v>0</v>
      </c>
      <c r="Q35" s="2">
        <f>+IFERROR(VLOOKUP($Q$17,Sheet1!J17:M17,3,0),0)</f>
        <v>0</v>
      </c>
      <c r="R35" s="2">
        <f>+IFERROR(VLOOKUP($R$17,Sheet1!J17:M17,3,0),0)</f>
        <v>0</v>
      </c>
      <c r="S35" s="2">
        <f>+IFERROR(VLOOKUP($S$17,Sheet1!N17:Q17,3,0),0)</f>
        <v>0</v>
      </c>
      <c r="T35" s="2">
        <f>+IFERROR(VLOOKUP($T$17,Sheet1!N17:Q17,3,0),0)</f>
        <v>0</v>
      </c>
      <c r="U35" s="2">
        <f>+IFERROR(VLOOKUP($U$17,Sheet1!F17:I17,3,0),0)</f>
        <v>0</v>
      </c>
      <c r="V35" s="2">
        <f>+IFERROR(VLOOKUP($V$17,Sheet1!F17:I17,3,0),0)</f>
        <v>0</v>
      </c>
      <c r="W35" s="2">
        <f>+IFERROR(VLOOKUP($W$17,Sheet1!F17:I17,3,0),0)</f>
        <v>0</v>
      </c>
      <c r="X35" s="2">
        <f>+IFERROR(VLOOKUP($X$17,Sheet1!F17:I17,3,0),0)</f>
        <v>0</v>
      </c>
      <c r="Y35" s="149">
        <v>153</v>
      </c>
      <c r="Z35" s="2">
        <f>+IFERROR(VLOOKUP($Z$17,Sheet1!F17:I17,3,0),0)</f>
        <v>0</v>
      </c>
      <c r="AA35" s="2">
        <f>+IFERROR(VLOOKUP($AA$17,Sheet1!F17:I17,3,0),0)</f>
        <v>0</v>
      </c>
      <c r="AB35" s="2">
        <f>+IFERROR(VLOOKUP($AB$17,Sheet1!F17:I17,3,0),0)</f>
        <v>0</v>
      </c>
      <c r="AC35" s="149">
        <v>350</v>
      </c>
      <c r="AD35" s="13">
        <f>+IFERROR(VLOOKUP($AD$17,Sheet1!R17:U17,2,0),0)</f>
        <v>0</v>
      </c>
      <c r="AE35" s="149">
        <v>1490</v>
      </c>
      <c r="AF35" s="13">
        <f>+IFERROR(VLOOKUP($AF$17,Sheet1!V17:Y17,3,0),0)</f>
        <v>0</v>
      </c>
      <c r="AG35" s="13">
        <f>+IFERROR(VLOOKUP($AG$17,Sheet1!V17:Y17,3,0),0)</f>
        <v>0</v>
      </c>
      <c r="AH35" s="13">
        <f>+IFERROR(VLOOKUP($AH$17,Sheet1!V17:Y17,3,0),0)</f>
        <v>0</v>
      </c>
      <c r="AI35" s="13">
        <f>+IFERROR(VLOOKUP($AI$17,Sheet1!V17:Y17,3,0),0)</f>
        <v>0</v>
      </c>
      <c r="AJ35" s="13">
        <f>+IFERROR(VLOOKUP($AJ$17,Sheet1!V17:Y17,3,0),0)</f>
        <v>0</v>
      </c>
      <c r="AK35" s="13">
        <f>+IFERROR(VLOOKUP($AK$17,Sheet1!Z17:AB17,3,0),0)</f>
        <v>0</v>
      </c>
      <c r="AL35" s="13">
        <f>+IFERROR(VLOOKUP($AL$17,Sheet1!AD17:AG17,3,0),0)</f>
        <v>0</v>
      </c>
      <c r="AM35" s="13">
        <f>+IFERROR(VLOOKUP($AM$17,Sheet1!AD17:AG17,3,0),0)</f>
        <v>0</v>
      </c>
      <c r="AN35" s="13">
        <f>+IFERROR(VLOOKUP($AN$17,Sheet1!AD17:AG17,3,0),0)</f>
        <v>0</v>
      </c>
      <c r="AO35" s="13">
        <f>+IFERROR(VLOOKUP($AO$17,Sheet1!AD17:AG17,3,0),0)</f>
        <v>0</v>
      </c>
      <c r="AP35" s="13">
        <f>+IFERROR(VLOOKUP($AP$17,Sheet1!AD17:AG17,3,0),0)</f>
        <v>0</v>
      </c>
      <c r="AQ35" s="146">
        <v>798</v>
      </c>
      <c r="AR35" s="13">
        <f>+IFERROR(VLOOKUP($AR$17,Sheet1!AD17:AG17,3,0),0)</f>
        <v>0</v>
      </c>
      <c r="AS35" s="13">
        <f>+IFERROR(VLOOKUP($AS$17,Sheet1!AH17:AK17,3,0),0)</f>
        <v>0</v>
      </c>
      <c r="AT35" s="13">
        <f>+IFERROR(VLOOKUP($AT$17,Sheet1!AH17:AK17,3,0),0)</f>
        <v>0</v>
      </c>
      <c r="AU35" s="13">
        <f>+IFERROR(VLOOKUP($AU$17,Sheet1!AH17:AK17,3,0),0)</f>
        <v>0</v>
      </c>
      <c r="AV35" s="13">
        <f>+IFERROR(VLOOKUP($AV$17,Sheet1!AH17:AK17,3,0),0)</f>
        <v>0</v>
      </c>
      <c r="AW35" s="13">
        <f>+IFERROR(VLOOKUP($AW$17,Sheet1!AH17:AK17,3,0),0)</f>
        <v>0</v>
      </c>
      <c r="AX35" s="13">
        <f>+IFERROR(VLOOKUP($AX$17,Sheet1!AH17:AK17,3,0),0)</f>
        <v>0</v>
      </c>
      <c r="AY35" s="13">
        <f>+IFERROR(VLOOKUP($AY$17,Sheet1!AH17:AK17,3,0),0)</f>
        <v>0</v>
      </c>
      <c r="AZ35" s="13">
        <f>+IFERROR(VLOOKUP($AZ$17,Sheet1!AH17:AK17,3,0),0)</f>
        <v>0</v>
      </c>
      <c r="BA35" s="146">
        <v>3881</v>
      </c>
      <c r="BB35" s="13">
        <f>+IFERROR(VLOOKUP($BB$17,Sheet1!AH17:AK17,3,0),0)</f>
        <v>0</v>
      </c>
      <c r="BC35" s="13">
        <f>+IFERROR(VLOOKUP($BC$17,Sheet1!AL17:AO17,3,0),0)</f>
        <v>0</v>
      </c>
      <c r="BD35" s="13">
        <f>+IFERROR(VLOOKUP($BD$17,Sheet1!AL17:AO17,3,0),0)</f>
        <v>0</v>
      </c>
      <c r="BE35" s="13">
        <f>+IFERROR(VLOOKUP($BE$17,Sheet1!AL17:AO17,3,0),0)</f>
        <v>0</v>
      </c>
      <c r="BF35" s="146">
        <v>1080</v>
      </c>
      <c r="BG35" s="13">
        <f>+IFERROR(VLOOKUP($BG$17,Sheet1!AL17:AO17,3,0),0)</f>
        <v>0</v>
      </c>
      <c r="BH35" s="13">
        <f>+IFERROR(VLOOKUP($BH$17,Sheet1!AL17:AO17,3,0),0)</f>
        <v>0</v>
      </c>
      <c r="BI35" s="13">
        <f>+IFERROR(VLOOKUP($BI$17,Sheet1!AL17:AO17,3,0),0)</f>
        <v>0</v>
      </c>
      <c r="BJ35" s="13">
        <f>+IFERROR(VLOOKUP($BJ$17,Sheet1!AL17:AO17,3,0),0)</f>
        <v>0</v>
      </c>
      <c r="BK35" s="13">
        <f>+IFERROR(VLOOKUP($BK$17,Sheet1!AL17:AO17,3,0),0)</f>
        <v>0</v>
      </c>
      <c r="BL35" s="146">
        <v>778</v>
      </c>
      <c r="BM35" s="13">
        <f>+IFERROR(VLOOKUP($BM$17,Sheet1!AP17:AS17,3,0),0)</f>
        <v>0</v>
      </c>
      <c r="BN35" s="146">
        <v>10</v>
      </c>
      <c r="BO35" s="13">
        <f>+IFERROR(VLOOKUP($BO$17,Sheet1!AX17:BA17,3,0),0)</f>
        <v>0</v>
      </c>
      <c r="BP35" s="146">
        <v>66</v>
      </c>
      <c r="BQ35" s="13">
        <f>+IFERROR(VLOOKUP($BQ$17,Sheet1!BF17:BI17,3,0),0)</f>
        <v>0</v>
      </c>
      <c r="BR35" s="13">
        <f>+IFERROR(VLOOKUP($BR$17,Sheet1!BJ17:BM17,3,0),0)</f>
        <v>0</v>
      </c>
      <c r="BS35" s="13">
        <f>+IFERROR(VLOOKUP($BS$17,Sheet1!BN17:BQ17,3,0),0)</f>
        <v>0</v>
      </c>
      <c r="BT35" s="146">
        <v>52</v>
      </c>
      <c r="BU35" s="13">
        <f>+IFERROR(VLOOKUP($BU$17,Sheet1!BV17:BY17,3,0),0)</f>
        <v>0</v>
      </c>
      <c r="BV35" s="13" t="str">
        <f>Sheet1!E17</f>
        <v>STEEL</v>
      </c>
      <c r="BW35" s="13" t="str">
        <f>Sheet1!CV17</f>
        <v>SP0400112</v>
      </c>
      <c r="BX35" s="146" t="str">
        <f>Sheet1!CW17</f>
        <v>CORRUGATED DISPATCH STEEL DRUM 2000 X 1000 X 1000 MM</v>
      </c>
      <c r="BY35" s="146">
        <f>Sheet1!CX17</f>
        <v>250</v>
      </c>
      <c r="BZ35" s="3">
        <f>20000/0.25</f>
        <v>80000</v>
      </c>
      <c r="CA35" s="3">
        <f t="shared" si="5"/>
        <v>1225953</v>
      </c>
      <c r="CB35" s="23">
        <v>0.01</v>
      </c>
      <c r="CC35" s="3">
        <f t="shared" si="6"/>
        <v>12259.53</v>
      </c>
      <c r="CD35" s="44">
        <v>0.25</v>
      </c>
      <c r="CE35" s="3">
        <f t="shared" si="7"/>
        <v>306488.25</v>
      </c>
      <c r="CF35" s="44">
        <f>Sheet1!CF17</f>
        <v>0</v>
      </c>
      <c r="CG35" s="3">
        <f t="shared" si="8"/>
        <v>0</v>
      </c>
      <c r="CH35" s="3">
        <f t="shared" si="9"/>
        <v>1544700.78</v>
      </c>
      <c r="CI35" s="44">
        <v>0.02</v>
      </c>
      <c r="CJ35" s="1">
        <f t="shared" si="13"/>
        <v>30894.015600000002</v>
      </c>
      <c r="CK35" s="44">
        <v>0.01</v>
      </c>
      <c r="CL35" s="1">
        <f t="shared" si="11"/>
        <v>15447.007800000001</v>
      </c>
    </row>
    <row r="36" spans="1:90" ht="25.5" x14ac:dyDescent="0.25">
      <c r="A36" s="1" t="str">
        <f>Sheet1!A18</f>
        <v>ENQ-15138-22-23</v>
      </c>
      <c r="B36" s="47">
        <f>Sheet1!B18</f>
        <v>45627</v>
      </c>
      <c r="C36" s="1" t="str">
        <f>Sheet1!C18</f>
        <v>FA1300297</v>
      </c>
      <c r="D36" s="145" t="str">
        <f>Sheet1!D18</f>
        <v>3 CORE X 35 SQ. MM. AL/ARM - WIRE (XLPE) - 33 KV (E)</v>
      </c>
      <c r="E36" s="3">
        <f t="shared" si="0"/>
        <v>1591041.8034000001</v>
      </c>
      <c r="F36" s="151">
        <f t="shared" si="12"/>
        <v>32500</v>
      </c>
      <c r="G36" s="9">
        <f t="shared" si="1"/>
        <v>1623541.8034000001</v>
      </c>
      <c r="H36" s="7">
        <f>Sheet1!CP18</f>
        <v>0.18</v>
      </c>
      <c r="I36" s="9">
        <f t="shared" si="2"/>
        <v>292237.52461199998</v>
      </c>
      <c r="J36" s="9">
        <f t="shared" si="3"/>
        <v>1915779.3280120001</v>
      </c>
      <c r="K36" s="1">
        <f>Sheet1!CS18</f>
        <v>4</v>
      </c>
      <c r="L36" s="1" t="str">
        <f>Sheet1!CT18</f>
        <v>KMS</v>
      </c>
      <c r="M36" s="3">
        <f t="shared" si="4"/>
        <v>7663117.3120480003</v>
      </c>
      <c r="N36" s="149">
        <v>405</v>
      </c>
      <c r="O36" s="2">
        <f>+IFERROR(VLOOKUP($O$17,Sheet1!J18:L18,3,0),0)</f>
        <v>0</v>
      </c>
      <c r="P36" s="2">
        <f>+IFERROR(VLOOKUP($P$17,Sheet1!J18:M18,3,0),0)</f>
        <v>0</v>
      </c>
      <c r="Q36" s="2">
        <f>+IFERROR(VLOOKUP($Q$17,Sheet1!J18:M18,3,0),0)</f>
        <v>0</v>
      </c>
      <c r="R36" s="2">
        <f>+IFERROR(VLOOKUP($R$17,Sheet1!J18:M18,3,0),0)</f>
        <v>0</v>
      </c>
      <c r="S36" s="2">
        <f>+IFERROR(VLOOKUP($S$17,Sheet1!N18:Q18,3,0),0)</f>
        <v>0</v>
      </c>
      <c r="T36" s="2">
        <f>+IFERROR(VLOOKUP($T$17,Sheet1!N18:Q18,3,0),0)</f>
        <v>0</v>
      </c>
      <c r="U36" s="2">
        <f>+IFERROR(VLOOKUP($U$17,Sheet1!F18:I18,3,0),0)</f>
        <v>0</v>
      </c>
      <c r="V36" s="2">
        <f>+IFERROR(VLOOKUP($V$17,Sheet1!F18:I18,3,0),0)</f>
        <v>0</v>
      </c>
      <c r="W36" s="2">
        <f>+IFERROR(VLOOKUP($W$17,Sheet1!F18:I18,3,0),0)</f>
        <v>0</v>
      </c>
      <c r="X36" s="2">
        <f>+IFERROR(VLOOKUP($X$17,Sheet1!F18:I18,3,0),0)</f>
        <v>0</v>
      </c>
      <c r="Y36" s="149">
        <v>153</v>
      </c>
      <c r="Z36" s="2">
        <f>+IFERROR(VLOOKUP($Z$17,Sheet1!F18:I18,3,0),0)</f>
        <v>0</v>
      </c>
      <c r="AA36" s="2">
        <f>+IFERROR(VLOOKUP($AA$17,Sheet1!F18:I18,3,0),0)</f>
        <v>0</v>
      </c>
      <c r="AB36" s="2">
        <f>+IFERROR(VLOOKUP($AB$17,Sheet1!F18:I18,3,0),0)</f>
        <v>0</v>
      </c>
      <c r="AC36" s="149">
        <v>350</v>
      </c>
      <c r="AD36" s="13">
        <f>+IFERROR(VLOOKUP($AD$17,Sheet1!R18:U18,2,0),0)</f>
        <v>0</v>
      </c>
      <c r="AE36" s="149">
        <v>1490</v>
      </c>
      <c r="AF36" s="13">
        <f>+IFERROR(VLOOKUP($AF$17,Sheet1!V18:Y18,3,0),0)</f>
        <v>0</v>
      </c>
      <c r="AG36" s="13">
        <f>+IFERROR(VLOOKUP($AG$17,Sheet1!V18:Y18,3,0),0)</f>
        <v>0</v>
      </c>
      <c r="AH36" s="13">
        <f>+IFERROR(VLOOKUP($AH$17,Sheet1!V18:Y18,3,0),0)</f>
        <v>0</v>
      </c>
      <c r="AI36" s="13">
        <f>+IFERROR(VLOOKUP($AI$17,Sheet1!V18:Y18,3,0),0)</f>
        <v>0</v>
      </c>
      <c r="AJ36" s="13">
        <f>+IFERROR(VLOOKUP($AJ$17,Sheet1!V18:Y18,3,0),0)</f>
        <v>0</v>
      </c>
      <c r="AK36" s="13">
        <f>+IFERROR(VLOOKUP($AK$17,Sheet1!Z18:AB18,3,0),0)</f>
        <v>0</v>
      </c>
      <c r="AL36" s="13">
        <f>+IFERROR(VLOOKUP($AL$17,Sheet1!AD18:AG18,3,0),0)</f>
        <v>0</v>
      </c>
      <c r="AM36" s="13">
        <f>+IFERROR(VLOOKUP($AM$17,Sheet1!AD18:AG18,3,0),0)</f>
        <v>0</v>
      </c>
      <c r="AN36" s="13">
        <f>+IFERROR(VLOOKUP($AN$17,Sheet1!AD18:AG18,3,0),0)</f>
        <v>0</v>
      </c>
      <c r="AO36" s="13">
        <f>+IFERROR(VLOOKUP($AO$17,Sheet1!AD18:AG18,3,0),0)</f>
        <v>0</v>
      </c>
      <c r="AP36" s="13">
        <f>+IFERROR(VLOOKUP($AP$17,Sheet1!AD18:AG18,3,0),0)</f>
        <v>0</v>
      </c>
      <c r="AQ36" s="146">
        <v>798</v>
      </c>
      <c r="AR36" s="13">
        <f>+IFERROR(VLOOKUP($AR$17,Sheet1!AD18:AG18,3,0),0)</f>
        <v>0</v>
      </c>
      <c r="AS36" s="13">
        <f>+IFERROR(VLOOKUP($AS$17,Sheet1!AH18:AK18,3,0),0)</f>
        <v>0</v>
      </c>
      <c r="AT36" s="13">
        <f>+IFERROR(VLOOKUP($AT$17,Sheet1!AH18:AK18,3,0),0)</f>
        <v>0</v>
      </c>
      <c r="AU36" s="13">
        <f>+IFERROR(VLOOKUP($AU$17,Sheet1!AH18:AK18,3,0),0)</f>
        <v>0</v>
      </c>
      <c r="AV36" s="13">
        <f>+IFERROR(VLOOKUP($AV$17,Sheet1!AH18:AK18,3,0),0)</f>
        <v>0</v>
      </c>
      <c r="AW36" s="13">
        <f>+IFERROR(VLOOKUP($AW$17,Sheet1!AH18:AK18,3,0),0)</f>
        <v>0</v>
      </c>
      <c r="AX36" s="13">
        <f>+IFERROR(VLOOKUP($AX$17,Sheet1!AH18:AK18,3,0),0)</f>
        <v>0</v>
      </c>
      <c r="AY36" s="13">
        <f>+IFERROR(VLOOKUP($AY$17,Sheet1!AH18:AK18,3,0),0)</f>
        <v>0</v>
      </c>
      <c r="AZ36" s="13">
        <f>+IFERROR(VLOOKUP($AZ$17,Sheet1!AH18:AK18,3,0),0)</f>
        <v>0</v>
      </c>
      <c r="BA36" s="146">
        <v>3881</v>
      </c>
      <c r="BB36" s="13">
        <f>+IFERROR(VLOOKUP($BB$17,Sheet1!AH18:AK18,3,0),0)</f>
        <v>0</v>
      </c>
      <c r="BC36" s="13">
        <f>+IFERROR(VLOOKUP($BC$17,Sheet1!AL18:AO18,3,0),0)</f>
        <v>0</v>
      </c>
      <c r="BD36" s="13">
        <f>+IFERROR(VLOOKUP($BD$17,Sheet1!AL18:AO18,3,0),0)</f>
        <v>0</v>
      </c>
      <c r="BE36" s="13">
        <f>+IFERROR(VLOOKUP($BE$17,Sheet1!AL18:AO18,3,0),0)</f>
        <v>0</v>
      </c>
      <c r="BF36" s="146">
        <v>1080</v>
      </c>
      <c r="BG36" s="13">
        <f>+IFERROR(VLOOKUP($BG$17,Sheet1!AL18:AO18,3,0),0)</f>
        <v>0</v>
      </c>
      <c r="BH36" s="13">
        <f>+IFERROR(VLOOKUP($BH$17,Sheet1!AL18:AO18,3,0),0)</f>
        <v>0</v>
      </c>
      <c r="BI36" s="13">
        <f>+IFERROR(VLOOKUP($BI$17,Sheet1!AL18:AO18,3,0),0)</f>
        <v>0</v>
      </c>
      <c r="BJ36" s="13">
        <f>+IFERROR(VLOOKUP($BJ$17,Sheet1!AL18:AO18,3,0),0)</f>
        <v>0</v>
      </c>
      <c r="BK36" s="13">
        <f>+IFERROR(VLOOKUP($BK$17,Sheet1!AL18:AO18,3,0),0)</f>
        <v>0</v>
      </c>
      <c r="BL36" s="146">
        <v>778</v>
      </c>
      <c r="BM36" s="13">
        <f>+IFERROR(VLOOKUP($BM$17,Sheet1!AP18:AS18,3,0),0)</f>
        <v>0</v>
      </c>
      <c r="BN36" s="146">
        <v>10</v>
      </c>
      <c r="BO36" s="13">
        <f>+IFERROR(VLOOKUP($BO$17,Sheet1!AX18:BA18,3,0),0)</f>
        <v>0</v>
      </c>
      <c r="BP36" s="146">
        <v>66</v>
      </c>
      <c r="BQ36" s="13">
        <f>+IFERROR(VLOOKUP($BQ$17,Sheet1!BF18:BI18,3,0),0)</f>
        <v>0</v>
      </c>
      <c r="BR36" s="13">
        <f>+IFERROR(VLOOKUP($BR$17,Sheet1!BJ18:BM18,3,0),0)</f>
        <v>0</v>
      </c>
      <c r="BS36" s="13">
        <f>+IFERROR(VLOOKUP($BS$17,Sheet1!BN18:BQ18,3,0),0)</f>
        <v>0</v>
      </c>
      <c r="BT36" s="146">
        <v>52</v>
      </c>
      <c r="BU36" s="13">
        <f>+IFERROR(VLOOKUP($BU$17,Sheet1!BV18:BY18,3,0),0)</f>
        <v>0</v>
      </c>
      <c r="BV36" s="13" t="str">
        <f>Sheet1!E18</f>
        <v>STEEL</v>
      </c>
      <c r="BW36" s="13" t="str">
        <f>Sheet1!CV18</f>
        <v>SP0400112</v>
      </c>
      <c r="BX36" s="146" t="str">
        <f>Sheet1!CW18</f>
        <v>CORRUGATED DISPATCH STEEL DRUM 2000 X 1000 X 1000 MM</v>
      </c>
      <c r="BY36" s="146">
        <f>Sheet1!CX18</f>
        <v>250</v>
      </c>
      <c r="BZ36" s="3">
        <f>20000/0.25</f>
        <v>80000</v>
      </c>
      <c r="CA36" s="3">
        <f t="shared" si="5"/>
        <v>1225953</v>
      </c>
      <c r="CB36" s="23">
        <v>0.01</v>
      </c>
      <c r="CC36" s="3">
        <f t="shared" si="6"/>
        <v>12259.53</v>
      </c>
      <c r="CD36" s="44">
        <v>0.25</v>
      </c>
      <c r="CE36" s="3">
        <f t="shared" si="7"/>
        <v>306488.25</v>
      </c>
      <c r="CF36" s="44">
        <f>Sheet1!CF18</f>
        <v>0</v>
      </c>
      <c r="CG36" s="3">
        <f t="shared" si="8"/>
        <v>0</v>
      </c>
      <c r="CH36" s="3">
        <f t="shared" si="9"/>
        <v>1544700.78</v>
      </c>
      <c r="CI36" s="44">
        <v>0.02</v>
      </c>
      <c r="CJ36" s="1">
        <f t="shared" si="13"/>
        <v>30894.015600000002</v>
      </c>
      <c r="CK36" s="44">
        <v>0.01</v>
      </c>
      <c r="CL36" s="1">
        <f t="shared" si="11"/>
        <v>15447.007800000001</v>
      </c>
    </row>
    <row r="37" spans="1:90" ht="25.5" x14ac:dyDescent="0.25">
      <c r="A37" s="1" t="str">
        <f>Sheet1!A11</f>
        <v>ENQ-15138-22-23</v>
      </c>
      <c r="B37" s="47">
        <f>Sheet1!B11</f>
        <v>45627</v>
      </c>
      <c r="C37" s="1" t="str">
        <f>Sheet1!C11</f>
        <v>FA1300027</v>
      </c>
      <c r="D37" s="145" t="str">
        <f>Sheet1!D11</f>
        <v>1 CORE X 630 SQ. MM. AL/ARM (XLPE)  - 33 KV</v>
      </c>
      <c r="E37" s="3">
        <f t="shared" si="0"/>
        <v>1439768.9376000001</v>
      </c>
      <c r="F37" s="151">
        <f t="shared" si="12"/>
        <v>16265</v>
      </c>
      <c r="G37" s="9">
        <f t="shared" si="1"/>
        <v>1456033.9376000001</v>
      </c>
      <c r="H37" s="7">
        <f>Sheet1!CP11</f>
        <v>0.18</v>
      </c>
      <c r="I37" s="9">
        <f t="shared" si="2"/>
        <v>262086.10876800001</v>
      </c>
      <c r="J37" s="9">
        <f t="shared" si="3"/>
        <v>1718120.0463680001</v>
      </c>
      <c r="K37" s="1">
        <f>Sheet1!CS11</f>
        <v>547.5</v>
      </c>
      <c r="L37" s="1" t="str">
        <f>Sheet1!CT11</f>
        <v>KMS</v>
      </c>
      <c r="M37" s="3">
        <f t="shared" si="4"/>
        <v>940670725.38648009</v>
      </c>
      <c r="N37" s="149">
        <f>+IFERROR(VLOOKUP($N$17,Sheet1!J11:L11,3,0),0)</f>
        <v>1701</v>
      </c>
      <c r="O37" s="2">
        <f>+IFERROR(VLOOKUP($O$17,Sheet1!J11:L11,3,0),0)</f>
        <v>0</v>
      </c>
      <c r="P37" s="2">
        <f>+IFERROR(VLOOKUP($P$17,Sheet1!J11:M11,3,0),0)</f>
        <v>0</v>
      </c>
      <c r="Q37" s="2">
        <f>+IFERROR(VLOOKUP($Q$17,Sheet1!J11:M11,3,0),0)</f>
        <v>0</v>
      </c>
      <c r="R37" s="2">
        <f>+IFERROR(VLOOKUP($R$17,Sheet1!J11:M11,3,0),0)</f>
        <v>0</v>
      </c>
      <c r="S37" s="2">
        <f>+IFERROR(VLOOKUP($S$17,Sheet1!N11:Q11,3,0),0)</f>
        <v>0</v>
      </c>
      <c r="T37" s="2">
        <f>+IFERROR(VLOOKUP($T$17,Sheet1!N11:Q11,3,0),0)</f>
        <v>0</v>
      </c>
      <c r="U37" s="2">
        <f>+IFERROR(VLOOKUP($U$17,Sheet1!F11:I11,3,0),0)</f>
        <v>0</v>
      </c>
      <c r="V37" s="2">
        <f>+IFERROR(VLOOKUP($V$17,Sheet1!F11:I11,3,0),0)</f>
        <v>0</v>
      </c>
      <c r="W37" s="2">
        <f>+IFERROR(VLOOKUP($W$17,Sheet1!F11:I11,3,0),0)</f>
        <v>0</v>
      </c>
      <c r="X37" s="2">
        <f>+IFERROR(VLOOKUP($X$17,Sheet1!F11:I11,3,0),0)</f>
        <v>0</v>
      </c>
      <c r="Y37" s="149">
        <v>87</v>
      </c>
      <c r="Z37" s="2">
        <f>+IFERROR(VLOOKUP($Z$17,Sheet1!F11:I11,3,0),0)</f>
        <v>0</v>
      </c>
      <c r="AA37" s="2">
        <f>+IFERROR(VLOOKUP($AA$17,Sheet1!F11:I11,3,0),0)</f>
        <v>0</v>
      </c>
      <c r="AB37" s="2">
        <f>+IFERROR(VLOOKUP($AB$17,Sheet1!F11:I11,3,0),0)</f>
        <v>0</v>
      </c>
      <c r="AC37" s="149">
        <v>243</v>
      </c>
      <c r="AD37" s="13">
        <f>+IFERROR(VLOOKUP($AD$17,Sheet1!R11:U11,2,0),0)</f>
        <v>0</v>
      </c>
      <c r="AE37" s="149">
        <v>1056</v>
      </c>
      <c r="AF37" s="13">
        <f>+IFERROR(VLOOKUP($AF$17,Sheet1!V11:Y11,3,0),0)</f>
        <v>0</v>
      </c>
      <c r="AG37" s="13">
        <f>+IFERROR(VLOOKUP($AG$17,Sheet1!V11:Y11,3,0),0)</f>
        <v>0</v>
      </c>
      <c r="AH37" s="13">
        <f>+IFERROR(VLOOKUP($AH$17,Sheet1!V11:Y11,3,0),0)</f>
        <v>0</v>
      </c>
      <c r="AI37" s="13">
        <f>+IFERROR(VLOOKUP($AI$17,Sheet1!V11:Y11,3,0),0)</f>
        <v>0</v>
      </c>
      <c r="AJ37" s="13">
        <f>+IFERROR(VLOOKUP($AJ$17,Sheet1!V11:Y11,3,0),0)</f>
        <v>0</v>
      </c>
      <c r="AK37" s="146">
        <v>36</v>
      </c>
      <c r="AL37" s="13">
        <f>+IFERROR(VLOOKUP($AL$17,Sheet1!AD11:AG11,3,0),0)</f>
        <v>0</v>
      </c>
      <c r="AM37" s="13">
        <f>+IFERROR(VLOOKUP($AM$17,Sheet1!AD11:AG11,3,0),0)</f>
        <v>0</v>
      </c>
      <c r="AN37" s="13">
        <f>+IFERROR(VLOOKUP($AN$17,Sheet1!AD11:AG11,3,0),0)</f>
        <v>0</v>
      </c>
      <c r="AO37" s="13">
        <f>+IFERROR(VLOOKUP($AO$17,Sheet1!AD11:AG11,3,0),0)</f>
        <v>0</v>
      </c>
      <c r="AP37" s="13">
        <f>+IFERROR(VLOOKUP($AP$17,Sheet1!AD11:AG11,3,0),0)</f>
        <v>0</v>
      </c>
      <c r="AQ37" s="146">
        <v>203</v>
      </c>
      <c r="AR37" s="13">
        <f>+IFERROR(VLOOKUP($AR$17,Sheet1!AD11:AG11,3,0),0)</f>
        <v>0</v>
      </c>
      <c r="AS37" s="13">
        <f>+IFERROR(VLOOKUP($AS$17,Sheet1!AH11:AK11,3,0),0)</f>
        <v>0</v>
      </c>
      <c r="AT37" s="13">
        <f>+IFERROR(VLOOKUP($AT$17,Sheet1!AH11:AK11,3,0),0)</f>
        <v>0</v>
      </c>
      <c r="AU37" s="13">
        <f>+IFERROR(VLOOKUP($AU$17,Sheet1!AH11:AK11,3,0),0)</f>
        <v>0</v>
      </c>
      <c r="AV37" s="146">
        <v>842</v>
      </c>
      <c r="AW37" s="13">
        <f>+IFERROR(VLOOKUP($AW$17,Sheet1!AH11:AK11,3,0),0)</f>
        <v>0</v>
      </c>
      <c r="AX37" s="13">
        <f>+IFERROR(VLOOKUP($AX$17,Sheet1!AH11:AK11,3,0),0)</f>
        <v>0</v>
      </c>
      <c r="AY37" s="13">
        <f>+IFERROR(VLOOKUP($AY$17,Sheet1!AH11:AK11,3,0),0)</f>
        <v>0</v>
      </c>
      <c r="AZ37" s="13">
        <f>+IFERROR(VLOOKUP($AZ$17,Sheet1!AH11:AK11,3,0),0)</f>
        <v>0</v>
      </c>
      <c r="BA37" s="13">
        <f>+IFERROR(VLOOKUP($BA$17,Sheet1!AH11:AK11,3,0),0)</f>
        <v>0</v>
      </c>
      <c r="BB37" s="13">
        <f>+IFERROR(VLOOKUP($BB$17,Sheet1!AH11:AK11,3,0),0)</f>
        <v>0</v>
      </c>
      <c r="BC37" s="13">
        <f>+IFERROR(VLOOKUP($BC$17,Sheet1!AL11:AO11,3,0),0)</f>
        <v>0</v>
      </c>
      <c r="BD37" s="13">
        <f>+IFERROR(VLOOKUP($BD$17,Sheet1!AL11:AO11,3,0),0)</f>
        <v>0</v>
      </c>
      <c r="BE37" s="13">
        <f>+IFERROR(VLOOKUP($BE$17,Sheet1!AL11:AO11,3,0),0)</f>
        <v>0</v>
      </c>
      <c r="BF37" s="146">
        <v>769</v>
      </c>
      <c r="BG37" s="13">
        <f>+IFERROR(VLOOKUP($BG$17,Sheet1!AL11:AO11,3,0),0)</f>
        <v>0</v>
      </c>
      <c r="BH37" s="13">
        <f>+IFERROR(VLOOKUP($BH$17,Sheet1!AL11:AO11,3,0),0)</f>
        <v>0</v>
      </c>
      <c r="BI37" s="13">
        <f>+IFERROR(VLOOKUP($BI$17,Sheet1!AL11:AO11,3,0),0)</f>
        <v>0</v>
      </c>
      <c r="BJ37" s="13">
        <f>+IFERROR(VLOOKUP($BJ$17,Sheet1!AL11:AO11,3,0),0)</f>
        <v>0</v>
      </c>
      <c r="BK37" s="13">
        <f>+IFERROR(VLOOKUP($BK$17,Sheet1!AL11:AO11,3,0),0)</f>
        <v>0</v>
      </c>
      <c r="BL37" s="13">
        <f>+IFERROR(VLOOKUP($BL$17,Sheet1!AL11:AO11,3,0),0)</f>
        <v>0</v>
      </c>
      <c r="BM37" s="13">
        <f>+IFERROR(VLOOKUP($BM$17,Sheet1!AP11:AS11,3,0),0)</f>
        <v>0</v>
      </c>
      <c r="BN37" s="146">
        <v>26</v>
      </c>
      <c r="BO37" s="13">
        <f>+IFERROR(VLOOKUP($BO$17,Sheet1!AX11:BA11,3,0),0)</f>
        <v>0</v>
      </c>
      <c r="BP37" s="146">
        <v>46</v>
      </c>
      <c r="BQ37" s="13">
        <f>+IFERROR(VLOOKUP($BQ$17,Sheet1!BF11:BI11,3,0),0)</f>
        <v>0</v>
      </c>
      <c r="BR37" s="13">
        <f>+IFERROR(VLOOKUP($BR$17,Sheet1!BJ11:BM11,3,0),0)</f>
        <v>0</v>
      </c>
      <c r="BS37" s="13">
        <f>+IFERROR(VLOOKUP($BS$17,Sheet1!BN11:BQ11,3,0),0)</f>
        <v>0</v>
      </c>
      <c r="BT37" s="146">
        <v>42</v>
      </c>
      <c r="BU37" s="13">
        <f>+IFERROR(VLOOKUP($BU$17,Sheet1!BV11:BY11,3,0),0)</f>
        <v>0</v>
      </c>
      <c r="BV37" s="13" t="str">
        <f>Sheet1!E11</f>
        <v>STEEL</v>
      </c>
      <c r="BW37" s="13" t="s">
        <v>209</v>
      </c>
      <c r="BX37" s="146" t="s">
        <v>210</v>
      </c>
      <c r="BY37" s="146">
        <f>Sheet1!CX11</f>
        <v>500</v>
      </c>
      <c r="BZ37" s="3">
        <f>20000/0.5</f>
        <v>40000</v>
      </c>
      <c r="CA37" s="3">
        <f t="shared" si="5"/>
        <v>1109392</v>
      </c>
      <c r="CB37" s="23">
        <v>0.01</v>
      </c>
      <c r="CC37" s="3">
        <f t="shared" si="6"/>
        <v>11093.92</v>
      </c>
      <c r="CD37" s="44">
        <v>0.25</v>
      </c>
      <c r="CE37" s="3">
        <f t="shared" si="7"/>
        <v>277348</v>
      </c>
      <c r="CF37" s="44">
        <f>Sheet1!CF11</f>
        <v>0</v>
      </c>
      <c r="CG37" s="3">
        <f t="shared" si="8"/>
        <v>0</v>
      </c>
      <c r="CH37" s="3">
        <f t="shared" si="9"/>
        <v>1397833.92</v>
      </c>
      <c r="CI37" s="44">
        <v>0.02</v>
      </c>
      <c r="CJ37" s="1">
        <f t="shared" si="13"/>
        <v>27956.678400000001</v>
      </c>
      <c r="CK37" s="44">
        <v>0.01</v>
      </c>
      <c r="CL37" s="1">
        <f t="shared" si="11"/>
        <v>13978.3392</v>
      </c>
    </row>
    <row r="38" spans="1:90" ht="25.5" x14ac:dyDescent="0.25">
      <c r="A38" s="1" t="str">
        <f>Sheet1!A13</f>
        <v>ENQ-15138-22-23</v>
      </c>
      <c r="B38" s="47">
        <f>Sheet1!B13</f>
        <v>45627</v>
      </c>
      <c r="C38" s="1" t="str">
        <f>Sheet1!C13</f>
        <v>FA1300018</v>
      </c>
      <c r="D38" s="145" t="str">
        <f>Sheet1!D13</f>
        <v>1 CORE X 400 SQ. MM. AL/ARM (XLPE) - 33 KV</v>
      </c>
      <c r="E38" s="3">
        <f t="shared" si="0"/>
        <v>1096461.9036000001</v>
      </c>
      <c r="F38" s="151">
        <f t="shared" si="12"/>
        <v>18572</v>
      </c>
      <c r="G38" s="9">
        <f t="shared" si="1"/>
        <v>1115033.9036000001</v>
      </c>
      <c r="H38" s="7">
        <f>Sheet1!CP13</f>
        <v>0.18</v>
      </c>
      <c r="I38" s="9">
        <f t="shared" si="2"/>
        <v>200706.102648</v>
      </c>
      <c r="J38" s="9">
        <f t="shared" si="3"/>
        <v>1315740.0062480001</v>
      </c>
      <c r="K38" s="1">
        <f>Sheet1!CS13</f>
        <v>17.5</v>
      </c>
      <c r="L38" s="1" t="str">
        <f>Sheet1!CT13</f>
        <v>KMS</v>
      </c>
      <c r="M38" s="3">
        <f t="shared" si="4"/>
        <v>23025450.109340001</v>
      </c>
      <c r="N38" s="149">
        <f>+IFERROR(VLOOKUP($N$17,Sheet1!J13:L13,3,0),0)</f>
        <v>1080</v>
      </c>
      <c r="O38" s="2">
        <f>+IFERROR(VLOOKUP($O$17,Sheet1!J13:L13,3,0),0)</f>
        <v>0</v>
      </c>
      <c r="P38" s="2">
        <f>+IFERROR(VLOOKUP($P$17,Sheet1!J13:M13,3,0),0)</f>
        <v>0</v>
      </c>
      <c r="Q38" s="2">
        <f>+IFERROR(VLOOKUP($Q$17,Sheet1!J13:M13,3,0),0)</f>
        <v>0</v>
      </c>
      <c r="R38" s="2">
        <f>+IFERROR(VLOOKUP($R$17,Sheet1!J13:M13,3,0),0)</f>
        <v>0</v>
      </c>
      <c r="S38" s="2">
        <f>+IFERROR(VLOOKUP($S$17,Sheet1!N13:Q13,3,0),0)</f>
        <v>0</v>
      </c>
      <c r="T38" s="2">
        <f>+IFERROR(VLOOKUP($T$17,Sheet1!N13:Q13,3,0),0)</f>
        <v>0</v>
      </c>
      <c r="U38" s="2">
        <f>+IFERROR(VLOOKUP($U$17,Sheet1!F13:I13,3,0),0)</f>
        <v>0</v>
      </c>
      <c r="V38" s="2">
        <f>+IFERROR(VLOOKUP($V$17,Sheet1!F13:I13,3,0),0)</f>
        <v>0</v>
      </c>
      <c r="W38" s="2">
        <f>+IFERROR(VLOOKUP($W$17,Sheet1!F13:I13,3,0),0)</f>
        <v>0</v>
      </c>
      <c r="X38" s="2">
        <f>+IFERROR(VLOOKUP($X$17,Sheet1!F13:I13,3,0),0)</f>
        <v>0</v>
      </c>
      <c r="Y38" s="149">
        <v>76</v>
      </c>
      <c r="Z38" s="2">
        <f>+IFERROR(VLOOKUP($Z$17,Sheet1!F13:I13,3,0),0)</f>
        <v>0</v>
      </c>
      <c r="AA38" s="2">
        <f>+IFERROR(VLOOKUP($AA$17,Sheet1!F13:I13,3,0),0)</f>
        <v>0</v>
      </c>
      <c r="AB38" s="2">
        <f>+IFERROR(VLOOKUP($AB$17,Sheet1!F13:I13,3,0),0)</f>
        <v>0</v>
      </c>
      <c r="AC38" s="149">
        <v>206</v>
      </c>
      <c r="AD38" s="13">
        <f>+IFERROR(VLOOKUP($AD$17,Sheet1!R13:U13,2,0),0)</f>
        <v>0</v>
      </c>
      <c r="AE38" s="149">
        <v>890</v>
      </c>
      <c r="AF38" s="13">
        <f>+IFERROR(VLOOKUP($AF$17,Sheet1!V13:Y13,3,0),0)</f>
        <v>0</v>
      </c>
      <c r="AG38" s="13">
        <f>+IFERROR(VLOOKUP($AG$17,Sheet1!V13:Y13,3,0),0)</f>
        <v>0</v>
      </c>
      <c r="AH38" s="13">
        <f>+IFERROR(VLOOKUP($AH$17,Sheet1!V13:Y13,3,0),0)</f>
        <v>0</v>
      </c>
      <c r="AI38" s="13">
        <f>+IFERROR(VLOOKUP($AI$17,Sheet1!V13:Y13,3,0),0)</f>
        <v>0</v>
      </c>
      <c r="AJ38" s="13">
        <f>+IFERROR(VLOOKUP($AJ$17,Sheet1!V13:Y13,3,0),0)</f>
        <v>0</v>
      </c>
      <c r="AK38" s="146">
        <v>32</v>
      </c>
      <c r="AL38" s="13">
        <f>+IFERROR(VLOOKUP($AL$17,Sheet1!AD13:AG13,3,0),0)</f>
        <v>0</v>
      </c>
      <c r="AM38" s="13">
        <f>+IFERROR(VLOOKUP($AM$17,Sheet1!AD13:AG13,3,0),0)</f>
        <v>0</v>
      </c>
      <c r="AN38" s="13">
        <f>+IFERROR(VLOOKUP($AN$17,Sheet1!AD13:AG13,3,0),0)</f>
        <v>0</v>
      </c>
      <c r="AO38" s="13">
        <f>+IFERROR(VLOOKUP($AO$17,Sheet1!AD13:AG13,3,0),0)</f>
        <v>0</v>
      </c>
      <c r="AP38" s="13">
        <f>+IFERROR(VLOOKUP($AP$17,Sheet1!AD13:AG13,3,0),0)</f>
        <v>0</v>
      </c>
      <c r="AQ38" s="146">
        <v>156</v>
      </c>
      <c r="AR38" s="13">
        <f>+IFERROR(VLOOKUP($AR$17,Sheet1!AD13:AG13,3,0),0)</f>
        <v>0</v>
      </c>
      <c r="AS38" s="13">
        <f>+IFERROR(VLOOKUP($AS$17,Sheet1!AH13:AK13,3,0),0)</f>
        <v>0</v>
      </c>
      <c r="AT38" s="13">
        <f>+IFERROR(VLOOKUP($AT$17,Sheet1!AH13:AK13,3,0),0)</f>
        <v>0</v>
      </c>
      <c r="AU38" s="13">
        <f>+IFERROR(VLOOKUP($AU$17,Sheet1!AH13:AK13,3,0),0)</f>
        <v>0</v>
      </c>
      <c r="AV38" s="146">
        <v>731</v>
      </c>
      <c r="AW38" s="13">
        <f>+IFERROR(VLOOKUP($AW$17,Sheet1!AH13:AK13,3,0),0)</f>
        <v>0</v>
      </c>
      <c r="AX38" s="13">
        <f>+IFERROR(VLOOKUP($AX$17,Sheet1!AH13:AK13,3,0),0)</f>
        <v>0</v>
      </c>
      <c r="AY38" s="13">
        <f>+IFERROR(VLOOKUP($AY$17,Sheet1!AH13:AK13,3,0),0)</f>
        <v>0</v>
      </c>
      <c r="AZ38" s="13">
        <f>+IFERROR(VLOOKUP($AZ$17,Sheet1!AH13:AK13,3,0),0)</f>
        <v>0</v>
      </c>
      <c r="BA38" s="13">
        <f>+IFERROR(VLOOKUP($BA$17,Sheet1!AH13:AK13,3,0),0)</f>
        <v>0</v>
      </c>
      <c r="BB38" s="13">
        <f>+IFERROR(VLOOKUP($BB$17,Sheet1!AH13:AK13,3,0),0)</f>
        <v>0</v>
      </c>
      <c r="BC38" s="13">
        <f>+IFERROR(VLOOKUP($BC$17,Sheet1!AL13:AO13,3,0),0)</f>
        <v>0</v>
      </c>
      <c r="BD38" s="13">
        <f>+IFERROR(VLOOKUP($BD$17,Sheet1!AL13:AO13,3,0),0)</f>
        <v>0</v>
      </c>
      <c r="BE38" s="13">
        <f>+IFERROR(VLOOKUP($BE$17,Sheet1!AL13:AO13,3,0),0)</f>
        <v>0</v>
      </c>
      <c r="BF38" s="146">
        <v>604</v>
      </c>
      <c r="BG38" s="13">
        <f>+IFERROR(VLOOKUP($BG$17,Sheet1!AL13:AO13,3,0),0)</f>
        <v>0</v>
      </c>
      <c r="BH38" s="13">
        <f>+IFERROR(VLOOKUP($BH$17,Sheet1!AL13:AO13,3,0),0)</f>
        <v>0</v>
      </c>
      <c r="BI38" s="13">
        <f>+IFERROR(VLOOKUP($BI$17,Sheet1!AL13:AO13,3,0),0)</f>
        <v>0</v>
      </c>
      <c r="BJ38" s="13">
        <f>+IFERROR(VLOOKUP($BJ$17,Sheet1!AL13:AO13,3,0),0)</f>
        <v>0</v>
      </c>
      <c r="BK38" s="13">
        <f>+IFERROR(VLOOKUP($BK$17,Sheet1!AL13:AO13,3,0),0)</f>
        <v>0</v>
      </c>
      <c r="BL38" s="13">
        <f>+IFERROR(VLOOKUP($BL$17,Sheet1!AL13:AO13,3,0),0)</f>
        <v>0</v>
      </c>
      <c r="BM38" s="13">
        <f>+IFERROR(VLOOKUP($BM$17,Sheet1!AP13:AS13,3,0),0)</f>
        <v>0</v>
      </c>
      <c r="BN38" s="146">
        <v>19</v>
      </c>
      <c r="BO38" s="13"/>
      <c r="BP38" s="146">
        <v>38</v>
      </c>
      <c r="BQ38" s="13">
        <f>+IFERROR(VLOOKUP($BQ$17,Sheet1!BF13:BI13,3,0),0)</f>
        <v>0</v>
      </c>
      <c r="BR38" s="13">
        <f>+IFERROR(VLOOKUP($BR$17,Sheet1!BJ13:BM13,3,0),0)</f>
        <v>0</v>
      </c>
      <c r="BS38" s="13">
        <f>+IFERROR(VLOOKUP($BS$17,Sheet1!BN13:BQ13,3,0),0)</f>
        <v>0</v>
      </c>
      <c r="BT38" s="146">
        <v>37</v>
      </c>
      <c r="BU38" s="13">
        <f>+IFERROR(VLOOKUP($BU$17,Sheet1!BV13:BY13,3,0),0)</f>
        <v>0</v>
      </c>
      <c r="BV38" s="13" t="str">
        <f>Sheet1!E13</f>
        <v>STEEL</v>
      </c>
      <c r="BW38" s="13" t="s">
        <v>334</v>
      </c>
      <c r="BX38" s="146" t="s">
        <v>335</v>
      </c>
      <c r="BY38" s="146">
        <f>Sheet1!CX13</f>
        <v>500</v>
      </c>
      <c r="BZ38" s="3">
        <f>16000/0.5</f>
        <v>32000</v>
      </c>
      <c r="CA38" s="3">
        <f t="shared" si="5"/>
        <v>844862</v>
      </c>
      <c r="CB38" s="23">
        <v>0.01</v>
      </c>
      <c r="CC38" s="3">
        <f t="shared" si="6"/>
        <v>8448.6200000000008</v>
      </c>
      <c r="CD38" s="44">
        <v>0.25</v>
      </c>
      <c r="CE38" s="3">
        <f t="shared" si="7"/>
        <v>211215.5</v>
      </c>
      <c r="CF38" s="44">
        <f>Sheet1!CF13</f>
        <v>0</v>
      </c>
      <c r="CG38" s="3">
        <f t="shared" si="8"/>
        <v>0</v>
      </c>
      <c r="CH38" s="3">
        <f t="shared" si="9"/>
        <v>1064526.1200000001</v>
      </c>
      <c r="CI38" s="44">
        <v>0.02</v>
      </c>
      <c r="CJ38" s="1">
        <f t="shared" si="13"/>
        <v>21290.522400000002</v>
      </c>
      <c r="CK38" s="44">
        <v>0.01</v>
      </c>
      <c r="CL38" s="1">
        <f t="shared" si="11"/>
        <v>10645.261200000001</v>
      </c>
    </row>
    <row r="39" spans="1:90" ht="25.5" x14ac:dyDescent="0.25">
      <c r="A39" s="1" t="str">
        <f>Sheet1!A14</f>
        <v>ENQ-15138-22-23</v>
      </c>
      <c r="B39" s="47">
        <f>Sheet1!B14</f>
        <v>45627</v>
      </c>
      <c r="C39" s="1" t="str">
        <f>Sheet1!C14</f>
        <v>FA1300019</v>
      </c>
      <c r="D39" s="145" t="str">
        <f>Sheet1!D14</f>
        <v>1 CORE X 300 SQ. MM. AL/ARM (XLPE)  - 33 KV</v>
      </c>
      <c r="E39" s="3">
        <f t="shared" si="0"/>
        <v>956871.8334</v>
      </c>
      <c r="F39" s="151">
        <f t="shared" si="12"/>
        <v>18572</v>
      </c>
      <c r="G39" s="9">
        <f t="shared" si="1"/>
        <v>975443.8334</v>
      </c>
      <c r="H39" s="7">
        <f>Sheet1!CP14</f>
        <v>0.18</v>
      </c>
      <c r="I39" s="9">
        <f t="shared" si="2"/>
        <v>175579.89001199999</v>
      </c>
      <c r="J39" s="9">
        <f t="shared" si="3"/>
        <v>1151023.7234120001</v>
      </c>
      <c r="K39" s="1">
        <f>Sheet1!CS14</f>
        <v>7</v>
      </c>
      <c r="L39" s="1" t="str">
        <f>Sheet1!CT14</f>
        <v>KMS</v>
      </c>
      <c r="M39" s="3">
        <f t="shared" si="4"/>
        <v>8057166.0638840012</v>
      </c>
      <c r="N39" s="2">
        <f>+IFERROR(VLOOKUP($N$17,Sheet1!J14:L14,3,0),0)</f>
        <v>810</v>
      </c>
      <c r="O39" s="2">
        <f>+IFERROR(VLOOKUP($O$17,Sheet1!J14:L14,3,0),0)</f>
        <v>0</v>
      </c>
      <c r="P39" s="2">
        <f>+IFERROR(VLOOKUP($P$17,Sheet1!J14:M14,3,0),0)</f>
        <v>0</v>
      </c>
      <c r="Q39" s="2">
        <f>+IFERROR(VLOOKUP($Q$17,Sheet1!J14:M14,3,0),0)</f>
        <v>0</v>
      </c>
      <c r="R39" s="2">
        <f>+IFERROR(VLOOKUP($R$17,Sheet1!J14:M14,3,0),0)</f>
        <v>0</v>
      </c>
      <c r="S39" s="2">
        <f>+IFERROR(VLOOKUP($S$17,Sheet1!N14:Q14,3,0),0)</f>
        <v>0</v>
      </c>
      <c r="T39" s="2">
        <f>+IFERROR(VLOOKUP($T$17,Sheet1!N14:Q14,3,0),0)</f>
        <v>0</v>
      </c>
      <c r="U39" s="2">
        <f>+IFERROR(VLOOKUP($U$17,Sheet1!F14:I14,3,0),0)</f>
        <v>0</v>
      </c>
      <c r="V39" s="2">
        <f>+IFERROR(VLOOKUP($V$17,Sheet1!F14:I14,3,0),0)</f>
        <v>0</v>
      </c>
      <c r="W39" s="2">
        <f>+IFERROR(VLOOKUP($W$17,Sheet1!F14:I14,3,0),0)</f>
        <v>0</v>
      </c>
      <c r="X39" s="2">
        <f>+IFERROR(VLOOKUP($X$17,Sheet1!F14:I14,3,0),0)</f>
        <v>0</v>
      </c>
      <c r="Y39" s="149">
        <v>71</v>
      </c>
      <c r="Z39" s="2">
        <f>+IFERROR(VLOOKUP($Z$17,Sheet1!F14:I14,3,0),0)</f>
        <v>0</v>
      </c>
      <c r="AA39" s="2">
        <f>+IFERROR(VLOOKUP($AA$17,Sheet1!F14:I14,3,0),0)</f>
        <v>0</v>
      </c>
      <c r="AB39" s="2">
        <f>+IFERROR(VLOOKUP($AB$17,Sheet1!F14:I14,3,0),0)</f>
        <v>0</v>
      </c>
      <c r="AC39" s="149">
        <v>187</v>
      </c>
      <c r="AD39" s="13">
        <f>+IFERROR(VLOOKUP($AD$17,Sheet1!R14:U14,2,0),0)</f>
        <v>0</v>
      </c>
      <c r="AE39" s="149">
        <v>810</v>
      </c>
      <c r="AF39" s="13">
        <f>+IFERROR(VLOOKUP($AF$17,Sheet1!V14:Y14,3,0),0)</f>
        <v>0</v>
      </c>
      <c r="AG39" s="13">
        <f>+IFERROR(VLOOKUP($AG$17,Sheet1!V14:Y14,3,0),0)</f>
        <v>0</v>
      </c>
      <c r="AH39" s="13">
        <f>+IFERROR(VLOOKUP($AH$17,Sheet1!V14:Y14,3,0),0)</f>
        <v>0</v>
      </c>
      <c r="AI39" s="13">
        <f>+IFERROR(VLOOKUP($AI$17,Sheet1!V14:Y14,3,0),0)</f>
        <v>0</v>
      </c>
      <c r="AJ39" s="13">
        <f>+IFERROR(VLOOKUP($AJ$17,Sheet1!V14:Y14,3,0),0)</f>
        <v>0</v>
      </c>
      <c r="AK39" s="146">
        <v>30</v>
      </c>
      <c r="AL39" s="13">
        <f>+IFERROR(VLOOKUP($AL$17,Sheet1!AD14:AG14,3,0),0)</f>
        <v>0</v>
      </c>
      <c r="AM39" s="13">
        <f>+IFERROR(VLOOKUP($AM$17,Sheet1!AD14:AG14,3,0),0)</f>
        <v>0</v>
      </c>
      <c r="AN39" s="13">
        <f>+IFERROR(VLOOKUP($AN$17,Sheet1!AD14:AG14,3,0),0)</f>
        <v>0</v>
      </c>
      <c r="AO39" s="13">
        <f>+IFERROR(VLOOKUP($AO$17,Sheet1!AD14:AG14,3,0),0)</f>
        <v>0</v>
      </c>
      <c r="AP39" s="13">
        <f>+IFERROR(VLOOKUP($AP$17,Sheet1!AD14:AG14,3,0),0)</f>
        <v>0</v>
      </c>
      <c r="AQ39" s="146">
        <v>146</v>
      </c>
      <c r="AR39" s="13">
        <f>+IFERROR(VLOOKUP($AR$17,Sheet1!AD14:AG14,3,0),0)</f>
        <v>0</v>
      </c>
      <c r="AS39" s="13">
        <f>+IFERROR(VLOOKUP($AS$17,Sheet1!AH14:AK14,3,0),0)</f>
        <v>0</v>
      </c>
      <c r="AT39" s="13">
        <f>+IFERROR(VLOOKUP($AT$17,Sheet1!AH14:AK14,3,0),0)</f>
        <v>0</v>
      </c>
      <c r="AU39" s="13">
        <f>+IFERROR(VLOOKUP($AU$17,Sheet1!AH14:AK14,3,0),0)</f>
        <v>0</v>
      </c>
      <c r="AV39" s="146">
        <v>690</v>
      </c>
      <c r="AW39" s="13">
        <f>+IFERROR(VLOOKUP($AW$17,Sheet1!AH14:AK14,3,0),0)</f>
        <v>0</v>
      </c>
      <c r="AX39" s="13">
        <f>+IFERROR(VLOOKUP($AX$17,Sheet1!AH14:AK14,3,0),0)</f>
        <v>0</v>
      </c>
      <c r="AY39" s="13">
        <f>+IFERROR(VLOOKUP($AY$17,Sheet1!AH14:AK14,3,0),0)</f>
        <v>0</v>
      </c>
      <c r="AZ39" s="13">
        <f>+IFERROR(VLOOKUP($AZ$17,Sheet1!AH14:AK14,3,0),0)</f>
        <v>0</v>
      </c>
      <c r="BA39" s="13">
        <f>+IFERROR(VLOOKUP($BA$17,Sheet1!AH14:AK14,3,0),0)</f>
        <v>0</v>
      </c>
      <c r="BB39" s="13">
        <f>+IFERROR(VLOOKUP($BB$17,Sheet1!AH14:AK14,3,0),0)</f>
        <v>0</v>
      </c>
      <c r="BC39" s="13">
        <f>+IFERROR(VLOOKUP($BC$17,Sheet1!AL14:AO14,3,0),0)</f>
        <v>0</v>
      </c>
      <c r="BD39" s="13">
        <f>+IFERROR(VLOOKUP($BD$17,Sheet1!AL14:AO14,3,0),0)</f>
        <v>0</v>
      </c>
      <c r="BE39" s="13">
        <f>+IFERROR(VLOOKUP($BE$17,Sheet1!AL14:AO14,3,0),0)</f>
        <v>0</v>
      </c>
      <c r="BF39" s="146">
        <v>570</v>
      </c>
      <c r="BG39" s="13">
        <f>+IFERROR(VLOOKUP($BG$17,Sheet1!AL14:AO14,3,0),0)</f>
        <v>0</v>
      </c>
      <c r="BH39" s="13">
        <f>+IFERROR(VLOOKUP($BH$17,Sheet1!AL14:AO14,3,0),0)</f>
        <v>0</v>
      </c>
      <c r="BI39" s="13">
        <f>+IFERROR(VLOOKUP($BI$17,Sheet1!AL14:AO14,3,0),0)</f>
        <v>0</v>
      </c>
      <c r="BJ39" s="13">
        <f>+IFERROR(VLOOKUP($BJ$17,Sheet1!AL14:AO14,3,0),0)</f>
        <v>0</v>
      </c>
      <c r="BK39" s="13">
        <f>+IFERROR(VLOOKUP($BK$17,Sheet1!AL14:AO14,3,0),0)</f>
        <v>0</v>
      </c>
      <c r="BL39" s="13">
        <f>+IFERROR(VLOOKUP($BL$17,Sheet1!AL14:AO14,3,0),0)</f>
        <v>0</v>
      </c>
      <c r="BM39" s="13">
        <f>+IFERROR(VLOOKUP($BM$17,Sheet1!AP14:AS14,3,0),0)</f>
        <v>0</v>
      </c>
      <c r="BN39" s="146">
        <v>13</v>
      </c>
      <c r="BO39" s="13">
        <f>+IFERROR(VLOOKUP($BO$17,Sheet1!AX14:BA14,3,0),0)</f>
        <v>0</v>
      </c>
      <c r="BP39" s="146">
        <v>35</v>
      </c>
      <c r="BQ39" s="13">
        <f>+IFERROR(VLOOKUP($BQ$17,Sheet1!BF14:BI14,3,0),0)</f>
        <v>0</v>
      </c>
      <c r="BR39" s="13">
        <f>+IFERROR(VLOOKUP($BR$17,Sheet1!BJ14:BM14,3,0),0)</f>
        <v>0</v>
      </c>
      <c r="BS39" s="13">
        <f>+IFERROR(VLOOKUP($BS$17,Sheet1!BN14:BQ14,3,0),0)</f>
        <v>0</v>
      </c>
      <c r="BT39" s="146">
        <v>35</v>
      </c>
      <c r="BU39" s="13">
        <f>+IFERROR(VLOOKUP($BU$17,Sheet1!BV14:BY14,3,0),0)</f>
        <v>0</v>
      </c>
      <c r="BV39" s="13" t="str">
        <f>Sheet1!E14</f>
        <v>STEEL</v>
      </c>
      <c r="BW39" s="13" t="s">
        <v>334</v>
      </c>
      <c r="BX39" s="146" t="s">
        <v>335</v>
      </c>
      <c r="BY39" s="146">
        <f>Sheet1!CX14</f>
        <v>500</v>
      </c>
      <c r="BZ39" s="3">
        <f>16000/0.5</f>
        <v>32000</v>
      </c>
      <c r="CA39" s="3">
        <f t="shared" si="5"/>
        <v>737303</v>
      </c>
      <c r="CB39" s="23">
        <v>0.01</v>
      </c>
      <c r="CC39" s="3">
        <f t="shared" si="6"/>
        <v>7373.03</v>
      </c>
      <c r="CD39" s="44">
        <v>0.25</v>
      </c>
      <c r="CE39" s="3">
        <f t="shared" si="7"/>
        <v>184325.75</v>
      </c>
      <c r="CF39" s="44">
        <f>Sheet1!CF14</f>
        <v>0</v>
      </c>
      <c r="CG39" s="3">
        <f t="shared" si="8"/>
        <v>0</v>
      </c>
      <c r="CH39" s="3">
        <f t="shared" si="9"/>
        <v>929001.78</v>
      </c>
      <c r="CI39" s="44">
        <v>0.02</v>
      </c>
      <c r="CJ39" s="1">
        <f t="shared" si="13"/>
        <v>18580.035599999999</v>
      </c>
      <c r="CK39" s="44">
        <v>0.01</v>
      </c>
      <c r="CL39" s="1">
        <f t="shared" si="11"/>
        <v>9290.0177999999996</v>
      </c>
    </row>
    <row r="40" spans="1:90" x14ac:dyDescent="0.25">
      <c r="M40" s="152">
        <f>SUM(M19:M39)</f>
        <v>3421755221.3731847</v>
      </c>
    </row>
    <row r="42" spans="1:90" ht="60" x14ac:dyDescent="0.25">
      <c r="E42" s="2" t="s">
        <v>265</v>
      </c>
      <c r="F42" s="2" t="s">
        <v>266</v>
      </c>
      <c r="G42" s="54" t="s">
        <v>267</v>
      </c>
      <c r="H42" s="2" t="s">
        <v>268</v>
      </c>
      <c r="I42" s="2" t="s">
        <v>269</v>
      </c>
      <c r="J42" s="2" t="s">
        <v>270</v>
      </c>
      <c r="K42" s="2" t="s">
        <v>271</v>
      </c>
      <c r="L42" s="54" t="s">
        <v>272</v>
      </c>
      <c r="M42" s="55" t="s">
        <v>273</v>
      </c>
      <c r="Y42" s="26" t="s">
        <v>337</v>
      </c>
      <c r="AC42" s="26" t="s">
        <v>338</v>
      </c>
      <c r="AE42" s="26" t="s">
        <v>339</v>
      </c>
      <c r="AK42" s="26" t="s">
        <v>340</v>
      </c>
    </row>
    <row r="43" spans="1:90" x14ac:dyDescent="0.25">
      <c r="D43" t="str">
        <f t="shared" ref="D43:D63" si="14">D19</f>
        <v>3 CORE X 400 SQ. MM. AL/ARM - WIRE (XLPE) - 11 KV</v>
      </c>
      <c r="E43" s="54">
        <f t="shared" ref="E43:E63" si="15">K19</f>
        <v>314</v>
      </c>
      <c r="F43" s="56">
        <f t="shared" ref="F43:F63" si="16">BY19/1000</f>
        <v>0.25</v>
      </c>
      <c r="G43" s="54" t="s">
        <v>274</v>
      </c>
      <c r="H43" s="57">
        <v>65000</v>
      </c>
      <c r="I43" s="56">
        <v>5</v>
      </c>
      <c r="J43" s="54">
        <f>F43*I43</f>
        <v>1.25</v>
      </c>
      <c r="K43" s="54">
        <f>ROUNDUP((E43/J43),0)</f>
        <v>252</v>
      </c>
      <c r="L43" s="54">
        <f>M43*E43</f>
        <v>16380000</v>
      </c>
      <c r="M43" s="58">
        <f>(H43*K43)/E43</f>
        <v>52165.605095541403</v>
      </c>
      <c r="Y43" s="26">
        <f t="shared" ref="Y43:Y63" si="17">SUM(N19:BT19)</f>
        <v>14156</v>
      </c>
      <c r="AC43" s="150">
        <f t="shared" ref="AC43:AC63" si="18">(BZ19*F43)/80</f>
        <v>393.75</v>
      </c>
      <c r="AE43" s="150">
        <f>((Y43*F43)+AC43)</f>
        <v>3932.75</v>
      </c>
      <c r="AK43" s="150">
        <f>I43*AE43</f>
        <v>19663.75</v>
      </c>
    </row>
    <row r="44" spans="1:90" x14ac:dyDescent="0.25">
      <c r="D44" t="str">
        <f t="shared" si="14"/>
        <v>3 CORE X 300 SQ. MM. AL/ARM - WIRE (XLPE) - 11 KV</v>
      </c>
      <c r="E44" s="54">
        <f t="shared" si="15"/>
        <v>43</v>
      </c>
      <c r="F44" s="56">
        <f t="shared" si="16"/>
        <v>0.25</v>
      </c>
      <c r="G44" s="54" t="s">
        <v>274</v>
      </c>
      <c r="H44" s="57">
        <v>65000</v>
      </c>
      <c r="I44" s="56">
        <v>5</v>
      </c>
      <c r="J44" s="54">
        <f t="shared" ref="J44:J63" si="19">F44*I44</f>
        <v>1.25</v>
      </c>
      <c r="K44" s="54">
        <f t="shared" ref="K44:K63" si="20">ROUNDUP((E44/J44),0)</f>
        <v>35</v>
      </c>
      <c r="L44" s="54">
        <f t="shared" ref="L44:L63" si="21">M44*E44</f>
        <v>2275000</v>
      </c>
      <c r="M44" s="58">
        <f t="shared" ref="M44:M63" si="22">(H44*K44)/E44</f>
        <v>52906.976744186046</v>
      </c>
      <c r="Y44" s="26">
        <f t="shared" si="17"/>
        <v>11078</v>
      </c>
      <c r="AC44" s="150">
        <f t="shared" si="18"/>
        <v>393.75</v>
      </c>
      <c r="AE44" s="150">
        <f t="shared" ref="AE44:AE63" si="23">((Y44*F44)+AC44)</f>
        <v>3163.25</v>
      </c>
      <c r="AK44" s="150">
        <f t="shared" ref="AK44:AK63" si="24">I44*AE44</f>
        <v>15816.25</v>
      </c>
    </row>
    <row r="45" spans="1:90" x14ac:dyDescent="0.25">
      <c r="D45" t="str">
        <f t="shared" si="14"/>
        <v>3 CORE X 185 SQ. MM AL/ARM - WIRE (XLPE) - 11 KV</v>
      </c>
      <c r="E45" s="54">
        <f t="shared" si="15"/>
        <v>2</v>
      </c>
      <c r="F45" s="56">
        <f t="shared" si="16"/>
        <v>0.25</v>
      </c>
      <c r="G45" s="54" t="s">
        <v>274</v>
      </c>
      <c r="H45" s="57">
        <v>65000</v>
      </c>
      <c r="I45" s="56">
        <v>6</v>
      </c>
      <c r="J45" s="54">
        <f t="shared" si="19"/>
        <v>1.5</v>
      </c>
      <c r="K45" s="54">
        <f t="shared" si="20"/>
        <v>2</v>
      </c>
      <c r="L45" s="54">
        <f t="shared" si="21"/>
        <v>130000</v>
      </c>
      <c r="M45" s="58">
        <f t="shared" si="22"/>
        <v>65000</v>
      </c>
      <c r="Y45" s="26">
        <f t="shared" si="17"/>
        <v>8667</v>
      </c>
      <c r="AC45" s="150">
        <f t="shared" si="18"/>
        <v>241.875</v>
      </c>
      <c r="AE45" s="150">
        <f t="shared" si="23"/>
        <v>2408.625</v>
      </c>
      <c r="AK45" s="150">
        <f t="shared" si="24"/>
        <v>14451.75</v>
      </c>
    </row>
    <row r="46" spans="1:90" x14ac:dyDescent="0.25">
      <c r="B46" t="s">
        <v>351</v>
      </c>
      <c r="D46" t="str">
        <f t="shared" si="14"/>
        <v>3 CORE X 150 SQ. MM. AL/ARM - WIRE (XLPE) - 11 KV</v>
      </c>
      <c r="E46" s="54">
        <f t="shared" si="15"/>
        <v>4</v>
      </c>
      <c r="F46" s="56">
        <f t="shared" si="16"/>
        <v>0.25</v>
      </c>
      <c r="G46" s="54" t="s">
        <v>274</v>
      </c>
      <c r="H46" s="57">
        <v>65000</v>
      </c>
      <c r="I46" s="56">
        <v>8</v>
      </c>
      <c r="J46" s="54">
        <f t="shared" si="19"/>
        <v>2</v>
      </c>
      <c r="K46" s="54">
        <f t="shared" si="20"/>
        <v>2</v>
      </c>
      <c r="L46" s="54">
        <f t="shared" si="21"/>
        <v>130000</v>
      </c>
      <c r="M46" s="58">
        <f t="shared" si="22"/>
        <v>32500</v>
      </c>
      <c r="Y46" s="26">
        <f t="shared" si="17"/>
        <v>7064</v>
      </c>
      <c r="AC46" s="150">
        <f t="shared" si="18"/>
        <v>220</v>
      </c>
      <c r="AE46" s="150">
        <f t="shared" si="23"/>
        <v>1986</v>
      </c>
      <c r="AK46" s="150">
        <f t="shared" si="24"/>
        <v>15888</v>
      </c>
    </row>
    <row r="47" spans="1:90" x14ac:dyDescent="0.25">
      <c r="B47" s="156" t="s">
        <v>274</v>
      </c>
      <c r="D47" t="str">
        <f t="shared" si="14"/>
        <v>3 CORE X 120 SQ. MM. AL/ARM - WIRE (XLPE) - 11 KV</v>
      </c>
      <c r="E47" s="54">
        <f t="shared" si="15"/>
        <v>10</v>
      </c>
      <c r="F47" s="56">
        <f t="shared" si="16"/>
        <v>0.25</v>
      </c>
      <c r="G47" s="54" t="s">
        <v>274</v>
      </c>
      <c r="H47" s="57">
        <v>65000</v>
      </c>
      <c r="I47" s="56">
        <v>8</v>
      </c>
      <c r="J47" s="54">
        <f t="shared" si="19"/>
        <v>2</v>
      </c>
      <c r="K47" s="54">
        <f t="shared" si="20"/>
        <v>5</v>
      </c>
      <c r="L47" s="54">
        <f t="shared" si="21"/>
        <v>325000</v>
      </c>
      <c r="M47" s="58">
        <f t="shared" si="22"/>
        <v>32500</v>
      </c>
      <c r="Y47" s="26">
        <f t="shared" si="17"/>
        <v>6405</v>
      </c>
      <c r="AC47" s="150">
        <f t="shared" si="18"/>
        <v>220</v>
      </c>
      <c r="AE47" s="150">
        <f t="shared" si="23"/>
        <v>1821.25</v>
      </c>
      <c r="AK47" s="150">
        <f t="shared" si="24"/>
        <v>14570</v>
      </c>
    </row>
    <row r="48" spans="1:90" ht="15.75" x14ac:dyDescent="0.25">
      <c r="A48" s="155" t="s">
        <v>347</v>
      </c>
      <c r="B48" s="4">
        <v>45000</v>
      </c>
      <c r="D48" t="str">
        <f t="shared" si="14"/>
        <v>3 CORE X 95 SQ. MM. AL/ARM - WIRE (XLPE) - 11 KV (E)</v>
      </c>
      <c r="E48" s="54">
        <f t="shared" si="15"/>
        <v>23</v>
      </c>
      <c r="F48" s="56">
        <f t="shared" si="16"/>
        <v>0.25</v>
      </c>
      <c r="G48" s="54" t="s">
        <v>274</v>
      </c>
      <c r="H48" s="57">
        <v>65000</v>
      </c>
      <c r="I48" s="56">
        <v>8</v>
      </c>
      <c r="J48" s="54">
        <f t="shared" si="19"/>
        <v>2</v>
      </c>
      <c r="K48" s="54">
        <f t="shared" si="20"/>
        <v>12</v>
      </c>
      <c r="L48" s="54">
        <f t="shared" si="21"/>
        <v>780000</v>
      </c>
      <c r="M48" s="58">
        <f t="shared" si="22"/>
        <v>33913.043478260872</v>
      </c>
      <c r="Y48" s="26">
        <f t="shared" si="17"/>
        <v>5793</v>
      </c>
      <c r="AC48" s="150">
        <f t="shared" si="18"/>
        <v>215</v>
      </c>
      <c r="AE48" s="150">
        <f t="shared" si="23"/>
        <v>1663.25</v>
      </c>
      <c r="AK48" s="150">
        <f t="shared" si="24"/>
        <v>13306</v>
      </c>
    </row>
    <row r="49" spans="1:37" ht="15.75" x14ac:dyDescent="0.25">
      <c r="A49" s="155" t="s">
        <v>348</v>
      </c>
      <c r="B49" s="4">
        <v>80000</v>
      </c>
      <c r="D49" t="str">
        <f t="shared" si="14"/>
        <v>3 CORE X 50 SQ. MM. AL/ARD - WIRE (XLPE) - 11 KV</v>
      </c>
      <c r="E49" s="54">
        <f t="shared" si="15"/>
        <v>7.5</v>
      </c>
      <c r="F49" s="56">
        <f t="shared" si="16"/>
        <v>0.25</v>
      </c>
      <c r="G49" s="54" t="s">
        <v>274</v>
      </c>
      <c r="H49" s="57">
        <v>65000</v>
      </c>
      <c r="I49" s="56">
        <v>14</v>
      </c>
      <c r="J49" s="54">
        <f t="shared" si="19"/>
        <v>3.5</v>
      </c>
      <c r="K49" s="54">
        <f t="shared" si="20"/>
        <v>3</v>
      </c>
      <c r="L49" s="54">
        <f t="shared" si="21"/>
        <v>195000</v>
      </c>
      <c r="M49" s="58">
        <f t="shared" si="22"/>
        <v>26000</v>
      </c>
      <c r="Y49" s="26">
        <f t="shared" si="17"/>
        <v>4382</v>
      </c>
      <c r="AC49" s="150">
        <f t="shared" si="18"/>
        <v>281.25</v>
      </c>
      <c r="AE49" s="150">
        <f t="shared" si="23"/>
        <v>1376.75</v>
      </c>
      <c r="AK49" s="150">
        <f t="shared" si="24"/>
        <v>19274.5</v>
      </c>
    </row>
    <row r="50" spans="1:37" ht="15.75" x14ac:dyDescent="0.25">
      <c r="A50" s="155" t="s">
        <v>349</v>
      </c>
      <c r="B50" s="4">
        <v>75000</v>
      </c>
      <c r="D50" t="str">
        <f t="shared" si="14"/>
        <v>1 CORE X 1000 SQ. MM. AL/ARM (XLPE) - 11 KV</v>
      </c>
      <c r="E50" s="54">
        <f t="shared" si="15"/>
        <v>1</v>
      </c>
      <c r="F50" s="56">
        <f t="shared" si="16"/>
        <v>0.5</v>
      </c>
      <c r="G50" s="54" t="s">
        <v>274</v>
      </c>
      <c r="H50" s="57">
        <v>65000</v>
      </c>
      <c r="I50" s="56">
        <v>6</v>
      </c>
      <c r="J50" s="54">
        <f t="shared" si="19"/>
        <v>3</v>
      </c>
      <c r="K50" s="54">
        <f t="shared" si="20"/>
        <v>1</v>
      </c>
      <c r="L50" s="54">
        <f t="shared" si="21"/>
        <v>65000</v>
      </c>
      <c r="M50" s="58">
        <f t="shared" si="22"/>
        <v>65000</v>
      </c>
      <c r="Y50" s="26">
        <f t="shared" si="17"/>
        <v>5455</v>
      </c>
      <c r="AC50" s="150">
        <f t="shared" si="18"/>
        <v>393.75</v>
      </c>
      <c r="AE50" s="150">
        <f t="shared" si="23"/>
        <v>3121.25</v>
      </c>
      <c r="AK50" s="150">
        <f t="shared" si="24"/>
        <v>18727.5</v>
      </c>
    </row>
    <row r="51" spans="1:37" ht="15.75" x14ac:dyDescent="0.25">
      <c r="A51" s="155" t="s">
        <v>350</v>
      </c>
      <c r="B51" s="4">
        <v>55000</v>
      </c>
      <c r="D51" t="str">
        <f t="shared" si="14"/>
        <v>1 CORE X 630 SQ. MM. AL/ARM (XLPE)  - 11 KV</v>
      </c>
      <c r="E51" s="54">
        <f t="shared" si="15"/>
        <v>11</v>
      </c>
      <c r="F51" s="56">
        <f t="shared" si="16"/>
        <v>0.5</v>
      </c>
      <c r="G51" s="54" t="s">
        <v>274</v>
      </c>
      <c r="H51" s="57">
        <v>65000</v>
      </c>
      <c r="I51" s="56">
        <v>8</v>
      </c>
      <c r="J51" s="54">
        <f t="shared" si="19"/>
        <v>4</v>
      </c>
      <c r="K51" s="54">
        <f t="shared" si="20"/>
        <v>3</v>
      </c>
      <c r="L51" s="54">
        <f t="shared" si="21"/>
        <v>195000</v>
      </c>
      <c r="M51" s="58">
        <f t="shared" si="22"/>
        <v>17727.272727272728</v>
      </c>
      <c r="Y51" s="26">
        <f t="shared" si="17"/>
        <v>3673</v>
      </c>
      <c r="AC51" s="150">
        <f t="shared" si="18"/>
        <v>280</v>
      </c>
      <c r="AE51" s="150">
        <f t="shared" si="23"/>
        <v>2116.5</v>
      </c>
      <c r="AK51" s="150">
        <f t="shared" si="24"/>
        <v>16932</v>
      </c>
    </row>
    <row r="52" spans="1:37" ht="15.75" x14ac:dyDescent="0.25">
      <c r="A52" s="157" t="s">
        <v>352</v>
      </c>
      <c r="B52" s="158">
        <f>AVERAGE(B48:B51)</f>
        <v>63750</v>
      </c>
      <c r="D52" t="str">
        <f t="shared" si="14"/>
        <v>1 CORE X 400 SQ. MM. AL/ARM (XLPE) - 11 KV</v>
      </c>
      <c r="E52" s="54">
        <f t="shared" si="15"/>
        <v>4</v>
      </c>
      <c r="F52" s="56">
        <f t="shared" si="16"/>
        <v>0.5</v>
      </c>
      <c r="G52" s="54" t="s">
        <v>274</v>
      </c>
      <c r="H52" s="57">
        <v>65000</v>
      </c>
      <c r="I52" s="56">
        <v>8</v>
      </c>
      <c r="J52" s="54">
        <f t="shared" si="19"/>
        <v>4</v>
      </c>
      <c r="K52" s="54">
        <f t="shared" si="20"/>
        <v>1</v>
      </c>
      <c r="L52" s="54">
        <f t="shared" si="21"/>
        <v>65000</v>
      </c>
      <c r="M52" s="58">
        <f t="shared" si="22"/>
        <v>16250</v>
      </c>
      <c r="Y52" s="26">
        <f t="shared" si="17"/>
        <v>2691</v>
      </c>
      <c r="AC52" s="150">
        <f t="shared" si="18"/>
        <v>200</v>
      </c>
      <c r="AE52" s="150">
        <f t="shared" si="23"/>
        <v>1545.5</v>
      </c>
      <c r="AK52" s="150">
        <f t="shared" si="24"/>
        <v>12364</v>
      </c>
    </row>
    <row r="53" spans="1:37" x14ac:dyDescent="0.25">
      <c r="D53" t="str">
        <f t="shared" si="14"/>
        <v>1 CORE X 300 SQ. MM. AL./ARM (XLPE)  - 11 KV</v>
      </c>
      <c r="E53" s="54">
        <f t="shared" si="15"/>
        <v>6.5</v>
      </c>
      <c r="F53" s="56">
        <f t="shared" si="16"/>
        <v>0.5</v>
      </c>
      <c r="G53" s="54" t="s">
        <v>274</v>
      </c>
      <c r="H53" s="57">
        <v>65000</v>
      </c>
      <c r="I53" s="56">
        <v>8</v>
      </c>
      <c r="J53" s="54">
        <f t="shared" si="19"/>
        <v>4</v>
      </c>
      <c r="K53" s="54">
        <f t="shared" si="20"/>
        <v>2</v>
      </c>
      <c r="L53" s="54">
        <f t="shared" si="21"/>
        <v>130000</v>
      </c>
      <c r="M53" s="58">
        <f t="shared" si="22"/>
        <v>20000</v>
      </c>
      <c r="Y53" s="26">
        <f t="shared" si="17"/>
        <v>2250</v>
      </c>
      <c r="AC53" s="150">
        <f t="shared" si="18"/>
        <v>180</v>
      </c>
      <c r="AE53" s="150">
        <f t="shared" si="23"/>
        <v>1305</v>
      </c>
      <c r="AK53" s="150">
        <f t="shared" si="24"/>
        <v>10440</v>
      </c>
    </row>
    <row r="54" spans="1:37" x14ac:dyDescent="0.25">
      <c r="D54" t="str">
        <f t="shared" si="14"/>
        <v>3 CORE X 400 SQ. MM AL/ARM - WIRE (XLPE) - 33 KV</v>
      </c>
      <c r="E54" s="54">
        <f t="shared" si="15"/>
        <v>222.75</v>
      </c>
      <c r="F54" s="56">
        <f t="shared" si="16"/>
        <v>0.25</v>
      </c>
      <c r="G54" s="54" t="s">
        <v>274</v>
      </c>
      <c r="H54" s="57">
        <v>65000</v>
      </c>
      <c r="I54" s="56">
        <v>4</v>
      </c>
      <c r="J54" s="54">
        <f t="shared" si="19"/>
        <v>1</v>
      </c>
      <c r="K54" s="54">
        <f t="shared" si="20"/>
        <v>223</v>
      </c>
      <c r="L54" s="54">
        <f t="shared" si="21"/>
        <v>14495000</v>
      </c>
      <c r="M54" s="58">
        <f t="shared" si="22"/>
        <v>65072.951739618409</v>
      </c>
      <c r="Y54" s="26">
        <f t="shared" si="17"/>
        <v>19432</v>
      </c>
      <c r="AC54" s="150">
        <f t="shared" si="18"/>
        <v>550</v>
      </c>
      <c r="AE54" s="150">
        <f t="shared" si="23"/>
        <v>5408</v>
      </c>
      <c r="AK54" s="150">
        <f t="shared" si="24"/>
        <v>21632</v>
      </c>
    </row>
    <row r="55" spans="1:37" x14ac:dyDescent="0.25">
      <c r="D55" t="str">
        <f t="shared" si="14"/>
        <v>3 CORE X 300 SQ. MM. AL/ARM - WIRE (XLPE) - 33 KV</v>
      </c>
      <c r="E55" s="54">
        <f t="shared" si="15"/>
        <v>17.5</v>
      </c>
      <c r="F55" s="56">
        <f t="shared" si="16"/>
        <v>0.25</v>
      </c>
      <c r="G55" s="54" t="s">
        <v>274</v>
      </c>
      <c r="H55" s="57">
        <v>65000</v>
      </c>
      <c r="I55" s="56">
        <v>4</v>
      </c>
      <c r="J55" s="54">
        <f t="shared" si="19"/>
        <v>1</v>
      </c>
      <c r="K55" s="54">
        <f t="shared" si="20"/>
        <v>18</v>
      </c>
      <c r="L55" s="54">
        <f t="shared" si="21"/>
        <v>1170000</v>
      </c>
      <c r="M55" s="58">
        <f t="shared" si="22"/>
        <v>66857.142857142855</v>
      </c>
      <c r="Y55" s="26">
        <f t="shared" si="17"/>
        <v>17363</v>
      </c>
      <c r="AC55" s="150">
        <f t="shared" si="18"/>
        <v>500</v>
      </c>
      <c r="AE55" s="150">
        <f t="shared" si="23"/>
        <v>4840.75</v>
      </c>
      <c r="AK55" s="150">
        <f t="shared" si="24"/>
        <v>19363</v>
      </c>
    </row>
    <row r="56" spans="1:37" x14ac:dyDescent="0.25">
      <c r="D56" t="str">
        <f t="shared" si="14"/>
        <v>3 CORE X 185 SQ. MM AL/ARM - WIRE (XLPE) - 33 KV</v>
      </c>
      <c r="E56" s="54">
        <f t="shared" si="15"/>
        <v>12.5</v>
      </c>
      <c r="F56" s="56">
        <f t="shared" si="16"/>
        <v>0.25</v>
      </c>
      <c r="G56" s="54" t="s">
        <v>274</v>
      </c>
      <c r="H56" s="57">
        <v>65000</v>
      </c>
      <c r="I56" s="56">
        <v>6</v>
      </c>
      <c r="J56" s="54">
        <f t="shared" si="19"/>
        <v>1.5</v>
      </c>
      <c r="K56" s="54">
        <f t="shared" si="20"/>
        <v>9</v>
      </c>
      <c r="L56" s="54">
        <f t="shared" si="21"/>
        <v>585000</v>
      </c>
      <c r="M56" s="58">
        <f t="shared" si="22"/>
        <v>46800</v>
      </c>
      <c r="Y56" s="26">
        <f t="shared" si="17"/>
        <v>14502</v>
      </c>
      <c r="AC56" s="150">
        <f t="shared" si="18"/>
        <v>461.25</v>
      </c>
      <c r="AE56" s="150">
        <f t="shared" si="23"/>
        <v>4086.75</v>
      </c>
      <c r="AK56" s="150">
        <f t="shared" si="24"/>
        <v>24520.5</v>
      </c>
    </row>
    <row r="57" spans="1:37" x14ac:dyDescent="0.25">
      <c r="D57" t="str">
        <f t="shared" si="14"/>
        <v>3 CORE X 95 SQ. MM. AL/ARM  WIRE (XLPE) - 33 KV</v>
      </c>
      <c r="E57" s="54">
        <f t="shared" si="15"/>
        <v>4</v>
      </c>
      <c r="F57" s="56">
        <f t="shared" si="16"/>
        <v>0.25</v>
      </c>
      <c r="G57" s="54" t="s">
        <v>274</v>
      </c>
      <c r="H57" s="57">
        <v>65000</v>
      </c>
      <c r="I57" s="56">
        <v>8</v>
      </c>
      <c r="J57" s="54">
        <f t="shared" si="19"/>
        <v>2</v>
      </c>
      <c r="K57" s="54">
        <f t="shared" si="20"/>
        <v>2</v>
      </c>
      <c r="L57" s="54">
        <f t="shared" si="21"/>
        <v>130000</v>
      </c>
      <c r="M57" s="58">
        <f t="shared" si="22"/>
        <v>32500</v>
      </c>
      <c r="Y57" s="26">
        <f t="shared" si="17"/>
        <v>10659</v>
      </c>
      <c r="AC57" s="150">
        <f t="shared" si="18"/>
        <v>400</v>
      </c>
      <c r="AE57" s="150">
        <f t="shared" si="23"/>
        <v>3064.75</v>
      </c>
      <c r="AK57" s="150">
        <f t="shared" si="24"/>
        <v>24518</v>
      </c>
    </row>
    <row r="58" spans="1:37" x14ac:dyDescent="0.25">
      <c r="D58" t="str">
        <f t="shared" si="14"/>
        <v>3 CORE X 70 SQ. MM. AL/ARM - WIRE (XLPE) - 33 KV</v>
      </c>
      <c r="E58" s="54">
        <f t="shared" si="15"/>
        <v>3</v>
      </c>
      <c r="F58" s="56">
        <f t="shared" si="16"/>
        <v>0.25</v>
      </c>
      <c r="G58" s="54" t="s">
        <v>274</v>
      </c>
      <c r="H58" s="57">
        <v>65000</v>
      </c>
      <c r="I58" s="56">
        <v>8</v>
      </c>
      <c r="J58" s="54">
        <f t="shared" si="19"/>
        <v>2</v>
      </c>
      <c r="K58" s="54">
        <f t="shared" si="20"/>
        <v>2</v>
      </c>
      <c r="L58" s="54">
        <f t="shared" si="21"/>
        <v>130000</v>
      </c>
      <c r="M58" s="58">
        <f t="shared" si="22"/>
        <v>43333.333333333336</v>
      </c>
      <c r="Y58" s="26">
        <f t="shared" si="17"/>
        <v>9870</v>
      </c>
      <c r="AC58" s="150">
        <f t="shared" si="18"/>
        <v>450</v>
      </c>
      <c r="AE58" s="150">
        <f t="shared" si="23"/>
        <v>2917.5</v>
      </c>
      <c r="AK58" s="150">
        <f t="shared" si="24"/>
        <v>23340</v>
      </c>
    </row>
    <row r="59" spans="1:37" x14ac:dyDescent="0.25">
      <c r="D59" t="str">
        <f t="shared" si="14"/>
        <v>3 CORE X 50 SQ. MM. AL/ARD - WIRE (XLPE) - 33 KV (E)</v>
      </c>
      <c r="E59" s="54">
        <f t="shared" si="15"/>
        <v>5</v>
      </c>
      <c r="F59" s="56">
        <f t="shared" si="16"/>
        <v>0.25</v>
      </c>
      <c r="G59" s="54" t="s">
        <v>274</v>
      </c>
      <c r="H59" s="57">
        <v>65000</v>
      </c>
      <c r="I59" s="56">
        <v>9</v>
      </c>
      <c r="J59" s="54">
        <f t="shared" si="19"/>
        <v>2.25</v>
      </c>
      <c r="K59" s="54">
        <f t="shared" si="20"/>
        <v>3</v>
      </c>
      <c r="L59" s="54">
        <f t="shared" si="21"/>
        <v>195000</v>
      </c>
      <c r="M59" s="58">
        <f t="shared" si="22"/>
        <v>39000</v>
      </c>
      <c r="Y59" s="26">
        <f t="shared" si="17"/>
        <v>9063</v>
      </c>
      <c r="AC59" s="150">
        <f t="shared" si="18"/>
        <v>250</v>
      </c>
      <c r="AE59" s="150">
        <f t="shared" si="23"/>
        <v>2515.75</v>
      </c>
      <c r="AK59" s="150">
        <f t="shared" si="24"/>
        <v>22641.75</v>
      </c>
    </row>
    <row r="60" spans="1:37" x14ac:dyDescent="0.25">
      <c r="D60" t="str">
        <f t="shared" si="14"/>
        <v>3 CORE X 35 SQ. MM. AL/ARM - WIRE (XLPE) - 33 KV (E)</v>
      </c>
      <c r="E60" s="54">
        <f t="shared" si="15"/>
        <v>4</v>
      </c>
      <c r="F60" s="56">
        <f t="shared" si="16"/>
        <v>0.25</v>
      </c>
      <c r="G60" s="54" t="s">
        <v>274</v>
      </c>
      <c r="H60" s="57">
        <v>65000</v>
      </c>
      <c r="I60" s="56">
        <v>9</v>
      </c>
      <c r="J60" s="54">
        <f t="shared" si="19"/>
        <v>2.25</v>
      </c>
      <c r="K60" s="54">
        <f t="shared" si="20"/>
        <v>2</v>
      </c>
      <c r="L60" s="54">
        <f t="shared" si="21"/>
        <v>130000</v>
      </c>
      <c r="M60" s="58">
        <f t="shared" si="22"/>
        <v>32500</v>
      </c>
      <c r="Y60" s="26">
        <f t="shared" si="17"/>
        <v>9063</v>
      </c>
      <c r="AC60" s="150">
        <f t="shared" si="18"/>
        <v>250</v>
      </c>
      <c r="AE60" s="150">
        <f t="shared" si="23"/>
        <v>2515.75</v>
      </c>
      <c r="AK60" s="150">
        <f t="shared" si="24"/>
        <v>22641.75</v>
      </c>
    </row>
    <row r="61" spans="1:37" x14ac:dyDescent="0.25">
      <c r="D61" t="str">
        <f t="shared" si="14"/>
        <v>1 CORE X 630 SQ. MM. AL/ARM (XLPE)  - 33 KV</v>
      </c>
      <c r="E61" s="54">
        <f t="shared" si="15"/>
        <v>547.5</v>
      </c>
      <c r="F61" s="56">
        <f t="shared" si="16"/>
        <v>0.5</v>
      </c>
      <c r="G61" s="54" t="s">
        <v>274</v>
      </c>
      <c r="H61" s="57">
        <v>65000</v>
      </c>
      <c r="I61" s="56">
        <v>8</v>
      </c>
      <c r="J61" s="54">
        <f t="shared" si="19"/>
        <v>4</v>
      </c>
      <c r="K61" s="54">
        <f t="shared" si="20"/>
        <v>137</v>
      </c>
      <c r="L61" s="54">
        <f t="shared" si="21"/>
        <v>8905000</v>
      </c>
      <c r="M61" s="58">
        <f t="shared" si="22"/>
        <v>16264.840182648402</v>
      </c>
      <c r="Y61" s="26">
        <f t="shared" si="17"/>
        <v>5051</v>
      </c>
      <c r="AC61" s="150">
        <f t="shared" si="18"/>
        <v>250</v>
      </c>
      <c r="AE61" s="150">
        <f t="shared" si="23"/>
        <v>2775.5</v>
      </c>
      <c r="AK61" s="150">
        <f t="shared" si="24"/>
        <v>22204</v>
      </c>
    </row>
    <row r="62" spans="1:37" x14ac:dyDescent="0.25">
      <c r="D62" t="str">
        <f t="shared" si="14"/>
        <v>1 CORE X 400 SQ. MM. AL/ARM (XLPE) - 33 KV</v>
      </c>
      <c r="E62" s="54">
        <f t="shared" si="15"/>
        <v>17.5</v>
      </c>
      <c r="F62" s="56">
        <f t="shared" si="16"/>
        <v>0.5</v>
      </c>
      <c r="G62" s="54" t="s">
        <v>274</v>
      </c>
      <c r="H62" s="57">
        <v>65000</v>
      </c>
      <c r="I62" s="56">
        <v>8</v>
      </c>
      <c r="J62" s="54">
        <f t="shared" si="19"/>
        <v>4</v>
      </c>
      <c r="K62" s="54">
        <f t="shared" si="20"/>
        <v>5</v>
      </c>
      <c r="L62" s="54">
        <f t="shared" si="21"/>
        <v>325000</v>
      </c>
      <c r="M62" s="58">
        <f t="shared" si="22"/>
        <v>18571.428571428572</v>
      </c>
      <c r="Y62" s="26">
        <f t="shared" si="17"/>
        <v>3869</v>
      </c>
      <c r="AC62" s="150">
        <f t="shared" si="18"/>
        <v>200</v>
      </c>
      <c r="AE62" s="150">
        <f t="shared" si="23"/>
        <v>2134.5</v>
      </c>
      <c r="AK62" s="150">
        <f t="shared" si="24"/>
        <v>17076</v>
      </c>
    </row>
    <row r="63" spans="1:37" x14ac:dyDescent="0.25">
      <c r="D63" t="str">
        <f t="shared" si="14"/>
        <v>1 CORE X 300 SQ. MM. AL/ARM (XLPE)  - 33 KV</v>
      </c>
      <c r="E63" s="54">
        <f t="shared" si="15"/>
        <v>7</v>
      </c>
      <c r="F63" s="56">
        <f t="shared" si="16"/>
        <v>0.5</v>
      </c>
      <c r="G63" s="54" t="s">
        <v>274</v>
      </c>
      <c r="H63" s="57">
        <v>65000</v>
      </c>
      <c r="I63" s="56">
        <v>8</v>
      </c>
      <c r="J63" s="54">
        <f t="shared" si="19"/>
        <v>4</v>
      </c>
      <c r="K63" s="54">
        <f t="shared" si="20"/>
        <v>2</v>
      </c>
      <c r="L63" s="54">
        <f t="shared" si="21"/>
        <v>130000</v>
      </c>
      <c r="M63" s="58">
        <f t="shared" si="22"/>
        <v>18571.428571428572</v>
      </c>
      <c r="Y63" s="26">
        <f t="shared" si="17"/>
        <v>3397</v>
      </c>
      <c r="AC63" s="150">
        <f t="shared" si="18"/>
        <v>200</v>
      </c>
      <c r="AE63" s="150">
        <f t="shared" si="23"/>
        <v>1898.5</v>
      </c>
      <c r="AK63" s="150">
        <f t="shared" si="24"/>
        <v>15188</v>
      </c>
    </row>
    <row r="64" spans="1:37" x14ac:dyDescent="0.25">
      <c r="I64" t="s">
        <v>336</v>
      </c>
    </row>
    <row r="67" spans="1:13" ht="51" x14ac:dyDescent="0.25">
      <c r="A67" s="18" t="s">
        <v>0</v>
      </c>
      <c r="B67" s="18" t="s">
        <v>98</v>
      </c>
      <c r="C67" s="18" t="s">
        <v>1</v>
      </c>
      <c r="D67" s="18" t="s">
        <v>2</v>
      </c>
      <c r="E67" s="5" t="s">
        <v>341</v>
      </c>
      <c r="F67" s="13" t="s">
        <v>342</v>
      </c>
      <c r="G67" s="13" t="s">
        <v>343</v>
      </c>
      <c r="H67" s="6" t="s">
        <v>37</v>
      </c>
      <c r="I67" s="13" t="s">
        <v>38</v>
      </c>
      <c r="J67" s="13" t="s">
        <v>344</v>
      </c>
      <c r="K67" s="13" t="s">
        <v>40</v>
      </c>
      <c r="L67" s="13" t="s">
        <v>41</v>
      </c>
      <c r="M67" s="13" t="s">
        <v>42</v>
      </c>
    </row>
    <row r="68" spans="1:13" x14ac:dyDescent="0.25">
      <c r="A68" s="27"/>
      <c r="B68" s="27"/>
      <c r="C68" s="27"/>
      <c r="D68" s="27"/>
      <c r="E68" s="5"/>
      <c r="F68" s="5"/>
      <c r="G68" s="5"/>
      <c r="H68" s="5"/>
      <c r="I68" s="5"/>
      <c r="J68" s="5"/>
      <c r="K68" s="5"/>
      <c r="L68" s="5"/>
      <c r="M68" s="5"/>
    </row>
    <row r="69" spans="1:13" x14ac:dyDescent="0.25">
      <c r="A69" s="1" t="str">
        <f>A19</f>
        <v>ENQ-15138-22-23</v>
      </c>
      <c r="B69" s="47">
        <f>B19</f>
        <v>45627</v>
      </c>
      <c r="C69" s="1" t="str">
        <f>C19</f>
        <v>FA1300083</v>
      </c>
      <c r="D69" s="145" t="str">
        <f>D19</f>
        <v>3 CORE X 400 SQ. MM. AL/ARM - WIRE (XLPE) - 11 KV</v>
      </c>
      <c r="E69" s="3">
        <f t="shared" ref="E69:F89" si="25">ROUNDUP(E19/1000,2)</f>
        <v>2890.36</v>
      </c>
      <c r="F69" s="151">
        <f t="shared" si="25"/>
        <v>52.169999999999995</v>
      </c>
      <c r="G69" s="9">
        <f t="shared" ref="G69:G81" si="26">E69+F69</f>
        <v>2942.53</v>
      </c>
      <c r="H69" s="7">
        <f>H19</f>
        <v>0.18</v>
      </c>
      <c r="I69" s="9">
        <f>ROUND(G69*H69,2)</f>
        <v>529.66</v>
      </c>
      <c r="J69" s="9">
        <f>ROUND(G69+I69,2)</f>
        <v>3472.19</v>
      </c>
      <c r="K69" s="1">
        <f>K19*1000</f>
        <v>314000</v>
      </c>
      <c r="L69" s="1" t="s">
        <v>345</v>
      </c>
      <c r="M69" s="3">
        <f t="shared" ref="M69:M89" si="27">J69*K69</f>
        <v>1090267660</v>
      </c>
    </row>
    <row r="70" spans="1:13" x14ac:dyDescent="0.25">
      <c r="A70" s="1" t="str">
        <f t="shared" ref="A70:D89" si="28">A20</f>
        <v>ENQ-15138-22-23</v>
      </c>
      <c r="B70" s="47">
        <f t="shared" si="28"/>
        <v>45627</v>
      </c>
      <c r="C70" s="1" t="str">
        <f t="shared" si="28"/>
        <v>FA1300091</v>
      </c>
      <c r="D70" s="145" t="str">
        <f t="shared" si="28"/>
        <v>3 CORE X 300 SQ. MM. AL/ARM - WIRE (XLPE) - 11 KV</v>
      </c>
      <c r="E70" s="3">
        <f t="shared" si="25"/>
        <v>2318.7900000000004</v>
      </c>
      <c r="F70" s="151">
        <f t="shared" si="25"/>
        <v>52.91</v>
      </c>
      <c r="G70" s="9">
        <f t="shared" si="26"/>
        <v>2371.7000000000003</v>
      </c>
      <c r="H70" s="7">
        <f t="shared" ref="H70:H89" si="29">H20</f>
        <v>0.18</v>
      </c>
      <c r="I70" s="9">
        <f t="shared" ref="I70:I89" si="30">ROUND(G70*H70,2)</f>
        <v>426.91</v>
      </c>
      <c r="J70" s="9">
        <f t="shared" ref="J70:J89" si="31">ROUND(G70+I70,2)</f>
        <v>2798.61</v>
      </c>
      <c r="K70" s="1">
        <f t="shared" ref="K70:K89" si="32">K20*1000</f>
        <v>43000</v>
      </c>
      <c r="L70" s="1" t="s">
        <v>345</v>
      </c>
      <c r="M70" s="3">
        <f t="shared" si="27"/>
        <v>120340230</v>
      </c>
    </row>
    <row r="71" spans="1:13" x14ac:dyDescent="0.25">
      <c r="A71" s="1" t="str">
        <f t="shared" si="28"/>
        <v>ENQ-15138-22-23</v>
      </c>
      <c r="B71" s="47">
        <f t="shared" si="28"/>
        <v>45627</v>
      </c>
      <c r="C71" s="1" t="str">
        <f t="shared" si="28"/>
        <v>FA1300090</v>
      </c>
      <c r="D71" s="145" t="str">
        <f t="shared" si="28"/>
        <v>3 CORE X 185 SQ. MM AL/ARM - WIRE (XLPE) - 11 KV</v>
      </c>
      <c r="E71" s="3">
        <f t="shared" si="25"/>
        <v>1723.16</v>
      </c>
      <c r="F71" s="151">
        <f t="shared" si="25"/>
        <v>65</v>
      </c>
      <c r="G71" s="9">
        <f t="shared" si="26"/>
        <v>1788.16</v>
      </c>
      <c r="H71" s="7">
        <f t="shared" si="29"/>
        <v>0.18</v>
      </c>
      <c r="I71" s="9">
        <f t="shared" si="30"/>
        <v>321.87</v>
      </c>
      <c r="J71" s="9">
        <f t="shared" si="31"/>
        <v>2110.0300000000002</v>
      </c>
      <c r="K71" s="1">
        <f t="shared" si="32"/>
        <v>2000</v>
      </c>
      <c r="L71" s="1" t="s">
        <v>345</v>
      </c>
      <c r="M71" s="3">
        <f t="shared" si="27"/>
        <v>4220060</v>
      </c>
    </row>
    <row r="72" spans="1:13" x14ac:dyDescent="0.25">
      <c r="A72" s="1" t="str">
        <f t="shared" si="28"/>
        <v>ENQ-15138-22-23</v>
      </c>
      <c r="B72" s="47">
        <f t="shared" si="28"/>
        <v>45627</v>
      </c>
      <c r="C72" s="1" t="str">
        <f t="shared" si="28"/>
        <v>FA1300176</v>
      </c>
      <c r="D72" s="145" t="str">
        <f t="shared" si="28"/>
        <v>3 CORE X 150 SQ. MM. AL/ARM - WIRE (XLPE) - 11 KV</v>
      </c>
      <c r="E72" s="3">
        <f t="shared" si="25"/>
        <v>1443.84</v>
      </c>
      <c r="F72" s="151">
        <f t="shared" si="25"/>
        <v>32.5</v>
      </c>
      <c r="G72" s="9">
        <f t="shared" si="26"/>
        <v>1476.34</v>
      </c>
      <c r="H72" s="7">
        <f t="shared" si="29"/>
        <v>0.18</v>
      </c>
      <c r="I72" s="9">
        <f t="shared" si="30"/>
        <v>265.74</v>
      </c>
      <c r="J72" s="9">
        <f t="shared" si="31"/>
        <v>1742.08</v>
      </c>
      <c r="K72" s="1">
        <f t="shared" si="32"/>
        <v>4000</v>
      </c>
      <c r="L72" s="1" t="s">
        <v>345</v>
      </c>
      <c r="M72" s="3">
        <f t="shared" si="27"/>
        <v>6968320</v>
      </c>
    </row>
    <row r="73" spans="1:13" x14ac:dyDescent="0.25">
      <c r="A73" s="1" t="str">
        <f t="shared" si="28"/>
        <v>ENQ-15138-22-23</v>
      </c>
      <c r="B73" s="47">
        <f t="shared" si="28"/>
        <v>45627</v>
      </c>
      <c r="C73" s="1" t="str">
        <f t="shared" si="28"/>
        <v>FA1300197</v>
      </c>
      <c r="D73" s="145" t="str">
        <f t="shared" si="28"/>
        <v>3 CORE X 120 SQ. MM. AL/ARM - WIRE (XLPE) - 11 KV</v>
      </c>
      <c r="E73" s="3">
        <f t="shared" si="25"/>
        <v>1297.93</v>
      </c>
      <c r="F73" s="151">
        <f t="shared" si="25"/>
        <v>32.5</v>
      </c>
      <c r="G73" s="9">
        <f t="shared" si="26"/>
        <v>1330.43</v>
      </c>
      <c r="H73" s="7">
        <f t="shared" si="29"/>
        <v>0.18</v>
      </c>
      <c r="I73" s="9">
        <f t="shared" si="30"/>
        <v>239.48</v>
      </c>
      <c r="J73" s="9">
        <f t="shared" si="31"/>
        <v>1569.91</v>
      </c>
      <c r="K73" s="1">
        <f t="shared" si="32"/>
        <v>10000</v>
      </c>
      <c r="L73" s="1" t="s">
        <v>345</v>
      </c>
      <c r="M73" s="3">
        <f t="shared" si="27"/>
        <v>15699100</v>
      </c>
    </row>
    <row r="74" spans="1:13" x14ac:dyDescent="0.25">
      <c r="A74" s="1" t="str">
        <f t="shared" si="28"/>
        <v>ENQ-15138-22-23</v>
      </c>
      <c r="B74" s="47">
        <f t="shared" si="28"/>
        <v>45627</v>
      </c>
      <c r="C74" s="1" t="str">
        <f t="shared" si="28"/>
        <v>FA1300088</v>
      </c>
      <c r="D74" s="145" t="str">
        <f t="shared" si="28"/>
        <v>3 CORE X 95 SQ. MM. AL/ARM - WIRE (XLPE) - 11 KV (E)</v>
      </c>
      <c r="E74" s="3">
        <f t="shared" si="25"/>
        <v>1162.9100000000001</v>
      </c>
      <c r="F74" s="151">
        <f t="shared" si="25"/>
        <v>33.919999999999995</v>
      </c>
      <c r="G74" s="9">
        <f t="shared" si="26"/>
        <v>1196.8300000000002</v>
      </c>
      <c r="H74" s="7">
        <f t="shared" si="29"/>
        <v>0.18</v>
      </c>
      <c r="I74" s="9">
        <f t="shared" si="30"/>
        <v>215.43</v>
      </c>
      <c r="J74" s="9">
        <f t="shared" si="31"/>
        <v>1412.26</v>
      </c>
      <c r="K74" s="1">
        <f t="shared" si="32"/>
        <v>23000</v>
      </c>
      <c r="L74" s="1" t="s">
        <v>345</v>
      </c>
      <c r="M74" s="3">
        <f t="shared" si="27"/>
        <v>32481980</v>
      </c>
    </row>
    <row r="75" spans="1:13" x14ac:dyDescent="0.25">
      <c r="A75" s="1" t="str">
        <f t="shared" si="28"/>
        <v>ENQ-15138-22-23</v>
      </c>
      <c r="B75" s="47">
        <f t="shared" si="28"/>
        <v>45627</v>
      </c>
      <c r="C75" s="1" t="str">
        <f t="shared" si="28"/>
        <v>FA1300313</v>
      </c>
      <c r="D75" s="145" t="str">
        <f t="shared" si="28"/>
        <v>3 CORE X 50 SQ. MM. AL/ARD - WIRE (XLPE) - 11 KV</v>
      </c>
      <c r="E75" s="3">
        <f t="shared" si="25"/>
        <v>892.62</v>
      </c>
      <c r="F75" s="151">
        <f t="shared" si="25"/>
        <v>26</v>
      </c>
      <c r="G75" s="1">
        <f t="shared" si="26"/>
        <v>918.62</v>
      </c>
      <c r="H75" s="7">
        <f t="shared" si="29"/>
        <v>0.18</v>
      </c>
      <c r="I75" s="9">
        <f t="shared" si="30"/>
        <v>165.35</v>
      </c>
      <c r="J75" s="9">
        <f t="shared" si="31"/>
        <v>1083.97</v>
      </c>
      <c r="K75" s="1">
        <f t="shared" si="32"/>
        <v>7500</v>
      </c>
      <c r="L75" s="1" t="s">
        <v>345</v>
      </c>
      <c r="M75" s="3">
        <f t="shared" si="27"/>
        <v>8129775</v>
      </c>
    </row>
    <row r="76" spans="1:13" x14ac:dyDescent="0.25">
      <c r="A76" s="1" t="str">
        <f t="shared" si="28"/>
        <v>ENQ-15138-22-23</v>
      </c>
      <c r="B76" s="47">
        <f t="shared" si="28"/>
        <v>45627</v>
      </c>
      <c r="C76" s="1" t="str">
        <f t="shared" si="28"/>
        <v>FA1300066</v>
      </c>
      <c r="D76" s="145" t="str">
        <f t="shared" si="28"/>
        <v>1 CORE X 1000 SQ. MM. AL/ARM (XLPE) - 11 KV</v>
      </c>
      <c r="E76" s="3">
        <f t="shared" si="25"/>
        <v>1700.23</v>
      </c>
      <c r="F76" s="151">
        <f t="shared" si="25"/>
        <v>65</v>
      </c>
      <c r="G76" s="1">
        <f t="shared" si="26"/>
        <v>1765.23</v>
      </c>
      <c r="H76" s="7">
        <f t="shared" si="29"/>
        <v>0.18</v>
      </c>
      <c r="I76" s="9">
        <f t="shared" si="30"/>
        <v>317.74</v>
      </c>
      <c r="J76" s="9">
        <f t="shared" si="31"/>
        <v>2082.9699999999998</v>
      </c>
      <c r="K76" s="1">
        <f t="shared" si="32"/>
        <v>1000</v>
      </c>
      <c r="L76" s="1" t="s">
        <v>345</v>
      </c>
      <c r="M76" s="3">
        <f t="shared" si="27"/>
        <v>2082969.9999999998</v>
      </c>
    </row>
    <row r="77" spans="1:13" x14ac:dyDescent="0.25">
      <c r="A77" s="1" t="str">
        <f t="shared" si="28"/>
        <v>ENQ-15138-22-23</v>
      </c>
      <c r="B77" s="47">
        <f t="shared" si="28"/>
        <v>45627</v>
      </c>
      <c r="C77" s="1" t="str">
        <f t="shared" si="28"/>
        <v>FA1300016</v>
      </c>
      <c r="D77" s="145" t="str">
        <f t="shared" si="28"/>
        <v>1 CORE X 630 SQ. MM. AL/ARM (XLPE)  - 11 KV</v>
      </c>
      <c r="E77" s="3">
        <f t="shared" si="25"/>
        <v>1140.8699999999999</v>
      </c>
      <c r="F77" s="151">
        <f t="shared" si="25"/>
        <v>17.73</v>
      </c>
      <c r="G77" s="9">
        <f t="shared" si="26"/>
        <v>1158.5999999999999</v>
      </c>
      <c r="H77" s="7">
        <f t="shared" si="29"/>
        <v>0.18</v>
      </c>
      <c r="I77" s="9">
        <f t="shared" si="30"/>
        <v>208.55</v>
      </c>
      <c r="J77" s="9">
        <f t="shared" si="31"/>
        <v>1367.15</v>
      </c>
      <c r="K77" s="1">
        <f t="shared" si="32"/>
        <v>11000</v>
      </c>
      <c r="L77" s="1" t="s">
        <v>345</v>
      </c>
      <c r="M77" s="3">
        <f t="shared" si="27"/>
        <v>15038650.000000002</v>
      </c>
    </row>
    <row r="78" spans="1:13" x14ac:dyDescent="0.25">
      <c r="A78" s="1" t="str">
        <f t="shared" si="28"/>
        <v>ENQ-15138-22-23</v>
      </c>
      <c r="B78" s="47">
        <f t="shared" si="28"/>
        <v>45627</v>
      </c>
      <c r="C78" s="1" t="str">
        <f t="shared" si="28"/>
        <v>FA1300047</v>
      </c>
      <c r="D78" s="145" t="str">
        <f t="shared" si="28"/>
        <v>1 CORE X 400 SQ. MM. AL/ARM (XLPE) - 11 KV</v>
      </c>
      <c r="E78" s="3">
        <f t="shared" si="25"/>
        <v>831.14</v>
      </c>
      <c r="F78" s="151">
        <f t="shared" si="25"/>
        <v>16.25</v>
      </c>
      <c r="G78" s="9">
        <f t="shared" si="26"/>
        <v>847.39</v>
      </c>
      <c r="H78" s="7">
        <f t="shared" si="29"/>
        <v>0.18</v>
      </c>
      <c r="I78" s="9">
        <f t="shared" si="30"/>
        <v>152.53</v>
      </c>
      <c r="J78" s="9">
        <f t="shared" si="31"/>
        <v>999.92</v>
      </c>
      <c r="K78" s="1">
        <f t="shared" si="32"/>
        <v>4000</v>
      </c>
      <c r="L78" s="1" t="s">
        <v>345</v>
      </c>
      <c r="M78" s="3">
        <f t="shared" si="27"/>
        <v>3999680</v>
      </c>
    </row>
    <row r="79" spans="1:13" x14ac:dyDescent="0.25">
      <c r="A79" s="1" t="str">
        <f t="shared" si="28"/>
        <v>ENQ-15138-22-23</v>
      </c>
      <c r="B79" s="47">
        <f t="shared" si="28"/>
        <v>45627</v>
      </c>
      <c r="C79" s="1" t="str">
        <f t="shared" si="28"/>
        <v>FA1300009</v>
      </c>
      <c r="D79" s="145" t="str">
        <f t="shared" si="28"/>
        <v>1 CORE X 300 SQ. MM. AL./ARM (XLPE)  - 11 KV</v>
      </c>
      <c r="E79" s="3">
        <f t="shared" si="25"/>
        <v>694.31</v>
      </c>
      <c r="F79" s="151">
        <f t="shared" si="25"/>
        <v>20</v>
      </c>
      <c r="G79" s="9">
        <f t="shared" si="26"/>
        <v>714.31</v>
      </c>
      <c r="H79" s="7">
        <f t="shared" si="29"/>
        <v>0.18</v>
      </c>
      <c r="I79" s="9">
        <f t="shared" si="30"/>
        <v>128.58000000000001</v>
      </c>
      <c r="J79" s="9">
        <f t="shared" si="31"/>
        <v>842.89</v>
      </c>
      <c r="K79" s="1">
        <f t="shared" si="32"/>
        <v>6500</v>
      </c>
      <c r="L79" s="1" t="s">
        <v>345</v>
      </c>
      <c r="M79" s="3">
        <f t="shared" si="27"/>
        <v>5478785</v>
      </c>
    </row>
    <row r="80" spans="1:13" x14ac:dyDescent="0.25">
      <c r="A80" s="1" t="str">
        <f t="shared" si="28"/>
        <v>ENQ-15138-22-23</v>
      </c>
      <c r="B80" s="47">
        <f t="shared" si="28"/>
        <v>45627</v>
      </c>
      <c r="C80" s="1" t="str">
        <f t="shared" si="28"/>
        <v>FA1300080</v>
      </c>
      <c r="D80" s="145" t="str">
        <f t="shared" si="28"/>
        <v>3 CORE X 400 SQ. MM AL/ARM - WIRE (XLPE) - 33 KV</v>
      </c>
      <c r="E80" s="3">
        <f t="shared" si="25"/>
        <v>3751.53</v>
      </c>
      <c r="F80" s="151">
        <f t="shared" si="25"/>
        <v>65.08</v>
      </c>
      <c r="G80" s="9">
        <f t="shared" si="26"/>
        <v>3816.61</v>
      </c>
      <c r="H80" s="7">
        <f t="shared" si="29"/>
        <v>0.18</v>
      </c>
      <c r="I80" s="9">
        <f t="shared" si="30"/>
        <v>686.99</v>
      </c>
      <c r="J80" s="9">
        <f t="shared" si="31"/>
        <v>4503.6000000000004</v>
      </c>
      <c r="K80" s="1">
        <f t="shared" si="32"/>
        <v>222750</v>
      </c>
      <c r="L80" s="1" t="s">
        <v>345</v>
      </c>
      <c r="M80" s="3">
        <f t="shared" si="27"/>
        <v>1003176900.0000001</v>
      </c>
    </row>
    <row r="81" spans="1:13" x14ac:dyDescent="0.25">
      <c r="A81" s="1" t="str">
        <f t="shared" si="28"/>
        <v>ENQ-15138-22-23</v>
      </c>
      <c r="B81" s="47">
        <f t="shared" si="28"/>
        <v>45627</v>
      </c>
      <c r="C81" s="1" t="str">
        <f t="shared" si="28"/>
        <v>FA1300081</v>
      </c>
      <c r="D81" s="145" t="str">
        <f t="shared" si="28"/>
        <v>3 CORE X 300 SQ. MM. AL/ARM - WIRE (XLPE) - 33 KV</v>
      </c>
      <c r="E81" s="3">
        <f t="shared" si="25"/>
        <v>3269.61</v>
      </c>
      <c r="F81" s="151">
        <f t="shared" si="25"/>
        <v>66.86</v>
      </c>
      <c r="G81" s="9">
        <f t="shared" si="26"/>
        <v>3336.4700000000003</v>
      </c>
      <c r="H81" s="7">
        <f t="shared" si="29"/>
        <v>0.18</v>
      </c>
      <c r="I81" s="9">
        <f t="shared" si="30"/>
        <v>600.55999999999995</v>
      </c>
      <c r="J81" s="9">
        <f t="shared" si="31"/>
        <v>3937.03</v>
      </c>
      <c r="K81" s="1">
        <f t="shared" si="32"/>
        <v>17500</v>
      </c>
      <c r="L81" s="1" t="s">
        <v>345</v>
      </c>
      <c r="M81" s="3">
        <f t="shared" si="27"/>
        <v>68898025</v>
      </c>
    </row>
    <row r="82" spans="1:13" x14ac:dyDescent="0.25">
      <c r="A82" s="1" t="str">
        <f t="shared" si="28"/>
        <v>ENQ-15138-22-23</v>
      </c>
      <c r="B82" s="47">
        <f t="shared" si="28"/>
        <v>45627</v>
      </c>
      <c r="C82" s="1" t="str">
        <f t="shared" si="28"/>
        <v>FA1300079</v>
      </c>
      <c r="D82" s="145" t="str">
        <f t="shared" si="28"/>
        <v>3 CORE X 185 SQ. MM AL/ARM - WIRE (XLPE) - 33 KV</v>
      </c>
      <c r="E82" s="3">
        <f t="shared" si="25"/>
        <v>2659.71</v>
      </c>
      <c r="F82" s="151">
        <f t="shared" si="25"/>
        <v>46.8</v>
      </c>
      <c r="G82" s="9">
        <f t="shared" ref="G82" si="33">E82+F82</f>
        <v>2706.51</v>
      </c>
      <c r="H82" s="7">
        <f t="shared" si="29"/>
        <v>0.18</v>
      </c>
      <c r="I82" s="9">
        <f t="shared" si="30"/>
        <v>487.17</v>
      </c>
      <c r="J82" s="9">
        <f t="shared" si="31"/>
        <v>3193.68</v>
      </c>
      <c r="K82" s="1">
        <f t="shared" si="32"/>
        <v>12500</v>
      </c>
      <c r="L82" s="1" t="s">
        <v>345</v>
      </c>
      <c r="M82" s="3">
        <f t="shared" si="27"/>
        <v>39921000</v>
      </c>
    </row>
    <row r="83" spans="1:13" x14ac:dyDescent="0.25">
      <c r="A83" s="1" t="str">
        <f t="shared" si="28"/>
        <v>ENQ-15138-22-23</v>
      </c>
      <c r="B83" s="47">
        <f t="shared" si="28"/>
        <v>45627</v>
      </c>
      <c r="C83" s="1" t="str">
        <f t="shared" si="28"/>
        <v>FA1300200</v>
      </c>
      <c r="D83" s="145" t="str">
        <f t="shared" si="28"/>
        <v>3 CORE X 95 SQ. MM. AL/ARM  WIRE (XLPE) - 33 KV</v>
      </c>
      <c r="E83" s="3">
        <f t="shared" si="25"/>
        <v>1960.53</v>
      </c>
      <c r="F83" s="151">
        <f t="shared" si="25"/>
        <v>32.5</v>
      </c>
      <c r="G83" s="9">
        <f t="shared" ref="G83:G89" si="34">E83+F83</f>
        <v>1993.03</v>
      </c>
      <c r="H83" s="7">
        <f t="shared" si="29"/>
        <v>0.18</v>
      </c>
      <c r="I83" s="9">
        <f t="shared" si="30"/>
        <v>358.75</v>
      </c>
      <c r="J83" s="9">
        <f t="shared" si="31"/>
        <v>2351.7800000000002</v>
      </c>
      <c r="K83" s="1">
        <f t="shared" si="32"/>
        <v>4000</v>
      </c>
      <c r="L83" s="1" t="s">
        <v>345</v>
      </c>
      <c r="M83" s="3">
        <f t="shared" si="27"/>
        <v>9407120</v>
      </c>
    </row>
    <row r="84" spans="1:13" x14ac:dyDescent="0.25">
      <c r="A84" s="1" t="str">
        <f t="shared" si="28"/>
        <v>ENQ-15138-22-23</v>
      </c>
      <c r="B84" s="47">
        <f t="shared" si="28"/>
        <v>45627</v>
      </c>
      <c r="C84" s="1" t="str">
        <f t="shared" si="28"/>
        <v>FA1300120</v>
      </c>
      <c r="D84" s="145" t="str">
        <f t="shared" si="28"/>
        <v>3 CORE X 70 SQ. MM. AL/ARM - WIRE (XLPE) - 33 KV</v>
      </c>
      <c r="E84" s="3">
        <f t="shared" si="25"/>
        <v>1826.66</v>
      </c>
      <c r="F84" s="151">
        <f t="shared" si="25"/>
        <v>43.339999999999996</v>
      </c>
      <c r="G84" s="9">
        <f t="shared" si="34"/>
        <v>1870</v>
      </c>
      <c r="H84" s="7">
        <f t="shared" si="29"/>
        <v>0.18</v>
      </c>
      <c r="I84" s="9">
        <f t="shared" si="30"/>
        <v>336.6</v>
      </c>
      <c r="J84" s="9">
        <f t="shared" si="31"/>
        <v>2206.6</v>
      </c>
      <c r="K84" s="1">
        <f t="shared" si="32"/>
        <v>3000</v>
      </c>
      <c r="L84" s="1" t="s">
        <v>345</v>
      </c>
      <c r="M84" s="3">
        <f t="shared" si="27"/>
        <v>6619800</v>
      </c>
    </row>
    <row r="85" spans="1:13" x14ac:dyDescent="0.25">
      <c r="A85" s="1" t="str">
        <f t="shared" si="28"/>
        <v>ENQ-15138-22-23</v>
      </c>
      <c r="B85" s="47">
        <f t="shared" si="28"/>
        <v>45627</v>
      </c>
      <c r="C85" s="1" t="str">
        <f t="shared" si="28"/>
        <v>FA1300022</v>
      </c>
      <c r="D85" s="145" t="str">
        <f t="shared" si="28"/>
        <v>3 CORE X 50 SQ. MM. AL/ARD - WIRE (XLPE) - 33 KV (E)</v>
      </c>
      <c r="E85" s="3">
        <f t="shared" si="25"/>
        <v>1591.05</v>
      </c>
      <c r="F85" s="151">
        <f t="shared" si="25"/>
        <v>39</v>
      </c>
      <c r="G85" s="9">
        <f t="shared" si="34"/>
        <v>1630.05</v>
      </c>
      <c r="H85" s="7">
        <f t="shared" si="29"/>
        <v>0.18</v>
      </c>
      <c r="I85" s="9">
        <f t="shared" si="30"/>
        <v>293.41000000000003</v>
      </c>
      <c r="J85" s="9">
        <f t="shared" si="31"/>
        <v>1923.46</v>
      </c>
      <c r="K85" s="1">
        <f t="shared" si="32"/>
        <v>5000</v>
      </c>
      <c r="L85" s="1" t="s">
        <v>345</v>
      </c>
      <c r="M85" s="3">
        <f t="shared" si="27"/>
        <v>9617300</v>
      </c>
    </row>
    <row r="86" spans="1:13" x14ac:dyDescent="0.25">
      <c r="A86" s="1" t="str">
        <f t="shared" si="28"/>
        <v>ENQ-15138-22-23</v>
      </c>
      <c r="B86" s="47">
        <f t="shared" si="28"/>
        <v>45627</v>
      </c>
      <c r="C86" s="1" t="str">
        <f t="shared" si="28"/>
        <v>FA1300297</v>
      </c>
      <c r="D86" s="145" t="str">
        <f t="shared" si="28"/>
        <v>3 CORE X 35 SQ. MM. AL/ARM - WIRE (XLPE) - 33 KV (E)</v>
      </c>
      <c r="E86" s="3">
        <f t="shared" si="25"/>
        <v>1591.05</v>
      </c>
      <c r="F86" s="151">
        <f t="shared" si="25"/>
        <v>32.5</v>
      </c>
      <c r="G86" s="9">
        <f t="shared" si="34"/>
        <v>1623.55</v>
      </c>
      <c r="H86" s="7">
        <f t="shared" si="29"/>
        <v>0.18</v>
      </c>
      <c r="I86" s="9">
        <f t="shared" si="30"/>
        <v>292.24</v>
      </c>
      <c r="J86" s="9">
        <f t="shared" si="31"/>
        <v>1915.79</v>
      </c>
      <c r="K86" s="1">
        <f t="shared" si="32"/>
        <v>4000</v>
      </c>
      <c r="L86" s="1" t="s">
        <v>345</v>
      </c>
      <c r="M86" s="3">
        <f t="shared" si="27"/>
        <v>7663160</v>
      </c>
    </row>
    <row r="87" spans="1:13" x14ac:dyDescent="0.25">
      <c r="A87" s="1" t="str">
        <f t="shared" si="28"/>
        <v>ENQ-15138-22-23</v>
      </c>
      <c r="B87" s="47">
        <f t="shared" si="28"/>
        <v>45627</v>
      </c>
      <c r="C87" s="1" t="str">
        <f t="shared" si="28"/>
        <v>FA1300027</v>
      </c>
      <c r="D87" s="145" t="str">
        <f t="shared" si="28"/>
        <v>1 CORE X 630 SQ. MM. AL/ARM (XLPE)  - 33 KV</v>
      </c>
      <c r="E87" s="3">
        <f t="shared" si="25"/>
        <v>1439.77</v>
      </c>
      <c r="F87" s="151">
        <f t="shared" si="25"/>
        <v>16.270000000000003</v>
      </c>
      <c r="G87" s="9">
        <f t="shared" si="34"/>
        <v>1456.04</v>
      </c>
      <c r="H87" s="7">
        <f t="shared" si="29"/>
        <v>0.18</v>
      </c>
      <c r="I87" s="9">
        <f t="shared" si="30"/>
        <v>262.08999999999997</v>
      </c>
      <c r="J87" s="9">
        <f t="shared" si="31"/>
        <v>1718.13</v>
      </c>
      <c r="K87" s="1">
        <f t="shared" si="32"/>
        <v>547500</v>
      </c>
      <c r="L87" s="1" t="s">
        <v>345</v>
      </c>
      <c r="M87" s="3">
        <f t="shared" si="27"/>
        <v>940676175.00000012</v>
      </c>
    </row>
    <row r="88" spans="1:13" x14ac:dyDescent="0.25">
      <c r="A88" s="1" t="str">
        <f t="shared" si="28"/>
        <v>ENQ-15138-22-23</v>
      </c>
      <c r="B88" s="47">
        <f t="shared" si="28"/>
        <v>45627</v>
      </c>
      <c r="C88" s="1" t="str">
        <f t="shared" si="28"/>
        <v>FA1300018</v>
      </c>
      <c r="D88" s="145" t="str">
        <f t="shared" si="28"/>
        <v>1 CORE X 400 SQ. MM. AL/ARM (XLPE) - 33 KV</v>
      </c>
      <c r="E88" s="3">
        <f t="shared" si="25"/>
        <v>1096.47</v>
      </c>
      <c r="F88" s="151">
        <f t="shared" si="25"/>
        <v>18.580000000000002</v>
      </c>
      <c r="G88" s="9">
        <f t="shared" si="34"/>
        <v>1115.05</v>
      </c>
      <c r="H88" s="7">
        <f t="shared" si="29"/>
        <v>0.18</v>
      </c>
      <c r="I88" s="9">
        <f t="shared" si="30"/>
        <v>200.71</v>
      </c>
      <c r="J88" s="9">
        <f t="shared" si="31"/>
        <v>1315.76</v>
      </c>
      <c r="K88" s="1">
        <f t="shared" si="32"/>
        <v>17500</v>
      </c>
      <c r="L88" s="1" t="s">
        <v>345</v>
      </c>
      <c r="M88" s="3">
        <f t="shared" si="27"/>
        <v>23025800</v>
      </c>
    </row>
    <row r="89" spans="1:13" x14ac:dyDescent="0.25">
      <c r="A89" s="1" t="str">
        <f t="shared" si="28"/>
        <v>ENQ-15138-22-23</v>
      </c>
      <c r="B89" s="47">
        <f t="shared" si="28"/>
        <v>45627</v>
      </c>
      <c r="C89" s="1" t="str">
        <f t="shared" si="28"/>
        <v>FA1300019</v>
      </c>
      <c r="D89" s="145" t="str">
        <f t="shared" si="28"/>
        <v>1 CORE X 300 SQ. MM. AL/ARM (XLPE)  - 33 KV</v>
      </c>
      <c r="E89" s="3">
        <f t="shared" si="25"/>
        <v>956.88</v>
      </c>
      <c r="F89" s="151">
        <f t="shared" si="25"/>
        <v>18.580000000000002</v>
      </c>
      <c r="G89" s="9">
        <f t="shared" si="34"/>
        <v>975.46</v>
      </c>
      <c r="H89" s="7">
        <f t="shared" si="29"/>
        <v>0.18</v>
      </c>
      <c r="I89" s="9">
        <f t="shared" si="30"/>
        <v>175.58</v>
      </c>
      <c r="J89" s="9">
        <f t="shared" si="31"/>
        <v>1151.04</v>
      </c>
      <c r="K89" s="1">
        <f t="shared" si="32"/>
        <v>7000</v>
      </c>
      <c r="L89" s="1" t="s">
        <v>345</v>
      </c>
      <c r="M89" s="3">
        <f t="shared" si="27"/>
        <v>8057280</v>
      </c>
    </row>
    <row r="90" spans="1:13" x14ac:dyDescent="0.25">
      <c r="M90" s="152">
        <f>SUM(M69:M89)</f>
        <v>3421769770</v>
      </c>
    </row>
    <row r="91" spans="1:13" x14ac:dyDescent="0.25">
      <c r="M91" s="227">
        <f>M90-M40</f>
        <v>14548.626815319061</v>
      </c>
    </row>
  </sheetData>
  <mergeCells count="19">
    <mergeCell ref="A2:R2"/>
    <mergeCell ref="AL16:AR16"/>
    <mergeCell ref="AS16:BB16"/>
    <mergeCell ref="N16:R16"/>
    <mergeCell ref="S16:T16"/>
    <mergeCell ref="U16:AB16"/>
    <mergeCell ref="AC16:AD16"/>
    <mergeCell ref="AE16:AJ16"/>
    <mergeCell ref="B11:R11"/>
    <mergeCell ref="B12:R12"/>
    <mergeCell ref="B13:R13"/>
    <mergeCell ref="B14:R14"/>
    <mergeCell ref="B4:R4"/>
    <mergeCell ref="B5:R5"/>
    <mergeCell ref="B6:R6"/>
    <mergeCell ref="B7:R7"/>
    <mergeCell ref="B8:R8"/>
    <mergeCell ref="B9:R9"/>
    <mergeCell ref="B10:R10"/>
  </mergeCell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947AE-DAAE-483B-A9D3-40E953E4E980}">
  <sheetPr>
    <tabColor rgb="FFFF0000"/>
  </sheetPr>
  <dimension ref="A1:AX41"/>
  <sheetViews>
    <sheetView showZeros="0" topLeftCell="A14" zoomScaleNormal="100" workbookViewId="0">
      <selection activeCell="AV20" sqref="AV20:AW39"/>
    </sheetView>
  </sheetViews>
  <sheetFormatPr defaultRowHeight="12.75" x14ac:dyDescent="0.2"/>
  <cols>
    <col min="1" max="1" width="60" style="68" customWidth="1"/>
    <col min="2" max="2" width="13" style="68" customWidth="1"/>
    <col min="3" max="3" width="11.85546875" style="68" customWidth="1"/>
    <col min="4" max="4" width="10.42578125" style="68" customWidth="1"/>
    <col min="5" max="9" width="9.42578125" style="68" customWidth="1"/>
    <col min="10" max="10" width="10.140625" style="68" customWidth="1"/>
    <col min="11" max="15" width="9.140625" style="68" customWidth="1"/>
    <col min="16" max="16" width="7.28515625" style="68" customWidth="1"/>
    <col min="17" max="20" width="7.42578125" style="68" customWidth="1"/>
    <col min="21" max="21" width="12.28515625" style="68" customWidth="1"/>
    <col min="22" max="22" width="12" style="68" bestFit="1" customWidth="1"/>
    <col min="23" max="23" width="11" style="68" bestFit="1" customWidth="1"/>
    <col min="24" max="24" width="11.42578125" style="68" bestFit="1" customWidth="1"/>
    <col min="25" max="26" width="11" style="68" customWidth="1"/>
    <col min="27" max="27" width="11" style="68" bestFit="1" customWidth="1"/>
    <col min="28" max="28" width="14.42578125" style="68" bestFit="1" customWidth="1"/>
    <col min="29" max="29" width="9.140625" style="68" customWidth="1"/>
    <col min="30" max="31" width="10.85546875" style="68" customWidth="1"/>
    <col min="32" max="32" width="9.5703125" style="68" customWidth="1"/>
    <col min="33" max="33" width="10.42578125" style="68" customWidth="1"/>
    <col min="34" max="34" width="9.5703125" style="68" customWidth="1"/>
    <col min="35" max="37" width="9.7109375" style="68" customWidth="1"/>
    <col min="38" max="38" width="8.5703125" style="68" bestFit="1" customWidth="1"/>
    <col min="39" max="39" width="8.5703125" style="68" customWidth="1"/>
    <col min="40" max="40" width="14.85546875" style="68" bestFit="1" customWidth="1"/>
    <col min="41" max="41" width="11.28515625" style="68" bestFit="1" customWidth="1"/>
    <col min="42" max="42" width="10.5703125" style="68" bestFit="1" customWidth="1"/>
    <col min="43" max="43" width="9.5703125" style="68" bestFit="1" customWidth="1"/>
    <col min="44" max="44" width="10.5703125" style="68" customWidth="1"/>
    <col min="45" max="45" width="11.140625" style="68" bestFit="1" customWidth="1"/>
    <col min="46" max="264" width="9.140625" style="68"/>
    <col min="265" max="265" width="54.140625" style="68" bestFit="1" customWidth="1"/>
    <col min="266" max="266" width="14.7109375" style="68" customWidth="1"/>
    <col min="267" max="267" width="10.140625" style="68" customWidth="1"/>
    <col min="268" max="268" width="10.42578125" style="68" bestFit="1" customWidth="1"/>
    <col min="269" max="270" width="9.42578125" style="68" bestFit="1" customWidth="1"/>
    <col min="271" max="272" width="9.42578125" style="68" customWidth="1"/>
    <col min="273" max="273" width="10.140625" style="68" bestFit="1" customWidth="1"/>
    <col min="274" max="277" width="9.140625" style="68"/>
    <col min="278" max="278" width="7.28515625" style="68" customWidth="1"/>
    <col min="279" max="281" width="7.42578125" style="68" customWidth="1"/>
    <col min="282" max="282" width="10.42578125" style="68" bestFit="1" customWidth="1"/>
    <col min="283" max="283" width="12" style="68" bestFit="1" customWidth="1"/>
    <col min="284" max="284" width="11" style="68" bestFit="1" customWidth="1"/>
    <col min="285" max="286" width="11" style="68" customWidth="1"/>
    <col min="287" max="287" width="10" style="68" bestFit="1" customWidth="1"/>
    <col min="288" max="288" width="14.42578125" style="68" bestFit="1" customWidth="1"/>
    <col min="289" max="299" width="0" style="68" hidden="1" customWidth="1"/>
    <col min="300" max="520" width="9.140625" style="68"/>
    <col min="521" max="521" width="54.140625" style="68" bestFit="1" customWidth="1"/>
    <col min="522" max="522" width="14.7109375" style="68" customWidth="1"/>
    <col min="523" max="523" width="10.140625" style="68" customWidth="1"/>
    <col min="524" max="524" width="10.42578125" style="68" bestFit="1" customWidth="1"/>
    <col min="525" max="526" width="9.42578125" style="68" bestFit="1" customWidth="1"/>
    <col min="527" max="528" width="9.42578125" style="68" customWidth="1"/>
    <col min="529" max="529" width="10.140625" style="68" bestFit="1" customWidth="1"/>
    <col min="530" max="533" width="9.140625" style="68"/>
    <col min="534" max="534" width="7.28515625" style="68" customWidth="1"/>
    <col min="535" max="537" width="7.42578125" style="68" customWidth="1"/>
    <col min="538" max="538" width="10.42578125" style="68" bestFit="1" customWidth="1"/>
    <col min="539" max="539" width="12" style="68" bestFit="1" customWidth="1"/>
    <col min="540" max="540" width="11" style="68" bestFit="1" customWidth="1"/>
    <col min="541" max="542" width="11" style="68" customWidth="1"/>
    <col min="543" max="543" width="10" style="68" bestFit="1" customWidth="1"/>
    <col min="544" max="544" width="14.42578125" style="68" bestFit="1" customWidth="1"/>
    <col min="545" max="555" width="0" style="68" hidden="1" customWidth="1"/>
    <col min="556" max="776" width="9.140625" style="68"/>
    <col min="777" max="777" width="54.140625" style="68" bestFit="1" customWidth="1"/>
    <col min="778" max="778" width="14.7109375" style="68" customWidth="1"/>
    <col min="779" max="779" width="10.140625" style="68" customWidth="1"/>
    <col min="780" max="780" width="10.42578125" style="68" bestFit="1" customWidth="1"/>
    <col min="781" max="782" width="9.42578125" style="68" bestFit="1" customWidth="1"/>
    <col min="783" max="784" width="9.42578125" style="68" customWidth="1"/>
    <col min="785" max="785" width="10.140625" style="68" bestFit="1" customWidth="1"/>
    <col min="786" max="789" width="9.140625" style="68"/>
    <col min="790" max="790" width="7.28515625" style="68" customWidth="1"/>
    <col min="791" max="793" width="7.42578125" style="68" customWidth="1"/>
    <col min="794" max="794" width="10.42578125" style="68" bestFit="1" customWidth="1"/>
    <col min="795" max="795" width="12" style="68" bestFit="1" customWidth="1"/>
    <col min="796" max="796" width="11" style="68" bestFit="1" customWidth="1"/>
    <col min="797" max="798" width="11" style="68" customWidth="1"/>
    <col min="799" max="799" width="10" style="68" bestFit="1" customWidth="1"/>
    <col min="800" max="800" width="14.42578125" style="68" bestFit="1" customWidth="1"/>
    <col min="801" max="811" width="0" style="68" hidden="1" customWidth="1"/>
    <col min="812" max="1032" width="9.140625" style="68"/>
    <col min="1033" max="1033" width="54.140625" style="68" bestFit="1" customWidth="1"/>
    <col min="1034" max="1034" width="14.7109375" style="68" customWidth="1"/>
    <col min="1035" max="1035" width="10.140625" style="68" customWidth="1"/>
    <col min="1036" max="1036" width="10.42578125" style="68" bestFit="1" customWidth="1"/>
    <col min="1037" max="1038" width="9.42578125" style="68" bestFit="1" customWidth="1"/>
    <col min="1039" max="1040" width="9.42578125" style="68" customWidth="1"/>
    <col min="1041" max="1041" width="10.140625" style="68" bestFit="1" customWidth="1"/>
    <col min="1042" max="1045" width="9.140625" style="68"/>
    <col min="1046" max="1046" width="7.28515625" style="68" customWidth="1"/>
    <col min="1047" max="1049" width="7.42578125" style="68" customWidth="1"/>
    <col min="1050" max="1050" width="10.42578125" style="68" bestFit="1" customWidth="1"/>
    <col min="1051" max="1051" width="12" style="68" bestFit="1" customWidth="1"/>
    <col min="1052" max="1052" width="11" style="68" bestFit="1" customWidth="1"/>
    <col min="1053" max="1054" width="11" style="68" customWidth="1"/>
    <col min="1055" max="1055" width="10" style="68" bestFit="1" customWidth="1"/>
    <col min="1056" max="1056" width="14.42578125" style="68" bestFit="1" customWidth="1"/>
    <col min="1057" max="1067" width="0" style="68" hidden="1" customWidth="1"/>
    <col min="1068" max="1288" width="9.140625" style="68"/>
    <col min="1289" max="1289" width="54.140625" style="68" bestFit="1" customWidth="1"/>
    <col min="1290" max="1290" width="14.7109375" style="68" customWidth="1"/>
    <col min="1291" max="1291" width="10.140625" style="68" customWidth="1"/>
    <col min="1292" max="1292" width="10.42578125" style="68" bestFit="1" customWidth="1"/>
    <col min="1293" max="1294" width="9.42578125" style="68" bestFit="1" customWidth="1"/>
    <col min="1295" max="1296" width="9.42578125" style="68" customWidth="1"/>
    <col min="1297" max="1297" width="10.140625" style="68" bestFit="1" customWidth="1"/>
    <col min="1298" max="1301" width="9.140625" style="68"/>
    <col min="1302" max="1302" width="7.28515625" style="68" customWidth="1"/>
    <col min="1303" max="1305" width="7.42578125" style="68" customWidth="1"/>
    <col min="1306" max="1306" width="10.42578125" style="68" bestFit="1" customWidth="1"/>
    <col min="1307" max="1307" width="12" style="68" bestFit="1" customWidth="1"/>
    <col min="1308" max="1308" width="11" style="68" bestFit="1" customWidth="1"/>
    <col min="1309" max="1310" width="11" style="68" customWidth="1"/>
    <col min="1311" max="1311" width="10" style="68" bestFit="1" customWidth="1"/>
    <col min="1312" max="1312" width="14.42578125" style="68" bestFit="1" customWidth="1"/>
    <col min="1313" max="1323" width="0" style="68" hidden="1" customWidth="1"/>
    <col min="1324" max="1544" width="9.140625" style="68"/>
    <col min="1545" max="1545" width="54.140625" style="68" bestFit="1" customWidth="1"/>
    <col min="1546" max="1546" width="14.7109375" style="68" customWidth="1"/>
    <col min="1547" max="1547" width="10.140625" style="68" customWidth="1"/>
    <col min="1548" max="1548" width="10.42578125" style="68" bestFit="1" customWidth="1"/>
    <col min="1549" max="1550" width="9.42578125" style="68" bestFit="1" customWidth="1"/>
    <col min="1551" max="1552" width="9.42578125" style="68" customWidth="1"/>
    <col min="1553" max="1553" width="10.140625" style="68" bestFit="1" customWidth="1"/>
    <col min="1554" max="1557" width="9.140625" style="68"/>
    <col min="1558" max="1558" width="7.28515625" style="68" customWidth="1"/>
    <col min="1559" max="1561" width="7.42578125" style="68" customWidth="1"/>
    <col min="1562" max="1562" width="10.42578125" style="68" bestFit="1" customWidth="1"/>
    <col min="1563" max="1563" width="12" style="68" bestFit="1" customWidth="1"/>
    <col min="1564" max="1564" width="11" style="68" bestFit="1" customWidth="1"/>
    <col min="1565" max="1566" width="11" style="68" customWidth="1"/>
    <col min="1567" max="1567" width="10" style="68" bestFit="1" customWidth="1"/>
    <col min="1568" max="1568" width="14.42578125" style="68" bestFit="1" customWidth="1"/>
    <col min="1569" max="1579" width="0" style="68" hidden="1" customWidth="1"/>
    <col min="1580" max="1800" width="9.140625" style="68"/>
    <col min="1801" max="1801" width="54.140625" style="68" bestFit="1" customWidth="1"/>
    <col min="1802" max="1802" width="14.7109375" style="68" customWidth="1"/>
    <col min="1803" max="1803" width="10.140625" style="68" customWidth="1"/>
    <col min="1804" max="1804" width="10.42578125" style="68" bestFit="1" customWidth="1"/>
    <col min="1805" max="1806" width="9.42578125" style="68" bestFit="1" customWidth="1"/>
    <col min="1807" max="1808" width="9.42578125" style="68" customWidth="1"/>
    <col min="1809" max="1809" width="10.140625" style="68" bestFit="1" customWidth="1"/>
    <col min="1810" max="1813" width="9.140625" style="68"/>
    <col min="1814" max="1814" width="7.28515625" style="68" customWidth="1"/>
    <col min="1815" max="1817" width="7.42578125" style="68" customWidth="1"/>
    <col min="1818" max="1818" width="10.42578125" style="68" bestFit="1" customWidth="1"/>
    <col min="1819" max="1819" width="12" style="68" bestFit="1" customWidth="1"/>
    <col min="1820" max="1820" width="11" style="68" bestFit="1" customWidth="1"/>
    <col min="1821" max="1822" width="11" style="68" customWidth="1"/>
    <col min="1823" max="1823" width="10" style="68" bestFit="1" customWidth="1"/>
    <col min="1824" max="1824" width="14.42578125" style="68" bestFit="1" customWidth="1"/>
    <col min="1825" max="1835" width="0" style="68" hidden="1" customWidth="1"/>
    <col min="1836" max="2056" width="9.140625" style="68"/>
    <col min="2057" max="2057" width="54.140625" style="68" bestFit="1" customWidth="1"/>
    <col min="2058" max="2058" width="14.7109375" style="68" customWidth="1"/>
    <col min="2059" max="2059" width="10.140625" style="68" customWidth="1"/>
    <col min="2060" max="2060" width="10.42578125" style="68" bestFit="1" customWidth="1"/>
    <col min="2061" max="2062" width="9.42578125" style="68" bestFit="1" customWidth="1"/>
    <col min="2063" max="2064" width="9.42578125" style="68" customWidth="1"/>
    <col min="2065" max="2065" width="10.140625" style="68" bestFit="1" customWidth="1"/>
    <col min="2066" max="2069" width="9.140625" style="68"/>
    <col min="2070" max="2070" width="7.28515625" style="68" customWidth="1"/>
    <col min="2071" max="2073" width="7.42578125" style="68" customWidth="1"/>
    <col min="2074" max="2074" width="10.42578125" style="68" bestFit="1" customWidth="1"/>
    <col min="2075" max="2075" width="12" style="68" bestFit="1" customWidth="1"/>
    <col min="2076" max="2076" width="11" style="68" bestFit="1" customWidth="1"/>
    <col min="2077" max="2078" width="11" style="68" customWidth="1"/>
    <col min="2079" max="2079" width="10" style="68" bestFit="1" customWidth="1"/>
    <col min="2080" max="2080" width="14.42578125" style="68" bestFit="1" customWidth="1"/>
    <col min="2081" max="2091" width="0" style="68" hidden="1" customWidth="1"/>
    <col min="2092" max="2312" width="9.140625" style="68"/>
    <col min="2313" max="2313" width="54.140625" style="68" bestFit="1" customWidth="1"/>
    <col min="2314" max="2314" width="14.7109375" style="68" customWidth="1"/>
    <col min="2315" max="2315" width="10.140625" style="68" customWidth="1"/>
    <col min="2316" max="2316" width="10.42578125" style="68" bestFit="1" customWidth="1"/>
    <col min="2317" max="2318" width="9.42578125" style="68" bestFit="1" customWidth="1"/>
    <col min="2319" max="2320" width="9.42578125" style="68" customWidth="1"/>
    <col min="2321" max="2321" width="10.140625" style="68" bestFit="1" customWidth="1"/>
    <col min="2322" max="2325" width="9.140625" style="68"/>
    <col min="2326" max="2326" width="7.28515625" style="68" customWidth="1"/>
    <col min="2327" max="2329" width="7.42578125" style="68" customWidth="1"/>
    <col min="2330" max="2330" width="10.42578125" style="68" bestFit="1" customWidth="1"/>
    <col min="2331" max="2331" width="12" style="68" bestFit="1" customWidth="1"/>
    <col min="2332" max="2332" width="11" style="68" bestFit="1" customWidth="1"/>
    <col min="2333" max="2334" width="11" style="68" customWidth="1"/>
    <col min="2335" max="2335" width="10" style="68" bestFit="1" customWidth="1"/>
    <col min="2336" max="2336" width="14.42578125" style="68" bestFit="1" customWidth="1"/>
    <col min="2337" max="2347" width="0" style="68" hidden="1" customWidth="1"/>
    <col min="2348" max="2568" width="9.140625" style="68"/>
    <col min="2569" max="2569" width="54.140625" style="68" bestFit="1" customWidth="1"/>
    <col min="2570" max="2570" width="14.7109375" style="68" customWidth="1"/>
    <col min="2571" max="2571" width="10.140625" style="68" customWidth="1"/>
    <col min="2572" max="2572" width="10.42578125" style="68" bestFit="1" customWidth="1"/>
    <col min="2573" max="2574" width="9.42578125" style="68" bestFit="1" customWidth="1"/>
    <col min="2575" max="2576" width="9.42578125" style="68" customWidth="1"/>
    <col min="2577" max="2577" width="10.140625" style="68" bestFit="1" customWidth="1"/>
    <col min="2578" max="2581" width="9.140625" style="68"/>
    <col min="2582" max="2582" width="7.28515625" style="68" customWidth="1"/>
    <col min="2583" max="2585" width="7.42578125" style="68" customWidth="1"/>
    <col min="2586" max="2586" width="10.42578125" style="68" bestFit="1" customWidth="1"/>
    <col min="2587" max="2587" width="12" style="68" bestFit="1" customWidth="1"/>
    <col min="2588" max="2588" width="11" style="68" bestFit="1" customWidth="1"/>
    <col min="2589" max="2590" width="11" style="68" customWidth="1"/>
    <col min="2591" max="2591" width="10" style="68" bestFit="1" customWidth="1"/>
    <col min="2592" max="2592" width="14.42578125" style="68" bestFit="1" customWidth="1"/>
    <col min="2593" max="2603" width="0" style="68" hidden="1" customWidth="1"/>
    <col min="2604" max="2824" width="9.140625" style="68"/>
    <col min="2825" max="2825" width="54.140625" style="68" bestFit="1" customWidth="1"/>
    <col min="2826" max="2826" width="14.7109375" style="68" customWidth="1"/>
    <col min="2827" max="2827" width="10.140625" style="68" customWidth="1"/>
    <col min="2828" max="2828" width="10.42578125" style="68" bestFit="1" customWidth="1"/>
    <col min="2829" max="2830" width="9.42578125" style="68" bestFit="1" customWidth="1"/>
    <col min="2831" max="2832" width="9.42578125" style="68" customWidth="1"/>
    <col min="2833" max="2833" width="10.140625" style="68" bestFit="1" customWidth="1"/>
    <col min="2834" max="2837" width="9.140625" style="68"/>
    <col min="2838" max="2838" width="7.28515625" style="68" customWidth="1"/>
    <col min="2839" max="2841" width="7.42578125" style="68" customWidth="1"/>
    <col min="2842" max="2842" width="10.42578125" style="68" bestFit="1" customWidth="1"/>
    <col min="2843" max="2843" width="12" style="68" bestFit="1" customWidth="1"/>
    <col min="2844" max="2844" width="11" style="68" bestFit="1" customWidth="1"/>
    <col min="2845" max="2846" width="11" style="68" customWidth="1"/>
    <col min="2847" max="2847" width="10" style="68" bestFit="1" customWidth="1"/>
    <col min="2848" max="2848" width="14.42578125" style="68" bestFit="1" customWidth="1"/>
    <col min="2849" max="2859" width="0" style="68" hidden="1" customWidth="1"/>
    <col min="2860" max="3080" width="9.140625" style="68"/>
    <col min="3081" max="3081" width="54.140625" style="68" bestFit="1" customWidth="1"/>
    <col min="3082" max="3082" width="14.7109375" style="68" customWidth="1"/>
    <col min="3083" max="3083" width="10.140625" style="68" customWidth="1"/>
    <col min="3084" max="3084" width="10.42578125" style="68" bestFit="1" customWidth="1"/>
    <col min="3085" max="3086" width="9.42578125" style="68" bestFit="1" customWidth="1"/>
    <col min="3087" max="3088" width="9.42578125" style="68" customWidth="1"/>
    <col min="3089" max="3089" width="10.140625" style="68" bestFit="1" customWidth="1"/>
    <col min="3090" max="3093" width="9.140625" style="68"/>
    <col min="3094" max="3094" width="7.28515625" style="68" customWidth="1"/>
    <col min="3095" max="3097" width="7.42578125" style="68" customWidth="1"/>
    <col min="3098" max="3098" width="10.42578125" style="68" bestFit="1" customWidth="1"/>
    <col min="3099" max="3099" width="12" style="68" bestFit="1" customWidth="1"/>
    <col min="3100" max="3100" width="11" style="68" bestFit="1" customWidth="1"/>
    <col min="3101" max="3102" width="11" style="68" customWidth="1"/>
    <col min="3103" max="3103" width="10" style="68" bestFit="1" customWidth="1"/>
    <col min="3104" max="3104" width="14.42578125" style="68" bestFit="1" customWidth="1"/>
    <col min="3105" max="3115" width="0" style="68" hidden="1" customWidth="1"/>
    <col min="3116" max="3336" width="9.140625" style="68"/>
    <col min="3337" max="3337" width="54.140625" style="68" bestFit="1" customWidth="1"/>
    <col min="3338" max="3338" width="14.7109375" style="68" customWidth="1"/>
    <col min="3339" max="3339" width="10.140625" style="68" customWidth="1"/>
    <col min="3340" max="3340" width="10.42578125" style="68" bestFit="1" customWidth="1"/>
    <col min="3341" max="3342" width="9.42578125" style="68" bestFit="1" customWidth="1"/>
    <col min="3343" max="3344" width="9.42578125" style="68" customWidth="1"/>
    <col min="3345" max="3345" width="10.140625" style="68" bestFit="1" customWidth="1"/>
    <col min="3346" max="3349" width="9.140625" style="68"/>
    <col min="3350" max="3350" width="7.28515625" style="68" customWidth="1"/>
    <col min="3351" max="3353" width="7.42578125" style="68" customWidth="1"/>
    <col min="3354" max="3354" width="10.42578125" style="68" bestFit="1" customWidth="1"/>
    <col min="3355" max="3355" width="12" style="68" bestFit="1" customWidth="1"/>
    <col min="3356" max="3356" width="11" style="68" bestFit="1" customWidth="1"/>
    <col min="3357" max="3358" width="11" style="68" customWidth="1"/>
    <col min="3359" max="3359" width="10" style="68" bestFit="1" customWidth="1"/>
    <col min="3360" max="3360" width="14.42578125" style="68" bestFit="1" customWidth="1"/>
    <col min="3361" max="3371" width="0" style="68" hidden="1" customWidth="1"/>
    <col min="3372" max="3592" width="9.140625" style="68"/>
    <col min="3593" max="3593" width="54.140625" style="68" bestFit="1" customWidth="1"/>
    <col min="3594" max="3594" width="14.7109375" style="68" customWidth="1"/>
    <col min="3595" max="3595" width="10.140625" style="68" customWidth="1"/>
    <col min="3596" max="3596" width="10.42578125" style="68" bestFit="1" customWidth="1"/>
    <col min="3597" max="3598" width="9.42578125" style="68" bestFit="1" customWidth="1"/>
    <col min="3599" max="3600" width="9.42578125" style="68" customWidth="1"/>
    <col min="3601" max="3601" width="10.140625" style="68" bestFit="1" customWidth="1"/>
    <col min="3602" max="3605" width="9.140625" style="68"/>
    <col min="3606" max="3606" width="7.28515625" style="68" customWidth="1"/>
    <col min="3607" max="3609" width="7.42578125" style="68" customWidth="1"/>
    <col min="3610" max="3610" width="10.42578125" style="68" bestFit="1" customWidth="1"/>
    <col min="3611" max="3611" width="12" style="68" bestFit="1" customWidth="1"/>
    <col min="3612" max="3612" width="11" style="68" bestFit="1" customWidth="1"/>
    <col min="3613" max="3614" width="11" style="68" customWidth="1"/>
    <col min="3615" max="3615" width="10" style="68" bestFit="1" customWidth="1"/>
    <col min="3616" max="3616" width="14.42578125" style="68" bestFit="1" customWidth="1"/>
    <col min="3617" max="3627" width="0" style="68" hidden="1" customWidth="1"/>
    <col min="3628" max="3848" width="9.140625" style="68"/>
    <col min="3849" max="3849" width="54.140625" style="68" bestFit="1" customWidth="1"/>
    <col min="3850" max="3850" width="14.7109375" style="68" customWidth="1"/>
    <col min="3851" max="3851" width="10.140625" style="68" customWidth="1"/>
    <col min="3852" max="3852" width="10.42578125" style="68" bestFit="1" customWidth="1"/>
    <col min="3853" max="3854" width="9.42578125" style="68" bestFit="1" customWidth="1"/>
    <col min="3855" max="3856" width="9.42578125" style="68" customWidth="1"/>
    <col min="3857" max="3857" width="10.140625" style="68" bestFit="1" customWidth="1"/>
    <col min="3858" max="3861" width="9.140625" style="68"/>
    <col min="3862" max="3862" width="7.28515625" style="68" customWidth="1"/>
    <col min="3863" max="3865" width="7.42578125" style="68" customWidth="1"/>
    <col min="3866" max="3866" width="10.42578125" style="68" bestFit="1" customWidth="1"/>
    <col min="3867" max="3867" width="12" style="68" bestFit="1" customWidth="1"/>
    <col min="3868" max="3868" width="11" style="68" bestFit="1" customWidth="1"/>
    <col min="3869" max="3870" width="11" style="68" customWidth="1"/>
    <col min="3871" max="3871" width="10" style="68" bestFit="1" customWidth="1"/>
    <col min="3872" max="3872" width="14.42578125" style="68" bestFit="1" customWidth="1"/>
    <col min="3873" max="3883" width="0" style="68" hidden="1" customWidth="1"/>
    <col min="3884" max="4104" width="9.140625" style="68"/>
    <col min="4105" max="4105" width="54.140625" style="68" bestFit="1" customWidth="1"/>
    <col min="4106" max="4106" width="14.7109375" style="68" customWidth="1"/>
    <col min="4107" max="4107" width="10.140625" style="68" customWidth="1"/>
    <col min="4108" max="4108" width="10.42578125" style="68" bestFit="1" customWidth="1"/>
    <col min="4109" max="4110" width="9.42578125" style="68" bestFit="1" customWidth="1"/>
    <col min="4111" max="4112" width="9.42578125" style="68" customWidth="1"/>
    <col min="4113" max="4113" width="10.140625" style="68" bestFit="1" customWidth="1"/>
    <col min="4114" max="4117" width="9.140625" style="68"/>
    <col min="4118" max="4118" width="7.28515625" style="68" customWidth="1"/>
    <col min="4119" max="4121" width="7.42578125" style="68" customWidth="1"/>
    <col min="4122" max="4122" width="10.42578125" style="68" bestFit="1" customWidth="1"/>
    <col min="4123" max="4123" width="12" style="68" bestFit="1" customWidth="1"/>
    <col min="4124" max="4124" width="11" style="68" bestFit="1" customWidth="1"/>
    <col min="4125" max="4126" width="11" style="68" customWidth="1"/>
    <col min="4127" max="4127" width="10" style="68" bestFit="1" customWidth="1"/>
    <col min="4128" max="4128" width="14.42578125" style="68" bestFit="1" customWidth="1"/>
    <col min="4129" max="4139" width="0" style="68" hidden="1" customWidth="1"/>
    <col min="4140" max="4360" width="9.140625" style="68"/>
    <col min="4361" max="4361" width="54.140625" style="68" bestFit="1" customWidth="1"/>
    <col min="4362" max="4362" width="14.7109375" style="68" customWidth="1"/>
    <col min="4363" max="4363" width="10.140625" style="68" customWidth="1"/>
    <col min="4364" max="4364" width="10.42578125" style="68" bestFit="1" customWidth="1"/>
    <col min="4365" max="4366" width="9.42578125" style="68" bestFit="1" customWidth="1"/>
    <col min="4367" max="4368" width="9.42578125" style="68" customWidth="1"/>
    <col min="4369" max="4369" width="10.140625" style="68" bestFit="1" customWidth="1"/>
    <col min="4370" max="4373" width="9.140625" style="68"/>
    <col min="4374" max="4374" width="7.28515625" style="68" customWidth="1"/>
    <col min="4375" max="4377" width="7.42578125" style="68" customWidth="1"/>
    <col min="4378" max="4378" width="10.42578125" style="68" bestFit="1" customWidth="1"/>
    <col min="4379" max="4379" width="12" style="68" bestFit="1" customWidth="1"/>
    <col min="4380" max="4380" width="11" style="68" bestFit="1" customWidth="1"/>
    <col min="4381" max="4382" width="11" style="68" customWidth="1"/>
    <col min="4383" max="4383" width="10" style="68" bestFit="1" customWidth="1"/>
    <col min="4384" max="4384" width="14.42578125" style="68" bestFit="1" customWidth="1"/>
    <col min="4385" max="4395" width="0" style="68" hidden="1" customWidth="1"/>
    <col min="4396" max="4616" width="9.140625" style="68"/>
    <col min="4617" max="4617" width="54.140625" style="68" bestFit="1" customWidth="1"/>
    <col min="4618" max="4618" width="14.7109375" style="68" customWidth="1"/>
    <col min="4619" max="4619" width="10.140625" style="68" customWidth="1"/>
    <col min="4620" max="4620" width="10.42578125" style="68" bestFit="1" customWidth="1"/>
    <col min="4621" max="4622" width="9.42578125" style="68" bestFit="1" customWidth="1"/>
    <col min="4623" max="4624" width="9.42578125" style="68" customWidth="1"/>
    <col min="4625" max="4625" width="10.140625" style="68" bestFit="1" customWidth="1"/>
    <col min="4626" max="4629" width="9.140625" style="68"/>
    <col min="4630" max="4630" width="7.28515625" style="68" customWidth="1"/>
    <col min="4631" max="4633" width="7.42578125" style="68" customWidth="1"/>
    <col min="4634" max="4634" width="10.42578125" style="68" bestFit="1" customWidth="1"/>
    <col min="4635" max="4635" width="12" style="68" bestFit="1" customWidth="1"/>
    <col min="4636" max="4636" width="11" style="68" bestFit="1" customWidth="1"/>
    <col min="4637" max="4638" width="11" style="68" customWidth="1"/>
    <col min="4639" max="4639" width="10" style="68" bestFit="1" customWidth="1"/>
    <col min="4640" max="4640" width="14.42578125" style="68" bestFit="1" customWidth="1"/>
    <col min="4641" max="4651" width="0" style="68" hidden="1" customWidth="1"/>
    <col min="4652" max="4872" width="9.140625" style="68"/>
    <col min="4873" max="4873" width="54.140625" style="68" bestFit="1" customWidth="1"/>
    <col min="4874" max="4874" width="14.7109375" style="68" customWidth="1"/>
    <col min="4875" max="4875" width="10.140625" style="68" customWidth="1"/>
    <col min="4876" max="4876" width="10.42578125" style="68" bestFit="1" customWidth="1"/>
    <col min="4877" max="4878" width="9.42578125" style="68" bestFit="1" customWidth="1"/>
    <col min="4879" max="4880" width="9.42578125" style="68" customWidth="1"/>
    <col min="4881" max="4881" width="10.140625" style="68" bestFit="1" customWidth="1"/>
    <col min="4882" max="4885" width="9.140625" style="68"/>
    <col min="4886" max="4886" width="7.28515625" style="68" customWidth="1"/>
    <col min="4887" max="4889" width="7.42578125" style="68" customWidth="1"/>
    <col min="4890" max="4890" width="10.42578125" style="68" bestFit="1" customWidth="1"/>
    <col min="4891" max="4891" width="12" style="68" bestFit="1" customWidth="1"/>
    <col min="4892" max="4892" width="11" style="68" bestFit="1" customWidth="1"/>
    <col min="4893" max="4894" width="11" style="68" customWidth="1"/>
    <col min="4895" max="4895" width="10" style="68" bestFit="1" customWidth="1"/>
    <col min="4896" max="4896" width="14.42578125" style="68" bestFit="1" customWidth="1"/>
    <col min="4897" max="4907" width="0" style="68" hidden="1" customWidth="1"/>
    <col min="4908" max="5128" width="9.140625" style="68"/>
    <col min="5129" max="5129" width="54.140625" style="68" bestFit="1" customWidth="1"/>
    <col min="5130" max="5130" width="14.7109375" style="68" customWidth="1"/>
    <col min="5131" max="5131" width="10.140625" style="68" customWidth="1"/>
    <col min="5132" max="5132" width="10.42578125" style="68" bestFit="1" customWidth="1"/>
    <col min="5133" max="5134" width="9.42578125" style="68" bestFit="1" customWidth="1"/>
    <col min="5135" max="5136" width="9.42578125" style="68" customWidth="1"/>
    <col min="5137" max="5137" width="10.140625" style="68" bestFit="1" customWidth="1"/>
    <col min="5138" max="5141" width="9.140625" style="68"/>
    <col min="5142" max="5142" width="7.28515625" style="68" customWidth="1"/>
    <col min="5143" max="5145" width="7.42578125" style="68" customWidth="1"/>
    <col min="5146" max="5146" width="10.42578125" style="68" bestFit="1" customWidth="1"/>
    <col min="5147" max="5147" width="12" style="68" bestFit="1" customWidth="1"/>
    <col min="5148" max="5148" width="11" style="68" bestFit="1" customWidth="1"/>
    <col min="5149" max="5150" width="11" style="68" customWidth="1"/>
    <col min="5151" max="5151" width="10" style="68" bestFit="1" customWidth="1"/>
    <col min="5152" max="5152" width="14.42578125" style="68" bestFit="1" customWidth="1"/>
    <col min="5153" max="5163" width="0" style="68" hidden="1" customWidth="1"/>
    <col min="5164" max="5384" width="9.140625" style="68"/>
    <col min="5385" max="5385" width="54.140625" style="68" bestFit="1" customWidth="1"/>
    <col min="5386" max="5386" width="14.7109375" style="68" customWidth="1"/>
    <col min="5387" max="5387" width="10.140625" style="68" customWidth="1"/>
    <col min="5388" max="5388" width="10.42578125" style="68" bestFit="1" customWidth="1"/>
    <col min="5389" max="5390" width="9.42578125" style="68" bestFit="1" customWidth="1"/>
    <col min="5391" max="5392" width="9.42578125" style="68" customWidth="1"/>
    <col min="5393" max="5393" width="10.140625" style="68" bestFit="1" customWidth="1"/>
    <col min="5394" max="5397" width="9.140625" style="68"/>
    <col min="5398" max="5398" width="7.28515625" style="68" customWidth="1"/>
    <col min="5399" max="5401" width="7.42578125" style="68" customWidth="1"/>
    <col min="5402" max="5402" width="10.42578125" style="68" bestFit="1" customWidth="1"/>
    <col min="5403" max="5403" width="12" style="68" bestFit="1" customWidth="1"/>
    <col min="5404" max="5404" width="11" style="68" bestFit="1" customWidth="1"/>
    <col min="5405" max="5406" width="11" style="68" customWidth="1"/>
    <col min="5407" max="5407" width="10" style="68" bestFit="1" customWidth="1"/>
    <col min="5408" max="5408" width="14.42578125" style="68" bestFit="1" customWidth="1"/>
    <col min="5409" max="5419" width="0" style="68" hidden="1" customWidth="1"/>
    <col min="5420" max="5640" width="9.140625" style="68"/>
    <col min="5641" max="5641" width="54.140625" style="68" bestFit="1" customWidth="1"/>
    <col min="5642" max="5642" width="14.7109375" style="68" customWidth="1"/>
    <col min="5643" max="5643" width="10.140625" style="68" customWidth="1"/>
    <col min="5644" max="5644" width="10.42578125" style="68" bestFit="1" customWidth="1"/>
    <col min="5645" max="5646" width="9.42578125" style="68" bestFit="1" customWidth="1"/>
    <col min="5647" max="5648" width="9.42578125" style="68" customWidth="1"/>
    <col min="5649" max="5649" width="10.140625" style="68" bestFit="1" customWidth="1"/>
    <col min="5650" max="5653" width="9.140625" style="68"/>
    <col min="5654" max="5654" width="7.28515625" style="68" customWidth="1"/>
    <col min="5655" max="5657" width="7.42578125" style="68" customWidth="1"/>
    <col min="5658" max="5658" width="10.42578125" style="68" bestFit="1" customWidth="1"/>
    <col min="5659" max="5659" width="12" style="68" bestFit="1" customWidth="1"/>
    <col min="5660" max="5660" width="11" style="68" bestFit="1" customWidth="1"/>
    <col min="5661" max="5662" width="11" style="68" customWidth="1"/>
    <col min="5663" max="5663" width="10" style="68" bestFit="1" customWidth="1"/>
    <col min="5664" max="5664" width="14.42578125" style="68" bestFit="1" customWidth="1"/>
    <col min="5665" max="5675" width="0" style="68" hidden="1" customWidth="1"/>
    <col min="5676" max="5896" width="9.140625" style="68"/>
    <col min="5897" max="5897" width="54.140625" style="68" bestFit="1" customWidth="1"/>
    <col min="5898" max="5898" width="14.7109375" style="68" customWidth="1"/>
    <col min="5899" max="5899" width="10.140625" style="68" customWidth="1"/>
    <col min="5900" max="5900" width="10.42578125" style="68" bestFit="1" customWidth="1"/>
    <col min="5901" max="5902" width="9.42578125" style="68" bestFit="1" customWidth="1"/>
    <col min="5903" max="5904" width="9.42578125" style="68" customWidth="1"/>
    <col min="5905" max="5905" width="10.140625" style="68" bestFit="1" customWidth="1"/>
    <col min="5906" max="5909" width="9.140625" style="68"/>
    <col min="5910" max="5910" width="7.28515625" style="68" customWidth="1"/>
    <col min="5911" max="5913" width="7.42578125" style="68" customWidth="1"/>
    <col min="5914" max="5914" width="10.42578125" style="68" bestFit="1" customWidth="1"/>
    <col min="5915" max="5915" width="12" style="68" bestFit="1" customWidth="1"/>
    <col min="5916" max="5916" width="11" style="68" bestFit="1" customWidth="1"/>
    <col min="5917" max="5918" width="11" style="68" customWidth="1"/>
    <col min="5919" max="5919" width="10" style="68" bestFit="1" customWidth="1"/>
    <col min="5920" max="5920" width="14.42578125" style="68" bestFit="1" customWidth="1"/>
    <col min="5921" max="5931" width="0" style="68" hidden="1" customWidth="1"/>
    <col min="5932" max="6152" width="9.140625" style="68"/>
    <col min="6153" max="6153" width="54.140625" style="68" bestFit="1" customWidth="1"/>
    <col min="6154" max="6154" width="14.7109375" style="68" customWidth="1"/>
    <col min="6155" max="6155" width="10.140625" style="68" customWidth="1"/>
    <col min="6156" max="6156" width="10.42578125" style="68" bestFit="1" customWidth="1"/>
    <col min="6157" max="6158" width="9.42578125" style="68" bestFit="1" customWidth="1"/>
    <col min="6159" max="6160" width="9.42578125" style="68" customWidth="1"/>
    <col min="6161" max="6161" width="10.140625" style="68" bestFit="1" customWidth="1"/>
    <col min="6162" max="6165" width="9.140625" style="68"/>
    <col min="6166" max="6166" width="7.28515625" style="68" customWidth="1"/>
    <col min="6167" max="6169" width="7.42578125" style="68" customWidth="1"/>
    <col min="6170" max="6170" width="10.42578125" style="68" bestFit="1" customWidth="1"/>
    <col min="6171" max="6171" width="12" style="68" bestFit="1" customWidth="1"/>
    <col min="6172" max="6172" width="11" style="68" bestFit="1" customWidth="1"/>
    <col min="6173" max="6174" width="11" style="68" customWidth="1"/>
    <col min="6175" max="6175" width="10" style="68" bestFit="1" customWidth="1"/>
    <col min="6176" max="6176" width="14.42578125" style="68" bestFit="1" customWidth="1"/>
    <col min="6177" max="6187" width="0" style="68" hidden="1" customWidth="1"/>
    <col min="6188" max="6408" width="9.140625" style="68"/>
    <col min="6409" max="6409" width="54.140625" style="68" bestFit="1" customWidth="1"/>
    <col min="6410" max="6410" width="14.7109375" style="68" customWidth="1"/>
    <col min="6411" max="6411" width="10.140625" style="68" customWidth="1"/>
    <col min="6412" max="6412" width="10.42578125" style="68" bestFit="1" customWidth="1"/>
    <col min="6413" max="6414" width="9.42578125" style="68" bestFit="1" customWidth="1"/>
    <col min="6415" max="6416" width="9.42578125" style="68" customWidth="1"/>
    <col min="6417" max="6417" width="10.140625" style="68" bestFit="1" customWidth="1"/>
    <col min="6418" max="6421" width="9.140625" style="68"/>
    <col min="6422" max="6422" width="7.28515625" style="68" customWidth="1"/>
    <col min="6423" max="6425" width="7.42578125" style="68" customWidth="1"/>
    <col min="6426" max="6426" width="10.42578125" style="68" bestFit="1" customWidth="1"/>
    <col min="6427" max="6427" width="12" style="68" bestFit="1" customWidth="1"/>
    <col min="6428" max="6428" width="11" style="68" bestFit="1" customWidth="1"/>
    <col min="6429" max="6430" width="11" style="68" customWidth="1"/>
    <col min="6431" max="6431" width="10" style="68" bestFit="1" customWidth="1"/>
    <col min="6432" max="6432" width="14.42578125" style="68" bestFit="1" customWidth="1"/>
    <col min="6433" max="6443" width="0" style="68" hidden="1" customWidth="1"/>
    <col min="6444" max="6664" width="9.140625" style="68"/>
    <col min="6665" max="6665" width="54.140625" style="68" bestFit="1" customWidth="1"/>
    <col min="6666" max="6666" width="14.7109375" style="68" customWidth="1"/>
    <col min="6667" max="6667" width="10.140625" style="68" customWidth="1"/>
    <col min="6668" max="6668" width="10.42578125" style="68" bestFit="1" customWidth="1"/>
    <col min="6669" max="6670" width="9.42578125" style="68" bestFit="1" customWidth="1"/>
    <col min="6671" max="6672" width="9.42578125" style="68" customWidth="1"/>
    <col min="6673" max="6673" width="10.140625" style="68" bestFit="1" customWidth="1"/>
    <col min="6674" max="6677" width="9.140625" style="68"/>
    <col min="6678" max="6678" width="7.28515625" style="68" customWidth="1"/>
    <col min="6679" max="6681" width="7.42578125" style="68" customWidth="1"/>
    <col min="6682" max="6682" width="10.42578125" style="68" bestFit="1" customWidth="1"/>
    <col min="6683" max="6683" width="12" style="68" bestFit="1" customWidth="1"/>
    <col min="6684" max="6684" width="11" style="68" bestFit="1" customWidth="1"/>
    <col min="6685" max="6686" width="11" style="68" customWidth="1"/>
    <col min="6687" max="6687" width="10" style="68" bestFit="1" customWidth="1"/>
    <col min="6688" max="6688" width="14.42578125" style="68" bestFit="1" customWidth="1"/>
    <col min="6689" max="6699" width="0" style="68" hidden="1" customWidth="1"/>
    <col min="6700" max="6920" width="9.140625" style="68"/>
    <col min="6921" max="6921" width="54.140625" style="68" bestFit="1" customWidth="1"/>
    <col min="6922" max="6922" width="14.7109375" style="68" customWidth="1"/>
    <col min="6923" max="6923" width="10.140625" style="68" customWidth="1"/>
    <col min="6924" max="6924" width="10.42578125" style="68" bestFit="1" customWidth="1"/>
    <col min="6925" max="6926" width="9.42578125" style="68" bestFit="1" customWidth="1"/>
    <col min="6927" max="6928" width="9.42578125" style="68" customWidth="1"/>
    <col min="6929" max="6929" width="10.140625" style="68" bestFit="1" customWidth="1"/>
    <col min="6930" max="6933" width="9.140625" style="68"/>
    <col min="6934" max="6934" width="7.28515625" style="68" customWidth="1"/>
    <col min="6935" max="6937" width="7.42578125" style="68" customWidth="1"/>
    <col min="6938" max="6938" width="10.42578125" style="68" bestFit="1" customWidth="1"/>
    <col min="6939" max="6939" width="12" style="68" bestFit="1" customWidth="1"/>
    <col min="6940" max="6940" width="11" style="68" bestFit="1" customWidth="1"/>
    <col min="6941" max="6942" width="11" style="68" customWidth="1"/>
    <col min="6943" max="6943" width="10" style="68" bestFit="1" customWidth="1"/>
    <col min="6944" max="6944" width="14.42578125" style="68" bestFit="1" customWidth="1"/>
    <col min="6945" max="6955" width="0" style="68" hidden="1" customWidth="1"/>
    <col min="6956" max="7176" width="9.140625" style="68"/>
    <col min="7177" max="7177" width="54.140625" style="68" bestFit="1" customWidth="1"/>
    <col min="7178" max="7178" width="14.7109375" style="68" customWidth="1"/>
    <col min="7179" max="7179" width="10.140625" style="68" customWidth="1"/>
    <col min="7180" max="7180" width="10.42578125" style="68" bestFit="1" customWidth="1"/>
    <col min="7181" max="7182" width="9.42578125" style="68" bestFit="1" customWidth="1"/>
    <col min="7183" max="7184" width="9.42578125" style="68" customWidth="1"/>
    <col min="7185" max="7185" width="10.140625" style="68" bestFit="1" customWidth="1"/>
    <col min="7186" max="7189" width="9.140625" style="68"/>
    <col min="7190" max="7190" width="7.28515625" style="68" customWidth="1"/>
    <col min="7191" max="7193" width="7.42578125" style="68" customWidth="1"/>
    <col min="7194" max="7194" width="10.42578125" style="68" bestFit="1" customWidth="1"/>
    <col min="7195" max="7195" width="12" style="68" bestFit="1" customWidth="1"/>
    <col min="7196" max="7196" width="11" style="68" bestFit="1" customWidth="1"/>
    <col min="7197" max="7198" width="11" style="68" customWidth="1"/>
    <col min="7199" max="7199" width="10" style="68" bestFit="1" customWidth="1"/>
    <col min="7200" max="7200" width="14.42578125" style="68" bestFit="1" customWidth="1"/>
    <col min="7201" max="7211" width="0" style="68" hidden="1" customWidth="1"/>
    <col min="7212" max="7432" width="9.140625" style="68"/>
    <col min="7433" max="7433" width="54.140625" style="68" bestFit="1" customWidth="1"/>
    <col min="7434" max="7434" width="14.7109375" style="68" customWidth="1"/>
    <col min="7435" max="7435" width="10.140625" style="68" customWidth="1"/>
    <col min="7436" max="7436" width="10.42578125" style="68" bestFit="1" customWidth="1"/>
    <col min="7437" max="7438" width="9.42578125" style="68" bestFit="1" customWidth="1"/>
    <col min="7439" max="7440" width="9.42578125" style="68" customWidth="1"/>
    <col min="7441" max="7441" width="10.140625" style="68" bestFit="1" customWidth="1"/>
    <col min="7442" max="7445" width="9.140625" style="68"/>
    <col min="7446" max="7446" width="7.28515625" style="68" customWidth="1"/>
    <col min="7447" max="7449" width="7.42578125" style="68" customWidth="1"/>
    <col min="7450" max="7450" width="10.42578125" style="68" bestFit="1" customWidth="1"/>
    <col min="7451" max="7451" width="12" style="68" bestFit="1" customWidth="1"/>
    <col min="7452" max="7452" width="11" style="68" bestFit="1" customWidth="1"/>
    <col min="7453" max="7454" width="11" style="68" customWidth="1"/>
    <col min="7455" max="7455" width="10" style="68" bestFit="1" customWidth="1"/>
    <col min="7456" max="7456" width="14.42578125" style="68" bestFit="1" customWidth="1"/>
    <col min="7457" max="7467" width="0" style="68" hidden="1" customWidth="1"/>
    <col min="7468" max="7688" width="9.140625" style="68"/>
    <col min="7689" max="7689" width="54.140625" style="68" bestFit="1" customWidth="1"/>
    <col min="7690" max="7690" width="14.7109375" style="68" customWidth="1"/>
    <col min="7691" max="7691" width="10.140625" style="68" customWidth="1"/>
    <col min="7692" max="7692" width="10.42578125" style="68" bestFit="1" customWidth="1"/>
    <col min="7693" max="7694" width="9.42578125" style="68" bestFit="1" customWidth="1"/>
    <col min="7695" max="7696" width="9.42578125" style="68" customWidth="1"/>
    <col min="7697" max="7697" width="10.140625" style="68" bestFit="1" customWidth="1"/>
    <col min="7698" max="7701" width="9.140625" style="68"/>
    <col min="7702" max="7702" width="7.28515625" style="68" customWidth="1"/>
    <col min="7703" max="7705" width="7.42578125" style="68" customWidth="1"/>
    <col min="7706" max="7706" width="10.42578125" style="68" bestFit="1" customWidth="1"/>
    <col min="7707" max="7707" width="12" style="68" bestFit="1" customWidth="1"/>
    <col min="7708" max="7708" width="11" style="68" bestFit="1" customWidth="1"/>
    <col min="7709" max="7710" width="11" style="68" customWidth="1"/>
    <col min="7711" max="7711" width="10" style="68" bestFit="1" customWidth="1"/>
    <col min="7712" max="7712" width="14.42578125" style="68" bestFit="1" customWidth="1"/>
    <col min="7713" max="7723" width="0" style="68" hidden="1" customWidth="1"/>
    <col min="7724" max="7944" width="9.140625" style="68"/>
    <col min="7945" max="7945" width="54.140625" style="68" bestFit="1" customWidth="1"/>
    <col min="7946" max="7946" width="14.7109375" style="68" customWidth="1"/>
    <col min="7947" max="7947" width="10.140625" style="68" customWidth="1"/>
    <col min="7948" max="7948" width="10.42578125" style="68" bestFit="1" customWidth="1"/>
    <col min="7949" max="7950" width="9.42578125" style="68" bestFit="1" customWidth="1"/>
    <col min="7951" max="7952" width="9.42578125" style="68" customWidth="1"/>
    <col min="7953" max="7953" width="10.140625" style="68" bestFit="1" customWidth="1"/>
    <col min="7954" max="7957" width="9.140625" style="68"/>
    <col min="7958" max="7958" width="7.28515625" style="68" customWidth="1"/>
    <col min="7959" max="7961" width="7.42578125" style="68" customWidth="1"/>
    <col min="7962" max="7962" width="10.42578125" style="68" bestFit="1" customWidth="1"/>
    <col min="7963" max="7963" width="12" style="68" bestFit="1" customWidth="1"/>
    <col min="7964" max="7964" width="11" style="68" bestFit="1" customWidth="1"/>
    <col min="7965" max="7966" width="11" style="68" customWidth="1"/>
    <col min="7967" max="7967" width="10" style="68" bestFit="1" customWidth="1"/>
    <col min="7968" max="7968" width="14.42578125" style="68" bestFit="1" customWidth="1"/>
    <col min="7969" max="7979" width="0" style="68" hidden="1" customWidth="1"/>
    <col min="7980" max="8200" width="9.140625" style="68"/>
    <col min="8201" max="8201" width="54.140625" style="68" bestFit="1" customWidth="1"/>
    <col min="8202" max="8202" width="14.7109375" style="68" customWidth="1"/>
    <col min="8203" max="8203" width="10.140625" style="68" customWidth="1"/>
    <col min="8204" max="8204" width="10.42578125" style="68" bestFit="1" customWidth="1"/>
    <col min="8205" max="8206" width="9.42578125" style="68" bestFit="1" customWidth="1"/>
    <col min="8207" max="8208" width="9.42578125" style="68" customWidth="1"/>
    <col min="8209" max="8209" width="10.140625" style="68" bestFit="1" customWidth="1"/>
    <col min="8210" max="8213" width="9.140625" style="68"/>
    <col min="8214" max="8214" width="7.28515625" style="68" customWidth="1"/>
    <col min="8215" max="8217" width="7.42578125" style="68" customWidth="1"/>
    <col min="8218" max="8218" width="10.42578125" style="68" bestFit="1" customWidth="1"/>
    <col min="8219" max="8219" width="12" style="68" bestFit="1" customWidth="1"/>
    <col min="8220" max="8220" width="11" style="68" bestFit="1" customWidth="1"/>
    <col min="8221" max="8222" width="11" style="68" customWidth="1"/>
    <col min="8223" max="8223" width="10" style="68" bestFit="1" customWidth="1"/>
    <col min="8224" max="8224" width="14.42578125" style="68" bestFit="1" customWidth="1"/>
    <col min="8225" max="8235" width="0" style="68" hidden="1" customWidth="1"/>
    <col min="8236" max="8456" width="9.140625" style="68"/>
    <col min="8457" max="8457" width="54.140625" style="68" bestFit="1" customWidth="1"/>
    <col min="8458" max="8458" width="14.7109375" style="68" customWidth="1"/>
    <col min="8459" max="8459" width="10.140625" style="68" customWidth="1"/>
    <col min="8460" max="8460" width="10.42578125" style="68" bestFit="1" customWidth="1"/>
    <col min="8461" max="8462" width="9.42578125" style="68" bestFit="1" customWidth="1"/>
    <col min="8463" max="8464" width="9.42578125" style="68" customWidth="1"/>
    <col min="8465" max="8465" width="10.140625" style="68" bestFit="1" customWidth="1"/>
    <col min="8466" max="8469" width="9.140625" style="68"/>
    <col min="8470" max="8470" width="7.28515625" style="68" customWidth="1"/>
    <col min="8471" max="8473" width="7.42578125" style="68" customWidth="1"/>
    <col min="8474" max="8474" width="10.42578125" style="68" bestFit="1" customWidth="1"/>
    <col min="8475" max="8475" width="12" style="68" bestFit="1" customWidth="1"/>
    <col min="8476" max="8476" width="11" style="68" bestFit="1" customWidth="1"/>
    <col min="8477" max="8478" width="11" style="68" customWidth="1"/>
    <col min="8479" max="8479" width="10" style="68" bestFit="1" customWidth="1"/>
    <col min="8480" max="8480" width="14.42578125" style="68" bestFit="1" customWidth="1"/>
    <col min="8481" max="8491" width="0" style="68" hidden="1" customWidth="1"/>
    <col min="8492" max="8712" width="9.140625" style="68"/>
    <col min="8713" max="8713" width="54.140625" style="68" bestFit="1" customWidth="1"/>
    <col min="8714" max="8714" width="14.7109375" style="68" customWidth="1"/>
    <col min="8715" max="8715" width="10.140625" style="68" customWidth="1"/>
    <col min="8716" max="8716" width="10.42578125" style="68" bestFit="1" customWidth="1"/>
    <col min="8717" max="8718" width="9.42578125" style="68" bestFit="1" customWidth="1"/>
    <col min="8719" max="8720" width="9.42578125" style="68" customWidth="1"/>
    <col min="8721" max="8721" width="10.140625" style="68" bestFit="1" customWidth="1"/>
    <col min="8722" max="8725" width="9.140625" style="68"/>
    <col min="8726" max="8726" width="7.28515625" style="68" customWidth="1"/>
    <col min="8727" max="8729" width="7.42578125" style="68" customWidth="1"/>
    <col min="8730" max="8730" width="10.42578125" style="68" bestFit="1" customWidth="1"/>
    <col min="8731" max="8731" width="12" style="68" bestFit="1" customWidth="1"/>
    <col min="8732" max="8732" width="11" style="68" bestFit="1" customWidth="1"/>
    <col min="8733" max="8734" width="11" style="68" customWidth="1"/>
    <col min="8735" max="8735" width="10" style="68" bestFit="1" customWidth="1"/>
    <col min="8736" max="8736" width="14.42578125" style="68" bestFit="1" customWidth="1"/>
    <col min="8737" max="8747" width="0" style="68" hidden="1" customWidth="1"/>
    <col min="8748" max="8968" width="9.140625" style="68"/>
    <col min="8969" max="8969" width="54.140625" style="68" bestFit="1" customWidth="1"/>
    <col min="8970" max="8970" width="14.7109375" style="68" customWidth="1"/>
    <col min="8971" max="8971" width="10.140625" style="68" customWidth="1"/>
    <col min="8972" max="8972" width="10.42578125" style="68" bestFit="1" customWidth="1"/>
    <col min="8973" max="8974" width="9.42578125" style="68" bestFit="1" customWidth="1"/>
    <col min="8975" max="8976" width="9.42578125" style="68" customWidth="1"/>
    <col min="8977" max="8977" width="10.140625" style="68" bestFit="1" customWidth="1"/>
    <col min="8978" max="8981" width="9.140625" style="68"/>
    <col min="8982" max="8982" width="7.28515625" style="68" customWidth="1"/>
    <col min="8983" max="8985" width="7.42578125" style="68" customWidth="1"/>
    <col min="8986" max="8986" width="10.42578125" style="68" bestFit="1" customWidth="1"/>
    <col min="8987" max="8987" width="12" style="68" bestFit="1" customWidth="1"/>
    <col min="8988" max="8988" width="11" style="68" bestFit="1" customWidth="1"/>
    <col min="8989" max="8990" width="11" style="68" customWidth="1"/>
    <col min="8991" max="8991" width="10" style="68" bestFit="1" customWidth="1"/>
    <col min="8992" max="8992" width="14.42578125" style="68" bestFit="1" customWidth="1"/>
    <col min="8993" max="9003" width="0" style="68" hidden="1" customWidth="1"/>
    <col min="9004" max="9224" width="9.140625" style="68"/>
    <col min="9225" max="9225" width="54.140625" style="68" bestFit="1" customWidth="1"/>
    <col min="9226" max="9226" width="14.7109375" style="68" customWidth="1"/>
    <col min="9227" max="9227" width="10.140625" style="68" customWidth="1"/>
    <col min="9228" max="9228" width="10.42578125" style="68" bestFit="1" customWidth="1"/>
    <col min="9229" max="9230" width="9.42578125" style="68" bestFit="1" customWidth="1"/>
    <col min="9231" max="9232" width="9.42578125" style="68" customWidth="1"/>
    <col min="9233" max="9233" width="10.140625" style="68" bestFit="1" customWidth="1"/>
    <col min="9234" max="9237" width="9.140625" style="68"/>
    <col min="9238" max="9238" width="7.28515625" style="68" customWidth="1"/>
    <col min="9239" max="9241" width="7.42578125" style="68" customWidth="1"/>
    <col min="9242" max="9242" width="10.42578125" style="68" bestFit="1" customWidth="1"/>
    <col min="9243" max="9243" width="12" style="68" bestFit="1" customWidth="1"/>
    <col min="9244" max="9244" width="11" style="68" bestFit="1" customWidth="1"/>
    <col min="9245" max="9246" width="11" style="68" customWidth="1"/>
    <col min="9247" max="9247" width="10" style="68" bestFit="1" customWidth="1"/>
    <col min="9248" max="9248" width="14.42578125" style="68" bestFit="1" customWidth="1"/>
    <col min="9249" max="9259" width="0" style="68" hidden="1" customWidth="1"/>
    <col min="9260" max="9480" width="9.140625" style="68"/>
    <col min="9481" max="9481" width="54.140625" style="68" bestFit="1" customWidth="1"/>
    <col min="9482" max="9482" width="14.7109375" style="68" customWidth="1"/>
    <col min="9483" max="9483" width="10.140625" style="68" customWidth="1"/>
    <col min="9484" max="9484" width="10.42578125" style="68" bestFit="1" customWidth="1"/>
    <col min="9485" max="9486" width="9.42578125" style="68" bestFit="1" customWidth="1"/>
    <col min="9487" max="9488" width="9.42578125" style="68" customWidth="1"/>
    <col min="9489" max="9489" width="10.140625" style="68" bestFit="1" customWidth="1"/>
    <col min="9490" max="9493" width="9.140625" style="68"/>
    <col min="9494" max="9494" width="7.28515625" style="68" customWidth="1"/>
    <col min="9495" max="9497" width="7.42578125" style="68" customWidth="1"/>
    <col min="9498" max="9498" width="10.42578125" style="68" bestFit="1" customWidth="1"/>
    <col min="9499" max="9499" width="12" style="68" bestFit="1" customWidth="1"/>
    <col min="9500" max="9500" width="11" style="68" bestFit="1" customWidth="1"/>
    <col min="9501" max="9502" width="11" style="68" customWidth="1"/>
    <col min="9503" max="9503" width="10" style="68" bestFit="1" customWidth="1"/>
    <col min="9504" max="9504" width="14.42578125" style="68" bestFit="1" customWidth="1"/>
    <col min="9505" max="9515" width="0" style="68" hidden="1" customWidth="1"/>
    <col min="9516" max="9736" width="9.140625" style="68"/>
    <col min="9737" max="9737" width="54.140625" style="68" bestFit="1" customWidth="1"/>
    <col min="9738" max="9738" width="14.7109375" style="68" customWidth="1"/>
    <col min="9739" max="9739" width="10.140625" style="68" customWidth="1"/>
    <col min="9740" max="9740" width="10.42578125" style="68" bestFit="1" customWidth="1"/>
    <col min="9741" max="9742" width="9.42578125" style="68" bestFit="1" customWidth="1"/>
    <col min="9743" max="9744" width="9.42578125" style="68" customWidth="1"/>
    <col min="9745" max="9745" width="10.140625" style="68" bestFit="1" customWidth="1"/>
    <col min="9746" max="9749" width="9.140625" style="68"/>
    <col min="9750" max="9750" width="7.28515625" style="68" customWidth="1"/>
    <col min="9751" max="9753" width="7.42578125" style="68" customWidth="1"/>
    <col min="9754" max="9754" width="10.42578125" style="68" bestFit="1" customWidth="1"/>
    <col min="9755" max="9755" width="12" style="68" bestFit="1" customWidth="1"/>
    <col min="9756" max="9756" width="11" style="68" bestFit="1" customWidth="1"/>
    <col min="9757" max="9758" width="11" style="68" customWidth="1"/>
    <col min="9759" max="9759" width="10" style="68" bestFit="1" customWidth="1"/>
    <col min="9760" max="9760" width="14.42578125" style="68" bestFit="1" customWidth="1"/>
    <col min="9761" max="9771" width="0" style="68" hidden="1" customWidth="1"/>
    <col min="9772" max="9992" width="9.140625" style="68"/>
    <col min="9993" max="9993" width="54.140625" style="68" bestFit="1" customWidth="1"/>
    <col min="9994" max="9994" width="14.7109375" style="68" customWidth="1"/>
    <col min="9995" max="9995" width="10.140625" style="68" customWidth="1"/>
    <col min="9996" max="9996" width="10.42578125" style="68" bestFit="1" customWidth="1"/>
    <col min="9997" max="9998" width="9.42578125" style="68" bestFit="1" customWidth="1"/>
    <col min="9999" max="10000" width="9.42578125" style="68" customWidth="1"/>
    <col min="10001" max="10001" width="10.140625" style="68" bestFit="1" customWidth="1"/>
    <col min="10002" max="10005" width="9.140625" style="68"/>
    <col min="10006" max="10006" width="7.28515625" style="68" customWidth="1"/>
    <col min="10007" max="10009" width="7.42578125" style="68" customWidth="1"/>
    <col min="10010" max="10010" width="10.42578125" style="68" bestFit="1" customWidth="1"/>
    <col min="10011" max="10011" width="12" style="68" bestFit="1" customWidth="1"/>
    <col min="10012" max="10012" width="11" style="68" bestFit="1" customWidth="1"/>
    <col min="10013" max="10014" width="11" style="68" customWidth="1"/>
    <col min="10015" max="10015" width="10" style="68" bestFit="1" customWidth="1"/>
    <col min="10016" max="10016" width="14.42578125" style="68" bestFit="1" customWidth="1"/>
    <col min="10017" max="10027" width="0" style="68" hidden="1" customWidth="1"/>
    <col min="10028" max="10248" width="9.140625" style="68"/>
    <col min="10249" max="10249" width="54.140625" style="68" bestFit="1" customWidth="1"/>
    <col min="10250" max="10250" width="14.7109375" style="68" customWidth="1"/>
    <col min="10251" max="10251" width="10.140625" style="68" customWidth="1"/>
    <col min="10252" max="10252" width="10.42578125" style="68" bestFit="1" customWidth="1"/>
    <col min="10253" max="10254" width="9.42578125" style="68" bestFit="1" customWidth="1"/>
    <col min="10255" max="10256" width="9.42578125" style="68" customWidth="1"/>
    <col min="10257" max="10257" width="10.140625" style="68" bestFit="1" customWidth="1"/>
    <col min="10258" max="10261" width="9.140625" style="68"/>
    <col min="10262" max="10262" width="7.28515625" style="68" customWidth="1"/>
    <col min="10263" max="10265" width="7.42578125" style="68" customWidth="1"/>
    <col min="10266" max="10266" width="10.42578125" style="68" bestFit="1" customWidth="1"/>
    <col min="10267" max="10267" width="12" style="68" bestFit="1" customWidth="1"/>
    <col min="10268" max="10268" width="11" style="68" bestFit="1" customWidth="1"/>
    <col min="10269" max="10270" width="11" style="68" customWidth="1"/>
    <col min="10271" max="10271" width="10" style="68" bestFit="1" customWidth="1"/>
    <col min="10272" max="10272" width="14.42578125" style="68" bestFit="1" customWidth="1"/>
    <col min="10273" max="10283" width="0" style="68" hidden="1" customWidth="1"/>
    <col min="10284" max="10504" width="9.140625" style="68"/>
    <col min="10505" max="10505" width="54.140625" style="68" bestFit="1" customWidth="1"/>
    <col min="10506" max="10506" width="14.7109375" style="68" customWidth="1"/>
    <col min="10507" max="10507" width="10.140625" style="68" customWidth="1"/>
    <col min="10508" max="10508" width="10.42578125" style="68" bestFit="1" customWidth="1"/>
    <col min="10509" max="10510" width="9.42578125" style="68" bestFit="1" customWidth="1"/>
    <col min="10511" max="10512" width="9.42578125" style="68" customWidth="1"/>
    <col min="10513" max="10513" width="10.140625" style="68" bestFit="1" customWidth="1"/>
    <col min="10514" max="10517" width="9.140625" style="68"/>
    <col min="10518" max="10518" width="7.28515625" style="68" customWidth="1"/>
    <col min="10519" max="10521" width="7.42578125" style="68" customWidth="1"/>
    <col min="10522" max="10522" width="10.42578125" style="68" bestFit="1" customWidth="1"/>
    <col min="10523" max="10523" width="12" style="68" bestFit="1" customWidth="1"/>
    <col min="10524" max="10524" width="11" style="68" bestFit="1" customWidth="1"/>
    <col min="10525" max="10526" width="11" style="68" customWidth="1"/>
    <col min="10527" max="10527" width="10" style="68" bestFit="1" customWidth="1"/>
    <col min="10528" max="10528" width="14.42578125" style="68" bestFit="1" customWidth="1"/>
    <col min="10529" max="10539" width="0" style="68" hidden="1" customWidth="1"/>
    <col min="10540" max="10760" width="9.140625" style="68"/>
    <col min="10761" max="10761" width="54.140625" style="68" bestFit="1" customWidth="1"/>
    <col min="10762" max="10762" width="14.7109375" style="68" customWidth="1"/>
    <col min="10763" max="10763" width="10.140625" style="68" customWidth="1"/>
    <col min="10764" max="10764" width="10.42578125" style="68" bestFit="1" customWidth="1"/>
    <col min="10765" max="10766" width="9.42578125" style="68" bestFit="1" customWidth="1"/>
    <col min="10767" max="10768" width="9.42578125" style="68" customWidth="1"/>
    <col min="10769" max="10769" width="10.140625" style="68" bestFit="1" customWidth="1"/>
    <col min="10770" max="10773" width="9.140625" style="68"/>
    <col min="10774" max="10774" width="7.28515625" style="68" customWidth="1"/>
    <col min="10775" max="10777" width="7.42578125" style="68" customWidth="1"/>
    <col min="10778" max="10778" width="10.42578125" style="68" bestFit="1" customWidth="1"/>
    <col min="10779" max="10779" width="12" style="68" bestFit="1" customWidth="1"/>
    <col min="10780" max="10780" width="11" style="68" bestFit="1" customWidth="1"/>
    <col min="10781" max="10782" width="11" style="68" customWidth="1"/>
    <col min="10783" max="10783" width="10" style="68" bestFit="1" customWidth="1"/>
    <col min="10784" max="10784" width="14.42578125" style="68" bestFit="1" customWidth="1"/>
    <col min="10785" max="10795" width="0" style="68" hidden="1" customWidth="1"/>
    <col min="10796" max="11016" width="9.140625" style="68"/>
    <col min="11017" max="11017" width="54.140625" style="68" bestFit="1" customWidth="1"/>
    <col min="11018" max="11018" width="14.7109375" style="68" customWidth="1"/>
    <col min="11019" max="11019" width="10.140625" style="68" customWidth="1"/>
    <col min="11020" max="11020" width="10.42578125" style="68" bestFit="1" customWidth="1"/>
    <col min="11021" max="11022" width="9.42578125" style="68" bestFit="1" customWidth="1"/>
    <col min="11023" max="11024" width="9.42578125" style="68" customWidth="1"/>
    <col min="11025" max="11025" width="10.140625" style="68" bestFit="1" customWidth="1"/>
    <col min="11026" max="11029" width="9.140625" style="68"/>
    <col min="11030" max="11030" width="7.28515625" style="68" customWidth="1"/>
    <col min="11031" max="11033" width="7.42578125" style="68" customWidth="1"/>
    <col min="11034" max="11034" width="10.42578125" style="68" bestFit="1" customWidth="1"/>
    <col min="11035" max="11035" width="12" style="68" bestFit="1" customWidth="1"/>
    <col min="11036" max="11036" width="11" style="68" bestFit="1" customWidth="1"/>
    <col min="11037" max="11038" width="11" style="68" customWidth="1"/>
    <col min="11039" max="11039" width="10" style="68" bestFit="1" customWidth="1"/>
    <col min="11040" max="11040" width="14.42578125" style="68" bestFit="1" customWidth="1"/>
    <col min="11041" max="11051" width="0" style="68" hidden="1" customWidth="1"/>
    <col min="11052" max="11272" width="9.140625" style="68"/>
    <col min="11273" max="11273" width="54.140625" style="68" bestFit="1" customWidth="1"/>
    <col min="11274" max="11274" width="14.7109375" style="68" customWidth="1"/>
    <col min="11275" max="11275" width="10.140625" style="68" customWidth="1"/>
    <col min="11276" max="11276" width="10.42578125" style="68" bestFit="1" customWidth="1"/>
    <col min="11277" max="11278" width="9.42578125" style="68" bestFit="1" customWidth="1"/>
    <col min="11279" max="11280" width="9.42578125" style="68" customWidth="1"/>
    <col min="11281" max="11281" width="10.140625" style="68" bestFit="1" customWidth="1"/>
    <col min="11282" max="11285" width="9.140625" style="68"/>
    <col min="11286" max="11286" width="7.28515625" style="68" customWidth="1"/>
    <col min="11287" max="11289" width="7.42578125" style="68" customWidth="1"/>
    <col min="11290" max="11290" width="10.42578125" style="68" bestFit="1" customWidth="1"/>
    <col min="11291" max="11291" width="12" style="68" bestFit="1" customWidth="1"/>
    <col min="11292" max="11292" width="11" style="68" bestFit="1" customWidth="1"/>
    <col min="11293" max="11294" width="11" style="68" customWidth="1"/>
    <col min="11295" max="11295" width="10" style="68" bestFit="1" customWidth="1"/>
    <col min="11296" max="11296" width="14.42578125" style="68" bestFit="1" customWidth="1"/>
    <col min="11297" max="11307" width="0" style="68" hidden="1" customWidth="1"/>
    <col min="11308" max="11528" width="9.140625" style="68"/>
    <col min="11529" max="11529" width="54.140625" style="68" bestFit="1" customWidth="1"/>
    <col min="11530" max="11530" width="14.7109375" style="68" customWidth="1"/>
    <col min="11531" max="11531" width="10.140625" style="68" customWidth="1"/>
    <col min="11532" max="11532" width="10.42578125" style="68" bestFit="1" customWidth="1"/>
    <col min="11533" max="11534" width="9.42578125" style="68" bestFit="1" customWidth="1"/>
    <col min="11535" max="11536" width="9.42578125" style="68" customWidth="1"/>
    <col min="11537" max="11537" width="10.140625" style="68" bestFit="1" customWidth="1"/>
    <col min="11538" max="11541" width="9.140625" style="68"/>
    <col min="11542" max="11542" width="7.28515625" style="68" customWidth="1"/>
    <col min="11543" max="11545" width="7.42578125" style="68" customWidth="1"/>
    <col min="11546" max="11546" width="10.42578125" style="68" bestFit="1" customWidth="1"/>
    <col min="11547" max="11547" width="12" style="68" bestFit="1" customWidth="1"/>
    <col min="11548" max="11548" width="11" style="68" bestFit="1" customWidth="1"/>
    <col min="11549" max="11550" width="11" style="68" customWidth="1"/>
    <col min="11551" max="11551" width="10" style="68" bestFit="1" customWidth="1"/>
    <col min="11552" max="11552" width="14.42578125" style="68" bestFit="1" customWidth="1"/>
    <col min="11553" max="11563" width="0" style="68" hidden="1" customWidth="1"/>
    <col min="11564" max="11784" width="9.140625" style="68"/>
    <col min="11785" max="11785" width="54.140625" style="68" bestFit="1" customWidth="1"/>
    <col min="11786" max="11786" width="14.7109375" style="68" customWidth="1"/>
    <col min="11787" max="11787" width="10.140625" style="68" customWidth="1"/>
    <col min="11788" max="11788" width="10.42578125" style="68" bestFit="1" customWidth="1"/>
    <col min="11789" max="11790" width="9.42578125" style="68" bestFit="1" customWidth="1"/>
    <col min="11791" max="11792" width="9.42578125" style="68" customWidth="1"/>
    <col min="11793" max="11793" width="10.140625" style="68" bestFit="1" customWidth="1"/>
    <col min="11794" max="11797" width="9.140625" style="68"/>
    <col min="11798" max="11798" width="7.28515625" style="68" customWidth="1"/>
    <col min="11799" max="11801" width="7.42578125" style="68" customWidth="1"/>
    <col min="11802" max="11802" width="10.42578125" style="68" bestFit="1" customWidth="1"/>
    <col min="11803" max="11803" width="12" style="68" bestFit="1" customWidth="1"/>
    <col min="11804" max="11804" width="11" style="68" bestFit="1" customWidth="1"/>
    <col min="11805" max="11806" width="11" style="68" customWidth="1"/>
    <col min="11807" max="11807" width="10" style="68" bestFit="1" customWidth="1"/>
    <col min="11808" max="11808" width="14.42578125" style="68" bestFit="1" customWidth="1"/>
    <col min="11809" max="11819" width="0" style="68" hidden="1" customWidth="1"/>
    <col min="11820" max="12040" width="9.140625" style="68"/>
    <col min="12041" max="12041" width="54.140625" style="68" bestFit="1" customWidth="1"/>
    <col min="12042" max="12042" width="14.7109375" style="68" customWidth="1"/>
    <col min="12043" max="12043" width="10.140625" style="68" customWidth="1"/>
    <col min="12044" max="12044" width="10.42578125" style="68" bestFit="1" customWidth="1"/>
    <col min="12045" max="12046" width="9.42578125" style="68" bestFit="1" customWidth="1"/>
    <col min="12047" max="12048" width="9.42578125" style="68" customWidth="1"/>
    <col min="12049" max="12049" width="10.140625" style="68" bestFit="1" customWidth="1"/>
    <col min="12050" max="12053" width="9.140625" style="68"/>
    <col min="12054" max="12054" width="7.28515625" style="68" customWidth="1"/>
    <col min="12055" max="12057" width="7.42578125" style="68" customWidth="1"/>
    <col min="12058" max="12058" width="10.42578125" style="68" bestFit="1" customWidth="1"/>
    <col min="12059" max="12059" width="12" style="68" bestFit="1" customWidth="1"/>
    <col min="12060" max="12060" width="11" style="68" bestFit="1" customWidth="1"/>
    <col min="12061" max="12062" width="11" style="68" customWidth="1"/>
    <col min="12063" max="12063" width="10" style="68" bestFit="1" customWidth="1"/>
    <col min="12064" max="12064" width="14.42578125" style="68" bestFit="1" customWidth="1"/>
    <col min="12065" max="12075" width="0" style="68" hidden="1" customWidth="1"/>
    <col min="12076" max="12296" width="9.140625" style="68"/>
    <col min="12297" max="12297" width="54.140625" style="68" bestFit="1" customWidth="1"/>
    <col min="12298" max="12298" width="14.7109375" style="68" customWidth="1"/>
    <col min="12299" max="12299" width="10.140625" style="68" customWidth="1"/>
    <col min="12300" max="12300" width="10.42578125" style="68" bestFit="1" customWidth="1"/>
    <col min="12301" max="12302" width="9.42578125" style="68" bestFit="1" customWidth="1"/>
    <col min="12303" max="12304" width="9.42578125" style="68" customWidth="1"/>
    <col min="12305" max="12305" width="10.140625" style="68" bestFit="1" customWidth="1"/>
    <col min="12306" max="12309" width="9.140625" style="68"/>
    <col min="12310" max="12310" width="7.28515625" style="68" customWidth="1"/>
    <col min="12311" max="12313" width="7.42578125" style="68" customWidth="1"/>
    <col min="12314" max="12314" width="10.42578125" style="68" bestFit="1" customWidth="1"/>
    <col min="12315" max="12315" width="12" style="68" bestFit="1" customWidth="1"/>
    <col min="12316" max="12316" width="11" style="68" bestFit="1" customWidth="1"/>
    <col min="12317" max="12318" width="11" style="68" customWidth="1"/>
    <col min="12319" max="12319" width="10" style="68" bestFit="1" customWidth="1"/>
    <col min="12320" max="12320" width="14.42578125" style="68" bestFit="1" customWidth="1"/>
    <col min="12321" max="12331" width="0" style="68" hidden="1" customWidth="1"/>
    <col min="12332" max="12552" width="9.140625" style="68"/>
    <col min="12553" max="12553" width="54.140625" style="68" bestFit="1" customWidth="1"/>
    <col min="12554" max="12554" width="14.7109375" style="68" customWidth="1"/>
    <col min="12555" max="12555" width="10.140625" style="68" customWidth="1"/>
    <col min="12556" max="12556" width="10.42578125" style="68" bestFit="1" customWidth="1"/>
    <col min="12557" max="12558" width="9.42578125" style="68" bestFit="1" customWidth="1"/>
    <col min="12559" max="12560" width="9.42578125" style="68" customWidth="1"/>
    <col min="12561" max="12561" width="10.140625" style="68" bestFit="1" customWidth="1"/>
    <col min="12562" max="12565" width="9.140625" style="68"/>
    <col min="12566" max="12566" width="7.28515625" style="68" customWidth="1"/>
    <col min="12567" max="12569" width="7.42578125" style="68" customWidth="1"/>
    <col min="12570" max="12570" width="10.42578125" style="68" bestFit="1" customWidth="1"/>
    <col min="12571" max="12571" width="12" style="68" bestFit="1" customWidth="1"/>
    <col min="12572" max="12572" width="11" style="68" bestFit="1" customWidth="1"/>
    <col min="12573" max="12574" width="11" style="68" customWidth="1"/>
    <col min="12575" max="12575" width="10" style="68" bestFit="1" customWidth="1"/>
    <col min="12576" max="12576" width="14.42578125" style="68" bestFit="1" customWidth="1"/>
    <col min="12577" max="12587" width="0" style="68" hidden="1" customWidth="1"/>
    <col min="12588" max="12808" width="9.140625" style="68"/>
    <col min="12809" max="12809" width="54.140625" style="68" bestFit="1" customWidth="1"/>
    <col min="12810" max="12810" width="14.7109375" style="68" customWidth="1"/>
    <col min="12811" max="12811" width="10.140625" style="68" customWidth="1"/>
    <col min="12812" max="12812" width="10.42578125" style="68" bestFit="1" customWidth="1"/>
    <col min="12813" max="12814" width="9.42578125" style="68" bestFit="1" customWidth="1"/>
    <col min="12815" max="12816" width="9.42578125" style="68" customWidth="1"/>
    <col min="12817" max="12817" width="10.140625" style="68" bestFit="1" customWidth="1"/>
    <col min="12818" max="12821" width="9.140625" style="68"/>
    <col min="12822" max="12822" width="7.28515625" style="68" customWidth="1"/>
    <col min="12823" max="12825" width="7.42578125" style="68" customWidth="1"/>
    <col min="12826" max="12826" width="10.42578125" style="68" bestFit="1" customWidth="1"/>
    <col min="12827" max="12827" width="12" style="68" bestFit="1" customWidth="1"/>
    <col min="12828" max="12828" width="11" style="68" bestFit="1" customWidth="1"/>
    <col min="12829" max="12830" width="11" style="68" customWidth="1"/>
    <col min="12831" max="12831" width="10" style="68" bestFit="1" customWidth="1"/>
    <col min="12832" max="12832" width="14.42578125" style="68" bestFit="1" customWidth="1"/>
    <col min="12833" max="12843" width="0" style="68" hidden="1" customWidth="1"/>
    <col min="12844" max="13064" width="9.140625" style="68"/>
    <col min="13065" max="13065" width="54.140625" style="68" bestFit="1" customWidth="1"/>
    <col min="13066" max="13066" width="14.7109375" style="68" customWidth="1"/>
    <col min="13067" max="13067" width="10.140625" style="68" customWidth="1"/>
    <col min="13068" max="13068" width="10.42578125" style="68" bestFit="1" customWidth="1"/>
    <col min="13069" max="13070" width="9.42578125" style="68" bestFit="1" customWidth="1"/>
    <col min="13071" max="13072" width="9.42578125" style="68" customWidth="1"/>
    <col min="13073" max="13073" width="10.140625" style="68" bestFit="1" customWidth="1"/>
    <col min="13074" max="13077" width="9.140625" style="68"/>
    <col min="13078" max="13078" width="7.28515625" style="68" customWidth="1"/>
    <col min="13079" max="13081" width="7.42578125" style="68" customWidth="1"/>
    <col min="13082" max="13082" width="10.42578125" style="68" bestFit="1" customWidth="1"/>
    <col min="13083" max="13083" width="12" style="68" bestFit="1" customWidth="1"/>
    <col min="13084" max="13084" width="11" style="68" bestFit="1" customWidth="1"/>
    <col min="13085" max="13086" width="11" style="68" customWidth="1"/>
    <col min="13087" max="13087" width="10" style="68" bestFit="1" customWidth="1"/>
    <col min="13088" max="13088" width="14.42578125" style="68" bestFit="1" customWidth="1"/>
    <col min="13089" max="13099" width="0" style="68" hidden="1" customWidth="1"/>
    <col min="13100" max="13320" width="9.140625" style="68"/>
    <col min="13321" max="13321" width="54.140625" style="68" bestFit="1" customWidth="1"/>
    <col min="13322" max="13322" width="14.7109375" style="68" customWidth="1"/>
    <col min="13323" max="13323" width="10.140625" style="68" customWidth="1"/>
    <col min="13324" max="13324" width="10.42578125" style="68" bestFit="1" customWidth="1"/>
    <col min="13325" max="13326" width="9.42578125" style="68" bestFit="1" customWidth="1"/>
    <col min="13327" max="13328" width="9.42578125" style="68" customWidth="1"/>
    <col min="13329" max="13329" width="10.140625" style="68" bestFit="1" customWidth="1"/>
    <col min="13330" max="13333" width="9.140625" style="68"/>
    <col min="13334" max="13334" width="7.28515625" style="68" customWidth="1"/>
    <col min="13335" max="13337" width="7.42578125" style="68" customWidth="1"/>
    <col min="13338" max="13338" width="10.42578125" style="68" bestFit="1" customWidth="1"/>
    <col min="13339" max="13339" width="12" style="68" bestFit="1" customWidth="1"/>
    <col min="13340" max="13340" width="11" style="68" bestFit="1" customWidth="1"/>
    <col min="13341" max="13342" width="11" style="68" customWidth="1"/>
    <col min="13343" max="13343" width="10" style="68" bestFit="1" customWidth="1"/>
    <col min="13344" max="13344" width="14.42578125" style="68" bestFit="1" customWidth="1"/>
    <col min="13345" max="13355" width="0" style="68" hidden="1" customWidth="1"/>
    <col min="13356" max="13576" width="9.140625" style="68"/>
    <col min="13577" max="13577" width="54.140625" style="68" bestFit="1" customWidth="1"/>
    <col min="13578" max="13578" width="14.7109375" style="68" customWidth="1"/>
    <col min="13579" max="13579" width="10.140625" style="68" customWidth="1"/>
    <col min="13580" max="13580" width="10.42578125" style="68" bestFit="1" customWidth="1"/>
    <col min="13581" max="13582" width="9.42578125" style="68" bestFit="1" customWidth="1"/>
    <col min="13583" max="13584" width="9.42578125" style="68" customWidth="1"/>
    <col min="13585" max="13585" width="10.140625" style="68" bestFit="1" customWidth="1"/>
    <col min="13586" max="13589" width="9.140625" style="68"/>
    <col min="13590" max="13590" width="7.28515625" style="68" customWidth="1"/>
    <col min="13591" max="13593" width="7.42578125" style="68" customWidth="1"/>
    <col min="13594" max="13594" width="10.42578125" style="68" bestFit="1" customWidth="1"/>
    <col min="13595" max="13595" width="12" style="68" bestFit="1" customWidth="1"/>
    <col min="13596" max="13596" width="11" style="68" bestFit="1" customWidth="1"/>
    <col min="13597" max="13598" width="11" style="68" customWidth="1"/>
    <col min="13599" max="13599" width="10" style="68" bestFit="1" customWidth="1"/>
    <col min="13600" max="13600" width="14.42578125" style="68" bestFit="1" customWidth="1"/>
    <col min="13601" max="13611" width="0" style="68" hidden="1" customWidth="1"/>
    <col min="13612" max="13832" width="9.140625" style="68"/>
    <col min="13833" max="13833" width="54.140625" style="68" bestFit="1" customWidth="1"/>
    <col min="13834" max="13834" width="14.7109375" style="68" customWidth="1"/>
    <col min="13835" max="13835" width="10.140625" style="68" customWidth="1"/>
    <col min="13836" max="13836" width="10.42578125" style="68" bestFit="1" customWidth="1"/>
    <col min="13837" max="13838" width="9.42578125" style="68" bestFit="1" customWidth="1"/>
    <col min="13839" max="13840" width="9.42578125" style="68" customWidth="1"/>
    <col min="13841" max="13841" width="10.140625" style="68" bestFit="1" customWidth="1"/>
    <col min="13842" max="13845" width="9.140625" style="68"/>
    <col min="13846" max="13846" width="7.28515625" style="68" customWidth="1"/>
    <col min="13847" max="13849" width="7.42578125" style="68" customWidth="1"/>
    <col min="13850" max="13850" width="10.42578125" style="68" bestFit="1" customWidth="1"/>
    <col min="13851" max="13851" width="12" style="68" bestFit="1" customWidth="1"/>
    <col min="13852" max="13852" width="11" style="68" bestFit="1" customWidth="1"/>
    <col min="13853" max="13854" width="11" style="68" customWidth="1"/>
    <col min="13855" max="13855" width="10" style="68" bestFit="1" customWidth="1"/>
    <col min="13856" max="13856" width="14.42578125" style="68" bestFit="1" customWidth="1"/>
    <col min="13857" max="13867" width="0" style="68" hidden="1" customWidth="1"/>
    <col min="13868" max="14088" width="9.140625" style="68"/>
    <col min="14089" max="14089" width="54.140625" style="68" bestFit="1" customWidth="1"/>
    <col min="14090" max="14090" width="14.7109375" style="68" customWidth="1"/>
    <col min="14091" max="14091" width="10.140625" style="68" customWidth="1"/>
    <col min="14092" max="14092" width="10.42578125" style="68" bestFit="1" customWidth="1"/>
    <col min="14093" max="14094" width="9.42578125" style="68" bestFit="1" customWidth="1"/>
    <col min="14095" max="14096" width="9.42578125" style="68" customWidth="1"/>
    <col min="14097" max="14097" width="10.140625" style="68" bestFit="1" customWidth="1"/>
    <col min="14098" max="14101" width="9.140625" style="68"/>
    <col min="14102" max="14102" width="7.28515625" style="68" customWidth="1"/>
    <col min="14103" max="14105" width="7.42578125" style="68" customWidth="1"/>
    <col min="14106" max="14106" width="10.42578125" style="68" bestFit="1" customWidth="1"/>
    <col min="14107" max="14107" width="12" style="68" bestFit="1" customWidth="1"/>
    <col min="14108" max="14108" width="11" style="68" bestFit="1" customWidth="1"/>
    <col min="14109" max="14110" width="11" style="68" customWidth="1"/>
    <col min="14111" max="14111" width="10" style="68" bestFit="1" customWidth="1"/>
    <col min="14112" max="14112" width="14.42578125" style="68" bestFit="1" customWidth="1"/>
    <col min="14113" max="14123" width="0" style="68" hidden="1" customWidth="1"/>
    <col min="14124" max="14344" width="9.140625" style="68"/>
    <col min="14345" max="14345" width="54.140625" style="68" bestFit="1" customWidth="1"/>
    <col min="14346" max="14346" width="14.7109375" style="68" customWidth="1"/>
    <col min="14347" max="14347" width="10.140625" style="68" customWidth="1"/>
    <col min="14348" max="14348" width="10.42578125" style="68" bestFit="1" customWidth="1"/>
    <col min="14349" max="14350" width="9.42578125" style="68" bestFit="1" customWidth="1"/>
    <col min="14351" max="14352" width="9.42578125" style="68" customWidth="1"/>
    <col min="14353" max="14353" width="10.140625" style="68" bestFit="1" customWidth="1"/>
    <col min="14354" max="14357" width="9.140625" style="68"/>
    <col min="14358" max="14358" width="7.28515625" style="68" customWidth="1"/>
    <col min="14359" max="14361" width="7.42578125" style="68" customWidth="1"/>
    <col min="14362" max="14362" width="10.42578125" style="68" bestFit="1" customWidth="1"/>
    <col min="14363" max="14363" width="12" style="68" bestFit="1" customWidth="1"/>
    <col min="14364" max="14364" width="11" style="68" bestFit="1" customWidth="1"/>
    <col min="14365" max="14366" width="11" style="68" customWidth="1"/>
    <col min="14367" max="14367" width="10" style="68" bestFit="1" customWidth="1"/>
    <col min="14368" max="14368" width="14.42578125" style="68" bestFit="1" customWidth="1"/>
    <col min="14369" max="14379" width="0" style="68" hidden="1" customWidth="1"/>
    <col min="14380" max="14600" width="9.140625" style="68"/>
    <col min="14601" max="14601" width="54.140625" style="68" bestFit="1" customWidth="1"/>
    <col min="14602" max="14602" width="14.7109375" style="68" customWidth="1"/>
    <col min="14603" max="14603" width="10.140625" style="68" customWidth="1"/>
    <col min="14604" max="14604" width="10.42578125" style="68" bestFit="1" customWidth="1"/>
    <col min="14605" max="14606" width="9.42578125" style="68" bestFit="1" customWidth="1"/>
    <col min="14607" max="14608" width="9.42578125" style="68" customWidth="1"/>
    <col min="14609" max="14609" width="10.140625" style="68" bestFit="1" customWidth="1"/>
    <col min="14610" max="14613" width="9.140625" style="68"/>
    <col min="14614" max="14614" width="7.28515625" style="68" customWidth="1"/>
    <col min="14615" max="14617" width="7.42578125" style="68" customWidth="1"/>
    <col min="14618" max="14618" width="10.42578125" style="68" bestFit="1" customWidth="1"/>
    <col min="14619" max="14619" width="12" style="68" bestFit="1" customWidth="1"/>
    <col min="14620" max="14620" width="11" style="68" bestFit="1" customWidth="1"/>
    <col min="14621" max="14622" width="11" style="68" customWidth="1"/>
    <col min="14623" max="14623" width="10" style="68" bestFit="1" customWidth="1"/>
    <col min="14624" max="14624" width="14.42578125" style="68" bestFit="1" customWidth="1"/>
    <col min="14625" max="14635" width="0" style="68" hidden="1" customWidth="1"/>
    <col min="14636" max="14856" width="9.140625" style="68"/>
    <col min="14857" max="14857" width="54.140625" style="68" bestFit="1" customWidth="1"/>
    <col min="14858" max="14858" width="14.7109375" style="68" customWidth="1"/>
    <col min="14859" max="14859" width="10.140625" style="68" customWidth="1"/>
    <col min="14860" max="14860" width="10.42578125" style="68" bestFit="1" customWidth="1"/>
    <col min="14861" max="14862" width="9.42578125" style="68" bestFit="1" customWidth="1"/>
    <col min="14863" max="14864" width="9.42578125" style="68" customWidth="1"/>
    <col min="14865" max="14865" width="10.140625" style="68" bestFit="1" customWidth="1"/>
    <col min="14866" max="14869" width="9.140625" style="68"/>
    <col min="14870" max="14870" width="7.28515625" style="68" customWidth="1"/>
    <col min="14871" max="14873" width="7.42578125" style="68" customWidth="1"/>
    <col min="14874" max="14874" width="10.42578125" style="68" bestFit="1" customWidth="1"/>
    <col min="14875" max="14875" width="12" style="68" bestFit="1" customWidth="1"/>
    <col min="14876" max="14876" width="11" style="68" bestFit="1" customWidth="1"/>
    <col min="14877" max="14878" width="11" style="68" customWidth="1"/>
    <col min="14879" max="14879" width="10" style="68" bestFit="1" customWidth="1"/>
    <col min="14880" max="14880" width="14.42578125" style="68" bestFit="1" customWidth="1"/>
    <col min="14881" max="14891" width="0" style="68" hidden="1" customWidth="1"/>
    <col min="14892" max="15112" width="9.140625" style="68"/>
    <col min="15113" max="15113" width="54.140625" style="68" bestFit="1" customWidth="1"/>
    <col min="15114" max="15114" width="14.7109375" style="68" customWidth="1"/>
    <col min="15115" max="15115" width="10.140625" style="68" customWidth="1"/>
    <col min="15116" max="15116" width="10.42578125" style="68" bestFit="1" customWidth="1"/>
    <col min="15117" max="15118" width="9.42578125" style="68" bestFit="1" customWidth="1"/>
    <col min="15119" max="15120" width="9.42578125" style="68" customWidth="1"/>
    <col min="15121" max="15121" width="10.140625" style="68" bestFit="1" customWidth="1"/>
    <col min="15122" max="15125" width="9.140625" style="68"/>
    <col min="15126" max="15126" width="7.28515625" style="68" customWidth="1"/>
    <col min="15127" max="15129" width="7.42578125" style="68" customWidth="1"/>
    <col min="15130" max="15130" width="10.42578125" style="68" bestFit="1" customWidth="1"/>
    <col min="15131" max="15131" width="12" style="68" bestFit="1" customWidth="1"/>
    <col min="15132" max="15132" width="11" style="68" bestFit="1" customWidth="1"/>
    <col min="15133" max="15134" width="11" style="68" customWidth="1"/>
    <col min="15135" max="15135" width="10" style="68" bestFit="1" customWidth="1"/>
    <col min="15136" max="15136" width="14.42578125" style="68" bestFit="1" customWidth="1"/>
    <col min="15137" max="15147" width="0" style="68" hidden="1" customWidth="1"/>
    <col min="15148" max="15368" width="9.140625" style="68"/>
    <col min="15369" max="15369" width="54.140625" style="68" bestFit="1" customWidth="1"/>
    <col min="15370" max="15370" width="14.7109375" style="68" customWidth="1"/>
    <col min="15371" max="15371" width="10.140625" style="68" customWidth="1"/>
    <col min="15372" max="15372" width="10.42578125" style="68" bestFit="1" customWidth="1"/>
    <col min="15373" max="15374" width="9.42578125" style="68" bestFit="1" customWidth="1"/>
    <col min="15375" max="15376" width="9.42578125" style="68" customWidth="1"/>
    <col min="15377" max="15377" width="10.140625" style="68" bestFit="1" customWidth="1"/>
    <col min="15378" max="15381" width="9.140625" style="68"/>
    <col min="15382" max="15382" width="7.28515625" style="68" customWidth="1"/>
    <col min="15383" max="15385" width="7.42578125" style="68" customWidth="1"/>
    <col min="15386" max="15386" width="10.42578125" style="68" bestFit="1" customWidth="1"/>
    <col min="15387" max="15387" width="12" style="68" bestFit="1" customWidth="1"/>
    <col min="15388" max="15388" width="11" style="68" bestFit="1" customWidth="1"/>
    <col min="15389" max="15390" width="11" style="68" customWidth="1"/>
    <col min="15391" max="15391" width="10" style="68" bestFit="1" customWidth="1"/>
    <col min="15392" max="15392" width="14.42578125" style="68" bestFit="1" customWidth="1"/>
    <col min="15393" max="15403" width="0" style="68" hidden="1" customWidth="1"/>
    <col min="15404" max="15624" width="9.140625" style="68"/>
    <col min="15625" max="15625" width="54.140625" style="68" bestFit="1" customWidth="1"/>
    <col min="15626" max="15626" width="14.7109375" style="68" customWidth="1"/>
    <col min="15627" max="15627" width="10.140625" style="68" customWidth="1"/>
    <col min="15628" max="15628" width="10.42578125" style="68" bestFit="1" customWidth="1"/>
    <col min="15629" max="15630" width="9.42578125" style="68" bestFit="1" customWidth="1"/>
    <col min="15631" max="15632" width="9.42578125" style="68" customWidth="1"/>
    <col min="15633" max="15633" width="10.140625" style="68" bestFit="1" customWidth="1"/>
    <col min="15634" max="15637" width="9.140625" style="68"/>
    <col min="15638" max="15638" width="7.28515625" style="68" customWidth="1"/>
    <col min="15639" max="15641" width="7.42578125" style="68" customWidth="1"/>
    <col min="15642" max="15642" width="10.42578125" style="68" bestFit="1" customWidth="1"/>
    <col min="15643" max="15643" width="12" style="68" bestFit="1" customWidth="1"/>
    <col min="15644" max="15644" width="11" style="68" bestFit="1" customWidth="1"/>
    <col min="15645" max="15646" width="11" style="68" customWidth="1"/>
    <col min="15647" max="15647" width="10" style="68" bestFit="1" customWidth="1"/>
    <col min="15648" max="15648" width="14.42578125" style="68" bestFit="1" customWidth="1"/>
    <col min="15649" max="15659" width="0" style="68" hidden="1" customWidth="1"/>
    <col min="15660" max="15880" width="9.140625" style="68"/>
    <col min="15881" max="15881" width="54.140625" style="68" bestFit="1" customWidth="1"/>
    <col min="15882" max="15882" width="14.7109375" style="68" customWidth="1"/>
    <col min="15883" max="15883" width="10.140625" style="68" customWidth="1"/>
    <col min="15884" max="15884" width="10.42578125" style="68" bestFit="1" customWidth="1"/>
    <col min="15885" max="15886" width="9.42578125" style="68" bestFit="1" customWidth="1"/>
    <col min="15887" max="15888" width="9.42578125" style="68" customWidth="1"/>
    <col min="15889" max="15889" width="10.140625" style="68" bestFit="1" customWidth="1"/>
    <col min="15890" max="15893" width="9.140625" style="68"/>
    <col min="15894" max="15894" width="7.28515625" style="68" customWidth="1"/>
    <col min="15895" max="15897" width="7.42578125" style="68" customWidth="1"/>
    <col min="15898" max="15898" width="10.42578125" style="68" bestFit="1" customWidth="1"/>
    <col min="15899" max="15899" width="12" style="68" bestFit="1" customWidth="1"/>
    <col min="15900" max="15900" width="11" style="68" bestFit="1" customWidth="1"/>
    <col min="15901" max="15902" width="11" style="68" customWidth="1"/>
    <col min="15903" max="15903" width="10" style="68" bestFit="1" customWidth="1"/>
    <col min="15904" max="15904" width="14.42578125" style="68" bestFit="1" customWidth="1"/>
    <col min="15905" max="15915" width="0" style="68" hidden="1" customWidth="1"/>
    <col min="15916" max="16136" width="9.140625" style="68"/>
    <col min="16137" max="16137" width="54.140625" style="68" bestFit="1" customWidth="1"/>
    <col min="16138" max="16138" width="14.7109375" style="68" customWidth="1"/>
    <col min="16139" max="16139" width="10.140625" style="68" customWidth="1"/>
    <col min="16140" max="16140" width="10.42578125" style="68" bestFit="1" customWidth="1"/>
    <col min="16141" max="16142" width="9.42578125" style="68" bestFit="1" customWidth="1"/>
    <col min="16143" max="16144" width="9.42578125" style="68" customWidth="1"/>
    <col min="16145" max="16145" width="10.140625" style="68" bestFit="1" customWidth="1"/>
    <col min="16146" max="16149" width="9.140625" style="68"/>
    <col min="16150" max="16150" width="7.28515625" style="68" customWidth="1"/>
    <col min="16151" max="16153" width="7.42578125" style="68" customWidth="1"/>
    <col min="16154" max="16154" width="10.42578125" style="68" bestFit="1" customWidth="1"/>
    <col min="16155" max="16155" width="12" style="68" bestFit="1" customWidth="1"/>
    <col min="16156" max="16156" width="11" style="68" bestFit="1" customWidth="1"/>
    <col min="16157" max="16158" width="11" style="68" customWidth="1"/>
    <col min="16159" max="16159" width="10" style="68" bestFit="1" customWidth="1"/>
    <col min="16160" max="16160" width="14.42578125" style="68" bestFit="1" customWidth="1"/>
    <col min="16161" max="16171" width="0" style="68" hidden="1" customWidth="1"/>
    <col min="16172" max="16384" width="9.140625" style="68"/>
  </cols>
  <sheetData>
    <row r="1" spans="1:50" s="63" customFormat="1" ht="45.75" customHeight="1" x14ac:dyDescent="0.25">
      <c r="A1" s="60" t="s">
        <v>98</v>
      </c>
      <c r="B1" s="220">
        <v>45627</v>
      </c>
      <c r="C1" s="221"/>
      <c r="D1" s="221"/>
      <c r="E1" s="221"/>
      <c r="F1" s="221"/>
      <c r="G1" s="221"/>
      <c r="H1" s="221"/>
      <c r="I1" s="221"/>
      <c r="J1" s="221"/>
      <c r="K1" s="221"/>
      <c r="L1" s="221"/>
      <c r="M1" s="222"/>
      <c r="N1" s="61"/>
      <c r="O1" s="61"/>
      <c r="P1" s="61"/>
      <c r="Q1" s="61"/>
      <c r="R1" s="61"/>
      <c r="S1" s="61"/>
      <c r="T1" s="61"/>
      <c r="U1" s="61"/>
      <c r="V1" s="61"/>
      <c r="W1" s="61"/>
      <c r="X1" s="61"/>
      <c r="Y1" s="61"/>
      <c r="Z1" s="61"/>
      <c r="AA1" s="62"/>
      <c r="AB1" s="62"/>
    </row>
    <row r="2" spans="1:50" ht="56.25" customHeight="1" x14ac:dyDescent="0.2">
      <c r="A2" s="64" t="s">
        <v>275</v>
      </c>
      <c r="B2" s="223" t="s">
        <v>326</v>
      </c>
      <c r="C2" s="224"/>
      <c r="D2" s="224"/>
      <c r="E2" s="224"/>
      <c r="F2" s="224"/>
      <c r="G2" s="224"/>
      <c r="H2" s="224"/>
      <c r="I2" s="224"/>
      <c r="J2" s="224"/>
      <c r="K2" s="224"/>
      <c r="L2" s="224"/>
      <c r="M2" s="225"/>
      <c r="N2" s="65"/>
      <c r="O2" s="65"/>
      <c r="P2" s="66"/>
      <c r="Q2" s="66"/>
      <c r="R2" s="66"/>
      <c r="S2" s="66"/>
      <c r="T2" s="66"/>
      <c r="U2" s="66"/>
      <c r="V2" s="66"/>
      <c r="W2" s="66"/>
      <c r="X2" s="66"/>
      <c r="Y2" s="66"/>
      <c r="Z2" s="66"/>
      <c r="AA2" s="67"/>
      <c r="AB2" s="67"/>
    </row>
    <row r="3" spans="1:50" ht="28.5" customHeight="1" x14ac:dyDescent="0.2">
      <c r="A3" s="226" t="s">
        <v>276</v>
      </c>
      <c r="B3" s="226"/>
      <c r="C3" s="226"/>
      <c r="D3" s="226"/>
      <c r="E3" s="226"/>
      <c r="F3" s="226"/>
      <c r="G3" s="226"/>
      <c r="H3" s="226"/>
      <c r="I3" s="226"/>
      <c r="J3" s="226"/>
      <c r="K3" s="226"/>
      <c r="L3" s="226"/>
      <c r="M3" s="226"/>
      <c r="N3" s="70"/>
      <c r="O3" s="70"/>
      <c r="P3" s="71"/>
      <c r="Q3" s="71"/>
      <c r="R3" s="71"/>
      <c r="S3" s="71"/>
      <c r="T3" s="71"/>
      <c r="U3" s="71"/>
      <c r="V3" s="71"/>
      <c r="W3" s="71"/>
      <c r="X3" s="71"/>
      <c r="Y3" s="71"/>
      <c r="Z3" s="71"/>
      <c r="AA3" s="67"/>
      <c r="AB3" s="67"/>
    </row>
    <row r="4" spans="1:50" x14ac:dyDescent="0.2">
      <c r="A4" s="226" t="s">
        <v>277</v>
      </c>
      <c r="B4" s="226"/>
      <c r="C4" s="226"/>
      <c r="D4" s="226"/>
      <c r="E4" s="226"/>
      <c r="F4" s="226"/>
      <c r="G4" s="226"/>
      <c r="H4" s="226"/>
      <c r="I4" s="226"/>
      <c r="J4" s="226"/>
      <c r="K4" s="226"/>
      <c r="L4" s="226"/>
      <c r="M4" s="226"/>
      <c r="N4" s="72"/>
      <c r="O4" s="72"/>
      <c r="P4" s="71"/>
      <c r="Q4" s="71"/>
      <c r="R4" s="71"/>
      <c r="S4" s="71"/>
      <c r="T4" s="71"/>
      <c r="U4" s="71"/>
    </row>
    <row r="5" spans="1:50" x14ac:dyDescent="0.2">
      <c r="A5" s="226"/>
      <c r="B5" s="226"/>
      <c r="C5" s="226"/>
      <c r="D5" s="226"/>
      <c r="E5" s="226"/>
      <c r="F5" s="226"/>
      <c r="G5" s="226"/>
      <c r="H5" s="226"/>
      <c r="I5" s="226"/>
      <c r="J5" s="226"/>
      <c r="K5" s="226"/>
      <c r="L5" s="226"/>
      <c r="M5" s="226"/>
      <c r="N5" s="61"/>
      <c r="O5" s="61"/>
      <c r="P5" s="73"/>
      <c r="Q5" s="73"/>
      <c r="R5" s="73"/>
      <c r="S5" s="73"/>
      <c r="T5" s="73"/>
      <c r="U5" s="73"/>
      <c r="V5" s="73"/>
      <c r="W5" s="73"/>
      <c r="X5" s="73"/>
      <c r="Y5" s="73"/>
      <c r="Z5" s="73"/>
      <c r="AA5" s="67"/>
      <c r="AB5" s="67"/>
    </row>
    <row r="6" spans="1:50" x14ac:dyDescent="0.2">
      <c r="A6" s="61"/>
      <c r="B6" s="61"/>
      <c r="C6" s="61"/>
      <c r="D6" s="61"/>
      <c r="E6" s="61"/>
      <c r="F6" s="61"/>
      <c r="G6" s="61"/>
      <c r="H6" s="61"/>
      <c r="I6" s="61"/>
      <c r="J6" s="61"/>
      <c r="K6" s="61"/>
      <c r="L6" s="61"/>
      <c r="M6" s="61"/>
      <c r="N6" s="61"/>
      <c r="O6" s="61"/>
      <c r="P6" s="73"/>
      <c r="Q6" s="73"/>
      <c r="R6" s="73"/>
      <c r="S6" s="73"/>
      <c r="T6" s="73"/>
      <c r="U6" s="73"/>
      <c r="V6" s="73"/>
      <c r="W6" s="73"/>
      <c r="X6" s="73"/>
      <c r="Y6" s="73"/>
      <c r="Z6" s="73"/>
      <c r="AA6" s="202"/>
      <c r="AB6" s="202"/>
    </row>
    <row r="7" spans="1:50" ht="38.25" x14ac:dyDescent="0.2">
      <c r="A7" s="75" t="s">
        <v>278</v>
      </c>
      <c r="B7" s="76" t="s">
        <v>279</v>
      </c>
      <c r="C7" s="61"/>
      <c r="D7" s="61"/>
      <c r="E7" s="61"/>
      <c r="F7" s="61"/>
      <c r="G7" s="61"/>
      <c r="H7" s="61"/>
      <c r="I7" s="61"/>
      <c r="J7" s="61"/>
      <c r="K7" s="61"/>
      <c r="L7" s="61"/>
      <c r="M7" s="61"/>
      <c r="N7" s="61"/>
      <c r="O7" s="61"/>
      <c r="P7" s="73"/>
      <c r="Q7" s="73"/>
      <c r="R7" s="73"/>
      <c r="S7" s="73"/>
      <c r="T7" s="73"/>
      <c r="U7" s="73"/>
      <c r="V7" s="73"/>
      <c r="W7" s="73"/>
      <c r="X7" s="73"/>
      <c r="Y7" s="73"/>
      <c r="Z7" s="73"/>
      <c r="AA7" s="74"/>
      <c r="AB7" s="74"/>
    </row>
    <row r="8" spans="1:50" ht="89.25" x14ac:dyDescent="0.2">
      <c r="A8" s="75" t="s">
        <v>280</v>
      </c>
      <c r="B8" s="76" t="s">
        <v>281</v>
      </c>
      <c r="C8" s="61"/>
      <c r="D8" s="61"/>
      <c r="E8" s="61"/>
      <c r="F8" s="61"/>
      <c r="G8" s="61"/>
      <c r="H8" s="61"/>
      <c r="I8" s="61"/>
      <c r="J8" s="61"/>
      <c r="K8" s="61"/>
      <c r="L8" s="61"/>
      <c r="M8" s="61"/>
      <c r="N8" s="61"/>
      <c r="O8" s="61"/>
      <c r="P8" s="73"/>
      <c r="Q8" s="73"/>
      <c r="R8" s="73"/>
      <c r="S8" s="73"/>
      <c r="T8" s="73"/>
      <c r="U8" s="73"/>
      <c r="V8" s="73"/>
      <c r="W8" s="73"/>
      <c r="X8" s="73"/>
      <c r="Y8" s="73"/>
      <c r="Z8" s="73"/>
      <c r="AA8" s="74"/>
      <c r="AB8" s="74"/>
    </row>
    <row r="9" spans="1:50" ht="25.5" x14ac:dyDescent="0.2">
      <c r="A9" s="75" t="s">
        <v>282</v>
      </c>
      <c r="B9" s="76" t="s">
        <v>283</v>
      </c>
      <c r="C9" s="61"/>
      <c r="D9" s="61"/>
      <c r="E9" s="61"/>
      <c r="F9" s="61"/>
      <c r="G9" s="61"/>
      <c r="H9" s="61"/>
      <c r="I9" s="61"/>
      <c r="J9" s="61"/>
      <c r="K9" s="61"/>
      <c r="L9" s="61"/>
      <c r="M9" s="61"/>
      <c r="N9" s="61"/>
      <c r="O9" s="61"/>
      <c r="P9" s="73"/>
      <c r="Q9" s="73"/>
      <c r="R9" s="73"/>
      <c r="S9" s="73"/>
      <c r="T9" s="73"/>
      <c r="U9" s="73"/>
      <c r="V9" s="73"/>
      <c r="W9" s="73"/>
      <c r="X9" s="73"/>
      <c r="Y9" s="73"/>
      <c r="Z9" s="73"/>
      <c r="AA9" s="74"/>
      <c r="AB9" s="74"/>
    </row>
    <row r="10" spans="1:50" ht="25.5" x14ac:dyDescent="0.25">
      <c r="A10" t="s">
        <v>284</v>
      </c>
      <c r="B10" s="76" t="s">
        <v>285</v>
      </c>
      <c r="C10" s="61"/>
      <c r="D10" s="61"/>
      <c r="E10" s="61"/>
      <c r="F10" s="61"/>
      <c r="G10" s="61"/>
      <c r="H10" s="61"/>
      <c r="I10" s="61"/>
      <c r="J10" s="61"/>
      <c r="K10" s="61"/>
      <c r="L10" s="61"/>
      <c r="M10" s="61"/>
      <c r="N10" s="61"/>
      <c r="O10" s="61"/>
      <c r="P10" s="73"/>
      <c r="Q10" s="73"/>
      <c r="R10" s="73"/>
      <c r="S10" s="73"/>
      <c r="T10" s="73"/>
      <c r="U10" s="73"/>
      <c r="V10" s="73"/>
      <c r="W10" s="73"/>
      <c r="X10" s="73"/>
      <c r="Y10" s="73"/>
      <c r="Z10" s="73"/>
      <c r="AA10" s="74"/>
      <c r="AB10" s="74"/>
    </row>
    <row r="11" spans="1:50" x14ac:dyDescent="0.2">
      <c r="A11" s="218"/>
      <c r="B11" s="219"/>
      <c r="C11" s="61"/>
      <c r="D11" s="61"/>
      <c r="E11" s="61"/>
      <c r="F11" s="61"/>
      <c r="G11" s="61"/>
      <c r="H11" s="61"/>
      <c r="I11" s="61"/>
      <c r="J11" s="61"/>
      <c r="K11" s="61"/>
      <c r="L11" s="61"/>
      <c r="M11" s="61"/>
      <c r="N11" s="61"/>
      <c r="O11" s="61"/>
      <c r="P11" s="73"/>
      <c r="Q11" s="73"/>
      <c r="R11" s="73"/>
      <c r="S11" s="73"/>
      <c r="T11" s="73"/>
      <c r="U11" s="73"/>
      <c r="V11" s="77"/>
      <c r="W11" s="73"/>
      <c r="X11" s="73"/>
      <c r="Y11" s="73"/>
      <c r="Z11" s="73"/>
      <c r="AA11" s="74"/>
      <c r="AB11" s="74"/>
    </row>
    <row r="12" spans="1:50" ht="18" customHeight="1" x14ac:dyDescent="0.2">
      <c r="B12" s="61"/>
      <c r="C12" s="61"/>
      <c r="D12" s="61"/>
      <c r="E12" s="61"/>
      <c r="F12" s="61"/>
      <c r="G12" s="61"/>
      <c r="H12" s="61"/>
      <c r="I12" s="61"/>
      <c r="J12" s="61"/>
      <c r="K12" s="61"/>
      <c r="L12" s="61"/>
      <c r="M12" s="61"/>
      <c r="N12" s="61"/>
      <c r="O12" s="61"/>
      <c r="P12" s="73"/>
      <c r="Q12" s="73"/>
      <c r="R12" s="73"/>
      <c r="S12" s="73"/>
      <c r="T12" s="73"/>
      <c r="U12" s="73"/>
      <c r="V12" s="77"/>
      <c r="W12" s="73"/>
      <c r="X12" s="73"/>
      <c r="Y12" s="73"/>
      <c r="Z12" s="73"/>
      <c r="AA12" s="74"/>
      <c r="AB12" s="74"/>
    </row>
    <row r="13" spans="1:50" ht="13.5" thickBot="1" x14ac:dyDescent="0.25">
      <c r="A13" s="78" t="s">
        <v>286</v>
      </c>
      <c r="B13" s="69" t="s">
        <v>287</v>
      </c>
      <c r="C13" s="61"/>
      <c r="D13" s="61"/>
      <c r="E13" s="61"/>
      <c r="F13" s="61"/>
      <c r="G13" s="61"/>
      <c r="H13" s="61"/>
      <c r="I13" s="61"/>
      <c r="J13" s="61"/>
      <c r="K13" s="61"/>
      <c r="L13" s="61"/>
      <c r="M13" s="61"/>
      <c r="N13" s="61"/>
      <c r="O13" s="61"/>
      <c r="P13" s="73"/>
      <c r="Q13" s="73"/>
      <c r="R13" s="73"/>
      <c r="S13" s="73"/>
      <c r="T13" s="73"/>
      <c r="U13" s="73"/>
      <c r="V13" s="73"/>
      <c r="W13" s="73"/>
      <c r="X13" s="73"/>
      <c r="Y13" s="73"/>
      <c r="Z13" s="73"/>
      <c r="AA13" s="74"/>
      <c r="AB13" s="74"/>
    </row>
    <row r="14" spans="1:50" ht="13.5" thickBot="1" x14ac:dyDescent="0.25">
      <c r="C14" s="66"/>
      <c r="D14" s="79"/>
      <c r="E14" s="73"/>
      <c r="F14" s="73"/>
      <c r="G14" s="73"/>
      <c r="H14" s="73"/>
      <c r="I14" s="73"/>
      <c r="J14" s="73"/>
      <c r="K14" s="73"/>
      <c r="L14" s="73"/>
      <c r="M14" s="73"/>
      <c r="N14" s="61"/>
      <c r="O14" s="61"/>
      <c r="P14" s="73"/>
      <c r="Q14" s="73"/>
      <c r="R14" s="73"/>
      <c r="S14" s="73"/>
      <c r="T14" s="73"/>
      <c r="U14" s="73"/>
      <c r="V14" s="73"/>
      <c r="W14" s="73"/>
      <c r="X14" s="73"/>
      <c r="Y14" s="73"/>
      <c r="Z14" s="73"/>
      <c r="AA14" s="74"/>
      <c r="AB14" s="74"/>
      <c r="AC14" s="184" t="s">
        <v>288</v>
      </c>
      <c r="AD14" s="185"/>
      <c r="AE14" s="185"/>
      <c r="AF14" s="185"/>
      <c r="AG14" s="185"/>
      <c r="AH14" s="185"/>
      <c r="AI14" s="185"/>
      <c r="AJ14" s="185"/>
      <c r="AK14" s="185"/>
      <c r="AL14" s="185"/>
      <c r="AM14" s="185"/>
      <c r="AN14" s="185"/>
      <c r="AO14" s="185"/>
      <c r="AP14" s="185"/>
      <c r="AQ14" s="185"/>
      <c r="AR14" s="185"/>
      <c r="AS14" s="185"/>
      <c r="AT14" s="185"/>
      <c r="AU14" s="185"/>
      <c r="AV14" s="185"/>
      <c r="AW14" s="185"/>
      <c r="AX14" s="186"/>
    </row>
    <row r="15" spans="1:50" ht="13.5" customHeight="1" x14ac:dyDescent="0.2">
      <c r="A15" s="203" t="s">
        <v>286</v>
      </c>
      <c r="B15" s="206" t="s">
        <v>289</v>
      </c>
      <c r="C15" s="191" t="s">
        <v>290</v>
      </c>
      <c r="D15" s="210" t="s">
        <v>291</v>
      </c>
      <c r="E15" s="198"/>
      <c r="F15" s="198"/>
      <c r="G15" s="198"/>
      <c r="H15" s="198"/>
      <c r="I15" s="211"/>
      <c r="J15" s="210" t="s">
        <v>292</v>
      </c>
      <c r="K15" s="198"/>
      <c r="L15" s="198"/>
      <c r="M15" s="198"/>
      <c r="N15" s="198"/>
      <c r="O15" s="212"/>
      <c r="P15" s="190" t="s">
        <v>293</v>
      </c>
      <c r="Q15" s="191"/>
      <c r="R15" s="191"/>
      <c r="S15" s="191"/>
      <c r="T15" s="192"/>
      <c r="U15" s="182" t="s">
        <v>294</v>
      </c>
      <c r="V15" s="196" t="s">
        <v>295</v>
      </c>
      <c r="W15" s="198" t="s">
        <v>296</v>
      </c>
      <c r="X15" s="198" t="s">
        <v>297</v>
      </c>
      <c r="Y15" s="212" t="s">
        <v>298</v>
      </c>
      <c r="Z15" s="198" t="s">
        <v>299</v>
      </c>
      <c r="AA15" s="216" t="s">
        <v>300</v>
      </c>
      <c r="AB15" s="182" t="s">
        <v>301</v>
      </c>
      <c r="AC15" s="187"/>
      <c r="AD15" s="188"/>
      <c r="AE15" s="188"/>
      <c r="AF15" s="188"/>
      <c r="AG15" s="188"/>
      <c r="AH15" s="188"/>
      <c r="AI15" s="188"/>
      <c r="AJ15" s="188"/>
      <c r="AK15" s="188"/>
      <c r="AL15" s="188"/>
      <c r="AM15" s="188"/>
      <c r="AN15" s="188"/>
      <c r="AO15" s="188"/>
      <c r="AP15" s="188"/>
      <c r="AQ15" s="188"/>
      <c r="AR15" s="188"/>
      <c r="AS15" s="188"/>
      <c r="AT15" s="188"/>
      <c r="AU15" s="188"/>
      <c r="AV15" s="188"/>
      <c r="AW15" s="188"/>
      <c r="AX15" s="189"/>
    </row>
    <row r="16" spans="1:50" ht="58.5" customHeight="1" x14ac:dyDescent="0.2">
      <c r="A16" s="204"/>
      <c r="B16" s="207"/>
      <c r="C16" s="209"/>
      <c r="D16" s="201" t="s">
        <v>302</v>
      </c>
      <c r="E16" s="199" t="s">
        <v>303</v>
      </c>
      <c r="F16" s="199" t="s">
        <v>304</v>
      </c>
      <c r="G16" s="199" t="s">
        <v>305</v>
      </c>
      <c r="H16" s="199" t="s">
        <v>306</v>
      </c>
      <c r="I16" s="200" t="s">
        <v>307</v>
      </c>
      <c r="J16" s="201" t="s">
        <v>302</v>
      </c>
      <c r="K16" s="199" t="s">
        <v>308</v>
      </c>
      <c r="L16" s="199" t="s">
        <v>309</v>
      </c>
      <c r="M16" s="199" t="s">
        <v>310</v>
      </c>
      <c r="N16" s="213" t="s">
        <v>311</v>
      </c>
      <c r="O16" s="180" t="s">
        <v>312</v>
      </c>
      <c r="P16" s="193"/>
      <c r="Q16" s="194"/>
      <c r="R16" s="194"/>
      <c r="S16" s="194"/>
      <c r="T16" s="195"/>
      <c r="U16" s="183"/>
      <c r="V16" s="197"/>
      <c r="W16" s="199"/>
      <c r="X16" s="199"/>
      <c r="Y16" s="215"/>
      <c r="Z16" s="199"/>
      <c r="AA16" s="217"/>
      <c r="AB16" s="183"/>
      <c r="AC16" s="85" t="str">
        <f>'AUTO CALCULATION SHEET (2)'!N17</f>
        <v>Alumimium</v>
      </c>
      <c r="AD16" s="86" t="str">
        <f>'AUTO CALCULATION SHEET (2)'!Y17</f>
        <v>Copper Tape - 0.045 mm</v>
      </c>
      <c r="AE16" s="86" t="str">
        <f>'AUTO CALCULATION SHEET (2)'!AC17</f>
        <v>Extruded semiconductive</v>
      </c>
      <c r="AF16" s="86" t="str">
        <f>'AUTO CALCULATION SHEET (2)'!AE17</f>
        <v>HT-XLPE</v>
      </c>
      <c r="AG16" s="86" t="str">
        <f>'AUTO CALCULATION SHEET (2)'!AK17</f>
        <v>POLY TAPE</v>
      </c>
      <c r="AH16" s="86" t="str">
        <f>'AUTO CALCULATION SHEET (2)'!AQ17</f>
        <v>PVC Type ST-2</v>
      </c>
      <c r="AI16" s="86" t="str">
        <f>'AUTO CALCULATION SHEET (2)'!AV17</f>
        <v>Aluminium Round Wire</v>
      </c>
      <c r="AJ16" s="86" t="str">
        <f>'AUTO CALCULATION SHEET (2)'!BA17</f>
        <v>Galvanised Steel Round Wire</v>
      </c>
      <c r="AK16" s="86" t="str">
        <f>'AUTO CALCULATION SHEET (2)'!BF17</f>
        <v>FRLSH PVC Type ST-2</v>
      </c>
      <c r="AL16" s="86" t="str">
        <f>'AUTO CALCULATION SHEET (2)'!BL17</f>
        <v>PP FILLER</v>
      </c>
      <c r="AM16" s="86" t="str">
        <f>'AUTO CALCULATION SHEET (2)'!BN17</f>
        <v>NCWBT</v>
      </c>
      <c r="AN16" s="86" t="str">
        <f>'AUTO CALCULATION SHEET (2)'!BP17</f>
        <v>Semi conducting Water Swellable tape</v>
      </c>
      <c r="AO16" s="86" t="str">
        <f>'AUTO CALCULATION SHEET (2)'!BT17</f>
        <v>RUBBERIZED COTTON TAPE</v>
      </c>
      <c r="AP16" s="174" t="s">
        <v>313</v>
      </c>
      <c r="AQ16" s="174" t="s">
        <v>314</v>
      </c>
      <c r="AR16" s="174" t="s">
        <v>315</v>
      </c>
      <c r="AS16" s="174" t="s">
        <v>316</v>
      </c>
      <c r="AT16" s="174" t="s">
        <v>317</v>
      </c>
      <c r="AU16" s="174" t="s">
        <v>318</v>
      </c>
      <c r="AV16" s="174" t="s">
        <v>319</v>
      </c>
      <c r="AW16" s="174" t="s">
        <v>320</v>
      </c>
      <c r="AX16" s="177" t="s">
        <v>321</v>
      </c>
    </row>
    <row r="17" spans="1:50" ht="24" customHeight="1" x14ac:dyDescent="0.2">
      <c r="A17" s="205"/>
      <c r="B17" s="208"/>
      <c r="C17" s="194"/>
      <c r="D17" s="201"/>
      <c r="E17" s="199"/>
      <c r="F17" s="199"/>
      <c r="G17" s="199"/>
      <c r="H17" s="199"/>
      <c r="I17" s="200"/>
      <c r="J17" s="201"/>
      <c r="K17" s="199"/>
      <c r="L17" s="199"/>
      <c r="M17" s="199"/>
      <c r="N17" s="214"/>
      <c r="O17" s="181"/>
      <c r="P17" s="80" t="s">
        <v>278</v>
      </c>
      <c r="Q17" s="81" t="s">
        <v>282</v>
      </c>
      <c r="R17" s="81" t="s">
        <v>280</v>
      </c>
      <c r="S17" s="81" t="s">
        <v>322</v>
      </c>
      <c r="T17" s="84" t="s">
        <v>323</v>
      </c>
      <c r="U17" s="183"/>
      <c r="V17" s="197"/>
      <c r="W17" s="199"/>
      <c r="X17" s="199"/>
      <c r="Y17" s="215"/>
      <c r="Z17" s="199"/>
      <c r="AA17" s="217"/>
      <c r="AB17" s="183"/>
      <c r="AC17" s="87">
        <v>272</v>
      </c>
      <c r="AD17" s="88">
        <v>968</v>
      </c>
      <c r="AE17" s="88">
        <v>178</v>
      </c>
      <c r="AF17" s="88">
        <v>151</v>
      </c>
      <c r="AG17" s="88">
        <v>120</v>
      </c>
      <c r="AH17" s="88">
        <v>68</v>
      </c>
      <c r="AI17" s="88">
        <f>AC17+5</f>
        <v>277</v>
      </c>
      <c r="AJ17" s="88">
        <v>82</v>
      </c>
      <c r="AK17" s="88">
        <f>86+15</f>
        <v>101</v>
      </c>
      <c r="AL17" s="88">
        <v>85</v>
      </c>
      <c r="AM17" s="88">
        <v>340</v>
      </c>
      <c r="AN17" s="88">
        <v>430</v>
      </c>
      <c r="AO17" s="88">
        <v>370</v>
      </c>
      <c r="AP17" s="175"/>
      <c r="AQ17" s="175"/>
      <c r="AR17" s="175"/>
      <c r="AS17" s="175"/>
      <c r="AT17" s="175"/>
      <c r="AU17" s="175"/>
      <c r="AV17" s="175"/>
      <c r="AW17" s="175"/>
      <c r="AX17" s="178"/>
    </row>
    <row r="18" spans="1:50" ht="25.5" customHeight="1" x14ac:dyDescent="0.2">
      <c r="A18" s="89"/>
      <c r="B18" s="154" t="s">
        <v>346</v>
      </c>
      <c r="C18" s="67"/>
      <c r="D18" s="90"/>
      <c r="E18" s="91"/>
      <c r="F18" s="91"/>
      <c r="G18" s="91"/>
      <c r="H18" s="91"/>
      <c r="I18" s="92"/>
      <c r="J18" s="93"/>
      <c r="K18" s="91"/>
      <c r="L18" s="91"/>
      <c r="M18" s="91"/>
      <c r="N18" s="91"/>
      <c r="O18" s="94"/>
      <c r="P18" s="95"/>
      <c r="Q18" s="96"/>
      <c r="R18" s="96"/>
      <c r="S18" s="96"/>
      <c r="T18" s="97"/>
      <c r="U18" s="98"/>
      <c r="V18" s="82"/>
      <c r="W18" s="81"/>
      <c r="X18" s="81"/>
      <c r="Y18" s="83"/>
      <c r="Z18" s="81"/>
      <c r="AA18" s="99"/>
      <c r="AB18" s="100"/>
      <c r="AC18" s="87" t="s">
        <v>324</v>
      </c>
      <c r="AD18" s="87" t="s">
        <v>324</v>
      </c>
      <c r="AE18" s="87" t="s">
        <v>324</v>
      </c>
      <c r="AF18" s="87" t="s">
        <v>324</v>
      </c>
      <c r="AG18" s="87" t="s">
        <v>324</v>
      </c>
      <c r="AH18" s="87" t="s">
        <v>324</v>
      </c>
      <c r="AI18" s="87" t="s">
        <v>324</v>
      </c>
      <c r="AJ18" s="87" t="s">
        <v>324</v>
      </c>
      <c r="AK18" s="87" t="s">
        <v>324</v>
      </c>
      <c r="AL18" s="87" t="s">
        <v>324</v>
      </c>
      <c r="AM18" s="87" t="s">
        <v>324</v>
      </c>
      <c r="AN18" s="87" t="s">
        <v>324</v>
      </c>
      <c r="AO18" s="87" t="s">
        <v>324</v>
      </c>
      <c r="AP18" s="176"/>
      <c r="AQ18" s="176"/>
      <c r="AR18" s="176"/>
      <c r="AS18" s="176"/>
      <c r="AT18" s="176"/>
      <c r="AU18" s="176"/>
      <c r="AV18" s="176"/>
      <c r="AW18" s="176"/>
      <c r="AX18" s="179"/>
    </row>
    <row r="19" spans="1:50" ht="21.75" customHeight="1" x14ac:dyDescent="0.2">
      <c r="A19" s="101" t="str">
        <f>'AUTO CALCULATION SHEET (2)'!D19</f>
        <v>3 CORE X 400 SQ. MM. AL/ARM - WIRE (XLPE) - 11 KV</v>
      </c>
      <c r="B19" s="153">
        <v>4</v>
      </c>
      <c r="C19" s="102" t="s">
        <v>325</v>
      </c>
      <c r="D19" s="103">
        <v>45705</v>
      </c>
      <c r="E19" s="104">
        <v>265753.40999999997</v>
      </c>
      <c r="F19" s="104">
        <v>870134.53</v>
      </c>
      <c r="G19" s="105">
        <v>176136</v>
      </c>
      <c r="H19" s="105">
        <v>160825</v>
      </c>
      <c r="I19" s="106">
        <v>70250</v>
      </c>
      <c r="J19" s="107">
        <f>$B$1</f>
        <v>45627</v>
      </c>
      <c r="K19" s="105">
        <v>252941</v>
      </c>
      <c r="L19" s="105">
        <v>820039</v>
      </c>
      <c r="M19" s="105">
        <v>173241</v>
      </c>
      <c r="N19" s="105">
        <v>160825</v>
      </c>
      <c r="O19" s="106">
        <v>72250</v>
      </c>
      <c r="P19" s="108">
        <v>3.3740000000000001</v>
      </c>
      <c r="Q19" s="109">
        <v>1.3140000000000001</v>
      </c>
      <c r="R19" s="109">
        <v>3.6640000000000001</v>
      </c>
      <c r="S19" s="109">
        <v>6.6580000000000004</v>
      </c>
      <c r="T19" s="110">
        <v>0.124</v>
      </c>
      <c r="U19" s="111">
        <f>'AUTO CALCULATION SHEET (2)'!E19</f>
        <v>2890355.0381999998</v>
      </c>
      <c r="V19" s="112">
        <f t="shared" ref="V19:V30" si="0">(P19*(E19-K19))</f>
        <v>43229.071339999915</v>
      </c>
      <c r="W19" s="109">
        <f t="shared" ref="W19:Y22" si="1">(Q19*(G19-M19))</f>
        <v>3804.03</v>
      </c>
      <c r="X19" s="109">
        <f t="shared" si="1"/>
        <v>0</v>
      </c>
      <c r="Y19" s="113">
        <f t="shared" si="1"/>
        <v>-13316</v>
      </c>
      <c r="Z19" s="109">
        <f t="shared" ref="Z19:Z39" si="2">T19*(F19-L19)</f>
        <v>6211.845720000003</v>
      </c>
      <c r="AA19" s="114">
        <f t="shared" ref="AA19:AA27" si="3">V19+W19+X19+Y19+Z19</f>
        <v>39928.947059999919</v>
      </c>
      <c r="AB19" s="115">
        <f t="shared" ref="AB19:AB24" si="4">+U19+AA19</f>
        <v>2930283.9852599995</v>
      </c>
      <c r="AC19" s="116">
        <f>'AUTO CALCULATION SHEET (2)'!N19</f>
        <v>3240</v>
      </c>
      <c r="AD19" s="117">
        <f>'AUTO CALCULATION SHEET (2)'!Y19</f>
        <v>176</v>
      </c>
      <c r="AE19" s="117">
        <f>'AUTO CALCULATION SHEET (2)'!AC19</f>
        <v>518</v>
      </c>
      <c r="AF19" s="117">
        <f>'AUTO CALCULATION SHEET (2)'!AE19</f>
        <v>930</v>
      </c>
      <c r="AG19" s="117">
        <f>'AUTO CALCULATION SHEET (2)'!AK19</f>
        <v>0</v>
      </c>
      <c r="AH19" s="117">
        <f>'AUTO CALCULATION SHEET (2)'!AQ19</f>
        <v>1027</v>
      </c>
      <c r="AI19" s="117">
        <f>'AUTO CALCULATION SHEET (2)'!AV19</f>
        <v>0</v>
      </c>
      <c r="AJ19" s="117">
        <f>'AUTO CALCULATION SHEET (2)'!BA19</f>
        <v>5643</v>
      </c>
      <c r="AK19" s="117">
        <f>'AUTO CALCULATION SHEET (2)'!BF19</f>
        <v>1377</v>
      </c>
      <c r="AL19" s="117">
        <f>'AUTO CALCULATION SHEET (2)'!BL19</f>
        <v>1032</v>
      </c>
      <c r="AM19" s="117">
        <f>'AUTO CALCULATION SHEET (2)'!BN19</f>
        <v>58</v>
      </c>
      <c r="AN19" s="117">
        <f>'AUTO CALCULATION SHEET (2)'!BP19</f>
        <v>95</v>
      </c>
      <c r="AO19" s="117">
        <f>'AUTO CALCULATION SHEET (2)'!BT19</f>
        <v>60</v>
      </c>
      <c r="AP19" s="118">
        <f>SUMPRODUCT(AC19:AO19,$AC$17:$AO$17)</f>
        <v>2126411</v>
      </c>
      <c r="AQ19" s="119">
        <f>'AUTO CALCULATION SHEET (2)'!BZ19</f>
        <v>126000</v>
      </c>
      <c r="AR19" s="118">
        <f>AP19+AQ19</f>
        <v>2252411</v>
      </c>
      <c r="AS19" s="119">
        <f>AB19-AR19</f>
        <v>677872.98525999952</v>
      </c>
      <c r="AT19" s="118">
        <f>ROUND((AS19/AB19)*100,2)</f>
        <v>23.13</v>
      </c>
      <c r="AU19" s="119">
        <v>0</v>
      </c>
      <c r="AV19" s="119">
        <v>2</v>
      </c>
      <c r="AW19" s="119">
        <v>1</v>
      </c>
      <c r="AX19" s="120">
        <f>AT19-AU19-AV19-AW19</f>
        <v>20.13</v>
      </c>
    </row>
    <row r="20" spans="1:50" ht="21.75" customHeight="1" x14ac:dyDescent="0.2">
      <c r="A20" s="101" t="str">
        <f>'AUTO CALCULATION SHEET (2)'!D20</f>
        <v>3 CORE X 300 SQ. MM. AL/ARM - WIRE (XLPE) - 11 KV</v>
      </c>
      <c r="B20" s="153">
        <v>3.15</v>
      </c>
      <c r="C20" s="102" t="s">
        <v>325</v>
      </c>
      <c r="D20" s="103">
        <v>45705</v>
      </c>
      <c r="E20" s="104">
        <v>265753.40999999997</v>
      </c>
      <c r="F20" s="104">
        <v>870134.53</v>
      </c>
      <c r="G20" s="105">
        <v>176136</v>
      </c>
      <c r="H20" s="105">
        <v>160825</v>
      </c>
      <c r="I20" s="106">
        <v>70250</v>
      </c>
      <c r="J20" s="107">
        <f t="shared" ref="J20:J39" si="5">$B$1</f>
        <v>45627</v>
      </c>
      <c r="K20" s="105">
        <v>252941</v>
      </c>
      <c r="L20" s="105">
        <v>820039</v>
      </c>
      <c r="M20" s="105">
        <v>173241</v>
      </c>
      <c r="N20" s="105">
        <v>160825</v>
      </c>
      <c r="O20" s="106">
        <v>72250</v>
      </c>
      <c r="P20" s="108">
        <v>2.6349999999999998</v>
      </c>
      <c r="Q20" s="109">
        <v>1.167</v>
      </c>
      <c r="R20" s="109">
        <v>3.161</v>
      </c>
      <c r="S20" s="109">
        <v>5.1820000000000004</v>
      </c>
      <c r="T20" s="110">
        <v>0.11</v>
      </c>
      <c r="U20" s="111">
        <f>'AUTO CALCULATION SHEET (2)'!E20</f>
        <v>2318788.3446000004</v>
      </c>
      <c r="V20" s="112">
        <f t="shared" si="0"/>
        <v>33760.700349999926</v>
      </c>
      <c r="W20" s="109">
        <f t="shared" si="1"/>
        <v>3378.4650000000001</v>
      </c>
      <c r="X20" s="109">
        <f t="shared" si="1"/>
        <v>0</v>
      </c>
      <c r="Y20" s="113">
        <f t="shared" si="1"/>
        <v>-10364</v>
      </c>
      <c r="Z20" s="109">
        <f t="shared" si="2"/>
        <v>5510.5083000000031</v>
      </c>
      <c r="AA20" s="114">
        <f t="shared" si="3"/>
        <v>32285.673649999924</v>
      </c>
      <c r="AB20" s="115">
        <f t="shared" si="4"/>
        <v>2351074.0182500002</v>
      </c>
      <c r="AC20" s="116">
        <f>'AUTO CALCULATION SHEET (2)'!N20</f>
        <v>2430</v>
      </c>
      <c r="AD20" s="117">
        <f>'AUTO CALCULATION SHEET (2)'!Y20</f>
        <v>161</v>
      </c>
      <c r="AE20" s="117">
        <f>'AUTO CALCULATION SHEET (2)'!AC20</f>
        <v>465</v>
      </c>
      <c r="AF20" s="117">
        <f>'AUTO CALCULATION SHEET (2)'!AE20</f>
        <v>835</v>
      </c>
      <c r="AG20" s="117">
        <f>'AUTO CALCULATION SHEET (2)'!AK20</f>
        <v>0</v>
      </c>
      <c r="AH20" s="117">
        <f>'AUTO CALCULATION SHEET (2)'!AQ20</f>
        <v>885</v>
      </c>
      <c r="AI20" s="117">
        <f>'AUTO CALCULATION SHEET (2)'!AV20</f>
        <v>0</v>
      </c>
      <c r="AJ20" s="117">
        <f>'AUTO CALCULATION SHEET (2)'!BA20</f>
        <v>4072</v>
      </c>
      <c r="AK20" s="117">
        <f>'AUTO CALCULATION SHEET (2)'!BF20</f>
        <v>1190</v>
      </c>
      <c r="AL20" s="117">
        <f>'AUTO CALCULATION SHEET (2)'!BL20</f>
        <v>862</v>
      </c>
      <c r="AM20" s="117">
        <f>'AUTO CALCULATION SHEET (2)'!BN20</f>
        <v>38</v>
      </c>
      <c r="AN20" s="117">
        <f>'AUTO CALCULATION SHEET (2)'!BP20</f>
        <v>86</v>
      </c>
      <c r="AO20" s="117">
        <f>'AUTO CALCULATION SHEET (2)'!BT20</f>
        <v>54</v>
      </c>
      <c r="AP20" s="118">
        <f t="shared" ref="AP20:AP36" si="6">SUMPRODUCT(AC20:AO20,$AC$17:$AO$17)</f>
        <v>1683087</v>
      </c>
      <c r="AQ20" s="119">
        <f>'AUTO CALCULATION SHEET (2)'!BZ20</f>
        <v>126000</v>
      </c>
      <c r="AR20" s="118">
        <f t="shared" ref="AR20:AR36" si="7">AP20+AQ20</f>
        <v>1809087</v>
      </c>
      <c r="AS20" s="119">
        <f t="shared" ref="AS20:AS36" si="8">AB20-AR20</f>
        <v>541987.0182500002</v>
      </c>
      <c r="AT20" s="118">
        <f t="shared" ref="AT20:AT36" si="9">ROUND((AS20/AB20)*100,2)</f>
        <v>23.05</v>
      </c>
      <c r="AU20" s="119">
        <v>0</v>
      </c>
      <c r="AV20" s="119">
        <v>2</v>
      </c>
      <c r="AW20" s="119">
        <v>1</v>
      </c>
      <c r="AX20" s="120">
        <f t="shared" ref="AX20:AX36" si="10">AT20-AU20-AV20-AW20</f>
        <v>20.05</v>
      </c>
    </row>
    <row r="21" spans="1:50" ht="21.75" customHeight="1" x14ac:dyDescent="0.2">
      <c r="A21" s="101" t="str">
        <f>'AUTO CALCULATION SHEET (2)'!D21</f>
        <v>3 CORE X 185 SQ. MM AL/ARM - WIRE (XLPE) - 11 KV</v>
      </c>
      <c r="B21" s="153">
        <v>3.15</v>
      </c>
      <c r="C21" s="102" t="s">
        <v>325</v>
      </c>
      <c r="D21" s="103">
        <v>45705</v>
      </c>
      <c r="E21" s="104">
        <v>265753.40999999997</v>
      </c>
      <c r="F21" s="104">
        <v>870134.53</v>
      </c>
      <c r="G21" s="105">
        <v>176136</v>
      </c>
      <c r="H21" s="105">
        <v>160825</v>
      </c>
      <c r="I21" s="106">
        <v>70250</v>
      </c>
      <c r="J21" s="107">
        <f t="shared" si="5"/>
        <v>45627</v>
      </c>
      <c r="K21" s="105">
        <v>252941</v>
      </c>
      <c r="L21" s="105">
        <v>820039</v>
      </c>
      <c r="M21" s="105">
        <v>173241</v>
      </c>
      <c r="N21" s="105">
        <v>160825</v>
      </c>
      <c r="O21" s="106">
        <v>72250</v>
      </c>
      <c r="P21" s="108">
        <v>1.605</v>
      </c>
      <c r="Q21" s="109">
        <v>0.96799999999999997</v>
      </c>
      <c r="R21" s="109">
        <v>2.4060000000000001</v>
      </c>
      <c r="S21" s="109">
        <v>4.1479999999999997</v>
      </c>
      <c r="T21" s="110">
        <v>9.4E-2</v>
      </c>
      <c r="U21" s="111">
        <f>'AUTO CALCULATION SHEET (2)'!E21</f>
        <v>1723155.2478</v>
      </c>
      <c r="V21" s="112">
        <f t="shared" si="0"/>
        <v>20563.91804999996</v>
      </c>
      <c r="W21" s="109">
        <f t="shared" si="1"/>
        <v>2802.36</v>
      </c>
      <c r="X21" s="109">
        <f t="shared" si="1"/>
        <v>0</v>
      </c>
      <c r="Y21" s="113">
        <f t="shared" si="1"/>
        <v>-8296</v>
      </c>
      <c r="Z21" s="109">
        <f t="shared" si="2"/>
        <v>4708.9798200000023</v>
      </c>
      <c r="AA21" s="114">
        <f t="shared" si="3"/>
        <v>19779.257869999965</v>
      </c>
      <c r="AB21" s="115">
        <f t="shared" si="4"/>
        <v>1742934.5056699999</v>
      </c>
      <c r="AC21" s="116">
        <f>'AUTO CALCULATION SHEET (2)'!N21</f>
        <v>1499</v>
      </c>
      <c r="AD21" s="117">
        <f>'AUTO CALCULATION SHEET (2)'!Y21</f>
        <v>138</v>
      </c>
      <c r="AE21" s="117">
        <f>'AUTO CALCULATION SHEET (2)'!AC21</f>
        <v>387</v>
      </c>
      <c r="AF21" s="117">
        <f>'AUTO CALCULATION SHEET (2)'!AE21</f>
        <v>693</v>
      </c>
      <c r="AG21" s="117">
        <f>'AUTO CALCULATION SHEET (2)'!AK21</f>
        <v>0</v>
      </c>
      <c r="AH21" s="117">
        <f>'AUTO CALCULATION SHEET (2)'!AQ21</f>
        <v>735</v>
      </c>
      <c r="AI21" s="117">
        <f>'AUTO CALCULATION SHEET (2)'!AV21</f>
        <v>0</v>
      </c>
      <c r="AJ21" s="117">
        <f>'AUTO CALCULATION SHEET (2)'!BA21</f>
        <v>3500</v>
      </c>
      <c r="AK21" s="117">
        <f>'AUTO CALCULATION SHEET (2)'!BF21</f>
        <v>945</v>
      </c>
      <c r="AL21" s="117">
        <f>'AUTO CALCULATION SHEET (2)'!BL21</f>
        <v>615</v>
      </c>
      <c r="AM21" s="117">
        <f>'AUTO CALCULATION SHEET (2)'!BN21</f>
        <v>35</v>
      </c>
      <c r="AN21" s="117">
        <f>'AUTO CALCULATION SHEET (2)'!BP21</f>
        <v>72</v>
      </c>
      <c r="AO21" s="117">
        <f>'AUTO CALCULATION SHEET (2)'!BT21</f>
        <v>48</v>
      </c>
      <c r="AP21" s="118">
        <f t="shared" si="6"/>
        <v>1260161</v>
      </c>
      <c r="AQ21" s="119">
        <f>'AUTO CALCULATION SHEET (2)'!BZ21</f>
        <v>77400</v>
      </c>
      <c r="AR21" s="118">
        <f t="shared" si="7"/>
        <v>1337561</v>
      </c>
      <c r="AS21" s="119">
        <f t="shared" si="8"/>
        <v>405373.50566999987</v>
      </c>
      <c r="AT21" s="118">
        <f t="shared" si="9"/>
        <v>23.26</v>
      </c>
      <c r="AU21" s="119">
        <v>0</v>
      </c>
      <c r="AV21" s="119">
        <v>2</v>
      </c>
      <c r="AW21" s="119">
        <v>1</v>
      </c>
      <c r="AX21" s="120">
        <f t="shared" si="10"/>
        <v>20.260000000000002</v>
      </c>
    </row>
    <row r="22" spans="1:50" ht="21.75" customHeight="1" x14ac:dyDescent="0.2">
      <c r="A22" s="101" t="str">
        <f>'AUTO CALCULATION SHEET (2)'!D22</f>
        <v>3 CORE X 150 SQ. MM. AL/ARM - WIRE (XLPE) - 11 KV</v>
      </c>
      <c r="B22" s="153">
        <v>2.5</v>
      </c>
      <c r="C22" s="102" t="s">
        <v>325</v>
      </c>
      <c r="D22" s="103">
        <v>45705</v>
      </c>
      <c r="E22" s="104">
        <v>265753.40999999997</v>
      </c>
      <c r="F22" s="104">
        <v>870134.53</v>
      </c>
      <c r="G22" s="105">
        <v>176136</v>
      </c>
      <c r="H22" s="105">
        <v>160825</v>
      </c>
      <c r="I22" s="106">
        <v>71250</v>
      </c>
      <c r="J22" s="107">
        <f t="shared" si="5"/>
        <v>45627</v>
      </c>
      <c r="K22" s="105">
        <v>252941</v>
      </c>
      <c r="L22" s="105">
        <v>820039</v>
      </c>
      <c r="M22" s="105">
        <v>173241</v>
      </c>
      <c r="N22" s="105">
        <v>160825</v>
      </c>
      <c r="O22" s="106">
        <v>73250</v>
      </c>
      <c r="P22" s="108">
        <v>1.2789999999999999</v>
      </c>
      <c r="Q22" s="109">
        <v>0.89</v>
      </c>
      <c r="R22" s="109">
        <v>2.0609999999999999</v>
      </c>
      <c r="S22" s="109">
        <v>3.2650000000000001</v>
      </c>
      <c r="T22" s="110">
        <v>8.7999999999999995E-2</v>
      </c>
      <c r="U22" s="111">
        <f>'AUTO CALCULATION SHEET (2)'!E22</f>
        <v>1443834.9449999998</v>
      </c>
      <c r="V22" s="112">
        <f t="shared" si="0"/>
        <v>16387.072389999965</v>
      </c>
      <c r="W22" s="109">
        <f t="shared" si="1"/>
        <v>2576.5500000000002</v>
      </c>
      <c r="X22" s="109">
        <f t="shared" si="1"/>
        <v>0</v>
      </c>
      <c r="Y22" s="113">
        <f t="shared" si="1"/>
        <v>-6530</v>
      </c>
      <c r="Z22" s="109">
        <f t="shared" si="2"/>
        <v>4408.406640000002</v>
      </c>
      <c r="AA22" s="114">
        <f t="shared" si="3"/>
        <v>16842.029029999965</v>
      </c>
      <c r="AB22" s="115">
        <f t="shared" si="4"/>
        <v>1460676.9740299997</v>
      </c>
      <c r="AC22" s="116">
        <f>'AUTO CALCULATION SHEET (2)'!N22</f>
        <v>1215</v>
      </c>
      <c r="AD22" s="117">
        <f>'AUTO CALCULATION SHEET (2)'!Y22</f>
        <v>130</v>
      </c>
      <c r="AE22" s="117">
        <f>'AUTO CALCULATION SHEET (2)'!AC22</f>
        <v>359</v>
      </c>
      <c r="AF22" s="117">
        <f>'AUTO CALCULATION SHEET (2)'!AE22</f>
        <v>642</v>
      </c>
      <c r="AG22" s="117">
        <f>'AUTO CALCULATION SHEET (2)'!AK22</f>
        <v>0</v>
      </c>
      <c r="AH22" s="117">
        <f>'AUTO CALCULATION SHEET (2)'!AQ22</f>
        <v>605</v>
      </c>
      <c r="AI22" s="117">
        <f>'AUTO CALCULATION SHEET (2)'!AV22</f>
        <v>0</v>
      </c>
      <c r="AJ22" s="117">
        <f>'AUTO CALCULATION SHEET (2)'!BA22</f>
        <v>2605</v>
      </c>
      <c r="AK22" s="117">
        <f>'AUTO CALCULATION SHEET (2)'!BF22</f>
        <v>812</v>
      </c>
      <c r="AL22" s="117">
        <f>'AUTO CALCULATION SHEET (2)'!BL22</f>
        <v>567</v>
      </c>
      <c r="AM22" s="117">
        <f>'AUTO CALCULATION SHEET (2)'!BN22</f>
        <v>18</v>
      </c>
      <c r="AN22" s="117">
        <f>'AUTO CALCULATION SHEET (2)'!BP22</f>
        <v>67</v>
      </c>
      <c r="AO22" s="117">
        <f>'AUTO CALCULATION SHEET (2)'!BT22</f>
        <v>44</v>
      </c>
      <c r="AP22" s="118">
        <f t="shared" si="6"/>
        <v>1053331</v>
      </c>
      <c r="AQ22" s="119">
        <f>'AUTO CALCULATION SHEET (2)'!BZ22</f>
        <v>70400</v>
      </c>
      <c r="AR22" s="118">
        <f t="shared" si="7"/>
        <v>1123731</v>
      </c>
      <c r="AS22" s="119">
        <f t="shared" si="8"/>
        <v>336945.97402999969</v>
      </c>
      <c r="AT22" s="118">
        <f t="shared" si="9"/>
        <v>23.07</v>
      </c>
      <c r="AU22" s="119">
        <v>0</v>
      </c>
      <c r="AV22" s="119">
        <v>2</v>
      </c>
      <c r="AW22" s="119">
        <v>1</v>
      </c>
      <c r="AX22" s="120">
        <f t="shared" si="10"/>
        <v>20.07</v>
      </c>
    </row>
    <row r="23" spans="1:50" ht="21.75" customHeight="1" x14ac:dyDescent="0.2">
      <c r="A23" s="101" t="str">
        <f>'AUTO CALCULATION SHEET (2)'!D23</f>
        <v>3 CORE X 120 SQ. MM. AL/ARM - WIRE (XLPE) - 11 KV</v>
      </c>
      <c r="B23" s="153">
        <v>2.5</v>
      </c>
      <c r="C23" s="102" t="s">
        <v>325</v>
      </c>
      <c r="D23" s="103">
        <v>45705</v>
      </c>
      <c r="E23" s="104">
        <v>265753.40999999997</v>
      </c>
      <c r="F23" s="104">
        <v>870134.53</v>
      </c>
      <c r="G23" s="105">
        <v>176136</v>
      </c>
      <c r="H23" s="105">
        <v>160825</v>
      </c>
      <c r="I23" s="106">
        <v>71250</v>
      </c>
      <c r="J23" s="107">
        <f t="shared" si="5"/>
        <v>45627</v>
      </c>
      <c r="K23" s="105">
        <v>252941</v>
      </c>
      <c r="L23" s="105">
        <v>820039</v>
      </c>
      <c r="M23" s="105">
        <v>173241</v>
      </c>
      <c r="N23" s="105">
        <v>160825</v>
      </c>
      <c r="O23" s="106">
        <v>73250</v>
      </c>
      <c r="P23" s="108">
        <v>1.036</v>
      </c>
      <c r="Q23" s="109">
        <v>0.82199999999999995</v>
      </c>
      <c r="R23" s="109">
        <v>1.877</v>
      </c>
      <c r="S23" s="109">
        <v>2.8820000000000001</v>
      </c>
      <c r="T23" s="110">
        <v>8.3000000000000004E-2</v>
      </c>
      <c r="U23" s="111">
        <f>'AUTO CALCULATION SHEET (2)'!E23</f>
        <v>1297921.9931999999</v>
      </c>
      <c r="V23" s="112">
        <f t="shared" si="0"/>
        <v>13273.656759999974</v>
      </c>
      <c r="W23" s="109">
        <f t="shared" ref="W23" si="11">(Q23*(G23-M23))</f>
        <v>2379.69</v>
      </c>
      <c r="X23" s="109">
        <f t="shared" ref="X23:X39" si="12">(R23*(H23-N23))</f>
        <v>0</v>
      </c>
      <c r="Y23" s="113">
        <f t="shared" ref="Y23:Y39" si="13">(S23*(I23-O23))</f>
        <v>-5764</v>
      </c>
      <c r="Z23" s="109">
        <f t="shared" si="2"/>
        <v>4157.9289900000022</v>
      </c>
      <c r="AA23" s="114">
        <f t="shared" si="3"/>
        <v>14047.275749999977</v>
      </c>
      <c r="AB23" s="115">
        <f t="shared" si="4"/>
        <v>1311969.2689499999</v>
      </c>
      <c r="AC23" s="116">
        <f>'AUTO CALCULATION SHEET (2)'!N23</f>
        <v>972</v>
      </c>
      <c r="AD23" s="117">
        <f>'AUTO CALCULATION SHEET (2)'!Y23</f>
        <v>123</v>
      </c>
      <c r="AE23" s="117">
        <f>'AUTO CALCULATION SHEET (2)'!AC23</f>
        <v>332</v>
      </c>
      <c r="AF23" s="117">
        <f>'AUTO CALCULATION SHEET (2)'!AE23</f>
        <v>593</v>
      </c>
      <c r="AG23" s="117">
        <f>'AUTO CALCULATION SHEET (2)'!AK23</f>
        <v>0</v>
      </c>
      <c r="AH23" s="117">
        <f>'AUTO CALCULATION SHEET (2)'!AQ23</f>
        <v>550</v>
      </c>
      <c r="AI23" s="117">
        <f>'AUTO CALCULATION SHEET (2)'!AV23</f>
        <v>0</v>
      </c>
      <c r="AJ23" s="117">
        <f>'AUTO CALCULATION SHEET (2)'!BA23</f>
        <v>2485</v>
      </c>
      <c r="AK23" s="117">
        <f>'AUTO CALCULATION SHEET (2)'!BF23</f>
        <v>726</v>
      </c>
      <c r="AL23" s="117">
        <f>'AUTO CALCULATION SHEET (2)'!BL23</f>
        <v>503</v>
      </c>
      <c r="AM23" s="117">
        <f>'AUTO CALCULATION SHEET (2)'!BN23</f>
        <v>17</v>
      </c>
      <c r="AN23" s="117">
        <f>'AUTO CALCULATION SHEET (2)'!BP23</f>
        <v>62</v>
      </c>
      <c r="AO23" s="117">
        <f>'AUTO CALCULATION SHEET (2)'!BT23</f>
        <v>42</v>
      </c>
      <c r="AP23" s="118">
        <f t="shared" si="6"/>
        <v>937318</v>
      </c>
      <c r="AQ23" s="119">
        <f>'AUTO CALCULATION SHEET (2)'!BZ23</f>
        <v>70400</v>
      </c>
      <c r="AR23" s="118">
        <f t="shared" si="7"/>
        <v>1007718</v>
      </c>
      <c r="AS23" s="119">
        <f t="shared" si="8"/>
        <v>304251.26894999994</v>
      </c>
      <c r="AT23" s="118">
        <f t="shared" si="9"/>
        <v>23.19</v>
      </c>
      <c r="AU23" s="119">
        <v>0</v>
      </c>
      <c r="AV23" s="119">
        <v>2</v>
      </c>
      <c r="AW23" s="119">
        <v>1</v>
      </c>
      <c r="AX23" s="120">
        <f t="shared" si="10"/>
        <v>20.190000000000001</v>
      </c>
    </row>
    <row r="24" spans="1:50" ht="21.75" customHeight="1" x14ac:dyDescent="0.2">
      <c r="A24" s="101" t="str">
        <f>'AUTO CALCULATION SHEET (2)'!D24</f>
        <v>3 CORE X 95 SQ. MM. AL/ARM - WIRE (XLPE) - 11 KV (E)</v>
      </c>
      <c r="B24" s="153">
        <v>2.5</v>
      </c>
      <c r="C24" s="102" t="s">
        <v>325</v>
      </c>
      <c r="D24" s="103">
        <v>45705</v>
      </c>
      <c r="E24" s="104">
        <v>265753.40999999997</v>
      </c>
      <c r="F24" s="104">
        <v>870134.53</v>
      </c>
      <c r="G24" s="105">
        <v>176136</v>
      </c>
      <c r="H24" s="105">
        <v>160825</v>
      </c>
      <c r="I24" s="106">
        <v>71250</v>
      </c>
      <c r="J24" s="107">
        <f t="shared" si="5"/>
        <v>45627</v>
      </c>
      <c r="K24" s="105">
        <v>252941</v>
      </c>
      <c r="L24" s="105">
        <v>820039</v>
      </c>
      <c r="M24" s="105">
        <v>173241</v>
      </c>
      <c r="N24" s="105">
        <v>160825</v>
      </c>
      <c r="O24" s="106">
        <v>73250</v>
      </c>
      <c r="P24" s="108">
        <v>0.82099999999999995</v>
      </c>
      <c r="Q24" s="109">
        <v>0.755</v>
      </c>
      <c r="R24" s="109">
        <v>1.647</v>
      </c>
      <c r="S24" s="109">
        <v>2.718</v>
      </c>
      <c r="T24" s="110">
        <v>7.6999999999999999E-2</v>
      </c>
      <c r="U24" s="111">
        <f>'AUTO CALCULATION SHEET (2)'!E24</f>
        <v>1162904.0724000002</v>
      </c>
      <c r="V24" s="112">
        <f t="shared" si="0"/>
        <v>10518.988609999979</v>
      </c>
      <c r="W24" s="109">
        <f t="shared" ref="W24:W39" si="14">(Q24*(G24-M24))</f>
        <v>2185.7249999999999</v>
      </c>
      <c r="X24" s="109">
        <f t="shared" si="12"/>
        <v>0</v>
      </c>
      <c r="Y24" s="113">
        <f t="shared" si="13"/>
        <v>-5436</v>
      </c>
      <c r="Z24" s="109">
        <f t="shared" si="2"/>
        <v>3857.3558100000023</v>
      </c>
      <c r="AA24" s="114">
        <f t="shared" si="3"/>
        <v>11126.069419999982</v>
      </c>
      <c r="AB24" s="115">
        <f t="shared" si="4"/>
        <v>1174030.1418200003</v>
      </c>
      <c r="AC24" s="116">
        <f>'AUTO CALCULATION SHEET (2)'!N24</f>
        <v>770</v>
      </c>
      <c r="AD24" s="117">
        <f>'AUTO CALCULATION SHEET (2)'!Y24</f>
        <v>115</v>
      </c>
      <c r="AE24" s="117">
        <f>'AUTO CALCULATION SHEET (2)'!AC24</f>
        <v>304</v>
      </c>
      <c r="AF24" s="117">
        <f>'AUTO CALCULATION SHEET (2)'!AE24</f>
        <v>542</v>
      </c>
      <c r="AG24" s="117">
        <f>'AUTO CALCULATION SHEET (2)'!AK24</f>
        <v>0</v>
      </c>
      <c r="AH24" s="117">
        <f>'AUTO CALCULATION SHEET (2)'!AQ24</f>
        <v>523</v>
      </c>
      <c r="AI24" s="117">
        <f>'AUTO CALCULATION SHEET (2)'!AV24</f>
        <v>0</v>
      </c>
      <c r="AJ24" s="117">
        <f>'AUTO CALCULATION SHEET (2)'!BA24</f>
        <v>2324</v>
      </c>
      <c r="AK24" s="117">
        <f>'AUTO CALCULATION SHEET (2)'!BF24</f>
        <v>685</v>
      </c>
      <c r="AL24" s="117">
        <f>'AUTO CALCULATION SHEET (2)'!BL24</f>
        <v>418</v>
      </c>
      <c r="AM24" s="117">
        <f>'AUTO CALCULATION SHEET (2)'!BN24</f>
        <v>15</v>
      </c>
      <c r="AN24" s="117">
        <f>'AUTO CALCULATION SHEET (2)'!BP24</f>
        <v>57</v>
      </c>
      <c r="AO24" s="117">
        <f>'AUTO CALCULATION SHEET (2)'!BT24</f>
        <v>40</v>
      </c>
      <c r="AP24" s="118">
        <f t="shared" si="6"/>
        <v>831971</v>
      </c>
      <c r="AQ24" s="119">
        <f>'AUTO CALCULATION SHEET (2)'!BZ24</f>
        <v>68800</v>
      </c>
      <c r="AR24" s="118">
        <f t="shared" si="7"/>
        <v>900771</v>
      </c>
      <c r="AS24" s="119">
        <f t="shared" si="8"/>
        <v>273259.14182000025</v>
      </c>
      <c r="AT24" s="118">
        <f t="shared" si="9"/>
        <v>23.28</v>
      </c>
      <c r="AU24" s="119">
        <v>0</v>
      </c>
      <c r="AV24" s="119">
        <v>2</v>
      </c>
      <c r="AW24" s="119">
        <v>1</v>
      </c>
      <c r="AX24" s="120">
        <f t="shared" si="10"/>
        <v>20.28</v>
      </c>
    </row>
    <row r="25" spans="1:50" ht="21.75" customHeight="1" x14ac:dyDescent="0.2">
      <c r="A25" s="101" t="str">
        <f>'AUTO CALCULATION SHEET (2)'!D25</f>
        <v>3 CORE X 50 SQ. MM. AL/ARD - WIRE (XLPE) - 11 KV</v>
      </c>
      <c r="B25" s="153">
        <v>2.5</v>
      </c>
      <c r="C25" s="102" t="s">
        <v>325</v>
      </c>
      <c r="D25" s="103">
        <v>45705</v>
      </c>
      <c r="E25" s="104">
        <v>265753.40999999997</v>
      </c>
      <c r="F25" s="104">
        <v>870134.53</v>
      </c>
      <c r="G25" s="105">
        <v>176136</v>
      </c>
      <c r="H25" s="105">
        <v>160825</v>
      </c>
      <c r="I25" s="106">
        <v>71250</v>
      </c>
      <c r="J25" s="107">
        <f t="shared" si="5"/>
        <v>45627</v>
      </c>
      <c r="K25" s="105">
        <v>252941</v>
      </c>
      <c r="L25" s="105">
        <v>820039</v>
      </c>
      <c r="M25" s="105">
        <v>173241</v>
      </c>
      <c r="N25" s="105">
        <v>160825</v>
      </c>
      <c r="O25" s="106">
        <v>73250</v>
      </c>
      <c r="P25" s="108">
        <v>0.41</v>
      </c>
      <c r="Q25" s="109">
        <v>0.6</v>
      </c>
      <c r="R25" s="109">
        <v>1.26</v>
      </c>
      <c r="S25" s="109">
        <v>2.3210000000000002</v>
      </c>
      <c r="T25" s="110">
        <v>6.5000000000000002E-2</v>
      </c>
      <c r="U25" s="111">
        <f>'AUTO CALCULATION SHEET (2)'!E25</f>
        <v>892612.56420000002</v>
      </c>
      <c r="V25" s="112">
        <f t="shared" si="0"/>
        <v>5253.088099999989</v>
      </c>
      <c r="W25" s="109">
        <f t="shared" si="14"/>
        <v>1737</v>
      </c>
      <c r="X25" s="109">
        <f t="shared" si="12"/>
        <v>0</v>
      </c>
      <c r="Y25" s="113">
        <f t="shared" si="13"/>
        <v>-4642</v>
      </c>
      <c r="Z25" s="109">
        <f t="shared" si="2"/>
        <v>3256.2094500000021</v>
      </c>
      <c r="AA25" s="114">
        <f t="shared" si="3"/>
        <v>5604.2975499999911</v>
      </c>
      <c r="AB25" s="115">
        <f t="shared" ref="AB25:AB34" si="15">+U25+AA25</f>
        <v>898216.86175000004</v>
      </c>
      <c r="AC25" s="116">
        <f>'AUTO CALCULATION SHEET (2)'!N25</f>
        <v>405</v>
      </c>
      <c r="AD25" s="117">
        <f>'AUTO CALCULATION SHEET (2)'!Y25</f>
        <v>90</v>
      </c>
      <c r="AE25" s="117">
        <f>'AUTO CALCULATION SHEET (2)'!AC25</f>
        <v>181</v>
      </c>
      <c r="AF25" s="117">
        <f>'AUTO CALCULATION SHEET (2)'!AE25</f>
        <v>445</v>
      </c>
      <c r="AG25" s="117">
        <f>'AUTO CALCULATION SHEET (2)'!AK25</f>
        <v>0</v>
      </c>
      <c r="AH25" s="117">
        <f>'AUTO CALCULATION SHEET (2)'!AQ25</f>
        <v>352</v>
      </c>
      <c r="AI25" s="117">
        <f>'AUTO CALCULATION SHEET (2)'!AV25</f>
        <v>0</v>
      </c>
      <c r="AJ25" s="117">
        <f>'AUTO CALCULATION SHEET (2)'!BA25</f>
        <v>1964</v>
      </c>
      <c r="AK25" s="117">
        <f>'AUTO CALCULATION SHEET (2)'!BF25</f>
        <v>551</v>
      </c>
      <c r="AL25" s="117">
        <f>'AUTO CALCULATION SHEET (2)'!BL25</f>
        <v>308</v>
      </c>
      <c r="AM25" s="117">
        <f>'AUTO CALCULATION SHEET (2)'!BN25</f>
        <v>10</v>
      </c>
      <c r="AN25" s="117">
        <f>'AUTO CALCULATION SHEET (2)'!BP25</f>
        <v>42</v>
      </c>
      <c r="AO25" s="117">
        <f>'AUTO CALCULATION SHEET (2)'!BT25</f>
        <v>34</v>
      </c>
      <c r="AP25" s="118">
        <f t="shared" si="6"/>
        <v>597548</v>
      </c>
      <c r="AQ25" s="119">
        <f>'AUTO CALCULATION SHEET (2)'!BZ25</f>
        <v>90000</v>
      </c>
      <c r="AR25" s="118">
        <f t="shared" si="7"/>
        <v>687548</v>
      </c>
      <c r="AS25" s="119">
        <f t="shared" si="8"/>
        <v>210668.86175000004</v>
      </c>
      <c r="AT25" s="118">
        <f t="shared" si="9"/>
        <v>23.45</v>
      </c>
      <c r="AU25" s="119">
        <v>0</v>
      </c>
      <c r="AV25" s="119">
        <v>2</v>
      </c>
      <c r="AW25" s="119">
        <v>1</v>
      </c>
      <c r="AX25" s="120">
        <f t="shared" si="10"/>
        <v>20.45</v>
      </c>
    </row>
    <row r="26" spans="1:50" ht="21.75" customHeight="1" x14ac:dyDescent="0.2">
      <c r="A26" s="101" t="str">
        <f>'AUTO CALCULATION SHEET (2)'!D26</f>
        <v>1 CORE X 1000 SQ. MM. AL/ARM (XLPE) - 11 KV</v>
      </c>
      <c r="B26" s="153">
        <v>2.5</v>
      </c>
      <c r="C26" s="102" t="s">
        <v>325</v>
      </c>
      <c r="D26" s="103">
        <v>45705</v>
      </c>
      <c r="E26" s="104">
        <v>265753.40999999997</v>
      </c>
      <c r="F26" s="104">
        <v>870134.53</v>
      </c>
      <c r="G26" s="105">
        <v>176136</v>
      </c>
      <c r="H26" s="105">
        <v>160825</v>
      </c>
      <c r="I26" s="106"/>
      <c r="J26" s="107">
        <f t="shared" si="5"/>
        <v>45627</v>
      </c>
      <c r="K26" s="105">
        <v>252941</v>
      </c>
      <c r="L26" s="105">
        <v>820039</v>
      </c>
      <c r="M26" s="105">
        <v>173241</v>
      </c>
      <c r="N26" s="105">
        <v>160825</v>
      </c>
      <c r="O26" s="106"/>
      <c r="P26" s="108">
        <v>3.7490000000000001</v>
      </c>
      <c r="Q26" s="109">
        <v>0.66</v>
      </c>
      <c r="R26" s="109">
        <v>1.0349999999999999</v>
      </c>
      <c r="S26" s="109"/>
      <c r="T26" s="110">
        <v>5.8000000000000003E-2</v>
      </c>
      <c r="U26" s="111">
        <f>'AUTO CALCULATION SHEET (2)'!E26</f>
        <v>1700227.0152</v>
      </c>
      <c r="V26" s="112">
        <f t="shared" si="0"/>
        <v>48033.725089999905</v>
      </c>
      <c r="W26" s="109">
        <f t="shared" si="14"/>
        <v>1910.7</v>
      </c>
      <c r="X26" s="109">
        <f t="shared" si="12"/>
        <v>0</v>
      </c>
      <c r="Y26" s="113">
        <f t="shared" si="13"/>
        <v>0</v>
      </c>
      <c r="Z26" s="109">
        <f t="shared" si="2"/>
        <v>2905.5407400000017</v>
      </c>
      <c r="AA26" s="114">
        <f t="shared" si="3"/>
        <v>52849.965829999906</v>
      </c>
      <c r="AB26" s="115">
        <f>+U26+AA26</f>
        <v>1753076.9810299999</v>
      </c>
      <c r="AC26" s="116">
        <f>'AUTO CALCULATION SHEET (2)'!N26</f>
        <v>2732</v>
      </c>
      <c r="AD26" s="117">
        <f>'AUTO CALCULATION SHEET (2)'!Y26</f>
        <v>84</v>
      </c>
      <c r="AE26" s="117">
        <f>'AUTO CALCULATION SHEET (2)'!AC26</f>
        <v>276</v>
      </c>
      <c r="AF26" s="117">
        <f>'AUTO CALCULATION SHEET (2)'!AE26</f>
        <v>480</v>
      </c>
      <c r="AG26" s="117">
        <f>'AUTO CALCULATION SHEET (2)'!AK26</f>
        <v>35</v>
      </c>
      <c r="AH26" s="117">
        <f>'AUTO CALCULATION SHEET (2)'!AQ26</f>
        <v>198</v>
      </c>
      <c r="AI26" s="117">
        <f>'AUTO CALCULATION SHEET (2)'!AV26</f>
        <v>814</v>
      </c>
      <c r="AJ26" s="117">
        <f>'AUTO CALCULATION SHEET (2)'!BA26</f>
        <v>0</v>
      </c>
      <c r="AK26" s="117">
        <f>'AUTO CALCULATION SHEET (2)'!BF26</f>
        <v>706</v>
      </c>
      <c r="AL26" s="117">
        <f>'AUTO CALCULATION SHEET (2)'!BL26</f>
        <v>0</v>
      </c>
      <c r="AM26" s="117">
        <f>'AUTO CALCULATION SHEET (2)'!BN26</f>
        <v>39</v>
      </c>
      <c r="AN26" s="117">
        <f>'AUTO CALCULATION SHEET (2)'!BP26</f>
        <v>49</v>
      </c>
      <c r="AO26" s="117">
        <f>'AUTO CALCULATION SHEET (2)'!BT26</f>
        <v>42</v>
      </c>
      <c r="AP26" s="118">
        <f t="shared" si="6"/>
        <v>1310342</v>
      </c>
      <c r="AQ26" s="119">
        <f>'AUTO CALCULATION SHEET (2)'!BZ26</f>
        <v>63000</v>
      </c>
      <c r="AR26" s="118">
        <f t="shared" si="7"/>
        <v>1373342</v>
      </c>
      <c r="AS26" s="119">
        <f t="shared" si="8"/>
        <v>379734.98102999991</v>
      </c>
      <c r="AT26" s="118">
        <f t="shared" si="9"/>
        <v>21.66</v>
      </c>
      <c r="AU26" s="119">
        <v>0</v>
      </c>
      <c r="AV26" s="119">
        <v>2</v>
      </c>
      <c r="AW26" s="119">
        <v>1</v>
      </c>
      <c r="AX26" s="120">
        <f t="shared" si="10"/>
        <v>18.66</v>
      </c>
    </row>
    <row r="27" spans="1:50" ht="21.75" customHeight="1" x14ac:dyDescent="0.2">
      <c r="A27" s="101" t="str">
        <f>'AUTO CALCULATION SHEET (2)'!D27</f>
        <v>1 CORE X 630 SQ. MM. AL/ARM (XLPE)  - 11 KV</v>
      </c>
      <c r="B27" s="153">
        <v>2</v>
      </c>
      <c r="C27" s="102" t="s">
        <v>325</v>
      </c>
      <c r="D27" s="103">
        <v>45705</v>
      </c>
      <c r="E27" s="104">
        <v>265753.40999999997</v>
      </c>
      <c r="F27" s="104">
        <v>870134.53</v>
      </c>
      <c r="G27" s="105">
        <v>176136</v>
      </c>
      <c r="H27" s="105">
        <v>160825</v>
      </c>
      <c r="I27" s="106"/>
      <c r="J27" s="107">
        <f t="shared" si="5"/>
        <v>45627</v>
      </c>
      <c r="K27" s="105">
        <v>252941</v>
      </c>
      <c r="L27" s="105">
        <v>820039</v>
      </c>
      <c r="M27" s="105">
        <v>173241</v>
      </c>
      <c r="N27" s="105">
        <v>160825</v>
      </c>
      <c r="O27" s="106"/>
      <c r="P27" s="108">
        <v>2.3690000000000002</v>
      </c>
      <c r="Q27" s="109">
        <v>0.52900000000000003</v>
      </c>
      <c r="R27" s="109">
        <v>0.73899999999999999</v>
      </c>
      <c r="S27" s="109"/>
      <c r="T27" s="110">
        <v>0.05</v>
      </c>
      <c r="U27" s="111">
        <f>'AUTO CALCULATION SHEET (2)'!E27</f>
        <v>1140867.4284000001</v>
      </c>
      <c r="V27" s="112">
        <f t="shared" si="0"/>
        <v>30352.599289999944</v>
      </c>
      <c r="W27" s="109">
        <f t="shared" si="14"/>
        <v>1531.4550000000002</v>
      </c>
      <c r="X27" s="109">
        <f t="shared" si="12"/>
        <v>0</v>
      </c>
      <c r="Y27" s="113">
        <f t="shared" si="13"/>
        <v>0</v>
      </c>
      <c r="Z27" s="109">
        <f t="shared" si="2"/>
        <v>2504.7765000000018</v>
      </c>
      <c r="AA27" s="114">
        <f t="shared" si="3"/>
        <v>34388.830789999949</v>
      </c>
      <c r="AB27" s="115">
        <f>+U27+AA27</f>
        <v>1175256.2591900001</v>
      </c>
      <c r="AC27" s="116">
        <f>'AUTO CALCULATION SHEET (2)'!N27</f>
        <v>1701</v>
      </c>
      <c r="AD27" s="117">
        <f>'AUTO CALCULATION SHEET (2)'!Y27</f>
        <v>69</v>
      </c>
      <c r="AE27" s="117">
        <f>'AUTO CALCULATION SHEET (2)'!AC27</f>
        <v>213</v>
      </c>
      <c r="AF27" s="117">
        <f>'AUTO CALCULATION SHEET (2)'!AE27</f>
        <v>380</v>
      </c>
      <c r="AG27" s="117">
        <f>'AUTO CALCULATION SHEET (2)'!AK27</f>
        <v>29</v>
      </c>
      <c r="AH27" s="117">
        <f>'AUTO CALCULATION SHEET (2)'!AQ27</f>
        <v>144</v>
      </c>
      <c r="AI27" s="117">
        <f>'AUTO CALCULATION SHEET (2)'!AV27</f>
        <v>539</v>
      </c>
      <c r="AJ27" s="117">
        <f>'AUTO CALCULATION SHEET (2)'!BA27</f>
        <v>0</v>
      </c>
      <c r="AK27" s="117">
        <f>'AUTO CALCULATION SHEET (2)'!BF27</f>
        <v>500</v>
      </c>
      <c r="AL27" s="117">
        <f>'AUTO CALCULATION SHEET (2)'!BL27</f>
        <v>0</v>
      </c>
      <c r="AM27" s="117">
        <f>'AUTO CALCULATION SHEET (2)'!BN27</f>
        <v>26</v>
      </c>
      <c r="AN27" s="117">
        <f>'AUTO CALCULATION SHEET (2)'!BP27</f>
        <v>39</v>
      </c>
      <c r="AO27" s="117">
        <f>'AUTO CALCULATION SHEET (2)'!BT27</f>
        <v>33</v>
      </c>
      <c r="AP27" s="118">
        <f t="shared" si="6"/>
        <v>875653</v>
      </c>
      <c r="AQ27" s="119">
        <f>'AUTO CALCULATION SHEET (2)'!BZ27</f>
        <v>44800</v>
      </c>
      <c r="AR27" s="118">
        <f t="shared" si="7"/>
        <v>920453</v>
      </c>
      <c r="AS27" s="119">
        <f t="shared" si="8"/>
        <v>254803.25919000013</v>
      </c>
      <c r="AT27" s="118">
        <f t="shared" si="9"/>
        <v>21.68</v>
      </c>
      <c r="AU27" s="119">
        <v>0</v>
      </c>
      <c r="AV27" s="119">
        <v>2</v>
      </c>
      <c r="AW27" s="119">
        <v>1</v>
      </c>
      <c r="AX27" s="120">
        <f t="shared" si="10"/>
        <v>18.68</v>
      </c>
    </row>
    <row r="28" spans="1:50" ht="21.75" customHeight="1" x14ac:dyDescent="0.2">
      <c r="A28" s="101" t="str">
        <f>'AUTO CALCULATION SHEET (2)'!D28</f>
        <v>1 CORE X 400 SQ. MM. AL/ARM (XLPE) - 11 KV</v>
      </c>
      <c r="B28" s="153">
        <v>2</v>
      </c>
      <c r="C28" s="102" t="s">
        <v>325</v>
      </c>
      <c r="D28" s="103">
        <v>45705</v>
      </c>
      <c r="E28" s="104">
        <v>265753.40999999997</v>
      </c>
      <c r="F28" s="104">
        <v>870134.53</v>
      </c>
      <c r="G28" s="105">
        <v>176136</v>
      </c>
      <c r="H28" s="105">
        <v>160825</v>
      </c>
      <c r="I28" s="106"/>
      <c r="J28" s="107">
        <f t="shared" si="5"/>
        <v>45627</v>
      </c>
      <c r="K28" s="105">
        <v>252941</v>
      </c>
      <c r="L28" s="105">
        <v>820039</v>
      </c>
      <c r="M28" s="105">
        <v>173241</v>
      </c>
      <c r="N28" s="105">
        <v>160825</v>
      </c>
      <c r="O28" s="106"/>
      <c r="P28" s="108">
        <v>1.5649999999999999</v>
      </c>
      <c r="Q28" s="109">
        <v>0.42</v>
      </c>
      <c r="R28" s="109">
        <v>0.57799999999999996</v>
      </c>
      <c r="S28" s="109"/>
      <c r="T28" s="110">
        <v>4.1000000000000002E-2</v>
      </c>
      <c r="U28" s="111">
        <f>'AUTO CALCULATION SHEET (2)'!E28</f>
        <v>831134.4804</v>
      </c>
      <c r="V28" s="112">
        <f t="shared" si="0"/>
        <v>20051.42164999996</v>
      </c>
      <c r="W28" s="109">
        <f t="shared" si="14"/>
        <v>1215.8999999999999</v>
      </c>
      <c r="X28" s="109">
        <f t="shared" si="12"/>
        <v>0</v>
      </c>
      <c r="Y28" s="113">
        <f t="shared" si="13"/>
        <v>0</v>
      </c>
      <c r="Z28" s="109">
        <f t="shared" si="2"/>
        <v>2053.9167300000013</v>
      </c>
      <c r="AA28" s="114">
        <f t="shared" ref="AA28:AA30" si="16">V28+W28+X28+Y28+Z28</f>
        <v>23321.238379999962</v>
      </c>
      <c r="AB28" s="115">
        <f>+U28+AA28</f>
        <v>854455.71878</v>
      </c>
      <c r="AC28" s="116">
        <f>'AUTO CALCULATION SHEET (2)'!N28</f>
        <v>1080</v>
      </c>
      <c r="AD28" s="117">
        <f>'AUTO CALCULATION SHEET (2)'!Y28</f>
        <v>59</v>
      </c>
      <c r="AE28" s="117">
        <f>'AUTO CALCULATION SHEET (2)'!AC28</f>
        <v>172</v>
      </c>
      <c r="AF28" s="117">
        <f>'AUTO CALCULATION SHEET (2)'!AE28</f>
        <v>310</v>
      </c>
      <c r="AG28" s="117">
        <f>'AUTO CALCULATION SHEET (2)'!AK28</f>
        <v>24</v>
      </c>
      <c r="AH28" s="117">
        <f>'AUTO CALCULATION SHEET (2)'!AQ28</f>
        <v>104</v>
      </c>
      <c r="AI28" s="117">
        <f>'AUTO CALCULATION SHEET (2)'!AV28</f>
        <v>460</v>
      </c>
      <c r="AJ28" s="117">
        <f>'AUTO CALCULATION SHEET (2)'!BA28</f>
        <v>0</v>
      </c>
      <c r="AK28" s="117">
        <f>'AUTO CALCULATION SHEET (2)'!BF28</f>
        <v>400</v>
      </c>
      <c r="AL28" s="117">
        <f>'AUTO CALCULATION SHEET (2)'!BL28</f>
        <v>0</v>
      </c>
      <c r="AM28" s="117">
        <f>'AUTO CALCULATION SHEET (2)'!BN28</f>
        <v>20</v>
      </c>
      <c r="AN28" s="117">
        <f>'AUTO CALCULATION SHEET (2)'!BP28</f>
        <v>32</v>
      </c>
      <c r="AO28" s="117">
        <f>'AUTO CALCULATION SHEET (2)'!BT28</f>
        <v>30</v>
      </c>
      <c r="AP28" s="118">
        <f t="shared" si="6"/>
        <v>637730</v>
      </c>
      <c r="AQ28" s="119">
        <f>'AUTO CALCULATION SHEET (2)'!BZ28</f>
        <v>32000</v>
      </c>
      <c r="AR28" s="118">
        <f t="shared" si="7"/>
        <v>669730</v>
      </c>
      <c r="AS28" s="119">
        <f t="shared" si="8"/>
        <v>184725.71878</v>
      </c>
      <c r="AT28" s="118">
        <f t="shared" si="9"/>
        <v>21.62</v>
      </c>
      <c r="AU28" s="119">
        <v>0</v>
      </c>
      <c r="AV28" s="119">
        <v>2</v>
      </c>
      <c r="AW28" s="119">
        <v>1</v>
      </c>
      <c r="AX28" s="120">
        <f t="shared" si="10"/>
        <v>18.62</v>
      </c>
    </row>
    <row r="29" spans="1:50" ht="21.75" customHeight="1" x14ac:dyDescent="0.2">
      <c r="A29" s="101" t="str">
        <f>'AUTO CALCULATION SHEET (2)'!D29</f>
        <v>1 CORE X 300 SQ. MM. AL./ARM (XLPE)  - 11 KV</v>
      </c>
      <c r="B29" s="153">
        <v>2</v>
      </c>
      <c r="C29" s="102" t="s">
        <v>325</v>
      </c>
      <c r="D29" s="103">
        <v>45705</v>
      </c>
      <c r="E29" s="104">
        <v>265753.40999999997</v>
      </c>
      <c r="F29" s="104">
        <v>870134.53</v>
      </c>
      <c r="G29" s="105">
        <v>176136</v>
      </c>
      <c r="H29" s="105">
        <v>160825</v>
      </c>
      <c r="I29" s="106"/>
      <c r="J29" s="107">
        <f t="shared" si="5"/>
        <v>45627</v>
      </c>
      <c r="K29" s="105">
        <v>252941</v>
      </c>
      <c r="L29" s="105">
        <v>820039</v>
      </c>
      <c r="M29" s="105">
        <v>173241</v>
      </c>
      <c r="N29" s="105">
        <v>160825</v>
      </c>
      <c r="O29" s="106"/>
      <c r="P29" s="108">
        <v>1.2829999999999999</v>
      </c>
      <c r="Q29" s="109">
        <v>0.372</v>
      </c>
      <c r="R29" s="109">
        <v>0.50600000000000001</v>
      </c>
      <c r="S29" s="109"/>
      <c r="T29" s="110">
        <v>3.5999999999999997E-2</v>
      </c>
      <c r="U29" s="111">
        <f>'AUTO CALCULATION SHEET (2)'!E29</f>
        <v>694300.93739999994</v>
      </c>
      <c r="V29" s="112">
        <f t="shared" si="0"/>
        <v>16438.322029999967</v>
      </c>
      <c r="W29" s="109">
        <f t="shared" si="14"/>
        <v>1076.94</v>
      </c>
      <c r="X29" s="109">
        <f t="shared" si="12"/>
        <v>0</v>
      </c>
      <c r="Y29" s="113">
        <f t="shared" si="13"/>
        <v>0</v>
      </c>
      <c r="Z29" s="109">
        <f t="shared" si="2"/>
        <v>1803.4390800000008</v>
      </c>
      <c r="AA29" s="114">
        <f>V29+W29+X29+Y29+Z29</f>
        <v>19318.701109999965</v>
      </c>
      <c r="AB29" s="115">
        <f>+U29+AA29</f>
        <v>713619.63850999996</v>
      </c>
      <c r="AC29" s="116">
        <f>'AUTO CALCULATION SHEET (2)'!N29</f>
        <v>810</v>
      </c>
      <c r="AD29" s="117">
        <f>'AUTO CALCULATION SHEET (2)'!Y29</f>
        <v>54</v>
      </c>
      <c r="AE29" s="117">
        <f>'AUTO CALCULATION SHEET (2)'!AC29</f>
        <v>155</v>
      </c>
      <c r="AF29" s="117">
        <f>'AUTO CALCULATION SHEET (2)'!AE29</f>
        <v>278</v>
      </c>
      <c r="AG29" s="117">
        <f>'AUTO CALCULATION SHEET (2)'!AK29</f>
        <v>22</v>
      </c>
      <c r="AH29" s="117">
        <f>'AUTO CALCULATION SHEET (2)'!AQ29</f>
        <v>95</v>
      </c>
      <c r="AI29" s="117">
        <f>'AUTO CALCULATION SHEET (2)'!AV29</f>
        <v>424</v>
      </c>
      <c r="AJ29" s="117">
        <f>'AUTO CALCULATION SHEET (2)'!BA29</f>
        <v>0</v>
      </c>
      <c r="AK29" s="117">
        <f>'AUTO CALCULATION SHEET (2)'!BF29</f>
        <v>343</v>
      </c>
      <c r="AL29" s="117">
        <f>'AUTO CALCULATION SHEET (2)'!BL29</f>
        <v>0</v>
      </c>
      <c r="AM29" s="117">
        <f>'AUTO CALCULATION SHEET (2)'!BN29</f>
        <v>13</v>
      </c>
      <c r="AN29" s="117">
        <f>'AUTO CALCULATION SHEET (2)'!BP29</f>
        <v>29</v>
      </c>
      <c r="AO29" s="117">
        <f>'AUTO CALCULATION SHEET (2)'!BT29</f>
        <v>27</v>
      </c>
      <c r="AP29" s="118">
        <f t="shared" si="6"/>
        <v>530231</v>
      </c>
      <c r="AQ29" s="119">
        <f>'AUTO CALCULATION SHEET (2)'!BZ29</f>
        <v>28800</v>
      </c>
      <c r="AR29" s="118">
        <f t="shared" si="7"/>
        <v>559031</v>
      </c>
      <c r="AS29" s="119">
        <f t="shared" si="8"/>
        <v>154588.63850999996</v>
      </c>
      <c r="AT29" s="118">
        <f t="shared" si="9"/>
        <v>21.66</v>
      </c>
      <c r="AU29" s="119">
        <v>0</v>
      </c>
      <c r="AV29" s="119">
        <v>2</v>
      </c>
      <c r="AW29" s="119">
        <v>1</v>
      </c>
      <c r="AX29" s="120">
        <f t="shared" si="10"/>
        <v>18.66</v>
      </c>
    </row>
    <row r="30" spans="1:50" ht="21.75" customHeight="1" x14ac:dyDescent="0.2">
      <c r="A30" s="101" t="str">
        <f>'AUTO CALCULATION SHEET (2)'!D30</f>
        <v>3 CORE X 400 SQ. MM AL/ARM - WIRE (XLPE) - 33 KV</v>
      </c>
      <c r="B30" s="153">
        <v>4</v>
      </c>
      <c r="C30" s="102" t="s">
        <v>325</v>
      </c>
      <c r="D30" s="103">
        <v>45705</v>
      </c>
      <c r="E30" s="104">
        <v>265753.40999999997</v>
      </c>
      <c r="F30" s="104">
        <v>870134.53</v>
      </c>
      <c r="G30" s="105">
        <v>176136</v>
      </c>
      <c r="H30" s="105">
        <v>160825</v>
      </c>
      <c r="I30" s="106">
        <v>70250</v>
      </c>
      <c r="J30" s="107">
        <f t="shared" si="5"/>
        <v>45627</v>
      </c>
      <c r="K30" s="105">
        <v>252941</v>
      </c>
      <c r="L30" s="105">
        <v>820039</v>
      </c>
      <c r="M30" s="105">
        <v>173241</v>
      </c>
      <c r="N30" s="105">
        <v>160825</v>
      </c>
      <c r="O30" s="106">
        <v>72250</v>
      </c>
      <c r="P30" s="108">
        <v>3.3740000000000001</v>
      </c>
      <c r="Q30" s="109">
        <v>3.2290000000000001</v>
      </c>
      <c r="R30" s="109">
        <v>5.7359999999999998</v>
      </c>
      <c r="S30" s="109">
        <v>8.76</v>
      </c>
      <c r="T30" s="110">
        <v>0.16400000000000001</v>
      </c>
      <c r="U30" s="111">
        <f>'AUTO CALCULATION SHEET (2)'!E30</f>
        <v>3751528.3974000001</v>
      </c>
      <c r="V30" s="112">
        <f t="shared" si="0"/>
        <v>43229.071339999915</v>
      </c>
      <c r="W30" s="109">
        <f t="shared" si="14"/>
        <v>9347.9549999999999</v>
      </c>
      <c r="X30" s="109">
        <f t="shared" si="12"/>
        <v>0</v>
      </c>
      <c r="Y30" s="113">
        <f t="shared" si="13"/>
        <v>-17520</v>
      </c>
      <c r="Z30" s="109">
        <f t="shared" si="2"/>
        <v>8215.6669200000051</v>
      </c>
      <c r="AA30" s="114">
        <f t="shared" si="16"/>
        <v>43272.69325999992</v>
      </c>
      <c r="AB30" s="115">
        <f t="shared" si="15"/>
        <v>3794801.0906600002</v>
      </c>
      <c r="AC30" s="116">
        <f>'AUTO CALCULATION SHEET (2)'!N30</f>
        <v>3240</v>
      </c>
      <c r="AD30" s="117">
        <f>'AUTO CALCULATION SHEET (2)'!Y30</f>
        <v>229</v>
      </c>
      <c r="AE30" s="117">
        <f>'AUTO CALCULATION SHEET (2)'!AC30</f>
        <v>618</v>
      </c>
      <c r="AF30" s="117">
        <f>'AUTO CALCULATION SHEET (2)'!AE30</f>
        <v>2674</v>
      </c>
      <c r="AG30" s="117">
        <f>'AUTO CALCULATION SHEET (2)'!AK30</f>
        <v>0</v>
      </c>
      <c r="AH30" s="117">
        <f>'AUTO CALCULATION SHEET (2)'!AQ30</f>
        <v>1629</v>
      </c>
      <c r="AI30" s="117">
        <f>'AUTO CALCULATION SHEET (2)'!AV30</f>
        <v>0</v>
      </c>
      <c r="AJ30" s="117">
        <f>'AUTO CALCULATION SHEET (2)'!BA30</f>
        <v>7284</v>
      </c>
      <c r="AK30" s="117">
        <f>'AUTO CALCULATION SHEET (2)'!BF30</f>
        <v>1760</v>
      </c>
      <c r="AL30" s="117">
        <f>'AUTO CALCULATION SHEET (2)'!BL30</f>
        <v>1750</v>
      </c>
      <c r="AM30" s="117">
        <f>'AUTO CALCULATION SHEET (2)'!BN30</f>
        <v>58</v>
      </c>
      <c r="AN30" s="117">
        <f>'AUTO CALCULATION SHEET (2)'!BP30</f>
        <v>114</v>
      </c>
      <c r="AO30" s="117">
        <f>'AUTO CALCULATION SHEET (2)'!BT30</f>
        <v>76</v>
      </c>
      <c r="AP30" s="118">
        <f t="shared" si="6"/>
        <v>2748160</v>
      </c>
      <c r="AQ30" s="119">
        <f>'AUTO CALCULATION SHEET (2)'!BZ30</f>
        <v>176000</v>
      </c>
      <c r="AR30" s="118">
        <f t="shared" si="7"/>
        <v>2924160</v>
      </c>
      <c r="AS30" s="119">
        <f t="shared" si="8"/>
        <v>870641.09066000022</v>
      </c>
      <c r="AT30" s="118">
        <f t="shared" si="9"/>
        <v>22.94</v>
      </c>
      <c r="AU30" s="119">
        <v>0</v>
      </c>
      <c r="AV30" s="119">
        <v>2</v>
      </c>
      <c r="AW30" s="119">
        <v>1</v>
      </c>
      <c r="AX30" s="120">
        <f t="shared" si="10"/>
        <v>19.940000000000001</v>
      </c>
    </row>
    <row r="31" spans="1:50" ht="21.75" customHeight="1" x14ac:dyDescent="0.2">
      <c r="A31" s="101" t="str">
        <f>'AUTO CALCULATION SHEET (2)'!D31</f>
        <v>3 CORE X 300 SQ. MM. AL/ARM - WIRE (XLPE) - 33 KV</v>
      </c>
      <c r="B31" s="153">
        <v>4</v>
      </c>
      <c r="C31" s="102" t="s">
        <v>325</v>
      </c>
      <c r="D31" s="103">
        <v>45705</v>
      </c>
      <c r="E31" s="104">
        <v>265753.40999999997</v>
      </c>
      <c r="F31" s="104">
        <v>870134.53</v>
      </c>
      <c r="G31" s="105">
        <v>176136</v>
      </c>
      <c r="H31" s="105">
        <v>160825</v>
      </c>
      <c r="I31" s="106">
        <v>70250</v>
      </c>
      <c r="J31" s="107">
        <f t="shared" si="5"/>
        <v>45627</v>
      </c>
      <c r="K31" s="105">
        <v>252941</v>
      </c>
      <c r="L31" s="105">
        <v>820039</v>
      </c>
      <c r="M31" s="105">
        <v>173241</v>
      </c>
      <c r="N31" s="105">
        <v>160825</v>
      </c>
      <c r="O31" s="106">
        <v>72250</v>
      </c>
      <c r="P31" s="108">
        <v>2.6349999999999998</v>
      </c>
      <c r="Q31" s="109">
        <v>2.919</v>
      </c>
      <c r="R31" s="109">
        <v>5.0289999999999999</v>
      </c>
      <c r="S31" s="109">
        <v>8.1869999999999994</v>
      </c>
      <c r="T31" s="110">
        <v>0.15</v>
      </c>
      <c r="U31" s="111">
        <f>'AUTO CALCULATION SHEET (2)'!E31</f>
        <v>3269603.3454</v>
      </c>
      <c r="V31" s="112">
        <f t="shared" ref="V31" si="17">(P31*(E31-K31))</f>
        <v>33760.700349999926</v>
      </c>
      <c r="W31" s="109">
        <f t="shared" si="14"/>
        <v>8450.505000000001</v>
      </c>
      <c r="X31" s="109">
        <f t="shared" si="12"/>
        <v>0</v>
      </c>
      <c r="Y31" s="113">
        <f t="shared" si="13"/>
        <v>-16373.999999999998</v>
      </c>
      <c r="Z31" s="109">
        <f t="shared" si="2"/>
        <v>7514.3295000000035</v>
      </c>
      <c r="AA31" s="114">
        <f t="shared" ref="AA31:AA37" si="18">V31+W31+X31+Y31+Z31</f>
        <v>33351.534849999938</v>
      </c>
      <c r="AB31" s="115">
        <f>+U31+AA31</f>
        <v>3302954.8802499999</v>
      </c>
      <c r="AC31" s="116">
        <f>'AUTO CALCULATION SHEET (2)'!N31</f>
        <v>2430</v>
      </c>
      <c r="AD31" s="117">
        <f>'AUTO CALCULATION SHEET (2)'!Y31</f>
        <v>214</v>
      </c>
      <c r="AE31" s="117">
        <f>'AUTO CALCULATION SHEET (2)'!AC31</f>
        <v>564</v>
      </c>
      <c r="AF31" s="117">
        <f>'AUTO CALCULATION SHEET (2)'!AE31</f>
        <v>2438</v>
      </c>
      <c r="AG31" s="117">
        <f>'AUTO CALCULATION SHEET (2)'!AK31</f>
        <v>0</v>
      </c>
      <c r="AH31" s="117">
        <f>'AUTO CALCULATION SHEET (2)'!AQ31</f>
        <v>1449</v>
      </c>
      <c r="AI31" s="117">
        <f>'AUTO CALCULATION SHEET (2)'!AV31</f>
        <v>0</v>
      </c>
      <c r="AJ31" s="117">
        <f>'AUTO CALCULATION SHEET (2)'!BA31</f>
        <v>6874</v>
      </c>
      <c r="AK31" s="117">
        <f>'AUTO CALCULATION SHEET (2)'!BF31</f>
        <v>1655</v>
      </c>
      <c r="AL31" s="117">
        <f>'AUTO CALCULATION SHEET (2)'!BL31</f>
        <v>1525</v>
      </c>
      <c r="AM31" s="117">
        <f>'AUTO CALCULATION SHEET (2)'!BN31</f>
        <v>38</v>
      </c>
      <c r="AN31" s="117">
        <f>'AUTO CALCULATION SHEET (2)'!BP31</f>
        <v>104</v>
      </c>
      <c r="AO31" s="117">
        <f>'AUTO CALCULATION SHEET (2)'!BT31</f>
        <v>72</v>
      </c>
      <c r="AP31" s="118">
        <f t="shared" si="6"/>
        <v>2379902</v>
      </c>
      <c r="AQ31" s="119">
        <f>'AUTO CALCULATION SHEET (2)'!BZ31</f>
        <v>160000</v>
      </c>
      <c r="AR31" s="118">
        <f t="shared" si="7"/>
        <v>2539902</v>
      </c>
      <c r="AS31" s="119">
        <f t="shared" si="8"/>
        <v>763052.88024999993</v>
      </c>
      <c r="AT31" s="118">
        <f t="shared" si="9"/>
        <v>23.1</v>
      </c>
      <c r="AU31" s="119">
        <v>0</v>
      </c>
      <c r="AV31" s="119">
        <v>2</v>
      </c>
      <c r="AW31" s="119">
        <v>1</v>
      </c>
      <c r="AX31" s="120">
        <f t="shared" si="10"/>
        <v>20.100000000000001</v>
      </c>
    </row>
    <row r="32" spans="1:50" ht="21.75" customHeight="1" x14ac:dyDescent="0.2">
      <c r="A32" s="101" t="str">
        <f>'AUTO CALCULATION SHEET (2)'!D32</f>
        <v>3 CORE X 185 SQ. MM AL/ARM - WIRE (XLPE) - 33 KV</v>
      </c>
      <c r="B32" s="153">
        <v>4</v>
      </c>
      <c r="C32" s="102" t="s">
        <v>325</v>
      </c>
      <c r="D32" s="103">
        <v>45705</v>
      </c>
      <c r="E32" s="104">
        <v>265753.40999999997</v>
      </c>
      <c r="F32" s="104">
        <v>870134.53</v>
      </c>
      <c r="G32" s="105">
        <v>176136</v>
      </c>
      <c r="H32" s="105">
        <v>160825</v>
      </c>
      <c r="I32" s="106">
        <v>70250</v>
      </c>
      <c r="J32" s="107">
        <f t="shared" si="5"/>
        <v>45627</v>
      </c>
      <c r="K32" s="105">
        <v>252941</v>
      </c>
      <c r="L32" s="105">
        <v>820039</v>
      </c>
      <c r="M32" s="105">
        <v>173241</v>
      </c>
      <c r="N32" s="105">
        <v>160825</v>
      </c>
      <c r="O32" s="106">
        <v>72250</v>
      </c>
      <c r="P32" s="108">
        <v>1.605</v>
      </c>
      <c r="Q32" s="109">
        <v>2.5129999999999999</v>
      </c>
      <c r="R32" s="109">
        <v>4.1660000000000004</v>
      </c>
      <c r="S32" s="109">
        <v>7.3559999999999999</v>
      </c>
      <c r="T32" s="110">
        <v>0.13400000000000001</v>
      </c>
      <c r="U32" s="111">
        <f>'AUTO CALCULATION SHEET (2)'!E32</f>
        <v>2659700.9375999998</v>
      </c>
      <c r="V32" s="112">
        <f t="shared" ref="V32:V39" si="19">(P32*(E32-K32))</f>
        <v>20563.91804999996</v>
      </c>
      <c r="W32" s="109">
        <f t="shared" si="14"/>
        <v>7275.1349999999993</v>
      </c>
      <c r="X32" s="109">
        <f t="shared" si="12"/>
        <v>0</v>
      </c>
      <c r="Y32" s="113">
        <f t="shared" si="13"/>
        <v>-14712</v>
      </c>
      <c r="Z32" s="109">
        <f t="shared" si="2"/>
        <v>6712.8010200000044</v>
      </c>
      <c r="AA32" s="114">
        <f t="shared" si="18"/>
        <v>19839.854069999965</v>
      </c>
      <c r="AB32" s="115">
        <f>+U32+AA32</f>
        <v>2679540.7916699997</v>
      </c>
      <c r="AC32" s="116">
        <f>'AUTO CALCULATION SHEET (2)'!N32</f>
        <v>1499</v>
      </c>
      <c r="AD32" s="117">
        <f>'AUTO CALCULATION SHEET (2)'!Y32</f>
        <v>191</v>
      </c>
      <c r="AE32" s="117">
        <f>'AUTO CALCULATION SHEET (2)'!AC32</f>
        <v>486</v>
      </c>
      <c r="AF32" s="117">
        <f>'AUTO CALCULATION SHEET (2)'!AE32</f>
        <v>2091</v>
      </c>
      <c r="AG32" s="117">
        <f>'AUTO CALCULATION SHEET (2)'!AK32</f>
        <v>0</v>
      </c>
      <c r="AH32" s="117">
        <f>'AUTO CALCULATION SHEET (2)'!AQ32</f>
        <v>1186</v>
      </c>
      <c r="AI32" s="117">
        <f>'AUTO CALCULATION SHEET (2)'!AV32</f>
        <v>0</v>
      </c>
      <c r="AJ32" s="117">
        <f>'AUTO CALCULATION SHEET (2)'!BA32</f>
        <v>6155</v>
      </c>
      <c r="AK32" s="117">
        <f>'AUTO CALCULATION SHEET (2)'!BF32</f>
        <v>1480</v>
      </c>
      <c r="AL32" s="117">
        <f>'AUTO CALCULATION SHEET (2)'!BL32</f>
        <v>1224</v>
      </c>
      <c r="AM32" s="117">
        <f>'AUTO CALCULATION SHEET (2)'!BN32</f>
        <v>35</v>
      </c>
      <c r="AN32" s="117">
        <f>'AUTO CALCULATION SHEET (2)'!BP32</f>
        <v>90</v>
      </c>
      <c r="AO32" s="117">
        <f>'AUTO CALCULATION SHEET (2)'!BT32</f>
        <v>65</v>
      </c>
      <c r="AP32" s="118">
        <f t="shared" si="6"/>
        <v>1908393</v>
      </c>
      <c r="AQ32" s="119">
        <f>'AUTO CALCULATION SHEET (2)'!BZ32</f>
        <v>147600</v>
      </c>
      <c r="AR32" s="118">
        <f t="shared" si="7"/>
        <v>2055993</v>
      </c>
      <c r="AS32" s="119">
        <f t="shared" si="8"/>
        <v>623547.79166999971</v>
      </c>
      <c r="AT32" s="118">
        <f t="shared" si="9"/>
        <v>23.27</v>
      </c>
      <c r="AU32" s="119">
        <v>0</v>
      </c>
      <c r="AV32" s="119">
        <v>2</v>
      </c>
      <c r="AW32" s="119">
        <v>1</v>
      </c>
      <c r="AX32" s="120">
        <f t="shared" si="10"/>
        <v>20.27</v>
      </c>
    </row>
    <row r="33" spans="1:50" ht="21.75" customHeight="1" x14ac:dyDescent="0.2">
      <c r="A33" s="101" t="str">
        <f>'AUTO CALCULATION SHEET (2)'!D33</f>
        <v>3 CORE X 95 SQ. MM. AL/ARM  WIRE (XLPE) - 33 KV</v>
      </c>
      <c r="B33" s="153">
        <v>3.15</v>
      </c>
      <c r="C33" s="102" t="s">
        <v>325</v>
      </c>
      <c r="D33" s="103">
        <v>45705</v>
      </c>
      <c r="E33" s="104">
        <v>265753.40999999997</v>
      </c>
      <c r="F33" s="104">
        <v>870134.53</v>
      </c>
      <c r="G33" s="105">
        <v>176136</v>
      </c>
      <c r="H33" s="105">
        <v>160825</v>
      </c>
      <c r="I33" s="106">
        <v>70250</v>
      </c>
      <c r="J33" s="107">
        <f t="shared" si="5"/>
        <v>45627</v>
      </c>
      <c r="K33" s="105">
        <v>252941</v>
      </c>
      <c r="L33" s="105">
        <v>820039</v>
      </c>
      <c r="M33" s="105">
        <v>173241</v>
      </c>
      <c r="N33" s="105">
        <v>160825</v>
      </c>
      <c r="O33" s="106">
        <v>72250</v>
      </c>
      <c r="P33" s="108">
        <v>0.82099999999999995</v>
      </c>
      <c r="Q33" s="109">
        <v>2.0710000000000002</v>
      </c>
      <c r="R33" s="109">
        <v>3.367</v>
      </c>
      <c r="S33" s="109">
        <v>5.4370000000000003</v>
      </c>
      <c r="T33" s="110">
        <v>0.11700000000000001</v>
      </c>
      <c r="U33" s="111">
        <f>'AUTO CALCULATION SHEET (2)'!E33</f>
        <v>1960522.8677999999</v>
      </c>
      <c r="V33" s="112">
        <f t="shared" si="19"/>
        <v>10518.988609999979</v>
      </c>
      <c r="W33" s="109">
        <f t="shared" si="14"/>
        <v>5995.5450000000001</v>
      </c>
      <c r="X33" s="109">
        <f t="shared" si="12"/>
        <v>0</v>
      </c>
      <c r="Y33" s="113">
        <f t="shared" si="13"/>
        <v>-10874</v>
      </c>
      <c r="Z33" s="109">
        <f t="shared" si="2"/>
        <v>5861.177010000004</v>
      </c>
      <c r="AA33" s="114">
        <f t="shared" si="18"/>
        <v>11501.71061999998</v>
      </c>
      <c r="AB33" s="115">
        <f>+U33+AA33</f>
        <v>1972024.5784199999</v>
      </c>
      <c r="AC33" s="116">
        <f>'AUTO CALCULATION SHEET (2)'!N33</f>
        <v>770</v>
      </c>
      <c r="AD33" s="117">
        <f>'AUTO CALCULATION SHEET (2)'!Y33</f>
        <v>167</v>
      </c>
      <c r="AE33" s="117">
        <f>'AUTO CALCULATION SHEET (2)'!AC33</f>
        <v>403</v>
      </c>
      <c r="AF33" s="117">
        <f>'AUTO CALCULATION SHEET (2)'!AE33</f>
        <v>1724</v>
      </c>
      <c r="AG33" s="117">
        <f>'AUTO CALCULATION SHEET (2)'!AK33</f>
        <v>0</v>
      </c>
      <c r="AH33" s="117">
        <f>'AUTO CALCULATION SHEET (2)'!AQ33</f>
        <v>950</v>
      </c>
      <c r="AI33" s="117">
        <f>'AUTO CALCULATION SHEET (2)'!AV33</f>
        <v>0</v>
      </c>
      <c r="AJ33" s="117">
        <f>'AUTO CALCULATION SHEET (2)'!BA33</f>
        <v>4262</v>
      </c>
      <c r="AK33" s="117">
        <f>'AUTO CALCULATION SHEET (2)'!BF33</f>
        <v>1296</v>
      </c>
      <c r="AL33" s="117">
        <f>'AUTO CALCULATION SHEET (2)'!BL33</f>
        <v>940</v>
      </c>
      <c r="AM33" s="117">
        <f>'AUTO CALCULATION SHEET (2)'!BN33</f>
        <v>15</v>
      </c>
      <c r="AN33" s="117">
        <f>'AUTO CALCULATION SHEET (2)'!BP33</f>
        <v>75</v>
      </c>
      <c r="AO33" s="117">
        <f>'AUTO CALCULATION SHEET (2)'!BT33</f>
        <v>57</v>
      </c>
      <c r="AP33" s="118">
        <f t="shared" si="6"/>
        <v>1386474</v>
      </c>
      <c r="AQ33" s="119">
        <f>'AUTO CALCULATION SHEET (2)'!BZ33</f>
        <v>128000</v>
      </c>
      <c r="AR33" s="118">
        <f t="shared" si="7"/>
        <v>1514474</v>
      </c>
      <c r="AS33" s="119">
        <f t="shared" si="8"/>
        <v>457550.57841999992</v>
      </c>
      <c r="AT33" s="118">
        <f t="shared" si="9"/>
        <v>23.2</v>
      </c>
      <c r="AU33" s="119">
        <v>0</v>
      </c>
      <c r="AV33" s="119">
        <v>2</v>
      </c>
      <c r="AW33" s="119">
        <v>1</v>
      </c>
      <c r="AX33" s="120">
        <f t="shared" si="10"/>
        <v>20.2</v>
      </c>
    </row>
    <row r="34" spans="1:50" ht="21.75" customHeight="1" x14ac:dyDescent="0.2">
      <c r="A34" s="101" t="str">
        <f>'AUTO CALCULATION SHEET (2)'!D34</f>
        <v>3 CORE X 70 SQ. MM. AL/ARM - WIRE (XLPE) - 33 KV</v>
      </c>
      <c r="B34" s="153">
        <v>3.15</v>
      </c>
      <c r="C34" s="102" t="s">
        <v>325</v>
      </c>
      <c r="D34" s="103">
        <v>45705</v>
      </c>
      <c r="E34" s="104">
        <v>265753.40999999997</v>
      </c>
      <c r="F34" s="104">
        <v>870134.53</v>
      </c>
      <c r="G34" s="105">
        <v>176136</v>
      </c>
      <c r="H34" s="105">
        <v>160825</v>
      </c>
      <c r="I34" s="106">
        <v>70250</v>
      </c>
      <c r="J34" s="107">
        <f t="shared" si="5"/>
        <v>45627</v>
      </c>
      <c r="K34" s="105">
        <v>252941</v>
      </c>
      <c r="L34" s="105">
        <v>820039</v>
      </c>
      <c r="M34" s="105">
        <v>173241</v>
      </c>
      <c r="N34" s="105">
        <v>160825</v>
      </c>
      <c r="O34" s="106">
        <v>72250</v>
      </c>
      <c r="P34" s="108">
        <v>0.59299999999999997</v>
      </c>
      <c r="Q34" s="109">
        <v>1.9159999999999999</v>
      </c>
      <c r="R34" s="109">
        <v>3.2189999999999999</v>
      </c>
      <c r="S34" s="109">
        <v>4.8090000000000002</v>
      </c>
      <c r="T34" s="110">
        <v>0.111</v>
      </c>
      <c r="U34" s="111">
        <f>'AUTO CALCULATION SHEET (2)'!E34</f>
        <v>1826652.2021999999</v>
      </c>
      <c r="V34" s="112">
        <f t="shared" si="19"/>
        <v>7597.759129999984</v>
      </c>
      <c r="W34" s="109">
        <f t="shared" si="14"/>
        <v>5546.82</v>
      </c>
      <c r="X34" s="109">
        <f t="shared" si="12"/>
        <v>0</v>
      </c>
      <c r="Y34" s="113">
        <f t="shared" si="13"/>
        <v>-9618</v>
      </c>
      <c r="Z34" s="109">
        <f t="shared" si="2"/>
        <v>5560.6038300000027</v>
      </c>
      <c r="AA34" s="114">
        <f t="shared" si="18"/>
        <v>9087.1829599999874</v>
      </c>
      <c r="AB34" s="115">
        <f t="shared" si="15"/>
        <v>1835739.3851599998</v>
      </c>
      <c r="AC34" s="116">
        <f>'AUTO CALCULATION SHEET (2)'!N34</f>
        <v>567</v>
      </c>
      <c r="AD34" s="117">
        <f>'AUTO CALCULATION SHEET (2)'!Y34</f>
        <v>161</v>
      </c>
      <c r="AE34" s="117">
        <f>'AUTO CALCULATION SHEET (2)'!AC34</f>
        <v>378</v>
      </c>
      <c r="AF34" s="117">
        <f>'AUTO CALCULATION SHEET (2)'!AE34</f>
        <v>1615</v>
      </c>
      <c r="AG34" s="117">
        <f>'AUTO CALCULATION SHEET (2)'!AK34</f>
        <v>0</v>
      </c>
      <c r="AH34" s="117">
        <f>'AUTO CALCULATION SHEET (2)'!AQ34</f>
        <v>885</v>
      </c>
      <c r="AI34" s="117">
        <f>'AUTO CALCULATION SHEET (2)'!AV34</f>
        <v>0</v>
      </c>
      <c r="AJ34" s="117">
        <f>'AUTO CALCULATION SHEET (2)'!BA34</f>
        <v>4072</v>
      </c>
      <c r="AK34" s="117">
        <f>'AUTO CALCULATION SHEET (2)'!BF34</f>
        <v>1190</v>
      </c>
      <c r="AL34" s="117">
        <f>'AUTO CALCULATION SHEET (2)'!BL34</f>
        <v>862</v>
      </c>
      <c r="AM34" s="117">
        <f>'AUTO CALCULATION SHEET (2)'!BN34</f>
        <v>15</v>
      </c>
      <c r="AN34" s="117">
        <f>'AUTO CALCULATION SHEET (2)'!BP34</f>
        <v>71</v>
      </c>
      <c r="AO34" s="117">
        <f>'AUTO CALCULATION SHEET (2)'!BT34</f>
        <v>54</v>
      </c>
      <c r="AP34" s="118">
        <f t="shared" si="6"/>
        <v>1264375</v>
      </c>
      <c r="AQ34" s="119">
        <f>'AUTO CALCULATION SHEET (2)'!BZ34</f>
        <v>144000</v>
      </c>
      <c r="AR34" s="118">
        <f t="shared" si="7"/>
        <v>1408375</v>
      </c>
      <c r="AS34" s="119">
        <f t="shared" si="8"/>
        <v>427364.38515999983</v>
      </c>
      <c r="AT34" s="118">
        <f t="shared" si="9"/>
        <v>23.28</v>
      </c>
      <c r="AU34" s="119">
        <v>0</v>
      </c>
      <c r="AV34" s="119">
        <v>2</v>
      </c>
      <c r="AW34" s="119">
        <v>1</v>
      </c>
      <c r="AX34" s="120">
        <f t="shared" si="10"/>
        <v>20.28</v>
      </c>
    </row>
    <row r="35" spans="1:50" ht="21.75" customHeight="1" x14ac:dyDescent="0.2">
      <c r="A35" s="101" t="str">
        <f>'AUTO CALCULATION SHEET (2)'!D35</f>
        <v>3 CORE X 50 SQ. MM. AL/ARD - WIRE (XLPE) - 33 KV (E)</v>
      </c>
      <c r="B35" s="153">
        <v>3.15</v>
      </c>
      <c r="C35" s="102" t="s">
        <v>325</v>
      </c>
      <c r="D35" s="103">
        <v>45705</v>
      </c>
      <c r="E35" s="104">
        <v>265753.40999999997</v>
      </c>
      <c r="F35" s="104">
        <v>870134.53</v>
      </c>
      <c r="G35" s="105">
        <v>176136</v>
      </c>
      <c r="H35" s="105">
        <v>160825</v>
      </c>
      <c r="I35" s="106">
        <v>70250</v>
      </c>
      <c r="J35" s="107">
        <f t="shared" si="5"/>
        <v>45627</v>
      </c>
      <c r="K35" s="105">
        <v>252941</v>
      </c>
      <c r="L35" s="105">
        <v>820039</v>
      </c>
      <c r="M35" s="105">
        <v>173241</v>
      </c>
      <c r="N35" s="105">
        <v>160825</v>
      </c>
      <c r="O35" s="106">
        <v>72250</v>
      </c>
      <c r="P35" s="108">
        <v>0.41</v>
      </c>
      <c r="Q35" s="109">
        <v>1.7509999999999999</v>
      </c>
      <c r="R35" s="109">
        <v>2.8639999999999999</v>
      </c>
      <c r="S35" s="109">
        <v>4.569</v>
      </c>
      <c r="T35" s="110">
        <v>0.104</v>
      </c>
      <c r="U35" s="111">
        <f>'AUTO CALCULATION SHEET (2)'!E35</f>
        <v>1591041.8034000001</v>
      </c>
      <c r="V35" s="112">
        <f t="shared" si="19"/>
        <v>5253.088099999989</v>
      </c>
      <c r="W35" s="109">
        <f t="shared" si="14"/>
        <v>5069.1449999999995</v>
      </c>
      <c r="X35" s="109">
        <f t="shared" si="12"/>
        <v>0</v>
      </c>
      <c r="Y35" s="113">
        <f t="shared" si="13"/>
        <v>-9138</v>
      </c>
      <c r="Z35" s="109">
        <f t="shared" si="2"/>
        <v>5209.9351200000028</v>
      </c>
      <c r="AA35" s="114">
        <f t="shared" si="18"/>
        <v>6394.1682199999914</v>
      </c>
      <c r="AB35" s="115">
        <f>+U35+AA35</f>
        <v>1597435.97162</v>
      </c>
      <c r="AC35" s="116">
        <f>'AUTO CALCULATION SHEET (2)'!N35</f>
        <v>405</v>
      </c>
      <c r="AD35" s="117">
        <f>'AUTO CALCULATION SHEET (2)'!Y35</f>
        <v>153</v>
      </c>
      <c r="AE35" s="117">
        <f>'AUTO CALCULATION SHEET (2)'!AC35</f>
        <v>350</v>
      </c>
      <c r="AF35" s="117">
        <f>'AUTO CALCULATION SHEET (2)'!AE35</f>
        <v>1490</v>
      </c>
      <c r="AG35" s="117">
        <f>'AUTO CALCULATION SHEET (2)'!AK35</f>
        <v>0</v>
      </c>
      <c r="AH35" s="117">
        <f>'AUTO CALCULATION SHEET (2)'!AQ35</f>
        <v>798</v>
      </c>
      <c r="AI35" s="117">
        <f>'AUTO CALCULATION SHEET (2)'!AV35</f>
        <v>0</v>
      </c>
      <c r="AJ35" s="117">
        <f>'AUTO CALCULATION SHEET (2)'!BA35</f>
        <v>3881</v>
      </c>
      <c r="AK35" s="117">
        <f>'AUTO CALCULATION SHEET (2)'!BF35</f>
        <v>1080</v>
      </c>
      <c r="AL35" s="117">
        <f>'AUTO CALCULATION SHEET (2)'!BL35</f>
        <v>778</v>
      </c>
      <c r="AM35" s="117">
        <f>'AUTO CALCULATION SHEET (2)'!BN35</f>
        <v>10</v>
      </c>
      <c r="AN35" s="117">
        <f>'AUTO CALCULATION SHEET (2)'!BP35</f>
        <v>66</v>
      </c>
      <c r="AO35" s="117">
        <f>'AUTO CALCULATION SHEET (2)'!BT35</f>
        <v>52</v>
      </c>
      <c r="AP35" s="118">
        <f t="shared" si="6"/>
        <v>1144290</v>
      </c>
      <c r="AQ35" s="119">
        <f>'AUTO CALCULATION SHEET (2)'!BZ35</f>
        <v>80000</v>
      </c>
      <c r="AR35" s="118">
        <f t="shared" si="7"/>
        <v>1224290</v>
      </c>
      <c r="AS35" s="119">
        <f t="shared" si="8"/>
        <v>373145.97161999997</v>
      </c>
      <c r="AT35" s="118">
        <f t="shared" si="9"/>
        <v>23.36</v>
      </c>
      <c r="AU35" s="119">
        <v>0</v>
      </c>
      <c r="AV35" s="119">
        <v>2</v>
      </c>
      <c r="AW35" s="119">
        <v>1</v>
      </c>
      <c r="AX35" s="120">
        <f t="shared" si="10"/>
        <v>20.36</v>
      </c>
    </row>
    <row r="36" spans="1:50" ht="21.75" customHeight="1" x14ac:dyDescent="0.2">
      <c r="A36" s="101" t="str">
        <f>'AUTO CALCULATION SHEET (2)'!D36</f>
        <v>3 CORE X 35 SQ. MM. AL/ARM - WIRE (XLPE) - 33 KV (E)</v>
      </c>
      <c r="B36" s="153">
        <v>3.15</v>
      </c>
      <c r="C36" s="102" t="s">
        <v>325</v>
      </c>
      <c r="D36" s="103">
        <v>45705</v>
      </c>
      <c r="E36" s="104">
        <v>265753.40999999997</v>
      </c>
      <c r="F36" s="104">
        <v>870134.53</v>
      </c>
      <c r="G36" s="105">
        <v>176136</v>
      </c>
      <c r="H36" s="105">
        <v>160825</v>
      </c>
      <c r="I36" s="106">
        <v>70250</v>
      </c>
      <c r="J36" s="107">
        <f t="shared" si="5"/>
        <v>45627</v>
      </c>
      <c r="K36" s="105">
        <v>252941</v>
      </c>
      <c r="L36" s="105">
        <v>820039</v>
      </c>
      <c r="M36" s="105">
        <v>173241</v>
      </c>
      <c r="N36" s="105">
        <v>160825</v>
      </c>
      <c r="O36" s="106">
        <v>72250</v>
      </c>
      <c r="P36" s="108">
        <v>0.30199999999999999</v>
      </c>
      <c r="Q36" s="109">
        <v>1.6379999999999999</v>
      </c>
      <c r="R36" s="143">
        <v>2.8639999999999999</v>
      </c>
      <c r="S36" s="109">
        <v>2.5169999999999999</v>
      </c>
      <c r="T36" s="142">
        <v>0.104</v>
      </c>
      <c r="U36" s="111">
        <f>'AUTO CALCULATION SHEET (2)'!E36</f>
        <v>1591041.8034000001</v>
      </c>
      <c r="V36" s="112">
        <f t="shared" si="19"/>
        <v>3869.3478199999922</v>
      </c>
      <c r="W36" s="109">
        <f t="shared" si="14"/>
        <v>4742.0099999999993</v>
      </c>
      <c r="X36" s="109">
        <f t="shared" si="12"/>
        <v>0</v>
      </c>
      <c r="Y36" s="113">
        <f t="shared" si="13"/>
        <v>-5034</v>
      </c>
      <c r="Z36" s="109">
        <f t="shared" si="2"/>
        <v>5209.9351200000028</v>
      </c>
      <c r="AA36" s="114">
        <f t="shared" si="18"/>
        <v>8787.2929399999957</v>
      </c>
      <c r="AB36" s="115">
        <f>+U36+AA36</f>
        <v>1599829.0963400002</v>
      </c>
      <c r="AC36" s="116">
        <f>'AUTO CALCULATION SHEET (2)'!N36</f>
        <v>405</v>
      </c>
      <c r="AD36" s="117">
        <f>'AUTO CALCULATION SHEET (2)'!Y36</f>
        <v>153</v>
      </c>
      <c r="AE36" s="117">
        <f>'AUTO CALCULATION SHEET (2)'!AC36</f>
        <v>350</v>
      </c>
      <c r="AF36" s="117">
        <f>'AUTO CALCULATION SHEET (2)'!AE36</f>
        <v>1490</v>
      </c>
      <c r="AG36" s="117">
        <f>'AUTO CALCULATION SHEET (2)'!AK36</f>
        <v>0</v>
      </c>
      <c r="AH36" s="117">
        <f>'AUTO CALCULATION SHEET (2)'!AQ36</f>
        <v>798</v>
      </c>
      <c r="AI36" s="117">
        <f>'AUTO CALCULATION SHEET (2)'!AV36</f>
        <v>0</v>
      </c>
      <c r="AJ36" s="117">
        <f>'AUTO CALCULATION SHEET (2)'!BA36</f>
        <v>3881</v>
      </c>
      <c r="AK36" s="117">
        <f>'AUTO CALCULATION SHEET (2)'!BF36</f>
        <v>1080</v>
      </c>
      <c r="AL36" s="117">
        <f>'AUTO CALCULATION SHEET (2)'!BL36</f>
        <v>778</v>
      </c>
      <c r="AM36" s="117">
        <f>'AUTO CALCULATION SHEET (2)'!BN36</f>
        <v>10</v>
      </c>
      <c r="AN36" s="117">
        <f>'AUTO CALCULATION SHEET (2)'!BP36</f>
        <v>66</v>
      </c>
      <c r="AO36" s="117">
        <f>'AUTO CALCULATION SHEET (2)'!BT36</f>
        <v>52</v>
      </c>
      <c r="AP36" s="118">
        <f t="shared" si="6"/>
        <v>1144290</v>
      </c>
      <c r="AQ36" s="119">
        <f>'AUTO CALCULATION SHEET (2)'!BZ36</f>
        <v>80000</v>
      </c>
      <c r="AR36" s="118">
        <f t="shared" si="7"/>
        <v>1224290</v>
      </c>
      <c r="AS36" s="119">
        <f t="shared" si="8"/>
        <v>375539.09634000016</v>
      </c>
      <c r="AT36" s="118">
        <f t="shared" si="9"/>
        <v>23.47</v>
      </c>
      <c r="AU36" s="119">
        <v>0</v>
      </c>
      <c r="AV36" s="119">
        <v>2</v>
      </c>
      <c r="AW36" s="119">
        <v>1</v>
      </c>
      <c r="AX36" s="120">
        <f t="shared" si="10"/>
        <v>20.47</v>
      </c>
    </row>
    <row r="37" spans="1:50" ht="21.75" customHeight="1" x14ac:dyDescent="0.2">
      <c r="A37" s="101" t="str">
        <f>'AUTO CALCULATION SHEET (2)'!D37</f>
        <v>1 CORE X 630 SQ. MM. AL/ARM (XLPE)  - 33 KV</v>
      </c>
      <c r="B37" s="153">
        <v>2.5</v>
      </c>
      <c r="C37" s="102" t="s">
        <v>325</v>
      </c>
      <c r="D37" s="103">
        <v>45705</v>
      </c>
      <c r="E37" s="104">
        <v>265753.40999999997</v>
      </c>
      <c r="F37" s="104">
        <v>870134.53</v>
      </c>
      <c r="G37" s="105">
        <v>176136</v>
      </c>
      <c r="H37" s="105">
        <v>160825</v>
      </c>
      <c r="I37" s="106"/>
      <c r="J37" s="107">
        <f t="shared" si="5"/>
        <v>45627</v>
      </c>
      <c r="K37" s="105">
        <v>252941</v>
      </c>
      <c r="L37" s="105">
        <v>820039</v>
      </c>
      <c r="M37" s="105">
        <v>173241</v>
      </c>
      <c r="N37" s="105">
        <v>160825</v>
      </c>
      <c r="O37" s="106"/>
      <c r="P37" s="108">
        <v>2.9780000000000002</v>
      </c>
      <c r="Q37" s="109">
        <v>1.2649999999999999</v>
      </c>
      <c r="R37" s="109">
        <v>1.1679999999999999</v>
      </c>
      <c r="S37" s="109"/>
      <c r="T37" s="110">
        <v>6.3E-2</v>
      </c>
      <c r="U37" s="111">
        <f>'AUTO CALCULATION SHEET (2)'!E37</f>
        <v>1439768.9376000001</v>
      </c>
      <c r="V37" s="112">
        <f t="shared" si="19"/>
        <v>38155.356979999924</v>
      </c>
      <c r="W37" s="109">
        <f t="shared" si="14"/>
        <v>3662.1749999999997</v>
      </c>
      <c r="X37" s="109">
        <f t="shared" si="12"/>
        <v>0</v>
      </c>
      <c r="Y37" s="113">
        <f t="shared" si="13"/>
        <v>0</v>
      </c>
      <c r="Z37" s="109">
        <f t="shared" si="2"/>
        <v>3156.018390000002</v>
      </c>
      <c r="AA37" s="114">
        <f t="shared" si="18"/>
        <v>44973.550369999932</v>
      </c>
      <c r="AB37" s="115">
        <f>+U37+AA37</f>
        <v>1484742.4879699999</v>
      </c>
      <c r="AC37" s="116">
        <f>'AUTO CALCULATION SHEET (2)'!N37</f>
        <v>1701</v>
      </c>
      <c r="AD37" s="117">
        <f>'AUTO CALCULATION SHEET (2)'!Y37</f>
        <v>87</v>
      </c>
      <c r="AE37" s="117">
        <f>'AUTO CALCULATION SHEET (2)'!AC37</f>
        <v>243</v>
      </c>
      <c r="AF37" s="117">
        <f>'AUTO CALCULATION SHEET (2)'!AE37</f>
        <v>1056</v>
      </c>
      <c r="AG37" s="117">
        <f>'AUTO CALCULATION SHEET (2)'!AK37</f>
        <v>36</v>
      </c>
      <c r="AH37" s="117">
        <f>'AUTO CALCULATION SHEET (2)'!AQ37</f>
        <v>203</v>
      </c>
      <c r="AI37" s="117">
        <f>'AUTO CALCULATION SHEET (2)'!AV37</f>
        <v>842</v>
      </c>
      <c r="AJ37" s="117">
        <f>'AUTO CALCULATION SHEET (2)'!BA37</f>
        <v>0</v>
      </c>
      <c r="AK37" s="117">
        <f>'AUTO CALCULATION SHEET (2)'!BF37</f>
        <v>769</v>
      </c>
      <c r="AL37" s="117">
        <f>'AUTO CALCULATION SHEET (2)'!BL37</f>
        <v>0</v>
      </c>
      <c r="AM37" s="117">
        <f>'AUTO CALCULATION SHEET (2)'!BN37</f>
        <v>26</v>
      </c>
      <c r="AN37" s="117">
        <f>'AUTO CALCULATION SHEET (2)'!BP37</f>
        <v>46</v>
      </c>
      <c r="AO37" s="117">
        <f>'AUTO CALCULATION SHEET (2)'!BT37</f>
        <v>42</v>
      </c>
      <c r="AP37" s="118">
        <f t="shared" ref="AP37:AP39" si="20">SUMPRODUCT(AC37:AO37,$AC$17:$AO$17)</f>
        <v>1122785</v>
      </c>
      <c r="AQ37" s="119">
        <f>'AUTO CALCULATION SHEET (2)'!BZ37</f>
        <v>40000</v>
      </c>
      <c r="AR37" s="118">
        <f t="shared" ref="AR37:AR39" si="21">AP37+AQ37</f>
        <v>1162785</v>
      </c>
      <c r="AS37" s="119">
        <f t="shared" ref="AS37:AS39" si="22">AB37-AR37</f>
        <v>321957.4879699999</v>
      </c>
      <c r="AT37" s="118">
        <f t="shared" ref="AT37:AT39" si="23">ROUND((AS37/AB37)*100,2)</f>
        <v>21.68</v>
      </c>
      <c r="AU37" s="119">
        <v>0</v>
      </c>
      <c r="AV37" s="119">
        <v>2</v>
      </c>
      <c r="AW37" s="119">
        <v>1</v>
      </c>
      <c r="AX37" s="120">
        <f t="shared" ref="AX37:AX39" si="24">AT37-AU37-AV37-AW37</f>
        <v>18.68</v>
      </c>
    </row>
    <row r="38" spans="1:50" ht="21.75" customHeight="1" x14ac:dyDescent="0.2">
      <c r="A38" s="101" t="str">
        <f>'AUTO CALCULATION SHEET (2)'!D38</f>
        <v>1 CORE X 400 SQ. MM. AL/ARM (XLPE) - 33 KV</v>
      </c>
      <c r="B38" s="153">
        <v>2.5</v>
      </c>
      <c r="C38" s="102" t="s">
        <v>325</v>
      </c>
      <c r="D38" s="103">
        <v>45705</v>
      </c>
      <c r="E38" s="104">
        <v>265753.40999999997</v>
      </c>
      <c r="F38" s="104">
        <v>870134.53</v>
      </c>
      <c r="G38" s="105">
        <v>176136</v>
      </c>
      <c r="H38" s="105">
        <v>160825</v>
      </c>
      <c r="I38" s="106"/>
      <c r="J38" s="107">
        <f t="shared" si="5"/>
        <v>45627</v>
      </c>
      <c r="K38" s="105">
        <v>252941</v>
      </c>
      <c r="L38" s="105">
        <v>820039</v>
      </c>
      <c r="M38" s="105">
        <v>173241</v>
      </c>
      <c r="N38" s="105">
        <v>160825</v>
      </c>
      <c r="O38" s="106"/>
      <c r="P38" s="108">
        <v>2.0459999999999998</v>
      </c>
      <c r="Q38" s="109">
        <v>1.0409999999999999</v>
      </c>
      <c r="R38" s="109">
        <v>0.86599999999999999</v>
      </c>
      <c r="S38" s="109"/>
      <c r="T38" s="110">
        <v>5.3999999999999999E-2</v>
      </c>
      <c r="U38" s="111">
        <f>'AUTO CALCULATION SHEET (2)'!E38</f>
        <v>1096461.9036000001</v>
      </c>
      <c r="V38" s="112">
        <f t="shared" si="19"/>
        <v>26214.190859999944</v>
      </c>
      <c r="W38" s="109">
        <f t="shared" si="14"/>
        <v>3013.6949999999997</v>
      </c>
      <c r="X38" s="109">
        <f t="shared" si="12"/>
        <v>0</v>
      </c>
      <c r="Y38" s="113">
        <f t="shared" si="13"/>
        <v>0</v>
      </c>
      <c r="Z38" s="109">
        <f t="shared" si="2"/>
        <v>2705.1586200000015</v>
      </c>
      <c r="AA38" s="114">
        <f t="shared" ref="AA38" si="25">V38+W38+X38+Y38+Z38</f>
        <v>31933.044479999946</v>
      </c>
      <c r="AB38" s="115">
        <f t="shared" ref="AB38" si="26">+U38+AA38</f>
        <v>1128394.94808</v>
      </c>
      <c r="AC38" s="116">
        <f>'AUTO CALCULATION SHEET (2)'!N38</f>
        <v>1080</v>
      </c>
      <c r="AD38" s="117">
        <f>'AUTO CALCULATION SHEET (2)'!Y38</f>
        <v>76</v>
      </c>
      <c r="AE38" s="117">
        <f>'AUTO CALCULATION SHEET (2)'!AC38</f>
        <v>206</v>
      </c>
      <c r="AF38" s="117">
        <f>'AUTO CALCULATION SHEET (2)'!AE38</f>
        <v>890</v>
      </c>
      <c r="AG38" s="117">
        <f>'AUTO CALCULATION SHEET (2)'!AK38</f>
        <v>32</v>
      </c>
      <c r="AH38" s="117">
        <f>'AUTO CALCULATION SHEET (2)'!AQ38</f>
        <v>156</v>
      </c>
      <c r="AI38" s="117">
        <f>'AUTO CALCULATION SHEET (2)'!AV38</f>
        <v>731</v>
      </c>
      <c r="AJ38" s="117">
        <f>'AUTO CALCULATION SHEET (2)'!BA38</f>
        <v>0</v>
      </c>
      <c r="AK38" s="117">
        <f>'AUTO CALCULATION SHEET (2)'!BF38</f>
        <v>604</v>
      </c>
      <c r="AL38" s="117">
        <f>'AUTO CALCULATION SHEET (2)'!BL38</f>
        <v>0</v>
      </c>
      <c r="AM38" s="117">
        <f>'AUTO CALCULATION SHEET (2)'!BN38</f>
        <v>19</v>
      </c>
      <c r="AN38" s="117">
        <f>'AUTO CALCULATION SHEET (2)'!BP38</f>
        <v>38</v>
      </c>
      <c r="AO38" s="117">
        <f>'AUTO CALCULATION SHEET (2)'!BT38</f>
        <v>37</v>
      </c>
      <c r="AP38" s="118">
        <f t="shared" si="20"/>
        <v>852815</v>
      </c>
      <c r="AQ38" s="119">
        <f>'AUTO CALCULATION SHEET (2)'!BZ38</f>
        <v>32000</v>
      </c>
      <c r="AR38" s="118">
        <f t="shared" si="21"/>
        <v>884815</v>
      </c>
      <c r="AS38" s="119">
        <f t="shared" si="22"/>
        <v>243579.94808</v>
      </c>
      <c r="AT38" s="118">
        <f t="shared" si="23"/>
        <v>21.59</v>
      </c>
      <c r="AU38" s="119">
        <v>0</v>
      </c>
      <c r="AV38" s="119">
        <v>2</v>
      </c>
      <c r="AW38" s="119">
        <v>1</v>
      </c>
      <c r="AX38" s="120">
        <f t="shared" si="24"/>
        <v>18.59</v>
      </c>
    </row>
    <row r="39" spans="1:50" ht="21.75" customHeight="1" x14ac:dyDescent="0.2">
      <c r="A39" s="101" t="str">
        <f>'AUTO CALCULATION SHEET (2)'!D39</f>
        <v>1 CORE X 300 SQ. MM. AL/ARM (XLPE)  - 33 KV</v>
      </c>
      <c r="B39" s="153">
        <v>2.5</v>
      </c>
      <c r="C39" s="102" t="s">
        <v>325</v>
      </c>
      <c r="D39" s="103">
        <v>45705</v>
      </c>
      <c r="E39" s="104">
        <v>265753.40999999997</v>
      </c>
      <c r="F39" s="104">
        <v>870134.53</v>
      </c>
      <c r="G39" s="105">
        <v>176136</v>
      </c>
      <c r="H39" s="105">
        <v>160825</v>
      </c>
      <c r="I39" s="106"/>
      <c r="J39" s="107">
        <f t="shared" si="5"/>
        <v>45627</v>
      </c>
      <c r="K39" s="105">
        <v>252941</v>
      </c>
      <c r="L39" s="105">
        <v>820039</v>
      </c>
      <c r="M39" s="105">
        <v>173241</v>
      </c>
      <c r="N39" s="105">
        <v>160825</v>
      </c>
      <c r="O39" s="106"/>
      <c r="P39" s="108">
        <v>1.7529999999999999</v>
      </c>
      <c r="Q39" s="109">
        <v>0.94299999999999995</v>
      </c>
      <c r="R39" s="109">
        <v>0.81100000000000005</v>
      </c>
      <c r="S39" s="109"/>
      <c r="T39" s="110">
        <v>0.05</v>
      </c>
      <c r="U39" s="111">
        <f>'AUTO CALCULATION SHEET (2)'!E39</f>
        <v>956871.8334</v>
      </c>
      <c r="V39" s="112">
        <f t="shared" si="19"/>
        <v>22460.154729999955</v>
      </c>
      <c r="W39" s="109">
        <f t="shared" si="14"/>
        <v>2729.9849999999997</v>
      </c>
      <c r="X39" s="109">
        <f t="shared" si="12"/>
        <v>0</v>
      </c>
      <c r="Y39" s="113">
        <f t="shared" si="13"/>
        <v>0</v>
      </c>
      <c r="Z39" s="109">
        <f t="shared" si="2"/>
        <v>2504.7765000000018</v>
      </c>
      <c r="AA39" s="114">
        <f>V39+W39+X39+Y39+Z39</f>
        <v>27694.916229999959</v>
      </c>
      <c r="AB39" s="115">
        <f>+U39+AA39</f>
        <v>984566.74962999998</v>
      </c>
      <c r="AC39" s="116">
        <f>'AUTO CALCULATION SHEET (2)'!N39</f>
        <v>810</v>
      </c>
      <c r="AD39" s="117">
        <f>'AUTO CALCULATION SHEET (2)'!Y39</f>
        <v>71</v>
      </c>
      <c r="AE39" s="117">
        <f>'AUTO CALCULATION SHEET (2)'!AC39</f>
        <v>187</v>
      </c>
      <c r="AF39" s="117">
        <f>'AUTO CALCULATION SHEET (2)'!AE39</f>
        <v>810</v>
      </c>
      <c r="AG39" s="117">
        <f>'AUTO CALCULATION SHEET (2)'!AK39</f>
        <v>30</v>
      </c>
      <c r="AH39" s="117">
        <f>'AUTO CALCULATION SHEET (2)'!AQ39</f>
        <v>146</v>
      </c>
      <c r="AI39" s="117">
        <f>'AUTO CALCULATION SHEET (2)'!AV39</f>
        <v>690</v>
      </c>
      <c r="AJ39" s="117">
        <f>'AUTO CALCULATION SHEET (2)'!BA39</f>
        <v>0</v>
      </c>
      <c r="AK39" s="117">
        <f>'AUTO CALCULATION SHEET (2)'!BF39</f>
        <v>570</v>
      </c>
      <c r="AL39" s="117">
        <f>'AUTO CALCULATION SHEET (2)'!BL39</f>
        <v>0</v>
      </c>
      <c r="AM39" s="117">
        <f>'AUTO CALCULATION SHEET (2)'!BN39</f>
        <v>13</v>
      </c>
      <c r="AN39" s="117">
        <f>'AUTO CALCULATION SHEET (2)'!BP39</f>
        <v>35</v>
      </c>
      <c r="AO39" s="117">
        <f>'AUTO CALCULATION SHEET (2)'!BT39</f>
        <v>35</v>
      </c>
      <c r="AP39" s="118">
        <f t="shared" si="20"/>
        <v>739292</v>
      </c>
      <c r="AQ39" s="119">
        <f>'AUTO CALCULATION SHEET (2)'!BZ39</f>
        <v>32000</v>
      </c>
      <c r="AR39" s="118">
        <f t="shared" si="21"/>
        <v>771292</v>
      </c>
      <c r="AS39" s="119">
        <f t="shared" si="22"/>
        <v>213274.74962999998</v>
      </c>
      <c r="AT39" s="118">
        <f t="shared" si="23"/>
        <v>21.66</v>
      </c>
      <c r="AU39" s="119">
        <v>0</v>
      </c>
      <c r="AV39" s="119">
        <v>2</v>
      </c>
      <c r="AW39" s="119">
        <v>1</v>
      </c>
      <c r="AX39" s="120">
        <f t="shared" si="24"/>
        <v>18.66</v>
      </c>
    </row>
    <row r="40" spans="1:50" s="140" customFormat="1" ht="31.5" customHeight="1" thickBot="1" x14ac:dyDescent="0.25">
      <c r="A40" s="121"/>
      <c r="B40" s="121"/>
      <c r="C40" s="122"/>
      <c r="D40" s="123"/>
      <c r="E40" s="124"/>
      <c r="F40" s="124"/>
      <c r="G40" s="125"/>
      <c r="H40" s="125"/>
      <c r="I40" s="126"/>
      <c r="J40" s="127"/>
      <c r="K40" s="128"/>
      <c r="L40" s="128"/>
      <c r="M40" s="128"/>
      <c r="N40" s="128"/>
      <c r="O40" s="129"/>
      <c r="P40" s="130"/>
      <c r="Q40" s="124"/>
      <c r="R40" s="124"/>
      <c r="S40" s="131"/>
      <c r="T40" s="132"/>
      <c r="U40" s="133"/>
      <c r="V40" s="134"/>
      <c r="W40" s="135"/>
      <c r="X40" s="135"/>
      <c r="Y40" s="136"/>
      <c r="Z40" s="135"/>
      <c r="AA40" s="137"/>
      <c r="AB40" s="133"/>
      <c r="AC40" s="138"/>
      <c r="AD40" s="138"/>
      <c r="AE40" s="138"/>
      <c r="AF40" s="138"/>
      <c r="AG40" s="138"/>
      <c r="AH40" s="138"/>
      <c r="AI40" s="138"/>
      <c r="AJ40" s="138"/>
      <c r="AK40" s="138"/>
      <c r="AL40" s="138"/>
      <c r="AM40" s="138"/>
      <c r="AN40" s="138"/>
      <c r="AO40" s="138"/>
      <c r="AP40" s="138"/>
      <c r="AQ40" s="138"/>
      <c r="AR40" s="138"/>
      <c r="AS40" s="138"/>
      <c r="AT40" s="138"/>
      <c r="AU40" s="138"/>
      <c r="AV40" s="138"/>
      <c r="AW40" s="138"/>
      <c r="AX40" s="139"/>
    </row>
    <row r="41" spans="1:50" s="140" customFormat="1" x14ac:dyDescent="0.2">
      <c r="A41" s="68"/>
      <c r="B41" s="68"/>
      <c r="C41" s="68"/>
      <c r="D41" s="68"/>
      <c r="E41" s="141"/>
      <c r="F41" s="141"/>
      <c r="G41" s="68"/>
      <c r="H41" s="68"/>
      <c r="I41" s="68"/>
      <c r="J41" s="68"/>
      <c r="K41" s="68"/>
      <c r="L41" s="68"/>
      <c r="M41" s="68"/>
    </row>
  </sheetData>
  <mergeCells count="42">
    <mergeCell ref="A11:B11"/>
    <mergeCell ref="B1:M1"/>
    <mergeCell ref="B2:M2"/>
    <mergeCell ref="A3:M3"/>
    <mergeCell ref="A4:M5"/>
    <mergeCell ref="AA6:AB6"/>
    <mergeCell ref="A15:A17"/>
    <mergeCell ref="B15:B17"/>
    <mergeCell ref="C15:C17"/>
    <mergeCell ref="D15:I15"/>
    <mergeCell ref="J15:O15"/>
    <mergeCell ref="D16:D17"/>
    <mergeCell ref="E16:E17"/>
    <mergeCell ref="F16:F17"/>
    <mergeCell ref="G16:G17"/>
    <mergeCell ref="H16:H17"/>
    <mergeCell ref="N16:N17"/>
    <mergeCell ref="X15:X17"/>
    <mergeCell ref="Y15:Y17"/>
    <mergeCell ref="Z15:Z17"/>
    <mergeCell ref="AA15:AA17"/>
    <mergeCell ref="I16:I17"/>
    <mergeCell ref="J16:J17"/>
    <mergeCell ref="K16:K17"/>
    <mergeCell ref="L16:L17"/>
    <mergeCell ref="M16:M17"/>
    <mergeCell ref="AU16:AU18"/>
    <mergeCell ref="AV16:AV18"/>
    <mergeCell ref="AW16:AW18"/>
    <mergeCell ref="AX16:AX18"/>
    <mergeCell ref="O16:O17"/>
    <mergeCell ref="AP16:AP18"/>
    <mergeCell ref="AQ16:AQ18"/>
    <mergeCell ref="AR16:AR18"/>
    <mergeCell ref="AS16:AS18"/>
    <mergeCell ref="AT16:AT18"/>
    <mergeCell ref="AB15:AB17"/>
    <mergeCell ref="AC14:AX15"/>
    <mergeCell ref="P15:T16"/>
    <mergeCell ref="U15:U17"/>
    <mergeCell ref="V15:V17"/>
    <mergeCell ref="W15:W1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AUTO CALCULATION SHEET (2)</vt:lpstr>
      <vt:lpstr>PV IS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2025-02-19T07:46:53Z</dcterms:modified>
</cp:coreProperties>
</file>