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4_APRIL 2024\SBPDCL-PR-30-LTXLPE-12644\"/>
    </mc:Choice>
  </mc:AlternateContent>
  <xr:revisionPtr revIDLastSave="0" documentId="13_ncr:1_{EF24AE0D-A518-4FC8-B6A6-5DE879FD131F}"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L25" i="4" l="1"/>
  <c r="CL24" i="4"/>
  <c r="CL23" i="4"/>
  <c r="CL22" i="4"/>
  <c r="CL21" i="4"/>
  <c r="CL20" i="4"/>
  <c r="CL19" i="4"/>
  <c r="CJ25" i="4"/>
  <c r="CJ24" i="4"/>
  <c r="CJ23" i="4"/>
  <c r="CJ22" i="4"/>
  <c r="CJ21" i="4"/>
  <c r="CJ20" i="4"/>
  <c r="CJ19" i="4"/>
  <c r="CH25" i="4"/>
  <c r="CH24" i="4"/>
  <c r="CH23" i="4"/>
  <c r="CH22" i="4"/>
  <c r="CH21" i="4"/>
  <c r="CH20" i="4"/>
  <c r="CH19" i="4"/>
  <c r="CG25" i="4"/>
  <c r="CG24" i="4"/>
  <c r="CG23" i="4"/>
  <c r="CG22" i="4"/>
  <c r="CG21" i="4"/>
  <c r="CG20" i="4"/>
  <c r="CG19" i="4"/>
  <c r="CE25" i="4"/>
  <c r="CE24" i="4"/>
  <c r="CE23" i="4"/>
  <c r="CE22" i="4"/>
  <c r="CE21" i="4"/>
  <c r="CE20" i="4"/>
  <c r="CE19" i="4"/>
  <c r="CA25" i="4"/>
  <c r="CA24" i="4"/>
  <c r="CA23" i="4"/>
  <c r="CA22" i="4"/>
  <c r="CA21" i="4"/>
  <c r="CA20" i="4"/>
  <c r="CA19" i="4"/>
  <c r="AF35" i="4"/>
  <c r="AF34" i="4"/>
  <c r="AF33" i="4"/>
  <c r="AF32" i="4"/>
  <c r="AF31" i="4"/>
  <c r="AF30" i="4"/>
  <c r="AF29" i="4"/>
  <c r="BJ18" i="4"/>
  <c r="AC19" i="6"/>
  <c r="BZ25" i="4"/>
  <c r="AE27" i="6" s="1"/>
  <c r="BZ24" i="4"/>
  <c r="AE26" i="6" s="1"/>
  <c r="BZ23" i="4"/>
  <c r="AE25" i="6" s="1"/>
  <c r="BZ22" i="4"/>
  <c r="AE24" i="6" s="1"/>
  <c r="BZ21" i="4"/>
  <c r="AE23" i="6" s="1"/>
  <c r="BZ20" i="4"/>
  <c r="AE22" i="6" s="1"/>
  <c r="BZ19" i="4"/>
  <c r="AE21" i="6" s="1"/>
  <c r="AC22" i="6"/>
  <c r="AC23" i="6"/>
  <c r="AC24" i="6"/>
  <c r="AC25" i="6"/>
  <c r="AC26" i="6"/>
  <c r="AC27" i="6"/>
  <c r="AC21" i="6"/>
  <c r="AC18" i="6"/>
  <c r="AB18" i="6"/>
  <c r="AA18" i="6"/>
  <c r="Z18" i="6"/>
  <c r="Y18" i="6"/>
  <c r="I27" i="6"/>
  <c r="S27" i="6"/>
  <c r="T27" i="6"/>
  <c r="U27" i="6"/>
  <c r="V27" i="6"/>
  <c r="I22" i="6"/>
  <c r="S22" i="6"/>
  <c r="T22" i="6"/>
  <c r="U22" i="6"/>
  <c r="V22" i="6"/>
  <c r="I23" i="6"/>
  <c r="S23" i="6"/>
  <c r="T23" i="6"/>
  <c r="U23" i="6"/>
  <c r="V23" i="6"/>
  <c r="I24" i="6"/>
  <c r="S24" i="6"/>
  <c r="T24" i="6"/>
  <c r="U24" i="6"/>
  <c r="V24" i="6"/>
  <c r="I25" i="6"/>
  <c r="S25" i="6"/>
  <c r="T25" i="6"/>
  <c r="U25" i="6"/>
  <c r="V25" i="6"/>
  <c r="I26" i="6"/>
  <c r="S26" i="6"/>
  <c r="T26" i="6"/>
  <c r="U26" i="6"/>
  <c r="V26" i="6"/>
  <c r="V21" i="6"/>
  <c r="U21" i="6"/>
  <c r="T21" i="6"/>
  <c r="S21" i="6"/>
  <c r="I21" i="6"/>
  <c r="W27" i="6" l="1"/>
  <c r="W26" i="6"/>
  <c r="W22" i="6"/>
  <c r="W21" i="6"/>
  <c r="W25" i="6"/>
  <c r="W23" i="6"/>
  <c r="W24" i="6"/>
  <c r="BY19" i="4" l="1"/>
  <c r="F29" i="4" s="1"/>
  <c r="J29" i="4" s="1"/>
  <c r="BY20" i="4"/>
  <c r="F30" i="4" s="1"/>
  <c r="J30" i="4" s="1"/>
  <c r="BY25" i="4"/>
  <c r="F35" i="4" s="1"/>
  <c r="J35" i="4" s="1"/>
  <c r="BY24" i="4"/>
  <c r="F34" i="4" s="1"/>
  <c r="J34" i="4" s="1"/>
  <c r="BY23" i="4"/>
  <c r="F33" i="4" s="1"/>
  <c r="J33" i="4" s="1"/>
  <c r="BY21" i="4"/>
  <c r="F31" i="4" s="1"/>
  <c r="J31" i="4" s="1"/>
  <c r="BY22" i="4"/>
  <c r="F32" i="4" s="1"/>
  <c r="J32" i="4" s="1"/>
  <c r="BY17" i="4"/>
  <c r="A19" i="4"/>
  <c r="B19" i="4"/>
  <c r="C19" i="4"/>
  <c r="D19" i="4"/>
  <c r="H19" i="4"/>
  <c r="K19" i="4"/>
  <c r="E29" i="4" s="1"/>
  <c r="K29" i="4" s="1"/>
  <c r="M29" i="4" s="1"/>
  <c r="L19" i="4"/>
  <c r="N19" i="4"/>
  <c r="O19" i="4"/>
  <c r="P19" i="4"/>
  <c r="Q19" i="4"/>
  <c r="R19" i="4"/>
  <c r="S19" i="4"/>
  <c r="T19" i="4"/>
  <c r="U19" i="4"/>
  <c r="V19" i="4"/>
  <c r="W19" i="4"/>
  <c r="X19" i="4"/>
  <c r="Y19" i="4"/>
  <c r="Z19" i="4"/>
  <c r="AA19" i="4"/>
  <c r="AB19" i="4"/>
  <c r="AC19" i="4"/>
  <c r="AD19" i="4"/>
  <c r="AE19" i="4"/>
  <c r="AF19" i="4"/>
  <c r="Z21" i="6" s="1"/>
  <c r="AG19" i="4"/>
  <c r="AH19" i="4"/>
  <c r="AI19" i="4"/>
  <c r="AJ19" i="4"/>
  <c r="AK19" i="4"/>
  <c r="AL19" i="4"/>
  <c r="AM19" i="4"/>
  <c r="AN19" i="4"/>
  <c r="AO19" i="4"/>
  <c r="AP19" i="4"/>
  <c r="AQ19" i="4"/>
  <c r="AA21" i="6" s="1"/>
  <c r="AR19" i="4"/>
  <c r="AS19" i="4"/>
  <c r="AT19" i="4"/>
  <c r="AU19" i="4"/>
  <c r="AV19" i="4"/>
  <c r="AW19" i="4"/>
  <c r="AX19" i="4"/>
  <c r="AB21" i="6" s="1"/>
  <c r="AY19" i="4"/>
  <c r="AZ19" i="4"/>
  <c r="BA19" i="4"/>
  <c r="BB19" i="4"/>
  <c r="BC19" i="4"/>
  <c r="BD19" i="4"/>
  <c r="BE19" i="4"/>
  <c r="BF19" i="4"/>
  <c r="BG19" i="4"/>
  <c r="BH19" i="4"/>
  <c r="BI19" i="4"/>
  <c r="BK19" i="4"/>
  <c r="BL19" i="4"/>
  <c r="BM19" i="4"/>
  <c r="BN19" i="4"/>
  <c r="BO19" i="4"/>
  <c r="BP19" i="4"/>
  <c r="BQ19" i="4"/>
  <c r="BR19" i="4"/>
  <c r="BS19" i="4"/>
  <c r="BT19" i="4"/>
  <c r="BU19" i="4"/>
  <c r="BV19" i="4"/>
  <c r="BW19" i="4"/>
  <c r="C29" i="4" s="1"/>
  <c r="BX19" i="4"/>
  <c r="CB19" i="4"/>
  <c r="A20" i="4"/>
  <c r="B20" i="4"/>
  <c r="C20" i="4"/>
  <c r="D20" i="4"/>
  <c r="H20" i="4"/>
  <c r="E30" i="4"/>
  <c r="L20" i="4"/>
  <c r="N20" i="4"/>
  <c r="O20" i="4"/>
  <c r="P20" i="4"/>
  <c r="Q20" i="4"/>
  <c r="R20" i="4"/>
  <c r="S20" i="4"/>
  <c r="T20" i="4"/>
  <c r="U20" i="4"/>
  <c r="V20" i="4"/>
  <c r="W20" i="4"/>
  <c r="X20" i="4"/>
  <c r="Y20" i="4"/>
  <c r="Z20" i="4"/>
  <c r="AA20" i="4"/>
  <c r="AB20" i="4"/>
  <c r="AC20" i="4"/>
  <c r="AD20" i="4"/>
  <c r="AE20" i="4"/>
  <c r="AF20" i="4"/>
  <c r="Z22" i="6" s="1"/>
  <c r="AG20" i="4"/>
  <c r="AH20" i="4"/>
  <c r="AI20" i="4"/>
  <c r="AJ20" i="4"/>
  <c r="AK20" i="4"/>
  <c r="AL20" i="4"/>
  <c r="AM20" i="4"/>
  <c r="AN20" i="4"/>
  <c r="AO20" i="4"/>
  <c r="AP20" i="4"/>
  <c r="AQ20" i="4"/>
  <c r="AA22" i="6" s="1"/>
  <c r="AR20" i="4"/>
  <c r="AS20" i="4"/>
  <c r="AT20" i="4"/>
  <c r="AU20" i="4"/>
  <c r="AV20" i="4"/>
  <c r="AW20" i="4"/>
  <c r="AX20" i="4"/>
  <c r="AB22" i="6" s="1"/>
  <c r="AY20" i="4"/>
  <c r="AZ20" i="4"/>
  <c r="BA20" i="4"/>
  <c r="BB20" i="4"/>
  <c r="BC20" i="4"/>
  <c r="BD20" i="4"/>
  <c r="BE20" i="4"/>
  <c r="BF20" i="4"/>
  <c r="BG20" i="4"/>
  <c r="BH20" i="4"/>
  <c r="BI20" i="4"/>
  <c r="BK20" i="4"/>
  <c r="BL20" i="4"/>
  <c r="BM20" i="4"/>
  <c r="BN20" i="4"/>
  <c r="BO20" i="4"/>
  <c r="BP20" i="4"/>
  <c r="BQ20" i="4"/>
  <c r="BR20" i="4"/>
  <c r="BS20" i="4"/>
  <c r="BT20" i="4"/>
  <c r="BU20" i="4"/>
  <c r="BV20" i="4"/>
  <c r="BW20" i="4"/>
  <c r="C30" i="4" s="1"/>
  <c r="BX20" i="4"/>
  <c r="CB20" i="4"/>
  <c r="A25" i="4"/>
  <c r="B25" i="4"/>
  <c r="C25" i="4"/>
  <c r="D25" i="4"/>
  <c r="H25" i="4"/>
  <c r="E35" i="4"/>
  <c r="L25" i="4"/>
  <c r="N25" i="4"/>
  <c r="O25" i="4"/>
  <c r="P25" i="4"/>
  <c r="Q25" i="4"/>
  <c r="R25" i="4"/>
  <c r="S25" i="4"/>
  <c r="T25" i="4"/>
  <c r="U25" i="4"/>
  <c r="V25" i="4"/>
  <c r="W25" i="4"/>
  <c r="X25" i="4"/>
  <c r="Y25" i="4"/>
  <c r="Z25" i="4"/>
  <c r="AA25" i="4"/>
  <c r="AB25" i="4"/>
  <c r="AC25" i="4"/>
  <c r="AD25" i="4"/>
  <c r="AE25" i="4"/>
  <c r="AF25" i="4"/>
  <c r="Z27" i="6" s="1"/>
  <c r="AG25" i="4"/>
  <c r="AH25" i="4"/>
  <c r="AI25" i="4"/>
  <c r="AJ25" i="4"/>
  <c r="AK25" i="4"/>
  <c r="AL25" i="4"/>
  <c r="AM25" i="4"/>
  <c r="AN25" i="4"/>
  <c r="AO25" i="4"/>
  <c r="AP25" i="4"/>
  <c r="AQ25" i="4"/>
  <c r="AA27" i="6" s="1"/>
  <c r="AR25" i="4"/>
  <c r="AS25" i="4"/>
  <c r="AT25" i="4"/>
  <c r="AU25" i="4"/>
  <c r="AV25" i="4"/>
  <c r="AW25" i="4"/>
  <c r="AX25" i="4"/>
  <c r="AB27" i="6" s="1"/>
  <c r="AY25" i="4"/>
  <c r="AZ25" i="4"/>
  <c r="BA25" i="4"/>
  <c r="BB25" i="4"/>
  <c r="BC25" i="4"/>
  <c r="BD25" i="4"/>
  <c r="BE25" i="4"/>
  <c r="BF25" i="4"/>
  <c r="BG25" i="4"/>
  <c r="BH25" i="4"/>
  <c r="BI25" i="4"/>
  <c r="BK25" i="4"/>
  <c r="BL25" i="4"/>
  <c r="BM25" i="4"/>
  <c r="BN25" i="4"/>
  <c r="BO25" i="4"/>
  <c r="BP25" i="4"/>
  <c r="BQ25" i="4"/>
  <c r="BR25" i="4"/>
  <c r="BS25" i="4"/>
  <c r="BT25" i="4"/>
  <c r="BU25" i="4"/>
  <c r="BV25" i="4"/>
  <c r="BW25" i="4"/>
  <c r="C35" i="4" s="1"/>
  <c r="BX25" i="4"/>
  <c r="CB25" i="4"/>
  <c r="A24" i="4"/>
  <c r="B24" i="4"/>
  <c r="C24" i="4"/>
  <c r="D24" i="4"/>
  <c r="H24" i="4"/>
  <c r="E34" i="4"/>
  <c r="L24" i="4"/>
  <c r="N24" i="4"/>
  <c r="O24" i="4"/>
  <c r="P24" i="4"/>
  <c r="Q24" i="4"/>
  <c r="R24" i="4"/>
  <c r="S24" i="4"/>
  <c r="T24" i="4"/>
  <c r="U24" i="4"/>
  <c r="V24" i="4"/>
  <c r="W24" i="4"/>
  <c r="X24" i="4"/>
  <c r="Y24" i="4"/>
  <c r="Z24" i="4"/>
  <c r="AA24" i="4"/>
  <c r="AB24" i="4"/>
  <c r="AC24" i="4"/>
  <c r="AD24" i="4"/>
  <c r="AE24" i="4"/>
  <c r="AF24" i="4"/>
  <c r="Z26" i="6" s="1"/>
  <c r="AG24" i="4"/>
  <c r="AH24" i="4"/>
  <c r="AI24" i="4"/>
  <c r="AJ24" i="4"/>
  <c r="AK24" i="4"/>
  <c r="AL24" i="4"/>
  <c r="AM24" i="4"/>
  <c r="AN24" i="4"/>
  <c r="AO24" i="4"/>
  <c r="AP24" i="4"/>
  <c r="AQ24" i="4"/>
  <c r="AA26" i="6" s="1"/>
  <c r="AR24" i="4"/>
  <c r="AS24" i="4"/>
  <c r="AT24" i="4"/>
  <c r="AU24" i="4"/>
  <c r="AV24" i="4"/>
  <c r="AW24" i="4"/>
  <c r="AX24" i="4"/>
  <c r="AB26" i="6" s="1"/>
  <c r="AY24" i="4"/>
  <c r="AZ24" i="4"/>
  <c r="BA24" i="4"/>
  <c r="BB24" i="4"/>
  <c r="BC24" i="4"/>
  <c r="BD24" i="4"/>
  <c r="BE24" i="4"/>
  <c r="BF24" i="4"/>
  <c r="BG24" i="4"/>
  <c r="BH24" i="4"/>
  <c r="BI24" i="4"/>
  <c r="BK24" i="4"/>
  <c r="BL24" i="4"/>
  <c r="BM24" i="4"/>
  <c r="BN24" i="4"/>
  <c r="BO24" i="4"/>
  <c r="BP24" i="4"/>
  <c r="BQ24" i="4"/>
  <c r="BR24" i="4"/>
  <c r="BS24" i="4"/>
  <c r="BT24" i="4"/>
  <c r="BU24" i="4"/>
  <c r="BV24" i="4"/>
  <c r="BW24" i="4"/>
  <c r="C34" i="4" s="1"/>
  <c r="BX24" i="4"/>
  <c r="CB24" i="4"/>
  <c r="A23" i="4"/>
  <c r="B23" i="4"/>
  <c r="C23" i="4"/>
  <c r="D23" i="4"/>
  <c r="H23" i="4"/>
  <c r="E33" i="4"/>
  <c r="L23" i="4"/>
  <c r="N23" i="4"/>
  <c r="O23" i="4"/>
  <c r="P23" i="4"/>
  <c r="Q23" i="4"/>
  <c r="R23" i="4"/>
  <c r="S23" i="4"/>
  <c r="T23" i="4"/>
  <c r="U23" i="4"/>
  <c r="V23" i="4"/>
  <c r="W23" i="4"/>
  <c r="X23" i="4"/>
  <c r="Y23" i="4"/>
  <c r="Z23" i="4"/>
  <c r="AA23" i="4"/>
  <c r="AB23" i="4"/>
  <c r="AC23" i="4"/>
  <c r="AD23" i="4"/>
  <c r="AE23" i="4"/>
  <c r="AF23" i="4"/>
  <c r="Z25" i="6" s="1"/>
  <c r="AG23" i="4"/>
  <c r="AH23" i="4"/>
  <c r="AI23" i="4"/>
  <c r="AJ23" i="4"/>
  <c r="AK23" i="4"/>
  <c r="AL23" i="4"/>
  <c r="AM23" i="4"/>
  <c r="AN23" i="4"/>
  <c r="AO23" i="4"/>
  <c r="AP23" i="4"/>
  <c r="AQ23" i="4"/>
  <c r="AA25" i="6" s="1"/>
  <c r="AR23" i="4"/>
  <c r="AS23" i="4"/>
  <c r="AT23" i="4"/>
  <c r="AU23" i="4"/>
  <c r="AV23" i="4"/>
  <c r="AW23" i="4"/>
  <c r="AX23" i="4"/>
  <c r="AB25" i="6" s="1"/>
  <c r="AY23" i="4"/>
  <c r="AZ23" i="4"/>
  <c r="BA23" i="4"/>
  <c r="BB23" i="4"/>
  <c r="BC23" i="4"/>
  <c r="BD23" i="4"/>
  <c r="BE23" i="4"/>
  <c r="BF23" i="4"/>
  <c r="BG23" i="4"/>
  <c r="BH23" i="4"/>
  <c r="BI23" i="4"/>
  <c r="BK23" i="4"/>
  <c r="BL23" i="4"/>
  <c r="BM23" i="4"/>
  <c r="BN23" i="4"/>
  <c r="BO23" i="4"/>
  <c r="BP23" i="4"/>
  <c r="BQ23" i="4"/>
  <c r="BR23" i="4"/>
  <c r="BS23" i="4"/>
  <c r="BT23" i="4"/>
  <c r="BU23" i="4"/>
  <c r="BV23" i="4"/>
  <c r="BW23" i="4"/>
  <c r="C33" i="4" s="1"/>
  <c r="BX23" i="4"/>
  <c r="CB23" i="4"/>
  <c r="A21" i="4"/>
  <c r="B21" i="4"/>
  <c r="C21" i="4"/>
  <c r="D21" i="4"/>
  <c r="H21" i="4"/>
  <c r="E31" i="4"/>
  <c r="L21" i="4"/>
  <c r="N21" i="4"/>
  <c r="O21" i="4"/>
  <c r="P21" i="4"/>
  <c r="Q21" i="4"/>
  <c r="R21" i="4"/>
  <c r="S21" i="4"/>
  <c r="T21" i="4"/>
  <c r="U21" i="4"/>
  <c r="V21" i="4"/>
  <c r="W21" i="4"/>
  <c r="X21" i="4"/>
  <c r="Y21" i="4"/>
  <c r="Z21" i="4"/>
  <c r="AA21" i="4"/>
  <c r="AB21" i="4"/>
  <c r="AC21" i="4"/>
  <c r="AD21" i="4"/>
  <c r="AE21" i="4"/>
  <c r="AF21" i="4"/>
  <c r="Z23" i="6" s="1"/>
  <c r="AG21" i="4"/>
  <c r="AH21" i="4"/>
  <c r="AI21" i="4"/>
  <c r="AJ21" i="4"/>
  <c r="AK21" i="4"/>
  <c r="AL21" i="4"/>
  <c r="AM21" i="4"/>
  <c r="AN21" i="4"/>
  <c r="AO21" i="4"/>
  <c r="AP21" i="4"/>
  <c r="AQ21" i="4"/>
  <c r="AA23" i="6" s="1"/>
  <c r="AR21" i="4"/>
  <c r="AS21" i="4"/>
  <c r="AT21" i="4"/>
  <c r="AU21" i="4"/>
  <c r="AV21" i="4"/>
  <c r="AW21" i="4"/>
  <c r="AX21" i="4"/>
  <c r="AB23" i="6" s="1"/>
  <c r="AY21" i="4"/>
  <c r="AZ21" i="4"/>
  <c r="BA21" i="4"/>
  <c r="BB21" i="4"/>
  <c r="BC21" i="4"/>
  <c r="BD21" i="4"/>
  <c r="BE21" i="4"/>
  <c r="BG21" i="4"/>
  <c r="BH21" i="4"/>
  <c r="BI21" i="4"/>
  <c r="BK21" i="4"/>
  <c r="BL21" i="4"/>
  <c r="BM21" i="4"/>
  <c r="BN21" i="4"/>
  <c r="BO21" i="4"/>
  <c r="BP21" i="4"/>
  <c r="BQ21" i="4"/>
  <c r="BR21" i="4"/>
  <c r="BS21" i="4"/>
  <c r="BT21" i="4"/>
  <c r="BU21" i="4"/>
  <c r="BV21" i="4"/>
  <c r="BW21" i="4"/>
  <c r="C31" i="4" s="1"/>
  <c r="BX21" i="4"/>
  <c r="CB21" i="4"/>
  <c r="Y23" i="6" l="1"/>
  <c r="N31" i="4"/>
  <c r="AQ31" i="4" s="1"/>
  <c r="AX31" i="4" s="1"/>
  <c r="Y25" i="6"/>
  <c r="N33" i="4"/>
  <c r="AQ33" i="4" s="1"/>
  <c r="AX33" i="4" s="1"/>
  <c r="Y26" i="6"/>
  <c r="N34" i="4"/>
  <c r="AQ34" i="4" s="1"/>
  <c r="AX34" i="4" s="1"/>
  <c r="Y27" i="6"/>
  <c r="N35" i="4"/>
  <c r="AQ35" i="4" s="1"/>
  <c r="AX35" i="4" s="1"/>
  <c r="Y22" i="6"/>
  <c r="N30" i="4"/>
  <c r="AQ30" i="4" s="1"/>
  <c r="AX30" i="4" s="1"/>
  <c r="Y21" i="6"/>
  <c r="N29" i="4"/>
  <c r="AQ29" i="4" s="1"/>
  <c r="AX29" i="4" s="1"/>
  <c r="AD23" i="6"/>
  <c r="AF23" i="6" s="1"/>
  <c r="D31" i="4"/>
  <c r="A11" i="6"/>
  <c r="A23" i="6" s="1"/>
  <c r="AD25" i="6"/>
  <c r="AF25" i="6" s="1"/>
  <c r="D33" i="4"/>
  <c r="A13" i="6"/>
  <c r="A25" i="6" s="1"/>
  <c r="AD26" i="6"/>
  <c r="AF26" i="6" s="1"/>
  <c r="D34" i="4"/>
  <c r="A14" i="6"/>
  <c r="A26" i="6" s="1"/>
  <c r="AD27" i="6"/>
  <c r="AF27" i="6" s="1"/>
  <c r="D35" i="4"/>
  <c r="A15" i="6"/>
  <c r="A27" i="6" s="1"/>
  <c r="AD22" i="6"/>
  <c r="AF22" i="6" s="1"/>
  <c r="D30" i="4"/>
  <c r="A10" i="6"/>
  <c r="A22" i="6" s="1"/>
  <c r="AD21" i="6"/>
  <c r="AF21" i="6" s="1"/>
  <c r="D29" i="4"/>
  <c r="A9" i="6"/>
  <c r="A21" i="6" s="1"/>
  <c r="K33" i="4"/>
  <c r="M33" i="4" s="1"/>
  <c r="L33" i="4" s="1"/>
  <c r="F23" i="4"/>
  <c r="L29" i="4"/>
  <c r="F19" i="4"/>
  <c r="K35" i="4"/>
  <c r="M35" i="4" s="1"/>
  <c r="K34" i="4"/>
  <c r="M34" i="4" s="1"/>
  <c r="K31" i="4"/>
  <c r="M31" i="4" s="1"/>
  <c r="K30" i="4"/>
  <c r="M30" i="4" s="1"/>
  <c r="B22" i="4"/>
  <c r="L30" i="4" l="1"/>
  <c r="F20" i="4"/>
  <c r="L31" i="4"/>
  <c r="F21" i="4"/>
  <c r="L34" i="4"/>
  <c r="F24" i="4"/>
  <c r="L35" i="4"/>
  <c r="F25" i="4"/>
  <c r="BX22" i="4"/>
  <c r="BW22" i="4"/>
  <c r="C32" i="4" s="1"/>
  <c r="BX17" i="4"/>
  <c r="BW17" i="4"/>
  <c r="BV22" i="4"/>
  <c r="BV17" i="4"/>
  <c r="B17" i="4"/>
  <c r="T18" i="4" l="1"/>
  <c r="S18" i="4"/>
  <c r="AB22" i="4" l="1"/>
  <c r="AA22" i="4"/>
  <c r="Z22" i="4"/>
  <c r="Y22" i="4"/>
  <c r="X22" i="4"/>
  <c r="W22" i="4"/>
  <c r="V22" i="4"/>
  <c r="U22" i="4"/>
  <c r="T22" i="4"/>
  <c r="S22" i="4"/>
  <c r="BU22" i="4"/>
  <c r="BT22" i="4"/>
  <c r="BS22" i="4"/>
  <c r="BR22" i="4"/>
  <c r="BQ22" i="4"/>
  <c r="BP22" i="4"/>
  <c r="BO22" i="4"/>
  <c r="BN22" i="4"/>
  <c r="BS18" i="4"/>
  <c r="BT18" i="4"/>
  <c r="BU18" i="4"/>
  <c r="BR18" i="4"/>
  <c r="BQ18" i="4"/>
  <c r="BP18" i="4"/>
  <c r="BN18" i="4"/>
  <c r="BO18" i="4"/>
  <c r="BM18" i="4"/>
  <c r="BM22" i="4"/>
  <c r="BL22" i="4"/>
  <c r="BK22" i="4"/>
  <c r="BI22" i="4"/>
  <c r="BH22" i="4"/>
  <c r="BG22" i="4"/>
  <c r="BE22" i="4"/>
  <c r="BD22" i="4"/>
  <c r="BC22" i="4"/>
  <c r="BL18" i="4"/>
  <c r="BK18" i="4"/>
  <c r="BI18" i="4"/>
  <c r="BH18" i="4"/>
  <c r="BG18" i="4"/>
  <c r="BE18" i="4"/>
  <c r="BD18" i="4"/>
  <c r="BC18" i="4"/>
  <c r="BB22" i="4"/>
  <c r="BA22" i="4"/>
  <c r="AZ22" i="4"/>
  <c r="AY22" i="4"/>
  <c r="AX22" i="4"/>
  <c r="AB24" i="6" s="1"/>
  <c r="AW22" i="4"/>
  <c r="AV22" i="4"/>
  <c r="AU22" i="4"/>
  <c r="AT22" i="4"/>
  <c r="AS22" i="4"/>
  <c r="BB18" i="4"/>
  <c r="BA18" i="4"/>
  <c r="AZ18" i="4"/>
  <c r="AY18" i="4"/>
  <c r="AW18" i="4"/>
  <c r="AV18" i="4"/>
  <c r="AU18" i="4"/>
  <c r="AT18" i="4"/>
  <c r="AS18" i="4"/>
  <c r="AR18" i="4"/>
  <c r="AR22" i="4"/>
  <c r="AQ22" i="4"/>
  <c r="AA24" i="6" s="1"/>
  <c r="AP22" i="4"/>
  <c r="AO22" i="4"/>
  <c r="AN22" i="4"/>
  <c r="AM22" i="4"/>
  <c r="AL22" i="4"/>
  <c r="AP18" i="4"/>
  <c r="AO18" i="4"/>
  <c r="AN18" i="4"/>
  <c r="AM18" i="4"/>
  <c r="AL18" i="4"/>
  <c r="AK22" i="4"/>
  <c r="AJ22" i="4"/>
  <c r="AI22" i="4"/>
  <c r="AH22" i="4"/>
  <c r="AG22" i="4"/>
  <c r="AF22" i="4"/>
  <c r="Z24" i="6" s="1"/>
  <c r="AE22" i="4"/>
  <c r="AJ18" i="4"/>
  <c r="AI18" i="4"/>
  <c r="AH18" i="4"/>
  <c r="AE18" i="4"/>
  <c r="AG18" i="4"/>
  <c r="AD18" i="4"/>
  <c r="AD22" i="4"/>
  <c r="AC22" i="4"/>
  <c r="AC18" i="4"/>
  <c r="AB18" i="4" l="1"/>
  <c r="AA18" i="4"/>
  <c r="Z18" i="4"/>
  <c r="Y18" i="4"/>
  <c r="X18" i="4"/>
  <c r="W18" i="4"/>
  <c r="V18" i="4"/>
  <c r="U18" i="4"/>
  <c r="R18" i="4" l="1"/>
  <c r="Q18" i="4"/>
  <c r="P18" i="4"/>
  <c r="O18" i="4"/>
  <c r="N22" i="4"/>
  <c r="R22" i="4"/>
  <c r="Q22" i="4"/>
  <c r="P22" i="4"/>
  <c r="O22" i="4"/>
  <c r="N16" i="4"/>
  <c r="L22" i="4"/>
  <c r="E32" i="4"/>
  <c r="K32" i="4" s="1"/>
  <c r="M32" i="4" s="1"/>
  <c r="H22" i="4"/>
  <c r="CB22" i="4"/>
  <c r="D22" i="4"/>
  <c r="C22" i="4"/>
  <c r="A22" i="4"/>
  <c r="Y24" i="6" l="1"/>
  <c r="AD24" i="6" s="1"/>
  <c r="AF24" i="6" s="1"/>
  <c r="N32" i="4"/>
  <c r="AQ32" i="4" s="1"/>
  <c r="AX32" i="4" s="1"/>
  <c r="D32" i="4"/>
  <c r="A12" i="6"/>
  <c r="A24" i="6" s="1"/>
  <c r="CC25" i="4"/>
  <c r="CC23" i="4"/>
  <c r="L32" i="4"/>
  <c r="F22" i="4"/>
  <c r="CC20" i="4"/>
  <c r="CC24" i="4"/>
  <c r="CC22" i="4" l="1"/>
  <c r="CC21" i="4"/>
  <c r="CC19" i="4"/>
  <c r="E21" i="4" l="1"/>
  <c r="E19" i="4" l="1"/>
  <c r="G19" i="4" s="1"/>
  <c r="I19" i="4" s="1"/>
  <c r="J19" i="4" s="1"/>
  <c r="M19" i="4" s="1"/>
  <c r="G21" i="4"/>
  <c r="I21" i="4" s="1"/>
  <c r="J21" i="4" s="1"/>
  <c r="M21" i="4" s="1"/>
  <c r="B11" i="6"/>
  <c r="R23" i="6" s="1"/>
  <c r="X23" i="6" s="1"/>
  <c r="AG23" i="6" s="1"/>
  <c r="AH23" i="6" s="1"/>
  <c r="AL23" i="6" s="1"/>
  <c r="B9" i="6"/>
  <c r="R21" i="6" s="1"/>
  <c r="X21" i="6" s="1"/>
  <c r="AG21" i="6" s="1"/>
  <c r="AH21" i="6" s="1"/>
  <c r="AL21" i="6" s="1"/>
  <c r="E24" i="4"/>
  <c r="E20" i="4"/>
  <c r="E23" i="4"/>
  <c r="E25" i="4"/>
  <c r="E22" i="4"/>
  <c r="B12" i="6" s="1"/>
  <c r="R24" i="6" s="1"/>
  <c r="X24" i="6" s="1"/>
  <c r="AG24" i="6" s="1"/>
  <c r="AH24" i="6" s="1"/>
  <c r="AL24" i="6" s="1"/>
  <c r="G25" i="4" l="1"/>
  <c r="I25" i="4" s="1"/>
  <c r="J25" i="4" s="1"/>
  <c r="M25" i="4" s="1"/>
  <c r="B15" i="6"/>
  <c r="R27" i="6" s="1"/>
  <c r="X27" i="6" s="1"/>
  <c r="AG27" i="6" s="1"/>
  <c r="AH27" i="6" s="1"/>
  <c r="AL27" i="6" s="1"/>
  <c r="G24" i="4"/>
  <c r="I24" i="4" s="1"/>
  <c r="J24" i="4" s="1"/>
  <c r="M24" i="4" s="1"/>
  <c r="B14" i="6"/>
  <c r="R26" i="6" s="1"/>
  <c r="X26" i="6" s="1"/>
  <c r="AG26" i="6" s="1"/>
  <c r="AH26" i="6" s="1"/>
  <c r="AL26" i="6" s="1"/>
  <c r="G23" i="4"/>
  <c r="I23" i="4" s="1"/>
  <c r="J23" i="4" s="1"/>
  <c r="M23" i="4" s="1"/>
  <c r="B13" i="6"/>
  <c r="R25" i="6" s="1"/>
  <c r="X25" i="6" s="1"/>
  <c r="AG25" i="6" s="1"/>
  <c r="AH25" i="6" s="1"/>
  <c r="AL25" i="6" s="1"/>
  <c r="G20" i="4"/>
  <c r="I20" i="4" s="1"/>
  <c r="J20" i="4" s="1"/>
  <c r="M20" i="4" s="1"/>
  <c r="B10" i="6"/>
  <c r="R22" i="6" s="1"/>
  <c r="X22" i="6" s="1"/>
  <c r="AG22" i="6" s="1"/>
  <c r="AH22" i="6" s="1"/>
  <c r="AL22" i="6" s="1"/>
  <c r="G22" i="4"/>
  <c r="I22" i="4" s="1"/>
  <c r="J22" i="4" s="1"/>
  <c r="M22" i="4" s="1"/>
  <c r="M26" i="4" l="1"/>
  <c r="M3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8" authorId="0" shapeId="0" xr:uid="{E2AF27EB-7CB8-464C-9A94-17859DFF7657}">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<sst xmlns="http://schemas.openxmlformats.org/spreadsheetml/2006/main" count="390" uniqueCount="260">
  <si>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</si>
  <si>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</si>
  <si>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</si>
  <si>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</si>
  <si>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</si>
  <si>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</si>
  <si>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</si>
  <si>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</si>
  <si>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</si>
  <si>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</si>
  <si>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</si>
  <si>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</si>
  <si>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</si>
  <si>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</si>
  <si>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</si>
  <si>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</si>
  <si>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</si>
  <si>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</si>
  <si>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</si>
  <si>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</si>
  <si>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</si>
  <si>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</si>
  <si>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</si>
  <si>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</si>
  <si>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</si>
  <si>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</si>
  <si>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</si>
  <si>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</si>
  <si>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</si>
  <si>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</si>
  <si>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</si>
  <si>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</si>
  <si>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</si>
  <si>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</si>
  <si>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</si>
  <si>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</si>
  <si>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</si>
  <si>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</si>
  <si>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</si>
  <si>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</si>
  <si>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</si>
  <si>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</si>
  <si>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</si>
  <si>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</si>
  <si>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</si>
  <si>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</si>
  <si>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</si>
  <si>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</si>
  <si>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</si>
  <si>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</si>
  <si>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</si>
  <si>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</si>
  <si>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</si>
  <si>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</si>
  <si>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</si>
  <si>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</si>
  <si>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</si>
  <si>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</si>
  <si>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</si>
  <si>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</si>
  <si>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</si>
  <si>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</si>
  <si>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</si>
  <si>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</si>
  <si>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</si>
  <si>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</si>
  <si>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</si>
  <si>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</si>
  <si>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</si>
  <si>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</si>
  <si>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</si>
  <si>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</si>
  <si>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</si>
  <si>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</si>
  <si>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</si>
  <si>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</si>
  <si>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</si>
  <si>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</si>
  <si>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</si>
  <si>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</si>
  <si>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</si>
  <si>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</si>
  <si>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</si>
  <si>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</si>
  <si>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</si>
  <si>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</si>
  <si>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</si>
  <si>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</si>
  <si>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</si>
  <si>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</si>
  <si>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</si>
  <si>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</si>
  <si>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</si>
  <si>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</si>
  <si>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</si>
  <si>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</si>
  <si>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</si>
  <si>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</si>
  <si>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</si>
  <si>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</si>
  <si>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</si>
  <si>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</si>
  <si>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</si>
  <si>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</si>
  <si>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</si>
  <si>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</si>
  <si>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</si>
  <si>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</si>
  <si>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</si>
  <si>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</si>
  <si>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</si>
  <si>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</si>
  <si>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</si>
  <si>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</si>
  <si>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</si>
  <si>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</si>
  <si>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</si>
  <si>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</si>
  <si>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</si>
  <si>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</si>
  <si>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</si>
  <si>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</si>
  <si>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</si>
  <si>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</si>
  <si>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</si>
  <si>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</si>
  <si>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</si>
  <si>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</si>
  <si>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</si>
  <si>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</si>
  <si>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</si>
  <si>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</si>
  <si>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</si>
  <si>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</si>
  <si>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</si>
  <si>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</si>
  <si>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</si>
  <si>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</si>
  <si>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</si>
  <si>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30 /PR/SBPDCL /2024</t>
  </si>
  <si>
    <t>SOUTH BIHAR POWER DISTRIBUTION CO. LTD, PATNA</t>
  </si>
  <si>
    <t>i.	1.1 KV 3.5x 300 Sq mm  XLPE Aluminium Conductor, Stranded, armoured UG cable
ii.	1.1 KV 3.5x 240 Sq mm  XLPE Aluminium Conductor, Stranded, armoured UG cable
iii.	1.1 KV 3.5x 150 Sq mm  XLPE Aluminium Conductor, Stranded, armoured UG cable
iv.	1.1 KV 3.5x 120 Sq mm  XLPE Aluminium Conductor, Stranded, armoured UG cable
v.	1.1 KV 3.5x 90 Sq mm  XLPE Aluminium Conductor, Stranded, armoured UG cable
vi.	1.1 KV 3.5x 70 Sq mm  XLPE Aluminium Conductor, Stranded, armoured UG cable
vii.	1.1 KV 3.5x 50 Sq mm  XLPE Aluminium Conductor, Stranded, armoured UG cable</t>
  </si>
  <si>
    <t>03.04.2024 up to 18:00 Hrs.</t>
  </si>
  <si>
    <t>Not Mention.</t>
  </si>
  <si>
    <t>Price Variation for 1.1 KV XLPE  Aluminium Conductor, Stranded, armoured UG cable  shall be applicable as per current IEEMA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t>
  </si>
  <si>
    <t>The tenderers should specify the validity period of their offer which should be for a minimum period of 180 days from the last date of submission of bid.</t>
  </si>
  <si>
    <t>The material are required to be delivered within 03 (Three) months from the date of issue of Purchase Order as per the following delivery schedule. 
Within 2 (two) months 	- at least 40 % of the ordered quantity
During 3rd(Third) month	- at least 60 % of the ordered quantity</t>
  </si>
  <si>
    <t>90% payment along with full amount of taxes, duties and freight keeping 10% retention money ,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Payment will be released normally within 15 working days from the date of submission of bill along with all required relevant document(s) to Sr. Manager (Finance), NBPDCL/SBPDCL.</t>
  </si>
  <si>
    <t xml:space="preserve">The cables shall be supplied in continuous lengths of 1000 m/500  m  with 5% tolerance and cable shall on the wooden drums only. </t>
  </si>
  <si>
    <t>The cables, as per specified delivery lengths, shall be securely wound /packed in non-returnable wooden drums, capable of withstanding rough handling during transport by Rail, Road, etc. The packing should withstand storage conditions in open yards. The cable drums shall conform to IS 10418-1982 or equivalent standard.</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</si>
  <si>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</si>
  <si>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</si>
  <si>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</si>
  <si>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</si>
  <si>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</si>
  <si>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</si>
  <si>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</si>
  <si>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</si>
  <si>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</si>
  <si>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</si>
  <si>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</si>
  <si>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</si>
  <si>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</si>
  <si>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</si>
  <si>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</si>
  <si>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</si>
  <si>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</si>
  <si>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</si>
  <si>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</si>
  <si>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ENQ-12644-22-23</t>
  </si>
  <si>
    <t>FA1100002</t>
  </si>
  <si>
    <t>3.5 CORE X 120 SQ. MM. AL/ARD - STRIP (XLPE )</t>
  </si>
  <si>
    <t>WOOD</t>
  </si>
  <si>
    <t>KMS</t>
  </si>
  <si>
    <t>MD0100021</t>
  </si>
  <si>
    <t>DRUM - 64 X 24 X 32 X 3</t>
  </si>
  <si>
    <t>FA1100006</t>
  </si>
  <si>
    <t>3.5 CORE X 300 SQ. MM. AL/ARD - STRIP (XLPE)</t>
  </si>
  <si>
    <t>MD0100079</t>
  </si>
  <si>
    <t>DRUM - 80 X 35 X 39 X 3</t>
  </si>
  <si>
    <t>FA1100027</t>
  </si>
  <si>
    <t>3.5 CORE X 240 SQ. MM. AL/ARD - STRIP (XLPE)</t>
  </si>
  <si>
    <t>MD0100024</t>
  </si>
  <si>
    <t>DRUM - 70 X 30 X 36 X 3</t>
  </si>
  <si>
    <t>FA0900047</t>
  </si>
  <si>
    <t>3.5 CORE X 50 SQ. MM. AL/ARD - STRIP (XLPE)</t>
  </si>
  <si>
    <t>MD0100015</t>
  </si>
  <si>
    <t>DRUM - 48 X 20 X 28 X 2.25 - RDSO</t>
  </si>
  <si>
    <t>FA1100008</t>
  </si>
  <si>
    <t>3.5 CORE X 70 SQ. MM. AL/ARD - STRIP (XLPE)</t>
  </si>
  <si>
    <t>MD0100017</t>
  </si>
  <si>
    <t>DRUM - 52 X 18 X 36 X 2.5</t>
  </si>
  <si>
    <t>FA1100010</t>
  </si>
  <si>
    <t>3.5 CORE X 95 SQ. MM. AL/ARD - STRIP (XLPE)</t>
  </si>
  <si>
    <t>MD0100019</t>
  </si>
  <si>
    <t>DRUM - 54 X 24 X 32 X 3</t>
  </si>
  <si>
    <t>FA1100040</t>
  </si>
  <si>
    <t>3.5 CORE X 150 SQ. MM. AL/ARD - STRIP (XLPE)</t>
  </si>
  <si>
    <t>MD0100070</t>
  </si>
  <si>
    <t>DRUM - 68 X 24 X 32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</si>
  <si>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</si>
  <si>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</si>
  <si>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</si>
  <si>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</si>
  <si>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</si>
  <si>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</si>
  <si>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</si>
  <si>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</si>
  <si>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</si>
  <si>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</si>
  <si>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ATR PVC Type ST-2</t>
  </si>
  <si>
    <t>PV Terms(Price Variation Formula)</t>
  </si>
  <si>
    <t>PV FORMULA</t>
  </si>
  <si>
    <t xml:space="preserve">P = Po + AIF (Al–Alo) + XLFAL (CC–Cco) + SMIF (SMIF1–SMIF0) + FeF (FeF1–FeF0) + CCFAI (PVCc–PVCco) </t>
  </si>
  <si>
    <t>Alf</t>
  </si>
  <si>
    <t>CCFAI</t>
  </si>
  <si>
    <t>XLFAL</t>
  </si>
  <si>
    <t>Item</t>
  </si>
  <si>
    <t>Ex-Work</t>
  </si>
  <si>
    <t>VALUE ADDITION CALCULATION</t>
  </si>
  <si>
    <t>Calculation part</t>
  </si>
  <si>
    <t>Date of Inspection</t>
  </si>
  <si>
    <t>Applicable Date</t>
  </si>
  <si>
    <t>BASE DATE</t>
  </si>
  <si>
    <t>FACTORS</t>
  </si>
  <si>
    <t>Ex-Work
Po</t>
  </si>
  <si>
    <t>PVC of al</t>
  </si>
  <si>
    <t>PVC of XLPE</t>
  </si>
  <si>
    <t>PVC OF PVC</t>
  </si>
  <si>
    <t>PVC OF FE</t>
  </si>
  <si>
    <t>PV/PKM</t>
  </si>
  <si>
    <t>Billing Price/PKM</t>
  </si>
  <si>
    <t>Date</t>
  </si>
  <si>
    <t>Al</t>
  </si>
  <si>
    <t>Cc</t>
  </si>
  <si>
    <t>PVCc</t>
  </si>
  <si>
    <t>Fe</t>
  </si>
  <si>
    <t>Alo</t>
  </si>
  <si>
    <t>Cco</t>
  </si>
  <si>
    <t>PVCco</t>
  </si>
  <si>
    <t>Feo</t>
  </si>
  <si>
    <t>RMC</t>
  </si>
  <si>
    <t>Drum</t>
  </si>
  <si>
    <t>RMC+Drum</t>
  </si>
  <si>
    <t>VA</t>
  </si>
  <si>
    <t>Groos VA%</t>
  </si>
  <si>
    <t>Mfg %</t>
  </si>
  <si>
    <t>Int %</t>
  </si>
  <si>
    <t>Ins%</t>
  </si>
  <si>
    <t>Net VA</t>
  </si>
  <si>
    <t>FeF</t>
  </si>
  <si>
    <t>Kg/Km</t>
  </si>
  <si>
    <t>PROVISIONAL</t>
  </si>
  <si>
    <t>1000 rs/drum for special cable end sealing</t>
  </si>
  <si>
    <t>CABLE WEIGHT KG/KM</t>
  </si>
  <si>
    <t>DRUM WEIGHT</t>
  </si>
  <si>
    <t>CABLE+DRUM WEIGHT</t>
  </si>
  <si>
    <t>TRUCK WEIGHT</t>
  </si>
  <si>
    <t>estimated Value in INR</t>
  </si>
  <si>
    <t>diff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</si>
</sst>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sz val="14"/>
      <name val="Calibri"/>
      <family val="2"/>
      <scheme val="minor"/>
    </font>
    <font>
      <b/>
      <sz val="10"/>
      <color rgb="FF000000"/>
      <name val="Arial"/>
      <family val="2"/>
    </font>
    <font>
      <b/>
      <sz val="10"/>
      <name val="Arial"/>
      <family val="2"/>
    </font>
    <font>
      <sz val="10"/>
      <color rgb="FFFF0000"/>
      <name val="Calibri"/>
      <family val="2"/>
      <scheme val="minor"/>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1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1" fillId="0" borderId="1" xfId="4"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6" fillId="0" borderId="1" xfId="4" applyFont="1" applyBorder="1" applyAlignment="1">
      <alignment vertical="center" wrapText="1"/>
    </xf>
    <xf numFmtId="0" fontId="11" fillId="0" borderId="0" xfId="4" applyAlignment="1">
      <alignment horizontal="left"/>
    </xf>
    <xf numFmtId="0" fontId="17" fillId="0" borderId="0" xfId="4" applyFont="1" applyAlignment="1">
      <alignment horizontal="center"/>
    </xf>
    <xf numFmtId="0" fontId="17" fillId="0" borderId="0" xfId="5" applyFont="1"/>
    <xf numFmtId="0" fontId="11" fillId="0" borderId="0" xfId="4"/>
    <xf numFmtId="0" fontId="16" fillId="0" borderId="1" xfId="4" applyFont="1" applyBorder="1" applyAlignment="1">
      <alignment horizontal="center" vertical="center"/>
    </xf>
    <xf numFmtId="0" fontId="16" fillId="0" borderId="0" xfId="4" applyFont="1" applyAlignment="1">
      <alignment horizontal="left" vertical="center" wrapText="1"/>
    </xf>
    <xf numFmtId="0" fontId="16" fillId="0" borderId="0" xfId="4" applyFont="1"/>
    <xf numFmtId="0" fontId="16" fillId="0" borderId="0" xfId="4" applyFont="1" applyAlignment="1">
      <alignment horizontal="center"/>
    </xf>
    <xf numFmtId="0" fontId="16" fillId="0" borderId="0" xfId="4" applyFont="1" applyAlignment="1">
      <alignment vertical="center"/>
    </xf>
    <xf numFmtId="0" fontId="11" fillId="0" borderId="0" xfId="4" applyAlignment="1">
      <alignment horizontal="center"/>
    </xf>
    <xf numFmtId="166" fontId="16" fillId="0" borderId="0" xfId="4" applyNumberFormat="1" applyFont="1" applyAlignment="1">
      <alignment vertical="center"/>
    </xf>
    <xf numFmtId="0" fontId="15" fillId="0" borderId="1" xfId="4" applyFont="1" applyBorder="1" applyAlignment="1">
      <alignment horizontal="center"/>
    </xf>
    <xf numFmtId="0" fontId="19" fillId="0" borderId="1" xfId="0" applyFont="1" applyBorder="1"/>
    <xf numFmtId="167" fontId="16" fillId="0" borderId="1" xfId="4" applyNumberFormat="1" applyFont="1" applyBorder="1" applyAlignment="1">
      <alignment vertical="center"/>
    </xf>
    <xf numFmtId="14" fontId="17" fillId="0" borderId="0" xfId="4" applyNumberFormat="1" applyFont="1" applyAlignment="1">
      <alignment horizontal="center"/>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8" xfId="5" applyFont="1" applyBorder="1" applyAlignment="1">
      <alignment horizontal="center" vertical="center" wrapText="1"/>
    </xf>
    <xf numFmtId="0" fontId="16" fillId="0" borderId="4" xfId="5" applyFont="1" applyBorder="1" applyAlignment="1">
      <alignment horizontal="center" vertical="center" wrapText="1"/>
    </xf>
    <xf numFmtId="0" fontId="20" fillId="0" borderId="4" xfId="5" applyFont="1" applyBorder="1" applyAlignment="1">
      <alignment horizontal="center" vertical="center" wrapText="1"/>
    </xf>
    <xf numFmtId="0" fontId="20" fillId="0" borderId="1" xfId="5" applyFont="1" applyBorder="1" applyAlignment="1">
      <alignment horizontal="center" vertical="center" wrapText="1"/>
    </xf>
    <xf numFmtId="168" fontId="20" fillId="0" borderId="4" xfId="5" applyNumberFormat="1" applyFont="1" applyBorder="1" applyAlignment="1">
      <alignment horizontal="center" vertical="center" wrapText="1"/>
    </xf>
    <xf numFmtId="168" fontId="20" fillId="0" borderId="1" xfId="5" applyNumberFormat="1" applyFont="1" applyBorder="1" applyAlignment="1">
      <alignment horizontal="center"/>
    </xf>
    <xf numFmtId="0" fontId="11" fillId="0" borderId="19" xfId="4" applyBorder="1"/>
    <xf numFmtId="0" fontId="11" fillId="0" borderId="12" xfId="4" applyBorder="1" applyAlignment="1">
      <alignment horizontal="center"/>
    </xf>
    <xf numFmtId="0" fontId="17" fillId="0" borderId="6" xfId="5" applyFont="1" applyBorder="1" applyAlignment="1">
      <alignment horizontal="left" vertical="center" wrapText="1"/>
    </xf>
    <xf numFmtId="14" fontId="17" fillId="0" borderId="1" xfId="5" applyNumberFormat="1" applyFont="1" applyBorder="1" applyAlignment="1">
      <alignment horizontal="center" vertical="center" wrapText="1"/>
    </xf>
    <xf numFmtId="14" fontId="17" fillId="0" borderId="6" xfId="5" applyNumberFormat="1" applyFont="1" applyBorder="1" applyAlignment="1">
      <alignment horizontal="center" vertical="center" wrapText="1"/>
    </xf>
    <xf numFmtId="2" fontId="16" fillId="0" borderId="6" xfId="5" applyNumberFormat="1" applyFont="1" applyBorder="1" applyAlignment="1">
      <alignment horizontal="center" vertical="center" wrapText="1"/>
    </xf>
    <xf numFmtId="2" fontId="16" fillId="0" borderId="1" xfId="5" applyNumberFormat="1" applyFont="1" applyBorder="1" applyAlignment="1">
      <alignment horizontal="center" vertical="center" wrapText="1"/>
    </xf>
    <xf numFmtId="2" fontId="16" fillId="0" borderId="24" xfId="5" applyNumberFormat="1" applyFont="1" applyBorder="1" applyAlignment="1">
      <alignment horizontal="center" vertical="center" wrapText="1"/>
    </xf>
    <xf numFmtId="0" fontId="17" fillId="0" borderId="24" xfId="5" applyFont="1" applyBorder="1" applyAlignment="1">
      <alignment horizontal="center" vertical="center" wrapText="1"/>
    </xf>
    <xf numFmtId="0" fontId="11" fillId="0" borderId="2" xfId="4" applyBorder="1" applyAlignment="1">
      <alignment horizontal="center" vertical="center" wrapText="1"/>
    </xf>
    <xf numFmtId="0" fontId="11" fillId="0" borderId="19" xfId="4" applyBorder="1" applyAlignment="1">
      <alignment horizontal="center"/>
    </xf>
    <xf numFmtId="14" fontId="17" fillId="0" borderId="3" xfId="5" applyNumberFormat="1" applyFont="1" applyBorder="1" applyAlignment="1">
      <alignment horizontal="center" vertical="center" wrapText="1"/>
    </xf>
    <xf numFmtId="14" fontId="16" fillId="8" borderId="6" xfId="5" applyNumberFormat="1" applyFont="1" applyFill="1" applyBorder="1" applyAlignment="1">
      <alignment horizontal="center" vertical="center" wrapText="1"/>
    </xf>
    <xf numFmtId="169" fontId="21" fillId="0" borderId="1"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2" xfId="6" applyNumberFormat="1" applyFont="1" applyBorder="1" applyAlignment="1">
      <alignment horizontal="center" vertical="center" wrapText="1"/>
    </xf>
    <xf numFmtId="14" fontId="16" fillId="8" borderId="6" xfId="6" applyNumberFormat="1" applyFont="1" applyFill="1" applyBorder="1" applyAlignment="1">
      <alignment horizontal="center" vertical="center" wrapText="1"/>
    </xf>
    <xf numFmtId="170" fontId="17" fillId="0" borderId="6" xfId="5" applyNumberFormat="1" applyFont="1" applyBorder="1" applyAlignment="1">
      <alignment horizontal="center" vertical="center" wrapText="1"/>
    </xf>
    <xf numFmtId="170" fontId="17" fillId="0" borderId="1" xfId="5" applyNumberFormat="1" applyFont="1" applyBorder="1" applyAlignment="1">
      <alignment horizontal="center" vertical="center" wrapText="1"/>
    </xf>
    <xf numFmtId="166" fontId="17" fillId="0" borderId="4" xfId="5" applyNumberFormat="1" applyFont="1" applyBorder="1" applyAlignment="1">
      <alignment vertical="center" wrapText="1"/>
    </xf>
    <xf numFmtId="170" fontId="17" fillId="0" borderId="18" xfId="5" applyNumberFormat="1" applyFont="1" applyBorder="1" applyAlignment="1">
      <alignment horizontal="center" vertical="center" wrapText="1"/>
    </xf>
    <xf numFmtId="2" fontId="17" fillId="0" borderId="24" xfId="5" applyNumberFormat="1" applyFont="1" applyBorder="1" applyAlignment="1">
      <alignment horizontal="center" vertical="center" wrapText="1"/>
    </xf>
    <xf numFmtId="2" fontId="17" fillId="9" borderId="24" xfId="5" applyNumberFormat="1" applyFont="1" applyFill="1" applyBorder="1" applyAlignment="1">
      <alignment horizontal="center" vertical="center" wrapText="1"/>
    </xf>
    <xf numFmtId="170" fontId="12" fillId="0" borderId="4" xfId="5" applyNumberFormat="1" applyBorder="1" applyAlignment="1">
      <alignment vertical="center"/>
    </xf>
    <xf numFmtId="170" fontId="12" fillId="0" borderId="1" xfId="5" applyNumberFormat="1" applyBorder="1" applyAlignment="1">
      <alignment vertical="center"/>
    </xf>
    <xf numFmtId="2" fontId="20" fillId="0" borderId="1" xfId="5" applyNumberFormat="1" applyFont="1" applyBorder="1" applyAlignment="1">
      <alignment vertical="center"/>
    </xf>
    <xf numFmtId="2" fontId="12" fillId="0" borderId="1" xfId="5" applyNumberFormat="1" applyBorder="1" applyAlignment="1">
      <alignment vertical="center"/>
    </xf>
    <xf numFmtId="2" fontId="20" fillId="0" borderId="18" xfId="5" applyNumberFormat="1" applyFont="1" applyBorder="1" applyAlignment="1">
      <alignment vertical="center"/>
    </xf>
    <xf numFmtId="0" fontId="11" fillId="0" borderId="32" xfId="4" applyBorder="1" applyAlignment="1">
      <alignment wrapText="1"/>
    </xf>
    <xf numFmtId="0" fontId="11" fillId="0" borderId="32" xfId="4" applyBorder="1" applyAlignment="1">
      <alignment horizontal="center"/>
    </xf>
    <xf numFmtId="14" fontId="17" fillId="0" borderId="33" xfId="5" applyNumberFormat="1" applyFont="1" applyBorder="1" applyAlignment="1">
      <alignment horizontal="center" vertical="center" wrapText="1"/>
    </xf>
    <xf numFmtId="14" fontId="17" fillId="0" borderId="34" xfId="5" applyNumberFormat="1" applyFont="1" applyBorder="1" applyAlignment="1">
      <alignment horizontal="center" vertical="center" wrapText="1"/>
    </xf>
    <xf numFmtId="2" fontId="17" fillId="0" borderId="35" xfId="5" applyNumberFormat="1" applyFont="1" applyBorder="1" applyAlignment="1">
      <alignment horizontal="center" vertical="center" wrapText="1"/>
    </xf>
    <xf numFmtId="2" fontId="17" fillId="0" borderId="35" xfId="6" applyNumberFormat="1" applyFont="1" applyBorder="1" applyAlignment="1">
      <alignment horizontal="center" vertical="center" wrapText="1"/>
    </xf>
    <xf numFmtId="2" fontId="17" fillId="0" borderId="36" xfId="6" applyNumberFormat="1" applyFont="1" applyBorder="1" applyAlignment="1">
      <alignment horizontal="center" vertical="center" wrapText="1"/>
    </xf>
    <xf numFmtId="2" fontId="17" fillId="0" borderId="34" xfId="6" applyNumberFormat="1" applyFont="1" applyBorder="1" applyAlignment="1">
      <alignment horizontal="center" vertical="center" wrapText="1"/>
    </xf>
    <xf numFmtId="169" fontId="17" fillId="0" borderId="35" xfId="6" applyNumberFormat="1" applyFont="1" applyBorder="1" applyAlignment="1">
      <alignment horizontal="center" vertical="center" wrapText="1"/>
    </xf>
    <xf numFmtId="169" fontId="17" fillId="0" borderId="37" xfId="6" applyNumberFormat="1" applyFont="1" applyBorder="1" applyAlignment="1">
      <alignment horizontal="center" vertical="center" wrapText="1"/>
    </xf>
    <xf numFmtId="2" fontId="17" fillId="0" borderId="34" xfId="5" applyNumberFormat="1" applyFont="1" applyBorder="1" applyAlignment="1">
      <alignment horizontal="center" vertical="center" wrapText="1"/>
    </xf>
    <xf numFmtId="2" fontId="17" fillId="0" borderId="36" xfId="5" applyNumberFormat="1" applyFont="1" applyBorder="1" applyAlignment="1">
      <alignment horizontal="center" vertical="center" wrapText="1"/>
    </xf>
    <xf numFmtId="2" fontId="17" fillId="0" borderId="38" xfId="5" applyNumberFormat="1" applyFont="1" applyBorder="1" applyAlignment="1">
      <alignment horizontal="center" vertical="center" wrapText="1"/>
    </xf>
    <xf numFmtId="171" fontId="17" fillId="0" borderId="39" xfId="5" applyNumberFormat="1" applyFont="1" applyBorder="1" applyAlignment="1">
      <alignment vertical="center" wrapText="1"/>
    </xf>
    <xf numFmtId="171" fontId="17" fillId="0" borderId="35" xfId="5" applyNumberFormat="1" applyFont="1" applyBorder="1" applyAlignment="1">
      <alignment vertical="center" wrapText="1"/>
    </xf>
    <xf numFmtId="171" fontId="17" fillId="0" borderId="36" xfId="5" applyNumberFormat="1" applyFont="1" applyBorder="1" applyAlignment="1">
      <alignment vertical="center" wrapText="1"/>
    </xf>
    <xf numFmtId="166" fontId="17" fillId="0" borderId="38" xfId="5" applyNumberFormat="1" applyFont="1" applyBorder="1" applyAlignment="1">
      <alignment horizontal="center" vertical="center" wrapText="1"/>
    </xf>
    <xf numFmtId="0" fontId="11" fillId="0" borderId="40" xfId="4" applyBorder="1"/>
    <xf numFmtId="0" fontId="11" fillId="0" borderId="41" xfId="4" applyBorder="1"/>
    <xf numFmtId="0" fontId="11" fillId="0" borderId="0" xfId="4" applyAlignment="1">
      <alignment wrapText="1"/>
    </xf>
    <xf numFmtId="0" fontId="15" fillId="0" borderId="0" xfId="4" applyFont="1"/>
    <xf numFmtId="17" fontId="17" fillId="0" borderId="1" xfId="5" applyNumberFormat="1" applyFont="1" applyBorder="1" applyAlignment="1">
      <alignment horizontal="center" vertical="center" wrapText="1"/>
    </xf>
    <xf numFmtId="14" fontId="0" fillId="0" borderId="0" xfId="0" applyNumberFormat="1" applyAlignment="1">
      <alignment wrapText="1"/>
    </xf>
    <xf numFmtId="164" fontId="0" fillId="0" borderId="0" xfId="1" applyFont="1" applyBorder="1" applyAlignment="1">
      <alignment wrapText="1"/>
    </xf>
    <xf numFmtId="43" fontId="0" fillId="0" borderId="0" xfId="0" applyNumberFormat="1" applyAlignment="1">
      <alignment wrapText="1"/>
    </xf>
    <xf numFmtId="164" fontId="0" fillId="0" borderId="0" xfId="0" applyNumberFormat="1" applyAlignment="1">
      <alignment wrapText="1"/>
    </xf>
    <xf numFmtId="9" fontId="0" fillId="0" borderId="0" xfId="2" applyFont="1" applyBorder="1" applyAlignment="1">
      <alignment wrapText="1"/>
    </xf>
    <xf numFmtId="0" fontId="3" fillId="0" borderId="0" xfId="0" applyFont="1" applyAlignment="1">
      <alignment horizontal="center" vertical="center" wrapText="1"/>
    </xf>
    <xf numFmtId="10" fontId="0" fillId="0" borderId="0" xfId="2" applyNumberFormat="1" applyFont="1" applyBorder="1" applyAlignment="1">
      <alignment wrapText="1"/>
    </xf>
    <xf numFmtId="10" fontId="2" fillId="0" borderId="0" xfId="2" applyNumberFormat="1" applyFont="1" applyBorder="1" applyAlignment="1">
      <alignment wrapText="1"/>
    </xf>
    <xf numFmtId="0" fontId="0" fillId="0" borderId="0" xfId="0" applyAlignment="1">
      <alignment horizontal="right"/>
    </xf>
    <xf numFmtId="2" fontId="0" fillId="0" borderId="0" xfId="0" applyNumberFormat="1"/>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6" fillId="0" borderId="16" xfId="5" applyFont="1" applyBorder="1" applyAlignment="1">
      <alignment horizontal="center" vertical="center" wrapText="1"/>
    </xf>
    <xf numFmtId="0" fontId="16" fillId="0" borderId="24" xfId="5" applyFont="1" applyBorder="1" applyAlignment="1">
      <alignment horizontal="center" vertical="center" wrapText="1"/>
    </xf>
    <xf numFmtId="0" fontId="20" fillId="0" borderId="5" xfId="5" applyFont="1" applyBorder="1" applyAlignment="1">
      <alignment horizontal="center" vertical="center"/>
    </xf>
    <xf numFmtId="0" fontId="20" fillId="0" borderId="10" xfId="5" applyFont="1" applyBorder="1" applyAlignment="1">
      <alignment horizontal="center" vertical="center"/>
    </xf>
    <xf numFmtId="0" fontId="20" fillId="0" borderId="11" xfId="5" applyFont="1" applyBorder="1" applyAlignment="1">
      <alignment horizontal="center" vertical="center"/>
    </xf>
    <xf numFmtId="0" fontId="20" fillId="0" borderId="4" xfId="5" applyFont="1" applyBorder="1" applyAlignment="1">
      <alignment horizontal="center" vertical="center"/>
    </xf>
    <xf numFmtId="0" fontId="20" fillId="0" borderId="1" xfId="5" applyFont="1" applyBorder="1" applyAlignment="1">
      <alignment horizontal="center" vertical="center"/>
    </xf>
    <xf numFmtId="0" fontId="20" fillId="0" borderId="18" xfId="5" applyFont="1" applyBorder="1" applyAlignment="1">
      <alignment horizontal="center" vertical="center"/>
    </xf>
    <xf numFmtId="0" fontId="16" fillId="0" borderId="15"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22" xfId="5" applyFont="1" applyBorder="1" applyAlignment="1">
      <alignment horizontal="center" vertical="center" wrapText="1"/>
    </xf>
    <xf numFmtId="0" fontId="16" fillId="0" borderId="23"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4" xfId="5" applyFont="1" applyBorder="1" applyAlignment="1">
      <alignment horizontal="center" vertical="center" wrapText="1"/>
    </xf>
    <xf numFmtId="0" fontId="16" fillId="0" borderId="10" xfId="5" applyFont="1" applyBorder="1" applyAlignment="1">
      <alignment horizontal="center" vertical="center" wrapText="1"/>
    </xf>
    <xf numFmtId="0" fontId="16" fillId="0" borderId="1" xfId="5" applyFont="1" applyBorder="1" applyAlignment="1">
      <alignment horizontal="center" vertical="center" wrapText="1"/>
    </xf>
    <xf numFmtId="0" fontId="20" fillId="0" borderId="20" xfId="5" applyFont="1" applyBorder="1" applyAlignment="1">
      <alignment horizontal="center" vertical="center" wrapText="1"/>
    </xf>
    <xf numFmtId="0" fontId="20" fillId="0" borderId="29" xfId="5" applyFont="1" applyBorder="1" applyAlignment="1">
      <alignment horizontal="center" vertical="center" wrapText="1"/>
    </xf>
    <xf numFmtId="0" fontId="20" fillId="0" borderId="27" xfId="5" applyFont="1" applyBorder="1" applyAlignment="1">
      <alignment horizontal="center" vertical="center" wrapText="1"/>
    </xf>
    <xf numFmtId="0" fontId="20" fillId="0" borderId="25" xfId="5" applyFont="1" applyBorder="1" applyAlignment="1">
      <alignment horizontal="center" vertical="center" wrapText="1"/>
    </xf>
    <xf numFmtId="0" fontId="20" fillId="0" borderId="30" xfId="5" applyFont="1" applyBorder="1" applyAlignment="1">
      <alignment horizontal="center" vertical="center" wrapText="1"/>
    </xf>
    <xf numFmtId="0" fontId="20" fillId="0" borderId="31" xfId="5" applyFont="1" applyBorder="1" applyAlignment="1">
      <alignment horizontal="center" vertical="center" wrapText="1"/>
    </xf>
    <xf numFmtId="0" fontId="16" fillId="0" borderId="11" xfId="5" applyFont="1" applyBorder="1" applyAlignment="1">
      <alignment horizontal="center" vertical="center" wrapText="1"/>
    </xf>
    <xf numFmtId="0" fontId="16" fillId="0" borderId="18" xfId="5" applyFont="1" applyBorder="1" applyAlignment="1">
      <alignment horizontal="center" vertical="center" wrapText="1"/>
    </xf>
    <xf numFmtId="0" fontId="15" fillId="0" borderId="12" xfId="4" applyFont="1" applyBorder="1" applyAlignment="1">
      <alignment horizontal="center" vertical="center"/>
    </xf>
    <xf numFmtId="0" fontId="15" fillId="0" borderId="19" xfId="4" applyFont="1" applyBorder="1" applyAlignment="1">
      <alignment horizontal="center" vertical="center"/>
    </xf>
    <xf numFmtId="0" fontId="15" fillId="0" borderId="26" xfId="4" applyFont="1" applyBorder="1" applyAlignment="1">
      <alignment horizontal="center" vertical="center"/>
    </xf>
    <xf numFmtId="0" fontId="15" fillId="0" borderId="12" xfId="4" applyFont="1" applyBorder="1" applyAlignment="1">
      <alignment horizontal="center" vertical="center" wrapText="1"/>
    </xf>
    <xf numFmtId="0" fontId="15" fillId="0" borderId="19" xfId="4" applyFont="1" applyBorder="1" applyAlignment="1">
      <alignment horizontal="center" vertical="center" wrapText="1"/>
    </xf>
    <xf numFmtId="0" fontId="16" fillId="0" borderId="0" xfId="5" applyFont="1" applyAlignment="1">
      <alignment horizontal="center" vertical="center" wrapText="1"/>
    </xf>
    <xf numFmtId="0" fontId="16" fillId="0" borderId="5" xfId="5" applyFont="1" applyBorder="1" applyAlignment="1">
      <alignment horizontal="center" vertical="center" wrapText="1"/>
    </xf>
    <xf numFmtId="0" fontId="16" fillId="0" borderId="14" xfId="5" applyFont="1" applyBorder="1" applyAlignment="1">
      <alignment horizontal="center" vertical="center" wrapText="1"/>
    </xf>
    <xf numFmtId="0" fontId="16" fillId="0" borderId="6" xfId="5" applyFont="1" applyBorder="1" applyAlignment="1">
      <alignment horizontal="center" vertical="center" wrapText="1"/>
    </xf>
    <xf numFmtId="0" fontId="16" fillId="0" borderId="20" xfId="5" applyFont="1" applyBorder="1" applyAlignment="1">
      <alignment horizontal="center" vertical="center" wrapText="1"/>
    </xf>
    <xf numFmtId="0" fontId="16" fillId="0" borderId="27" xfId="5" applyFont="1" applyBorder="1" applyAlignment="1">
      <alignment horizontal="center" vertical="center" wrapText="1"/>
    </xf>
    <xf numFmtId="0" fontId="16" fillId="0" borderId="21" xfId="5" applyFont="1" applyBorder="1" applyAlignment="1">
      <alignment horizontal="center" vertical="center" wrapText="1"/>
    </xf>
    <xf numFmtId="0" fontId="16" fillId="0" borderId="28" xfId="5" applyFont="1" applyBorder="1" applyAlignment="1">
      <alignment horizontal="center" vertical="center" wrapText="1"/>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8"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6" fillId="0" borderId="1" xfId="4" applyFont="1" applyBorder="1" applyAlignment="1">
      <alignment horizontal="center" vertical="center"/>
    </xf>
    <xf numFmtId="0" fontId="11" fillId="0" borderId="0" xfId="4" applyAlignment="1">
      <alignment horizontal="center"/>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CN1" workbookViewId="0">
      <selection sqref="A1:CX8"/>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row>
    <row r="2" spans="1:102" x14ac:dyDescent="0.25">
      <c r="A2" t="s">
        <v>169</v>
      </c>
      <c r="B2" s="54">
        <v>45352</v>
      </c>
      <c r="C2" t="s">
        <v>170</v>
      </c>
      <c r="D2" t="s">
        <v>171</v>
      </c>
      <c r="E2" t="s">
        <v>172</v>
      </c>
      <c r="J2" t="s">
        <v>80</v>
      </c>
      <c r="K2">
        <v>214</v>
      </c>
      <c r="L2">
        <v>1161</v>
      </c>
      <c r="M2">
        <v>248454</v>
      </c>
      <c r="P2">
        <v>0</v>
      </c>
      <c r="T2">
        <v>0</v>
      </c>
      <c r="V2" t="s">
        <v>86</v>
      </c>
      <c r="W2">
        <v>101.15</v>
      </c>
      <c r="X2">
        <v>197</v>
      </c>
      <c r="Y2">
        <v>19926.55</v>
      </c>
      <c r="Z2" t="s">
        <v>18</v>
      </c>
      <c r="AA2">
        <v>118.2</v>
      </c>
      <c r="AB2">
        <v>0</v>
      </c>
      <c r="AC2">
        <v>0</v>
      </c>
      <c r="AD2" t="s">
        <v>87</v>
      </c>
      <c r="AE2">
        <v>60.25</v>
      </c>
      <c r="AF2">
        <v>111</v>
      </c>
      <c r="AG2">
        <v>6687.75</v>
      </c>
      <c r="AH2" t="s">
        <v>88</v>
      </c>
      <c r="AI2">
        <v>72.5</v>
      </c>
      <c r="AJ2">
        <v>594</v>
      </c>
      <c r="AK2">
        <v>43065</v>
      </c>
      <c r="AL2" t="s">
        <v>87</v>
      </c>
      <c r="AM2">
        <v>60.25</v>
      </c>
      <c r="AN2">
        <v>357</v>
      </c>
      <c r="AO2">
        <v>21509.25</v>
      </c>
      <c r="AR2">
        <v>0</v>
      </c>
      <c r="AV2">
        <v>0</v>
      </c>
      <c r="AZ2">
        <v>0</v>
      </c>
      <c r="BD2">
        <v>0</v>
      </c>
      <c r="BH2">
        <v>0</v>
      </c>
      <c r="BL2">
        <v>52</v>
      </c>
      <c r="BP2">
        <v>0</v>
      </c>
      <c r="BT2">
        <v>0</v>
      </c>
      <c r="BX2">
        <v>0</v>
      </c>
      <c r="BZ2">
        <v>16506.84</v>
      </c>
      <c r="CA2">
        <v>356149.39</v>
      </c>
      <c r="CH2">
        <v>356149.39</v>
      </c>
      <c r="CM2">
        <v>356149.39</v>
      </c>
      <c r="CO2">
        <v>356149.39</v>
      </c>
      <c r="CP2" s="55">
        <v>0.18</v>
      </c>
      <c r="CQ2">
        <v>64106.89</v>
      </c>
      <c r="CR2">
        <v>420256.28</v>
      </c>
      <c r="CS2">
        <v>2.8</v>
      </c>
      <c r="CT2" t="s">
        <v>173</v>
      </c>
      <c r="CU2" s="56">
        <v>1176718</v>
      </c>
      <c r="CV2" t="s">
        <v>174</v>
      </c>
      <c r="CW2" t="s">
        <v>175</v>
      </c>
      <c r="CX2">
        <v>500</v>
      </c>
    </row>
    <row r="3" spans="1:102" x14ac:dyDescent="0.25">
      <c r="A3" t="s">
        <v>169</v>
      </c>
      <c r="B3" s="54">
        <v>45352</v>
      </c>
      <c r="C3" t="s">
        <v>176</v>
      </c>
      <c r="D3" t="s">
        <v>177</v>
      </c>
      <c r="E3" t="s">
        <v>172</v>
      </c>
      <c r="J3" t="s">
        <v>80</v>
      </c>
      <c r="K3">
        <v>214</v>
      </c>
      <c r="L3">
        <v>2835</v>
      </c>
      <c r="M3">
        <v>606690</v>
      </c>
      <c r="P3">
        <v>0</v>
      </c>
      <c r="T3">
        <v>0</v>
      </c>
      <c r="V3" t="s">
        <v>86</v>
      </c>
      <c r="W3">
        <v>101.15</v>
      </c>
      <c r="X3">
        <v>430</v>
      </c>
      <c r="Y3">
        <v>43494.5</v>
      </c>
      <c r="AB3">
        <v>0</v>
      </c>
      <c r="AD3" t="s">
        <v>87</v>
      </c>
      <c r="AE3">
        <v>60.25</v>
      </c>
      <c r="AF3">
        <v>245</v>
      </c>
      <c r="AG3">
        <v>14761.25</v>
      </c>
      <c r="AH3" t="s">
        <v>88</v>
      </c>
      <c r="AI3">
        <v>72.5</v>
      </c>
      <c r="AJ3">
        <v>914</v>
      </c>
      <c r="AK3">
        <v>66265</v>
      </c>
      <c r="AL3" t="s">
        <v>87</v>
      </c>
      <c r="AM3">
        <v>60.25</v>
      </c>
      <c r="AN3">
        <v>698</v>
      </c>
      <c r="AO3">
        <v>42054.5</v>
      </c>
      <c r="AR3">
        <v>0</v>
      </c>
      <c r="AV3">
        <v>0</v>
      </c>
      <c r="AZ3">
        <v>0</v>
      </c>
      <c r="BD3">
        <v>0</v>
      </c>
      <c r="BH3">
        <v>0</v>
      </c>
      <c r="BL3">
        <v>0</v>
      </c>
      <c r="BP3">
        <v>0</v>
      </c>
      <c r="BT3">
        <v>0</v>
      </c>
      <c r="BX3">
        <v>0</v>
      </c>
      <c r="BZ3">
        <v>43826</v>
      </c>
      <c r="CA3">
        <v>817091.25</v>
      </c>
      <c r="CH3">
        <v>817091.25</v>
      </c>
      <c r="CM3">
        <v>817091.25</v>
      </c>
      <c r="CO3">
        <v>817091.25</v>
      </c>
      <c r="CP3" s="55">
        <v>0.18</v>
      </c>
      <c r="CQ3">
        <v>147076.43</v>
      </c>
      <c r="CR3">
        <v>964167.68000000005</v>
      </c>
      <c r="CS3">
        <v>5</v>
      </c>
      <c r="CT3" t="s">
        <v>173</v>
      </c>
      <c r="CU3" s="56">
        <v>4820838</v>
      </c>
      <c r="CV3" t="s">
        <v>178</v>
      </c>
      <c r="CW3" t="s">
        <v>179</v>
      </c>
      <c r="CX3">
        <v>500</v>
      </c>
    </row>
    <row r="4" spans="1:102" x14ac:dyDescent="0.25">
      <c r="A4" t="s">
        <v>169</v>
      </c>
      <c r="B4" s="54">
        <v>45352</v>
      </c>
      <c r="C4" t="s">
        <v>180</v>
      </c>
      <c r="D4" t="s">
        <v>181</v>
      </c>
      <c r="E4" t="s">
        <v>172</v>
      </c>
      <c r="J4" t="s">
        <v>80</v>
      </c>
      <c r="K4">
        <v>214</v>
      </c>
      <c r="L4">
        <v>2268</v>
      </c>
      <c r="M4">
        <v>485352</v>
      </c>
      <c r="P4">
        <v>0</v>
      </c>
      <c r="T4">
        <v>0</v>
      </c>
      <c r="V4" t="s">
        <v>86</v>
      </c>
      <c r="W4">
        <v>101.15</v>
      </c>
      <c r="X4">
        <v>359</v>
      </c>
      <c r="Y4">
        <v>36312.85</v>
      </c>
      <c r="Z4" t="s">
        <v>18</v>
      </c>
      <c r="AA4">
        <v>118.2</v>
      </c>
      <c r="AB4">
        <v>0</v>
      </c>
      <c r="AC4">
        <v>0</v>
      </c>
      <c r="AD4" t="s">
        <v>87</v>
      </c>
      <c r="AE4">
        <v>60.25</v>
      </c>
      <c r="AF4">
        <v>175</v>
      </c>
      <c r="AG4">
        <v>10543.75</v>
      </c>
      <c r="AH4" t="s">
        <v>88</v>
      </c>
      <c r="AI4">
        <v>72.5</v>
      </c>
      <c r="AJ4">
        <v>817</v>
      </c>
      <c r="AK4">
        <v>59232.5</v>
      </c>
      <c r="AL4" t="s">
        <v>87</v>
      </c>
      <c r="AM4">
        <v>60.25</v>
      </c>
      <c r="AN4">
        <v>579</v>
      </c>
      <c r="AO4">
        <v>34884.75</v>
      </c>
      <c r="AR4">
        <v>0</v>
      </c>
      <c r="AV4">
        <v>0</v>
      </c>
      <c r="AZ4">
        <v>0</v>
      </c>
      <c r="BD4">
        <v>0</v>
      </c>
      <c r="BH4">
        <v>0</v>
      </c>
      <c r="BL4">
        <v>43</v>
      </c>
      <c r="BP4">
        <v>0</v>
      </c>
      <c r="BT4">
        <v>0</v>
      </c>
      <c r="BX4">
        <v>0</v>
      </c>
      <c r="BZ4">
        <v>18867.25</v>
      </c>
      <c r="CA4">
        <v>645193.1</v>
      </c>
      <c r="CH4">
        <v>645193.1</v>
      </c>
      <c r="CM4">
        <v>645193.1</v>
      </c>
      <c r="CO4">
        <v>645193.1</v>
      </c>
      <c r="CP4" s="55">
        <v>0.18</v>
      </c>
      <c r="CQ4">
        <v>116134.76</v>
      </c>
      <c r="CR4">
        <v>761327.86</v>
      </c>
      <c r="CS4">
        <v>11.5</v>
      </c>
      <c r="CT4" t="s">
        <v>173</v>
      </c>
      <c r="CU4" s="56">
        <v>8755270</v>
      </c>
      <c r="CV4" t="s">
        <v>182</v>
      </c>
      <c r="CW4" t="s">
        <v>183</v>
      </c>
      <c r="CX4">
        <v>500</v>
      </c>
    </row>
    <row r="5" spans="1:102" x14ac:dyDescent="0.25">
      <c r="A5" t="s">
        <v>169</v>
      </c>
      <c r="B5" s="54">
        <v>45352</v>
      </c>
      <c r="C5" t="s">
        <v>184</v>
      </c>
      <c r="D5" t="s">
        <v>185</v>
      </c>
      <c r="E5" t="s">
        <v>172</v>
      </c>
      <c r="J5" t="s">
        <v>80</v>
      </c>
      <c r="K5">
        <v>214</v>
      </c>
      <c r="L5">
        <v>472.5</v>
      </c>
      <c r="M5">
        <v>101115</v>
      </c>
      <c r="P5">
        <v>0</v>
      </c>
      <c r="T5">
        <v>0</v>
      </c>
      <c r="V5" t="s">
        <v>86</v>
      </c>
      <c r="W5">
        <v>101.15</v>
      </c>
      <c r="X5">
        <v>105</v>
      </c>
      <c r="Y5">
        <v>10620.75</v>
      </c>
      <c r="AB5">
        <v>0</v>
      </c>
      <c r="AD5" t="s">
        <v>87</v>
      </c>
      <c r="AE5">
        <v>60.25</v>
      </c>
      <c r="AF5">
        <v>54</v>
      </c>
      <c r="AG5">
        <v>3253.5</v>
      </c>
      <c r="AH5" t="s">
        <v>88</v>
      </c>
      <c r="AI5">
        <v>72.5</v>
      </c>
      <c r="AJ5">
        <v>401</v>
      </c>
      <c r="AK5">
        <v>29072.5</v>
      </c>
      <c r="AL5" t="s">
        <v>87</v>
      </c>
      <c r="AM5">
        <v>60.25</v>
      </c>
      <c r="AN5">
        <v>225</v>
      </c>
      <c r="AO5">
        <v>13556.25</v>
      </c>
      <c r="AR5">
        <v>0</v>
      </c>
      <c r="AV5">
        <v>0</v>
      </c>
      <c r="AZ5">
        <v>0</v>
      </c>
      <c r="BD5">
        <v>0</v>
      </c>
      <c r="BH5">
        <v>0</v>
      </c>
      <c r="BL5">
        <v>0</v>
      </c>
      <c r="BP5">
        <v>0</v>
      </c>
      <c r="BT5">
        <v>0</v>
      </c>
      <c r="BX5">
        <v>0</v>
      </c>
      <c r="BZ5">
        <v>7317.08</v>
      </c>
      <c r="CA5">
        <v>164935.07999999999</v>
      </c>
      <c r="CH5">
        <v>164935.07999999999</v>
      </c>
      <c r="CM5">
        <v>164935.07999999999</v>
      </c>
      <c r="CO5">
        <v>164935.07999999999</v>
      </c>
      <c r="CP5" s="55">
        <v>0.18</v>
      </c>
      <c r="CQ5">
        <v>29688.31</v>
      </c>
      <c r="CR5">
        <v>194623.39</v>
      </c>
      <c r="CS5">
        <v>12.5</v>
      </c>
      <c r="CT5" t="s">
        <v>173</v>
      </c>
      <c r="CU5" s="56">
        <v>2432792</v>
      </c>
      <c r="CV5" t="s">
        <v>186</v>
      </c>
      <c r="CW5" t="s">
        <v>187</v>
      </c>
      <c r="CX5">
        <v>500</v>
      </c>
    </row>
    <row r="6" spans="1:102" x14ac:dyDescent="0.25">
      <c r="A6" t="s">
        <v>169</v>
      </c>
      <c r="B6" s="54">
        <v>45352</v>
      </c>
      <c r="C6" t="s">
        <v>188</v>
      </c>
      <c r="D6" t="s">
        <v>189</v>
      </c>
      <c r="E6" t="s">
        <v>172</v>
      </c>
      <c r="J6" t="s">
        <v>80</v>
      </c>
      <c r="K6">
        <v>214</v>
      </c>
      <c r="L6">
        <v>661.5</v>
      </c>
      <c r="M6">
        <v>141561</v>
      </c>
      <c r="P6">
        <v>0</v>
      </c>
      <c r="T6">
        <v>0</v>
      </c>
      <c r="V6" t="s">
        <v>86</v>
      </c>
      <c r="W6">
        <v>101.15</v>
      </c>
      <c r="X6">
        <v>137</v>
      </c>
      <c r="Y6">
        <v>13857.55</v>
      </c>
      <c r="AB6">
        <v>0</v>
      </c>
      <c r="AD6" t="s">
        <v>87</v>
      </c>
      <c r="AE6">
        <v>60.25</v>
      </c>
      <c r="AF6">
        <v>76</v>
      </c>
      <c r="AG6">
        <v>4579</v>
      </c>
      <c r="AH6" t="s">
        <v>88</v>
      </c>
      <c r="AI6">
        <v>72.5</v>
      </c>
      <c r="AJ6">
        <v>476</v>
      </c>
      <c r="AK6">
        <v>34510</v>
      </c>
      <c r="AL6" t="s">
        <v>87</v>
      </c>
      <c r="AM6">
        <v>60.25</v>
      </c>
      <c r="AN6">
        <v>262</v>
      </c>
      <c r="AO6">
        <v>15785.5</v>
      </c>
      <c r="AR6">
        <v>0</v>
      </c>
      <c r="AV6">
        <v>0</v>
      </c>
      <c r="AZ6">
        <v>0</v>
      </c>
      <c r="BD6">
        <v>0</v>
      </c>
      <c r="BH6">
        <v>0</v>
      </c>
      <c r="BL6">
        <v>73</v>
      </c>
      <c r="BP6">
        <v>0</v>
      </c>
      <c r="BT6">
        <v>0</v>
      </c>
      <c r="BX6">
        <v>0</v>
      </c>
      <c r="BZ6">
        <v>9913.67</v>
      </c>
      <c r="CA6">
        <v>220206.72</v>
      </c>
      <c r="CH6">
        <v>220206.72</v>
      </c>
      <c r="CM6">
        <v>220206.72</v>
      </c>
      <c r="CO6">
        <v>220206.72</v>
      </c>
      <c r="CP6" s="55">
        <v>0.18</v>
      </c>
      <c r="CQ6">
        <v>39637.21</v>
      </c>
      <c r="CR6">
        <v>259843.93</v>
      </c>
      <c r="CS6">
        <v>12.5</v>
      </c>
      <c r="CT6" t="s">
        <v>173</v>
      </c>
      <c r="CU6" s="56">
        <v>3248049</v>
      </c>
      <c r="CV6" t="s">
        <v>190</v>
      </c>
      <c r="CW6" t="s">
        <v>191</v>
      </c>
      <c r="CX6">
        <v>500</v>
      </c>
    </row>
    <row r="7" spans="1:102" x14ac:dyDescent="0.25">
      <c r="A7" t="s">
        <v>169</v>
      </c>
      <c r="B7" s="54">
        <v>45352</v>
      </c>
      <c r="C7" t="s">
        <v>192</v>
      </c>
      <c r="D7" t="s">
        <v>193</v>
      </c>
      <c r="E7" t="s">
        <v>172</v>
      </c>
      <c r="J7" t="s">
        <v>80</v>
      </c>
      <c r="K7">
        <v>214</v>
      </c>
      <c r="L7">
        <v>904.5</v>
      </c>
      <c r="M7">
        <v>193563</v>
      </c>
      <c r="P7">
        <v>0</v>
      </c>
      <c r="T7">
        <v>0</v>
      </c>
      <c r="V7" t="s">
        <v>86</v>
      </c>
      <c r="W7">
        <v>101.15</v>
      </c>
      <c r="X7">
        <v>157</v>
      </c>
      <c r="Y7">
        <v>15880.55</v>
      </c>
      <c r="AB7">
        <v>0</v>
      </c>
      <c r="AD7" t="s">
        <v>87</v>
      </c>
      <c r="AE7">
        <v>60.25</v>
      </c>
      <c r="AF7">
        <v>86</v>
      </c>
      <c r="AG7">
        <v>5181.5</v>
      </c>
      <c r="AH7" t="s">
        <v>88</v>
      </c>
      <c r="AI7">
        <v>72.5</v>
      </c>
      <c r="AJ7">
        <v>535</v>
      </c>
      <c r="AK7">
        <v>38787.5</v>
      </c>
      <c r="AL7" t="s">
        <v>87</v>
      </c>
      <c r="AM7">
        <v>60.25</v>
      </c>
      <c r="AN7">
        <v>308</v>
      </c>
      <c r="AO7">
        <v>18557</v>
      </c>
      <c r="AR7">
        <v>0</v>
      </c>
      <c r="AV7">
        <v>0</v>
      </c>
      <c r="AZ7">
        <v>0</v>
      </c>
      <c r="BD7">
        <v>0</v>
      </c>
      <c r="BH7">
        <v>0</v>
      </c>
      <c r="BL7">
        <v>0</v>
      </c>
      <c r="BP7">
        <v>0</v>
      </c>
      <c r="BT7">
        <v>0</v>
      </c>
      <c r="BX7">
        <v>0</v>
      </c>
      <c r="BZ7">
        <v>12757.48</v>
      </c>
      <c r="CA7">
        <v>284727.03000000003</v>
      </c>
      <c r="CH7">
        <v>284727.03000000003</v>
      </c>
      <c r="CM7">
        <v>284727.03000000003</v>
      </c>
      <c r="CO7">
        <v>284727.03000000003</v>
      </c>
      <c r="CP7" s="55">
        <v>0.18</v>
      </c>
      <c r="CQ7">
        <v>51250.87</v>
      </c>
      <c r="CR7">
        <v>335977.9</v>
      </c>
      <c r="CS7">
        <v>12.5</v>
      </c>
      <c r="CT7" t="s">
        <v>173</v>
      </c>
      <c r="CU7" s="56">
        <v>4199724</v>
      </c>
      <c r="CV7" t="s">
        <v>194</v>
      </c>
      <c r="CW7" t="s">
        <v>195</v>
      </c>
      <c r="CX7">
        <v>500</v>
      </c>
    </row>
    <row r="8" spans="1:102" x14ac:dyDescent="0.25">
      <c r="A8" t="s">
        <v>169</v>
      </c>
      <c r="B8" s="54">
        <v>45352</v>
      </c>
      <c r="C8" t="s">
        <v>196</v>
      </c>
      <c r="D8" t="s">
        <v>197</v>
      </c>
      <c r="E8" t="s">
        <v>172</v>
      </c>
      <c r="J8" t="s">
        <v>80</v>
      </c>
      <c r="K8">
        <v>214</v>
      </c>
      <c r="L8">
        <v>1404</v>
      </c>
      <c r="M8">
        <v>300456</v>
      </c>
      <c r="P8">
        <v>0</v>
      </c>
      <c r="T8">
        <v>0</v>
      </c>
      <c r="V8" t="s">
        <v>86</v>
      </c>
      <c r="W8">
        <v>101.15</v>
      </c>
      <c r="X8">
        <v>244</v>
      </c>
      <c r="Y8">
        <v>24680.6</v>
      </c>
      <c r="AB8">
        <v>0</v>
      </c>
      <c r="AD8" t="s">
        <v>87</v>
      </c>
      <c r="AE8">
        <v>60.25</v>
      </c>
      <c r="AF8">
        <v>128</v>
      </c>
      <c r="AG8">
        <v>7712</v>
      </c>
      <c r="AH8" t="s">
        <v>88</v>
      </c>
      <c r="AI8">
        <v>72.5</v>
      </c>
      <c r="AJ8">
        <v>625</v>
      </c>
      <c r="AK8">
        <v>45312.5</v>
      </c>
      <c r="AL8" t="s">
        <v>100</v>
      </c>
      <c r="AM8">
        <v>91.7</v>
      </c>
      <c r="AN8">
        <v>378</v>
      </c>
      <c r="AO8">
        <v>34662.6</v>
      </c>
      <c r="AR8">
        <v>0</v>
      </c>
      <c r="AV8">
        <v>0</v>
      </c>
      <c r="AZ8">
        <v>0</v>
      </c>
      <c r="BD8">
        <v>0</v>
      </c>
      <c r="BH8">
        <v>0</v>
      </c>
      <c r="BL8">
        <v>0</v>
      </c>
      <c r="BP8">
        <v>0</v>
      </c>
      <c r="BT8">
        <v>0</v>
      </c>
      <c r="BX8">
        <v>0</v>
      </c>
      <c r="BZ8">
        <v>17878.84</v>
      </c>
      <c r="CA8">
        <v>430702.54</v>
      </c>
      <c r="CH8">
        <v>430702.54</v>
      </c>
      <c r="CM8">
        <v>430702.54</v>
      </c>
      <c r="CO8">
        <v>430702.54</v>
      </c>
      <c r="CP8" s="55">
        <v>0.18</v>
      </c>
      <c r="CQ8">
        <v>77526.460000000006</v>
      </c>
      <c r="CR8">
        <v>508229</v>
      </c>
      <c r="CS8">
        <v>12.5</v>
      </c>
      <c r="CT8" t="s">
        <v>173</v>
      </c>
      <c r="CU8" s="56">
        <v>6352862</v>
      </c>
      <c r="CV8" t="s">
        <v>198</v>
      </c>
      <c r="CW8" t="s">
        <v>199</v>
      </c>
      <c r="CX8">
        <v>500</v>
      </c>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8"/>
  <sheetViews>
    <sheetView tabSelected="1" topLeftCell="A16" zoomScale="95" zoomScaleNormal="95" workbookViewId="0">
      <selection activeCell="K26" sqref="K26"/>
    </sheetView>
  </sheetViews>
  <sheetFormatPr defaultRowHeight="15" x14ac:dyDescent="0.25"/>
  <cols>
    <col min="1" max="1" width="15.140625" bestFit="1" customWidth="1"/>
    <col min="2" max="2" width="10.7109375" bestFit="1" customWidth="1"/>
    <col min="3" max="3" width="12.140625" customWidth="1"/>
    <col min="4" max="4" width="29.5703125" customWidth="1"/>
    <col min="5" max="5" width="13.85546875" style="4" bestFit="1" customWidth="1"/>
    <col min="6" max="6" width="10.28515625"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8.5703125" style="30" customWidth="1"/>
    <col min="15" max="31" width="7.85546875" style="30" hidden="1" customWidth="1"/>
    <col min="32" max="32" width="7.85546875" style="30" customWidth="1"/>
    <col min="33" max="42" width="7.85546875" style="30" hidden="1" customWidth="1"/>
    <col min="43" max="43" width="7.85546875" style="30" customWidth="1"/>
    <col min="44" max="49" width="7.85546875" style="30" hidden="1" customWidth="1"/>
    <col min="50" max="50" width="7.85546875" style="30" customWidth="1"/>
    <col min="51" max="61" width="7.85546875" style="30" hidden="1" customWidth="1"/>
    <col min="62" max="62" width="7.85546875" style="30" customWidth="1"/>
    <col min="63" max="73" width="7.85546875" style="30" hidden="1" customWidth="1"/>
    <col min="74" max="74" width="7.85546875" style="30" customWidth="1"/>
    <col min="75" max="75" width="10.85546875" style="30" bestFit="1" customWidth="1"/>
    <col min="76" max="76" width="22.7109375" style="30" customWidth="1"/>
    <col min="77" max="77" width="10.7109375" style="30" customWidth="1"/>
    <col min="78" max="78" width="12"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10.5703125" bestFit="1" customWidth="1"/>
  </cols>
  <sheetData>
    <row r="1" spans="1:89" s="44" customFormat="1" ht="15.75" thickBot="1" x14ac:dyDescent="0.3"/>
    <row r="2" spans="1:89" s="44" customFormat="1" ht="23.25" thickBot="1" x14ac:dyDescent="0.5">
      <c r="A2" s="151" t="s">
        <v>140</v>
      </c>
      <c r="B2" s="152"/>
      <c r="C2" s="152"/>
      <c r="D2" s="152"/>
      <c r="E2" s="152"/>
      <c r="F2" s="152"/>
      <c r="G2" s="152"/>
      <c r="H2" s="152"/>
      <c r="I2" s="152"/>
      <c r="J2" s="152"/>
      <c r="K2" s="152"/>
      <c r="L2" s="152"/>
      <c r="M2" s="152"/>
      <c r="N2" s="152"/>
      <c r="O2" s="152"/>
      <c r="P2" s="152"/>
      <c r="Q2" s="152"/>
      <c r="R2" s="153"/>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61" t="s">
        <v>139</v>
      </c>
      <c r="C4" s="161"/>
      <c r="D4" s="161"/>
      <c r="E4" s="161"/>
      <c r="F4" s="161"/>
      <c r="G4" s="161"/>
      <c r="H4" s="161"/>
      <c r="I4" s="161"/>
      <c r="J4" s="161"/>
      <c r="K4" s="161"/>
      <c r="L4" s="161"/>
      <c r="M4" s="161"/>
      <c r="N4" s="161"/>
      <c r="O4" s="161"/>
      <c r="P4" s="161"/>
      <c r="Q4" s="161"/>
      <c r="R4" s="161"/>
      <c r="S4"/>
    </row>
    <row r="5" spans="1:89" s="44" customFormat="1" ht="66.599999999999994" customHeight="1" x14ac:dyDescent="0.25">
      <c r="A5" s="45" t="s">
        <v>126</v>
      </c>
      <c r="B5" s="162" t="s">
        <v>141</v>
      </c>
      <c r="C5" s="161"/>
      <c r="D5" s="161"/>
      <c r="E5" s="161"/>
      <c r="F5" s="161"/>
      <c r="G5" s="161"/>
      <c r="H5" s="161"/>
      <c r="I5" s="161"/>
      <c r="J5" s="161"/>
      <c r="K5" s="161"/>
      <c r="L5" s="161"/>
      <c r="M5" s="161"/>
      <c r="N5" s="161"/>
      <c r="O5" s="161"/>
      <c r="P5" s="161"/>
      <c r="Q5" s="161"/>
      <c r="R5" s="161"/>
      <c r="S5"/>
    </row>
    <row r="6" spans="1:89" s="44" customFormat="1" ht="35.450000000000003" customHeight="1" x14ac:dyDescent="0.25">
      <c r="A6" s="46" t="s">
        <v>127</v>
      </c>
      <c r="B6" s="162" t="s">
        <v>142</v>
      </c>
      <c r="C6" s="161"/>
      <c r="D6" s="161"/>
      <c r="E6" s="161"/>
      <c r="F6" s="161"/>
      <c r="G6" s="161"/>
      <c r="H6" s="161"/>
      <c r="I6" s="161"/>
      <c r="J6" s="161"/>
      <c r="K6" s="161"/>
      <c r="L6" s="161"/>
      <c r="M6" s="161"/>
      <c r="N6" s="161"/>
      <c r="O6" s="161"/>
      <c r="P6" s="161"/>
      <c r="Q6" s="161"/>
      <c r="R6" s="161"/>
      <c r="S6"/>
    </row>
    <row r="7" spans="1:89" s="44" customFormat="1" ht="30" x14ac:dyDescent="0.25">
      <c r="A7" s="46" t="s">
        <v>124</v>
      </c>
      <c r="B7" s="162" t="s">
        <v>143</v>
      </c>
      <c r="C7" s="161"/>
      <c r="D7" s="161"/>
      <c r="E7" s="161"/>
      <c r="F7" s="161"/>
      <c r="G7" s="161"/>
      <c r="H7" s="161"/>
      <c r="I7" s="161"/>
      <c r="J7" s="161"/>
      <c r="K7" s="161"/>
      <c r="L7" s="161"/>
      <c r="M7" s="161"/>
      <c r="N7" s="161"/>
      <c r="O7" s="161"/>
      <c r="P7" s="161"/>
      <c r="Q7" s="161"/>
      <c r="R7" s="161"/>
      <c r="S7"/>
    </row>
    <row r="8" spans="1:89" s="44" customFormat="1" ht="35.450000000000003" customHeight="1" x14ac:dyDescent="0.25">
      <c r="A8" s="46" t="s">
        <v>128</v>
      </c>
      <c r="B8" s="162" t="s">
        <v>144</v>
      </c>
      <c r="C8" s="162"/>
      <c r="D8" s="162"/>
      <c r="E8" s="162"/>
      <c r="F8" s="162"/>
      <c r="G8" s="162"/>
      <c r="H8" s="162"/>
      <c r="I8" s="162"/>
      <c r="J8" s="162"/>
      <c r="K8" s="162"/>
      <c r="L8" s="162"/>
      <c r="M8" s="162"/>
      <c r="N8" s="162"/>
      <c r="O8" s="162"/>
      <c r="P8" s="162"/>
      <c r="Q8" s="162"/>
      <c r="R8" s="162"/>
      <c r="S8"/>
    </row>
    <row r="9" spans="1:89" s="44" customFormat="1" ht="28.15" customHeight="1" x14ac:dyDescent="0.25">
      <c r="A9" s="46" t="s">
        <v>129</v>
      </c>
      <c r="B9" s="163" t="s">
        <v>145</v>
      </c>
      <c r="C9" s="164"/>
      <c r="D9" s="164"/>
      <c r="E9" s="164"/>
      <c r="F9" s="164"/>
      <c r="G9" s="164"/>
      <c r="H9" s="164"/>
      <c r="I9" s="164"/>
      <c r="J9" s="164"/>
      <c r="K9" s="164"/>
      <c r="L9" s="164"/>
      <c r="M9" s="164"/>
      <c r="N9" s="164"/>
      <c r="O9" s="164"/>
      <c r="P9" s="164"/>
      <c r="Q9" s="164"/>
      <c r="R9" s="165"/>
    </row>
    <row r="10" spans="1:89" s="44" customFormat="1" ht="41.45" customHeight="1" x14ac:dyDescent="0.25">
      <c r="A10" s="46" t="s">
        <v>130</v>
      </c>
      <c r="B10" s="162" t="s">
        <v>146</v>
      </c>
      <c r="C10" s="162"/>
      <c r="D10" s="162"/>
      <c r="E10" s="162"/>
      <c r="F10" s="162"/>
      <c r="G10" s="162"/>
      <c r="H10" s="162"/>
      <c r="I10" s="162"/>
      <c r="J10" s="162"/>
      <c r="K10" s="162"/>
      <c r="L10" s="162"/>
      <c r="M10" s="162"/>
      <c r="N10" s="162"/>
      <c r="O10" s="162"/>
      <c r="P10" s="162"/>
      <c r="Q10" s="162"/>
      <c r="R10" s="162"/>
      <c r="S10"/>
    </row>
    <row r="11" spans="1:89" s="44" customFormat="1" ht="48" customHeight="1" x14ac:dyDescent="0.25">
      <c r="A11" s="46" t="s">
        <v>131</v>
      </c>
      <c r="B11" s="157" t="s">
        <v>147</v>
      </c>
      <c r="C11" s="158"/>
      <c r="D11" s="158"/>
      <c r="E11" s="158"/>
      <c r="F11" s="158"/>
      <c r="G11" s="158"/>
      <c r="H11" s="158"/>
      <c r="I11" s="158"/>
      <c r="J11" s="158"/>
      <c r="K11" s="158"/>
      <c r="L11" s="158"/>
      <c r="M11" s="158"/>
      <c r="N11" s="158"/>
      <c r="O11" s="158"/>
      <c r="P11" s="158"/>
      <c r="Q11" s="158"/>
      <c r="R11" s="159"/>
      <c r="S11"/>
    </row>
    <row r="12" spans="1:89" s="44" customFormat="1" ht="30" x14ac:dyDescent="0.25">
      <c r="A12" s="49" t="s">
        <v>132</v>
      </c>
      <c r="B12" s="160" t="s">
        <v>148</v>
      </c>
      <c r="C12" s="160"/>
      <c r="D12" s="160"/>
      <c r="E12" s="160"/>
      <c r="F12" s="160"/>
      <c r="G12" s="160"/>
      <c r="H12" s="160"/>
      <c r="I12" s="160"/>
      <c r="J12" s="160"/>
      <c r="K12" s="160"/>
      <c r="L12" s="160"/>
      <c r="M12" s="160"/>
      <c r="N12" s="160"/>
      <c r="O12" s="160"/>
      <c r="P12" s="160"/>
      <c r="Q12" s="160"/>
      <c r="R12" s="160"/>
    </row>
    <row r="13" spans="1:89" s="44" customFormat="1" ht="24.75" customHeight="1" x14ac:dyDescent="0.25">
      <c r="A13" s="49" t="s">
        <v>133</v>
      </c>
      <c r="B13" s="160" t="s">
        <v>149</v>
      </c>
      <c r="C13" s="160"/>
      <c r="D13" s="160"/>
      <c r="E13" s="160"/>
      <c r="F13" s="160"/>
      <c r="G13" s="160"/>
      <c r="H13" s="160"/>
      <c r="I13" s="160"/>
      <c r="J13" s="160"/>
      <c r="K13" s="160"/>
      <c r="L13" s="160"/>
      <c r="M13" s="160"/>
      <c r="N13" s="160"/>
      <c r="O13" s="160"/>
      <c r="P13" s="160"/>
      <c r="Q13" s="160"/>
      <c r="R13" s="160"/>
    </row>
    <row r="14" spans="1:89" s="44" customFormat="1" ht="30" x14ac:dyDescent="0.25">
      <c r="A14" s="50" t="s">
        <v>134</v>
      </c>
      <c r="B14" s="160"/>
      <c r="C14" s="160"/>
      <c r="D14" s="160"/>
      <c r="E14" s="160"/>
      <c r="F14" s="160"/>
      <c r="G14" s="160"/>
      <c r="H14" s="160"/>
      <c r="I14" s="160"/>
      <c r="J14" s="160"/>
      <c r="K14" s="160"/>
      <c r="L14" s="160"/>
      <c r="M14" s="160"/>
      <c r="N14" s="160"/>
      <c r="O14" s="160"/>
      <c r="P14" s="160"/>
      <c r="Q14" s="160"/>
      <c r="R14" s="160"/>
    </row>
    <row r="16" spans="1:89" s="37" customFormat="1" ht="28.9" customHeight="1" x14ac:dyDescent="0.25">
      <c r="E16" s="42"/>
      <c r="H16" s="43"/>
      <c r="N16" s="156" t="str">
        <f>Sheet1!J1</f>
        <v>Conductor</v>
      </c>
      <c r="O16" s="156"/>
      <c r="P16" s="156"/>
      <c r="Q16" s="156"/>
      <c r="R16" s="156"/>
      <c r="S16" s="156" t="s">
        <v>9</v>
      </c>
      <c r="T16" s="156"/>
      <c r="U16" s="156" t="s">
        <v>3</v>
      </c>
      <c r="V16" s="156"/>
      <c r="W16" s="156"/>
      <c r="X16" s="156"/>
      <c r="Y16" s="156"/>
      <c r="Z16" s="156"/>
      <c r="AA16" s="156"/>
      <c r="AB16" s="156"/>
      <c r="AC16" s="156" t="s">
        <v>12</v>
      </c>
      <c r="AD16" s="156"/>
      <c r="AE16" s="156" t="s">
        <v>15</v>
      </c>
      <c r="AF16" s="156"/>
      <c r="AG16" s="156"/>
      <c r="AH16" s="156"/>
      <c r="AI16" s="156"/>
      <c r="AJ16" s="156"/>
      <c r="AK16" s="10" t="s">
        <v>18</v>
      </c>
      <c r="AL16" s="154" t="s">
        <v>21</v>
      </c>
      <c r="AM16" s="155"/>
      <c r="AN16" s="155"/>
      <c r="AO16" s="155"/>
      <c r="AP16" s="155"/>
      <c r="AQ16" s="155"/>
      <c r="AR16" s="155"/>
      <c r="AS16" s="156" t="s">
        <v>24</v>
      </c>
      <c r="AT16" s="156"/>
      <c r="AU16" s="156"/>
      <c r="AV16" s="156"/>
      <c r="AW16" s="156"/>
      <c r="AX16" s="156"/>
      <c r="AY16" s="156"/>
      <c r="AZ16" s="156"/>
      <c r="BA16" s="156"/>
      <c r="BB16" s="156"/>
      <c r="BC16" s="156" t="s">
        <v>27</v>
      </c>
      <c r="BD16" s="156"/>
      <c r="BE16" s="156"/>
      <c r="BF16" s="156"/>
      <c r="BG16" s="156"/>
      <c r="BH16" s="156"/>
      <c r="BI16" s="156"/>
      <c r="BJ16" s="156"/>
      <c r="BK16" s="156"/>
      <c r="BL16" s="156"/>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210</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3" t="str">
        <f>Sheet1!CV1</f>
        <v>DRUM CODE</v>
      </c>
      <c r="BX17" s="53" t="str">
        <f>Sheet1!CW1</f>
        <v>DRUM SIZE (FxbXtx Ft)</v>
      </c>
      <c r="BY17" s="53" t="str">
        <f>Sheet1!CX1</f>
        <v xml:space="preserve">PARTY STANDARD LENGTH (MTR) </v>
      </c>
      <c r="BZ17" s="5" t="s">
        <v>253</v>
      </c>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216</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v>100</v>
      </c>
      <c r="AG18" s="33">
        <f>+IFERROR(VLOOKUP($AG$17,Sheet1!V:Y,2,0),0)</f>
        <v>0</v>
      </c>
      <c r="AH18" s="33">
        <f>+IFERROR(VLOOKUP($AH$17,Sheet1!V:Y,2,0),0)</f>
        <v>0</v>
      </c>
      <c r="AI18" s="33">
        <f>+IFERROR(VLOOKUP($AI$17,Sheet1!V:Y,2,0),0)</f>
        <v>0</v>
      </c>
      <c r="AJ18" s="33">
        <f>+IFERROR(VLOOKUP($AJ$17,Sheet1!V:Y,2,0),0)</f>
        <v>0</v>
      </c>
      <c r="AK18" s="34"/>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v>61</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v>72</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c r="BG18" s="33">
        <f>+IFERROR(VLOOKUP($BG$17,Sheet1!AL2:AO840,2,0),0)</f>
        <v>0</v>
      </c>
      <c r="BH18" s="33">
        <f>+IFERROR(VLOOKUP($BH$17,Sheet1!AL2:AO840,2,0),0)</f>
        <v>0</v>
      </c>
      <c r="BI18" s="33">
        <f>+IFERROR(VLOOKUP($BI$17,Sheet1!AL2:AO840,2,0),0)</f>
        <v>0</v>
      </c>
      <c r="BJ18" s="33">
        <f>61+27</f>
        <v>88</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0" ht="30" x14ac:dyDescent="0.25">
      <c r="A19" s="1" t="str">
        <f>Sheet1!A3</f>
        <v>ENQ-12644-22-23</v>
      </c>
      <c r="B19" s="51">
        <f>Sheet1!B3</f>
        <v>45352</v>
      </c>
      <c r="C19" s="1" t="str">
        <f>Sheet1!C3</f>
        <v>FA1100006</v>
      </c>
      <c r="D19" s="1" t="str">
        <f>Sheet1!D3</f>
        <v>3.5 CORE X 300 SQ. MM. AL/ARD - STRIP (XLPE)</v>
      </c>
      <c r="E19" s="3">
        <f t="shared" ref="E19:E25" si="0">CH19+CJ19+CL19</f>
        <v>1041160.6679999999</v>
      </c>
      <c r="F19" s="62">
        <f>ROUNDUP(M29,0)</f>
        <v>14000</v>
      </c>
      <c r="G19" s="9">
        <f t="shared" ref="G19:G25" si="1">E19+F19</f>
        <v>1055160.6680000001</v>
      </c>
      <c r="H19" s="7">
        <f>Sheet1!CP3</f>
        <v>0.18</v>
      </c>
      <c r="I19" s="9">
        <f t="shared" ref="I19:I25" si="2">G19*H19</f>
        <v>189928.92024000001</v>
      </c>
      <c r="J19" s="9">
        <f t="shared" ref="J19:J25" si="3">G19+I19</f>
        <v>1245089.58824</v>
      </c>
      <c r="K19" s="1">
        <f>Sheet1!CS3</f>
        <v>5</v>
      </c>
      <c r="L19" s="1" t="str">
        <f>Sheet1!CT3</f>
        <v>KMS</v>
      </c>
      <c r="M19" s="3">
        <f t="shared" ref="M19:M25" si="4">J19*K19</f>
        <v>6225447.9411999993</v>
      </c>
      <c r="N19" s="2">
        <f>+IFERROR(VLOOKUP($N$17,Sheet1!J3:L3,3,0),0)</f>
        <v>2835</v>
      </c>
      <c r="O19" s="2">
        <f>+IFERROR(VLOOKUP($O$17,Sheet1!J3:L3,3,0),0)</f>
        <v>0</v>
      </c>
      <c r="P19" s="2">
        <f>+IFERROR(VLOOKUP($P$17,Sheet1!J3:M3,3,0),0)</f>
        <v>0</v>
      </c>
      <c r="Q19" s="2">
        <f>+IFERROR(VLOOKUP($Q$17,Sheet1!J3:M3,3,0),0)</f>
        <v>0</v>
      </c>
      <c r="R19" s="2">
        <f>+IFERROR(VLOOKUP($R$17,Sheet1!J3:M3,3,0),0)</f>
        <v>0</v>
      </c>
      <c r="S19" s="2">
        <f>+IFERROR(VLOOKUP($S$17,Sheet1!N3:Q3,3,0),0)</f>
        <v>0</v>
      </c>
      <c r="T19" s="2">
        <f>+IFERROR(VLOOKUP($T$17,Sheet1!N3:Q3,3,0),0)</f>
        <v>0</v>
      </c>
      <c r="U19" s="2">
        <f>+IFERROR(VLOOKUP($U$17,Sheet1!F3:I3,3,0),0)</f>
        <v>0</v>
      </c>
      <c r="V19" s="2">
        <f>+IFERROR(VLOOKUP($V$17,Sheet1!F3:I3,3,0),0)</f>
        <v>0</v>
      </c>
      <c r="W19" s="2">
        <f>+IFERROR(VLOOKUP($W$17,Sheet1!F3:I3,3,0),0)</f>
        <v>0</v>
      </c>
      <c r="X19" s="2">
        <f>+IFERROR(VLOOKUP($X$17,Sheet1!F3:I3,3,0),0)</f>
        <v>0</v>
      </c>
      <c r="Y19" s="2">
        <f>+IFERROR(VLOOKUP($Y$17,Sheet1!F3:I3,3,0),0)</f>
        <v>0</v>
      </c>
      <c r="Z19" s="2">
        <f>+IFERROR(VLOOKUP($Z$17,Sheet1!F3:I3,3,0),0)</f>
        <v>0</v>
      </c>
      <c r="AA19" s="2">
        <f>+IFERROR(VLOOKUP($AA$17,Sheet1!F3:I3,3,0),0)</f>
        <v>0</v>
      </c>
      <c r="AB19" s="2">
        <f>+IFERROR(VLOOKUP($AB$17,Sheet1!F3:I3,3,0),0)</f>
        <v>0</v>
      </c>
      <c r="AC19" s="2">
        <f>+IFERROR(VLOOKUP($AC$17,Sheet1!R3:U3,3,0),0)</f>
        <v>0</v>
      </c>
      <c r="AD19" s="15">
        <f>+IFERROR(VLOOKUP($AD$17,Sheet1!R3:U3,2,0),0)</f>
        <v>0</v>
      </c>
      <c r="AE19" s="2">
        <f>+IFERROR(VLOOKUP($AE$17,Sheet1!V3:Y3,3,0),0)</f>
        <v>0</v>
      </c>
      <c r="AF19" s="15">
        <f>+IFERROR(VLOOKUP($AF$17,Sheet1!V3:Y3,3,0),0)</f>
        <v>430</v>
      </c>
      <c r="AG19" s="15">
        <f>+IFERROR(VLOOKUP($AG$17,Sheet1!V3:Y3,3,0),0)</f>
        <v>0</v>
      </c>
      <c r="AH19" s="15">
        <f>+IFERROR(VLOOKUP($AH$17,Sheet1!V3:Y3,3,0),0)</f>
        <v>0</v>
      </c>
      <c r="AI19" s="15">
        <f>+IFERROR(VLOOKUP($AI$17,Sheet1!V3:Y3,3,0),0)</f>
        <v>0</v>
      </c>
      <c r="AJ19" s="15">
        <f>+IFERROR(VLOOKUP($AJ$17,Sheet1!V3:Y3,3,0),0)</f>
        <v>0</v>
      </c>
      <c r="AK19" s="15">
        <f>+IFERROR(VLOOKUP($AK$17,Sheet1!Z3:AB3,3,0),0)</f>
        <v>0</v>
      </c>
      <c r="AL19" s="15">
        <f>+IFERROR(VLOOKUP($AL$17,Sheet1!AD3:AG3,3,0),0)</f>
        <v>0</v>
      </c>
      <c r="AM19" s="15">
        <f>+IFERROR(VLOOKUP($AM$17,Sheet1!AD3:AG3,3,0),0)</f>
        <v>0</v>
      </c>
      <c r="AN19" s="15">
        <f>+IFERROR(VLOOKUP($AN$17,Sheet1!AD3:AG3,3,0),0)</f>
        <v>0</v>
      </c>
      <c r="AO19" s="15">
        <f>+IFERROR(VLOOKUP($AO$17,Sheet1!AD3:AG3,3,0),0)</f>
        <v>0</v>
      </c>
      <c r="AP19" s="15">
        <f>+IFERROR(VLOOKUP($AP$17,Sheet1!AD3:AG3,3,0),0)</f>
        <v>0</v>
      </c>
      <c r="AQ19" s="15">
        <f>+IFERROR(VLOOKUP($AQ$17,Sheet1!AD3:AG3,3,0),0)</f>
        <v>245</v>
      </c>
      <c r="AR19" s="15">
        <f>+IFERROR(VLOOKUP($AR$17,Sheet1!AD3:AG3,3,0),0)</f>
        <v>0</v>
      </c>
      <c r="AS19" s="15">
        <f>+IFERROR(VLOOKUP($AS$17,Sheet1!AH3:AK3,3,0),0)</f>
        <v>0</v>
      </c>
      <c r="AT19" s="15">
        <f>+IFERROR(VLOOKUP($AT$17,Sheet1!AH3:AK3,3,0),0)</f>
        <v>0</v>
      </c>
      <c r="AU19" s="15">
        <f>+IFERROR(VLOOKUP($AU$17,Sheet1!AH3:AK3,3,0),0)</f>
        <v>0</v>
      </c>
      <c r="AV19" s="15">
        <f>+IFERROR(VLOOKUP($AV$17,Sheet1!AH3:AK3,3,0),0)</f>
        <v>0</v>
      </c>
      <c r="AW19" s="15">
        <f>+IFERROR(VLOOKUP($AW$17,Sheet1!AH3:AK3,3,0),0)</f>
        <v>0</v>
      </c>
      <c r="AX19" s="15">
        <f>+IFERROR(VLOOKUP($AX$17,Sheet1!AH3:AK3,3,0),0)</f>
        <v>914</v>
      </c>
      <c r="AY19" s="15">
        <f>+IFERROR(VLOOKUP($AY$17,Sheet1!AH3:AK3,3,0),0)</f>
        <v>0</v>
      </c>
      <c r="AZ19" s="15">
        <f>+IFERROR(VLOOKUP($AZ$17,Sheet1!AH3:AK3,3,0),0)</f>
        <v>0</v>
      </c>
      <c r="BA19" s="15">
        <f>+IFERROR(VLOOKUP($BA$17,Sheet1!AH3:AK3,3,0),0)</f>
        <v>0</v>
      </c>
      <c r="BB19" s="15">
        <f>+IFERROR(VLOOKUP($BB$17,Sheet1!AH3:AK3,3,0),0)</f>
        <v>0</v>
      </c>
      <c r="BC19" s="15">
        <f>+IFERROR(VLOOKUP($BC$17,Sheet1!AL3:AO3,3,0),0)</f>
        <v>0</v>
      </c>
      <c r="BD19" s="15">
        <f>+IFERROR(VLOOKUP($BD$17,Sheet1!AL3:AO3,3,0),0)</f>
        <v>0</v>
      </c>
      <c r="BE19" s="15">
        <f>+IFERROR(VLOOKUP($BE$17,Sheet1!AL3:AO3,3,0),0)</f>
        <v>0</v>
      </c>
      <c r="BF19" s="15">
        <f>+IFERROR(VLOOKUP($BF$17,Sheet1!AL3:AO3,3,0),0)</f>
        <v>0</v>
      </c>
      <c r="BG19" s="15">
        <f>+IFERROR(VLOOKUP($BG$17,Sheet1!AL3:AO3,3,0),0)</f>
        <v>0</v>
      </c>
      <c r="BH19" s="15">
        <f>+IFERROR(VLOOKUP($BH$17,Sheet1!AL3:AO3,3,0),0)</f>
        <v>0</v>
      </c>
      <c r="BI19" s="15">
        <f>+IFERROR(VLOOKUP($BI$17,Sheet1!AL3:AO3,3,0),0)</f>
        <v>0</v>
      </c>
      <c r="BJ19" s="15">
        <v>698</v>
      </c>
      <c r="BK19" s="15">
        <f>+IFERROR(VLOOKUP($BK$17,Sheet1!AL3:AO3,3,0),0)</f>
        <v>0</v>
      </c>
      <c r="BL19" s="15">
        <f>+IFERROR(VLOOKUP($BL$17,Sheet1!AL3:AO3,3,0),0)</f>
        <v>0</v>
      </c>
      <c r="BM19" s="15">
        <f>+IFERROR(VLOOKUP($BM$17,Sheet1!AP3:AS3,3,0),0)</f>
        <v>0</v>
      </c>
      <c r="BN19" s="15">
        <f>+IFERROR(VLOOKUP($BN$17,Sheet1!AT3:AW3,3,0),0)</f>
        <v>0</v>
      </c>
      <c r="BO19" s="15">
        <f>+IFERROR(VLOOKUP($BO$17,Sheet1!AX3:BA3,3,0),0)</f>
        <v>0</v>
      </c>
      <c r="BP19" s="15">
        <f>+IFERROR(VLOOKUP($BP$17,Sheet1!BB3:BE3,3,0),0)</f>
        <v>0</v>
      </c>
      <c r="BQ19" s="15">
        <f>+IFERROR(VLOOKUP($BQ$17,Sheet1!BF3:BI3,3,0),0)</f>
        <v>0</v>
      </c>
      <c r="BR19" s="15">
        <f>+IFERROR(VLOOKUP($BR$17,Sheet1!BJ3:BM3,3,0),0)</f>
        <v>0</v>
      </c>
      <c r="BS19" s="15">
        <f>+IFERROR(VLOOKUP($BS$17,Sheet1!BN3:BQ3,3,0),0)</f>
        <v>0</v>
      </c>
      <c r="BT19" s="15">
        <f>+IFERROR(VLOOKUP($BT$17,Sheet1!BR3:BU3,3,0),0)</f>
        <v>0</v>
      </c>
      <c r="BU19" s="15">
        <f>+IFERROR(VLOOKUP($BU$17,Sheet1!BV3:BY3,3,0),0)</f>
        <v>0</v>
      </c>
      <c r="BV19" s="15" t="str">
        <f>Sheet1!E3</f>
        <v>WOOD</v>
      </c>
      <c r="BW19" s="15" t="str">
        <f>Sheet1!CV3</f>
        <v>MD0100079</v>
      </c>
      <c r="BX19" s="15" t="str">
        <f>Sheet1!CW3</f>
        <v>DRUM - 80 X 35 X 39 X 3</v>
      </c>
      <c r="BY19" s="15">
        <f>Sheet1!CX3</f>
        <v>500</v>
      </c>
      <c r="BZ19" s="3">
        <f>Sheet1!BZ3+1000</f>
        <v>44826</v>
      </c>
      <c r="CA19" s="3">
        <f t="shared" ref="CA19:CA25" si="5">SUMPRODUCT($N$18:$BU$18,N19:BU19)+BZ19</f>
        <v>842363</v>
      </c>
      <c r="CB19" s="27">
        <f>Sheet1!CB3</f>
        <v>0</v>
      </c>
      <c r="CC19" s="3">
        <f t="shared" ref="CC19:CC25" si="6">CA19*CB19</f>
        <v>0</v>
      </c>
      <c r="CD19" s="48">
        <v>0.2</v>
      </c>
      <c r="CE19" s="3">
        <f t="shared" ref="CE19:CE25" si="7">CA19*CD19</f>
        <v>168472.6</v>
      </c>
      <c r="CF19" s="48">
        <v>0</v>
      </c>
      <c r="CG19" s="3">
        <f t="shared" ref="CG19:CG25" si="8">CA19*CF19</f>
        <v>0</v>
      </c>
      <c r="CH19" s="3">
        <f t="shared" ref="CH19:CH25" si="9">CA19+CC19+CE19+CG19</f>
        <v>1010835.6</v>
      </c>
      <c r="CI19" s="48">
        <v>0.02</v>
      </c>
      <c r="CJ19" s="62">
        <f t="shared" ref="CJ19:CJ25" si="10">CH19*CI19</f>
        <v>20216.712</v>
      </c>
      <c r="CK19" s="48">
        <v>0.01</v>
      </c>
      <c r="CL19" s="62">
        <f t="shared" ref="CL19:CL25" si="11">CH19*CK19</f>
        <v>10108.356</v>
      </c>
    </row>
    <row r="20" spans="1:90" ht="30" x14ac:dyDescent="0.25">
      <c r="A20" s="1" t="str">
        <f>Sheet1!A4</f>
        <v>ENQ-12644-22-23</v>
      </c>
      <c r="B20" s="51">
        <f>Sheet1!B4</f>
        <v>45352</v>
      </c>
      <c r="C20" s="1" t="str">
        <f>Sheet1!C4</f>
        <v>FA1100027</v>
      </c>
      <c r="D20" s="1" t="str">
        <f>Sheet1!D4</f>
        <v>3.5 CORE X 240 SQ. MM. AL/ARD - STRIP (XLPE)</v>
      </c>
      <c r="E20" s="3">
        <f t="shared" si="0"/>
        <v>823307.32500000007</v>
      </c>
      <c r="F20" s="62">
        <f t="shared" ref="F20:F25" si="12">ROUNDUP(M30,0)</f>
        <v>11667</v>
      </c>
      <c r="G20" s="9">
        <f t="shared" si="1"/>
        <v>834974.32500000007</v>
      </c>
      <c r="H20" s="7">
        <f>Sheet1!CP4</f>
        <v>0.18</v>
      </c>
      <c r="I20" s="9">
        <f t="shared" si="2"/>
        <v>150295.37850000002</v>
      </c>
      <c r="J20" s="9">
        <f t="shared" si="3"/>
        <v>985269.70350000006</v>
      </c>
      <c r="K20" s="1">
        <v>12</v>
      </c>
      <c r="L20" s="1" t="str">
        <f>Sheet1!CT4</f>
        <v>KMS</v>
      </c>
      <c r="M20" s="3">
        <f t="shared" si="4"/>
        <v>11823236.442000002</v>
      </c>
      <c r="N20" s="2">
        <f>+IFERROR(VLOOKUP($N$17,Sheet1!J4:L4,3,0),0)</f>
        <v>2268</v>
      </c>
      <c r="O20" s="2">
        <f>+IFERROR(VLOOKUP($O$17,Sheet1!J4:L4,3,0),0)</f>
        <v>0</v>
      </c>
      <c r="P20" s="2">
        <f>+IFERROR(VLOOKUP($P$17,Sheet1!J4:M4,3,0),0)</f>
        <v>0</v>
      </c>
      <c r="Q20" s="2">
        <f>+IFERROR(VLOOKUP($Q$17,Sheet1!J4:M4,3,0),0)</f>
        <v>0</v>
      </c>
      <c r="R20" s="2">
        <f>+IFERROR(VLOOKUP($R$17,Sheet1!J4:M4,3,0),0)</f>
        <v>0</v>
      </c>
      <c r="S20" s="2">
        <f>+IFERROR(VLOOKUP($S$17,Sheet1!N4:Q4,3,0),0)</f>
        <v>0</v>
      </c>
      <c r="T20" s="2">
        <f>+IFERROR(VLOOKUP($T$17,Sheet1!N4:Q4,3,0),0)</f>
        <v>0</v>
      </c>
      <c r="U20" s="2">
        <f>+IFERROR(VLOOKUP($U$17,Sheet1!F4:I4,3,0),0)</f>
        <v>0</v>
      </c>
      <c r="V20" s="2">
        <f>+IFERROR(VLOOKUP($V$17,Sheet1!F4:I4,3,0),0)</f>
        <v>0</v>
      </c>
      <c r="W20" s="2">
        <f>+IFERROR(VLOOKUP($W$17,Sheet1!F4:I4,3,0),0)</f>
        <v>0</v>
      </c>
      <c r="X20" s="2">
        <f>+IFERROR(VLOOKUP($X$17,Sheet1!F4:I4,3,0),0)</f>
        <v>0</v>
      </c>
      <c r="Y20" s="2">
        <f>+IFERROR(VLOOKUP($Y$17,Sheet1!F4:I4,3,0),0)</f>
        <v>0</v>
      </c>
      <c r="Z20" s="2">
        <f>+IFERROR(VLOOKUP($Z$17,Sheet1!F4:I4,3,0),0)</f>
        <v>0</v>
      </c>
      <c r="AA20" s="2">
        <f>+IFERROR(VLOOKUP($AA$17,Sheet1!F4:I4,3,0),0)</f>
        <v>0</v>
      </c>
      <c r="AB20" s="2">
        <f>+IFERROR(VLOOKUP($AB$17,Sheet1!F4:I4,3,0),0)</f>
        <v>0</v>
      </c>
      <c r="AC20" s="2">
        <f>+IFERROR(VLOOKUP($AC$17,Sheet1!R4:U4,3,0),0)</f>
        <v>0</v>
      </c>
      <c r="AD20" s="15">
        <f>+IFERROR(VLOOKUP($AD$17,Sheet1!R4:U4,2,0),0)</f>
        <v>0</v>
      </c>
      <c r="AE20" s="2">
        <f>+IFERROR(VLOOKUP($AE$17,Sheet1!V4:Y4,3,0),0)</f>
        <v>0</v>
      </c>
      <c r="AF20" s="15">
        <f>+IFERROR(VLOOKUP($AF$17,Sheet1!V4:Y4,3,0),0)</f>
        <v>359</v>
      </c>
      <c r="AG20" s="15">
        <f>+IFERROR(VLOOKUP($AG$17,Sheet1!V4:Y4,3,0),0)</f>
        <v>0</v>
      </c>
      <c r="AH20" s="15">
        <f>+IFERROR(VLOOKUP($AH$17,Sheet1!V4:Y4,3,0),0)</f>
        <v>0</v>
      </c>
      <c r="AI20" s="15">
        <f>+IFERROR(VLOOKUP($AI$17,Sheet1!V4:Y4,3,0),0)</f>
        <v>0</v>
      </c>
      <c r="AJ20" s="15">
        <f>+IFERROR(VLOOKUP($AJ$17,Sheet1!V4:Y4,3,0),0)</f>
        <v>0</v>
      </c>
      <c r="AK20" s="15">
        <f>+IFERROR(VLOOKUP($AK$17,Sheet1!Z4:AB4,3,0),0)</f>
        <v>0</v>
      </c>
      <c r="AL20" s="15">
        <f>+IFERROR(VLOOKUP($AL$17,Sheet1!AD4:AG4,3,0),0)</f>
        <v>0</v>
      </c>
      <c r="AM20" s="15">
        <f>+IFERROR(VLOOKUP($AM$17,Sheet1!AD4:AG4,3,0),0)</f>
        <v>0</v>
      </c>
      <c r="AN20" s="15">
        <f>+IFERROR(VLOOKUP($AN$17,Sheet1!AD4:AG4,3,0),0)</f>
        <v>0</v>
      </c>
      <c r="AO20" s="15">
        <f>+IFERROR(VLOOKUP($AO$17,Sheet1!AD4:AG4,3,0),0)</f>
        <v>0</v>
      </c>
      <c r="AP20" s="15">
        <f>+IFERROR(VLOOKUP($AP$17,Sheet1!AD4:AG4,3,0),0)</f>
        <v>0</v>
      </c>
      <c r="AQ20" s="15">
        <f>+IFERROR(VLOOKUP($AQ$17,Sheet1!AD4:AG4,3,0),0)</f>
        <v>175</v>
      </c>
      <c r="AR20" s="15">
        <f>+IFERROR(VLOOKUP($AR$17,Sheet1!AD4:AG4,3,0),0)</f>
        <v>0</v>
      </c>
      <c r="AS20" s="15">
        <f>+IFERROR(VLOOKUP($AS$17,Sheet1!AH4:AK4,3,0),0)</f>
        <v>0</v>
      </c>
      <c r="AT20" s="15">
        <f>+IFERROR(VLOOKUP($AT$17,Sheet1!AH4:AK4,3,0),0)</f>
        <v>0</v>
      </c>
      <c r="AU20" s="15">
        <f>+IFERROR(VLOOKUP($AU$17,Sheet1!AH4:AK4,3,0),0)</f>
        <v>0</v>
      </c>
      <c r="AV20" s="15">
        <f>+IFERROR(VLOOKUP($AV$17,Sheet1!AH4:AK4,3,0),0)</f>
        <v>0</v>
      </c>
      <c r="AW20" s="15">
        <f>+IFERROR(VLOOKUP($AW$17,Sheet1!AH4:AK4,3,0),0)</f>
        <v>0</v>
      </c>
      <c r="AX20" s="15">
        <f>+IFERROR(VLOOKUP($AX$17,Sheet1!AH4:AK4,3,0),0)</f>
        <v>817</v>
      </c>
      <c r="AY20" s="15">
        <f>+IFERROR(VLOOKUP($AY$17,Sheet1!AH4:AK4,3,0),0)</f>
        <v>0</v>
      </c>
      <c r="AZ20" s="15">
        <f>+IFERROR(VLOOKUP($AZ$17,Sheet1!AH4:AK4,3,0),0)</f>
        <v>0</v>
      </c>
      <c r="BA20" s="15">
        <f>+IFERROR(VLOOKUP($BA$17,Sheet1!AH4:AK4,3,0),0)</f>
        <v>0</v>
      </c>
      <c r="BB20" s="15">
        <f>+IFERROR(VLOOKUP($BB$17,Sheet1!AH4:AK4,3,0),0)</f>
        <v>0</v>
      </c>
      <c r="BC20" s="15">
        <f>+IFERROR(VLOOKUP($BC$17,Sheet1!AL4:AO4,3,0),0)</f>
        <v>0</v>
      </c>
      <c r="BD20" s="15">
        <f>+IFERROR(VLOOKUP($BD$17,Sheet1!AL4:AO4,3,0),0)</f>
        <v>0</v>
      </c>
      <c r="BE20" s="15">
        <f>+IFERROR(VLOOKUP($BE$17,Sheet1!AL4:AO4,3,0),0)</f>
        <v>0</v>
      </c>
      <c r="BF20" s="15">
        <f>+IFERROR(VLOOKUP($BF$17,Sheet1!AL4:AO4,3,0),0)</f>
        <v>0</v>
      </c>
      <c r="BG20" s="15">
        <f>+IFERROR(VLOOKUP($BG$17,Sheet1!AL4:AO4,3,0),0)</f>
        <v>0</v>
      </c>
      <c r="BH20" s="15">
        <f>+IFERROR(VLOOKUP($BH$17,Sheet1!AL4:AO4,3,0),0)</f>
        <v>0</v>
      </c>
      <c r="BI20" s="15">
        <f>+IFERROR(VLOOKUP($BI$17,Sheet1!AL4:AO4,3,0),0)</f>
        <v>0</v>
      </c>
      <c r="BJ20" s="15">
        <v>579</v>
      </c>
      <c r="BK20" s="15">
        <f>+IFERROR(VLOOKUP($BK$17,Sheet1!AL4:AO4,3,0),0)</f>
        <v>0</v>
      </c>
      <c r="BL20" s="15">
        <f>+IFERROR(VLOOKUP($BL$17,Sheet1!AL4:AO4,3,0),0)</f>
        <v>0</v>
      </c>
      <c r="BM20" s="15">
        <f>+IFERROR(VLOOKUP($BM$17,Sheet1!AP4:AS4,3,0),0)</f>
        <v>0</v>
      </c>
      <c r="BN20" s="15">
        <f>+IFERROR(VLOOKUP($BN$17,Sheet1!AT4:AW4,3,0),0)</f>
        <v>0</v>
      </c>
      <c r="BO20" s="15">
        <f>+IFERROR(VLOOKUP($BO$17,Sheet1!AX4:BA4,3,0),0)</f>
        <v>0</v>
      </c>
      <c r="BP20" s="15">
        <f>+IFERROR(VLOOKUP($BP$17,Sheet1!BB4:BE4,3,0),0)</f>
        <v>0</v>
      </c>
      <c r="BQ20" s="15">
        <f>+IFERROR(VLOOKUP($BQ$17,Sheet1!BF4:BI4,3,0),0)</f>
        <v>0</v>
      </c>
      <c r="BR20" s="15">
        <f>+IFERROR(VLOOKUP($BR$17,Sheet1!BJ4:BM4,3,0),0)</f>
        <v>0</v>
      </c>
      <c r="BS20" s="15">
        <f>+IFERROR(VLOOKUP($BS$17,Sheet1!BN4:BQ4,3,0),0)</f>
        <v>0</v>
      </c>
      <c r="BT20" s="15">
        <f>+IFERROR(VLOOKUP($BT$17,Sheet1!BR4:BU4,3,0),0)</f>
        <v>0</v>
      </c>
      <c r="BU20" s="15">
        <f>+IFERROR(VLOOKUP($BU$17,Sheet1!BV4:BY4,3,0),0)</f>
        <v>0</v>
      </c>
      <c r="BV20" s="15" t="str">
        <f>Sheet1!E4</f>
        <v>WOOD</v>
      </c>
      <c r="BW20" s="15" t="str">
        <f>Sheet1!CV4</f>
        <v>MD0100024</v>
      </c>
      <c r="BX20" s="15" t="str">
        <f>Sheet1!CW4</f>
        <v>DRUM - 70 X 30 X 36 X 3</v>
      </c>
      <c r="BY20" s="15">
        <f>Sheet1!CX4</f>
        <v>500</v>
      </c>
      <c r="BZ20" s="3">
        <f>Sheet1!BZ4+1000</f>
        <v>19867.25</v>
      </c>
      <c r="CA20" s="3">
        <f t="shared" si="5"/>
        <v>666106.25</v>
      </c>
      <c r="CB20" s="27">
        <f>Sheet1!CB4</f>
        <v>0</v>
      </c>
      <c r="CC20" s="3">
        <f t="shared" si="6"/>
        <v>0</v>
      </c>
      <c r="CD20" s="48">
        <v>0.2</v>
      </c>
      <c r="CE20" s="3">
        <f t="shared" si="7"/>
        <v>133221.25</v>
      </c>
      <c r="CF20" s="48">
        <v>0</v>
      </c>
      <c r="CG20" s="3">
        <f t="shared" si="8"/>
        <v>0</v>
      </c>
      <c r="CH20" s="3">
        <f t="shared" si="9"/>
        <v>799327.5</v>
      </c>
      <c r="CI20" s="48">
        <v>0.02</v>
      </c>
      <c r="CJ20" s="62">
        <f t="shared" si="10"/>
        <v>15986.550000000001</v>
      </c>
      <c r="CK20" s="48">
        <v>0.01</v>
      </c>
      <c r="CL20" s="62">
        <f t="shared" si="11"/>
        <v>7993.2750000000005</v>
      </c>
    </row>
    <row r="21" spans="1:90" ht="30" x14ac:dyDescent="0.25">
      <c r="A21" s="1" t="str">
        <f>Sheet1!A8</f>
        <v>ENQ-12644-22-23</v>
      </c>
      <c r="B21" s="51">
        <f>Sheet1!B8</f>
        <v>45352</v>
      </c>
      <c r="C21" s="1" t="str">
        <f>Sheet1!C8</f>
        <v>FA1100040</v>
      </c>
      <c r="D21" s="1" t="str">
        <f>Sheet1!D8</f>
        <v>3.5 CORE X 150 SQ. MM. AL/ARD - STRIP (XLPE)</v>
      </c>
      <c r="E21" s="3">
        <f t="shared" si="0"/>
        <v>534711.94224000012</v>
      </c>
      <c r="F21" s="62">
        <f t="shared" si="12"/>
        <v>8750</v>
      </c>
      <c r="G21" s="9">
        <f t="shared" si="1"/>
        <v>543461.94224000012</v>
      </c>
      <c r="H21" s="7">
        <f>Sheet1!CP8</f>
        <v>0.18</v>
      </c>
      <c r="I21" s="9">
        <f t="shared" si="2"/>
        <v>97823.149603200014</v>
      </c>
      <c r="J21" s="9">
        <f t="shared" si="3"/>
        <v>641285.09184320015</v>
      </c>
      <c r="K21" s="1">
        <v>12</v>
      </c>
      <c r="L21" s="1" t="str">
        <f>Sheet1!CT8</f>
        <v>KMS</v>
      </c>
      <c r="M21" s="3">
        <f t="shared" si="4"/>
        <v>7695421.1021184018</v>
      </c>
      <c r="N21" s="2">
        <f>+IFERROR(VLOOKUP($N$17,Sheet1!J8:L8,3,0),0)</f>
        <v>1404</v>
      </c>
      <c r="O21" s="2">
        <f>+IFERROR(VLOOKUP($O$17,Sheet1!J8:L8,3,0),0)</f>
        <v>0</v>
      </c>
      <c r="P21" s="2">
        <f>+IFERROR(VLOOKUP($P$17,Sheet1!J8:M8,3,0),0)</f>
        <v>0</v>
      </c>
      <c r="Q21" s="2">
        <f>+IFERROR(VLOOKUP($Q$17,Sheet1!J8:M8,3,0),0)</f>
        <v>0</v>
      </c>
      <c r="R21" s="2">
        <f>+IFERROR(VLOOKUP($R$17,Sheet1!J8:M8,3,0),0)</f>
        <v>0</v>
      </c>
      <c r="S21" s="2">
        <f>+IFERROR(VLOOKUP($S$17,Sheet1!N8:Q8,3,0),0)</f>
        <v>0</v>
      </c>
      <c r="T21" s="2">
        <f>+IFERROR(VLOOKUP($T$17,Sheet1!N8:Q8,3,0),0)</f>
        <v>0</v>
      </c>
      <c r="U21" s="2">
        <f>+IFERROR(VLOOKUP($U$17,Sheet1!F8:I8,3,0),0)</f>
        <v>0</v>
      </c>
      <c r="V21" s="2">
        <f>+IFERROR(VLOOKUP($V$17,Sheet1!F8:I8,3,0),0)</f>
        <v>0</v>
      </c>
      <c r="W21" s="2">
        <f>+IFERROR(VLOOKUP($W$17,Sheet1!F8:I8,3,0),0)</f>
        <v>0</v>
      </c>
      <c r="X21" s="2">
        <f>+IFERROR(VLOOKUP($X$17,Sheet1!F8:I8,3,0),0)</f>
        <v>0</v>
      </c>
      <c r="Y21" s="2">
        <f>+IFERROR(VLOOKUP($Y$17,Sheet1!F8:I8,3,0),0)</f>
        <v>0</v>
      </c>
      <c r="Z21" s="2">
        <f>+IFERROR(VLOOKUP($Z$17,Sheet1!F8:I8,3,0),0)</f>
        <v>0</v>
      </c>
      <c r="AA21" s="2">
        <f>+IFERROR(VLOOKUP($AA$17,Sheet1!F8:I8,3,0),0)</f>
        <v>0</v>
      </c>
      <c r="AB21" s="2">
        <f>+IFERROR(VLOOKUP($AB$17,Sheet1!F8:I8,3,0),0)</f>
        <v>0</v>
      </c>
      <c r="AC21" s="2">
        <f>+IFERROR(VLOOKUP($AC$17,Sheet1!R8:U8,3,0),0)</f>
        <v>0</v>
      </c>
      <c r="AD21" s="15">
        <f>+IFERROR(VLOOKUP($AD$17,Sheet1!R8:U8,2,0),0)</f>
        <v>0</v>
      </c>
      <c r="AE21" s="2">
        <f>+IFERROR(VLOOKUP($AE$17,Sheet1!V8:Y8,3,0),0)</f>
        <v>0</v>
      </c>
      <c r="AF21" s="15">
        <f>+IFERROR(VLOOKUP($AF$17,Sheet1!V8:Y8,3,0),0)</f>
        <v>244</v>
      </c>
      <c r="AG21" s="15">
        <f>+IFERROR(VLOOKUP($AG$17,Sheet1!V8:Y8,3,0),0)</f>
        <v>0</v>
      </c>
      <c r="AH21" s="15">
        <f>+IFERROR(VLOOKUP($AH$17,Sheet1!V8:Y8,3,0),0)</f>
        <v>0</v>
      </c>
      <c r="AI21" s="15">
        <f>+IFERROR(VLOOKUP($AI$17,Sheet1!V8:Y8,3,0),0)</f>
        <v>0</v>
      </c>
      <c r="AJ21" s="15">
        <f>+IFERROR(VLOOKUP($AJ$17,Sheet1!V8:Y8,3,0),0)</f>
        <v>0</v>
      </c>
      <c r="AK21" s="15">
        <f>+IFERROR(VLOOKUP($AK$17,Sheet1!Z8:AB8,3,0),0)</f>
        <v>0</v>
      </c>
      <c r="AL21" s="15">
        <f>+IFERROR(VLOOKUP($AL$17,Sheet1!AD8:AG8,3,0),0)</f>
        <v>0</v>
      </c>
      <c r="AM21" s="15">
        <f>+IFERROR(VLOOKUP($AM$17,Sheet1!AD8:AG8,3,0),0)</f>
        <v>0</v>
      </c>
      <c r="AN21" s="15">
        <f>+IFERROR(VLOOKUP($AN$17,Sheet1!AD8:AG8,3,0),0)</f>
        <v>0</v>
      </c>
      <c r="AO21" s="15">
        <f>+IFERROR(VLOOKUP($AO$17,Sheet1!AD8:AG8,3,0),0)</f>
        <v>0</v>
      </c>
      <c r="AP21" s="15">
        <f>+IFERROR(VLOOKUP($AP$17,Sheet1!AD8:AG8,3,0),0)</f>
        <v>0</v>
      </c>
      <c r="AQ21" s="15">
        <f>+IFERROR(VLOOKUP($AQ$17,Sheet1!AD8:AG8,3,0),0)</f>
        <v>128</v>
      </c>
      <c r="AR21" s="15">
        <f>+IFERROR(VLOOKUP($AR$17,Sheet1!AD8:AG8,3,0),0)</f>
        <v>0</v>
      </c>
      <c r="AS21" s="15">
        <f>+IFERROR(VLOOKUP($AS$17,Sheet1!AH8:AK8,3,0),0)</f>
        <v>0</v>
      </c>
      <c r="AT21" s="15">
        <f>+IFERROR(VLOOKUP($AT$17,Sheet1!AH8:AK8,3,0),0)</f>
        <v>0</v>
      </c>
      <c r="AU21" s="15">
        <f>+IFERROR(VLOOKUP($AU$17,Sheet1!AH8:AK8,3,0),0)</f>
        <v>0</v>
      </c>
      <c r="AV21" s="15">
        <f>+IFERROR(VLOOKUP($AV$17,Sheet1!AH8:AK8,3,0),0)</f>
        <v>0</v>
      </c>
      <c r="AW21" s="15">
        <f>+IFERROR(VLOOKUP($AW$17,Sheet1!AH8:AK8,3,0),0)</f>
        <v>0</v>
      </c>
      <c r="AX21" s="15">
        <f>+IFERROR(VLOOKUP($AX$17,Sheet1!AH8:AK8,3,0),0)</f>
        <v>625</v>
      </c>
      <c r="AY21" s="15">
        <f>+IFERROR(VLOOKUP($AY$17,Sheet1!AH8:AK8,3,0),0)</f>
        <v>0</v>
      </c>
      <c r="AZ21" s="15">
        <f>+IFERROR(VLOOKUP($AZ$17,Sheet1!AH8:AK8,3,0),0)</f>
        <v>0</v>
      </c>
      <c r="BA21" s="15">
        <f>+IFERROR(VLOOKUP($BA$17,Sheet1!AH8:AK8,3,0),0)</f>
        <v>0</v>
      </c>
      <c r="BB21" s="15">
        <f>+IFERROR(VLOOKUP($BB$17,Sheet1!AH8:AK8,3,0),0)</f>
        <v>0</v>
      </c>
      <c r="BC21" s="15">
        <f>+IFERROR(VLOOKUP($BC$17,Sheet1!AL8:AO8,3,0),0)</f>
        <v>0</v>
      </c>
      <c r="BD21" s="15">
        <f>+IFERROR(VLOOKUP($BD$17,Sheet1!AL8:AO8,3,0),0)</f>
        <v>0</v>
      </c>
      <c r="BE21" s="15">
        <f>+IFERROR(VLOOKUP($BE$17,Sheet1!AL8:AO8,3,0),0)</f>
        <v>0</v>
      </c>
      <c r="BF21" s="15">
        <v>0</v>
      </c>
      <c r="BG21" s="15">
        <f>+IFERROR(VLOOKUP($BG$17,Sheet1!AL8:AO8,3,0),0)</f>
        <v>0</v>
      </c>
      <c r="BH21" s="15">
        <f>+IFERROR(VLOOKUP($BH$17,Sheet1!AL8:AO8,3,0),0)</f>
        <v>0</v>
      </c>
      <c r="BI21" s="15">
        <f>+IFERROR(VLOOKUP($BI$17,Sheet1!AL8:AO8,3,0),0)</f>
        <v>0</v>
      </c>
      <c r="BJ21" s="15">
        <v>378</v>
      </c>
      <c r="BK21" s="15">
        <f>+IFERROR(VLOOKUP($BK$17,Sheet1!AL8:AO8,3,0),0)</f>
        <v>0</v>
      </c>
      <c r="BL21" s="15">
        <f>+IFERROR(VLOOKUP($BL$17,Sheet1!AL8:AO8,3,0),0)</f>
        <v>0</v>
      </c>
      <c r="BM21" s="15">
        <f>+IFERROR(VLOOKUP($BM$17,Sheet1!AP8:AS8,3,0),0)</f>
        <v>0</v>
      </c>
      <c r="BN21" s="15">
        <f>+IFERROR(VLOOKUP($BN$17,Sheet1!AT8:AW8,3,0),0)</f>
        <v>0</v>
      </c>
      <c r="BO21" s="15">
        <f>+IFERROR(VLOOKUP($BO$17,Sheet1!AX8:BA8,3,0),0)</f>
        <v>0</v>
      </c>
      <c r="BP21" s="15">
        <f>+IFERROR(VLOOKUP($BP$17,Sheet1!BB8:BE8,3,0),0)</f>
        <v>0</v>
      </c>
      <c r="BQ21" s="15">
        <f>+IFERROR(VLOOKUP($BQ$17,Sheet1!BF8:BI8,3,0),0)</f>
        <v>0</v>
      </c>
      <c r="BR21" s="15">
        <f>+IFERROR(VLOOKUP($BR$17,Sheet1!BJ8:BM8,3,0),0)</f>
        <v>0</v>
      </c>
      <c r="BS21" s="15">
        <f>+IFERROR(VLOOKUP($BS$17,Sheet1!BN8:BQ8,3,0),0)</f>
        <v>0</v>
      </c>
      <c r="BT21" s="15">
        <f>+IFERROR(VLOOKUP($BT$17,Sheet1!BR8:BU8,3,0),0)</f>
        <v>0</v>
      </c>
      <c r="BU21" s="15">
        <f>+IFERROR(VLOOKUP($BU$17,Sheet1!BV8:BY8,3,0),0)</f>
        <v>0</v>
      </c>
      <c r="BV21" s="15" t="str">
        <f>Sheet1!E8</f>
        <v>WOOD</v>
      </c>
      <c r="BW21" s="15" t="str">
        <f>Sheet1!CV8</f>
        <v>MD0100070</v>
      </c>
      <c r="BX21" s="15" t="str">
        <f>Sheet1!CW8</f>
        <v>DRUM - 68 X 24 X 32 X 3</v>
      </c>
      <c r="BY21" s="15">
        <f>Sheet1!CX8</f>
        <v>500</v>
      </c>
      <c r="BZ21" s="3">
        <f>Sheet1!BZ8+1000</f>
        <v>18878.84</v>
      </c>
      <c r="CA21" s="3">
        <f t="shared" si="5"/>
        <v>432614.84</v>
      </c>
      <c r="CB21" s="27">
        <f>Sheet1!CB8</f>
        <v>0</v>
      </c>
      <c r="CC21" s="3">
        <f t="shared" si="6"/>
        <v>0</v>
      </c>
      <c r="CD21" s="48">
        <v>0.2</v>
      </c>
      <c r="CE21" s="3">
        <f t="shared" si="7"/>
        <v>86522.968000000008</v>
      </c>
      <c r="CF21" s="48">
        <v>0</v>
      </c>
      <c r="CG21" s="3">
        <f t="shared" si="8"/>
        <v>0</v>
      </c>
      <c r="CH21" s="3">
        <f t="shared" si="9"/>
        <v>519137.80800000002</v>
      </c>
      <c r="CI21" s="48">
        <v>0.02</v>
      </c>
      <c r="CJ21" s="62">
        <f t="shared" si="10"/>
        <v>10382.756160000001</v>
      </c>
      <c r="CK21" s="48">
        <v>0.01</v>
      </c>
      <c r="CL21" s="62">
        <f t="shared" si="11"/>
        <v>5191.3780800000004</v>
      </c>
    </row>
    <row r="22" spans="1:90" ht="30" x14ac:dyDescent="0.25">
      <c r="A22" s="1" t="str">
        <f>Sheet1!A2</f>
        <v>ENQ-12644-22-23</v>
      </c>
      <c r="B22" s="51">
        <f>Sheet1!B2</f>
        <v>45352</v>
      </c>
      <c r="C22" s="1" t="str">
        <f>Sheet1!C2</f>
        <v>FA1100002</v>
      </c>
      <c r="D22" s="1" t="str">
        <f>Sheet1!D2</f>
        <v>3.5 CORE X 120 SQ. MM. AL/ARD - STRIP (XLPE )</v>
      </c>
      <c r="E22" s="3">
        <f t="shared" si="0"/>
        <v>456007.17024000006</v>
      </c>
      <c r="F22" s="62">
        <f t="shared" si="12"/>
        <v>12412</v>
      </c>
      <c r="G22" s="9">
        <f t="shared" si="1"/>
        <v>468419.17024000006</v>
      </c>
      <c r="H22" s="7">
        <f>Sheet1!CP2</f>
        <v>0.18</v>
      </c>
      <c r="I22" s="9">
        <f t="shared" si="2"/>
        <v>84315.450643200005</v>
      </c>
      <c r="J22" s="9">
        <f t="shared" si="3"/>
        <v>552734.62088320008</v>
      </c>
      <c r="K22" s="1">
        <v>2.82</v>
      </c>
      <c r="L22" s="1" t="str">
        <f>Sheet1!CT2</f>
        <v>KMS</v>
      </c>
      <c r="M22" s="3">
        <f t="shared" si="4"/>
        <v>1558711.6308906241</v>
      </c>
      <c r="N22" s="2">
        <f>+IFERROR(VLOOKUP($N$17,Sheet1!J2:L2,3,0),0)</f>
        <v>1161</v>
      </c>
      <c r="O22" s="2">
        <f>+IFERROR(VLOOKUP($O$17,Sheet1!J2:L2,3,0),0)</f>
        <v>0</v>
      </c>
      <c r="P22" s="2">
        <f>+IFERROR(VLOOKUP($P$17,Sheet1!J2:M2,3,0),0)</f>
        <v>0</v>
      </c>
      <c r="Q22" s="2">
        <f>+IFERROR(VLOOKUP($Q$17,Sheet1!J2:M2,3,0),0)</f>
        <v>0</v>
      </c>
      <c r="R22" s="2">
        <f>+IFERROR(VLOOKUP($R$17,Sheet1!J2:M2,3,0),0)</f>
        <v>0</v>
      </c>
      <c r="S22" s="2">
        <f>+IFERROR(VLOOKUP($S$17,Sheet1!N2:Q2,3,0),0)</f>
        <v>0</v>
      </c>
      <c r="T22" s="2">
        <f>+IFERROR(VLOOKUP($T$17,Sheet1!N2:Q2,3,0),0)</f>
        <v>0</v>
      </c>
      <c r="U22" s="2">
        <f>+IFERROR(VLOOKUP($U$17,Sheet1!F2:I2,3,0),0)</f>
        <v>0</v>
      </c>
      <c r="V22" s="2">
        <f>+IFERROR(VLOOKUP($V$17,Sheet1!F2:I2,3,0),0)</f>
        <v>0</v>
      </c>
      <c r="W22" s="2">
        <f>+IFERROR(VLOOKUP($W$17,Sheet1!F2:I2,3,0),0)</f>
        <v>0</v>
      </c>
      <c r="X22" s="2">
        <f>+IFERROR(VLOOKUP($X$17,Sheet1!F2:I2,3,0),0)</f>
        <v>0</v>
      </c>
      <c r="Y22" s="2">
        <f>+IFERROR(VLOOKUP($Y$17,Sheet1!F2:I2,3,0),0)</f>
        <v>0</v>
      </c>
      <c r="Z22" s="2">
        <f>+IFERROR(VLOOKUP($Z$17,Sheet1!F2:I2,3,0),0)</f>
        <v>0</v>
      </c>
      <c r="AA22" s="2">
        <f>+IFERROR(VLOOKUP($AA$17,Sheet1!F2:I2,3,0),0)</f>
        <v>0</v>
      </c>
      <c r="AB22" s="2">
        <f>+IFERROR(VLOOKUP($AB$17,Sheet1!F2:I2,3,0),0)</f>
        <v>0</v>
      </c>
      <c r="AC22" s="2">
        <f>+IFERROR(VLOOKUP($AC$17,Sheet1!R2:U2,3,0),0)</f>
        <v>0</v>
      </c>
      <c r="AD22" s="15">
        <f>+IFERROR(VLOOKUP($AD$17,Sheet1!R2:U2,2,0),0)</f>
        <v>0</v>
      </c>
      <c r="AE22" s="2">
        <f>+IFERROR(VLOOKUP($AE$17,Sheet1!V2:Y2,3,0),0)</f>
        <v>0</v>
      </c>
      <c r="AF22" s="15">
        <f>+IFERROR(VLOOKUP($AF$17,Sheet1!V2:Y2,3,0),0)</f>
        <v>197</v>
      </c>
      <c r="AG22" s="15">
        <f>+IFERROR(VLOOKUP($AG$17,Sheet1!V2:Y2,3,0),0)</f>
        <v>0</v>
      </c>
      <c r="AH22" s="15">
        <f>+IFERROR(VLOOKUP($AH$17,Sheet1!V2:Y2,3,0),0)</f>
        <v>0</v>
      </c>
      <c r="AI22" s="15">
        <f>+IFERROR(VLOOKUP($AI$17,Sheet1!V2:Y2,3,0),0)</f>
        <v>0</v>
      </c>
      <c r="AJ22" s="15">
        <f>+IFERROR(VLOOKUP($AJ$17,Sheet1!V2:Y2,3,0),0)</f>
        <v>0</v>
      </c>
      <c r="AK22" s="15">
        <f>+IFERROR(VLOOKUP($AK$17,Sheet1!Z2:AB2,3,0),0)</f>
        <v>0</v>
      </c>
      <c r="AL22" s="15">
        <f>+IFERROR(VLOOKUP($AL$17,Sheet1!AD2:AG2,3,0),0)</f>
        <v>0</v>
      </c>
      <c r="AM22" s="15">
        <f>+IFERROR(VLOOKUP($AM$17,Sheet1!AD2:AG2,3,0),0)</f>
        <v>0</v>
      </c>
      <c r="AN22" s="15">
        <f>+IFERROR(VLOOKUP($AN$17,Sheet1!AD2:AG2,3,0),0)</f>
        <v>0</v>
      </c>
      <c r="AO22" s="15">
        <f>+IFERROR(VLOOKUP($AO$17,Sheet1!AD2:AG2,3,0),0)</f>
        <v>0</v>
      </c>
      <c r="AP22" s="15">
        <f>+IFERROR(VLOOKUP($AP$17,Sheet1!AD2:AG2,3,0),0)</f>
        <v>0</v>
      </c>
      <c r="AQ22" s="15">
        <f>+IFERROR(VLOOKUP($AQ$17,Sheet1!AD2:AG2,3,0),0)</f>
        <v>111</v>
      </c>
      <c r="AR22" s="15">
        <f>+IFERROR(VLOOKUP($AR$17,Sheet1!AD2:AG2,3,0),0)</f>
        <v>0</v>
      </c>
      <c r="AS22" s="15">
        <f>+IFERROR(VLOOKUP($AS$17,Sheet1!AH2:AK2,3,0),0)</f>
        <v>0</v>
      </c>
      <c r="AT22" s="15">
        <f>+IFERROR(VLOOKUP($AT$17,Sheet1!AH2:AK2,3,0),0)</f>
        <v>0</v>
      </c>
      <c r="AU22" s="15">
        <f>+IFERROR(VLOOKUP($AU$17,Sheet1!AH2:AK2,3,0),0)</f>
        <v>0</v>
      </c>
      <c r="AV22" s="15">
        <f>+IFERROR(VLOOKUP($AV$17,Sheet1!AH2:AK2,3,0),0)</f>
        <v>0</v>
      </c>
      <c r="AW22" s="15">
        <f>+IFERROR(VLOOKUP($AW$17,Sheet1!AH2:AK2,3,0),0)</f>
        <v>0</v>
      </c>
      <c r="AX22" s="15">
        <f>+IFERROR(VLOOKUP($AX$17,Sheet1!AH2:AK2,3,0),0)</f>
        <v>594</v>
      </c>
      <c r="AY22" s="15">
        <f>+IFERROR(VLOOKUP($AY$17,Sheet1!AH2:AK2,3,0),0)</f>
        <v>0</v>
      </c>
      <c r="AZ22" s="15">
        <f>+IFERROR(VLOOKUP($AZ$17,Sheet1!AH2:AK2,3,0),0)</f>
        <v>0</v>
      </c>
      <c r="BA22" s="15">
        <f>+IFERROR(VLOOKUP($BA$17,Sheet1!AH2:AK2,3,0),0)</f>
        <v>0</v>
      </c>
      <c r="BB22" s="15">
        <f>+IFERROR(VLOOKUP($BB$17,Sheet1!AH2:AK2,3,0),0)</f>
        <v>0</v>
      </c>
      <c r="BC22" s="15">
        <f>+IFERROR(VLOOKUP($BC$17,Sheet1!AL2:AO2,3,0),0)</f>
        <v>0</v>
      </c>
      <c r="BD22" s="15">
        <f>+IFERROR(VLOOKUP($BD$17,Sheet1!AL2:AO2,3,0),0)</f>
        <v>0</v>
      </c>
      <c r="BE22" s="15">
        <f>+IFERROR(VLOOKUP($BE$17,Sheet1!AL2:AO2,3,0),0)</f>
        <v>0</v>
      </c>
      <c r="BF22" s="15">
        <v>0</v>
      </c>
      <c r="BG22" s="15">
        <f>+IFERROR(VLOOKUP($BG$17,Sheet1!AL2:AO2,3,0),0)</f>
        <v>0</v>
      </c>
      <c r="BH22" s="15">
        <f>+IFERROR(VLOOKUP($BH$17,Sheet1!AL2:AO2,3,0),0)</f>
        <v>0</v>
      </c>
      <c r="BI22" s="15">
        <f>+IFERROR(VLOOKUP($BI$17,Sheet1!AL2:AO2,3,0),0)</f>
        <v>0</v>
      </c>
      <c r="BJ22" s="15">
        <v>357</v>
      </c>
      <c r="BK22" s="15">
        <f>+IFERROR(VLOOKUP($BK$17,Sheet1!AL2:AO2,3,0),0)</f>
        <v>0</v>
      </c>
      <c r="BL22" s="15">
        <f>+IFERROR(VLOOKUP($BL$17,Sheet1!AL2:AO2,3,0),0)</f>
        <v>0</v>
      </c>
      <c r="BM22" s="15">
        <f>+IFERROR(VLOOKUP($BM$17,Sheet1!AP2:AS2,3,0),0)</f>
        <v>0</v>
      </c>
      <c r="BN22" s="15">
        <f>+IFERROR(VLOOKUP($BN$17,Sheet1!AT2:AW2,3,0),0)</f>
        <v>0</v>
      </c>
      <c r="BO22" s="15">
        <f>+IFERROR(VLOOKUP($BO$17,Sheet1!AX2:BA2,3,0),0)</f>
        <v>0</v>
      </c>
      <c r="BP22" s="15">
        <f>+IFERROR(VLOOKUP($BP$17,Sheet1!BB2:BE2,3,0),0)</f>
        <v>0</v>
      </c>
      <c r="BQ22" s="15">
        <f>+IFERROR(VLOOKUP($BQ$17,Sheet1!BF2:BI2,3,0),0)</f>
        <v>0</v>
      </c>
      <c r="BR22" s="15">
        <f>+IFERROR(VLOOKUP($BR$17,Sheet1!BJ2:BM2,3,0),0)</f>
        <v>0</v>
      </c>
      <c r="BS22" s="15">
        <f>+IFERROR(VLOOKUP($BS$17,Sheet1!BN2:BQ2,3,0),0)</f>
        <v>0</v>
      </c>
      <c r="BT22" s="15">
        <f>+IFERROR(VLOOKUP($BT$17,Sheet1!BR2:BU2,3,0),0)</f>
        <v>0</v>
      </c>
      <c r="BU22" s="15">
        <f>+IFERROR(VLOOKUP($BU$17,Sheet1!BV2:BY2,3,0),0)</f>
        <v>0</v>
      </c>
      <c r="BV22" s="15" t="str">
        <f>Sheet1!E2</f>
        <v>WOOD</v>
      </c>
      <c r="BW22" s="15" t="str">
        <f>Sheet1!CV2</f>
        <v>MD0100021</v>
      </c>
      <c r="BX22" s="15" t="str">
        <f>Sheet1!CW2</f>
        <v>DRUM - 64 X 24 X 32 X 3</v>
      </c>
      <c r="BY22" s="15">
        <f>Sheet1!CX2</f>
        <v>500</v>
      </c>
      <c r="BZ22" s="3">
        <f>Sheet1!BZ2+1000</f>
        <v>17506.84</v>
      </c>
      <c r="CA22" s="3">
        <f t="shared" si="5"/>
        <v>368937.84</v>
      </c>
      <c r="CB22" s="27">
        <f>Sheet1!CB2</f>
        <v>0</v>
      </c>
      <c r="CC22" s="3">
        <f t="shared" si="6"/>
        <v>0</v>
      </c>
      <c r="CD22" s="48">
        <v>0.2</v>
      </c>
      <c r="CE22" s="3">
        <f t="shared" si="7"/>
        <v>73787.568000000014</v>
      </c>
      <c r="CF22" s="48">
        <v>0</v>
      </c>
      <c r="CG22" s="3">
        <f t="shared" si="8"/>
        <v>0</v>
      </c>
      <c r="CH22" s="3">
        <f t="shared" si="9"/>
        <v>442725.40800000005</v>
      </c>
      <c r="CI22" s="48">
        <v>0.02</v>
      </c>
      <c r="CJ22" s="62">
        <f t="shared" si="10"/>
        <v>8854.5081600000012</v>
      </c>
      <c r="CK22" s="48">
        <v>0.01</v>
      </c>
      <c r="CL22" s="62">
        <f t="shared" si="11"/>
        <v>4427.2540800000006</v>
      </c>
    </row>
    <row r="23" spans="1:90" ht="30" x14ac:dyDescent="0.25">
      <c r="A23" s="1" t="str">
        <f>Sheet1!A7</f>
        <v>ENQ-12644-22-23</v>
      </c>
      <c r="B23" s="51">
        <f>Sheet1!B7</f>
        <v>45352</v>
      </c>
      <c r="C23" s="1" t="str">
        <f>Sheet1!C7</f>
        <v>FA1100010</v>
      </c>
      <c r="D23" s="1" t="str">
        <f>Sheet1!D7</f>
        <v>3.5 CORE X 95 SQ. MM. AL/ARD - STRIP (XLPE)</v>
      </c>
      <c r="E23" s="3">
        <f t="shared" si="0"/>
        <v>365484.55728000001</v>
      </c>
      <c r="F23" s="62">
        <f t="shared" si="12"/>
        <v>8750</v>
      </c>
      <c r="G23" s="9">
        <f t="shared" si="1"/>
        <v>374234.55728000001</v>
      </c>
      <c r="H23" s="7">
        <f>Sheet1!CP7</f>
        <v>0.18</v>
      </c>
      <c r="I23" s="9">
        <f t="shared" si="2"/>
        <v>67362.220310399993</v>
      </c>
      <c r="J23" s="9">
        <f t="shared" si="3"/>
        <v>441596.77759040002</v>
      </c>
      <c r="K23" s="1">
        <v>12</v>
      </c>
      <c r="L23" s="1" t="str">
        <f>Sheet1!CT7</f>
        <v>KMS</v>
      </c>
      <c r="M23" s="3">
        <f t="shared" si="4"/>
        <v>5299161.3310848</v>
      </c>
      <c r="N23" s="2">
        <f>+IFERROR(VLOOKUP($N$17,Sheet1!J7:L7,3,0),0)</f>
        <v>904.5</v>
      </c>
      <c r="O23" s="2">
        <f>+IFERROR(VLOOKUP($O$17,Sheet1!J7:L7,3,0),0)</f>
        <v>0</v>
      </c>
      <c r="P23" s="2">
        <f>+IFERROR(VLOOKUP($P$17,Sheet1!J7:M7,3,0),0)</f>
        <v>0</v>
      </c>
      <c r="Q23" s="2">
        <f>+IFERROR(VLOOKUP($Q$17,Sheet1!J7:M7,3,0),0)</f>
        <v>0</v>
      </c>
      <c r="R23" s="2">
        <f>+IFERROR(VLOOKUP($R$17,Sheet1!J7:M7,3,0),0)</f>
        <v>0</v>
      </c>
      <c r="S23" s="2">
        <f>+IFERROR(VLOOKUP($S$17,Sheet1!N7:Q7,3,0),0)</f>
        <v>0</v>
      </c>
      <c r="T23" s="2">
        <f>+IFERROR(VLOOKUP($T$17,Sheet1!N7:Q7,3,0),0)</f>
        <v>0</v>
      </c>
      <c r="U23" s="2">
        <f>+IFERROR(VLOOKUP($U$17,Sheet1!F7:I7,3,0),0)</f>
        <v>0</v>
      </c>
      <c r="V23" s="2">
        <f>+IFERROR(VLOOKUP($V$17,Sheet1!F7:I7,3,0),0)</f>
        <v>0</v>
      </c>
      <c r="W23" s="2">
        <f>+IFERROR(VLOOKUP($W$17,Sheet1!F7:I7,3,0),0)</f>
        <v>0</v>
      </c>
      <c r="X23" s="2">
        <f>+IFERROR(VLOOKUP($X$17,Sheet1!F7:I7,3,0),0)</f>
        <v>0</v>
      </c>
      <c r="Y23" s="2">
        <f>+IFERROR(VLOOKUP($Y$17,Sheet1!F7:I7,3,0),0)</f>
        <v>0</v>
      </c>
      <c r="Z23" s="2">
        <f>+IFERROR(VLOOKUP($Z$17,Sheet1!F7:I7,3,0),0)</f>
        <v>0</v>
      </c>
      <c r="AA23" s="2">
        <f>+IFERROR(VLOOKUP($AA$17,Sheet1!F7:I7,3,0),0)</f>
        <v>0</v>
      </c>
      <c r="AB23" s="2">
        <f>+IFERROR(VLOOKUP($AB$17,Sheet1!F7:I7,3,0),0)</f>
        <v>0</v>
      </c>
      <c r="AC23" s="2">
        <f>+IFERROR(VLOOKUP($AC$17,Sheet1!R7:U7,3,0),0)</f>
        <v>0</v>
      </c>
      <c r="AD23" s="15">
        <f>+IFERROR(VLOOKUP($AD$17,Sheet1!R7:U7,2,0),0)</f>
        <v>0</v>
      </c>
      <c r="AE23" s="2">
        <f>+IFERROR(VLOOKUP($AE$17,Sheet1!V7:Y7,3,0),0)</f>
        <v>0</v>
      </c>
      <c r="AF23" s="15">
        <f>+IFERROR(VLOOKUP($AF$17,Sheet1!V7:Y7,3,0),0)</f>
        <v>157</v>
      </c>
      <c r="AG23" s="15">
        <f>+IFERROR(VLOOKUP($AG$17,Sheet1!V7:Y7,3,0),0)</f>
        <v>0</v>
      </c>
      <c r="AH23" s="15">
        <f>+IFERROR(VLOOKUP($AH$17,Sheet1!V7:Y7,3,0),0)</f>
        <v>0</v>
      </c>
      <c r="AI23" s="15">
        <f>+IFERROR(VLOOKUP($AI$17,Sheet1!V7:Y7,3,0),0)</f>
        <v>0</v>
      </c>
      <c r="AJ23" s="15">
        <f>+IFERROR(VLOOKUP($AJ$17,Sheet1!V7:Y7,3,0),0)</f>
        <v>0</v>
      </c>
      <c r="AK23" s="15">
        <f>+IFERROR(VLOOKUP($AK$17,Sheet1!Z7:AB7,3,0),0)</f>
        <v>0</v>
      </c>
      <c r="AL23" s="15">
        <f>+IFERROR(VLOOKUP($AL$17,Sheet1!AD7:AG7,3,0),0)</f>
        <v>0</v>
      </c>
      <c r="AM23" s="15">
        <f>+IFERROR(VLOOKUP($AM$17,Sheet1!AD7:AG7,3,0),0)</f>
        <v>0</v>
      </c>
      <c r="AN23" s="15">
        <f>+IFERROR(VLOOKUP($AN$17,Sheet1!AD7:AG7,3,0),0)</f>
        <v>0</v>
      </c>
      <c r="AO23" s="15">
        <f>+IFERROR(VLOOKUP($AO$17,Sheet1!AD7:AG7,3,0),0)</f>
        <v>0</v>
      </c>
      <c r="AP23" s="15">
        <f>+IFERROR(VLOOKUP($AP$17,Sheet1!AD7:AG7,3,0),0)</f>
        <v>0</v>
      </c>
      <c r="AQ23" s="15">
        <f>+IFERROR(VLOOKUP($AQ$17,Sheet1!AD7:AG7,3,0),0)</f>
        <v>86</v>
      </c>
      <c r="AR23" s="15">
        <f>+IFERROR(VLOOKUP($AR$17,Sheet1!AD7:AG7,3,0),0)</f>
        <v>0</v>
      </c>
      <c r="AS23" s="15">
        <f>+IFERROR(VLOOKUP($AS$17,Sheet1!AH7:AK7,3,0),0)</f>
        <v>0</v>
      </c>
      <c r="AT23" s="15">
        <f>+IFERROR(VLOOKUP($AT$17,Sheet1!AH7:AK7,3,0),0)</f>
        <v>0</v>
      </c>
      <c r="AU23" s="15">
        <f>+IFERROR(VLOOKUP($AU$17,Sheet1!AH7:AK7,3,0),0)</f>
        <v>0</v>
      </c>
      <c r="AV23" s="15">
        <f>+IFERROR(VLOOKUP($AV$17,Sheet1!AH7:AK7,3,0),0)</f>
        <v>0</v>
      </c>
      <c r="AW23" s="15">
        <f>+IFERROR(VLOOKUP($AW$17,Sheet1!AH7:AK7,3,0),0)</f>
        <v>0</v>
      </c>
      <c r="AX23" s="15">
        <f>+IFERROR(VLOOKUP($AX$17,Sheet1!AH7:AK7,3,0),0)</f>
        <v>535</v>
      </c>
      <c r="AY23" s="15">
        <f>+IFERROR(VLOOKUP($AY$17,Sheet1!AH7:AK7,3,0),0)</f>
        <v>0</v>
      </c>
      <c r="AZ23" s="15">
        <f>+IFERROR(VLOOKUP($AZ$17,Sheet1!AH7:AK7,3,0),0)</f>
        <v>0</v>
      </c>
      <c r="BA23" s="15">
        <f>+IFERROR(VLOOKUP($BA$17,Sheet1!AH7:AK7,3,0),0)</f>
        <v>0</v>
      </c>
      <c r="BB23" s="15">
        <f>+IFERROR(VLOOKUP($BB$17,Sheet1!AH7:AK7,3,0),0)</f>
        <v>0</v>
      </c>
      <c r="BC23" s="15">
        <f>+IFERROR(VLOOKUP($BC$17,Sheet1!AL7:AO7,3,0),0)</f>
        <v>0</v>
      </c>
      <c r="BD23" s="15">
        <f>+IFERROR(VLOOKUP($BD$17,Sheet1!AL7:AO7,3,0),0)</f>
        <v>0</v>
      </c>
      <c r="BE23" s="15">
        <f>+IFERROR(VLOOKUP($BE$17,Sheet1!AL7:AO7,3,0),0)</f>
        <v>0</v>
      </c>
      <c r="BF23" s="15">
        <f>+IFERROR(VLOOKUP($BF$17,Sheet1!AL7:AO7,3,0),0)</f>
        <v>0</v>
      </c>
      <c r="BG23" s="15">
        <f>+IFERROR(VLOOKUP($BG$17,Sheet1!AL7:AO7,3,0),0)</f>
        <v>0</v>
      </c>
      <c r="BH23" s="15">
        <f>+IFERROR(VLOOKUP($BH$17,Sheet1!AL7:AO7,3,0),0)</f>
        <v>0</v>
      </c>
      <c r="BI23" s="15">
        <f>+IFERROR(VLOOKUP($BI$17,Sheet1!AL7:AO7,3,0),0)</f>
        <v>0</v>
      </c>
      <c r="BJ23" s="15">
        <v>308</v>
      </c>
      <c r="BK23" s="15">
        <f>+IFERROR(VLOOKUP($BK$17,Sheet1!AL7:AO7,3,0),0)</f>
        <v>0</v>
      </c>
      <c r="BL23" s="15">
        <f>+IFERROR(VLOOKUP($BL$17,Sheet1!AL7:AO7,3,0),0)</f>
        <v>0</v>
      </c>
      <c r="BM23" s="15">
        <f>+IFERROR(VLOOKUP($BM$17,Sheet1!AP7:AS7,3,0),0)</f>
        <v>0</v>
      </c>
      <c r="BN23" s="15">
        <f>+IFERROR(VLOOKUP($BN$17,Sheet1!AT7:AW7,3,0),0)</f>
        <v>0</v>
      </c>
      <c r="BO23" s="15">
        <f>+IFERROR(VLOOKUP($BO$17,Sheet1!AX7:BA7,3,0),0)</f>
        <v>0</v>
      </c>
      <c r="BP23" s="15">
        <f>+IFERROR(VLOOKUP($BP$17,Sheet1!BB7:BE7,3,0),0)</f>
        <v>0</v>
      </c>
      <c r="BQ23" s="15">
        <f>+IFERROR(VLOOKUP($BQ$17,Sheet1!BF7:BI7,3,0),0)</f>
        <v>0</v>
      </c>
      <c r="BR23" s="15">
        <f>+IFERROR(VLOOKUP($BR$17,Sheet1!BJ7:BM7,3,0),0)</f>
        <v>0</v>
      </c>
      <c r="BS23" s="15">
        <f>+IFERROR(VLOOKUP($BS$17,Sheet1!BN7:BQ7,3,0),0)</f>
        <v>0</v>
      </c>
      <c r="BT23" s="15">
        <f>+IFERROR(VLOOKUP($BT$17,Sheet1!BR7:BU7,3,0),0)</f>
        <v>0</v>
      </c>
      <c r="BU23" s="15">
        <f>+IFERROR(VLOOKUP($BU$17,Sheet1!BV7:BY7,3,0),0)</f>
        <v>0</v>
      </c>
      <c r="BV23" s="15" t="str">
        <f>Sheet1!E7</f>
        <v>WOOD</v>
      </c>
      <c r="BW23" s="15" t="str">
        <f>Sheet1!CV7</f>
        <v>MD0100019</v>
      </c>
      <c r="BX23" s="15" t="str">
        <f>Sheet1!CW7</f>
        <v>DRUM - 54 X 24 X 32 X 3</v>
      </c>
      <c r="BY23" s="15">
        <f>Sheet1!CX7</f>
        <v>500</v>
      </c>
      <c r="BZ23" s="3">
        <f>Sheet1!BZ7+1000</f>
        <v>13757.48</v>
      </c>
      <c r="CA23" s="3">
        <f t="shared" si="5"/>
        <v>295699.48</v>
      </c>
      <c r="CB23" s="27">
        <f>Sheet1!CB7</f>
        <v>0</v>
      </c>
      <c r="CC23" s="3">
        <f t="shared" si="6"/>
        <v>0</v>
      </c>
      <c r="CD23" s="48">
        <v>0.2</v>
      </c>
      <c r="CE23" s="3">
        <f t="shared" si="7"/>
        <v>59139.896000000001</v>
      </c>
      <c r="CF23" s="48">
        <v>0</v>
      </c>
      <c r="CG23" s="3">
        <f t="shared" si="8"/>
        <v>0</v>
      </c>
      <c r="CH23" s="3">
        <f t="shared" si="9"/>
        <v>354839.37599999999</v>
      </c>
      <c r="CI23" s="48">
        <v>0.02</v>
      </c>
      <c r="CJ23" s="62">
        <f t="shared" si="10"/>
        <v>7096.7875199999999</v>
      </c>
      <c r="CK23" s="48">
        <v>0.01</v>
      </c>
      <c r="CL23" s="62">
        <f t="shared" si="11"/>
        <v>3548.3937599999999</v>
      </c>
    </row>
    <row r="24" spans="1:90" ht="30" x14ac:dyDescent="0.25">
      <c r="A24" s="1" t="str">
        <f>Sheet1!A6</f>
        <v>ENQ-12644-22-23</v>
      </c>
      <c r="B24" s="51">
        <f>Sheet1!B6</f>
        <v>45352</v>
      </c>
      <c r="C24" s="1" t="str">
        <f>Sheet1!C6</f>
        <v>FA1100008</v>
      </c>
      <c r="D24" s="1" t="str">
        <f>Sheet1!D6</f>
        <v>3.5 CORE X 70 SQ. MM. AL/ARD - STRIP (XLPE)</v>
      </c>
      <c r="E24" s="3">
        <f t="shared" si="0"/>
        <v>283614.62411999999</v>
      </c>
      <c r="F24" s="62">
        <f t="shared" si="12"/>
        <v>8750</v>
      </c>
      <c r="G24" s="9">
        <f t="shared" si="1"/>
        <v>292364.62411999999</v>
      </c>
      <c r="H24" s="7">
        <f>Sheet1!CP6</f>
        <v>0.18</v>
      </c>
      <c r="I24" s="9">
        <f t="shared" si="2"/>
        <v>52625.632341599994</v>
      </c>
      <c r="J24" s="9">
        <f t="shared" si="3"/>
        <v>344990.25646159996</v>
      </c>
      <c r="K24" s="1">
        <v>12</v>
      </c>
      <c r="L24" s="1" t="str">
        <f>Sheet1!CT6</f>
        <v>KMS</v>
      </c>
      <c r="M24" s="3">
        <f t="shared" si="4"/>
        <v>4139883.0775391995</v>
      </c>
      <c r="N24" s="2">
        <f>+IFERROR(VLOOKUP($N$17,Sheet1!J6:L6,3,0),0)</f>
        <v>661.5</v>
      </c>
      <c r="O24" s="2">
        <f>+IFERROR(VLOOKUP($O$17,Sheet1!J6:L6,3,0),0)</f>
        <v>0</v>
      </c>
      <c r="P24" s="2">
        <f>+IFERROR(VLOOKUP($P$17,Sheet1!J6:M6,3,0),0)</f>
        <v>0</v>
      </c>
      <c r="Q24" s="2">
        <f>+IFERROR(VLOOKUP($Q$17,Sheet1!J6:M6,3,0),0)</f>
        <v>0</v>
      </c>
      <c r="R24" s="2">
        <f>+IFERROR(VLOOKUP($R$17,Sheet1!J6:M6,3,0),0)</f>
        <v>0</v>
      </c>
      <c r="S24" s="2">
        <f>+IFERROR(VLOOKUP($S$17,Sheet1!N6:Q6,3,0),0)</f>
        <v>0</v>
      </c>
      <c r="T24" s="2">
        <f>+IFERROR(VLOOKUP($T$17,Sheet1!N6:Q6,3,0),0)</f>
        <v>0</v>
      </c>
      <c r="U24" s="2">
        <f>+IFERROR(VLOOKUP($U$17,Sheet1!F6:I6,3,0),0)</f>
        <v>0</v>
      </c>
      <c r="V24" s="2">
        <f>+IFERROR(VLOOKUP($V$17,Sheet1!F6:I6,3,0),0)</f>
        <v>0</v>
      </c>
      <c r="W24" s="2">
        <f>+IFERROR(VLOOKUP($W$17,Sheet1!F6:I6,3,0),0)</f>
        <v>0</v>
      </c>
      <c r="X24" s="2">
        <f>+IFERROR(VLOOKUP($X$17,Sheet1!F6:I6,3,0),0)</f>
        <v>0</v>
      </c>
      <c r="Y24" s="2">
        <f>+IFERROR(VLOOKUP($Y$17,Sheet1!F6:I6,3,0),0)</f>
        <v>0</v>
      </c>
      <c r="Z24" s="2">
        <f>+IFERROR(VLOOKUP($Z$17,Sheet1!F6:I6,3,0),0)</f>
        <v>0</v>
      </c>
      <c r="AA24" s="2">
        <f>+IFERROR(VLOOKUP($AA$17,Sheet1!F6:I6,3,0),0)</f>
        <v>0</v>
      </c>
      <c r="AB24" s="2">
        <f>+IFERROR(VLOOKUP($AB$17,Sheet1!F6:I6,3,0),0)</f>
        <v>0</v>
      </c>
      <c r="AC24" s="2">
        <f>+IFERROR(VLOOKUP($AC$17,Sheet1!R6:U6,3,0),0)</f>
        <v>0</v>
      </c>
      <c r="AD24" s="15">
        <f>+IFERROR(VLOOKUP($AD$17,Sheet1!R6:U6,2,0),0)</f>
        <v>0</v>
      </c>
      <c r="AE24" s="2">
        <f>+IFERROR(VLOOKUP($AE$17,Sheet1!V6:Y6,3,0),0)</f>
        <v>0</v>
      </c>
      <c r="AF24" s="15">
        <f>+IFERROR(VLOOKUP($AF$17,Sheet1!V6:Y6,3,0),0)</f>
        <v>137</v>
      </c>
      <c r="AG24" s="15">
        <f>+IFERROR(VLOOKUP($AG$17,Sheet1!V6:Y6,3,0),0)</f>
        <v>0</v>
      </c>
      <c r="AH24" s="15">
        <f>+IFERROR(VLOOKUP($AH$17,Sheet1!V6:Y6,3,0),0)</f>
        <v>0</v>
      </c>
      <c r="AI24" s="15">
        <f>+IFERROR(VLOOKUP($AI$17,Sheet1!V6:Y6,3,0),0)</f>
        <v>0</v>
      </c>
      <c r="AJ24" s="15">
        <f>+IFERROR(VLOOKUP($AJ$17,Sheet1!V6:Y6,3,0),0)</f>
        <v>0</v>
      </c>
      <c r="AK24" s="15">
        <f>+IFERROR(VLOOKUP($AK$17,Sheet1!Z6:AB6,3,0),0)</f>
        <v>0</v>
      </c>
      <c r="AL24" s="15">
        <f>+IFERROR(VLOOKUP($AL$17,Sheet1!AD6:AG6,3,0),0)</f>
        <v>0</v>
      </c>
      <c r="AM24" s="15">
        <f>+IFERROR(VLOOKUP($AM$17,Sheet1!AD6:AG6,3,0),0)</f>
        <v>0</v>
      </c>
      <c r="AN24" s="15">
        <f>+IFERROR(VLOOKUP($AN$17,Sheet1!AD6:AG6,3,0),0)</f>
        <v>0</v>
      </c>
      <c r="AO24" s="15">
        <f>+IFERROR(VLOOKUP($AO$17,Sheet1!AD6:AG6,3,0),0)</f>
        <v>0</v>
      </c>
      <c r="AP24" s="15">
        <f>+IFERROR(VLOOKUP($AP$17,Sheet1!AD6:AG6,3,0),0)</f>
        <v>0</v>
      </c>
      <c r="AQ24" s="15">
        <f>+IFERROR(VLOOKUP($AQ$17,Sheet1!AD6:AG6,3,0),0)</f>
        <v>76</v>
      </c>
      <c r="AR24" s="15">
        <f>+IFERROR(VLOOKUP($AR$17,Sheet1!AD6:AG6,3,0),0)</f>
        <v>0</v>
      </c>
      <c r="AS24" s="15">
        <f>+IFERROR(VLOOKUP($AS$17,Sheet1!AH6:AK6,3,0),0)</f>
        <v>0</v>
      </c>
      <c r="AT24" s="15">
        <f>+IFERROR(VLOOKUP($AT$17,Sheet1!AH6:AK6,3,0),0)</f>
        <v>0</v>
      </c>
      <c r="AU24" s="15">
        <f>+IFERROR(VLOOKUP($AU$17,Sheet1!AH6:AK6,3,0),0)</f>
        <v>0</v>
      </c>
      <c r="AV24" s="15">
        <f>+IFERROR(VLOOKUP($AV$17,Sheet1!AH6:AK6,3,0),0)</f>
        <v>0</v>
      </c>
      <c r="AW24" s="15">
        <f>+IFERROR(VLOOKUP($AW$17,Sheet1!AH6:AK6,3,0),0)</f>
        <v>0</v>
      </c>
      <c r="AX24" s="15">
        <f>+IFERROR(VLOOKUP($AX$17,Sheet1!AH6:AK6,3,0),0)</f>
        <v>476</v>
      </c>
      <c r="AY24" s="15">
        <f>+IFERROR(VLOOKUP($AY$17,Sheet1!AH6:AK6,3,0),0)</f>
        <v>0</v>
      </c>
      <c r="AZ24" s="15">
        <f>+IFERROR(VLOOKUP($AZ$17,Sheet1!AH6:AK6,3,0),0)</f>
        <v>0</v>
      </c>
      <c r="BA24" s="15">
        <f>+IFERROR(VLOOKUP($BA$17,Sheet1!AH6:AK6,3,0),0)</f>
        <v>0</v>
      </c>
      <c r="BB24" s="15">
        <f>+IFERROR(VLOOKUP($BB$17,Sheet1!AH6:AK6,3,0),0)</f>
        <v>0</v>
      </c>
      <c r="BC24" s="15">
        <f>+IFERROR(VLOOKUP($BC$17,Sheet1!AL6:AO6,3,0),0)</f>
        <v>0</v>
      </c>
      <c r="BD24" s="15">
        <f>+IFERROR(VLOOKUP($BD$17,Sheet1!AL6:AO6,3,0),0)</f>
        <v>0</v>
      </c>
      <c r="BE24" s="15">
        <f>+IFERROR(VLOOKUP($BE$17,Sheet1!AL6:AO6,3,0),0)</f>
        <v>0</v>
      </c>
      <c r="BF24" s="15">
        <f>+IFERROR(VLOOKUP($BF$17,Sheet1!AL6:AO6,3,0),0)</f>
        <v>0</v>
      </c>
      <c r="BG24" s="15">
        <f>+IFERROR(VLOOKUP($BG$17,Sheet1!AL6:AO6,3,0),0)</f>
        <v>0</v>
      </c>
      <c r="BH24" s="15">
        <f>+IFERROR(VLOOKUP($BH$17,Sheet1!AL6:AO6,3,0),0)</f>
        <v>0</v>
      </c>
      <c r="BI24" s="15">
        <f>+IFERROR(VLOOKUP($BI$17,Sheet1!AL6:AO6,3,0),0)</f>
        <v>0</v>
      </c>
      <c r="BJ24" s="15">
        <v>262</v>
      </c>
      <c r="BK24" s="15">
        <f>+IFERROR(VLOOKUP($BK$17,Sheet1!AL6:AO6,3,0),0)</f>
        <v>0</v>
      </c>
      <c r="BL24" s="15">
        <f>+IFERROR(VLOOKUP($BL$17,Sheet1!AL6:AO6,3,0),0)</f>
        <v>0</v>
      </c>
      <c r="BM24" s="15">
        <f>+IFERROR(VLOOKUP($BM$17,Sheet1!AP6:AS6,3,0),0)</f>
        <v>0</v>
      </c>
      <c r="BN24" s="15">
        <f>+IFERROR(VLOOKUP($BN$17,Sheet1!AT6:AW6,3,0),0)</f>
        <v>0</v>
      </c>
      <c r="BO24" s="15">
        <f>+IFERROR(VLOOKUP($BO$17,Sheet1!AX6:BA6,3,0),0)</f>
        <v>0</v>
      </c>
      <c r="BP24" s="15">
        <f>+IFERROR(VLOOKUP($BP$17,Sheet1!BB6:BE6,3,0),0)</f>
        <v>0</v>
      </c>
      <c r="BQ24" s="15">
        <f>+IFERROR(VLOOKUP($BQ$17,Sheet1!BF6:BI6,3,0),0)</f>
        <v>0</v>
      </c>
      <c r="BR24" s="15">
        <f>+IFERROR(VLOOKUP($BR$17,Sheet1!BJ6:BM6,3,0),0)</f>
        <v>0</v>
      </c>
      <c r="BS24" s="15">
        <f>+IFERROR(VLOOKUP($BS$17,Sheet1!BN6:BQ6,3,0),0)</f>
        <v>0</v>
      </c>
      <c r="BT24" s="15">
        <f>+IFERROR(VLOOKUP($BT$17,Sheet1!BR6:BU6,3,0),0)</f>
        <v>0</v>
      </c>
      <c r="BU24" s="15">
        <f>+IFERROR(VLOOKUP($BU$17,Sheet1!BV6:BY6,3,0),0)</f>
        <v>0</v>
      </c>
      <c r="BV24" s="15" t="str">
        <f>Sheet1!E6</f>
        <v>WOOD</v>
      </c>
      <c r="BW24" s="15" t="str">
        <f>Sheet1!CV6</f>
        <v>MD0100017</v>
      </c>
      <c r="BX24" s="15" t="str">
        <f>Sheet1!CW6</f>
        <v>DRUM - 52 X 18 X 36 X 2.5</v>
      </c>
      <c r="BY24" s="15">
        <f>Sheet1!CX6</f>
        <v>500</v>
      </c>
      <c r="BZ24" s="3">
        <f>Sheet1!BZ6+1000</f>
        <v>10913.67</v>
      </c>
      <c r="CA24" s="3">
        <f t="shared" si="5"/>
        <v>229461.67</v>
      </c>
      <c r="CB24" s="27">
        <f>Sheet1!CB6</f>
        <v>0</v>
      </c>
      <c r="CC24" s="3">
        <f t="shared" si="6"/>
        <v>0</v>
      </c>
      <c r="CD24" s="48">
        <v>0.2</v>
      </c>
      <c r="CE24" s="3">
        <f t="shared" si="7"/>
        <v>45892.334000000003</v>
      </c>
      <c r="CF24" s="48">
        <v>0</v>
      </c>
      <c r="CG24" s="3">
        <f t="shared" si="8"/>
        <v>0</v>
      </c>
      <c r="CH24" s="3">
        <f t="shared" si="9"/>
        <v>275354.00400000002</v>
      </c>
      <c r="CI24" s="48">
        <v>0.02</v>
      </c>
      <c r="CJ24" s="62">
        <f t="shared" si="10"/>
        <v>5507.0800800000006</v>
      </c>
      <c r="CK24" s="48">
        <v>0.01</v>
      </c>
      <c r="CL24" s="62">
        <f t="shared" si="11"/>
        <v>2753.5400400000003</v>
      </c>
    </row>
    <row r="25" spans="1:90" ht="30" x14ac:dyDescent="0.25">
      <c r="A25" s="1" t="str">
        <f>Sheet1!A5</f>
        <v>ENQ-12644-22-23</v>
      </c>
      <c r="B25" s="51">
        <f>Sheet1!B5</f>
        <v>45352</v>
      </c>
      <c r="C25" s="1" t="str">
        <f>Sheet1!C5</f>
        <v>FA0900047</v>
      </c>
      <c r="D25" s="1" t="str">
        <f>Sheet1!D5</f>
        <v>3.5 CORE X 50 SQ. MM. AL/ARD - STRIP (XLPE)</v>
      </c>
      <c r="E25" s="3">
        <f t="shared" si="0"/>
        <v>213634.04688000001</v>
      </c>
      <c r="F25" s="62">
        <f t="shared" si="12"/>
        <v>5385</v>
      </c>
      <c r="G25" s="9">
        <f t="shared" si="1"/>
        <v>219019.04688000001</v>
      </c>
      <c r="H25" s="7">
        <f>Sheet1!CP5</f>
        <v>0.18</v>
      </c>
      <c r="I25" s="9">
        <f t="shared" si="2"/>
        <v>39423.428438399998</v>
      </c>
      <c r="J25" s="9">
        <f t="shared" si="3"/>
        <v>258442.47531840001</v>
      </c>
      <c r="K25" s="1">
        <v>13</v>
      </c>
      <c r="L25" s="1" t="str">
        <f>Sheet1!CT5</f>
        <v>KMS</v>
      </c>
      <c r="M25" s="3">
        <f t="shared" si="4"/>
        <v>3359752.1791392001</v>
      </c>
      <c r="N25" s="2">
        <f>+IFERROR(VLOOKUP($N$17,Sheet1!J5:L5,3,0),0)</f>
        <v>472.5</v>
      </c>
      <c r="O25" s="2">
        <f>+IFERROR(VLOOKUP($O$17,Sheet1!J5:L5,3,0),0)</f>
        <v>0</v>
      </c>
      <c r="P25" s="2">
        <f>+IFERROR(VLOOKUP($P$17,Sheet1!J5:M5,3,0),0)</f>
        <v>0</v>
      </c>
      <c r="Q25" s="2">
        <f>+IFERROR(VLOOKUP($Q$17,Sheet1!J5:M5,3,0),0)</f>
        <v>0</v>
      </c>
      <c r="R25" s="2">
        <f>+IFERROR(VLOOKUP($R$17,Sheet1!J5:M5,3,0),0)</f>
        <v>0</v>
      </c>
      <c r="S25" s="2">
        <f>+IFERROR(VLOOKUP($S$17,Sheet1!N5:Q5,3,0),0)</f>
        <v>0</v>
      </c>
      <c r="T25" s="2">
        <f>+IFERROR(VLOOKUP($T$17,Sheet1!N5:Q5,3,0),0)</f>
        <v>0</v>
      </c>
      <c r="U25" s="2">
        <f>+IFERROR(VLOOKUP($U$17,Sheet1!F5:I5,3,0),0)</f>
        <v>0</v>
      </c>
      <c r="V25" s="2">
        <f>+IFERROR(VLOOKUP($V$17,Sheet1!F5:I5,3,0),0)</f>
        <v>0</v>
      </c>
      <c r="W25" s="2">
        <f>+IFERROR(VLOOKUP($W$17,Sheet1!F5:I5,3,0),0)</f>
        <v>0</v>
      </c>
      <c r="X25" s="2">
        <f>+IFERROR(VLOOKUP($X$17,Sheet1!F5:I5,3,0),0)</f>
        <v>0</v>
      </c>
      <c r="Y25" s="2">
        <f>+IFERROR(VLOOKUP($Y$17,Sheet1!F5:I5,3,0),0)</f>
        <v>0</v>
      </c>
      <c r="Z25" s="2">
        <f>+IFERROR(VLOOKUP($Z$17,Sheet1!F5:I5,3,0),0)</f>
        <v>0</v>
      </c>
      <c r="AA25" s="2">
        <f>+IFERROR(VLOOKUP($AA$17,Sheet1!F5:I5,3,0),0)</f>
        <v>0</v>
      </c>
      <c r="AB25" s="2">
        <f>+IFERROR(VLOOKUP($AB$17,Sheet1!F5:I5,3,0),0)</f>
        <v>0</v>
      </c>
      <c r="AC25" s="2">
        <f>+IFERROR(VLOOKUP($AC$17,Sheet1!R5:U5,3,0),0)</f>
        <v>0</v>
      </c>
      <c r="AD25" s="15">
        <f>+IFERROR(VLOOKUP($AD$17,Sheet1!R5:U5,2,0),0)</f>
        <v>0</v>
      </c>
      <c r="AE25" s="2">
        <f>+IFERROR(VLOOKUP($AE$17,Sheet1!V5:Y5,3,0),0)</f>
        <v>0</v>
      </c>
      <c r="AF25" s="15">
        <f>+IFERROR(VLOOKUP($AF$17,Sheet1!V5:Y5,3,0),0)</f>
        <v>105</v>
      </c>
      <c r="AG25" s="15">
        <f>+IFERROR(VLOOKUP($AG$17,Sheet1!V5:Y5,3,0),0)</f>
        <v>0</v>
      </c>
      <c r="AH25" s="15">
        <f>+IFERROR(VLOOKUP($AH$17,Sheet1!V5:Y5,3,0),0)</f>
        <v>0</v>
      </c>
      <c r="AI25" s="15">
        <f>+IFERROR(VLOOKUP($AI$17,Sheet1!V5:Y5,3,0),0)</f>
        <v>0</v>
      </c>
      <c r="AJ25" s="15">
        <f>+IFERROR(VLOOKUP($AJ$17,Sheet1!V5:Y5,3,0),0)</f>
        <v>0</v>
      </c>
      <c r="AK25" s="15">
        <f>+IFERROR(VLOOKUP($AK$17,Sheet1!Z5:AB5,3,0),0)</f>
        <v>0</v>
      </c>
      <c r="AL25" s="15">
        <f>+IFERROR(VLOOKUP($AL$17,Sheet1!AD5:AG5,3,0),0)</f>
        <v>0</v>
      </c>
      <c r="AM25" s="15">
        <f>+IFERROR(VLOOKUP($AM$17,Sheet1!AD5:AG5,3,0),0)</f>
        <v>0</v>
      </c>
      <c r="AN25" s="15">
        <f>+IFERROR(VLOOKUP($AN$17,Sheet1!AD5:AG5,3,0),0)</f>
        <v>0</v>
      </c>
      <c r="AO25" s="15">
        <f>+IFERROR(VLOOKUP($AO$17,Sheet1!AD5:AG5,3,0),0)</f>
        <v>0</v>
      </c>
      <c r="AP25" s="15">
        <f>+IFERROR(VLOOKUP($AP$17,Sheet1!AD5:AG5,3,0),0)</f>
        <v>0</v>
      </c>
      <c r="AQ25" s="15">
        <f>+IFERROR(VLOOKUP($AQ$17,Sheet1!AD5:AG5,3,0),0)</f>
        <v>54</v>
      </c>
      <c r="AR25" s="15">
        <f>+IFERROR(VLOOKUP($AR$17,Sheet1!AD5:AG5,3,0),0)</f>
        <v>0</v>
      </c>
      <c r="AS25" s="15">
        <f>+IFERROR(VLOOKUP($AS$17,Sheet1!AH5:AK5,3,0),0)</f>
        <v>0</v>
      </c>
      <c r="AT25" s="15">
        <f>+IFERROR(VLOOKUP($AT$17,Sheet1!AH5:AK5,3,0),0)</f>
        <v>0</v>
      </c>
      <c r="AU25" s="15">
        <f>+IFERROR(VLOOKUP($AU$17,Sheet1!AH5:AK5,3,0),0)</f>
        <v>0</v>
      </c>
      <c r="AV25" s="15">
        <f>+IFERROR(VLOOKUP($AV$17,Sheet1!AH5:AK5,3,0),0)</f>
        <v>0</v>
      </c>
      <c r="AW25" s="15">
        <f>+IFERROR(VLOOKUP($AW$17,Sheet1!AH5:AK5,3,0),0)</f>
        <v>0</v>
      </c>
      <c r="AX25" s="15">
        <f>+IFERROR(VLOOKUP($AX$17,Sheet1!AH5:AK5,3,0),0)</f>
        <v>401</v>
      </c>
      <c r="AY25" s="15">
        <f>+IFERROR(VLOOKUP($AY$17,Sheet1!AH5:AK5,3,0),0)</f>
        <v>0</v>
      </c>
      <c r="AZ25" s="15">
        <f>+IFERROR(VLOOKUP($AZ$17,Sheet1!AH5:AK5,3,0),0)</f>
        <v>0</v>
      </c>
      <c r="BA25" s="15">
        <f>+IFERROR(VLOOKUP($BA$17,Sheet1!AH5:AK5,3,0),0)</f>
        <v>0</v>
      </c>
      <c r="BB25" s="15">
        <f>+IFERROR(VLOOKUP($BB$17,Sheet1!AH5:AK5,3,0),0)</f>
        <v>0</v>
      </c>
      <c r="BC25" s="15">
        <f>+IFERROR(VLOOKUP($BC$17,Sheet1!AL5:AO5,3,0),0)</f>
        <v>0</v>
      </c>
      <c r="BD25" s="15">
        <f>+IFERROR(VLOOKUP($BD$17,Sheet1!AL5:AO5,3,0),0)</f>
        <v>0</v>
      </c>
      <c r="BE25" s="15">
        <f>+IFERROR(VLOOKUP($BE$17,Sheet1!AL5:AO5,3,0),0)</f>
        <v>0</v>
      </c>
      <c r="BF25" s="15">
        <f>+IFERROR(VLOOKUP($BF$17,Sheet1!AL5:AO5,3,0),0)</f>
        <v>0</v>
      </c>
      <c r="BG25" s="15">
        <f>+IFERROR(VLOOKUP($BG$17,Sheet1!AL5:AO5,3,0),0)</f>
        <v>0</v>
      </c>
      <c r="BH25" s="15">
        <f>+IFERROR(VLOOKUP($BH$17,Sheet1!AL5:AO5,3,0),0)</f>
        <v>0</v>
      </c>
      <c r="BI25" s="15">
        <f>+IFERROR(VLOOKUP($BI$17,Sheet1!AL5:AO5,3,0),0)</f>
        <v>0</v>
      </c>
      <c r="BJ25" s="15">
        <v>225</v>
      </c>
      <c r="BK25" s="15">
        <f>+IFERROR(VLOOKUP($BK$17,Sheet1!AL5:AO5,3,0),0)</f>
        <v>0</v>
      </c>
      <c r="BL25" s="15">
        <f>+IFERROR(VLOOKUP($BL$17,Sheet1!AL5:AO5,3,0),0)</f>
        <v>0</v>
      </c>
      <c r="BM25" s="15">
        <f>+IFERROR(VLOOKUP($BM$17,Sheet1!AP5:AS5,3,0),0)</f>
        <v>0</v>
      </c>
      <c r="BN25" s="15">
        <f>+IFERROR(VLOOKUP($BN$17,Sheet1!AT5:AW5,3,0),0)</f>
        <v>0</v>
      </c>
      <c r="BO25" s="15">
        <f>+IFERROR(VLOOKUP($BO$17,Sheet1!AX5:BA5,3,0),0)</f>
        <v>0</v>
      </c>
      <c r="BP25" s="15">
        <f>+IFERROR(VLOOKUP($BP$17,Sheet1!BB5:BE5,3,0),0)</f>
        <v>0</v>
      </c>
      <c r="BQ25" s="15">
        <f>+IFERROR(VLOOKUP($BQ$17,Sheet1!BF5:BI5,3,0),0)</f>
        <v>0</v>
      </c>
      <c r="BR25" s="15">
        <f>+IFERROR(VLOOKUP($BR$17,Sheet1!BJ5:BM5,3,0),0)</f>
        <v>0</v>
      </c>
      <c r="BS25" s="15">
        <f>+IFERROR(VLOOKUP($BS$17,Sheet1!BN5:BQ5,3,0),0)</f>
        <v>0</v>
      </c>
      <c r="BT25" s="15">
        <f>+IFERROR(VLOOKUP($BT$17,Sheet1!BR5:BU5,3,0),0)</f>
        <v>0</v>
      </c>
      <c r="BU25" s="15">
        <f>+IFERROR(VLOOKUP($BU$17,Sheet1!BV5:BY5,3,0),0)</f>
        <v>0</v>
      </c>
      <c r="BV25" s="15" t="str">
        <f>Sheet1!E5</f>
        <v>WOOD</v>
      </c>
      <c r="BW25" s="15" t="str">
        <f>Sheet1!CV5</f>
        <v>MD0100015</v>
      </c>
      <c r="BX25" s="15" t="str">
        <f>Sheet1!CW5</f>
        <v>DRUM - 48 X 20 X 28 X 2.25 - RDSO</v>
      </c>
      <c r="BY25" s="15">
        <f>Sheet1!CX5</f>
        <v>500</v>
      </c>
      <c r="BZ25" s="3">
        <f>Sheet1!BZ5+1000</f>
        <v>8317.08</v>
      </c>
      <c r="CA25" s="3">
        <f t="shared" si="5"/>
        <v>172843.08</v>
      </c>
      <c r="CB25" s="27">
        <f>Sheet1!CB5</f>
        <v>0</v>
      </c>
      <c r="CC25" s="3">
        <f t="shared" si="6"/>
        <v>0</v>
      </c>
      <c r="CD25" s="48">
        <v>0.2</v>
      </c>
      <c r="CE25" s="3">
        <f t="shared" si="7"/>
        <v>34568.616000000002</v>
      </c>
      <c r="CF25" s="48">
        <v>0</v>
      </c>
      <c r="CG25" s="3">
        <f t="shared" si="8"/>
        <v>0</v>
      </c>
      <c r="CH25" s="3">
        <f t="shared" si="9"/>
        <v>207411.696</v>
      </c>
      <c r="CI25" s="48">
        <v>0.02</v>
      </c>
      <c r="CJ25" s="62">
        <f t="shared" si="10"/>
        <v>4148.2339199999997</v>
      </c>
      <c r="CK25" s="48">
        <v>0.01</v>
      </c>
      <c r="CL25" s="62">
        <f t="shared" si="11"/>
        <v>2074.1169599999998</v>
      </c>
    </row>
    <row r="26" spans="1:90" x14ac:dyDescent="0.25">
      <c r="A26" s="30"/>
      <c r="B26" s="141"/>
      <c r="C26" s="30"/>
      <c r="D26" s="30"/>
      <c r="E26" s="142"/>
      <c r="F26" s="143"/>
      <c r="G26" s="144"/>
      <c r="H26" s="145"/>
      <c r="I26" s="144"/>
      <c r="J26" s="144"/>
      <c r="K26" s="30"/>
      <c r="L26" s="30"/>
      <c r="M26" s="142">
        <f>SUM(M19:M25)</f>
        <v>40101613.70397222</v>
      </c>
      <c r="N26" s="18"/>
      <c r="O26" s="18"/>
      <c r="P26" s="18"/>
      <c r="Q26" s="18"/>
      <c r="R26" s="18"/>
      <c r="S26" s="18"/>
      <c r="T26" s="18"/>
      <c r="U26" s="18"/>
      <c r="V26" s="18"/>
      <c r="W26" s="18"/>
      <c r="X26" s="18"/>
      <c r="Y26" s="18"/>
      <c r="Z26" s="18"/>
      <c r="AA26" s="18"/>
      <c r="AB26" s="18"/>
      <c r="AC26" s="18"/>
      <c r="AD26" s="146"/>
      <c r="AE26" s="18"/>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6"/>
      <c r="BM26" s="146"/>
      <c r="BN26" s="146"/>
      <c r="BO26" s="146"/>
      <c r="BP26" s="146"/>
      <c r="BQ26" s="146"/>
      <c r="BR26" s="146"/>
      <c r="BS26" s="146"/>
      <c r="BT26" s="146"/>
      <c r="BU26" s="146"/>
      <c r="BV26" s="146"/>
      <c r="BW26" s="146"/>
      <c r="BX26" s="146"/>
      <c r="BY26" s="146"/>
      <c r="BZ26" s="142"/>
      <c r="CA26" s="142"/>
      <c r="CB26" s="147"/>
      <c r="CC26" s="142"/>
      <c r="CD26" s="148"/>
      <c r="CE26" s="142"/>
      <c r="CF26" s="148"/>
      <c r="CG26" s="142"/>
      <c r="CH26" s="142"/>
      <c r="CI26" s="148"/>
      <c r="CJ26" s="30"/>
      <c r="CK26" s="148"/>
      <c r="CL26" s="30"/>
    </row>
    <row r="28" spans="1:90" ht="60" x14ac:dyDescent="0.25">
      <c r="E28" s="2" t="s">
        <v>200</v>
      </c>
      <c r="F28" s="2" t="s">
        <v>201</v>
      </c>
      <c r="G28" s="57" t="s">
        <v>202</v>
      </c>
      <c r="H28" s="2" t="s">
        <v>203</v>
      </c>
      <c r="I28" s="2" t="s">
        <v>204</v>
      </c>
      <c r="J28" s="2" t="s">
        <v>205</v>
      </c>
      <c r="K28" s="2" t="s">
        <v>206</v>
      </c>
      <c r="L28" s="57" t="s">
        <v>207</v>
      </c>
      <c r="M28" s="58" t="s">
        <v>208</v>
      </c>
      <c r="N28" s="30" t="s">
        <v>254</v>
      </c>
      <c r="AF28" s="30" t="s">
        <v>255</v>
      </c>
      <c r="AQ28" s="30" t="s">
        <v>256</v>
      </c>
      <c r="AX28" s="30" t="s">
        <v>257</v>
      </c>
    </row>
    <row r="29" spans="1:90" x14ac:dyDescent="0.25">
      <c r="C29" t="str">
        <f>BW19</f>
        <v>MD0100079</v>
      </c>
      <c r="D29" t="str">
        <f t="shared" ref="D29:D35" si="13">D19</f>
        <v>3.5 CORE X 300 SQ. MM. AL/ARD - STRIP (XLPE)</v>
      </c>
      <c r="E29" s="57">
        <f t="shared" ref="E29:E35" si="14">K19</f>
        <v>5</v>
      </c>
      <c r="F29" s="59">
        <f t="shared" ref="F29:F35" si="15">BY19/1000</f>
        <v>0.5</v>
      </c>
      <c r="G29" s="57" t="s">
        <v>209</v>
      </c>
      <c r="H29" s="60">
        <v>35000</v>
      </c>
      <c r="I29" s="59">
        <v>5</v>
      </c>
      <c r="J29" s="57">
        <f>F29*I29</f>
        <v>2.5</v>
      </c>
      <c r="K29" s="57">
        <f>ROUNDUP((E29/J29),0)</f>
        <v>2</v>
      </c>
      <c r="L29" s="57">
        <f>M29*E29</f>
        <v>70000</v>
      </c>
      <c r="M29" s="61">
        <f>(H29*K29)/E29</f>
        <v>14000</v>
      </c>
      <c r="N29" s="30">
        <f t="shared" ref="N29:N35" si="16">SUM(N19:BJ19)</f>
        <v>5122</v>
      </c>
      <c r="AF29" s="30">
        <f>450+80</f>
        <v>530</v>
      </c>
      <c r="AQ29" s="30">
        <f>((N29*F29)+AF29)</f>
        <v>3091</v>
      </c>
      <c r="AX29" s="30">
        <f>I29*AQ29</f>
        <v>15455</v>
      </c>
    </row>
    <row r="30" spans="1:90" x14ac:dyDescent="0.25">
      <c r="C30" t="str">
        <f t="shared" ref="C30:C35" si="17">BW20</f>
        <v>MD0100024</v>
      </c>
      <c r="D30" t="str">
        <f t="shared" si="13"/>
        <v>3.5 CORE X 240 SQ. MM. AL/ARD - STRIP (XLPE)</v>
      </c>
      <c r="E30" s="57">
        <f t="shared" si="14"/>
        <v>12</v>
      </c>
      <c r="F30" s="59">
        <f t="shared" si="15"/>
        <v>0.5</v>
      </c>
      <c r="G30" s="57" t="s">
        <v>209</v>
      </c>
      <c r="H30" s="60">
        <v>35000</v>
      </c>
      <c r="I30" s="59">
        <v>6</v>
      </c>
      <c r="J30" s="57">
        <f t="shared" ref="J30:J35" si="18">F30*I30</f>
        <v>3</v>
      </c>
      <c r="K30" s="57">
        <f t="shared" ref="K30:K35" si="19">ROUNDUP((E30/J30),0)</f>
        <v>4</v>
      </c>
      <c r="L30" s="57">
        <f t="shared" ref="L30:L35" si="20">M30*E30</f>
        <v>140000</v>
      </c>
      <c r="M30" s="61">
        <f t="shared" ref="M30:M35" si="21">(H30*K30)/E30</f>
        <v>11666.666666666666</v>
      </c>
      <c r="N30" s="30">
        <f t="shared" si="16"/>
        <v>4198</v>
      </c>
      <c r="AF30" s="30">
        <f>260+55</f>
        <v>315</v>
      </c>
      <c r="AQ30" s="30">
        <f t="shared" ref="AQ30:AQ35" si="22">((N30*F30)+AF30)</f>
        <v>2414</v>
      </c>
      <c r="AX30" s="30">
        <f t="shared" ref="AX30:AX35" si="23">I30*AQ30</f>
        <v>14484</v>
      </c>
    </row>
    <row r="31" spans="1:90" x14ac:dyDescent="0.25">
      <c r="C31" t="str">
        <f t="shared" si="17"/>
        <v>MD0100070</v>
      </c>
      <c r="D31" t="str">
        <f t="shared" si="13"/>
        <v>3.5 CORE X 150 SQ. MM. AL/ARD - STRIP (XLPE)</v>
      </c>
      <c r="E31" s="57">
        <f t="shared" si="14"/>
        <v>12</v>
      </c>
      <c r="F31" s="59">
        <f t="shared" si="15"/>
        <v>0.5</v>
      </c>
      <c r="G31" s="57" t="s">
        <v>209</v>
      </c>
      <c r="H31" s="60">
        <v>35000</v>
      </c>
      <c r="I31" s="59">
        <v>9</v>
      </c>
      <c r="J31" s="57">
        <f t="shared" si="18"/>
        <v>4.5</v>
      </c>
      <c r="K31" s="57">
        <f t="shared" si="19"/>
        <v>3</v>
      </c>
      <c r="L31" s="57">
        <f t="shared" si="20"/>
        <v>105000</v>
      </c>
      <c r="M31" s="61">
        <f t="shared" si="21"/>
        <v>8750</v>
      </c>
      <c r="N31" s="30">
        <f t="shared" si="16"/>
        <v>2779</v>
      </c>
      <c r="AF31" s="30">
        <f>250+50</f>
        <v>300</v>
      </c>
      <c r="AQ31" s="30">
        <f t="shared" si="22"/>
        <v>1689.5</v>
      </c>
      <c r="AX31" s="30">
        <f t="shared" si="23"/>
        <v>15205.5</v>
      </c>
    </row>
    <row r="32" spans="1:90" x14ac:dyDescent="0.25">
      <c r="C32" t="str">
        <f t="shared" si="17"/>
        <v>MD0100021</v>
      </c>
      <c r="D32" t="str">
        <f t="shared" si="13"/>
        <v>3.5 CORE X 120 SQ. MM. AL/ARD - STRIP (XLPE )</v>
      </c>
      <c r="E32" s="57">
        <f t="shared" si="14"/>
        <v>2.82</v>
      </c>
      <c r="F32" s="59">
        <f t="shared" si="15"/>
        <v>0.5</v>
      </c>
      <c r="G32" s="57" t="s">
        <v>209</v>
      </c>
      <c r="H32" s="60">
        <v>35000</v>
      </c>
      <c r="I32" s="59">
        <v>9</v>
      </c>
      <c r="J32" s="57">
        <f t="shared" si="18"/>
        <v>4.5</v>
      </c>
      <c r="K32" s="57">
        <f t="shared" si="19"/>
        <v>1</v>
      </c>
      <c r="L32" s="57">
        <f t="shared" si="20"/>
        <v>35000</v>
      </c>
      <c r="M32" s="61">
        <f t="shared" si="21"/>
        <v>12411.347517730497</v>
      </c>
      <c r="N32" s="30">
        <f t="shared" si="16"/>
        <v>2420</v>
      </c>
      <c r="AF32" s="30">
        <f>220+45</f>
        <v>265</v>
      </c>
      <c r="AQ32" s="30">
        <f t="shared" si="22"/>
        <v>1475</v>
      </c>
      <c r="AX32" s="30">
        <f t="shared" si="23"/>
        <v>13275</v>
      </c>
    </row>
    <row r="33" spans="3:50" x14ac:dyDescent="0.25">
      <c r="C33" t="str">
        <f t="shared" si="17"/>
        <v>MD0100019</v>
      </c>
      <c r="D33" t="str">
        <f t="shared" si="13"/>
        <v>3.5 CORE X 95 SQ. MM. AL/ARD - STRIP (XLPE)</v>
      </c>
      <c r="E33" s="57">
        <f t="shared" si="14"/>
        <v>12</v>
      </c>
      <c r="F33" s="59">
        <f t="shared" si="15"/>
        <v>0.5</v>
      </c>
      <c r="G33" s="57" t="s">
        <v>209</v>
      </c>
      <c r="H33" s="60">
        <v>35000</v>
      </c>
      <c r="I33" s="59">
        <v>11</v>
      </c>
      <c r="J33" s="57">
        <f t="shared" si="18"/>
        <v>5.5</v>
      </c>
      <c r="K33" s="57">
        <f t="shared" si="19"/>
        <v>3</v>
      </c>
      <c r="L33" s="57">
        <f t="shared" si="20"/>
        <v>105000</v>
      </c>
      <c r="M33" s="61">
        <f t="shared" si="21"/>
        <v>8750</v>
      </c>
      <c r="N33" s="30">
        <f t="shared" si="16"/>
        <v>1990.5</v>
      </c>
      <c r="AF33" s="30">
        <f>150+30</f>
        <v>180</v>
      </c>
      <c r="AQ33" s="30">
        <f t="shared" si="22"/>
        <v>1175.25</v>
      </c>
      <c r="AX33" s="30">
        <f t="shared" si="23"/>
        <v>12927.75</v>
      </c>
    </row>
    <row r="34" spans="3:50" x14ac:dyDescent="0.25">
      <c r="C34" t="str">
        <f t="shared" si="17"/>
        <v>MD0100017</v>
      </c>
      <c r="D34" t="str">
        <f t="shared" si="13"/>
        <v>3.5 CORE X 70 SQ. MM. AL/ARD - STRIP (XLPE)</v>
      </c>
      <c r="E34" s="57">
        <f t="shared" si="14"/>
        <v>12</v>
      </c>
      <c r="F34" s="59">
        <f t="shared" si="15"/>
        <v>0.5</v>
      </c>
      <c r="G34" s="57" t="s">
        <v>209</v>
      </c>
      <c r="H34" s="60">
        <v>35000</v>
      </c>
      <c r="I34" s="59">
        <v>11</v>
      </c>
      <c r="J34" s="57">
        <f t="shared" si="18"/>
        <v>5.5</v>
      </c>
      <c r="K34" s="57">
        <f t="shared" si="19"/>
        <v>3</v>
      </c>
      <c r="L34" s="57">
        <f t="shared" si="20"/>
        <v>105000</v>
      </c>
      <c r="M34" s="61">
        <f t="shared" si="21"/>
        <v>8750</v>
      </c>
      <c r="N34" s="30">
        <f t="shared" si="16"/>
        <v>1612.5</v>
      </c>
      <c r="AF34" s="30">
        <f>120+30</f>
        <v>150</v>
      </c>
      <c r="AQ34" s="30">
        <f t="shared" si="22"/>
        <v>956.25</v>
      </c>
      <c r="AX34" s="30">
        <f t="shared" si="23"/>
        <v>10518.75</v>
      </c>
    </row>
    <row r="35" spans="3:50" x14ac:dyDescent="0.25">
      <c r="C35" t="str">
        <f t="shared" si="17"/>
        <v>MD0100015</v>
      </c>
      <c r="D35" t="str">
        <f t="shared" si="13"/>
        <v>3.5 CORE X 50 SQ. MM. AL/ARD - STRIP (XLPE)</v>
      </c>
      <c r="E35" s="57">
        <f t="shared" si="14"/>
        <v>13</v>
      </c>
      <c r="F35" s="59">
        <f t="shared" si="15"/>
        <v>0.5</v>
      </c>
      <c r="G35" s="57" t="s">
        <v>209</v>
      </c>
      <c r="H35" s="60">
        <v>35000</v>
      </c>
      <c r="I35" s="59">
        <v>21</v>
      </c>
      <c r="J35" s="57">
        <f t="shared" si="18"/>
        <v>10.5</v>
      </c>
      <c r="K35" s="57">
        <f t="shared" si="19"/>
        <v>2</v>
      </c>
      <c r="L35" s="57">
        <f t="shared" si="20"/>
        <v>70000</v>
      </c>
      <c r="M35" s="61">
        <f t="shared" si="21"/>
        <v>5384.6153846153848</v>
      </c>
      <c r="N35" s="30">
        <f t="shared" si="16"/>
        <v>1257.5</v>
      </c>
      <c r="AF35" s="30">
        <f>100+25</f>
        <v>125</v>
      </c>
      <c r="AQ35" s="30">
        <f t="shared" si="22"/>
        <v>753.75</v>
      </c>
      <c r="AX35" s="30">
        <f t="shared" si="23"/>
        <v>15828.75</v>
      </c>
    </row>
    <row r="37" spans="3:50" x14ac:dyDescent="0.25">
      <c r="L37" s="149" t="s">
        <v>258</v>
      </c>
      <c r="M37" s="4">
        <v>31128982</v>
      </c>
    </row>
    <row r="38" spans="3:50" x14ac:dyDescent="0.25">
      <c r="L38" t="s">
        <v>259</v>
      </c>
      <c r="M38" s="150">
        <f>((M26-M37)/M37)*100</f>
        <v>28.824044756658669</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disablePrompts="1" count="1">
    <dataValidation type="list" allowBlank="1" showInputMessage="1" showErrorMessage="1" sqref="G29:G35" xr:uid="{274AFD87-D96B-4040-ACB2-32EFB35B9E1C}">
      <formula1>$Q$4:$Q$6</formula1>
    </dataValidation>
  </dataValidations>
  <pageMargins left="0.17" right="0.17" top="0.75" bottom="0.75" header="0.3" footer="0.3"/>
  <pageSetup scale="35" fitToHeight="0"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0FB2-9806-4B97-8807-89ECA1E1433D}">
  <sheetPr>
    <tabColor rgb="FFFF0000"/>
  </sheetPr>
  <dimension ref="A1:AL29"/>
  <sheetViews>
    <sheetView topLeftCell="A9" zoomScaleNormal="100" workbookViewId="0">
      <selection activeCell="AK28" sqref="AK28"/>
    </sheetView>
  </sheetViews>
  <sheetFormatPr defaultRowHeight="12.75" x14ac:dyDescent="0.2"/>
  <cols>
    <col min="1" max="1" width="54.140625" style="71" bestFit="1" customWidth="1"/>
    <col min="2" max="2" width="15.140625" style="71" customWidth="1"/>
    <col min="3" max="3" width="11.85546875" style="71" customWidth="1"/>
    <col min="4" max="4" width="10.42578125" style="71" bestFit="1" customWidth="1"/>
    <col min="5" max="6" width="9.42578125" style="71" bestFit="1" customWidth="1"/>
    <col min="7" max="8" width="9.42578125" style="71" customWidth="1"/>
    <col min="9" max="9" width="10.140625" style="71" bestFit="1" customWidth="1"/>
    <col min="10" max="10" width="8.85546875" style="71"/>
    <col min="11" max="11" width="10.140625" style="71" bestFit="1" customWidth="1"/>
    <col min="12" max="13" width="8.85546875" style="71"/>
    <col min="14" max="14" width="7.28515625" style="71" customWidth="1"/>
    <col min="15" max="17" width="7.42578125" style="71" customWidth="1"/>
    <col min="18" max="18" width="10.42578125" style="71" bestFit="1" customWidth="1"/>
    <col min="19" max="19" width="12" style="71" bestFit="1" customWidth="1"/>
    <col min="20" max="20" width="11" style="71" bestFit="1" customWidth="1"/>
    <col min="21" max="21" width="11.42578125" style="71" bestFit="1" customWidth="1"/>
    <col min="22" max="22" width="11" style="71" customWidth="1"/>
    <col min="23" max="23" width="11" style="71" bestFit="1" customWidth="1"/>
    <col min="24" max="24" width="14.42578125" style="71" bestFit="1" customWidth="1"/>
    <col min="25" max="25" width="9.140625" style="71" customWidth="1"/>
    <col min="26" max="27" width="10.85546875" style="71" customWidth="1"/>
    <col min="28" max="28" width="9.5703125" style="71" customWidth="1"/>
    <col min="29" max="29" width="10.42578125" style="71" customWidth="1"/>
    <col min="30" max="30" width="10.5703125" style="71" bestFit="1" customWidth="1"/>
    <col min="31" max="31" width="9.5703125" style="71" bestFit="1" customWidth="1"/>
    <col min="32" max="32" width="10.5703125" style="71" customWidth="1"/>
    <col min="33" max="33" width="11.140625" style="71" bestFit="1" customWidth="1"/>
    <col min="34" max="252" width="8.85546875" style="71"/>
    <col min="253" max="253" width="54.140625" style="71" bestFit="1" customWidth="1"/>
    <col min="254" max="254" width="14.7109375" style="71" customWidth="1"/>
    <col min="255" max="255" width="10.140625" style="71" customWidth="1"/>
    <col min="256" max="256" width="10.42578125" style="71" bestFit="1" customWidth="1"/>
    <col min="257" max="258" width="9.42578125" style="71" bestFit="1" customWidth="1"/>
    <col min="259" max="260" width="9.42578125" style="71" customWidth="1"/>
    <col min="261" max="261" width="10.140625" style="71" bestFit="1" customWidth="1"/>
    <col min="262" max="265" width="8.85546875" style="71"/>
    <col min="266" max="266" width="7.28515625" style="71" customWidth="1"/>
    <col min="267" max="269" width="7.42578125" style="71" customWidth="1"/>
    <col min="270" max="270" width="10.42578125" style="71" bestFit="1" customWidth="1"/>
    <col min="271" max="271" width="12" style="71" bestFit="1" customWidth="1"/>
    <col min="272" max="272" width="11" style="71" bestFit="1" customWidth="1"/>
    <col min="273" max="274" width="11" style="71" customWidth="1"/>
    <col min="275" max="275" width="10" style="71" bestFit="1" customWidth="1"/>
    <col min="276" max="276" width="14.42578125" style="71" bestFit="1" customWidth="1"/>
    <col min="277" max="287" width="0" style="71" hidden="1" customWidth="1"/>
    <col min="288" max="508" width="8.85546875" style="71"/>
    <col min="509" max="509" width="54.140625" style="71" bestFit="1" customWidth="1"/>
    <col min="510" max="510" width="14.7109375" style="71" customWidth="1"/>
    <col min="511" max="511" width="10.140625" style="71" customWidth="1"/>
    <col min="512" max="512" width="10.42578125" style="71" bestFit="1" customWidth="1"/>
    <col min="513" max="514" width="9.42578125" style="71" bestFit="1" customWidth="1"/>
    <col min="515" max="516" width="9.42578125" style="71" customWidth="1"/>
    <col min="517" max="517" width="10.140625" style="71" bestFit="1" customWidth="1"/>
    <col min="518" max="521" width="8.85546875" style="71"/>
    <col min="522" max="522" width="7.28515625" style="71" customWidth="1"/>
    <col min="523" max="525" width="7.42578125" style="71" customWidth="1"/>
    <col min="526" max="526" width="10.42578125" style="71" bestFit="1" customWidth="1"/>
    <col min="527" max="527" width="12" style="71" bestFit="1" customWidth="1"/>
    <col min="528" max="528" width="11" style="71" bestFit="1" customWidth="1"/>
    <col min="529" max="530" width="11" style="71" customWidth="1"/>
    <col min="531" max="531" width="10" style="71" bestFit="1" customWidth="1"/>
    <col min="532" max="532" width="14.42578125" style="71" bestFit="1" customWidth="1"/>
    <col min="533" max="543" width="0" style="71" hidden="1" customWidth="1"/>
    <col min="544" max="764" width="8.85546875" style="71"/>
    <col min="765" max="765" width="54.140625" style="71" bestFit="1" customWidth="1"/>
    <col min="766" max="766" width="14.7109375" style="71" customWidth="1"/>
    <col min="767" max="767" width="10.140625" style="71" customWidth="1"/>
    <col min="768" max="768" width="10.42578125" style="71" bestFit="1" customWidth="1"/>
    <col min="769" max="770" width="9.42578125" style="71" bestFit="1" customWidth="1"/>
    <col min="771" max="772" width="9.42578125" style="71" customWidth="1"/>
    <col min="773" max="773" width="10.140625" style="71" bestFit="1" customWidth="1"/>
    <col min="774" max="777" width="8.85546875" style="71"/>
    <col min="778" max="778" width="7.28515625" style="71" customWidth="1"/>
    <col min="779" max="781" width="7.42578125" style="71" customWidth="1"/>
    <col min="782" max="782" width="10.42578125" style="71" bestFit="1" customWidth="1"/>
    <col min="783" max="783" width="12" style="71" bestFit="1" customWidth="1"/>
    <col min="784" max="784" width="11" style="71" bestFit="1" customWidth="1"/>
    <col min="785" max="786" width="11" style="71" customWidth="1"/>
    <col min="787" max="787" width="10" style="71" bestFit="1" customWidth="1"/>
    <col min="788" max="788" width="14.42578125" style="71" bestFit="1" customWidth="1"/>
    <col min="789" max="799" width="0" style="71" hidden="1" customWidth="1"/>
    <col min="800" max="1020" width="8.85546875" style="71"/>
    <col min="1021" max="1021" width="54.140625" style="71" bestFit="1" customWidth="1"/>
    <col min="1022" max="1022" width="14.7109375" style="71" customWidth="1"/>
    <col min="1023" max="1023" width="10.140625" style="71" customWidth="1"/>
    <col min="1024" max="1024" width="10.42578125" style="71" bestFit="1" customWidth="1"/>
    <col min="1025" max="1026" width="9.42578125" style="71" bestFit="1" customWidth="1"/>
    <col min="1027" max="1028" width="9.42578125" style="71" customWidth="1"/>
    <col min="1029" max="1029" width="10.140625" style="71" bestFit="1" customWidth="1"/>
    <col min="1030" max="1033" width="8.85546875" style="71"/>
    <col min="1034" max="1034" width="7.28515625" style="71" customWidth="1"/>
    <col min="1035" max="1037" width="7.42578125" style="71" customWidth="1"/>
    <col min="1038" max="1038" width="10.42578125" style="71" bestFit="1" customWidth="1"/>
    <col min="1039" max="1039" width="12" style="71" bestFit="1" customWidth="1"/>
    <col min="1040" max="1040" width="11" style="71" bestFit="1" customWidth="1"/>
    <col min="1041" max="1042" width="11" style="71" customWidth="1"/>
    <col min="1043" max="1043" width="10" style="71" bestFit="1" customWidth="1"/>
    <col min="1044" max="1044" width="14.42578125" style="71" bestFit="1" customWidth="1"/>
    <col min="1045" max="1055" width="0" style="71" hidden="1" customWidth="1"/>
    <col min="1056" max="1276" width="8.85546875" style="71"/>
    <col min="1277" max="1277" width="54.140625" style="71" bestFit="1" customWidth="1"/>
    <col min="1278" max="1278" width="14.7109375" style="71" customWidth="1"/>
    <col min="1279" max="1279" width="10.140625" style="71" customWidth="1"/>
    <col min="1280" max="1280" width="10.42578125" style="71" bestFit="1" customWidth="1"/>
    <col min="1281" max="1282" width="9.42578125" style="71" bestFit="1" customWidth="1"/>
    <col min="1283" max="1284" width="9.42578125" style="71" customWidth="1"/>
    <col min="1285" max="1285" width="10.140625" style="71" bestFit="1" customWidth="1"/>
    <col min="1286" max="1289" width="8.85546875" style="71"/>
    <col min="1290" max="1290" width="7.28515625" style="71" customWidth="1"/>
    <col min="1291" max="1293" width="7.42578125" style="71" customWidth="1"/>
    <col min="1294" max="1294" width="10.42578125" style="71" bestFit="1" customWidth="1"/>
    <col min="1295" max="1295" width="12" style="71" bestFit="1" customWidth="1"/>
    <col min="1296" max="1296" width="11" style="71" bestFit="1" customWidth="1"/>
    <col min="1297" max="1298" width="11" style="71" customWidth="1"/>
    <col min="1299" max="1299" width="10" style="71" bestFit="1" customWidth="1"/>
    <col min="1300" max="1300" width="14.42578125" style="71" bestFit="1" customWidth="1"/>
    <col min="1301" max="1311" width="0" style="71" hidden="1" customWidth="1"/>
    <col min="1312" max="1532" width="8.85546875" style="71"/>
    <col min="1533" max="1533" width="54.140625" style="71" bestFit="1" customWidth="1"/>
    <col min="1534" max="1534" width="14.7109375" style="71" customWidth="1"/>
    <col min="1535" max="1535" width="10.140625" style="71" customWidth="1"/>
    <col min="1536" max="1536" width="10.42578125" style="71" bestFit="1" customWidth="1"/>
    <col min="1537" max="1538" width="9.42578125" style="71" bestFit="1" customWidth="1"/>
    <col min="1539" max="1540" width="9.42578125" style="71" customWidth="1"/>
    <col min="1541" max="1541" width="10.140625" style="71" bestFit="1" customWidth="1"/>
    <col min="1542" max="1545" width="8.85546875" style="71"/>
    <col min="1546" max="1546" width="7.28515625" style="71" customWidth="1"/>
    <col min="1547" max="1549" width="7.42578125" style="71" customWidth="1"/>
    <col min="1550" max="1550" width="10.42578125" style="71" bestFit="1" customWidth="1"/>
    <col min="1551" max="1551" width="12" style="71" bestFit="1" customWidth="1"/>
    <col min="1552" max="1552" width="11" style="71" bestFit="1" customWidth="1"/>
    <col min="1553" max="1554" width="11" style="71" customWidth="1"/>
    <col min="1555" max="1555" width="10" style="71" bestFit="1" customWidth="1"/>
    <col min="1556" max="1556" width="14.42578125" style="71" bestFit="1" customWidth="1"/>
    <col min="1557" max="1567" width="0" style="71" hidden="1" customWidth="1"/>
    <col min="1568" max="1788" width="8.85546875" style="71"/>
    <col min="1789" max="1789" width="54.140625" style="71" bestFit="1" customWidth="1"/>
    <col min="1790" max="1790" width="14.7109375" style="71" customWidth="1"/>
    <col min="1791" max="1791" width="10.140625" style="71" customWidth="1"/>
    <col min="1792" max="1792" width="10.42578125" style="71" bestFit="1" customWidth="1"/>
    <col min="1793" max="1794" width="9.42578125" style="71" bestFit="1" customWidth="1"/>
    <col min="1795" max="1796" width="9.42578125" style="71" customWidth="1"/>
    <col min="1797" max="1797" width="10.140625" style="71" bestFit="1" customWidth="1"/>
    <col min="1798" max="1801" width="8.85546875" style="71"/>
    <col min="1802" max="1802" width="7.28515625" style="71" customWidth="1"/>
    <col min="1803" max="1805" width="7.42578125" style="71" customWidth="1"/>
    <col min="1806" max="1806" width="10.42578125" style="71" bestFit="1" customWidth="1"/>
    <col min="1807" max="1807" width="12" style="71" bestFit="1" customWidth="1"/>
    <col min="1808" max="1808" width="11" style="71" bestFit="1" customWidth="1"/>
    <col min="1809" max="1810" width="11" style="71" customWidth="1"/>
    <col min="1811" max="1811" width="10" style="71" bestFit="1" customWidth="1"/>
    <col min="1812" max="1812" width="14.42578125" style="71" bestFit="1" customWidth="1"/>
    <col min="1813" max="1823" width="0" style="71" hidden="1" customWidth="1"/>
    <col min="1824" max="2044" width="8.85546875" style="71"/>
    <col min="2045" max="2045" width="54.140625" style="71" bestFit="1" customWidth="1"/>
    <col min="2046" max="2046" width="14.7109375" style="71" customWidth="1"/>
    <col min="2047" max="2047" width="10.140625" style="71" customWidth="1"/>
    <col min="2048" max="2048" width="10.42578125" style="71" bestFit="1" customWidth="1"/>
    <col min="2049" max="2050" width="9.42578125" style="71" bestFit="1" customWidth="1"/>
    <col min="2051" max="2052" width="9.42578125" style="71" customWidth="1"/>
    <col min="2053" max="2053" width="10.140625" style="71" bestFit="1" customWidth="1"/>
    <col min="2054" max="2057" width="8.85546875" style="71"/>
    <col min="2058" max="2058" width="7.28515625" style="71" customWidth="1"/>
    <col min="2059" max="2061" width="7.42578125" style="71" customWidth="1"/>
    <col min="2062" max="2062" width="10.42578125" style="71" bestFit="1" customWidth="1"/>
    <col min="2063" max="2063" width="12" style="71" bestFit="1" customWidth="1"/>
    <col min="2064" max="2064" width="11" style="71" bestFit="1" customWidth="1"/>
    <col min="2065" max="2066" width="11" style="71" customWidth="1"/>
    <col min="2067" max="2067" width="10" style="71" bestFit="1" customWidth="1"/>
    <col min="2068" max="2068" width="14.42578125" style="71" bestFit="1" customWidth="1"/>
    <col min="2069" max="2079" width="0" style="71" hidden="1" customWidth="1"/>
    <col min="2080" max="2300" width="8.85546875" style="71"/>
    <col min="2301" max="2301" width="54.140625" style="71" bestFit="1" customWidth="1"/>
    <col min="2302" max="2302" width="14.7109375" style="71" customWidth="1"/>
    <col min="2303" max="2303" width="10.140625" style="71" customWidth="1"/>
    <col min="2304" max="2304" width="10.42578125" style="71" bestFit="1" customWidth="1"/>
    <col min="2305" max="2306" width="9.42578125" style="71" bestFit="1" customWidth="1"/>
    <col min="2307" max="2308" width="9.42578125" style="71" customWidth="1"/>
    <col min="2309" max="2309" width="10.140625" style="71" bestFit="1" customWidth="1"/>
    <col min="2310" max="2313" width="8.85546875" style="71"/>
    <col min="2314" max="2314" width="7.28515625" style="71" customWidth="1"/>
    <col min="2315" max="2317" width="7.42578125" style="71" customWidth="1"/>
    <col min="2318" max="2318" width="10.42578125" style="71" bestFit="1" customWidth="1"/>
    <col min="2319" max="2319" width="12" style="71" bestFit="1" customWidth="1"/>
    <col min="2320" max="2320" width="11" style="71" bestFit="1" customWidth="1"/>
    <col min="2321" max="2322" width="11" style="71" customWidth="1"/>
    <col min="2323" max="2323" width="10" style="71" bestFit="1" customWidth="1"/>
    <col min="2324" max="2324" width="14.42578125" style="71" bestFit="1" customWidth="1"/>
    <col min="2325" max="2335" width="0" style="71" hidden="1" customWidth="1"/>
    <col min="2336" max="2556" width="8.85546875" style="71"/>
    <col min="2557" max="2557" width="54.140625" style="71" bestFit="1" customWidth="1"/>
    <col min="2558" max="2558" width="14.7109375" style="71" customWidth="1"/>
    <col min="2559" max="2559" width="10.140625" style="71" customWidth="1"/>
    <col min="2560" max="2560" width="10.42578125" style="71" bestFit="1" customWidth="1"/>
    <col min="2561" max="2562" width="9.42578125" style="71" bestFit="1" customWidth="1"/>
    <col min="2563" max="2564" width="9.42578125" style="71" customWidth="1"/>
    <col min="2565" max="2565" width="10.140625" style="71" bestFit="1" customWidth="1"/>
    <col min="2566" max="2569" width="8.85546875" style="71"/>
    <col min="2570" max="2570" width="7.28515625" style="71" customWidth="1"/>
    <col min="2571" max="2573" width="7.42578125" style="71" customWidth="1"/>
    <col min="2574" max="2574" width="10.42578125" style="71" bestFit="1" customWidth="1"/>
    <col min="2575" max="2575" width="12" style="71" bestFit="1" customWidth="1"/>
    <col min="2576" max="2576" width="11" style="71" bestFit="1" customWidth="1"/>
    <col min="2577" max="2578" width="11" style="71" customWidth="1"/>
    <col min="2579" max="2579" width="10" style="71" bestFit="1" customWidth="1"/>
    <col min="2580" max="2580" width="14.42578125" style="71" bestFit="1" customWidth="1"/>
    <col min="2581" max="2591" width="0" style="71" hidden="1" customWidth="1"/>
    <col min="2592" max="2812" width="8.85546875" style="71"/>
    <col min="2813" max="2813" width="54.140625" style="71" bestFit="1" customWidth="1"/>
    <col min="2814" max="2814" width="14.7109375" style="71" customWidth="1"/>
    <col min="2815" max="2815" width="10.140625" style="71" customWidth="1"/>
    <col min="2816" max="2816" width="10.42578125" style="71" bestFit="1" customWidth="1"/>
    <col min="2817" max="2818" width="9.42578125" style="71" bestFit="1" customWidth="1"/>
    <col min="2819" max="2820" width="9.42578125" style="71" customWidth="1"/>
    <col min="2821" max="2821" width="10.140625" style="71" bestFit="1" customWidth="1"/>
    <col min="2822" max="2825" width="8.85546875" style="71"/>
    <col min="2826" max="2826" width="7.28515625" style="71" customWidth="1"/>
    <col min="2827" max="2829" width="7.42578125" style="71" customWidth="1"/>
    <col min="2830" max="2830" width="10.42578125" style="71" bestFit="1" customWidth="1"/>
    <col min="2831" max="2831" width="12" style="71" bestFit="1" customWidth="1"/>
    <col min="2832" max="2832" width="11" style="71" bestFit="1" customWidth="1"/>
    <col min="2833" max="2834" width="11" style="71" customWidth="1"/>
    <col min="2835" max="2835" width="10" style="71" bestFit="1" customWidth="1"/>
    <col min="2836" max="2836" width="14.42578125" style="71" bestFit="1" customWidth="1"/>
    <col min="2837" max="2847" width="0" style="71" hidden="1" customWidth="1"/>
    <col min="2848" max="3068" width="8.85546875" style="71"/>
    <col min="3069" max="3069" width="54.140625" style="71" bestFit="1" customWidth="1"/>
    <col min="3070" max="3070" width="14.7109375" style="71" customWidth="1"/>
    <col min="3071" max="3071" width="10.140625" style="71" customWidth="1"/>
    <col min="3072" max="3072" width="10.42578125" style="71" bestFit="1" customWidth="1"/>
    <col min="3073" max="3074" width="9.42578125" style="71" bestFit="1" customWidth="1"/>
    <col min="3075" max="3076" width="9.42578125" style="71" customWidth="1"/>
    <col min="3077" max="3077" width="10.140625" style="71" bestFit="1" customWidth="1"/>
    <col min="3078" max="3081" width="8.85546875" style="71"/>
    <col min="3082" max="3082" width="7.28515625" style="71" customWidth="1"/>
    <col min="3083" max="3085" width="7.42578125" style="71" customWidth="1"/>
    <col min="3086" max="3086" width="10.42578125" style="71" bestFit="1" customWidth="1"/>
    <col min="3087" max="3087" width="12" style="71" bestFit="1" customWidth="1"/>
    <col min="3088" max="3088" width="11" style="71" bestFit="1" customWidth="1"/>
    <col min="3089" max="3090" width="11" style="71" customWidth="1"/>
    <col min="3091" max="3091" width="10" style="71" bestFit="1" customWidth="1"/>
    <col min="3092" max="3092" width="14.42578125" style="71" bestFit="1" customWidth="1"/>
    <col min="3093" max="3103" width="0" style="71" hidden="1" customWidth="1"/>
    <col min="3104" max="3324" width="8.85546875" style="71"/>
    <col min="3325" max="3325" width="54.140625" style="71" bestFit="1" customWidth="1"/>
    <col min="3326" max="3326" width="14.7109375" style="71" customWidth="1"/>
    <col min="3327" max="3327" width="10.140625" style="71" customWidth="1"/>
    <col min="3328" max="3328" width="10.42578125" style="71" bestFit="1" customWidth="1"/>
    <col min="3329" max="3330" width="9.42578125" style="71" bestFit="1" customWidth="1"/>
    <col min="3331" max="3332" width="9.42578125" style="71" customWidth="1"/>
    <col min="3333" max="3333" width="10.140625" style="71" bestFit="1" customWidth="1"/>
    <col min="3334" max="3337" width="8.85546875" style="71"/>
    <col min="3338" max="3338" width="7.28515625" style="71" customWidth="1"/>
    <col min="3339" max="3341" width="7.42578125" style="71" customWidth="1"/>
    <col min="3342" max="3342" width="10.42578125" style="71" bestFit="1" customWidth="1"/>
    <col min="3343" max="3343" width="12" style="71" bestFit="1" customWidth="1"/>
    <col min="3344" max="3344" width="11" style="71" bestFit="1" customWidth="1"/>
    <col min="3345" max="3346" width="11" style="71" customWidth="1"/>
    <col min="3347" max="3347" width="10" style="71" bestFit="1" customWidth="1"/>
    <col min="3348" max="3348" width="14.42578125" style="71" bestFit="1" customWidth="1"/>
    <col min="3349" max="3359" width="0" style="71" hidden="1" customWidth="1"/>
    <col min="3360" max="3580" width="8.85546875" style="71"/>
    <col min="3581" max="3581" width="54.140625" style="71" bestFit="1" customWidth="1"/>
    <col min="3582" max="3582" width="14.7109375" style="71" customWidth="1"/>
    <col min="3583" max="3583" width="10.140625" style="71" customWidth="1"/>
    <col min="3584" max="3584" width="10.42578125" style="71" bestFit="1" customWidth="1"/>
    <col min="3585" max="3586" width="9.42578125" style="71" bestFit="1" customWidth="1"/>
    <col min="3587" max="3588" width="9.42578125" style="71" customWidth="1"/>
    <col min="3589" max="3589" width="10.140625" style="71" bestFit="1" customWidth="1"/>
    <col min="3590" max="3593" width="8.85546875" style="71"/>
    <col min="3594" max="3594" width="7.28515625" style="71" customWidth="1"/>
    <col min="3595" max="3597" width="7.42578125" style="71" customWidth="1"/>
    <col min="3598" max="3598" width="10.42578125" style="71" bestFit="1" customWidth="1"/>
    <col min="3599" max="3599" width="12" style="71" bestFit="1" customWidth="1"/>
    <col min="3600" max="3600" width="11" style="71" bestFit="1" customWidth="1"/>
    <col min="3601" max="3602" width="11" style="71" customWidth="1"/>
    <col min="3603" max="3603" width="10" style="71" bestFit="1" customWidth="1"/>
    <col min="3604" max="3604" width="14.42578125" style="71" bestFit="1" customWidth="1"/>
    <col min="3605" max="3615" width="0" style="71" hidden="1" customWidth="1"/>
    <col min="3616" max="3836" width="8.85546875" style="71"/>
    <col min="3837" max="3837" width="54.140625" style="71" bestFit="1" customWidth="1"/>
    <col min="3838" max="3838" width="14.7109375" style="71" customWidth="1"/>
    <col min="3839" max="3839" width="10.140625" style="71" customWidth="1"/>
    <col min="3840" max="3840" width="10.42578125" style="71" bestFit="1" customWidth="1"/>
    <col min="3841" max="3842" width="9.42578125" style="71" bestFit="1" customWidth="1"/>
    <col min="3843" max="3844" width="9.42578125" style="71" customWidth="1"/>
    <col min="3845" max="3845" width="10.140625" style="71" bestFit="1" customWidth="1"/>
    <col min="3846" max="3849" width="8.85546875" style="71"/>
    <col min="3850" max="3850" width="7.28515625" style="71" customWidth="1"/>
    <col min="3851" max="3853" width="7.42578125" style="71" customWidth="1"/>
    <col min="3854" max="3854" width="10.42578125" style="71" bestFit="1" customWidth="1"/>
    <col min="3855" max="3855" width="12" style="71" bestFit="1" customWidth="1"/>
    <col min="3856" max="3856" width="11" style="71" bestFit="1" customWidth="1"/>
    <col min="3857" max="3858" width="11" style="71" customWidth="1"/>
    <col min="3859" max="3859" width="10" style="71" bestFit="1" customWidth="1"/>
    <col min="3860" max="3860" width="14.42578125" style="71" bestFit="1" customWidth="1"/>
    <col min="3861" max="3871" width="0" style="71" hidden="1" customWidth="1"/>
    <col min="3872" max="4092" width="8.85546875" style="71"/>
    <col min="4093" max="4093" width="54.140625" style="71" bestFit="1" customWidth="1"/>
    <col min="4094" max="4094" width="14.7109375" style="71" customWidth="1"/>
    <col min="4095" max="4095" width="10.140625" style="71" customWidth="1"/>
    <col min="4096" max="4096" width="10.42578125" style="71" bestFit="1" customWidth="1"/>
    <col min="4097" max="4098" width="9.42578125" style="71" bestFit="1" customWidth="1"/>
    <col min="4099" max="4100" width="9.42578125" style="71" customWidth="1"/>
    <col min="4101" max="4101" width="10.140625" style="71" bestFit="1" customWidth="1"/>
    <col min="4102" max="4105" width="8.85546875" style="71"/>
    <col min="4106" max="4106" width="7.28515625" style="71" customWidth="1"/>
    <col min="4107" max="4109" width="7.42578125" style="71" customWidth="1"/>
    <col min="4110" max="4110" width="10.42578125" style="71" bestFit="1" customWidth="1"/>
    <col min="4111" max="4111" width="12" style="71" bestFit="1" customWidth="1"/>
    <col min="4112" max="4112" width="11" style="71" bestFit="1" customWidth="1"/>
    <col min="4113" max="4114" width="11" style="71" customWidth="1"/>
    <col min="4115" max="4115" width="10" style="71" bestFit="1" customWidth="1"/>
    <col min="4116" max="4116" width="14.42578125" style="71" bestFit="1" customWidth="1"/>
    <col min="4117" max="4127" width="0" style="71" hidden="1" customWidth="1"/>
    <col min="4128" max="4348" width="8.85546875" style="71"/>
    <col min="4349" max="4349" width="54.140625" style="71" bestFit="1" customWidth="1"/>
    <col min="4350" max="4350" width="14.7109375" style="71" customWidth="1"/>
    <col min="4351" max="4351" width="10.140625" style="71" customWidth="1"/>
    <col min="4352" max="4352" width="10.42578125" style="71" bestFit="1" customWidth="1"/>
    <col min="4353" max="4354" width="9.42578125" style="71" bestFit="1" customWidth="1"/>
    <col min="4355" max="4356" width="9.42578125" style="71" customWidth="1"/>
    <col min="4357" max="4357" width="10.140625" style="71" bestFit="1" customWidth="1"/>
    <col min="4358" max="4361" width="8.85546875" style="71"/>
    <col min="4362" max="4362" width="7.28515625" style="71" customWidth="1"/>
    <col min="4363" max="4365" width="7.42578125" style="71" customWidth="1"/>
    <col min="4366" max="4366" width="10.42578125" style="71" bestFit="1" customWidth="1"/>
    <col min="4367" max="4367" width="12" style="71" bestFit="1" customWidth="1"/>
    <col min="4368" max="4368" width="11" style="71" bestFit="1" customWidth="1"/>
    <col min="4369" max="4370" width="11" style="71" customWidth="1"/>
    <col min="4371" max="4371" width="10" style="71" bestFit="1" customWidth="1"/>
    <col min="4372" max="4372" width="14.42578125" style="71" bestFit="1" customWidth="1"/>
    <col min="4373" max="4383" width="0" style="71" hidden="1" customWidth="1"/>
    <col min="4384" max="4604" width="8.85546875" style="71"/>
    <col min="4605" max="4605" width="54.140625" style="71" bestFit="1" customWidth="1"/>
    <col min="4606" max="4606" width="14.7109375" style="71" customWidth="1"/>
    <col min="4607" max="4607" width="10.140625" style="71" customWidth="1"/>
    <col min="4608" max="4608" width="10.42578125" style="71" bestFit="1" customWidth="1"/>
    <col min="4609" max="4610" width="9.42578125" style="71" bestFit="1" customWidth="1"/>
    <col min="4611" max="4612" width="9.42578125" style="71" customWidth="1"/>
    <col min="4613" max="4613" width="10.140625" style="71" bestFit="1" customWidth="1"/>
    <col min="4614" max="4617" width="8.85546875" style="71"/>
    <col min="4618" max="4618" width="7.28515625" style="71" customWidth="1"/>
    <col min="4619" max="4621" width="7.42578125" style="71" customWidth="1"/>
    <col min="4622" max="4622" width="10.42578125" style="71" bestFit="1" customWidth="1"/>
    <col min="4623" max="4623" width="12" style="71" bestFit="1" customWidth="1"/>
    <col min="4624" max="4624" width="11" style="71" bestFit="1" customWidth="1"/>
    <col min="4625" max="4626" width="11" style="71" customWidth="1"/>
    <col min="4627" max="4627" width="10" style="71" bestFit="1" customWidth="1"/>
    <col min="4628" max="4628" width="14.42578125" style="71" bestFit="1" customWidth="1"/>
    <col min="4629" max="4639" width="0" style="71" hidden="1" customWidth="1"/>
    <col min="4640" max="4860" width="8.85546875" style="71"/>
    <col min="4861" max="4861" width="54.140625" style="71" bestFit="1" customWidth="1"/>
    <col min="4862" max="4862" width="14.7109375" style="71" customWidth="1"/>
    <col min="4863" max="4863" width="10.140625" style="71" customWidth="1"/>
    <col min="4864" max="4864" width="10.42578125" style="71" bestFit="1" customWidth="1"/>
    <col min="4865" max="4866" width="9.42578125" style="71" bestFit="1" customWidth="1"/>
    <col min="4867" max="4868" width="9.42578125" style="71" customWidth="1"/>
    <col min="4869" max="4869" width="10.140625" style="71" bestFit="1" customWidth="1"/>
    <col min="4870" max="4873" width="8.85546875" style="71"/>
    <col min="4874" max="4874" width="7.28515625" style="71" customWidth="1"/>
    <col min="4875" max="4877" width="7.42578125" style="71" customWidth="1"/>
    <col min="4878" max="4878" width="10.42578125" style="71" bestFit="1" customWidth="1"/>
    <col min="4879" max="4879" width="12" style="71" bestFit="1" customWidth="1"/>
    <col min="4880" max="4880" width="11" style="71" bestFit="1" customWidth="1"/>
    <col min="4881" max="4882" width="11" style="71" customWidth="1"/>
    <col min="4883" max="4883" width="10" style="71" bestFit="1" customWidth="1"/>
    <col min="4884" max="4884" width="14.42578125" style="71" bestFit="1" customWidth="1"/>
    <col min="4885" max="4895" width="0" style="71" hidden="1" customWidth="1"/>
    <col min="4896" max="5116" width="8.85546875" style="71"/>
    <col min="5117" max="5117" width="54.140625" style="71" bestFit="1" customWidth="1"/>
    <col min="5118" max="5118" width="14.7109375" style="71" customWidth="1"/>
    <col min="5119" max="5119" width="10.140625" style="71" customWidth="1"/>
    <col min="5120" max="5120" width="10.42578125" style="71" bestFit="1" customWidth="1"/>
    <col min="5121" max="5122" width="9.42578125" style="71" bestFit="1" customWidth="1"/>
    <col min="5123" max="5124" width="9.42578125" style="71" customWidth="1"/>
    <col min="5125" max="5125" width="10.140625" style="71" bestFit="1" customWidth="1"/>
    <col min="5126" max="5129" width="8.85546875" style="71"/>
    <col min="5130" max="5130" width="7.28515625" style="71" customWidth="1"/>
    <col min="5131" max="5133" width="7.42578125" style="71" customWidth="1"/>
    <col min="5134" max="5134" width="10.42578125" style="71" bestFit="1" customWidth="1"/>
    <col min="5135" max="5135" width="12" style="71" bestFit="1" customWidth="1"/>
    <col min="5136" max="5136" width="11" style="71" bestFit="1" customWidth="1"/>
    <col min="5137" max="5138" width="11" style="71" customWidth="1"/>
    <col min="5139" max="5139" width="10" style="71" bestFit="1" customWidth="1"/>
    <col min="5140" max="5140" width="14.42578125" style="71" bestFit="1" customWidth="1"/>
    <col min="5141" max="5151" width="0" style="71" hidden="1" customWidth="1"/>
    <col min="5152" max="5372" width="8.85546875" style="71"/>
    <col min="5373" max="5373" width="54.140625" style="71" bestFit="1" customWidth="1"/>
    <col min="5374" max="5374" width="14.7109375" style="71" customWidth="1"/>
    <col min="5375" max="5375" width="10.140625" style="71" customWidth="1"/>
    <col min="5376" max="5376" width="10.42578125" style="71" bestFit="1" customWidth="1"/>
    <col min="5377" max="5378" width="9.42578125" style="71" bestFit="1" customWidth="1"/>
    <col min="5379" max="5380" width="9.42578125" style="71" customWidth="1"/>
    <col min="5381" max="5381" width="10.140625" style="71" bestFit="1" customWidth="1"/>
    <col min="5382" max="5385" width="8.85546875" style="71"/>
    <col min="5386" max="5386" width="7.28515625" style="71" customWidth="1"/>
    <col min="5387" max="5389" width="7.42578125" style="71" customWidth="1"/>
    <col min="5390" max="5390" width="10.42578125" style="71" bestFit="1" customWidth="1"/>
    <col min="5391" max="5391" width="12" style="71" bestFit="1" customWidth="1"/>
    <col min="5392" max="5392" width="11" style="71" bestFit="1" customWidth="1"/>
    <col min="5393" max="5394" width="11" style="71" customWidth="1"/>
    <col min="5395" max="5395" width="10" style="71" bestFit="1" customWidth="1"/>
    <col min="5396" max="5396" width="14.42578125" style="71" bestFit="1" customWidth="1"/>
    <col min="5397" max="5407" width="0" style="71" hidden="1" customWidth="1"/>
    <col min="5408" max="5628" width="8.85546875" style="71"/>
    <col min="5629" max="5629" width="54.140625" style="71" bestFit="1" customWidth="1"/>
    <col min="5630" max="5630" width="14.7109375" style="71" customWidth="1"/>
    <col min="5631" max="5631" width="10.140625" style="71" customWidth="1"/>
    <col min="5632" max="5632" width="10.42578125" style="71" bestFit="1" customWidth="1"/>
    <col min="5633" max="5634" width="9.42578125" style="71" bestFit="1" customWidth="1"/>
    <col min="5635" max="5636" width="9.42578125" style="71" customWidth="1"/>
    <col min="5637" max="5637" width="10.140625" style="71" bestFit="1" customWidth="1"/>
    <col min="5638" max="5641" width="8.85546875" style="71"/>
    <col min="5642" max="5642" width="7.28515625" style="71" customWidth="1"/>
    <col min="5643" max="5645" width="7.42578125" style="71" customWidth="1"/>
    <col min="5646" max="5646" width="10.42578125" style="71" bestFit="1" customWidth="1"/>
    <col min="5647" max="5647" width="12" style="71" bestFit="1" customWidth="1"/>
    <col min="5648" max="5648" width="11" style="71" bestFit="1" customWidth="1"/>
    <col min="5649" max="5650" width="11" style="71" customWidth="1"/>
    <col min="5651" max="5651" width="10" style="71" bestFit="1" customWidth="1"/>
    <col min="5652" max="5652" width="14.42578125" style="71" bestFit="1" customWidth="1"/>
    <col min="5653" max="5663" width="0" style="71" hidden="1" customWidth="1"/>
    <col min="5664" max="5884" width="8.85546875" style="71"/>
    <col min="5885" max="5885" width="54.140625" style="71" bestFit="1" customWidth="1"/>
    <col min="5886" max="5886" width="14.7109375" style="71" customWidth="1"/>
    <col min="5887" max="5887" width="10.140625" style="71" customWidth="1"/>
    <col min="5888" max="5888" width="10.42578125" style="71" bestFit="1" customWidth="1"/>
    <col min="5889" max="5890" width="9.42578125" style="71" bestFit="1" customWidth="1"/>
    <col min="5891" max="5892" width="9.42578125" style="71" customWidth="1"/>
    <col min="5893" max="5893" width="10.140625" style="71" bestFit="1" customWidth="1"/>
    <col min="5894" max="5897" width="8.85546875" style="71"/>
    <col min="5898" max="5898" width="7.28515625" style="71" customWidth="1"/>
    <col min="5899" max="5901" width="7.42578125" style="71" customWidth="1"/>
    <col min="5902" max="5902" width="10.42578125" style="71" bestFit="1" customWidth="1"/>
    <col min="5903" max="5903" width="12" style="71" bestFit="1" customWidth="1"/>
    <col min="5904" max="5904" width="11" style="71" bestFit="1" customWidth="1"/>
    <col min="5905" max="5906" width="11" style="71" customWidth="1"/>
    <col min="5907" max="5907" width="10" style="71" bestFit="1" customWidth="1"/>
    <col min="5908" max="5908" width="14.42578125" style="71" bestFit="1" customWidth="1"/>
    <col min="5909" max="5919" width="0" style="71" hidden="1" customWidth="1"/>
    <col min="5920" max="6140" width="8.85546875" style="71"/>
    <col min="6141" max="6141" width="54.140625" style="71" bestFit="1" customWidth="1"/>
    <col min="6142" max="6142" width="14.7109375" style="71" customWidth="1"/>
    <col min="6143" max="6143" width="10.140625" style="71" customWidth="1"/>
    <col min="6144" max="6144" width="10.42578125" style="71" bestFit="1" customWidth="1"/>
    <col min="6145" max="6146" width="9.42578125" style="71" bestFit="1" customWidth="1"/>
    <col min="6147" max="6148" width="9.42578125" style="71" customWidth="1"/>
    <col min="6149" max="6149" width="10.140625" style="71" bestFit="1" customWidth="1"/>
    <col min="6150" max="6153" width="8.85546875" style="71"/>
    <col min="6154" max="6154" width="7.28515625" style="71" customWidth="1"/>
    <col min="6155" max="6157" width="7.42578125" style="71" customWidth="1"/>
    <col min="6158" max="6158" width="10.42578125" style="71" bestFit="1" customWidth="1"/>
    <col min="6159" max="6159" width="12" style="71" bestFit="1" customWidth="1"/>
    <col min="6160" max="6160" width="11" style="71" bestFit="1" customWidth="1"/>
    <col min="6161" max="6162" width="11" style="71" customWidth="1"/>
    <col min="6163" max="6163" width="10" style="71" bestFit="1" customWidth="1"/>
    <col min="6164" max="6164" width="14.42578125" style="71" bestFit="1" customWidth="1"/>
    <col min="6165" max="6175" width="0" style="71" hidden="1" customWidth="1"/>
    <col min="6176" max="6396" width="8.85546875" style="71"/>
    <col min="6397" max="6397" width="54.140625" style="71" bestFit="1" customWidth="1"/>
    <col min="6398" max="6398" width="14.7109375" style="71" customWidth="1"/>
    <col min="6399" max="6399" width="10.140625" style="71" customWidth="1"/>
    <col min="6400" max="6400" width="10.42578125" style="71" bestFit="1" customWidth="1"/>
    <col min="6401" max="6402" width="9.42578125" style="71" bestFit="1" customWidth="1"/>
    <col min="6403" max="6404" width="9.42578125" style="71" customWidth="1"/>
    <col min="6405" max="6405" width="10.140625" style="71" bestFit="1" customWidth="1"/>
    <col min="6406" max="6409" width="8.85546875" style="71"/>
    <col min="6410" max="6410" width="7.28515625" style="71" customWidth="1"/>
    <col min="6411" max="6413" width="7.42578125" style="71" customWidth="1"/>
    <col min="6414" max="6414" width="10.42578125" style="71" bestFit="1" customWidth="1"/>
    <col min="6415" max="6415" width="12" style="71" bestFit="1" customWidth="1"/>
    <col min="6416" max="6416" width="11" style="71" bestFit="1" customWidth="1"/>
    <col min="6417" max="6418" width="11" style="71" customWidth="1"/>
    <col min="6419" max="6419" width="10" style="71" bestFit="1" customWidth="1"/>
    <col min="6420" max="6420" width="14.42578125" style="71" bestFit="1" customWidth="1"/>
    <col min="6421" max="6431" width="0" style="71" hidden="1" customWidth="1"/>
    <col min="6432" max="6652" width="8.85546875" style="71"/>
    <col min="6653" max="6653" width="54.140625" style="71" bestFit="1" customWidth="1"/>
    <col min="6654" max="6654" width="14.7109375" style="71" customWidth="1"/>
    <col min="6655" max="6655" width="10.140625" style="71" customWidth="1"/>
    <col min="6656" max="6656" width="10.42578125" style="71" bestFit="1" customWidth="1"/>
    <col min="6657" max="6658" width="9.42578125" style="71" bestFit="1" customWidth="1"/>
    <col min="6659" max="6660" width="9.42578125" style="71" customWidth="1"/>
    <col min="6661" max="6661" width="10.140625" style="71" bestFit="1" customWidth="1"/>
    <col min="6662" max="6665" width="8.85546875" style="71"/>
    <col min="6666" max="6666" width="7.28515625" style="71" customWidth="1"/>
    <col min="6667" max="6669" width="7.42578125" style="71" customWidth="1"/>
    <col min="6670" max="6670" width="10.42578125" style="71" bestFit="1" customWidth="1"/>
    <col min="6671" max="6671" width="12" style="71" bestFit="1" customWidth="1"/>
    <col min="6672" max="6672" width="11" style="71" bestFit="1" customWidth="1"/>
    <col min="6673" max="6674" width="11" style="71" customWidth="1"/>
    <col min="6675" max="6675" width="10" style="71" bestFit="1" customWidth="1"/>
    <col min="6676" max="6676" width="14.42578125" style="71" bestFit="1" customWidth="1"/>
    <col min="6677" max="6687" width="0" style="71" hidden="1" customWidth="1"/>
    <col min="6688" max="6908" width="8.85546875" style="71"/>
    <col min="6909" max="6909" width="54.140625" style="71" bestFit="1" customWidth="1"/>
    <col min="6910" max="6910" width="14.7109375" style="71" customWidth="1"/>
    <col min="6911" max="6911" width="10.140625" style="71" customWidth="1"/>
    <col min="6912" max="6912" width="10.42578125" style="71" bestFit="1" customWidth="1"/>
    <col min="6913" max="6914" width="9.42578125" style="71" bestFit="1" customWidth="1"/>
    <col min="6915" max="6916" width="9.42578125" style="71" customWidth="1"/>
    <col min="6917" max="6917" width="10.140625" style="71" bestFit="1" customWidth="1"/>
    <col min="6918" max="6921" width="8.85546875" style="71"/>
    <col min="6922" max="6922" width="7.28515625" style="71" customWidth="1"/>
    <col min="6923" max="6925" width="7.42578125" style="71" customWidth="1"/>
    <col min="6926" max="6926" width="10.42578125" style="71" bestFit="1" customWidth="1"/>
    <col min="6927" max="6927" width="12" style="71" bestFit="1" customWidth="1"/>
    <col min="6928" max="6928" width="11" style="71" bestFit="1" customWidth="1"/>
    <col min="6929" max="6930" width="11" style="71" customWidth="1"/>
    <col min="6931" max="6931" width="10" style="71" bestFit="1" customWidth="1"/>
    <col min="6932" max="6932" width="14.42578125" style="71" bestFit="1" customWidth="1"/>
    <col min="6933" max="6943" width="0" style="71" hidden="1" customWidth="1"/>
    <col min="6944" max="7164" width="8.85546875" style="71"/>
    <col min="7165" max="7165" width="54.140625" style="71" bestFit="1" customWidth="1"/>
    <col min="7166" max="7166" width="14.7109375" style="71" customWidth="1"/>
    <col min="7167" max="7167" width="10.140625" style="71" customWidth="1"/>
    <col min="7168" max="7168" width="10.42578125" style="71" bestFit="1" customWidth="1"/>
    <col min="7169" max="7170" width="9.42578125" style="71" bestFit="1" customWidth="1"/>
    <col min="7171" max="7172" width="9.42578125" style="71" customWidth="1"/>
    <col min="7173" max="7173" width="10.140625" style="71" bestFit="1" customWidth="1"/>
    <col min="7174" max="7177" width="8.85546875" style="71"/>
    <col min="7178" max="7178" width="7.28515625" style="71" customWidth="1"/>
    <col min="7179" max="7181" width="7.42578125" style="71" customWidth="1"/>
    <col min="7182" max="7182" width="10.42578125" style="71" bestFit="1" customWidth="1"/>
    <col min="7183" max="7183" width="12" style="71" bestFit="1" customWidth="1"/>
    <col min="7184" max="7184" width="11" style="71" bestFit="1" customWidth="1"/>
    <col min="7185" max="7186" width="11" style="71" customWidth="1"/>
    <col min="7187" max="7187" width="10" style="71" bestFit="1" customWidth="1"/>
    <col min="7188" max="7188" width="14.42578125" style="71" bestFit="1" customWidth="1"/>
    <col min="7189" max="7199" width="0" style="71" hidden="1" customWidth="1"/>
    <col min="7200" max="7420" width="8.85546875" style="71"/>
    <col min="7421" max="7421" width="54.140625" style="71" bestFit="1" customWidth="1"/>
    <col min="7422" max="7422" width="14.7109375" style="71" customWidth="1"/>
    <col min="7423" max="7423" width="10.140625" style="71" customWidth="1"/>
    <col min="7424" max="7424" width="10.42578125" style="71" bestFit="1" customWidth="1"/>
    <col min="7425" max="7426" width="9.42578125" style="71" bestFit="1" customWidth="1"/>
    <col min="7427" max="7428" width="9.42578125" style="71" customWidth="1"/>
    <col min="7429" max="7429" width="10.140625" style="71" bestFit="1" customWidth="1"/>
    <col min="7430" max="7433" width="8.85546875" style="71"/>
    <col min="7434" max="7434" width="7.28515625" style="71" customWidth="1"/>
    <col min="7435" max="7437" width="7.42578125" style="71" customWidth="1"/>
    <col min="7438" max="7438" width="10.42578125" style="71" bestFit="1" customWidth="1"/>
    <col min="7439" max="7439" width="12" style="71" bestFit="1" customWidth="1"/>
    <col min="7440" max="7440" width="11" style="71" bestFit="1" customWidth="1"/>
    <col min="7441" max="7442" width="11" style="71" customWidth="1"/>
    <col min="7443" max="7443" width="10" style="71" bestFit="1" customWidth="1"/>
    <col min="7444" max="7444" width="14.42578125" style="71" bestFit="1" customWidth="1"/>
    <col min="7445" max="7455" width="0" style="71" hidden="1" customWidth="1"/>
    <col min="7456" max="7676" width="8.85546875" style="71"/>
    <col min="7677" max="7677" width="54.140625" style="71" bestFit="1" customWidth="1"/>
    <col min="7678" max="7678" width="14.7109375" style="71" customWidth="1"/>
    <col min="7679" max="7679" width="10.140625" style="71" customWidth="1"/>
    <col min="7680" max="7680" width="10.42578125" style="71" bestFit="1" customWidth="1"/>
    <col min="7681" max="7682" width="9.42578125" style="71" bestFit="1" customWidth="1"/>
    <col min="7683" max="7684" width="9.42578125" style="71" customWidth="1"/>
    <col min="7685" max="7685" width="10.140625" style="71" bestFit="1" customWidth="1"/>
    <col min="7686" max="7689" width="8.85546875" style="71"/>
    <col min="7690" max="7690" width="7.28515625" style="71" customWidth="1"/>
    <col min="7691" max="7693" width="7.42578125" style="71" customWidth="1"/>
    <col min="7694" max="7694" width="10.42578125" style="71" bestFit="1" customWidth="1"/>
    <col min="7695" max="7695" width="12" style="71" bestFit="1" customWidth="1"/>
    <col min="7696" max="7696" width="11" style="71" bestFit="1" customWidth="1"/>
    <col min="7697" max="7698" width="11" style="71" customWidth="1"/>
    <col min="7699" max="7699" width="10" style="71" bestFit="1" customWidth="1"/>
    <col min="7700" max="7700" width="14.42578125" style="71" bestFit="1" customWidth="1"/>
    <col min="7701" max="7711" width="0" style="71" hidden="1" customWidth="1"/>
    <col min="7712" max="7932" width="8.85546875" style="71"/>
    <col min="7933" max="7933" width="54.140625" style="71" bestFit="1" customWidth="1"/>
    <col min="7934" max="7934" width="14.7109375" style="71" customWidth="1"/>
    <col min="7935" max="7935" width="10.140625" style="71" customWidth="1"/>
    <col min="7936" max="7936" width="10.42578125" style="71" bestFit="1" customWidth="1"/>
    <col min="7937" max="7938" width="9.42578125" style="71" bestFit="1" customWidth="1"/>
    <col min="7939" max="7940" width="9.42578125" style="71" customWidth="1"/>
    <col min="7941" max="7941" width="10.140625" style="71" bestFit="1" customWidth="1"/>
    <col min="7942" max="7945" width="8.85546875" style="71"/>
    <col min="7946" max="7946" width="7.28515625" style="71" customWidth="1"/>
    <col min="7947" max="7949" width="7.42578125" style="71" customWidth="1"/>
    <col min="7950" max="7950" width="10.42578125" style="71" bestFit="1" customWidth="1"/>
    <col min="7951" max="7951" width="12" style="71" bestFit="1" customWidth="1"/>
    <col min="7952" max="7952" width="11" style="71" bestFit="1" customWidth="1"/>
    <col min="7953" max="7954" width="11" style="71" customWidth="1"/>
    <col min="7955" max="7955" width="10" style="71" bestFit="1" customWidth="1"/>
    <col min="7956" max="7956" width="14.42578125" style="71" bestFit="1" customWidth="1"/>
    <col min="7957" max="7967" width="0" style="71" hidden="1" customWidth="1"/>
    <col min="7968" max="8188" width="8.85546875" style="71"/>
    <col min="8189" max="8189" width="54.140625" style="71" bestFit="1" customWidth="1"/>
    <col min="8190" max="8190" width="14.7109375" style="71" customWidth="1"/>
    <col min="8191" max="8191" width="10.140625" style="71" customWidth="1"/>
    <col min="8192" max="8192" width="10.42578125" style="71" bestFit="1" customWidth="1"/>
    <col min="8193" max="8194" width="9.42578125" style="71" bestFit="1" customWidth="1"/>
    <col min="8195" max="8196" width="9.42578125" style="71" customWidth="1"/>
    <col min="8197" max="8197" width="10.140625" style="71" bestFit="1" customWidth="1"/>
    <col min="8198" max="8201" width="8.85546875" style="71"/>
    <col min="8202" max="8202" width="7.28515625" style="71" customWidth="1"/>
    <col min="8203" max="8205" width="7.42578125" style="71" customWidth="1"/>
    <col min="8206" max="8206" width="10.42578125" style="71" bestFit="1" customWidth="1"/>
    <col min="8207" max="8207" width="12" style="71" bestFit="1" customWidth="1"/>
    <col min="8208" max="8208" width="11" style="71" bestFit="1" customWidth="1"/>
    <col min="8209" max="8210" width="11" style="71" customWidth="1"/>
    <col min="8211" max="8211" width="10" style="71" bestFit="1" customWidth="1"/>
    <col min="8212" max="8212" width="14.42578125" style="71" bestFit="1" customWidth="1"/>
    <col min="8213" max="8223" width="0" style="71" hidden="1" customWidth="1"/>
    <col min="8224" max="8444" width="8.85546875" style="71"/>
    <col min="8445" max="8445" width="54.140625" style="71" bestFit="1" customWidth="1"/>
    <col min="8446" max="8446" width="14.7109375" style="71" customWidth="1"/>
    <col min="8447" max="8447" width="10.140625" style="71" customWidth="1"/>
    <col min="8448" max="8448" width="10.42578125" style="71" bestFit="1" customWidth="1"/>
    <col min="8449" max="8450" width="9.42578125" style="71" bestFit="1" customWidth="1"/>
    <col min="8451" max="8452" width="9.42578125" style="71" customWidth="1"/>
    <col min="8453" max="8453" width="10.140625" style="71" bestFit="1" customWidth="1"/>
    <col min="8454" max="8457" width="8.85546875" style="71"/>
    <col min="8458" max="8458" width="7.28515625" style="71" customWidth="1"/>
    <col min="8459" max="8461" width="7.42578125" style="71" customWidth="1"/>
    <col min="8462" max="8462" width="10.42578125" style="71" bestFit="1" customWidth="1"/>
    <col min="8463" max="8463" width="12" style="71" bestFit="1" customWidth="1"/>
    <col min="8464" max="8464" width="11" style="71" bestFit="1" customWidth="1"/>
    <col min="8465" max="8466" width="11" style="71" customWidth="1"/>
    <col min="8467" max="8467" width="10" style="71" bestFit="1" customWidth="1"/>
    <col min="8468" max="8468" width="14.42578125" style="71" bestFit="1" customWidth="1"/>
    <col min="8469" max="8479" width="0" style="71" hidden="1" customWidth="1"/>
    <col min="8480" max="8700" width="8.85546875" style="71"/>
    <col min="8701" max="8701" width="54.140625" style="71" bestFit="1" customWidth="1"/>
    <col min="8702" max="8702" width="14.7109375" style="71" customWidth="1"/>
    <col min="8703" max="8703" width="10.140625" style="71" customWidth="1"/>
    <col min="8704" max="8704" width="10.42578125" style="71" bestFit="1" customWidth="1"/>
    <col min="8705" max="8706" width="9.42578125" style="71" bestFit="1" customWidth="1"/>
    <col min="8707" max="8708" width="9.42578125" style="71" customWidth="1"/>
    <col min="8709" max="8709" width="10.140625" style="71" bestFit="1" customWidth="1"/>
    <col min="8710" max="8713" width="8.85546875" style="71"/>
    <col min="8714" max="8714" width="7.28515625" style="71" customWidth="1"/>
    <col min="8715" max="8717" width="7.42578125" style="71" customWidth="1"/>
    <col min="8718" max="8718" width="10.42578125" style="71" bestFit="1" customWidth="1"/>
    <col min="8719" max="8719" width="12" style="71" bestFit="1" customWidth="1"/>
    <col min="8720" max="8720" width="11" style="71" bestFit="1" customWidth="1"/>
    <col min="8721" max="8722" width="11" style="71" customWidth="1"/>
    <col min="8723" max="8723" width="10" style="71" bestFit="1" customWidth="1"/>
    <col min="8724" max="8724" width="14.42578125" style="71" bestFit="1" customWidth="1"/>
    <col min="8725" max="8735" width="0" style="71" hidden="1" customWidth="1"/>
    <col min="8736" max="8956" width="8.85546875" style="71"/>
    <col min="8957" max="8957" width="54.140625" style="71" bestFit="1" customWidth="1"/>
    <col min="8958" max="8958" width="14.7109375" style="71" customWidth="1"/>
    <col min="8959" max="8959" width="10.140625" style="71" customWidth="1"/>
    <col min="8960" max="8960" width="10.42578125" style="71" bestFit="1" customWidth="1"/>
    <col min="8961" max="8962" width="9.42578125" style="71" bestFit="1" customWidth="1"/>
    <col min="8963" max="8964" width="9.42578125" style="71" customWidth="1"/>
    <col min="8965" max="8965" width="10.140625" style="71" bestFit="1" customWidth="1"/>
    <col min="8966" max="8969" width="8.85546875" style="71"/>
    <col min="8970" max="8970" width="7.28515625" style="71" customWidth="1"/>
    <col min="8971" max="8973" width="7.42578125" style="71" customWidth="1"/>
    <col min="8974" max="8974" width="10.42578125" style="71" bestFit="1" customWidth="1"/>
    <col min="8975" max="8975" width="12" style="71" bestFit="1" customWidth="1"/>
    <col min="8976" max="8976" width="11" style="71" bestFit="1" customWidth="1"/>
    <col min="8977" max="8978" width="11" style="71" customWidth="1"/>
    <col min="8979" max="8979" width="10" style="71" bestFit="1" customWidth="1"/>
    <col min="8980" max="8980" width="14.42578125" style="71" bestFit="1" customWidth="1"/>
    <col min="8981" max="8991" width="0" style="71" hidden="1" customWidth="1"/>
    <col min="8992" max="9212" width="8.85546875" style="71"/>
    <col min="9213" max="9213" width="54.140625" style="71" bestFit="1" customWidth="1"/>
    <col min="9214" max="9214" width="14.7109375" style="71" customWidth="1"/>
    <col min="9215" max="9215" width="10.140625" style="71" customWidth="1"/>
    <col min="9216" max="9216" width="10.42578125" style="71" bestFit="1" customWidth="1"/>
    <col min="9217" max="9218" width="9.42578125" style="71" bestFit="1" customWidth="1"/>
    <col min="9219" max="9220" width="9.42578125" style="71" customWidth="1"/>
    <col min="9221" max="9221" width="10.140625" style="71" bestFit="1" customWidth="1"/>
    <col min="9222" max="9225" width="8.85546875" style="71"/>
    <col min="9226" max="9226" width="7.28515625" style="71" customWidth="1"/>
    <col min="9227" max="9229" width="7.42578125" style="71" customWidth="1"/>
    <col min="9230" max="9230" width="10.42578125" style="71" bestFit="1" customWidth="1"/>
    <col min="9231" max="9231" width="12" style="71" bestFit="1" customWidth="1"/>
    <col min="9232" max="9232" width="11" style="71" bestFit="1" customWidth="1"/>
    <col min="9233" max="9234" width="11" style="71" customWidth="1"/>
    <col min="9235" max="9235" width="10" style="71" bestFit="1" customWidth="1"/>
    <col min="9236" max="9236" width="14.42578125" style="71" bestFit="1" customWidth="1"/>
    <col min="9237" max="9247" width="0" style="71" hidden="1" customWidth="1"/>
    <col min="9248" max="9468" width="8.85546875" style="71"/>
    <col min="9469" max="9469" width="54.140625" style="71" bestFit="1" customWidth="1"/>
    <col min="9470" max="9470" width="14.7109375" style="71" customWidth="1"/>
    <col min="9471" max="9471" width="10.140625" style="71" customWidth="1"/>
    <col min="9472" max="9472" width="10.42578125" style="71" bestFit="1" customWidth="1"/>
    <col min="9473" max="9474" width="9.42578125" style="71" bestFit="1" customWidth="1"/>
    <col min="9475" max="9476" width="9.42578125" style="71" customWidth="1"/>
    <col min="9477" max="9477" width="10.140625" style="71" bestFit="1" customWidth="1"/>
    <col min="9478" max="9481" width="8.85546875" style="71"/>
    <col min="9482" max="9482" width="7.28515625" style="71" customWidth="1"/>
    <col min="9483" max="9485" width="7.42578125" style="71" customWidth="1"/>
    <col min="9486" max="9486" width="10.42578125" style="71" bestFit="1" customWidth="1"/>
    <col min="9487" max="9487" width="12" style="71" bestFit="1" customWidth="1"/>
    <col min="9488" max="9488" width="11" style="71" bestFit="1" customWidth="1"/>
    <col min="9489" max="9490" width="11" style="71" customWidth="1"/>
    <col min="9491" max="9491" width="10" style="71" bestFit="1" customWidth="1"/>
    <col min="9492" max="9492" width="14.42578125" style="71" bestFit="1" customWidth="1"/>
    <col min="9493" max="9503" width="0" style="71" hidden="1" customWidth="1"/>
    <col min="9504" max="9724" width="8.85546875" style="71"/>
    <col min="9725" max="9725" width="54.140625" style="71" bestFit="1" customWidth="1"/>
    <col min="9726" max="9726" width="14.7109375" style="71" customWidth="1"/>
    <col min="9727" max="9727" width="10.140625" style="71" customWidth="1"/>
    <col min="9728" max="9728" width="10.42578125" style="71" bestFit="1" customWidth="1"/>
    <col min="9729" max="9730" width="9.42578125" style="71" bestFit="1" customWidth="1"/>
    <col min="9731" max="9732" width="9.42578125" style="71" customWidth="1"/>
    <col min="9733" max="9733" width="10.140625" style="71" bestFit="1" customWidth="1"/>
    <col min="9734" max="9737" width="8.85546875" style="71"/>
    <col min="9738" max="9738" width="7.28515625" style="71" customWidth="1"/>
    <col min="9739" max="9741" width="7.42578125" style="71" customWidth="1"/>
    <col min="9742" max="9742" width="10.42578125" style="71" bestFit="1" customWidth="1"/>
    <col min="9743" max="9743" width="12" style="71" bestFit="1" customWidth="1"/>
    <col min="9744" max="9744" width="11" style="71" bestFit="1" customWidth="1"/>
    <col min="9745" max="9746" width="11" style="71" customWidth="1"/>
    <col min="9747" max="9747" width="10" style="71" bestFit="1" customWidth="1"/>
    <col min="9748" max="9748" width="14.42578125" style="71" bestFit="1" customWidth="1"/>
    <col min="9749" max="9759" width="0" style="71" hidden="1" customWidth="1"/>
    <col min="9760" max="9980" width="8.85546875" style="71"/>
    <col min="9981" max="9981" width="54.140625" style="71" bestFit="1" customWidth="1"/>
    <col min="9982" max="9982" width="14.7109375" style="71" customWidth="1"/>
    <col min="9983" max="9983" width="10.140625" style="71" customWidth="1"/>
    <col min="9984" max="9984" width="10.42578125" style="71" bestFit="1" customWidth="1"/>
    <col min="9985" max="9986" width="9.42578125" style="71" bestFit="1" customWidth="1"/>
    <col min="9987" max="9988" width="9.42578125" style="71" customWidth="1"/>
    <col min="9989" max="9989" width="10.140625" style="71" bestFit="1" customWidth="1"/>
    <col min="9990" max="9993" width="8.85546875" style="71"/>
    <col min="9994" max="9994" width="7.28515625" style="71" customWidth="1"/>
    <col min="9995" max="9997" width="7.42578125" style="71" customWidth="1"/>
    <col min="9998" max="9998" width="10.42578125" style="71" bestFit="1" customWidth="1"/>
    <col min="9999" max="9999" width="12" style="71" bestFit="1" customWidth="1"/>
    <col min="10000" max="10000" width="11" style="71" bestFit="1" customWidth="1"/>
    <col min="10001" max="10002" width="11" style="71" customWidth="1"/>
    <col min="10003" max="10003" width="10" style="71" bestFit="1" customWidth="1"/>
    <col min="10004" max="10004" width="14.42578125" style="71" bestFit="1" customWidth="1"/>
    <col min="10005" max="10015" width="0" style="71" hidden="1" customWidth="1"/>
    <col min="10016" max="10236" width="8.85546875" style="71"/>
    <col min="10237" max="10237" width="54.140625" style="71" bestFit="1" customWidth="1"/>
    <col min="10238" max="10238" width="14.7109375" style="71" customWidth="1"/>
    <col min="10239" max="10239" width="10.140625" style="71" customWidth="1"/>
    <col min="10240" max="10240" width="10.42578125" style="71" bestFit="1" customWidth="1"/>
    <col min="10241" max="10242" width="9.42578125" style="71" bestFit="1" customWidth="1"/>
    <col min="10243" max="10244" width="9.42578125" style="71" customWidth="1"/>
    <col min="10245" max="10245" width="10.140625" style="71" bestFit="1" customWidth="1"/>
    <col min="10246" max="10249" width="8.85546875" style="71"/>
    <col min="10250" max="10250" width="7.28515625" style="71" customWidth="1"/>
    <col min="10251" max="10253" width="7.42578125" style="71" customWidth="1"/>
    <col min="10254" max="10254" width="10.42578125" style="71" bestFit="1" customWidth="1"/>
    <col min="10255" max="10255" width="12" style="71" bestFit="1" customWidth="1"/>
    <col min="10256" max="10256" width="11" style="71" bestFit="1" customWidth="1"/>
    <col min="10257" max="10258" width="11" style="71" customWidth="1"/>
    <col min="10259" max="10259" width="10" style="71" bestFit="1" customWidth="1"/>
    <col min="10260" max="10260" width="14.42578125" style="71" bestFit="1" customWidth="1"/>
    <col min="10261" max="10271" width="0" style="71" hidden="1" customWidth="1"/>
    <col min="10272" max="10492" width="8.85546875" style="71"/>
    <col min="10493" max="10493" width="54.140625" style="71" bestFit="1" customWidth="1"/>
    <col min="10494" max="10494" width="14.7109375" style="71" customWidth="1"/>
    <col min="10495" max="10495" width="10.140625" style="71" customWidth="1"/>
    <col min="10496" max="10496" width="10.42578125" style="71" bestFit="1" customWidth="1"/>
    <col min="10497" max="10498" width="9.42578125" style="71" bestFit="1" customWidth="1"/>
    <col min="10499" max="10500" width="9.42578125" style="71" customWidth="1"/>
    <col min="10501" max="10501" width="10.140625" style="71" bestFit="1" customWidth="1"/>
    <col min="10502" max="10505" width="8.85546875" style="71"/>
    <col min="10506" max="10506" width="7.28515625" style="71" customWidth="1"/>
    <col min="10507" max="10509" width="7.42578125" style="71" customWidth="1"/>
    <col min="10510" max="10510" width="10.42578125" style="71" bestFit="1" customWidth="1"/>
    <col min="10511" max="10511" width="12" style="71" bestFit="1" customWidth="1"/>
    <col min="10512" max="10512" width="11" style="71" bestFit="1" customWidth="1"/>
    <col min="10513" max="10514" width="11" style="71" customWidth="1"/>
    <col min="10515" max="10515" width="10" style="71" bestFit="1" customWidth="1"/>
    <col min="10516" max="10516" width="14.42578125" style="71" bestFit="1" customWidth="1"/>
    <col min="10517" max="10527" width="0" style="71" hidden="1" customWidth="1"/>
    <col min="10528" max="10748" width="8.85546875" style="71"/>
    <col min="10749" max="10749" width="54.140625" style="71" bestFit="1" customWidth="1"/>
    <col min="10750" max="10750" width="14.7109375" style="71" customWidth="1"/>
    <col min="10751" max="10751" width="10.140625" style="71" customWidth="1"/>
    <col min="10752" max="10752" width="10.42578125" style="71" bestFit="1" customWidth="1"/>
    <col min="10753" max="10754" width="9.42578125" style="71" bestFit="1" customWidth="1"/>
    <col min="10755" max="10756" width="9.42578125" style="71" customWidth="1"/>
    <col min="10757" max="10757" width="10.140625" style="71" bestFit="1" customWidth="1"/>
    <col min="10758" max="10761" width="8.85546875" style="71"/>
    <col min="10762" max="10762" width="7.28515625" style="71" customWidth="1"/>
    <col min="10763" max="10765" width="7.42578125" style="71" customWidth="1"/>
    <col min="10766" max="10766" width="10.42578125" style="71" bestFit="1" customWidth="1"/>
    <col min="10767" max="10767" width="12" style="71" bestFit="1" customWidth="1"/>
    <col min="10768" max="10768" width="11" style="71" bestFit="1" customWidth="1"/>
    <col min="10769" max="10770" width="11" style="71" customWidth="1"/>
    <col min="10771" max="10771" width="10" style="71" bestFit="1" customWidth="1"/>
    <col min="10772" max="10772" width="14.42578125" style="71" bestFit="1" customWidth="1"/>
    <col min="10773" max="10783" width="0" style="71" hidden="1" customWidth="1"/>
    <col min="10784" max="11004" width="8.85546875" style="71"/>
    <col min="11005" max="11005" width="54.140625" style="71" bestFit="1" customWidth="1"/>
    <col min="11006" max="11006" width="14.7109375" style="71" customWidth="1"/>
    <col min="11007" max="11007" width="10.140625" style="71" customWidth="1"/>
    <col min="11008" max="11008" width="10.42578125" style="71" bestFit="1" customWidth="1"/>
    <col min="11009" max="11010" width="9.42578125" style="71" bestFit="1" customWidth="1"/>
    <col min="11011" max="11012" width="9.42578125" style="71" customWidth="1"/>
    <col min="11013" max="11013" width="10.140625" style="71" bestFit="1" customWidth="1"/>
    <col min="11014" max="11017" width="8.85546875" style="71"/>
    <col min="11018" max="11018" width="7.28515625" style="71" customWidth="1"/>
    <col min="11019" max="11021" width="7.42578125" style="71" customWidth="1"/>
    <col min="11022" max="11022" width="10.42578125" style="71" bestFit="1" customWidth="1"/>
    <col min="11023" max="11023" width="12" style="71" bestFit="1" customWidth="1"/>
    <col min="11024" max="11024" width="11" style="71" bestFit="1" customWidth="1"/>
    <col min="11025" max="11026" width="11" style="71" customWidth="1"/>
    <col min="11027" max="11027" width="10" style="71" bestFit="1" customWidth="1"/>
    <col min="11028" max="11028" width="14.42578125" style="71" bestFit="1" customWidth="1"/>
    <col min="11029" max="11039" width="0" style="71" hidden="1" customWidth="1"/>
    <col min="11040" max="11260" width="8.85546875" style="71"/>
    <col min="11261" max="11261" width="54.140625" style="71" bestFit="1" customWidth="1"/>
    <col min="11262" max="11262" width="14.7109375" style="71" customWidth="1"/>
    <col min="11263" max="11263" width="10.140625" style="71" customWidth="1"/>
    <col min="11264" max="11264" width="10.42578125" style="71" bestFit="1" customWidth="1"/>
    <col min="11265" max="11266" width="9.42578125" style="71" bestFit="1" customWidth="1"/>
    <col min="11267" max="11268" width="9.42578125" style="71" customWidth="1"/>
    <col min="11269" max="11269" width="10.140625" style="71" bestFit="1" customWidth="1"/>
    <col min="11270" max="11273" width="8.85546875" style="71"/>
    <col min="11274" max="11274" width="7.28515625" style="71" customWidth="1"/>
    <col min="11275" max="11277" width="7.42578125" style="71" customWidth="1"/>
    <col min="11278" max="11278" width="10.42578125" style="71" bestFit="1" customWidth="1"/>
    <col min="11279" max="11279" width="12" style="71" bestFit="1" customWidth="1"/>
    <col min="11280" max="11280" width="11" style="71" bestFit="1" customWidth="1"/>
    <col min="11281" max="11282" width="11" style="71" customWidth="1"/>
    <col min="11283" max="11283" width="10" style="71" bestFit="1" customWidth="1"/>
    <col min="11284" max="11284" width="14.42578125" style="71" bestFit="1" customWidth="1"/>
    <col min="11285" max="11295" width="0" style="71" hidden="1" customWidth="1"/>
    <col min="11296" max="11516" width="8.85546875" style="71"/>
    <col min="11517" max="11517" width="54.140625" style="71" bestFit="1" customWidth="1"/>
    <col min="11518" max="11518" width="14.7109375" style="71" customWidth="1"/>
    <col min="11519" max="11519" width="10.140625" style="71" customWidth="1"/>
    <col min="11520" max="11520" width="10.42578125" style="71" bestFit="1" customWidth="1"/>
    <col min="11521" max="11522" width="9.42578125" style="71" bestFit="1" customWidth="1"/>
    <col min="11523" max="11524" width="9.42578125" style="71" customWidth="1"/>
    <col min="11525" max="11525" width="10.140625" style="71" bestFit="1" customWidth="1"/>
    <col min="11526" max="11529" width="8.85546875" style="71"/>
    <col min="11530" max="11530" width="7.28515625" style="71" customWidth="1"/>
    <col min="11531" max="11533" width="7.42578125" style="71" customWidth="1"/>
    <col min="11534" max="11534" width="10.42578125" style="71" bestFit="1" customWidth="1"/>
    <col min="11535" max="11535" width="12" style="71" bestFit="1" customWidth="1"/>
    <col min="11536" max="11536" width="11" style="71" bestFit="1" customWidth="1"/>
    <col min="11537" max="11538" width="11" style="71" customWidth="1"/>
    <col min="11539" max="11539" width="10" style="71" bestFit="1" customWidth="1"/>
    <col min="11540" max="11540" width="14.42578125" style="71" bestFit="1" customWidth="1"/>
    <col min="11541" max="11551" width="0" style="71" hidden="1" customWidth="1"/>
    <col min="11552" max="11772" width="8.85546875" style="71"/>
    <col min="11773" max="11773" width="54.140625" style="71" bestFit="1" customWidth="1"/>
    <col min="11774" max="11774" width="14.7109375" style="71" customWidth="1"/>
    <col min="11775" max="11775" width="10.140625" style="71" customWidth="1"/>
    <col min="11776" max="11776" width="10.42578125" style="71" bestFit="1" customWidth="1"/>
    <col min="11777" max="11778" width="9.42578125" style="71" bestFit="1" customWidth="1"/>
    <col min="11779" max="11780" width="9.42578125" style="71" customWidth="1"/>
    <col min="11781" max="11781" width="10.140625" style="71" bestFit="1" customWidth="1"/>
    <col min="11782" max="11785" width="8.85546875" style="71"/>
    <col min="11786" max="11786" width="7.28515625" style="71" customWidth="1"/>
    <col min="11787" max="11789" width="7.42578125" style="71" customWidth="1"/>
    <col min="11790" max="11790" width="10.42578125" style="71" bestFit="1" customWidth="1"/>
    <col min="11791" max="11791" width="12" style="71" bestFit="1" customWidth="1"/>
    <col min="11792" max="11792" width="11" style="71" bestFit="1" customWidth="1"/>
    <col min="11793" max="11794" width="11" style="71" customWidth="1"/>
    <col min="11795" max="11795" width="10" style="71" bestFit="1" customWidth="1"/>
    <col min="11796" max="11796" width="14.42578125" style="71" bestFit="1" customWidth="1"/>
    <col min="11797" max="11807" width="0" style="71" hidden="1" customWidth="1"/>
    <col min="11808" max="12028" width="8.85546875" style="71"/>
    <col min="12029" max="12029" width="54.140625" style="71" bestFit="1" customWidth="1"/>
    <col min="12030" max="12030" width="14.7109375" style="71" customWidth="1"/>
    <col min="12031" max="12031" width="10.140625" style="71" customWidth="1"/>
    <col min="12032" max="12032" width="10.42578125" style="71" bestFit="1" customWidth="1"/>
    <col min="12033" max="12034" width="9.42578125" style="71" bestFit="1" customWidth="1"/>
    <col min="12035" max="12036" width="9.42578125" style="71" customWidth="1"/>
    <col min="12037" max="12037" width="10.140625" style="71" bestFit="1" customWidth="1"/>
    <col min="12038" max="12041" width="8.85546875" style="71"/>
    <col min="12042" max="12042" width="7.28515625" style="71" customWidth="1"/>
    <col min="12043" max="12045" width="7.42578125" style="71" customWidth="1"/>
    <col min="12046" max="12046" width="10.42578125" style="71" bestFit="1" customWidth="1"/>
    <col min="12047" max="12047" width="12" style="71" bestFit="1" customWidth="1"/>
    <col min="12048" max="12048" width="11" style="71" bestFit="1" customWidth="1"/>
    <col min="12049" max="12050" width="11" style="71" customWidth="1"/>
    <col min="12051" max="12051" width="10" style="71" bestFit="1" customWidth="1"/>
    <col min="12052" max="12052" width="14.42578125" style="71" bestFit="1" customWidth="1"/>
    <col min="12053" max="12063" width="0" style="71" hidden="1" customWidth="1"/>
    <col min="12064" max="12284" width="8.85546875" style="71"/>
    <col min="12285" max="12285" width="54.140625" style="71" bestFit="1" customWidth="1"/>
    <col min="12286" max="12286" width="14.7109375" style="71" customWidth="1"/>
    <col min="12287" max="12287" width="10.140625" style="71" customWidth="1"/>
    <col min="12288" max="12288" width="10.42578125" style="71" bestFit="1" customWidth="1"/>
    <col min="12289" max="12290" width="9.42578125" style="71" bestFit="1" customWidth="1"/>
    <col min="12291" max="12292" width="9.42578125" style="71" customWidth="1"/>
    <col min="12293" max="12293" width="10.140625" style="71" bestFit="1" customWidth="1"/>
    <col min="12294" max="12297" width="8.85546875" style="71"/>
    <col min="12298" max="12298" width="7.28515625" style="71" customWidth="1"/>
    <col min="12299" max="12301" width="7.42578125" style="71" customWidth="1"/>
    <col min="12302" max="12302" width="10.42578125" style="71" bestFit="1" customWidth="1"/>
    <col min="12303" max="12303" width="12" style="71" bestFit="1" customWidth="1"/>
    <col min="12304" max="12304" width="11" style="71" bestFit="1" customWidth="1"/>
    <col min="12305" max="12306" width="11" style="71" customWidth="1"/>
    <col min="12307" max="12307" width="10" style="71" bestFit="1" customWidth="1"/>
    <col min="12308" max="12308" width="14.42578125" style="71" bestFit="1" customWidth="1"/>
    <col min="12309" max="12319" width="0" style="71" hidden="1" customWidth="1"/>
    <col min="12320" max="12540" width="8.85546875" style="71"/>
    <col min="12541" max="12541" width="54.140625" style="71" bestFit="1" customWidth="1"/>
    <col min="12542" max="12542" width="14.7109375" style="71" customWidth="1"/>
    <col min="12543" max="12543" width="10.140625" style="71" customWidth="1"/>
    <col min="12544" max="12544" width="10.42578125" style="71" bestFit="1" customWidth="1"/>
    <col min="12545" max="12546" width="9.42578125" style="71" bestFit="1" customWidth="1"/>
    <col min="12547" max="12548" width="9.42578125" style="71" customWidth="1"/>
    <col min="12549" max="12549" width="10.140625" style="71" bestFit="1" customWidth="1"/>
    <col min="12550" max="12553" width="8.85546875" style="71"/>
    <col min="12554" max="12554" width="7.28515625" style="71" customWidth="1"/>
    <col min="12555" max="12557" width="7.42578125" style="71" customWidth="1"/>
    <col min="12558" max="12558" width="10.42578125" style="71" bestFit="1" customWidth="1"/>
    <col min="12559" max="12559" width="12" style="71" bestFit="1" customWidth="1"/>
    <col min="12560" max="12560" width="11" style="71" bestFit="1" customWidth="1"/>
    <col min="12561" max="12562" width="11" style="71" customWidth="1"/>
    <col min="12563" max="12563" width="10" style="71" bestFit="1" customWidth="1"/>
    <col min="12564" max="12564" width="14.42578125" style="71" bestFit="1" customWidth="1"/>
    <col min="12565" max="12575" width="0" style="71" hidden="1" customWidth="1"/>
    <col min="12576" max="12796" width="8.85546875" style="71"/>
    <col min="12797" max="12797" width="54.140625" style="71" bestFit="1" customWidth="1"/>
    <col min="12798" max="12798" width="14.7109375" style="71" customWidth="1"/>
    <col min="12799" max="12799" width="10.140625" style="71" customWidth="1"/>
    <col min="12800" max="12800" width="10.42578125" style="71" bestFit="1" customWidth="1"/>
    <col min="12801" max="12802" width="9.42578125" style="71" bestFit="1" customWidth="1"/>
    <col min="12803" max="12804" width="9.42578125" style="71" customWidth="1"/>
    <col min="12805" max="12805" width="10.140625" style="71" bestFit="1" customWidth="1"/>
    <col min="12806" max="12809" width="8.85546875" style="71"/>
    <col min="12810" max="12810" width="7.28515625" style="71" customWidth="1"/>
    <col min="12811" max="12813" width="7.42578125" style="71" customWidth="1"/>
    <col min="12814" max="12814" width="10.42578125" style="71" bestFit="1" customWidth="1"/>
    <col min="12815" max="12815" width="12" style="71" bestFit="1" customWidth="1"/>
    <col min="12816" max="12816" width="11" style="71" bestFit="1" customWidth="1"/>
    <col min="12817" max="12818" width="11" style="71" customWidth="1"/>
    <col min="12819" max="12819" width="10" style="71" bestFit="1" customWidth="1"/>
    <col min="12820" max="12820" width="14.42578125" style="71" bestFit="1" customWidth="1"/>
    <col min="12821" max="12831" width="0" style="71" hidden="1" customWidth="1"/>
    <col min="12832" max="13052" width="8.85546875" style="71"/>
    <col min="13053" max="13053" width="54.140625" style="71" bestFit="1" customWidth="1"/>
    <col min="13054" max="13054" width="14.7109375" style="71" customWidth="1"/>
    <col min="13055" max="13055" width="10.140625" style="71" customWidth="1"/>
    <col min="13056" max="13056" width="10.42578125" style="71" bestFit="1" customWidth="1"/>
    <col min="13057" max="13058" width="9.42578125" style="71" bestFit="1" customWidth="1"/>
    <col min="13059" max="13060" width="9.42578125" style="71" customWidth="1"/>
    <col min="13061" max="13061" width="10.140625" style="71" bestFit="1" customWidth="1"/>
    <col min="13062" max="13065" width="8.85546875" style="71"/>
    <col min="13066" max="13066" width="7.28515625" style="71" customWidth="1"/>
    <col min="13067" max="13069" width="7.42578125" style="71" customWidth="1"/>
    <col min="13070" max="13070" width="10.42578125" style="71" bestFit="1" customWidth="1"/>
    <col min="13071" max="13071" width="12" style="71" bestFit="1" customWidth="1"/>
    <col min="13072" max="13072" width="11" style="71" bestFit="1" customWidth="1"/>
    <col min="13073" max="13074" width="11" style="71" customWidth="1"/>
    <col min="13075" max="13075" width="10" style="71" bestFit="1" customWidth="1"/>
    <col min="13076" max="13076" width="14.42578125" style="71" bestFit="1" customWidth="1"/>
    <col min="13077" max="13087" width="0" style="71" hidden="1" customWidth="1"/>
    <col min="13088" max="13308" width="8.85546875" style="71"/>
    <col min="13309" max="13309" width="54.140625" style="71" bestFit="1" customWidth="1"/>
    <col min="13310" max="13310" width="14.7109375" style="71" customWidth="1"/>
    <col min="13311" max="13311" width="10.140625" style="71" customWidth="1"/>
    <col min="13312" max="13312" width="10.42578125" style="71" bestFit="1" customWidth="1"/>
    <col min="13313" max="13314" width="9.42578125" style="71" bestFit="1" customWidth="1"/>
    <col min="13315" max="13316" width="9.42578125" style="71" customWidth="1"/>
    <col min="13317" max="13317" width="10.140625" style="71" bestFit="1" customWidth="1"/>
    <col min="13318" max="13321" width="8.85546875" style="71"/>
    <col min="13322" max="13322" width="7.28515625" style="71" customWidth="1"/>
    <col min="13323" max="13325" width="7.42578125" style="71" customWidth="1"/>
    <col min="13326" max="13326" width="10.42578125" style="71" bestFit="1" customWidth="1"/>
    <col min="13327" max="13327" width="12" style="71" bestFit="1" customWidth="1"/>
    <col min="13328" max="13328" width="11" style="71" bestFit="1" customWidth="1"/>
    <col min="13329" max="13330" width="11" style="71" customWidth="1"/>
    <col min="13331" max="13331" width="10" style="71" bestFit="1" customWidth="1"/>
    <col min="13332" max="13332" width="14.42578125" style="71" bestFit="1" customWidth="1"/>
    <col min="13333" max="13343" width="0" style="71" hidden="1" customWidth="1"/>
    <col min="13344" max="13564" width="8.85546875" style="71"/>
    <col min="13565" max="13565" width="54.140625" style="71" bestFit="1" customWidth="1"/>
    <col min="13566" max="13566" width="14.7109375" style="71" customWidth="1"/>
    <col min="13567" max="13567" width="10.140625" style="71" customWidth="1"/>
    <col min="13568" max="13568" width="10.42578125" style="71" bestFit="1" customWidth="1"/>
    <col min="13569" max="13570" width="9.42578125" style="71" bestFit="1" customWidth="1"/>
    <col min="13571" max="13572" width="9.42578125" style="71" customWidth="1"/>
    <col min="13573" max="13573" width="10.140625" style="71" bestFit="1" customWidth="1"/>
    <col min="13574" max="13577" width="8.85546875" style="71"/>
    <col min="13578" max="13578" width="7.28515625" style="71" customWidth="1"/>
    <col min="13579" max="13581" width="7.42578125" style="71" customWidth="1"/>
    <col min="13582" max="13582" width="10.42578125" style="71" bestFit="1" customWidth="1"/>
    <col min="13583" max="13583" width="12" style="71" bestFit="1" customWidth="1"/>
    <col min="13584" max="13584" width="11" style="71" bestFit="1" customWidth="1"/>
    <col min="13585" max="13586" width="11" style="71" customWidth="1"/>
    <col min="13587" max="13587" width="10" style="71" bestFit="1" customWidth="1"/>
    <col min="13588" max="13588" width="14.42578125" style="71" bestFit="1" customWidth="1"/>
    <col min="13589" max="13599" width="0" style="71" hidden="1" customWidth="1"/>
    <col min="13600" max="13820" width="8.85546875" style="71"/>
    <col min="13821" max="13821" width="54.140625" style="71" bestFit="1" customWidth="1"/>
    <col min="13822" max="13822" width="14.7109375" style="71" customWidth="1"/>
    <col min="13823" max="13823" width="10.140625" style="71" customWidth="1"/>
    <col min="13824" max="13824" width="10.42578125" style="71" bestFit="1" customWidth="1"/>
    <col min="13825" max="13826" width="9.42578125" style="71" bestFit="1" customWidth="1"/>
    <col min="13827" max="13828" width="9.42578125" style="71" customWidth="1"/>
    <col min="13829" max="13829" width="10.140625" style="71" bestFit="1" customWidth="1"/>
    <col min="13830" max="13833" width="8.85546875" style="71"/>
    <col min="13834" max="13834" width="7.28515625" style="71" customWidth="1"/>
    <col min="13835" max="13837" width="7.42578125" style="71" customWidth="1"/>
    <col min="13838" max="13838" width="10.42578125" style="71" bestFit="1" customWidth="1"/>
    <col min="13839" max="13839" width="12" style="71" bestFit="1" customWidth="1"/>
    <col min="13840" max="13840" width="11" style="71" bestFit="1" customWidth="1"/>
    <col min="13841" max="13842" width="11" style="71" customWidth="1"/>
    <col min="13843" max="13843" width="10" style="71" bestFit="1" customWidth="1"/>
    <col min="13844" max="13844" width="14.42578125" style="71" bestFit="1" customWidth="1"/>
    <col min="13845" max="13855" width="0" style="71" hidden="1" customWidth="1"/>
    <col min="13856" max="14076" width="8.85546875" style="71"/>
    <col min="14077" max="14077" width="54.140625" style="71" bestFit="1" customWidth="1"/>
    <col min="14078" max="14078" width="14.7109375" style="71" customWidth="1"/>
    <col min="14079" max="14079" width="10.140625" style="71" customWidth="1"/>
    <col min="14080" max="14080" width="10.42578125" style="71" bestFit="1" customWidth="1"/>
    <col min="14081" max="14082" width="9.42578125" style="71" bestFit="1" customWidth="1"/>
    <col min="14083" max="14084" width="9.42578125" style="71" customWidth="1"/>
    <col min="14085" max="14085" width="10.140625" style="71" bestFit="1" customWidth="1"/>
    <col min="14086" max="14089" width="8.85546875" style="71"/>
    <col min="14090" max="14090" width="7.28515625" style="71" customWidth="1"/>
    <col min="14091" max="14093" width="7.42578125" style="71" customWidth="1"/>
    <col min="14094" max="14094" width="10.42578125" style="71" bestFit="1" customWidth="1"/>
    <col min="14095" max="14095" width="12" style="71" bestFit="1" customWidth="1"/>
    <col min="14096" max="14096" width="11" style="71" bestFit="1" customWidth="1"/>
    <col min="14097" max="14098" width="11" style="71" customWidth="1"/>
    <col min="14099" max="14099" width="10" style="71" bestFit="1" customWidth="1"/>
    <col min="14100" max="14100" width="14.42578125" style="71" bestFit="1" customWidth="1"/>
    <col min="14101" max="14111" width="0" style="71" hidden="1" customWidth="1"/>
    <col min="14112" max="14332" width="8.85546875" style="71"/>
    <col min="14333" max="14333" width="54.140625" style="71" bestFit="1" customWidth="1"/>
    <col min="14334" max="14334" width="14.7109375" style="71" customWidth="1"/>
    <col min="14335" max="14335" width="10.140625" style="71" customWidth="1"/>
    <col min="14336" max="14336" width="10.42578125" style="71" bestFit="1" customWidth="1"/>
    <col min="14337" max="14338" width="9.42578125" style="71" bestFit="1" customWidth="1"/>
    <col min="14339" max="14340" width="9.42578125" style="71" customWidth="1"/>
    <col min="14341" max="14341" width="10.140625" style="71" bestFit="1" customWidth="1"/>
    <col min="14342" max="14345" width="8.85546875" style="71"/>
    <col min="14346" max="14346" width="7.28515625" style="71" customWidth="1"/>
    <col min="14347" max="14349" width="7.42578125" style="71" customWidth="1"/>
    <col min="14350" max="14350" width="10.42578125" style="71" bestFit="1" customWidth="1"/>
    <col min="14351" max="14351" width="12" style="71" bestFit="1" customWidth="1"/>
    <col min="14352" max="14352" width="11" style="71" bestFit="1" customWidth="1"/>
    <col min="14353" max="14354" width="11" style="71" customWidth="1"/>
    <col min="14355" max="14355" width="10" style="71" bestFit="1" customWidth="1"/>
    <col min="14356" max="14356" width="14.42578125" style="71" bestFit="1" customWidth="1"/>
    <col min="14357" max="14367" width="0" style="71" hidden="1" customWidth="1"/>
    <col min="14368" max="14588" width="8.85546875" style="71"/>
    <col min="14589" max="14589" width="54.140625" style="71" bestFit="1" customWidth="1"/>
    <col min="14590" max="14590" width="14.7109375" style="71" customWidth="1"/>
    <col min="14591" max="14591" width="10.140625" style="71" customWidth="1"/>
    <col min="14592" max="14592" width="10.42578125" style="71" bestFit="1" customWidth="1"/>
    <col min="14593" max="14594" width="9.42578125" style="71" bestFit="1" customWidth="1"/>
    <col min="14595" max="14596" width="9.42578125" style="71" customWidth="1"/>
    <col min="14597" max="14597" width="10.140625" style="71" bestFit="1" customWidth="1"/>
    <col min="14598" max="14601" width="8.85546875" style="71"/>
    <col min="14602" max="14602" width="7.28515625" style="71" customWidth="1"/>
    <col min="14603" max="14605" width="7.42578125" style="71" customWidth="1"/>
    <col min="14606" max="14606" width="10.42578125" style="71" bestFit="1" customWidth="1"/>
    <col min="14607" max="14607" width="12" style="71" bestFit="1" customWidth="1"/>
    <col min="14608" max="14608" width="11" style="71" bestFit="1" customWidth="1"/>
    <col min="14609" max="14610" width="11" style="71" customWidth="1"/>
    <col min="14611" max="14611" width="10" style="71" bestFit="1" customWidth="1"/>
    <col min="14612" max="14612" width="14.42578125" style="71" bestFit="1" customWidth="1"/>
    <col min="14613" max="14623" width="0" style="71" hidden="1" customWidth="1"/>
    <col min="14624" max="14844" width="8.85546875" style="71"/>
    <col min="14845" max="14845" width="54.140625" style="71" bestFit="1" customWidth="1"/>
    <col min="14846" max="14846" width="14.7109375" style="71" customWidth="1"/>
    <col min="14847" max="14847" width="10.140625" style="71" customWidth="1"/>
    <col min="14848" max="14848" width="10.42578125" style="71" bestFit="1" customWidth="1"/>
    <col min="14849" max="14850" width="9.42578125" style="71" bestFit="1" customWidth="1"/>
    <col min="14851" max="14852" width="9.42578125" style="71" customWidth="1"/>
    <col min="14853" max="14853" width="10.140625" style="71" bestFit="1" customWidth="1"/>
    <col min="14854" max="14857" width="8.85546875" style="71"/>
    <col min="14858" max="14858" width="7.28515625" style="71" customWidth="1"/>
    <col min="14859" max="14861" width="7.42578125" style="71" customWidth="1"/>
    <col min="14862" max="14862" width="10.42578125" style="71" bestFit="1" customWidth="1"/>
    <col min="14863" max="14863" width="12" style="71" bestFit="1" customWidth="1"/>
    <col min="14864" max="14864" width="11" style="71" bestFit="1" customWidth="1"/>
    <col min="14865" max="14866" width="11" style="71" customWidth="1"/>
    <col min="14867" max="14867" width="10" style="71" bestFit="1" customWidth="1"/>
    <col min="14868" max="14868" width="14.42578125" style="71" bestFit="1" customWidth="1"/>
    <col min="14869" max="14879" width="0" style="71" hidden="1" customWidth="1"/>
    <col min="14880" max="15100" width="8.85546875" style="71"/>
    <col min="15101" max="15101" width="54.140625" style="71" bestFit="1" customWidth="1"/>
    <col min="15102" max="15102" width="14.7109375" style="71" customWidth="1"/>
    <col min="15103" max="15103" width="10.140625" style="71" customWidth="1"/>
    <col min="15104" max="15104" width="10.42578125" style="71" bestFit="1" customWidth="1"/>
    <col min="15105" max="15106" width="9.42578125" style="71" bestFit="1" customWidth="1"/>
    <col min="15107" max="15108" width="9.42578125" style="71" customWidth="1"/>
    <col min="15109" max="15109" width="10.140625" style="71" bestFit="1" customWidth="1"/>
    <col min="15110" max="15113" width="8.85546875" style="71"/>
    <col min="15114" max="15114" width="7.28515625" style="71" customWidth="1"/>
    <col min="15115" max="15117" width="7.42578125" style="71" customWidth="1"/>
    <col min="15118" max="15118" width="10.42578125" style="71" bestFit="1" customWidth="1"/>
    <col min="15119" max="15119" width="12" style="71" bestFit="1" customWidth="1"/>
    <col min="15120" max="15120" width="11" style="71" bestFit="1" customWidth="1"/>
    <col min="15121" max="15122" width="11" style="71" customWidth="1"/>
    <col min="15123" max="15123" width="10" style="71" bestFit="1" customWidth="1"/>
    <col min="15124" max="15124" width="14.42578125" style="71" bestFit="1" customWidth="1"/>
    <col min="15125" max="15135" width="0" style="71" hidden="1" customWidth="1"/>
    <col min="15136" max="15356" width="8.85546875" style="71"/>
    <col min="15357" max="15357" width="54.140625" style="71" bestFit="1" customWidth="1"/>
    <col min="15358" max="15358" width="14.7109375" style="71" customWidth="1"/>
    <col min="15359" max="15359" width="10.140625" style="71" customWidth="1"/>
    <col min="15360" max="15360" width="10.42578125" style="71" bestFit="1" customWidth="1"/>
    <col min="15361" max="15362" width="9.42578125" style="71" bestFit="1" customWidth="1"/>
    <col min="15363" max="15364" width="9.42578125" style="71" customWidth="1"/>
    <col min="15365" max="15365" width="10.140625" style="71" bestFit="1" customWidth="1"/>
    <col min="15366" max="15369" width="8.85546875" style="71"/>
    <col min="15370" max="15370" width="7.28515625" style="71" customWidth="1"/>
    <col min="15371" max="15373" width="7.42578125" style="71" customWidth="1"/>
    <col min="15374" max="15374" width="10.42578125" style="71" bestFit="1" customWidth="1"/>
    <col min="15375" max="15375" width="12" style="71" bestFit="1" customWidth="1"/>
    <col min="15376" max="15376" width="11" style="71" bestFit="1" customWidth="1"/>
    <col min="15377" max="15378" width="11" style="71" customWidth="1"/>
    <col min="15379" max="15379" width="10" style="71" bestFit="1" customWidth="1"/>
    <col min="15380" max="15380" width="14.42578125" style="71" bestFit="1" customWidth="1"/>
    <col min="15381" max="15391" width="0" style="71" hidden="1" customWidth="1"/>
    <col min="15392" max="15612" width="8.85546875" style="71"/>
    <col min="15613" max="15613" width="54.140625" style="71" bestFit="1" customWidth="1"/>
    <col min="15614" max="15614" width="14.7109375" style="71" customWidth="1"/>
    <col min="15615" max="15615" width="10.140625" style="71" customWidth="1"/>
    <col min="15616" max="15616" width="10.42578125" style="71" bestFit="1" customWidth="1"/>
    <col min="15617" max="15618" width="9.42578125" style="71" bestFit="1" customWidth="1"/>
    <col min="15619" max="15620" width="9.42578125" style="71" customWidth="1"/>
    <col min="15621" max="15621" width="10.140625" style="71" bestFit="1" customWidth="1"/>
    <col min="15622" max="15625" width="8.85546875" style="71"/>
    <col min="15626" max="15626" width="7.28515625" style="71" customWidth="1"/>
    <col min="15627" max="15629" width="7.42578125" style="71" customWidth="1"/>
    <col min="15630" max="15630" width="10.42578125" style="71" bestFit="1" customWidth="1"/>
    <col min="15631" max="15631" width="12" style="71" bestFit="1" customWidth="1"/>
    <col min="15632" max="15632" width="11" style="71" bestFit="1" customWidth="1"/>
    <col min="15633" max="15634" width="11" style="71" customWidth="1"/>
    <col min="15635" max="15635" width="10" style="71" bestFit="1" customWidth="1"/>
    <col min="15636" max="15636" width="14.42578125" style="71" bestFit="1" customWidth="1"/>
    <col min="15637" max="15647" width="0" style="71" hidden="1" customWidth="1"/>
    <col min="15648" max="15868" width="8.85546875" style="71"/>
    <col min="15869" max="15869" width="54.140625" style="71" bestFit="1" customWidth="1"/>
    <col min="15870" max="15870" width="14.7109375" style="71" customWidth="1"/>
    <col min="15871" max="15871" width="10.140625" style="71" customWidth="1"/>
    <col min="15872" max="15872" width="10.42578125" style="71" bestFit="1" customWidth="1"/>
    <col min="15873" max="15874" width="9.42578125" style="71" bestFit="1" customWidth="1"/>
    <col min="15875" max="15876" width="9.42578125" style="71" customWidth="1"/>
    <col min="15877" max="15877" width="10.140625" style="71" bestFit="1" customWidth="1"/>
    <col min="15878" max="15881" width="8.85546875" style="71"/>
    <col min="15882" max="15882" width="7.28515625" style="71" customWidth="1"/>
    <col min="15883" max="15885" width="7.42578125" style="71" customWidth="1"/>
    <col min="15886" max="15886" width="10.42578125" style="71" bestFit="1" customWidth="1"/>
    <col min="15887" max="15887" width="12" style="71" bestFit="1" customWidth="1"/>
    <col min="15888" max="15888" width="11" style="71" bestFit="1" customWidth="1"/>
    <col min="15889" max="15890" width="11" style="71" customWidth="1"/>
    <col min="15891" max="15891" width="10" style="71" bestFit="1" customWidth="1"/>
    <col min="15892" max="15892" width="14.42578125" style="71" bestFit="1" customWidth="1"/>
    <col min="15893" max="15903" width="0" style="71" hidden="1" customWidth="1"/>
    <col min="15904" max="16124" width="8.85546875" style="71"/>
    <col min="16125" max="16125" width="54.140625" style="71" bestFit="1" customWidth="1"/>
    <col min="16126" max="16126" width="14.7109375" style="71" customWidth="1"/>
    <col min="16127" max="16127" width="10.140625" style="71" customWidth="1"/>
    <col min="16128" max="16128" width="10.42578125" style="71" bestFit="1" customWidth="1"/>
    <col min="16129" max="16130" width="9.42578125" style="71" bestFit="1" customWidth="1"/>
    <col min="16131" max="16132" width="9.42578125" style="71" customWidth="1"/>
    <col min="16133" max="16133" width="10.140625" style="71" bestFit="1" customWidth="1"/>
    <col min="16134" max="16137" width="8.85546875" style="71"/>
    <col min="16138" max="16138" width="7.28515625" style="71" customWidth="1"/>
    <col min="16139" max="16141" width="7.42578125" style="71" customWidth="1"/>
    <col min="16142" max="16142" width="10.42578125" style="71" bestFit="1" customWidth="1"/>
    <col min="16143" max="16143" width="12" style="71" bestFit="1" customWidth="1"/>
    <col min="16144" max="16144" width="11" style="71" bestFit="1" customWidth="1"/>
    <col min="16145" max="16146" width="11" style="71" customWidth="1"/>
    <col min="16147" max="16147" width="10" style="71" bestFit="1" customWidth="1"/>
    <col min="16148" max="16148" width="14.42578125" style="71" bestFit="1" customWidth="1"/>
    <col min="16149" max="16159" width="0" style="71" hidden="1" customWidth="1"/>
    <col min="16160" max="16384" width="8.85546875" style="71"/>
  </cols>
  <sheetData>
    <row r="1" spans="1:38" s="66" customFormat="1" ht="45.75" customHeight="1" x14ac:dyDescent="0.25">
      <c r="A1" s="63" t="s">
        <v>135</v>
      </c>
      <c r="B1" s="203">
        <v>45352</v>
      </c>
      <c r="C1" s="204"/>
      <c r="D1" s="204"/>
      <c r="E1" s="204"/>
      <c r="F1" s="204"/>
      <c r="G1" s="204"/>
      <c r="H1" s="204"/>
      <c r="I1" s="204"/>
      <c r="J1" s="204"/>
      <c r="K1" s="205"/>
      <c r="L1" s="64"/>
      <c r="M1" s="64"/>
      <c r="N1" s="64"/>
      <c r="O1" s="64"/>
      <c r="P1" s="64"/>
      <c r="Q1" s="64"/>
      <c r="R1" s="64"/>
      <c r="S1" s="64"/>
      <c r="T1" s="64"/>
      <c r="U1" s="64"/>
      <c r="V1" s="64"/>
      <c r="W1" s="65"/>
      <c r="X1" s="65"/>
    </row>
    <row r="2" spans="1:38" ht="96" customHeight="1" x14ac:dyDescent="0.2">
      <c r="A2" s="67" t="s">
        <v>211</v>
      </c>
      <c r="B2" s="206"/>
      <c r="C2" s="207"/>
      <c r="D2" s="207"/>
      <c r="E2" s="207"/>
      <c r="F2" s="207"/>
      <c r="G2" s="207"/>
      <c r="H2" s="207"/>
      <c r="I2" s="207"/>
      <c r="J2" s="207"/>
      <c r="K2" s="208"/>
      <c r="L2" s="68"/>
      <c r="M2" s="68"/>
      <c r="N2" s="69"/>
      <c r="O2" s="69"/>
      <c r="P2" s="69"/>
      <c r="Q2" s="69"/>
      <c r="R2" s="69"/>
      <c r="S2" s="69"/>
      <c r="T2" s="69"/>
      <c r="U2" s="69"/>
      <c r="V2" s="69"/>
      <c r="W2" s="70"/>
      <c r="X2" s="70"/>
    </row>
    <row r="3" spans="1:38" ht="28.5" customHeight="1" x14ac:dyDescent="0.2">
      <c r="A3" s="209" t="s">
        <v>212</v>
      </c>
      <c r="B3" s="209"/>
      <c r="C3" s="209"/>
      <c r="D3" s="209"/>
      <c r="E3" s="209"/>
      <c r="F3" s="209"/>
      <c r="G3" s="209"/>
      <c r="H3" s="209"/>
      <c r="I3" s="209"/>
      <c r="J3" s="209"/>
      <c r="K3" s="209"/>
      <c r="L3" s="73"/>
      <c r="M3" s="73"/>
      <c r="N3" s="74"/>
      <c r="O3" s="74"/>
      <c r="P3" s="74"/>
      <c r="Q3" s="74"/>
      <c r="R3" s="74"/>
      <c r="S3" s="74"/>
      <c r="T3" s="74"/>
      <c r="U3" s="74"/>
      <c r="V3" s="74"/>
      <c r="W3" s="70"/>
      <c r="X3" s="70"/>
    </row>
    <row r="4" spans="1:38" x14ac:dyDescent="0.2">
      <c r="A4" s="209" t="s">
        <v>213</v>
      </c>
      <c r="B4" s="209"/>
      <c r="C4" s="209"/>
      <c r="D4" s="209"/>
      <c r="E4" s="209"/>
      <c r="F4" s="209"/>
      <c r="G4" s="209"/>
      <c r="H4" s="209"/>
      <c r="I4" s="209"/>
      <c r="J4" s="209"/>
      <c r="K4" s="209"/>
      <c r="L4" s="75"/>
      <c r="M4" s="75"/>
      <c r="N4" s="74"/>
      <c r="O4" s="74"/>
      <c r="P4" s="74"/>
      <c r="Q4" s="74"/>
      <c r="R4" s="74"/>
    </row>
    <row r="5" spans="1:38" x14ac:dyDescent="0.2">
      <c r="A5" s="209"/>
      <c r="B5" s="209"/>
      <c r="C5" s="209"/>
      <c r="D5" s="209"/>
      <c r="E5" s="209"/>
      <c r="F5" s="209"/>
      <c r="G5" s="209"/>
      <c r="H5" s="209"/>
      <c r="I5" s="209"/>
      <c r="J5" s="209"/>
      <c r="K5" s="209"/>
      <c r="L5" s="64"/>
      <c r="M5" s="64"/>
      <c r="N5" s="76"/>
      <c r="O5" s="76"/>
      <c r="P5" s="76"/>
      <c r="Q5" s="76"/>
      <c r="R5" s="76"/>
      <c r="S5" s="76"/>
      <c r="T5" s="76"/>
      <c r="U5" s="76"/>
      <c r="V5" s="76"/>
      <c r="W5" s="70"/>
      <c r="X5" s="70"/>
    </row>
    <row r="6" spans="1:38" x14ac:dyDescent="0.2">
      <c r="A6" s="64"/>
      <c r="B6" s="64"/>
      <c r="C6" s="64"/>
      <c r="D6" s="64"/>
      <c r="E6" s="64"/>
      <c r="F6" s="64"/>
      <c r="G6" s="64"/>
      <c r="H6" s="64"/>
      <c r="I6" s="64"/>
      <c r="J6" s="64"/>
      <c r="K6" s="64"/>
      <c r="L6" s="64"/>
      <c r="M6" s="64"/>
      <c r="N6" s="76"/>
      <c r="O6" s="76"/>
      <c r="P6" s="76"/>
      <c r="Q6" s="76"/>
      <c r="R6" s="76"/>
      <c r="S6" s="76"/>
      <c r="T6" s="76"/>
      <c r="U6" s="76"/>
      <c r="V6" s="76"/>
      <c r="W6" s="210"/>
      <c r="X6" s="210"/>
    </row>
    <row r="7" spans="1:38" ht="18" customHeight="1" x14ac:dyDescent="0.2">
      <c r="B7" s="64"/>
      <c r="C7" s="64"/>
      <c r="D7" s="64"/>
      <c r="E7" s="64"/>
      <c r="F7" s="64"/>
      <c r="G7" s="64"/>
      <c r="H7" s="64"/>
      <c r="I7" s="64"/>
      <c r="J7" s="64"/>
      <c r="K7" s="64"/>
      <c r="L7" s="64"/>
      <c r="M7" s="64"/>
      <c r="N7" s="76"/>
      <c r="O7" s="76"/>
      <c r="P7" s="76"/>
      <c r="Q7" s="76"/>
      <c r="R7" s="76"/>
      <c r="S7" s="78"/>
      <c r="T7" s="76"/>
      <c r="U7" s="76"/>
      <c r="V7" s="76"/>
      <c r="W7" s="77"/>
      <c r="X7" s="77"/>
    </row>
    <row r="8" spans="1:38" x14ac:dyDescent="0.2">
      <c r="A8" s="79" t="s">
        <v>217</v>
      </c>
      <c r="B8" s="72" t="s">
        <v>218</v>
      </c>
      <c r="C8" s="64"/>
      <c r="D8" s="64"/>
      <c r="E8" s="64"/>
      <c r="F8" s="64"/>
      <c r="G8" s="64"/>
      <c r="H8" s="64"/>
      <c r="I8" s="64"/>
      <c r="J8" s="64"/>
      <c r="K8" s="64"/>
      <c r="L8" s="64"/>
      <c r="M8" s="64"/>
      <c r="N8" s="76"/>
      <c r="O8" s="76"/>
      <c r="P8" s="76"/>
      <c r="Q8" s="76"/>
      <c r="R8" s="76"/>
      <c r="S8" s="76"/>
      <c r="T8" s="76"/>
      <c r="U8" s="76"/>
      <c r="V8" s="76"/>
      <c r="W8" s="77"/>
      <c r="X8" s="77"/>
    </row>
    <row r="9" spans="1:38" ht="18" customHeight="1" x14ac:dyDescent="0.2">
      <c r="A9" s="80" t="str">
        <f>'AUTO CALCULATION SHEET (2)'!D19</f>
        <v>3.5 CORE X 300 SQ. MM. AL/ARD - STRIP (XLPE)</v>
      </c>
      <c r="B9" s="81">
        <f>'AUTO CALCULATION SHEET (2)'!E19</f>
        <v>1041160.6679999999</v>
      </c>
      <c r="C9" s="64"/>
      <c r="D9" s="64"/>
      <c r="E9" s="64"/>
      <c r="F9" s="64"/>
      <c r="G9" s="64"/>
      <c r="H9" s="64"/>
      <c r="I9" s="64"/>
      <c r="J9" s="64"/>
      <c r="K9" s="64"/>
      <c r="L9" s="64"/>
      <c r="M9" s="64"/>
      <c r="N9" s="76"/>
      <c r="O9" s="76"/>
      <c r="P9" s="76"/>
      <c r="Q9" s="76"/>
      <c r="R9" s="76"/>
      <c r="S9" s="76"/>
      <c r="T9" s="76"/>
      <c r="U9" s="76"/>
      <c r="V9" s="76"/>
      <c r="W9" s="77"/>
      <c r="X9" s="77"/>
    </row>
    <row r="10" spans="1:38" ht="18" customHeight="1" x14ac:dyDescent="0.2">
      <c r="A10" s="80" t="str">
        <f>'AUTO CALCULATION SHEET (2)'!D20</f>
        <v>3.5 CORE X 240 SQ. MM. AL/ARD - STRIP (XLPE)</v>
      </c>
      <c r="B10" s="81">
        <f>'AUTO CALCULATION SHEET (2)'!E20</f>
        <v>823307.32500000007</v>
      </c>
      <c r="C10" s="64"/>
      <c r="D10" s="64"/>
      <c r="E10" s="64"/>
      <c r="F10" s="64"/>
      <c r="G10" s="64"/>
      <c r="H10" s="64"/>
      <c r="I10" s="64"/>
      <c r="J10" s="64"/>
      <c r="K10" s="64"/>
      <c r="L10" s="64"/>
      <c r="M10" s="64"/>
      <c r="N10" s="76"/>
      <c r="O10" s="76"/>
      <c r="P10" s="76"/>
      <c r="Q10" s="76"/>
      <c r="R10" s="76"/>
      <c r="S10" s="76"/>
      <c r="T10" s="76"/>
      <c r="U10" s="76"/>
      <c r="V10" s="76"/>
      <c r="W10" s="77"/>
      <c r="X10" s="77"/>
    </row>
    <row r="11" spans="1:38" ht="18" customHeight="1" x14ac:dyDescent="0.2">
      <c r="A11" s="80" t="str">
        <f>'AUTO CALCULATION SHEET (2)'!D21</f>
        <v>3.5 CORE X 150 SQ. MM. AL/ARD - STRIP (XLPE)</v>
      </c>
      <c r="B11" s="81">
        <f>'AUTO CALCULATION SHEET (2)'!E21</f>
        <v>534711.94224000012</v>
      </c>
      <c r="C11" s="64"/>
      <c r="D11" s="64"/>
      <c r="E11" s="64"/>
      <c r="F11" s="64"/>
      <c r="G11" s="64"/>
      <c r="H11" s="64"/>
      <c r="I11" s="64"/>
      <c r="J11" s="64"/>
      <c r="K11" s="64"/>
      <c r="L11" s="64"/>
      <c r="M11" s="64"/>
      <c r="N11" s="76"/>
      <c r="O11" s="76"/>
      <c r="P11" s="76"/>
      <c r="Q11" s="76"/>
      <c r="R11" s="76"/>
      <c r="S11" s="76"/>
      <c r="T11" s="76"/>
      <c r="U11" s="76"/>
      <c r="V11" s="76"/>
      <c r="W11" s="77"/>
      <c r="X11" s="77"/>
    </row>
    <row r="12" spans="1:38" ht="18" customHeight="1" x14ac:dyDescent="0.2">
      <c r="A12" s="80" t="str">
        <f>'AUTO CALCULATION SHEET (2)'!D22</f>
        <v>3.5 CORE X 120 SQ. MM. AL/ARD - STRIP (XLPE )</v>
      </c>
      <c r="B12" s="81">
        <f>'AUTO CALCULATION SHEET (2)'!E22</f>
        <v>456007.17024000006</v>
      </c>
      <c r="C12" s="64"/>
      <c r="D12" s="64"/>
      <c r="E12" s="64"/>
      <c r="F12" s="64"/>
      <c r="G12" s="64"/>
      <c r="H12" s="64"/>
      <c r="I12" s="64"/>
      <c r="J12" s="64"/>
      <c r="K12" s="64"/>
      <c r="L12" s="64"/>
      <c r="M12" s="64"/>
      <c r="N12" s="76"/>
      <c r="O12" s="76"/>
      <c r="P12" s="76"/>
      <c r="Q12" s="76"/>
      <c r="R12" s="76"/>
      <c r="S12" s="76"/>
      <c r="T12" s="76"/>
      <c r="U12" s="76"/>
      <c r="V12" s="76"/>
      <c r="W12" s="77"/>
      <c r="X12" s="77"/>
    </row>
    <row r="13" spans="1:38" ht="18" customHeight="1" x14ac:dyDescent="0.2">
      <c r="A13" s="80" t="str">
        <f>'AUTO CALCULATION SHEET (2)'!D23</f>
        <v>3.5 CORE X 95 SQ. MM. AL/ARD - STRIP (XLPE)</v>
      </c>
      <c r="B13" s="81">
        <f>'AUTO CALCULATION SHEET (2)'!E23</f>
        <v>365484.55728000001</v>
      </c>
      <c r="C13" s="64"/>
      <c r="D13" s="64"/>
      <c r="E13" s="64"/>
      <c r="F13" s="64"/>
      <c r="G13" s="64"/>
      <c r="H13" s="64"/>
      <c r="I13" s="64"/>
      <c r="J13" s="64"/>
      <c r="K13" s="64"/>
      <c r="L13" s="64"/>
      <c r="M13" s="64"/>
      <c r="N13" s="76"/>
      <c r="O13" s="76"/>
      <c r="P13" s="76"/>
      <c r="Q13" s="76"/>
      <c r="R13" s="76"/>
      <c r="S13" s="76"/>
      <c r="T13" s="76"/>
      <c r="U13" s="76"/>
      <c r="V13" s="76"/>
      <c r="W13" s="77"/>
      <c r="X13" s="77"/>
    </row>
    <row r="14" spans="1:38" ht="18" customHeight="1" x14ac:dyDescent="0.2">
      <c r="A14" s="80" t="str">
        <f>'AUTO CALCULATION SHEET (2)'!D24</f>
        <v>3.5 CORE X 70 SQ. MM. AL/ARD - STRIP (XLPE)</v>
      </c>
      <c r="B14" s="81">
        <f>'AUTO CALCULATION SHEET (2)'!E24</f>
        <v>283614.62411999999</v>
      </c>
      <c r="C14" s="64"/>
      <c r="D14" s="64"/>
      <c r="E14" s="64"/>
      <c r="F14" s="64"/>
      <c r="G14" s="64"/>
      <c r="H14" s="64"/>
      <c r="I14" s="64"/>
      <c r="J14" s="64"/>
      <c r="K14" s="64"/>
      <c r="L14" s="64"/>
      <c r="M14" s="64"/>
      <c r="N14" s="76"/>
      <c r="O14" s="76"/>
      <c r="P14" s="76"/>
      <c r="Q14" s="76"/>
      <c r="R14" s="76"/>
      <c r="S14" s="76"/>
      <c r="T14" s="76"/>
      <c r="U14" s="76"/>
      <c r="V14" s="76"/>
      <c r="W14" s="77"/>
      <c r="X14" s="77"/>
    </row>
    <row r="15" spans="1:38" ht="18" customHeight="1" thickBot="1" x14ac:dyDescent="0.25">
      <c r="A15" s="80" t="str">
        <f>'AUTO CALCULATION SHEET (2)'!D25</f>
        <v>3.5 CORE X 50 SQ. MM. AL/ARD - STRIP (XLPE)</v>
      </c>
      <c r="B15" s="81">
        <f>'AUTO CALCULATION SHEET (2)'!E25</f>
        <v>213634.04688000001</v>
      </c>
      <c r="C15" s="64"/>
      <c r="D15" s="64"/>
      <c r="E15" s="64"/>
      <c r="F15" s="64"/>
      <c r="G15" s="64"/>
      <c r="H15" s="64"/>
      <c r="I15" s="64"/>
      <c r="J15" s="64"/>
      <c r="K15" s="64"/>
      <c r="L15" s="64"/>
      <c r="M15" s="64"/>
      <c r="N15" s="76"/>
      <c r="O15" s="76"/>
      <c r="P15" s="76"/>
      <c r="Q15" s="76"/>
      <c r="R15" s="76"/>
      <c r="S15" s="76"/>
      <c r="T15" s="76"/>
      <c r="U15" s="76"/>
      <c r="V15" s="76"/>
      <c r="W15" s="77"/>
      <c r="X15" s="77"/>
    </row>
    <row r="16" spans="1:38" ht="13.5" thickBot="1" x14ac:dyDescent="0.25">
      <c r="C16" s="69"/>
      <c r="D16" s="82"/>
      <c r="E16" s="76"/>
      <c r="F16" s="76"/>
      <c r="G16" s="76"/>
      <c r="H16" s="76"/>
      <c r="I16" s="76"/>
      <c r="J16" s="76"/>
      <c r="K16" s="76"/>
      <c r="L16" s="64"/>
      <c r="M16" s="64"/>
      <c r="N16" s="76"/>
      <c r="O16" s="76"/>
      <c r="P16" s="76"/>
      <c r="Q16" s="76"/>
      <c r="R16" s="76"/>
      <c r="S16" s="76"/>
      <c r="T16" s="76"/>
      <c r="U16" s="76"/>
      <c r="V16" s="76"/>
      <c r="W16" s="77"/>
      <c r="X16" s="77"/>
      <c r="Y16" s="168" t="s">
        <v>219</v>
      </c>
      <c r="Z16" s="169"/>
      <c r="AA16" s="169"/>
      <c r="AB16" s="169"/>
      <c r="AC16" s="169"/>
      <c r="AD16" s="169"/>
      <c r="AE16" s="169"/>
      <c r="AF16" s="169"/>
      <c r="AG16" s="169"/>
      <c r="AH16" s="169"/>
      <c r="AI16" s="169"/>
      <c r="AJ16" s="169"/>
      <c r="AK16" s="169"/>
      <c r="AL16" s="170"/>
    </row>
    <row r="17" spans="1:38" ht="26.25" customHeight="1" x14ac:dyDescent="0.2">
      <c r="A17" s="190" t="s">
        <v>217</v>
      </c>
      <c r="B17" s="193" t="s">
        <v>220</v>
      </c>
      <c r="C17" s="175" t="s">
        <v>221</v>
      </c>
      <c r="D17" s="196" t="s">
        <v>222</v>
      </c>
      <c r="E17" s="180"/>
      <c r="F17" s="180"/>
      <c r="G17" s="180"/>
      <c r="H17" s="188"/>
      <c r="I17" s="196" t="s">
        <v>223</v>
      </c>
      <c r="J17" s="180"/>
      <c r="K17" s="180"/>
      <c r="L17" s="180"/>
      <c r="M17" s="197"/>
      <c r="N17" s="174" t="s">
        <v>224</v>
      </c>
      <c r="O17" s="175"/>
      <c r="P17" s="175"/>
      <c r="Q17" s="175"/>
      <c r="R17" s="166" t="s">
        <v>225</v>
      </c>
      <c r="S17" s="178" t="s">
        <v>226</v>
      </c>
      <c r="T17" s="180" t="s">
        <v>227</v>
      </c>
      <c r="U17" s="180" t="s">
        <v>228</v>
      </c>
      <c r="V17" s="188" t="s">
        <v>229</v>
      </c>
      <c r="W17" s="166" t="s">
        <v>230</v>
      </c>
      <c r="X17" s="166" t="s">
        <v>231</v>
      </c>
      <c r="Y17" s="171"/>
      <c r="Z17" s="172"/>
      <c r="AA17" s="172"/>
      <c r="AB17" s="172"/>
      <c r="AC17" s="172"/>
      <c r="AD17" s="172"/>
      <c r="AE17" s="172"/>
      <c r="AF17" s="172"/>
      <c r="AG17" s="172"/>
      <c r="AH17" s="172"/>
      <c r="AI17" s="172"/>
      <c r="AJ17" s="172"/>
      <c r="AK17" s="172"/>
      <c r="AL17" s="173"/>
    </row>
    <row r="18" spans="1:38" ht="39" customHeight="1" x14ac:dyDescent="0.2">
      <c r="A18" s="191"/>
      <c r="B18" s="194"/>
      <c r="C18" s="195"/>
      <c r="D18" s="198" t="s">
        <v>232</v>
      </c>
      <c r="E18" s="181" t="s">
        <v>233</v>
      </c>
      <c r="F18" s="181" t="s">
        <v>234</v>
      </c>
      <c r="G18" s="181" t="s">
        <v>235</v>
      </c>
      <c r="H18" s="189" t="s">
        <v>236</v>
      </c>
      <c r="I18" s="198" t="s">
        <v>232</v>
      </c>
      <c r="J18" s="181" t="s">
        <v>237</v>
      </c>
      <c r="K18" s="181" t="s">
        <v>238</v>
      </c>
      <c r="L18" s="199" t="s">
        <v>239</v>
      </c>
      <c r="M18" s="201" t="s">
        <v>240</v>
      </c>
      <c r="N18" s="176"/>
      <c r="O18" s="177"/>
      <c r="P18" s="177"/>
      <c r="Q18" s="177"/>
      <c r="R18" s="167"/>
      <c r="S18" s="179"/>
      <c r="T18" s="181"/>
      <c r="U18" s="181"/>
      <c r="V18" s="189"/>
      <c r="W18" s="167"/>
      <c r="X18" s="167"/>
      <c r="Y18" s="87" t="str">
        <f>'AUTO CALCULATION SHEET (2)'!N17</f>
        <v>Alumimium</v>
      </c>
      <c r="Z18" s="88" t="str">
        <f>'AUTO CALCULATION SHEET (2)'!AF17</f>
        <v>LT-XLPE</v>
      </c>
      <c r="AA18" s="88" t="str">
        <f>'AUTO CALCULATION SHEET (2)'!AQ17</f>
        <v>PVC Type ST-2</v>
      </c>
      <c r="AB18" s="88" t="str">
        <f>'AUTO CALCULATION SHEET (2)'!AX17</f>
        <v>Galvanised Steel Flat Strip</v>
      </c>
      <c r="AC18" s="88" t="str">
        <f>'AUTO CALCULATION SHEET (2)'!BJ17</f>
        <v>ATR PVC Type ST-2</v>
      </c>
      <c r="AD18" s="182" t="s">
        <v>241</v>
      </c>
      <c r="AE18" s="182" t="s">
        <v>242</v>
      </c>
      <c r="AF18" s="182" t="s">
        <v>243</v>
      </c>
      <c r="AG18" s="182" t="s">
        <v>244</v>
      </c>
      <c r="AH18" s="182" t="s">
        <v>245</v>
      </c>
      <c r="AI18" s="182" t="s">
        <v>246</v>
      </c>
      <c r="AJ18" s="182" t="s">
        <v>247</v>
      </c>
      <c r="AK18" s="182" t="s">
        <v>248</v>
      </c>
      <c r="AL18" s="185" t="s">
        <v>249</v>
      </c>
    </row>
    <row r="19" spans="1:38" ht="13.5" thickBot="1" x14ac:dyDescent="0.25">
      <c r="A19" s="192"/>
      <c r="B19" s="194"/>
      <c r="C19" s="177"/>
      <c r="D19" s="198"/>
      <c r="E19" s="181"/>
      <c r="F19" s="181"/>
      <c r="G19" s="181"/>
      <c r="H19" s="189"/>
      <c r="I19" s="198"/>
      <c r="J19" s="181"/>
      <c r="K19" s="181"/>
      <c r="L19" s="200"/>
      <c r="M19" s="202"/>
      <c r="N19" s="83" t="s">
        <v>214</v>
      </c>
      <c r="O19" s="84" t="s">
        <v>216</v>
      </c>
      <c r="P19" s="84" t="s">
        <v>215</v>
      </c>
      <c r="Q19" s="84" t="s">
        <v>250</v>
      </c>
      <c r="R19" s="167"/>
      <c r="S19" s="179"/>
      <c r="T19" s="181"/>
      <c r="U19" s="181"/>
      <c r="V19" s="189"/>
      <c r="W19" s="167"/>
      <c r="X19" s="167"/>
      <c r="Y19" s="89">
        <v>220</v>
      </c>
      <c r="Z19" s="90">
        <v>100</v>
      </c>
      <c r="AA19" s="90">
        <v>61</v>
      </c>
      <c r="AB19" s="90">
        <v>71</v>
      </c>
      <c r="AC19" s="90">
        <f>61+27</f>
        <v>88</v>
      </c>
      <c r="AD19" s="183"/>
      <c r="AE19" s="183"/>
      <c r="AF19" s="183"/>
      <c r="AG19" s="183"/>
      <c r="AH19" s="183"/>
      <c r="AI19" s="183"/>
      <c r="AJ19" s="183"/>
      <c r="AK19" s="183"/>
      <c r="AL19" s="186"/>
    </row>
    <row r="20" spans="1:38" ht="25.5" customHeight="1" x14ac:dyDescent="0.2">
      <c r="A20" s="91"/>
      <c r="B20" s="92"/>
      <c r="C20" s="70"/>
      <c r="D20" s="93"/>
      <c r="E20" s="94"/>
      <c r="F20" s="140">
        <v>45323</v>
      </c>
      <c r="G20" s="140">
        <v>45323</v>
      </c>
      <c r="H20" s="140">
        <v>45323</v>
      </c>
      <c r="I20" s="95"/>
      <c r="J20" s="94"/>
      <c r="K20" s="140">
        <v>45323</v>
      </c>
      <c r="L20" s="140">
        <v>45323</v>
      </c>
      <c r="M20" s="140">
        <v>45323</v>
      </c>
      <c r="N20" s="96"/>
      <c r="O20" s="97"/>
      <c r="P20" s="97"/>
      <c r="Q20" s="97"/>
      <c r="R20" s="98"/>
      <c r="S20" s="86"/>
      <c r="T20" s="84"/>
      <c r="U20" s="84"/>
      <c r="V20" s="85"/>
      <c r="W20" s="99"/>
      <c r="X20" s="99"/>
      <c r="Y20" s="89" t="s">
        <v>251</v>
      </c>
      <c r="Z20" s="89" t="s">
        <v>251</v>
      </c>
      <c r="AA20" s="89" t="s">
        <v>251</v>
      </c>
      <c r="AB20" s="89" t="s">
        <v>251</v>
      </c>
      <c r="AC20" s="89" t="s">
        <v>251</v>
      </c>
      <c r="AD20" s="184"/>
      <c r="AE20" s="184"/>
      <c r="AF20" s="184"/>
      <c r="AG20" s="184"/>
      <c r="AH20" s="184"/>
      <c r="AI20" s="184"/>
      <c r="AJ20" s="184"/>
      <c r="AK20" s="184"/>
      <c r="AL20" s="187"/>
    </row>
    <row r="21" spans="1:38" x14ac:dyDescent="0.2">
      <c r="A21" s="100" t="str">
        <f>A9</f>
        <v>3.5 CORE X 300 SQ. MM. AL/ARD - STRIP (XLPE)</v>
      </c>
      <c r="B21" s="101"/>
      <c r="C21" s="102" t="s">
        <v>252</v>
      </c>
      <c r="D21" s="103">
        <v>45378</v>
      </c>
      <c r="E21" s="104">
        <v>211779.4</v>
      </c>
      <c r="F21" s="105">
        <v>149726</v>
      </c>
      <c r="G21" s="105">
        <v>156825</v>
      </c>
      <c r="H21" s="106">
        <v>76250</v>
      </c>
      <c r="I21" s="107">
        <f t="shared" ref="I21:I27" si="0">$B$1</f>
        <v>45352</v>
      </c>
      <c r="J21" s="104">
        <v>211779.4</v>
      </c>
      <c r="K21" s="105">
        <v>149726</v>
      </c>
      <c r="L21" s="105">
        <v>156825</v>
      </c>
      <c r="M21" s="106">
        <v>76250</v>
      </c>
      <c r="N21" s="108">
        <v>3.0329999999999999</v>
      </c>
      <c r="O21" s="109">
        <v>0.54</v>
      </c>
      <c r="P21" s="109">
        <v>1.0309999999999999</v>
      </c>
      <c r="Q21" s="109">
        <v>1.0549999999999999</v>
      </c>
      <c r="R21" s="98">
        <f>B9</f>
        <v>1041160.6679999999</v>
      </c>
      <c r="S21" s="110">
        <f t="shared" ref="S21:V27" si="1">(N21*(E21-J21))</f>
        <v>0</v>
      </c>
      <c r="T21" s="109">
        <f t="shared" si="1"/>
        <v>0</v>
      </c>
      <c r="U21" s="109">
        <f t="shared" si="1"/>
        <v>0</v>
      </c>
      <c r="V21" s="111">
        <f t="shared" si="1"/>
        <v>0</v>
      </c>
      <c r="W21" s="112">
        <f>S21+T21+U21+V21</f>
        <v>0</v>
      </c>
      <c r="X21" s="113">
        <f t="shared" ref="X21:X27" si="2">+R21+W21</f>
        <v>1041160.6679999999</v>
      </c>
      <c r="Y21" s="114">
        <f>'AUTO CALCULATION SHEET (2)'!N19</f>
        <v>2835</v>
      </c>
      <c r="Z21" s="115">
        <f>'AUTO CALCULATION SHEET (2)'!AF19</f>
        <v>430</v>
      </c>
      <c r="AA21" s="115">
        <f>'AUTO CALCULATION SHEET (2)'!AQ19</f>
        <v>245</v>
      </c>
      <c r="AB21" s="115">
        <f>'AUTO CALCULATION SHEET (2)'!AX19</f>
        <v>914</v>
      </c>
      <c r="AC21" s="115">
        <f>'AUTO CALCULATION SHEET (2)'!BJ19</f>
        <v>698</v>
      </c>
      <c r="AD21" s="116">
        <f t="shared" ref="AD21:AD27" si="3">SUMPRODUCT(Y21:AC21,$Y$19:$AC$19)</f>
        <v>807963</v>
      </c>
      <c r="AE21" s="117">
        <f>'AUTO CALCULATION SHEET (2)'!BZ19</f>
        <v>44826</v>
      </c>
      <c r="AF21" s="116">
        <f t="shared" ref="AF21" si="4">AD21+AE21</f>
        <v>852789</v>
      </c>
      <c r="AG21" s="117">
        <f t="shared" ref="AG21:AG27" si="5">X21-AF21</f>
        <v>188371.66799999995</v>
      </c>
      <c r="AH21" s="116">
        <f t="shared" ref="AH21" si="6">ROUND((AG21/AF21)*100,2)</f>
        <v>22.09</v>
      </c>
      <c r="AI21" s="117">
        <v>0</v>
      </c>
      <c r="AJ21" s="117">
        <v>2</v>
      </c>
      <c r="AK21" s="117">
        <v>1</v>
      </c>
      <c r="AL21" s="118">
        <f t="shared" ref="AL21" si="7">AH21-AI21-AJ21-AK21</f>
        <v>19.09</v>
      </c>
    </row>
    <row r="22" spans="1:38" x14ac:dyDescent="0.2">
      <c r="A22" s="100" t="str">
        <f t="shared" ref="A22:A27" si="8">A10</f>
        <v>3.5 CORE X 240 SQ. MM. AL/ARD - STRIP (XLPE)</v>
      </c>
      <c r="B22" s="101"/>
      <c r="C22" s="102" t="s">
        <v>252</v>
      </c>
      <c r="D22" s="103">
        <v>45378</v>
      </c>
      <c r="E22" s="104">
        <v>211779.4</v>
      </c>
      <c r="F22" s="105">
        <v>149726</v>
      </c>
      <c r="G22" s="105">
        <v>156825</v>
      </c>
      <c r="H22" s="106">
        <v>76250</v>
      </c>
      <c r="I22" s="107">
        <f t="shared" si="0"/>
        <v>45352</v>
      </c>
      <c r="J22" s="104">
        <v>211779.4</v>
      </c>
      <c r="K22" s="105">
        <v>149726</v>
      </c>
      <c r="L22" s="105">
        <v>156825</v>
      </c>
      <c r="M22" s="106">
        <v>76250</v>
      </c>
      <c r="N22" s="108">
        <v>2.4209999999999998</v>
      </c>
      <c r="O22" s="109">
        <v>0.44600000000000001</v>
      </c>
      <c r="P22" s="109">
        <v>0.95199999999999996</v>
      </c>
      <c r="Q22" s="109">
        <v>0.93700000000000006</v>
      </c>
      <c r="R22" s="98">
        <f t="shared" ref="R22:R26" si="9">B10</f>
        <v>823307.32500000007</v>
      </c>
      <c r="S22" s="110">
        <f t="shared" si="1"/>
        <v>0</v>
      </c>
      <c r="T22" s="109">
        <f t="shared" si="1"/>
        <v>0</v>
      </c>
      <c r="U22" s="109">
        <f t="shared" si="1"/>
        <v>0</v>
      </c>
      <c r="V22" s="111">
        <f t="shared" si="1"/>
        <v>0</v>
      </c>
      <c r="W22" s="112">
        <f t="shared" ref="W22:W27" si="10">S22+T22+U22+V22</f>
        <v>0</v>
      </c>
      <c r="X22" s="113">
        <f t="shared" si="2"/>
        <v>823307.32500000007</v>
      </c>
      <c r="Y22" s="114">
        <f>'AUTO CALCULATION SHEET (2)'!N20</f>
        <v>2268</v>
      </c>
      <c r="Z22" s="115">
        <f>'AUTO CALCULATION SHEET (2)'!AF20</f>
        <v>359</v>
      </c>
      <c r="AA22" s="115">
        <f>'AUTO CALCULATION SHEET (2)'!AQ20</f>
        <v>175</v>
      </c>
      <c r="AB22" s="115">
        <f>'AUTO CALCULATION SHEET (2)'!AX20</f>
        <v>817</v>
      </c>
      <c r="AC22" s="115">
        <f>'AUTO CALCULATION SHEET (2)'!BJ20</f>
        <v>579</v>
      </c>
      <c r="AD22" s="116">
        <f t="shared" si="3"/>
        <v>654494</v>
      </c>
      <c r="AE22" s="117">
        <f>'AUTO CALCULATION SHEET (2)'!BZ20</f>
        <v>19867.25</v>
      </c>
      <c r="AF22" s="116">
        <f t="shared" ref="AF22:AF26" si="11">AD22+AE22</f>
        <v>674361.25</v>
      </c>
      <c r="AG22" s="117">
        <f t="shared" si="5"/>
        <v>148946.07500000007</v>
      </c>
      <c r="AH22" s="116">
        <f t="shared" ref="AH22:AH26" si="12">ROUND((AG22/AF22)*100,2)</f>
        <v>22.09</v>
      </c>
      <c r="AI22" s="117">
        <v>0</v>
      </c>
      <c r="AJ22" s="117">
        <v>2</v>
      </c>
      <c r="AK22" s="117">
        <v>1</v>
      </c>
      <c r="AL22" s="118">
        <f t="shared" ref="AL22:AL26" si="13">AH22-AI22-AJ22-AK22</f>
        <v>19.09</v>
      </c>
    </row>
    <row r="23" spans="1:38" x14ac:dyDescent="0.2">
      <c r="A23" s="100" t="str">
        <f t="shared" si="8"/>
        <v>3.5 CORE X 150 SQ. MM. AL/ARD - STRIP (XLPE)</v>
      </c>
      <c r="B23" s="101"/>
      <c r="C23" s="102" t="s">
        <v>252</v>
      </c>
      <c r="D23" s="103">
        <v>45378</v>
      </c>
      <c r="E23" s="104">
        <v>211779.4</v>
      </c>
      <c r="F23" s="105">
        <v>149726</v>
      </c>
      <c r="G23" s="105">
        <v>156825</v>
      </c>
      <c r="H23" s="106">
        <v>76250</v>
      </c>
      <c r="I23" s="107">
        <f t="shared" si="0"/>
        <v>45352</v>
      </c>
      <c r="J23" s="104">
        <v>211779.4</v>
      </c>
      <c r="K23" s="105">
        <v>149726</v>
      </c>
      <c r="L23" s="105">
        <v>156825</v>
      </c>
      <c r="M23" s="106">
        <v>76250</v>
      </c>
      <c r="N23" s="108">
        <v>1.464</v>
      </c>
      <c r="O23" s="109">
        <v>0.29599999999999999</v>
      </c>
      <c r="P23" s="109">
        <v>0.63300000000000001</v>
      </c>
      <c r="Q23" s="109">
        <v>0.73099999999999998</v>
      </c>
      <c r="R23" s="98">
        <f t="shared" si="9"/>
        <v>534711.94224000012</v>
      </c>
      <c r="S23" s="110">
        <f t="shared" si="1"/>
        <v>0</v>
      </c>
      <c r="T23" s="109">
        <f t="shared" si="1"/>
        <v>0</v>
      </c>
      <c r="U23" s="109">
        <f t="shared" si="1"/>
        <v>0</v>
      </c>
      <c r="V23" s="111">
        <f t="shared" si="1"/>
        <v>0</v>
      </c>
      <c r="W23" s="112">
        <f t="shared" si="10"/>
        <v>0</v>
      </c>
      <c r="X23" s="113">
        <f t="shared" si="2"/>
        <v>534711.94224000012</v>
      </c>
      <c r="Y23" s="114">
        <f>'AUTO CALCULATION SHEET (2)'!N21</f>
        <v>1404</v>
      </c>
      <c r="Z23" s="115">
        <f>'AUTO CALCULATION SHEET (2)'!AF21</f>
        <v>244</v>
      </c>
      <c r="AA23" s="115">
        <f>'AUTO CALCULATION SHEET (2)'!AQ21</f>
        <v>128</v>
      </c>
      <c r="AB23" s="115">
        <f>'AUTO CALCULATION SHEET (2)'!AX21</f>
        <v>625</v>
      </c>
      <c r="AC23" s="115">
        <f>'AUTO CALCULATION SHEET (2)'!BJ21</f>
        <v>378</v>
      </c>
      <c r="AD23" s="116">
        <f t="shared" si="3"/>
        <v>418727</v>
      </c>
      <c r="AE23" s="117">
        <f>'AUTO CALCULATION SHEET (2)'!BZ21</f>
        <v>18878.84</v>
      </c>
      <c r="AF23" s="116">
        <f t="shared" si="11"/>
        <v>437605.84</v>
      </c>
      <c r="AG23" s="117">
        <f t="shared" si="5"/>
        <v>97106.102240000095</v>
      </c>
      <c r="AH23" s="116">
        <f t="shared" si="12"/>
        <v>22.19</v>
      </c>
      <c r="AI23" s="117">
        <v>0</v>
      </c>
      <c r="AJ23" s="117">
        <v>2</v>
      </c>
      <c r="AK23" s="117">
        <v>1</v>
      </c>
      <c r="AL23" s="118">
        <f t="shared" si="13"/>
        <v>19.190000000000001</v>
      </c>
    </row>
    <row r="24" spans="1:38" x14ac:dyDescent="0.2">
      <c r="A24" s="100" t="str">
        <f t="shared" si="8"/>
        <v>3.5 CORE X 120 SQ. MM. AL/ARD - STRIP (XLPE )</v>
      </c>
      <c r="B24" s="101"/>
      <c r="C24" s="102" t="s">
        <v>252</v>
      </c>
      <c r="D24" s="103">
        <v>45378</v>
      </c>
      <c r="E24" s="104">
        <v>211779.4</v>
      </c>
      <c r="F24" s="105">
        <v>149726</v>
      </c>
      <c r="G24" s="105">
        <v>156825</v>
      </c>
      <c r="H24" s="106">
        <v>76250</v>
      </c>
      <c r="I24" s="107">
        <f t="shared" si="0"/>
        <v>45352</v>
      </c>
      <c r="J24" s="104">
        <v>211779.4</v>
      </c>
      <c r="K24" s="105">
        <v>149726</v>
      </c>
      <c r="L24" s="105">
        <v>156825</v>
      </c>
      <c r="M24" s="106">
        <v>76250</v>
      </c>
      <c r="N24" s="108">
        <v>1.2210000000000001</v>
      </c>
      <c r="O24" s="109">
        <v>0.23899999999999999</v>
      </c>
      <c r="P24" s="109">
        <v>0.53800000000000003</v>
      </c>
      <c r="Q24" s="109">
        <v>0.67500000000000004</v>
      </c>
      <c r="R24" s="98">
        <f t="shared" si="9"/>
        <v>456007.17024000006</v>
      </c>
      <c r="S24" s="110">
        <f t="shared" si="1"/>
        <v>0</v>
      </c>
      <c r="T24" s="109">
        <f t="shared" si="1"/>
        <v>0</v>
      </c>
      <c r="U24" s="109">
        <f t="shared" si="1"/>
        <v>0</v>
      </c>
      <c r="V24" s="111">
        <f t="shared" si="1"/>
        <v>0</v>
      </c>
      <c r="W24" s="112">
        <f t="shared" si="10"/>
        <v>0</v>
      </c>
      <c r="X24" s="113">
        <f t="shared" si="2"/>
        <v>456007.17024000006</v>
      </c>
      <c r="Y24" s="114">
        <f>'AUTO CALCULATION SHEET (2)'!N22</f>
        <v>1161</v>
      </c>
      <c r="Z24" s="115">
        <f>'AUTO CALCULATION SHEET (2)'!AF22</f>
        <v>197</v>
      </c>
      <c r="AA24" s="115">
        <f>'AUTO CALCULATION SHEET (2)'!AQ22</f>
        <v>111</v>
      </c>
      <c r="AB24" s="115">
        <f>'AUTO CALCULATION SHEET (2)'!AX22</f>
        <v>594</v>
      </c>
      <c r="AC24" s="115">
        <f>'AUTO CALCULATION SHEET (2)'!BJ22</f>
        <v>357</v>
      </c>
      <c r="AD24" s="116">
        <f t="shared" si="3"/>
        <v>355481</v>
      </c>
      <c r="AE24" s="117">
        <f>'AUTO CALCULATION SHEET (2)'!BZ22</f>
        <v>17506.84</v>
      </c>
      <c r="AF24" s="116">
        <f t="shared" si="11"/>
        <v>372987.84</v>
      </c>
      <c r="AG24" s="117">
        <f t="shared" si="5"/>
        <v>83019.330240000039</v>
      </c>
      <c r="AH24" s="116">
        <f t="shared" si="12"/>
        <v>22.26</v>
      </c>
      <c r="AI24" s="117">
        <v>0</v>
      </c>
      <c r="AJ24" s="117">
        <v>2</v>
      </c>
      <c r="AK24" s="117">
        <v>1</v>
      </c>
      <c r="AL24" s="118">
        <f t="shared" si="13"/>
        <v>19.260000000000002</v>
      </c>
    </row>
    <row r="25" spans="1:38" x14ac:dyDescent="0.2">
      <c r="A25" s="100" t="str">
        <f t="shared" si="8"/>
        <v>3.5 CORE X 95 SQ. MM. AL/ARD - STRIP (XLPE)</v>
      </c>
      <c r="B25" s="101"/>
      <c r="C25" s="102" t="s">
        <v>252</v>
      </c>
      <c r="D25" s="103">
        <v>45378</v>
      </c>
      <c r="E25" s="104">
        <v>211779.4</v>
      </c>
      <c r="F25" s="105">
        <v>149726</v>
      </c>
      <c r="G25" s="105">
        <v>156825</v>
      </c>
      <c r="H25" s="106">
        <v>76250</v>
      </c>
      <c r="I25" s="107">
        <f t="shared" si="0"/>
        <v>45352</v>
      </c>
      <c r="J25" s="104">
        <v>211779.4</v>
      </c>
      <c r="K25" s="105">
        <v>149726</v>
      </c>
      <c r="L25" s="105">
        <v>156825</v>
      </c>
      <c r="M25" s="106">
        <v>76250</v>
      </c>
      <c r="N25" s="108">
        <v>0.94899999999999995</v>
      </c>
      <c r="O25" s="109">
        <v>0.19</v>
      </c>
      <c r="P25" s="109">
        <v>0.47099999999999997</v>
      </c>
      <c r="Q25" s="109">
        <v>0.61599999999999999</v>
      </c>
      <c r="R25" s="98">
        <f t="shared" si="9"/>
        <v>365484.55728000001</v>
      </c>
      <c r="S25" s="110">
        <f t="shared" si="1"/>
        <v>0</v>
      </c>
      <c r="T25" s="109">
        <f t="shared" si="1"/>
        <v>0</v>
      </c>
      <c r="U25" s="109">
        <f t="shared" si="1"/>
        <v>0</v>
      </c>
      <c r="V25" s="111">
        <f t="shared" si="1"/>
        <v>0</v>
      </c>
      <c r="W25" s="112">
        <f t="shared" si="10"/>
        <v>0</v>
      </c>
      <c r="X25" s="113">
        <f t="shared" si="2"/>
        <v>365484.55728000001</v>
      </c>
      <c r="Y25" s="114">
        <f>'AUTO CALCULATION SHEET (2)'!N23</f>
        <v>904.5</v>
      </c>
      <c r="Z25" s="115">
        <f>'AUTO CALCULATION SHEET (2)'!AF23</f>
        <v>157</v>
      </c>
      <c r="AA25" s="115">
        <f>'AUTO CALCULATION SHEET (2)'!AQ23</f>
        <v>86</v>
      </c>
      <c r="AB25" s="115">
        <f>'AUTO CALCULATION SHEET (2)'!AX23</f>
        <v>535</v>
      </c>
      <c r="AC25" s="115">
        <f>'AUTO CALCULATION SHEET (2)'!BJ23</f>
        <v>308</v>
      </c>
      <c r="AD25" s="116">
        <f t="shared" si="3"/>
        <v>285025</v>
      </c>
      <c r="AE25" s="117">
        <f>'AUTO CALCULATION SHEET (2)'!BZ23</f>
        <v>13757.48</v>
      </c>
      <c r="AF25" s="116">
        <f t="shared" si="11"/>
        <v>298782.48</v>
      </c>
      <c r="AG25" s="117">
        <f t="shared" si="5"/>
        <v>66702.077280000027</v>
      </c>
      <c r="AH25" s="116">
        <f t="shared" si="12"/>
        <v>22.32</v>
      </c>
      <c r="AI25" s="117">
        <v>0</v>
      </c>
      <c r="AJ25" s="117">
        <v>2</v>
      </c>
      <c r="AK25" s="117">
        <v>1</v>
      </c>
      <c r="AL25" s="118">
        <f t="shared" si="13"/>
        <v>19.32</v>
      </c>
    </row>
    <row r="26" spans="1:38" x14ac:dyDescent="0.2">
      <c r="A26" s="100" t="str">
        <f t="shared" si="8"/>
        <v>3.5 CORE X 70 SQ. MM. AL/ARD - STRIP (XLPE)</v>
      </c>
      <c r="B26" s="101"/>
      <c r="C26" s="102" t="s">
        <v>252</v>
      </c>
      <c r="D26" s="103">
        <v>45378</v>
      </c>
      <c r="E26" s="104">
        <v>211779.4</v>
      </c>
      <c r="F26" s="105">
        <v>149726</v>
      </c>
      <c r="G26" s="105">
        <v>156825</v>
      </c>
      <c r="H26" s="106">
        <v>76250</v>
      </c>
      <c r="I26" s="107">
        <f t="shared" si="0"/>
        <v>45352</v>
      </c>
      <c r="J26" s="104">
        <v>211779.4</v>
      </c>
      <c r="K26" s="105">
        <v>149726</v>
      </c>
      <c r="L26" s="105">
        <v>156825</v>
      </c>
      <c r="M26" s="106">
        <v>76250</v>
      </c>
      <c r="N26" s="108">
        <v>0.68700000000000006</v>
      </c>
      <c r="O26" s="109">
        <v>0.16</v>
      </c>
      <c r="P26" s="109">
        <v>0.42</v>
      </c>
      <c r="Q26" s="109">
        <v>0.53900000000000003</v>
      </c>
      <c r="R26" s="98">
        <f t="shared" si="9"/>
        <v>283614.62411999999</v>
      </c>
      <c r="S26" s="110">
        <f t="shared" si="1"/>
        <v>0</v>
      </c>
      <c r="T26" s="109">
        <f t="shared" si="1"/>
        <v>0</v>
      </c>
      <c r="U26" s="109">
        <f t="shared" si="1"/>
        <v>0</v>
      </c>
      <c r="V26" s="111">
        <f t="shared" si="1"/>
        <v>0</v>
      </c>
      <c r="W26" s="112">
        <f t="shared" si="10"/>
        <v>0</v>
      </c>
      <c r="X26" s="113">
        <f t="shared" si="2"/>
        <v>283614.62411999999</v>
      </c>
      <c r="Y26" s="114">
        <f>'AUTO CALCULATION SHEET (2)'!N24</f>
        <v>661.5</v>
      </c>
      <c r="Z26" s="115">
        <f>'AUTO CALCULATION SHEET (2)'!AF24</f>
        <v>137</v>
      </c>
      <c r="AA26" s="115">
        <f>'AUTO CALCULATION SHEET (2)'!AQ24</f>
        <v>76</v>
      </c>
      <c r="AB26" s="115">
        <f>'AUTO CALCULATION SHEET (2)'!AX24</f>
        <v>476</v>
      </c>
      <c r="AC26" s="115">
        <f>'AUTO CALCULATION SHEET (2)'!BJ24</f>
        <v>262</v>
      </c>
      <c r="AD26" s="116">
        <f t="shared" si="3"/>
        <v>220718</v>
      </c>
      <c r="AE26" s="117">
        <f>'AUTO CALCULATION SHEET (2)'!BZ24</f>
        <v>10913.67</v>
      </c>
      <c r="AF26" s="116">
        <f t="shared" si="11"/>
        <v>231631.67</v>
      </c>
      <c r="AG26" s="117">
        <f t="shared" si="5"/>
        <v>51982.95411999998</v>
      </c>
      <c r="AH26" s="116">
        <f t="shared" si="12"/>
        <v>22.44</v>
      </c>
      <c r="AI26" s="117">
        <v>0</v>
      </c>
      <c r="AJ26" s="117">
        <v>2</v>
      </c>
      <c r="AK26" s="117">
        <v>1</v>
      </c>
      <c r="AL26" s="118">
        <f t="shared" si="13"/>
        <v>19.440000000000001</v>
      </c>
    </row>
    <row r="27" spans="1:38" x14ac:dyDescent="0.2">
      <c r="A27" s="100" t="str">
        <f t="shared" si="8"/>
        <v>3.5 CORE X 50 SQ. MM. AL/ARD - STRIP (XLPE)</v>
      </c>
      <c r="B27" s="101"/>
      <c r="C27" s="102" t="s">
        <v>252</v>
      </c>
      <c r="D27" s="103">
        <v>45378</v>
      </c>
      <c r="E27" s="104">
        <v>211779.4</v>
      </c>
      <c r="F27" s="105">
        <v>149726</v>
      </c>
      <c r="G27" s="105">
        <v>156825</v>
      </c>
      <c r="H27" s="106">
        <v>76250</v>
      </c>
      <c r="I27" s="107">
        <f t="shared" si="0"/>
        <v>45352</v>
      </c>
      <c r="J27" s="104">
        <v>211779.4</v>
      </c>
      <c r="K27" s="105">
        <v>149726</v>
      </c>
      <c r="L27" s="105">
        <v>156825</v>
      </c>
      <c r="M27" s="106">
        <v>76250</v>
      </c>
      <c r="N27" s="108">
        <v>0.47799999999999998</v>
      </c>
      <c r="O27" s="109">
        <v>0.13</v>
      </c>
      <c r="P27" s="109">
        <v>0.33500000000000002</v>
      </c>
      <c r="Q27" s="109">
        <v>0.46899999999999997</v>
      </c>
      <c r="R27" s="98">
        <f t="shared" ref="R27" si="14">B15</f>
        <v>213634.04688000001</v>
      </c>
      <c r="S27" s="110">
        <f t="shared" si="1"/>
        <v>0</v>
      </c>
      <c r="T27" s="109">
        <f t="shared" si="1"/>
        <v>0</v>
      </c>
      <c r="U27" s="109">
        <f t="shared" si="1"/>
        <v>0</v>
      </c>
      <c r="V27" s="111">
        <f t="shared" si="1"/>
        <v>0</v>
      </c>
      <c r="W27" s="112">
        <f t="shared" si="10"/>
        <v>0</v>
      </c>
      <c r="X27" s="113">
        <f t="shared" si="2"/>
        <v>213634.04688000001</v>
      </c>
      <c r="Y27" s="114">
        <f>'AUTO CALCULATION SHEET (2)'!N25</f>
        <v>472.5</v>
      </c>
      <c r="Z27" s="115">
        <f>'AUTO CALCULATION SHEET (2)'!AF25</f>
        <v>105</v>
      </c>
      <c r="AA27" s="115">
        <f>'AUTO CALCULATION SHEET (2)'!AQ25</f>
        <v>54</v>
      </c>
      <c r="AB27" s="115">
        <f>'AUTO CALCULATION SHEET (2)'!AX25</f>
        <v>401</v>
      </c>
      <c r="AC27" s="115">
        <f>'AUTO CALCULATION SHEET (2)'!BJ25</f>
        <v>225</v>
      </c>
      <c r="AD27" s="116">
        <f t="shared" si="3"/>
        <v>166015</v>
      </c>
      <c r="AE27" s="117">
        <f>'AUTO CALCULATION SHEET (2)'!BZ25</f>
        <v>8317.08</v>
      </c>
      <c r="AF27" s="116">
        <f t="shared" ref="AF27" si="15">AD27+AE27</f>
        <v>174332.08</v>
      </c>
      <c r="AG27" s="117">
        <f t="shared" si="5"/>
        <v>39301.966880000022</v>
      </c>
      <c r="AH27" s="116">
        <f t="shared" ref="AH27" si="16">ROUND((AG27/AF27)*100,2)</f>
        <v>22.54</v>
      </c>
      <c r="AI27" s="117">
        <v>0</v>
      </c>
      <c r="AJ27" s="117">
        <v>2</v>
      </c>
      <c r="AK27" s="117">
        <v>1</v>
      </c>
      <c r="AL27" s="118">
        <f t="shared" ref="AL27" si="17">AH27-AI27-AJ27-AK27</f>
        <v>19.54</v>
      </c>
    </row>
    <row r="28" spans="1:38" s="138" customFormat="1" ht="31.5" customHeight="1" thickBot="1" x14ac:dyDescent="0.25">
      <c r="A28" s="119"/>
      <c r="B28" s="120"/>
      <c r="C28" s="121"/>
      <c r="D28" s="122"/>
      <c r="E28" s="123"/>
      <c r="F28" s="124"/>
      <c r="G28" s="124"/>
      <c r="H28" s="125"/>
      <c r="I28" s="126"/>
      <c r="J28" s="127"/>
      <c r="K28" s="127"/>
      <c r="L28" s="127"/>
      <c r="M28" s="128"/>
      <c r="N28" s="129"/>
      <c r="O28" s="123"/>
      <c r="P28" s="123"/>
      <c r="Q28" s="130"/>
      <c r="R28" s="131"/>
      <c r="S28" s="132"/>
      <c r="T28" s="133"/>
      <c r="U28" s="133"/>
      <c r="V28" s="134"/>
      <c r="W28" s="135"/>
      <c r="X28" s="131"/>
      <c r="Y28" s="136"/>
      <c r="Z28" s="136"/>
      <c r="AA28" s="136"/>
      <c r="AB28" s="136"/>
      <c r="AC28" s="136"/>
      <c r="AD28" s="136"/>
      <c r="AE28" s="136"/>
      <c r="AF28" s="136"/>
      <c r="AG28" s="136"/>
      <c r="AH28" s="136"/>
      <c r="AI28" s="136"/>
      <c r="AJ28" s="136"/>
      <c r="AK28" s="136"/>
      <c r="AL28" s="137"/>
    </row>
    <row r="29" spans="1:38" s="138" customFormat="1" x14ac:dyDescent="0.2">
      <c r="A29" s="71"/>
      <c r="B29" s="71"/>
      <c r="C29" s="71"/>
      <c r="D29" s="71"/>
      <c r="E29" s="139"/>
      <c r="F29" s="71"/>
      <c r="G29" s="71"/>
      <c r="H29" s="71"/>
      <c r="I29" s="71"/>
      <c r="J29" s="71"/>
      <c r="K29" s="71"/>
    </row>
  </sheetData>
  <mergeCells count="38">
    <mergeCell ref="W6:X6"/>
    <mergeCell ref="M18:M19"/>
    <mergeCell ref="B1:K1"/>
    <mergeCell ref="B2:K2"/>
    <mergeCell ref="A3:K3"/>
    <mergeCell ref="A4:K5"/>
    <mergeCell ref="U17:U19"/>
    <mergeCell ref="V17:V19"/>
    <mergeCell ref="A17:A19"/>
    <mergeCell ref="B17:B19"/>
    <mergeCell ref="C17:C19"/>
    <mergeCell ref="D17:H17"/>
    <mergeCell ref="I17:M17"/>
    <mergeCell ref="D18:D19"/>
    <mergeCell ref="E18:E19"/>
    <mergeCell ref="F18:F19"/>
    <mergeCell ref="G18:G19"/>
    <mergeCell ref="H18:H19"/>
    <mergeCell ref="I18:I19"/>
    <mergeCell ref="J18:J19"/>
    <mergeCell ref="K18:K19"/>
    <mergeCell ref="L18:L19"/>
    <mergeCell ref="W17:W19"/>
    <mergeCell ref="X17:X19"/>
    <mergeCell ref="Y16:AL17"/>
    <mergeCell ref="N17:Q18"/>
    <mergeCell ref="R17:R19"/>
    <mergeCell ref="S17:S19"/>
    <mergeCell ref="T17:T19"/>
    <mergeCell ref="AI18:AI20"/>
    <mergeCell ref="AJ18:AJ20"/>
    <mergeCell ref="AK18:AK20"/>
    <mergeCell ref="AL18:AL20"/>
    <mergeCell ref="AD18:AD20"/>
    <mergeCell ref="AE18:AE20"/>
    <mergeCell ref="AF18:AF20"/>
    <mergeCell ref="AG18:AG20"/>
    <mergeCell ref="AH18:AH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2024-04-02T11:58:43Z</cp:lastPrinted>
  <dcterms:created xsi:type="dcterms:W3CDTF">2021-04-03T12:13:55Z</dcterms:created>
  <dcterms:modified xsi:type="dcterms:W3CDTF">2024-04-18T05:57:55Z</dcterms:modified>
</cp:coreProperties>
</file>