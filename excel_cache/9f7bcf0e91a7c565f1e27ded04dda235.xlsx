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3_MARCH 2026\NPCL-61-HTABC&amp;PC-LOT3-18775\"/>
    </mc:Choice>
  </mc:AlternateContent>
  <xr:revisionPtr revIDLastSave="0" documentId="13_ncr:1_{1194A490-42D6-4CDA-A668-FB48E4014FE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HTPC" sheetId="6" r:id="rId3"/>
    <sheet name="PV AUTO CALCULATION-HTABC" sheetId="7" r:id="rId4"/>
    <sheet name="terms" sheetId="5" state="hidden" r:id="rId5"/>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C13" i="7" l="1"/>
  <c r="BA13" i="7"/>
  <c r="AZ13" i="7"/>
  <c r="AY13" i="7"/>
  <c r="AX13" i="7"/>
  <c r="AW13" i="7"/>
  <c r="AV13" i="7"/>
  <c r="AU13" i="7"/>
  <c r="AT13" i="7"/>
  <c r="AS13" i="7"/>
  <c r="AR13" i="7"/>
  <c r="AQ13" i="7"/>
  <c r="AP13" i="7"/>
  <c r="AO13" i="7"/>
  <c r="AN13" i="7"/>
  <c r="AM13" i="7"/>
  <c r="AL13" i="7"/>
  <c r="AK13" i="7"/>
  <c r="AJ13" i="7"/>
  <c r="BA12" i="7"/>
  <c r="AK12" i="7"/>
  <c r="BA11" i="7"/>
  <c r="AZ11" i="7"/>
  <c r="AY11" i="7"/>
  <c r="AX11" i="7"/>
  <c r="AW11" i="7"/>
  <c r="AV11" i="7"/>
  <c r="AU11" i="7"/>
  <c r="AT11" i="7"/>
  <c r="AS11" i="7"/>
  <c r="AR11" i="7"/>
  <c r="AQ11" i="7"/>
  <c r="AP11" i="7"/>
  <c r="AO11" i="7"/>
  <c r="AN11" i="7"/>
  <c r="AM11" i="7"/>
  <c r="AL11" i="7"/>
  <c r="AK11" i="7"/>
  <c r="AJ11" i="7"/>
  <c r="AG13" i="7"/>
  <c r="AF13" i="7"/>
  <c r="AE13" i="7"/>
  <c r="AD13" i="7"/>
  <c r="AC13" i="7"/>
  <c r="AB13" i="7"/>
  <c r="AA13" i="7"/>
  <c r="Y13" i="7"/>
  <c r="U13" i="7"/>
  <c r="P13" i="7"/>
  <c r="Z13" i="7" s="1"/>
  <c r="A13" i="7"/>
  <c r="AW10" i="6"/>
  <c r="AG10" i="6"/>
  <c r="AY13" i="6"/>
  <c r="AY14" i="6"/>
  <c r="AY15" i="6"/>
  <c r="AY16" i="6"/>
  <c r="AY12" i="6"/>
  <c r="AW13" i="6"/>
  <c r="AW14" i="6"/>
  <c r="AW15" i="6"/>
  <c r="AW16" i="6"/>
  <c r="AW12" i="6"/>
  <c r="AV13" i="6"/>
  <c r="AV14" i="6"/>
  <c r="AV15" i="6"/>
  <c r="AV16" i="6"/>
  <c r="AV12" i="6"/>
  <c r="AU13" i="6"/>
  <c r="AU14" i="6"/>
  <c r="AU15" i="6"/>
  <c r="AU16" i="6"/>
  <c r="AU12" i="6"/>
  <c r="AT13" i="6"/>
  <c r="AT14" i="6"/>
  <c r="AT15" i="6"/>
  <c r="AT16" i="6"/>
  <c r="AT12" i="6"/>
  <c r="AS13" i="6"/>
  <c r="AS14" i="6"/>
  <c r="AS15" i="6"/>
  <c r="AS16" i="6"/>
  <c r="AS12" i="6"/>
  <c r="AR13" i="6"/>
  <c r="AR14" i="6"/>
  <c r="AR15" i="6"/>
  <c r="AR16" i="6"/>
  <c r="AR12" i="6"/>
  <c r="AQ13" i="6"/>
  <c r="AQ14" i="6"/>
  <c r="AQ15" i="6"/>
  <c r="AQ16" i="6"/>
  <c r="AQ12" i="6"/>
  <c r="AP13" i="6"/>
  <c r="AP14" i="6"/>
  <c r="AP15" i="6"/>
  <c r="AP16" i="6"/>
  <c r="AP12" i="6"/>
  <c r="AO13" i="6"/>
  <c r="AO14" i="6"/>
  <c r="AO15" i="6"/>
  <c r="AO16" i="6"/>
  <c r="AO12" i="6"/>
  <c r="AN13" i="6"/>
  <c r="AN14" i="6"/>
  <c r="AN15" i="6"/>
  <c r="AN16" i="6"/>
  <c r="AN12" i="6"/>
  <c r="AM13" i="6"/>
  <c r="AM14" i="6"/>
  <c r="AM15" i="6"/>
  <c r="AM16" i="6"/>
  <c r="AM12" i="6"/>
  <c r="AL13" i="6"/>
  <c r="AL14" i="6"/>
  <c r="AL15" i="6"/>
  <c r="AL16" i="6"/>
  <c r="AL12" i="6"/>
  <c r="AK13" i="6"/>
  <c r="AK14" i="6"/>
  <c r="AK15" i="6"/>
  <c r="AK16" i="6"/>
  <c r="AK12" i="6"/>
  <c r="AJ13" i="6"/>
  <c r="AJ14" i="6"/>
  <c r="AJ15" i="6"/>
  <c r="AJ16" i="6"/>
  <c r="AJ12" i="6"/>
  <c r="AI13" i="6"/>
  <c r="AI14" i="6"/>
  <c r="AI15" i="6"/>
  <c r="AI16" i="6"/>
  <c r="AI12" i="6"/>
  <c r="AH13" i="6"/>
  <c r="AH14" i="6"/>
  <c r="AH15" i="6"/>
  <c r="AH16" i="6"/>
  <c r="AH12" i="6"/>
  <c r="AG13" i="6"/>
  <c r="AG14" i="6"/>
  <c r="AG15" i="6"/>
  <c r="AG16" i="6"/>
  <c r="AG12" i="6"/>
  <c r="AF13" i="6"/>
  <c r="AF14" i="6"/>
  <c r="AF15" i="6"/>
  <c r="AF16" i="6"/>
  <c r="AF12" i="6"/>
  <c r="AW9" i="6"/>
  <c r="AV9" i="6"/>
  <c r="AU9" i="6"/>
  <c r="AT9" i="6"/>
  <c r="AS9" i="6"/>
  <c r="AR9" i="6"/>
  <c r="AQ9" i="6"/>
  <c r="AP9" i="6"/>
  <c r="AO9" i="6"/>
  <c r="AN9" i="6"/>
  <c r="AM9" i="6"/>
  <c r="AL9" i="6"/>
  <c r="AK9" i="6"/>
  <c r="AJ9" i="6"/>
  <c r="AI9" i="6"/>
  <c r="AH9" i="6"/>
  <c r="AG9" i="6"/>
  <c r="AF9" i="6"/>
  <c r="AA14" i="6"/>
  <c r="A13" i="6"/>
  <c r="A14" i="6"/>
  <c r="A15" i="6"/>
  <c r="A16" i="6"/>
  <c r="A12" i="6"/>
  <c r="I13" i="7"/>
  <c r="AC16" i="6"/>
  <c r="AB16" i="6"/>
  <c r="AA16" i="6"/>
  <c r="Z16" i="6"/>
  <c r="Y16" i="6"/>
  <c r="X16" i="6"/>
  <c r="J16" i="6"/>
  <c r="AC15" i="6"/>
  <c r="AB15" i="6"/>
  <c r="AA15" i="6"/>
  <c r="Z15" i="6"/>
  <c r="Y15" i="6"/>
  <c r="X15" i="6"/>
  <c r="J15" i="6"/>
  <c r="AC14" i="6"/>
  <c r="AB14" i="6"/>
  <c r="Z14" i="6"/>
  <c r="Y14" i="6"/>
  <c r="X14" i="6"/>
  <c r="J14" i="6"/>
  <c r="AC13" i="6"/>
  <c r="AB13" i="6"/>
  <c r="AA13" i="6"/>
  <c r="Z13" i="6"/>
  <c r="Y13" i="6"/>
  <c r="X13" i="6"/>
  <c r="J13" i="6"/>
  <c r="AC12" i="6"/>
  <c r="AB12" i="6"/>
  <c r="AA12" i="6"/>
  <c r="Z12" i="6"/>
  <c r="Y12" i="6"/>
  <c r="X12" i="6"/>
  <c r="J12" i="6"/>
  <c r="AX12" i="6" l="1"/>
  <c r="AZ12" i="6" s="1"/>
  <c r="AX15" i="6"/>
  <c r="AZ15" i="6" s="1"/>
  <c r="AX13" i="6"/>
  <c r="AZ13" i="6" s="1"/>
  <c r="AH13" i="7"/>
  <c r="BB13" i="7"/>
  <c r="BD13" i="7" s="1"/>
  <c r="AX16" i="6"/>
  <c r="AZ16" i="6" s="1"/>
  <c r="AX14" i="6"/>
  <c r="AZ14" i="6" s="1"/>
  <c r="AD14" i="6"/>
  <c r="AD12" i="6"/>
  <c r="AD16" i="6"/>
  <c r="AD13" i="6"/>
  <c r="AD15" i="6"/>
  <c r="K52" i="4" l="1"/>
  <c r="K53" i="4"/>
  <c r="K54" i="4"/>
  <c r="K55" i="4"/>
  <c r="K56" i="4"/>
  <c r="K51" i="4"/>
  <c r="H52" i="4"/>
  <c r="H53" i="4"/>
  <c r="H54" i="4"/>
  <c r="H55" i="4"/>
  <c r="H56" i="4"/>
  <c r="H51" i="4"/>
  <c r="D52" i="4"/>
  <c r="D53" i="4"/>
  <c r="D54" i="4"/>
  <c r="D55" i="4"/>
  <c r="D56" i="4"/>
  <c r="D51" i="4"/>
  <c r="C52" i="4"/>
  <c r="C53" i="4"/>
  <c r="C54" i="4"/>
  <c r="C55" i="4"/>
  <c r="C56" i="4"/>
  <c r="C51" i="4"/>
  <c r="B52" i="4"/>
  <c r="B53" i="4"/>
  <c r="B54" i="4"/>
  <c r="B55" i="4"/>
  <c r="B56" i="4"/>
  <c r="B51" i="4"/>
  <c r="A52" i="4"/>
  <c r="A53" i="4"/>
  <c r="A54" i="4"/>
  <c r="A55" i="4"/>
  <c r="A56" i="4"/>
  <c r="A51" i="4"/>
  <c r="CF19" i="4"/>
  <c r="W19" i="4"/>
  <c r="F31" i="4" l="1"/>
  <c r="J31" i="4" s="1"/>
  <c r="F32" i="4"/>
  <c r="J32" i="4" s="1"/>
  <c r="F33" i="4"/>
  <c r="J33" i="4" s="1"/>
  <c r="F34" i="4"/>
  <c r="J34" i="4" s="1"/>
  <c r="F35" i="4"/>
  <c r="J35" i="4" s="1"/>
  <c r="CK25" i="4"/>
  <c r="CK24" i="4"/>
  <c r="CK23" i="4"/>
  <c r="CK22" i="4"/>
  <c r="CK21" i="4"/>
  <c r="CK20" i="4"/>
  <c r="CH21" i="4" l="1"/>
  <c r="N31" i="4" s="1"/>
  <c r="CI21" i="4"/>
  <c r="CH22" i="4"/>
  <c r="N32" i="4" s="1"/>
  <c r="CI22" i="4"/>
  <c r="CH23" i="4"/>
  <c r="N33" i="4" s="1"/>
  <c r="CI23" i="4"/>
  <c r="CH24" i="4"/>
  <c r="N34" i="4" s="1"/>
  <c r="CI24" i="4"/>
  <c r="CH20" i="4"/>
  <c r="N30" i="4" s="1"/>
  <c r="CI20" i="4"/>
  <c r="CI25" i="4"/>
  <c r="CH25" i="4"/>
  <c r="N35" i="4" s="1"/>
  <c r="F30" i="4"/>
  <c r="J30" i="4" s="1"/>
  <c r="CX20" i="4" l="1"/>
  <c r="CM20" i="4"/>
  <c r="CG20" i="4"/>
  <c r="CF20" i="4"/>
  <c r="CD20" i="4"/>
  <c r="CC20" i="4"/>
  <c r="CB20" i="4"/>
  <c r="BZ20" i="4"/>
  <c r="BY20" i="4"/>
  <c r="BX20" i="4"/>
  <c r="BW20" i="4"/>
  <c r="BV20" i="4"/>
  <c r="BU20" i="4"/>
  <c r="BS20" i="4"/>
  <c r="BR20" i="4"/>
  <c r="BQ20" i="4"/>
  <c r="BP20" i="4"/>
  <c r="BN20" i="4"/>
  <c r="BM20" i="4"/>
  <c r="BL20" i="4"/>
  <c r="BK20" i="4"/>
  <c r="BJ20" i="4"/>
  <c r="BI20" i="4"/>
  <c r="BH20" i="4"/>
  <c r="BF20" i="4"/>
  <c r="BE20" i="4"/>
  <c r="BD20" i="4"/>
  <c r="BC20" i="4"/>
  <c r="BB20" i="4"/>
  <c r="BA20" i="4"/>
  <c r="AZ20" i="4"/>
  <c r="AY20" i="4"/>
  <c r="AW20" i="4"/>
  <c r="AV20" i="4"/>
  <c r="AU20" i="4"/>
  <c r="AT20" i="4"/>
  <c r="AS20" i="4"/>
  <c r="AR20" i="4"/>
  <c r="AP20" i="4"/>
  <c r="AO20" i="4"/>
  <c r="AN20" i="4"/>
  <c r="AM20" i="4"/>
  <c r="AL20" i="4"/>
  <c r="AK20" i="4"/>
  <c r="AJ20" i="4"/>
  <c r="AI20" i="4"/>
  <c r="AH20" i="4"/>
  <c r="AE20" i="4"/>
  <c r="AD20" i="4"/>
  <c r="AC20" i="4"/>
  <c r="AB20" i="4"/>
  <c r="Z20" i="4"/>
  <c r="Y20" i="4"/>
  <c r="X20" i="4"/>
  <c r="W20" i="4"/>
  <c r="V20" i="4"/>
  <c r="U20" i="4"/>
  <c r="T20" i="4"/>
  <c r="S20" i="4"/>
  <c r="R20" i="4"/>
  <c r="Q20" i="4"/>
  <c r="P20" i="4"/>
  <c r="O20" i="4"/>
  <c r="N20" i="4"/>
  <c r="W30" i="4" s="1"/>
  <c r="AG30" i="4" s="1"/>
  <c r="AH30" i="4" s="1"/>
  <c r="L20" i="4"/>
  <c r="K20" i="4"/>
  <c r="H20" i="4"/>
  <c r="D20" i="4"/>
  <c r="D30" i="4" s="1"/>
  <c r="C20" i="4"/>
  <c r="A20" i="4"/>
  <c r="CX24" i="4"/>
  <c r="CM24" i="4"/>
  <c r="CG24" i="4"/>
  <c r="CF24" i="4"/>
  <c r="CD24" i="4"/>
  <c r="CC24" i="4"/>
  <c r="BZ24" i="4"/>
  <c r="BX24" i="4"/>
  <c r="BW24" i="4"/>
  <c r="BV24" i="4"/>
  <c r="BU24" i="4"/>
  <c r="BT24" i="4"/>
  <c r="BS24" i="4"/>
  <c r="BR24" i="4"/>
  <c r="BQ24" i="4"/>
  <c r="BP24" i="4"/>
  <c r="BN24" i="4"/>
  <c r="BM24" i="4"/>
  <c r="BL24" i="4"/>
  <c r="BK24" i="4"/>
  <c r="BJ24" i="4"/>
  <c r="BI24" i="4"/>
  <c r="BH24" i="4"/>
  <c r="BF24" i="4"/>
  <c r="BE24" i="4"/>
  <c r="BD24" i="4"/>
  <c r="BC24" i="4"/>
  <c r="BB24" i="4"/>
  <c r="BA24" i="4"/>
  <c r="AZ24" i="4"/>
  <c r="AY24" i="4"/>
  <c r="AW24" i="4"/>
  <c r="AV24" i="4"/>
  <c r="AU24" i="4"/>
  <c r="AT24" i="4"/>
  <c r="AS24" i="4"/>
  <c r="AR24" i="4"/>
  <c r="AP24" i="4"/>
  <c r="AO24" i="4"/>
  <c r="AN24" i="4"/>
  <c r="AM24" i="4"/>
  <c r="AL24" i="4"/>
  <c r="AK24" i="4"/>
  <c r="AJ24" i="4"/>
  <c r="AI24" i="4"/>
  <c r="AH24" i="4"/>
  <c r="AG24" i="4"/>
  <c r="AF24" i="4"/>
  <c r="AE24" i="4"/>
  <c r="AD24" i="4"/>
  <c r="AC24" i="4"/>
  <c r="AB24" i="4"/>
  <c r="Z24" i="4"/>
  <c r="Y24" i="4"/>
  <c r="X24" i="4"/>
  <c r="W24" i="4"/>
  <c r="V24" i="4"/>
  <c r="U24" i="4"/>
  <c r="T24" i="4"/>
  <c r="S24" i="4"/>
  <c r="R24" i="4"/>
  <c r="Q24" i="4"/>
  <c r="P24" i="4"/>
  <c r="O24" i="4"/>
  <c r="N24" i="4"/>
  <c r="L24" i="4"/>
  <c r="K24" i="4"/>
  <c r="E34" i="4" s="1"/>
  <c r="K34" i="4" s="1"/>
  <c r="L34" i="4" s="1"/>
  <c r="M34" i="4" s="1"/>
  <c r="F24" i="4" s="1"/>
  <c r="F55" i="4" s="1"/>
  <c r="H24" i="4"/>
  <c r="D24" i="4"/>
  <c r="D34" i="4" s="1"/>
  <c r="C24" i="4"/>
  <c r="A24" i="4"/>
  <c r="CX23" i="4"/>
  <c r="CM23" i="4"/>
  <c r="CG23" i="4"/>
  <c r="CF23" i="4"/>
  <c r="CD23" i="4"/>
  <c r="CC23" i="4"/>
  <c r="BZ23" i="4"/>
  <c r="BW23" i="4"/>
  <c r="BV23" i="4"/>
  <c r="BU23" i="4"/>
  <c r="BS23" i="4"/>
  <c r="BR23" i="4"/>
  <c r="BQ23" i="4"/>
  <c r="BP23" i="4"/>
  <c r="BN23" i="4"/>
  <c r="BM23" i="4"/>
  <c r="BL23" i="4"/>
  <c r="BK23" i="4"/>
  <c r="BJ23" i="4"/>
  <c r="BI23" i="4"/>
  <c r="BH23" i="4"/>
  <c r="BF23" i="4"/>
  <c r="BE23" i="4"/>
  <c r="BD23" i="4"/>
  <c r="BC23" i="4"/>
  <c r="BB23" i="4"/>
  <c r="BA23" i="4"/>
  <c r="AZ23" i="4"/>
  <c r="AY23" i="4"/>
  <c r="AW23" i="4"/>
  <c r="AV23" i="4"/>
  <c r="AU23" i="4"/>
  <c r="AT23" i="4"/>
  <c r="AS23" i="4"/>
  <c r="AR23" i="4"/>
  <c r="AP23" i="4"/>
  <c r="AO23" i="4"/>
  <c r="AN23" i="4"/>
  <c r="AM23" i="4"/>
  <c r="AL23" i="4"/>
  <c r="AK23" i="4"/>
  <c r="AI23" i="4"/>
  <c r="AE23" i="4"/>
  <c r="AD23" i="4"/>
  <c r="AC23" i="4"/>
  <c r="AB23" i="4"/>
  <c r="Z23" i="4"/>
  <c r="Y23" i="4"/>
  <c r="X23" i="4"/>
  <c r="W23" i="4"/>
  <c r="V23" i="4"/>
  <c r="U23" i="4"/>
  <c r="T23" i="4"/>
  <c r="S23" i="4"/>
  <c r="R23" i="4"/>
  <c r="Q23" i="4"/>
  <c r="P23" i="4"/>
  <c r="O23" i="4"/>
  <c r="N23" i="4"/>
  <c r="W33" i="4" s="1"/>
  <c r="AG33" i="4" s="1"/>
  <c r="AH33" i="4" s="1"/>
  <c r="L23" i="4"/>
  <c r="K23" i="4"/>
  <c r="E33" i="4" s="1"/>
  <c r="K33" i="4" s="1"/>
  <c r="L33" i="4" s="1"/>
  <c r="M33" i="4" s="1"/>
  <c r="F23" i="4" s="1"/>
  <c r="F54" i="4" s="1"/>
  <c r="H23" i="4"/>
  <c r="D23" i="4"/>
  <c r="D33" i="4" s="1"/>
  <c r="C23" i="4"/>
  <c r="A23" i="4"/>
  <c r="CX22" i="4"/>
  <c r="CM22" i="4"/>
  <c r="CG22" i="4"/>
  <c r="CF22" i="4"/>
  <c r="CD22" i="4"/>
  <c r="CC22" i="4"/>
  <c r="CB22" i="4"/>
  <c r="BZ22" i="4"/>
  <c r="BY22" i="4"/>
  <c r="BX22" i="4"/>
  <c r="BW22" i="4"/>
  <c r="BV22" i="4"/>
  <c r="BU22" i="4"/>
  <c r="BS22" i="4"/>
  <c r="BR22" i="4"/>
  <c r="BQ22" i="4"/>
  <c r="BP22" i="4"/>
  <c r="BN22" i="4"/>
  <c r="BM22" i="4"/>
  <c r="BL22" i="4"/>
  <c r="BK22" i="4"/>
  <c r="BJ22" i="4"/>
  <c r="BI22" i="4"/>
  <c r="BH22" i="4"/>
  <c r="BF22" i="4"/>
  <c r="BE22" i="4"/>
  <c r="BD22" i="4"/>
  <c r="BC22" i="4"/>
  <c r="BB22" i="4"/>
  <c r="BA22" i="4"/>
  <c r="AZ22" i="4"/>
  <c r="AY22" i="4"/>
  <c r="AW22" i="4"/>
  <c r="AV22" i="4"/>
  <c r="AU22" i="4"/>
  <c r="AT22" i="4"/>
  <c r="AS22" i="4"/>
  <c r="AR22" i="4"/>
  <c r="AP22" i="4"/>
  <c r="AO22" i="4"/>
  <c r="AN22" i="4"/>
  <c r="AM22" i="4"/>
  <c r="AL22" i="4"/>
  <c r="AK22" i="4"/>
  <c r="AJ22" i="4"/>
  <c r="AI22" i="4"/>
  <c r="AH22" i="4"/>
  <c r="AE22" i="4"/>
  <c r="AD22" i="4"/>
  <c r="AC22" i="4"/>
  <c r="AB22" i="4"/>
  <c r="Z22" i="4"/>
  <c r="Y22" i="4"/>
  <c r="X22" i="4"/>
  <c r="W22" i="4"/>
  <c r="V22" i="4"/>
  <c r="U22" i="4"/>
  <c r="T22" i="4"/>
  <c r="S22" i="4"/>
  <c r="R22" i="4"/>
  <c r="Q22" i="4"/>
  <c r="P22" i="4"/>
  <c r="O22" i="4"/>
  <c r="N22" i="4"/>
  <c r="W32" i="4" s="1"/>
  <c r="AG32" i="4" s="1"/>
  <c r="AH32" i="4" s="1"/>
  <c r="L22" i="4"/>
  <c r="K22" i="4"/>
  <c r="E32" i="4" s="1"/>
  <c r="K32" i="4" s="1"/>
  <c r="L32" i="4" s="1"/>
  <c r="M32" i="4" s="1"/>
  <c r="F22" i="4" s="1"/>
  <c r="F53" i="4" s="1"/>
  <c r="H22" i="4"/>
  <c r="D22" i="4"/>
  <c r="D32" i="4" s="1"/>
  <c r="C22" i="4"/>
  <c r="A22" i="4"/>
  <c r="CX21" i="4"/>
  <c r="CM21" i="4"/>
  <c r="CG21" i="4"/>
  <c r="CF21" i="4"/>
  <c r="CD21" i="4"/>
  <c r="CC21" i="4"/>
  <c r="CB21" i="4"/>
  <c r="BZ21" i="4"/>
  <c r="BY21" i="4"/>
  <c r="BX21" i="4"/>
  <c r="BW21" i="4"/>
  <c r="BV21" i="4"/>
  <c r="BU21" i="4"/>
  <c r="BS21" i="4"/>
  <c r="BR21" i="4"/>
  <c r="BQ21" i="4"/>
  <c r="BP21" i="4"/>
  <c r="BN21" i="4"/>
  <c r="BM21" i="4"/>
  <c r="BL21" i="4"/>
  <c r="BK21" i="4"/>
  <c r="BJ21" i="4"/>
  <c r="BI21" i="4"/>
  <c r="BH21" i="4"/>
  <c r="BF21" i="4"/>
  <c r="BE21" i="4"/>
  <c r="BD21" i="4"/>
  <c r="BC21" i="4"/>
  <c r="BB21" i="4"/>
  <c r="BA21" i="4"/>
  <c r="AZ21" i="4"/>
  <c r="AY21" i="4"/>
  <c r="AW21" i="4"/>
  <c r="AV21" i="4"/>
  <c r="AU21" i="4"/>
  <c r="AT21" i="4"/>
  <c r="AS21" i="4"/>
  <c r="AR21" i="4"/>
  <c r="AP21" i="4"/>
  <c r="AO21" i="4"/>
  <c r="AN21" i="4"/>
  <c r="AM21" i="4"/>
  <c r="AL21" i="4"/>
  <c r="AK21" i="4"/>
  <c r="AJ21" i="4"/>
  <c r="AI21" i="4"/>
  <c r="AH21" i="4"/>
  <c r="AE21" i="4"/>
  <c r="AD21" i="4"/>
  <c r="AC21" i="4"/>
  <c r="AB21" i="4"/>
  <c r="Z21" i="4"/>
  <c r="Y21" i="4"/>
  <c r="X21" i="4"/>
  <c r="W21" i="4"/>
  <c r="V21" i="4"/>
  <c r="U21" i="4"/>
  <c r="T21" i="4"/>
  <c r="S21" i="4"/>
  <c r="R21" i="4"/>
  <c r="Q21" i="4"/>
  <c r="P21" i="4"/>
  <c r="O21" i="4"/>
  <c r="N21" i="4"/>
  <c r="W31" i="4" s="1"/>
  <c r="AG31" i="4" s="1"/>
  <c r="AH31" i="4" s="1"/>
  <c r="L21" i="4"/>
  <c r="K21" i="4"/>
  <c r="E31" i="4" s="1"/>
  <c r="K31" i="4" s="1"/>
  <c r="L31" i="4" s="1"/>
  <c r="M31" i="4" s="1"/>
  <c r="F21" i="4" s="1"/>
  <c r="F52" i="4" s="1"/>
  <c r="H21" i="4"/>
  <c r="D21" i="4"/>
  <c r="D31" i="4" s="1"/>
  <c r="C21" i="4"/>
  <c r="A21" i="4"/>
  <c r="S25" i="4"/>
  <c r="S19" i="4"/>
  <c r="R25" i="4"/>
  <c r="R19" i="4"/>
  <c r="AT25" i="4"/>
  <c r="AT19" i="4"/>
  <c r="Q25" i="4"/>
  <c r="Q19" i="4"/>
  <c r="BU25" i="4"/>
  <c r="BU19" i="4"/>
  <c r="AY25" i="4"/>
  <c r="AY19" i="4"/>
  <c r="L25" i="4"/>
  <c r="K25" i="4"/>
  <c r="H25" i="4"/>
  <c r="CX25" i="4"/>
  <c r="W34" i="4" l="1"/>
  <c r="AG34" i="4" s="1"/>
  <c r="AH34" i="4" s="1"/>
  <c r="E30" i="4"/>
  <c r="K30" i="4" s="1"/>
  <c r="L30" i="4" s="1"/>
  <c r="M30" i="4" s="1"/>
  <c r="F20" i="4" s="1"/>
  <c r="F51" i="4" s="1"/>
  <c r="E35" i="4"/>
  <c r="K35" i="4" s="1"/>
  <c r="L35" i="4" s="1"/>
  <c r="M35" i="4" s="1"/>
  <c r="F25" i="4" s="1"/>
  <c r="F56" i="4" s="1"/>
  <c r="BP25" i="4"/>
  <c r="BP19" i="4"/>
  <c r="BE25" i="4" l="1"/>
  <c r="BE19" i="4"/>
  <c r="AN25" i="4" l="1"/>
  <c r="AN19" i="4"/>
  <c r="AM25" i="4"/>
  <c r="AM19" i="4"/>
  <c r="AO25" i="4"/>
  <c r="AO19" i="4"/>
  <c r="CG25" i="4" l="1"/>
  <c r="CM25" i="4" l="1"/>
  <c r="A25" i="4" l="1"/>
  <c r="V19" i="4" l="1"/>
  <c r="AE25" i="4" l="1"/>
  <c r="AC25" i="4"/>
  <c r="AB25" i="4"/>
  <c r="AA25" i="4"/>
  <c r="Z25" i="4"/>
  <c r="Y25" i="4"/>
  <c r="X25" i="4"/>
  <c r="V25" i="4"/>
  <c r="CE25" i="4"/>
  <c r="CD25" i="4"/>
  <c r="CC25" i="4"/>
  <c r="CB25" i="4"/>
  <c r="BY25" i="4"/>
  <c r="CD19" i="4"/>
  <c r="CC19" i="4"/>
  <c r="BX25" i="4"/>
  <c r="BW25" i="4"/>
  <c r="BV25" i="4"/>
  <c r="BS25" i="4"/>
  <c r="BQ25" i="4"/>
  <c r="BO25" i="4"/>
  <c r="BN25" i="4"/>
  <c r="BM25" i="4"/>
  <c r="BL25" i="4"/>
  <c r="BW19" i="4"/>
  <c r="BV19" i="4"/>
  <c r="BT19" i="4"/>
  <c r="BS19" i="4"/>
  <c r="BQ19" i="4"/>
  <c r="BN19" i="4"/>
  <c r="BM19" i="4"/>
  <c r="BL19" i="4"/>
  <c r="BK25" i="4"/>
  <c r="BJ25" i="4"/>
  <c r="BI25" i="4"/>
  <c r="BH25" i="4"/>
  <c r="BG25" i="4"/>
  <c r="BF25" i="4"/>
  <c r="BD25" i="4"/>
  <c r="BC25" i="4"/>
  <c r="BB25" i="4"/>
  <c r="BA25" i="4"/>
  <c r="BK19" i="4"/>
  <c r="BJ19" i="4"/>
  <c r="BI19" i="4"/>
  <c r="BH19" i="4"/>
  <c r="BF19" i="4"/>
  <c r="BD19" i="4"/>
  <c r="BC19" i="4"/>
  <c r="BB19" i="4"/>
  <c r="BA19" i="4"/>
  <c r="AZ19" i="4"/>
  <c r="AZ25" i="4"/>
  <c r="AW25" i="4"/>
  <c r="AV25" i="4"/>
  <c r="AU25" i="4"/>
  <c r="AS25" i="4"/>
  <c r="AR25" i="4"/>
  <c r="AW19" i="4"/>
  <c r="AV19" i="4"/>
  <c r="AU19" i="4"/>
  <c r="AS19" i="4"/>
  <c r="AR19" i="4"/>
  <c r="AQ25" i="4"/>
  <c r="AP25" i="4"/>
  <c r="AL25" i="4"/>
  <c r="AK25" i="4"/>
  <c r="AJ25" i="4"/>
  <c r="AI25" i="4"/>
  <c r="AP19" i="4"/>
  <c r="AL19" i="4"/>
  <c r="AK19" i="4"/>
  <c r="AI19" i="4"/>
  <c r="AF19" i="4"/>
  <c r="AE19" i="4" l="1"/>
  <c r="AD19" i="4"/>
  <c r="AC19" i="4"/>
  <c r="AB19" i="4"/>
  <c r="Z19" i="4"/>
  <c r="Y19" i="4"/>
  <c r="X19" i="4"/>
  <c r="U19" i="4" l="1"/>
  <c r="T19" i="4"/>
  <c r="P19" i="4"/>
  <c r="O19" i="4"/>
  <c r="U25" i="4"/>
  <c r="T25" i="4"/>
  <c r="P25" i="4"/>
  <c r="O25" i="4"/>
  <c r="W35" i="4" s="1"/>
  <c r="AG35" i="4" s="1"/>
  <c r="AH35" i="4" s="1"/>
  <c r="D25" i="4"/>
  <c r="D35" i="4" s="1"/>
  <c r="C25" i="4"/>
  <c r="CL23" i="4" l="1"/>
  <c r="CL20" i="4"/>
  <c r="CL24" i="4"/>
  <c r="CL21" i="4"/>
  <c r="CL22" i="4"/>
  <c r="CL25" i="4"/>
  <c r="CN20" i="4" l="1"/>
  <c r="CP20" i="4"/>
  <c r="CR20" i="4"/>
  <c r="CN23" i="4"/>
  <c r="CR23" i="4"/>
  <c r="CP23" i="4"/>
  <c r="CN24" i="4"/>
  <c r="CP24" i="4"/>
  <c r="CR24" i="4"/>
  <c r="CN22" i="4"/>
  <c r="CR22" i="4"/>
  <c r="CP22" i="4"/>
  <c r="CP21" i="4"/>
  <c r="CN21" i="4"/>
  <c r="CR21" i="4"/>
  <c r="CN25" i="4"/>
  <c r="CP25" i="4"/>
  <c r="CR25" i="4"/>
  <c r="CS23" i="4" l="1"/>
  <c r="CW23" i="4" s="1"/>
  <c r="CS20" i="4"/>
  <c r="CY20" i="4" s="1"/>
  <c r="CS24" i="4"/>
  <c r="CW24" i="4" s="1"/>
  <c r="CS22" i="4"/>
  <c r="CY22" i="4" s="1"/>
  <c r="CS21" i="4"/>
  <c r="CY21" i="4" s="1"/>
  <c r="CS25" i="4"/>
  <c r="CY24" i="4" l="1"/>
  <c r="CW20" i="4"/>
  <c r="CY23" i="4"/>
  <c r="CU24" i="4"/>
  <c r="CU23" i="4"/>
  <c r="E23" i="4" s="1"/>
  <c r="E54" i="4" s="1"/>
  <c r="CU20" i="4"/>
  <c r="E20" i="4" s="1"/>
  <c r="CW22" i="4"/>
  <c r="CW21" i="4"/>
  <c r="CU22" i="4"/>
  <c r="CU21" i="4"/>
  <c r="CY25" i="4"/>
  <c r="CU25" i="4"/>
  <c r="CW25" i="4"/>
  <c r="G20" i="4" l="1"/>
  <c r="I20" i="4" s="1"/>
  <c r="J20" i="4" s="1"/>
  <c r="M20" i="4" s="1"/>
  <c r="E51" i="4"/>
  <c r="W15" i="6"/>
  <c r="AE15" i="6" s="1"/>
  <c r="BA15" i="6" s="1"/>
  <c r="BB15" i="6" s="1"/>
  <c r="BF15" i="6" s="1"/>
  <c r="G54" i="4"/>
  <c r="E24" i="4"/>
  <c r="G23" i="4"/>
  <c r="I23" i="4" s="1"/>
  <c r="J23" i="4" s="1"/>
  <c r="M23" i="4" s="1"/>
  <c r="E21" i="4"/>
  <c r="E52" i="4" s="1"/>
  <c r="E22" i="4"/>
  <c r="E53" i="4" s="1"/>
  <c r="E25" i="4"/>
  <c r="G25" i="4" l="1"/>
  <c r="E56" i="4"/>
  <c r="W13" i="6"/>
  <c r="AE13" i="6" s="1"/>
  <c r="BA13" i="6" s="1"/>
  <c r="BB13" i="6" s="1"/>
  <c r="BF13" i="6" s="1"/>
  <c r="G52" i="4"/>
  <c r="I54" i="4"/>
  <c r="J54" i="4"/>
  <c r="M54" i="4" s="1"/>
  <c r="W12" i="6"/>
  <c r="AE12" i="6" s="1"/>
  <c r="BA12" i="6" s="1"/>
  <c r="BB12" i="6" s="1"/>
  <c r="BF12" i="6" s="1"/>
  <c r="G51" i="4"/>
  <c r="W14" i="6"/>
  <c r="AE14" i="6" s="1"/>
  <c r="BA14" i="6" s="1"/>
  <c r="BB14" i="6" s="1"/>
  <c r="BF14" i="6" s="1"/>
  <c r="G53" i="4"/>
  <c r="I53" i="4" s="1"/>
  <c r="J53" i="4" s="1"/>
  <c r="M53" i="4" s="1"/>
  <c r="G24" i="4"/>
  <c r="I24" i="4" s="1"/>
  <c r="J24" i="4" s="1"/>
  <c r="M24" i="4" s="1"/>
  <c r="E55" i="4"/>
  <c r="G21" i="4"/>
  <c r="I21" i="4" s="1"/>
  <c r="J21" i="4" s="1"/>
  <c r="M21" i="4" s="1"/>
  <c r="G22" i="4"/>
  <c r="I22" i="4" s="1"/>
  <c r="J22" i="4" s="1"/>
  <c r="M22" i="4" s="1"/>
  <c r="I25" i="4"/>
  <c r="J25" i="4" s="1"/>
  <c r="M25" i="4" s="1"/>
  <c r="X13" i="7" l="1"/>
  <c r="AI13" i="7" s="1"/>
  <c r="BE13" i="7" s="1"/>
  <c r="BF13" i="7" s="1"/>
  <c r="BJ13" i="7" s="1"/>
  <c r="G56" i="4"/>
  <c r="M26" i="4"/>
  <c r="W16" i="6"/>
  <c r="AE16" i="6" s="1"/>
  <c r="BA16" i="6" s="1"/>
  <c r="BB16" i="6" s="1"/>
  <c r="BF16" i="6" s="1"/>
  <c r="G55" i="4"/>
  <c r="I55" i="4" s="1"/>
  <c r="J55" i="4" s="1"/>
  <c r="M55" i="4" s="1"/>
  <c r="I51" i="4"/>
  <c r="J51" i="4" s="1"/>
  <c r="M51" i="4" s="1"/>
  <c r="I52" i="4"/>
  <c r="J52" i="4"/>
  <c r="M52" i="4" s="1"/>
  <c r="I56" i="4" l="1"/>
  <c r="J56" i="4" s="1"/>
  <c r="M56" i="4" s="1"/>
  <c r="M57" i="4" s="1"/>
  <c r="M5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9"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<sst xmlns="http://schemas.openxmlformats.org/spreadsheetml/2006/main" count="539" uniqueCount="366">
  <si>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</si>
  <si>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</si>
  <si>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</si>
  <si>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</si>
  <si>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</si>
  <si>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</si>
  <si>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</si>
  <si>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</si>
  <si>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</si>
  <si>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</si>
  <si>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</si>
  <si>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</si>
  <si>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</si>
  <si>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</si>
  <si>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</si>
  <si>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</si>
  <si>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</si>
  <si>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</si>
  <si>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</si>
  <si>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</si>
  <si>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</si>
  <si>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</si>
  <si>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</si>
  <si>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</si>
  <si>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</si>
  <si>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</si>
  <si>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</si>
  <si>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</si>
  <si>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</si>
  <si>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</si>
  <si>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</si>
  <si>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</si>
  <si>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</si>
  <si>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</si>
  <si>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</si>
  <si>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</si>
  <si>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</si>
  <si>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</si>
  <si>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</si>
  <si>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</si>
  <si>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</si>
  <si>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</si>
  <si>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</si>
  <si>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</si>
  <si>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</si>
  <si>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</si>
  <si>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</si>
  <si>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</si>
  <si>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</si>
  <si>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</si>
  <si>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</si>
  <si>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</si>
  <si>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</si>
  <si>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</si>
  <si>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</si>
  <si>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</si>
  <si>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</si>
  <si>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</si>
  <si>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</si>
  <si>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</si>
  <si>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</si>
  <si>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</si>
  <si>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</si>
  <si>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</si>
  <si>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</si>
  <si>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</si>
  <si>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</si>
  <si>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</si>
  <si>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</si>
  <si>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</si>
  <si>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</si>
  <si>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</si>
  <si>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</si>
  <si>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</si>
  <si>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</si>
  <si>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</si>
  <si>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</si>
  <si>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</si>
  <si>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</si>
  <si>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</si>
  <si>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</si>
  <si>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</si>
  <si>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</si>
  <si>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</si>
  <si>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</si>
  <si>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</si>
  <si>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</si>
  <si>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</si>
  <si>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</si>
  <si>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</si>
  <si>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</si>
  <si>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</si>
  <si>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</si>
  <si>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</si>
  <si>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</si>
  <si>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</si>
  <si>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</si>
  <si>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</si>
  <si>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</si>
  <si>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</si>
  <si>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</si>
  <si>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</si>
  <si>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</si>
  <si>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</si>
  <si>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</si>
  <si>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</si>
  <si>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</si>
  <si>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</si>
  <si>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</si>
  <si>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</si>
  <si>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</si>
  <si>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</si>
  <si>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</si>
  <si>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</si>
  <si>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</si>
  <si>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</si>
  <si>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</si>
  <si>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</si>
  <si>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</si>
  <si>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</si>
  <si>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</si>
  <si>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</si>
  <si>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</si>
  <si>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</si>
  <si>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</si>
  <si>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</si>
  <si>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</si>
  <si>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</si>
  <si>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</si>
  <si>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</si>
  <si>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</si>
  <si>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</si>
  <si>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</si>
  <si>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</si>
  <si>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</si>
  <si>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</si>
  <si>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</si>
  <si>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</si>
  <si>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</si>
  <si>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</si>
  <si>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</si>
  <si>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</si>
  <si>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</si>
  <si>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</si>
  <si>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</si>
  <si>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</si>
  <si>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</si>
  <si>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</si>
  <si>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</si>
  <si>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</si>
  <si>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</si>
  <si>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</si>
  <si>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</si>
  <si>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</si>
  <si>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</si>
  <si>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</si>
  <si>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</si>
  <si>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</si>
  <si>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</si>
  <si>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</si>
  <si>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</si>
  <si>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</si>
  <si>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</si>
  <si>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</si>
  <si>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</si>
  <si>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</si>
  <si>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</si>
  <si>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</si>
  <si>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</si>
  <si>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</si>
  <si>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</si>
  <si>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</si>
  <si>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</si>
  <si>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</si>
  <si>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</si>
  <si>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</si>
  <si>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</si>
  <si>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</si>
  <si>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</si>
  <si>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</si>
  <si>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</si>
  <si>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</si>
  <si>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</si>
  <si>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</si>
  <si>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</si>
  <si>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</si>
  <si>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</si>
  <si>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</si>
  <si>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</si>
  <si>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</si>
  <si>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</si>
  <si>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</si>
  <si>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</si>
  <si>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</si>
  <si>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</si>
  <si>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</si>
  <si>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</si>
  <si>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</si>
  <si>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</si>
  <si>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</si>
  <si>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</si>
  <si>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</si>
  <si>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</si>
  <si>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</si>
  <si>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</si>
  <si>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</si>
  <si>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</si>
  <si>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</si>
  <si>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</si>
  <si>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</si>
  <si>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</si>
  <si>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</si>
  <si>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</si>
  <si>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</si>
  <si>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</si>
  <si>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</si>
  <si>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</si>
  <si>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</si>
  <si>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</si>
  <si>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</si>
  <si>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ENQ-18775-25-26</t>
  </si>
  <si>
    <t>FA0400106</t>
  </si>
  <si>
    <t>3 CORE X 120 SQ MM + 1 CORE X 125 SQ MM (AB CABLES) (INSULATED) - 11 KV</t>
  </si>
  <si>
    <t>STEEL</t>
  </si>
  <si>
    <t>Alumimium Alloy</t>
  </si>
  <si>
    <t>Extruded Semiconductive</t>
  </si>
  <si>
    <t>KMS</t>
  </si>
  <si>
    <t>SP0400123</t>
  </si>
  <si>
    <t>DRUM - 2000 X 1000 X 1200</t>
  </si>
  <si>
    <t>FA1300004</t>
  </si>
  <si>
    <t>3 CORE X 300 SQ. MM. AL/ARM - STRIP (XLPE) - 11 KV</t>
  </si>
  <si>
    <t>SP0400141</t>
  </si>
  <si>
    <t>CORRUGATED DISPATCH STEEL DRUM 2080 X 1000 X 1400 MM</t>
  </si>
  <si>
    <t>FA1300006</t>
  </si>
  <si>
    <t>3 CORE X 70 SQ. MM. AL/ARM - STRIP (XLPE) - 11 KV</t>
  </si>
  <si>
    <t>SP0400118</t>
  </si>
  <si>
    <t>CORRUGATED DISPATCH STEEL DRUM 1700 X 1000 X 1200</t>
  </si>
  <si>
    <t>FA1300010</t>
  </si>
  <si>
    <t>3 CORE X 400 SQ. MM. AL/ARM - STRIP (XLPE) - 33 KV</t>
  </si>
  <si>
    <t>SP0400105</t>
  </si>
  <si>
    <t>CORRUGATED DISPATCH STEEL DRUM 2500 X 1500 X 1400</t>
  </si>
  <si>
    <t>FA1300015</t>
  </si>
  <si>
    <t>3 CORE X 300 SQ. MM. AL/ARM - STRIP (XLPE) - 33 KV</t>
  </si>
  <si>
    <t>Polypropylene Filler</t>
  </si>
  <si>
    <t>FA1300052</t>
  </si>
  <si>
    <t>3 CORE X 150 SQ. MM. AL/ARM - STRIP (XLPE) - 11 KV</t>
  </si>
  <si>
    <t>SP0400112</t>
  </si>
  <si>
    <t>CORRUGATED DISPATCH STEEL DRUM 2000 X 1000 X 1000 MM</t>
  </si>
  <si>
    <t>PP FILLER</t>
  </si>
  <si>
    <t>NCWT</t>
  </si>
  <si>
    <t>Al Tape (15x0.10)</t>
  </si>
  <si>
    <t>Al Wire Screen</t>
  </si>
  <si>
    <t>CABLE WEIGHT KG/KM</t>
  </si>
  <si>
    <t>DRUM WEIGHT</t>
  </si>
  <si>
    <t>CABLE+DRUM WEIGHT</t>
  </si>
  <si>
    <t>TRAILOR</t>
  </si>
  <si>
    <t>25 MT TRAILOR</t>
  </si>
  <si>
    <t>NOTE:-</t>
  </si>
  <si>
    <t>Please consider the rate of compounds from below mentioned makes :</t>
  </si>
  <si>
    <t>Aluminium conductor - BALCO / HINDALCO / NALCO / VEDANTA</t>
  </si>
  <si>
    <t>Semiconducting compound - DOW / BOREALIS / HANWHA</t>
  </si>
  <si>
    <t>XLPE compound- DOW / BOREALIS / HANWHA</t>
  </si>
  <si>
    <t>Water-swellable semiconducting tape - LANTOR / GECA / MIRACLE / SCAPA / SNEHAM INTERNATIONAL</t>
  </si>
  <si>
    <t>Core identification strips - AVSL INDUSTRIES / YASH POLYMERS / VIJOY POLYMERS</t>
  </si>
  <si>
    <t>PVC fillers-  VIJOY POLYMERS / YASH POLYMERS / AVSL INDUSTRIES</t>
  </si>
  <si>
    <t>Copper Tape - AGGARWAL METAL/INDIAN SMELTING</t>
  </si>
  <si>
    <t>PVC compound - SHAKUN / KALPANA / KLJ / DCM SHRIRAM</t>
  </si>
  <si>
    <t>Galvanized steel armour - TATA STEEL / JINDAL STEEL / SAIL / JSW/BALAJI</t>
  </si>
  <si>
    <t>Noida Power Company Ltd.</t>
  </si>
  <si>
    <t>TENDER SPECIFICATION NO ()</t>
  </si>
  <si>
    <t>TENDER DESCRIPTION  ()</t>
  </si>
  <si>
    <t>Last Date &amp; Time of Submission ()</t>
  </si>
  <si>
    <t>REVERSE AUCTION</t>
  </si>
  <si>
    <t>Purchaser reserves the right to use Reverse Auction through SAP-SRM as an optional tool as an integral part of the entire tendering process. All techno-commercially qualified bidders shall participate in this event.</t>
  </si>
  <si>
    <t>Price ()</t>
  </si>
  <si>
    <t>Validity  ()</t>
  </si>
  <si>
    <t>Bids shall remain valid for 120 days from the due date of submission of the Bid &amp; subsequent corrigendum / amendment / extension of due date of submission.</t>
  </si>
  <si>
    <t>Delivery Period  ()</t>
  </si>
  <si>
    <t>Payment Terms ()</t>
  </si>
  <si>
    <t>Standard length ()</t>
  </si>
  <si>
    <t>Packing  ()</t>
  </si>
  <si>
    <t>Technical Specification</t>
  </si>
  <si>
    <t>NPCL/FY25-26/HTCAB/061</t>
  </si>
  <si>
    <t>TENDER NOTIFICATION FOR 18 MONTHS RATE CONTRACT OF SUPPLY OF HT ABC CABLE &amp; HT CABLES (LOT 3)</t>
  </si>
  <si>
    <t>19.03.2026 up to 15:00 Hours
OPENING ON 19.03.2026 up to 15:00 Hours</t>
  </si>
  <si>
    <t>Prices are as per latest IEEMA PV Formula
The prices shall variable be as per Latest IEEMA Price Variation formula as mentioned below;
P = Po + AIF (AI – Alo) + XLFAL(CC-Cco)+ SMIF (SMIF-SMIF0) + FeF(FeF-FeF0) + CCFAI (PVCc - PVCco)
All #0# denoted input prices in the formula (Al0, CC0, SMIF0, PVCc0, Fe0, etc.) shall be as per IEEMA Circulars of January 2026 (Published in February 2026).
P = P₀ + Alph × n × (Al - Al₀) + Alm × (Al - Al₀) + CUFtph × n × (Cu - Cu₀)+ CCF1Alph × n × (CC - CC₀) + CCF2Alph × n × (PVCc - PVCc₀) + CCFAlm × (CC - CC₀)
This price shall be as per IEEMA Circulars of January 2026 (Published in February 2026).</t>
  </si>
  <si>
    <t>90 Days from the date of issuance of LOI / Order; however, firm delivery dates will be mentioned in the LOI / Order.</t>
  </si>
  <si>
    <t>15% Basic value of Release Order payment shall be paid as interest free advance against submission of Advance Bank Guarantee (ABG) of a nationalized/scheduled bank(s) located at State Capital/Delhi NCR, payable at Delhi/Noida / Corporate Guarantee as may be acceptable to the NPCL, for the equal amount valid up to the PO supply completion period plus 3 months claim period. In case of delay, the BG shall be extended suitably by the bidder. Bidder can request to submit Corporate guarantee in place of ABG, Same request can be considered with discretion of NPCL management only.
80% Payment shall be released on pro-rata basic within 45 days from the receipt of material at NPCL site with complete set of documents as mentioned in order. Your invoices complete in all respect along with all required documents should reach our office within 3 days. Any delay in submission of any of these documents will be to your account. It may please be noted that for payment purposes the date of receipt of documents will be considered on the basis of the date of receipt of last document, in case partial documents were received earlier.
Balance 5% payment shall be released against submission of the Performance Bank Guarantee (PBG) of 5% of PO/Contract value valid up to defect liability period Plus 3 months towards the Claim Period.</t>
  </si>
  <si>
    <t>33kv 3 core = 500 meters ±2%
11kv 3 core = 500 meters ±2%
11kv 3cx120+150 = 500 meter +/-5%</t>
  </si>
  <si>
    <t>33kv 3 core =  Non-returnable MS steel drum
11kv 3 core =  Non-returnable MS steel drum
11kv 3cx120+150 = Cable shall be supplied in wooden drum conforming to IS:10418</t>
  </si>
  <si>
    <t>EX-WORKS (PER MTR</t>
  </si>
  <si>
    <t>FREIGHT PER MTR</t>
  </si>
  <si>
    <t>PRICE INCLUDING FREIGHT (PER MTR)</t>
  </si>
  <si>
    <t>PRICE INCLUDING GST &amp; FREIGHT (PER MTR)</t>
  </si>
  <si>
    <t>MTR</t>
  </si>
  <si>
    <t>PV FORMULA</t>
  </si>
  <si>
    <t>VALUE ADDITION CALCULATION</t>
  </si>
  <si>
    <t>Item</t>
  </si>
  <si>
    <t>Calculation part</t>
  </si>
  <si>
    <t>Date of Inspection</t>
  </si>
  <si>
    <t>Applicable Date</t>
  </si>
  <si>
    <t>FACTORS</t>
  </si>
  <si>
    <t>Ex-Work
Po</t>
  </si>
  <si>
    <t>PVC of al</t>
  </si>
  <si>
    <t>PVC of Cu</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</si>
  <si>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</si>
  <si>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</si>
  <si>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</si>
  <si>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</si>
  <si>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</si>
  <si>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</si>
  <si>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</si>
  <si>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</si>
  <si>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</si>
  <si>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</si>
  <si>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</si>
  <si>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</si>
  <si>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</si>
  <si>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</si>
  <si>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</si>
  <si>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</si>
  <si>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</si>
  <si>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</si>
  <si>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</si>
  <si>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</si>
  <si>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</si>
  <si>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</si>
  <si>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</si>
  <si>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</si>
  <si>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</si>
  <si>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</si>
  <si>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</si>
  <si>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XLFAL</t>
  </si>
  <si>
    <t>CCFAI</t>
  </si>
  <si>
    <t>CCFCu</t>
  </si>
  <si>
    <t>FeF</t>
  </si>
  <si>
    <t>Smif</t>
  </si>
  <si>
    <t>Kg/Km</t>
  </si>
  <si>
    <t>PROVISIONAL</t>
  </si>
  <si>
    <t>PV Terms (IEEMA CIRCULAR)</t>
  </si>
  <si>
    <t>PV FORMULA (IEEMA)</t>
  </si>
  <si>
    <t>PVC of Al</t>
  </si>
  <si>
    <t>PVC of AlM</t>
  </si>
  <si>
    <t>PVC of Alsl</t>
  </si>
  <si>
    <t>PVC of Cuftph</t>
  </si>
  <si>
    <t xml:space="preserve">PVC of CCFAIph </t>
  </si>
  <si>
    <t xml:space="preserve">PVC of CCF1AIph </t>
  </si>
  <si>
    <t>PVC of CCFAIm</t>
  </si>
  <si>
    <t xml:space="preserve">PVC of CCF2AIph </t>
  </si>
  <si>
    <t>PVC of CCFAIsl</t>
  </si>
  <si>
    <r>
      <t>VALUE ADDITION CALCULATION</t>
    </r>
    <r>
      <rPr>
        <b/>
        <sz val="10"/>
        <color indexed="10"/>
        <rFont val="Arial"/>
        <family val="2"/>
      </rPr>
      <t xml:space="preserve"> WITH RESPECT TO PERCENTAGE</t>
    </r>
  </si>
  <si>
    <t>CC</t>
  </si>
  <si>
    <t>PVCC</t>
  </si>
  <si>
    <t>n</t>
  </si>
  <si>
    <t xml:space="preserve">Alph </t>
  </si>
  <si>
    <t>Alm</t>
  </si>
  <si>
    <t>Alsl</t>
  </si>
  <si>
    <t>CuFtph</t>
  </si>
  <si>
    <t>CCFAIph</t>
  </si>
  <si>
    <t>CCF1AIph</t>
  </si>
  <si>
    <t>CCFAIm</t>
  </si>
  <si>
    <t>CCF2AIph</t>
  </si>
  <si>
    <t>CCFAIsl</t>
  </si>
  <si>
    <t>Net VA %</t>
  </si>
  <si>
    <t>The prices shall variable be as per Latest IEEMA Price Variation formula as mentioned below;
P = Po + AIF (AI – Alo) + XLFAL(CC-Cco)+ SMIF (SMIF-SMIF0) + FeF(FeF-FeF0) + CCFAI (PVCc - PVCco)
All #0# denoted input prices in the formula (Al0, CC0, SMIF0, PVCc0, Fe0, etc.) shall be as per IEEMA Circulars of January 2026 (Published in February 2026).</t>
  </si>
  <si>
    <t>The prices shall variable be as per Latest IEEMA Price Variation formula as mentioned below;
P = P₀ + Alph × n × (Al - Al₀) + Alm × (Al - Al₀) + CUFtph × n × (Cu - Cu₀)+ CCF1Alph × n × (CC - CC₀) + CCF2Alph × n × (PVCc - PVCc₀) + CCFAlm × (CC - CC₀)
This price shall be as per IEEMA Circulars of January 2026 (Published in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</si>
</sst>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1" formatCode="0.0000"/>
    <numFmt numFmtId="172" formatCode="&quot;Rs.&quot;#,##0"/>
    <numFmt numFmtId="173" formatCode="0.0"/>
    <numFmt numFmtId="174" formatCode="0.000"/>
    <numFmt numFmtId="175" formatCode="0.00000"/>
  </numFmts>
  <fonts count="6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Verdana"/>
      <family val="2"/>
    </font>
    <font>
      <b/>
      <sz val="10"/>
      <name val="Calibri"/>
      <family val="2"/>
      <scheme val="minor"/>
    </font>
    <font>
      <sz val="10"/>
      <name val="Arial"/>
      <family val="2"/>
    </font>
    <font>
      <sz val="10"/>
      <name val="Calibri"/>
      <family val="2"/>
      <scheme val="minor"/>
    </font>
    <font>
      <b/>
      <sz val="12"/>
      <color theme="1"/>
      <name val="Times New Roman"/>
      <family val="1"/>
    </font>
    <font>
      <sz val="11"/>
      <color theme="1"/>
      <name val="Times New Roman"/>
      <family val="1"/>
    </font>
    <font>
      <sz val="12"/>
      <color theme="1"/>
      <name val="Times New Roman"/>
      <family val="1"/>
    </font>
    <font>
      <b/>
      <sz val="10"/>
      <name val="Arial"/>
      <family val="2"/>
    </font>
    <font>
      <sz val="10"/>
      <color rgb="FFFF0000"/>
      <name val="Calibri"/>
      <family val="2"/>
      <scheme val="minor"/>
    </font>
    <font>
      <b/>
      <sz val="12"/>
      <name val="Calibri"/>
      <family val="2"/>
      <scheme val="minor"/>
    </font>
    <font>
      <b/>
      <sz val="11"/>
      <name val="Calibri"/>
      <family val="2"/>
      <scheme val="minor"/>
    </font>
    <font>
      <b/>
      <sz val="10"/>
      <color indexed="10"/>
      <name val="Arial"/>
      <family val="2"/>
    </font>
    <font>
      <sz val="10"/>
      <color rgb="FF000000"/>
      <name val="Calibri"/>
      <family val="2"/>
      <scheme val="minor"/>
    </font>
  </fonts>
  <fills count="14">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cellStyleXfs>
  <cellXfs count="339">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30" fillId="8" borderId="1" xfId="0" applyFont="1" applyFill="1" applyBorder="1" applyAlignment="1">
      <alignment horizontal="center" vertical="center" wrapText="1"/>
    </xf>
    <xf numFmtId="3" fontId="0" fillId="0" borderId="0" xfId="0" applyNumberFormat="1" applyAlignment="1">
      <alignment wrapText="1"/>
    </xf>
    <xf numFmtId="164" fontId="0" fillId="0" borderId="1" xfId="1" applyFont="1" applyBorder="1" applyAlignment="1">
      <alignment vertical="center" wrapText="1"/>
    </xf>
    <xf numFmtId="0" fontId="2" fillId="8" borderId="6" xfId="0" applyFont="1" applyFill="1" applyBorder="1" applyAlignment="1">
      <alignment horizontal="center" vertical="center"/>
    </xf>
    <xf numFmtId="0" fontId="2" fillId="0" borderId="1" xfId="0" applyFont="1" applyBorder="1" applyAlignment="1">
      <alignment vertical="center"/>
    </xf>
    <xf numFmtId="0" fontId="2" fillId="8" borderId="7" xfId="0" applyFont="1" applyFill="1" applyBorder="1" applyAlignment="1">
      <alignment horizontal="center" vertical="center"/>
    </xf>
    <xf numFmtId="0" fontId="2" fillId="0" borderId="1" xfId="0" applyFont="1" applyBorder="1" applyAlignment="1">
      <alignment horizontal="left" vertical="center"/>
    </xf>
    <xf numFmtId="0" fontId="2" fillId="8" borderId="8" xfId="0" applyFont="1" applyFill="1" applyBorder="1" applyAlignment="1">
      <alignment horizontal="center" vertical="center"/>
    </xf>
    <xf numFmtId="0" fontId="0" fillId="0" borderId="0" xfId="0" applyAlignment="1">
      <alignment vertical="top"/>
    </xf>
    <xf numFmtId="0" fontId="50" fillId="0" borderId="9" xfId="0" applyFont="1" applyBorder="1" applyAlignment="1">
      <alignment horizontal="center" vertical="top"/>
    </xf>
    <xf numFmtId="0" fontId="50" fillId="0" borderId="10" xfId="0" applyFont="1" applyBorder="1" applyAlignment="1">
      <alignment horizontal="center" vertical="top"/>
    </xf>
    <xf numFmtId="0" fontId="50" fillId="0" borderId="11" xfId="0" applyFont="1" applyBorder="1" applyAlignment="1">
      <alignment horizontal="center" vertical="top"/>
    </xf>
    <xf numFmtId="0" fontId="2" fillId="9" borderId="12" xfId="0" applyFont="1" applyFill="1" applyBorder="1" applyAlignment="1">
      <alignment vertical="top" wrapText="1"/>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2" fillId="9" borderId="13" xfId="0" applyFont="1" applyFill="1" applyBorder="1" applyAlignment="1">
      <alignment vertical="top" wrapText="1"/>
    </xf>
    <xf numFmtId="0" fontId="51" fillId="0" borderId="1" xfId="0" quotePrefix="1"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2" fillId="9" borderId="1" xfId="0" applyFont="1" applyFill="1" applyBorder="1" applyAlignment="1">
      <alignment vertical="top" wrapText="1"/>
    </xf>
    <xf numFmtId="0" fontId="0" fillId="0" borderId="1" xfId="0" applyBorder="1" applyAlignment="1">
      <alignment vertical="top" wrapText="1"/>
    </xf>
    <xf numFmtId="0" fontId="2" fillId="0" borderId="0" xfId="0" applyFont="1" applyAlignment="1">
      <alignment vertical="top" wrapText="1"/>
    </xf>
    <xf numFmtId="164" fontId="0" fillId="0" borderId="0" xfId="1" applyFont="1" applyAlignment="1">
      <alignment vertical="top"/>
    </xf>
    <xf numFmtId="9" fontId="0" fillId="0" borderId="0" xfId="2" applyFont="1" applyAlignment="1">
      <alignment vertical="top"/>
    </xf>
    <xf numFmtId="0" fontId="0" fillId="0" borderId="0" xfId="0" applyAlignment="1">
      <alignment vertical="top" wrapText="1"/>
    </xf>
    <xf numFmtId="164" fontId="0" fillId="0" borderId="0" xfId="0" applyNumberFormat="1"/>
    <xf numFmtId="0" fontId="47" fillId="0" borderId="1" xfId="6" applyBorder="1" applyAlignment="1">
      <alignment horizontal="center" vertical="center"/>
    </xf>
    <xf numFmtId="14" fontId="52" fillId="9" borderId="2" xfId="6" applyNumberFormat="1" applyFont="1" applyFill="1" applyBorder="1" applyAlignment="1">
      <alignment horizontal="center" vertical="center"/>
    </xf>
    <xf numFmtId="0" fontId="52" fillId="9" borderId="3" xfId="6" applyFont="1" applyFill="1" applyBorder="1" applyAlignment="1">
      <alignment horizontal="center" vertical="center"/>
    </xf>
    <xf numFmtId="0" fontId="52" fillId="9" borderId="4" xfId="6" applyFont="1" applyFill="1" applyBorder="1" applyAlignment="1">
      <alignment horizontal="center" vertical="center"/>
    </xf>
    <xf numFmtId="0" fontId="53" fillId="0" borderId="0" xfId="6" applyFont="1" applyAlignment="1">
      <alignment horizontal="center" vertical="center"/>
    </xf>
    <xf numFmtId="0" fontId="55" fillId="0" borderId="0" xfId="7" applyFont="1" applyAlignment="1">
      <alignment horizontal="center" vertical="center"/>
    </xf>
    <xf numFmtId="0" fontId="47" fillId="0" borderId="0" xfId="6" applyAlignment="1">
      <alignment horizontal="center" vertical="center"/>
    </xf>
    <xf numFmtId="0" fontId="53" fillId="0" borderId="1" xfId="6" applyFont="1" applyBorder="1" applyAlignment="1">
      <alignment horizontal="center" vertical="center"/>
    </xf>
    <xf numFmtId="0" fontId="53" fillId="0" borderId="2" xfId="6" applyFont="1" applyBorder="1" applyAlignment="1">
      <alignment horizontal="center" vertical="center"/>
    </xf>
    <xf numFmtId="0" fontId="56" fillId="0" borderId="14" xfId="0" applyFont="1" applyBorder="1" applyAlignment="1">
      <alignment vertical="center"/>
    </xf>
    <xf numFmtId="0" fontId="56" fillId="0" borderId="0" xfId="0" applyFont="1" applyAlignment="1">
      <alignment vertical="center"/>
    </xf>
    <xf numFmtId="0" fontId="56" fillId="0" borderId="0" xfId="0" applyFont="1" applyAlignment="1">
      <alignment horizontal="center" vertical="center"/>
    </xf>
    <xf numFmtId="0" fontId="53" fillId="0" borderId="0" xfId="6" applyFont="1"/>
    <xf numFmtId="0" fontId="55" fillId="0" borderId="0" xfId="7" applyFont="1"/>
    <xf numFmtId="0" fontId="47" fillId="0" borderId="0" xfId="6"/>
    <xf numFmtId="0" fontId="53" fillId="0" borderId="1" xfId="6" applyFont="1" applyBorder="1" applyAlignment="1">
      <alignment horizontal="center" vertical="center" wrapText="1"/>
    </xf>
    <xf numFmtId="0" fontId="57" fillId="0" borderId="14" xfId="0" applyFont="1" applyBorder="1" applyAlignment="1">
      <alignment horizontal="justify" vertical="center"/>
    </xf>
    <xf numFmtId="0" fontId="58" fillId="0" borderId="0" xfId="0" applyFont="1" applyAlignment="1">
      <alignment vertical="center"/>
    </xf>
    <xf numFmtId="0" fontId="53" fillId="0" borderId="0" xfId="6" applyFont="1" applyAlignment="1">
      <alignment vertical="center"/>
    </xf>
    <xf numFmtId="0" fontId="47" fillId="0" borderId="0" xfId="6" applyAlignment="1">
      <alignment horizontal="center"/>
    </xf>
    <xf numFmtId="171" fontId="53" fillId="0" borderId="0" xfId="6" applyNumberFormat="1" applyFont="1" applyAlignment="1">
      <alignment vertical="center"/>
    </xf>
    <xf numFmtId="0" fontId="47" fillId="0" borderId="0" xfId="6" applyAlignment="1">
      <alignment horizontal="center"/>
    </xf>
    <xf numFmtId="0" fontId="55" fillId="0" borderId="0" xfId="6" applyFont="1" applyAlignment="1">
      <alignment horizontal="center"/>
    </xf>
    <xf numFmtId="14" fontId="55" fillId="0" borderId="0" xfId="6" applyNumberFormat="1" applyFont="1" applyAlignment="1">
      <alignment horizontal="center"/>
    </xf>
    <xf numFmtId="0" fontId="59" fillId="0" borderId="12" xfId="7" applyFont="1" applyBorder="1" applyAlignment="1">
      <alignment horizontal="center" vertical="center"/>
    </xf>
    <xf numFmtId="0" fontId="59" fillId="0" borderId="15" xfId="7" applyFont="1" applyBorder="1" applyAlignment="1">
      <alignment horizontal="center" vertical="center"/>
    </xf>
    <xf numFmtId="0" fontId="59" fillId="0" borderId="16" xfId="7" applyFont="1" applyBorder="1" applyAlignment="1">
      <alignment horizontal="center" vertical="center"/>
    </xf>
    <xf numFmtId="0" fontId="52" fillId="0" borderId="17" xfId="6" applyFont="1" applyBorder="1" applyAlignment="1">
      <alignment horizontal="center" vertical="center"/>
    </xf>
    <xf numFmtId="0" fontId="52" fillId="0" borderId="17" xfId="6" applyFont="1" applyBorder="1" applyAlignment="1">
      <alignment horizontal="center" vertical="center" wrapText="1"/>
    </xf>
    <xf numFmtId="0" fontId="53" fillId="0" borderId="18" xfId="7" applyFont="1" applyBorder="1" applyAlignment="1">
      <alignment horizontal="center" vertical="center" wrapText="1"/>
    </xf>
    <xf numFmtId="0" fontId="53" fillId="0" borderId="12" xfId="7" applyFont="1" applyBorder="1" applyAlignment="1">
      <alignment horizontal="center" vertical="center" wrapText="1"/>
    </xf>
    <xf numFmtId="0" fontId="53" fillId="0" borderId="15" xfId="7" applyFont="1" applyBorder="1" applyAlignment="1">
      <alignment horizontal="center" vertical="center" wrapText="1"/>
    </xf>
    <xf numFmtId="0" fontId="53" fillId="0" borderId="16" xfId="7" applyFont="1" applyBorder="1" applyAlignment="1">
      <alignment horizontal="center" vertical="center" wrapText="1"/>
    </xf>
    <xf numFmtId="0" fontId="53" fillId="0" borderId="19" xfId="7" applyFont="1" applyBorder="1" applyAlignment="1">
      <alignment horizontal="center" vertical="center" wrapText="1"/>
    </xf>
    <xf numFmtId="0" fontId="53" fillId="0" borderId="20" xfId="7" applyFont="1" applyBorder="1" applyAlignment="1">
      <alignment horizontal="center" vertical="center" wrapText="1"/>
    </xf>
    <xf numFmtId="0" fontId="59" fillId="0" borderId="4" xfId="7" applyFont="1" applyBorder="1" applyAlignment="1">
      <alignment horizontal="center" vertical="center"/>
    </xf>
    <xf numFmtId="0" fontId="59" fillId="0" borderId="1" xfId="7" applyFont="1" applyBorder="1" applyAlignment="1">
      <alignment horizontal="center" vertical="center"/>
    </xf>
    <xf numFmtId="0" fontId="59" fillId="0" borderId="21" xfId="7" applyFont="1" applyBorder="1" applyAlignment="1">
      <alignment horizontal="center" vertical="center"/>
    </xf>
    <xf numFmtId="0" fontId="52" fillId="0" borderId="22" xfId="6" applyFont="1" applyBorder="1" applyAlignment="1">
      <alignment horizontal="center" vertical="center"/>
    </xf>
    <xf numFmtId="0" fontId="52" fillId="0" borderId="22" xfId="6" applyFont="1" applyBorder="1" applyAlignment="1">
      <alignment horizontal="center" vertical="center" wrapText="1"/>
    </xf>
    <xf numFmtId="0" fontId="53" fillId="0" borderId="0" xfId="7" applyFont="1" applyAlignment="1">
      <alignment horizontal="center" vertical="center" wrapText="1"/>
    </xf>
    <xf numFmtId="0" fontId="53" fillId="0" borderId="13" xfId="7" applyFont="1" applyBorder="1" applyAlignment="1">
      <alignment horizontal="center" vertical="center" wrapText="1"/>
    </xf>
    <xf numFmtId="0" fontId="53" fillId="0" borderId="1" xfId="7" applyFont="1" applyBorder="1" applyAlignment="1">
      <alignment horizontal="center" vertical="center" wrapText="1"/>
    </xf>
    <xf numFmtId="0" fontId="53" fillId="0" borderId="21" xfId="7" applyFont="1" applyBorder="1" applyAlignment="1">
      <alignment horizontal="center" vertical="center" wrapText="1"/>
    </xf>
    <xf numFmtId="0" fontId="53" fillId="0" borderId="6" xfId="7" applyFont="1" applyBorder="1" applyAlignment="1">
      <alignment horizontal="center" vertical="center" wrapText="1"/>
    </xf>
    <xf numFmtId="0" fontId="53" fillId="0" borderId="23" xfId="7" applyFont="1" applyBorder="1" applyAlignment="1">
      <alignment horizontal="center" vertical="center" wrapText="1"/>
    </xf>
    <xf numFmtId="0" fontId="53" fillId="0" borderId="24" xfId="7" applyFont="1" applyBorder="1" applyAlignment="1">
      <alignment horizontal="center" vertical="center" wrapText="1"/>
    </xf>
    <xf numFmtId="0" fontId="59" fillId="0" borderId="4" xfId="7" applyFont="1" applyBorder="1" applyAlignment="1">
      <alignment horizontal="center" vertical="center" wrapText="1"/>
    </xf>
    <xf numFmtId="0" fontId="59" fillId="0" borderId="1" xfId="7" applyFont="1" applyBorder="1" applyAlignment="1">
      <alignment horizontal="center" vertical="center" wrapText="1"/>
    </xf>
    <xf numFmtId="0" fontId="59" fillId="0" borderId="6" xfId="7" applyFont="1" applyBorder="1" applyAlignment="1">
      <alignment horizontal="center" vertical="center" wrapText="1"/>
    </xf>
    <xf numFmtId="0" fontId="59" fillId="0" borderId="25" xfId="7" applyFont="1" applyBorder="1" applyAlignment="1">
      <alignment horizontal="center" vertical="center" wrapText="1"/>
    </xf>
    <xf numFmtId="0" fontId="53" fillId="0" borderId="5" xfId="7" applyFont="1" applyBorder="1" applyAlignment="1">
      <alignment horizontal="center" vertical="center" wrapText="1"/>
    </xf>
    <xf numFmtId="0" fontId="53" fillId="0" borderId="8" xfId="7" applyFont="1" applyBorder="1" applyAlignment="1">
      <alignment horizontal="center" vertical="center" wrapText="1"/>
    </xf>
    <xf numFmtId="0" fontId="53" fillId="0" borderId="26" xfId="7" applyFont="1" applyBorder="1" applyAlignment="1">
      <alignment horizontal="center" vertical="center" wrapText="1"/>
    </xf>
    <xf numFmtId="0" fontId="53" fillId="0" borderId="13" xfId="7" applyFont="1" applyBorder="1" applyAlignment="1">
      <alignment horizontal="center" vertical="center" wrapText="1"/>
    </xf>
    <xf numFmtId="0" fontId="53" fillId="0" borderId="1" xfId="7" applyFont="1" applyBorder="1" applyAlignment="1">
      <alignment horizontal="center" vertical="center" wrapText="1"/>
    </xf>
    <xf numFmtId="0" fontId="53" fillId="0" borderId="21" xfId="7" applyFont="1" applyBorder="1" applyAlignment="1">
      <alignment horizontal="center" vertical="center" wrapText="1"/>
    </xf>
    <xf numFmtId="172" fontId="59" fillId="0" borderId="4" xfId="7" applyNumberFormat="1" applyFont="1" applyBorder="1" applyAlignment="1">
      <alignment horizontal="center" vertical="center" wrapText="1"/>
    </xf>
    <xf numFmtId="0" fontId="59" fillId="0" borderId="7" xfId="7" applyFont="1" applyBorder="1" applyAlignment="1">
      <alignment horizontal="center" vertical="center" wrapText="1"/>
    </xf>
    <xf numFmtId="0" fontId="59" fillId="0" borderId="27" xfId="7" applyFont="1" applyBorder="1" applyAlignment="1">
      <alignment horizontal="center" vertical="center" wrapText="1"/>
    </xf>
    <xf numFmtId="0" fontId="47" fillId="0" borderId="17" xfId="6" applyBorder="1"/>
    <xf numFmtId="0" fontId="55" fillId="0" borderId="13" xfId="7" applyFont="1" applyBorder="1" applyAlignment="1">
      <alignment horizontal="left" vertical="center" wrapText="1"/>
    </xf>
    <xf numFmtId="14" fontId="55" fillId="0" borderId="1" xfId="7" applyNumberFormat="1" applyFont="1" applyBorder="1" applyAlignment="1">
      <alignment horizontal="center" vertical="center" wrapText="1"/>
    </xf>
    <xf numFmtId="14" fontId="55" fillId="0" borderId="21" xfId="7" applyNumberFormat="1" applyFont="1" applyBorder="1" applyAlignment="1">
      <alignment horizontal="center" vertical="center" wrapText="1"/>
    </xf>
    <xf numFmtId="14" fontId="55" fillId="0" borderId="13" xfId="7" applyNumberFormat="1" applyFont="1" applyBorder="1" applyAlignment="1">
      <alignment horizontal="center" vertical="center" wrapText="1"/>
    </xf>
    <xf numFmtId="14" fontId="55" fillId="0" borderId="2" xfId="7" applyNumberFormat="1" applyFont="1" applyBorder="1" applyAlignment="1">
      <alignment horizontal="center" vertical="center" wrapText="1"/>
    </xf>
    <xf numFmtId="2" fontId="53" fillId="0" borderId="13" xfId="7" applyNumberFormat="1" applyFont="1" applyBorder="1" applyAlignment="1">
      <alignment horizontal="center" vertical="center" wrapText="1"/>
    </xf>
    <xf numFmtId="2" fontId="53" fillId="0" borderId="1" xfId="7" applyNumberFormat="1" applyFont="1" applyBorder="1" applyAlignment="1">
      <alignment horizontal="center" vertical="center" wrapText="1"/>
    </xf>
    <xf numFmtId="2" fontId="53" fillId="0" borderId="21" xfId="7" applyNumberFormat="1" applyFont="1" applyBorder="1" applyAlignment="1">
      <alignment horizontal="center" vertical="center" wrapText="1"/>
    </xf>
    <xf numFmtId="2" fontId="53" fillId="0" borderId="24" xfId="7" applyNumberFormat="1" applyFont="1" applyBorder="1" applyAlignment="1">
      <alignment horizontal="center" vertical="center" wrapText="1"/>
    </xf>
    <xf numFmtId="0" fontId="55" fillId="0" borderId="24" xfId="7" applyFont="1" applyBorder="1" applyAlignment="1">
      <alignment horizontal="center" vertical="center" wrapText="1"/>
    </xf>
    <xf numFmtId="0" fontId="59" fillId="0" borderId="8" xfId="7" applyFont="1" applyBorder="1" applyAlignment="1">
      <alignment horizontal="center" vertical="center" wrapText="1"/>
    </xf>
    <xf numFmtId="0" fontId="59" fillId="0" borderId="28" xfId="7" applyFont="1" applyBorder="1" applyAlignment="1">
      <alignment horizontal="center" vertical="center" wrapText="1"/>
    </xf>
    <xf numFmtId="0" fontId="47" fillId="0" borderId="24" xfId="6" applyBorder="1" applyAlignment="1">
      <alignment wrapText="1"/>
    </xf>
    <xf numFmtId="0" fontId="47" fillId="0" borderId="24" xfId="6" applyBorder="1"/>
    <xf numFmtId="14" fontId="60" fillId="0" borderId="29" xfId="7" applyNumberFormat="1" applyFont="1" applyBorder="1" applyAlignment="1">
      <alignment horizontal="center" vertical="center" wrapText="1"/>
    </xf>
    <xf numFmtId="14" fontId="60" fillId="10" borderId="13" xfId="7" applyNumberFormat="1" applyFont="1" applyFill="1" applyBorder="1" applyAlignment="1">
      <alignment horizontal="center" vertical="center" wrapText="1"/>
    </xf>
    <xf numFmtId="14" fontId="53" fillId="10" borderId="13" xfId="7" applyNumberFormat="1" applyFont="1" applyFill="1" applyBorder="1" applyAlignment="1">
      <alignment horizontal="center" vertical="center" wrapText="1"/>
    </xf>
    <xf numFmtId="174" fontId="55" fillId="0" borderId="13" xfId="7" applyNumberFormat="1" applyFont="1" applyBorder="1" applyAlignment="1">
      <alignment horizontal="center" vertical="center" wrapText="1"/>
    </xf>
    <xf numFmtId="174" fontId="55" fillId="0" borderId="1" xfId="7" applyNumberFormat="1" applyFont="1" applyBorder="1" applyAlignment="1">
      <alignment horizontal="center" vertical="center" wrapText="1"/>
    </xf>
    <xf numFmtId="171" fontId="55" fillId="0" borderId="21" xfId="7" applyNumberFormat="1" applyFont="1" applyBorder="1" applyAlignment="1">
      <alignment horizontal="center" vertical="center" wrapText="1"/>
    </xf>
    <xf numFmtId="174" fontId="55" fillId="0" borderId="21" xfId="7" applyNumberFormat="1" applyFont="1" applyBorder="1" applyAlignment="1">
      <alignment horizontal="center" vertical="center" wrapText="1"/>
    </xf>
    <xf numFmtId="174" fontId="54" fillId="0" borderId="4" xfId="7" applyNumberFormat="1" applyBorder="1" applyAlignment="1">
      <alignment vertical="center"/>
    </xf>
    <xf numFmtId="174" fontId="54" fillId="0" borderId="1" xfId="7" applyNumberFormat="1" applyBorder="1" applyAlignment="1">
      <alignment vertical="center"/>
    </xf>
    <xf numFmtId="2" fontId="54" fillId="0" borderId="1" xfId="7" applyNumberFormat="1" applyBorder="1" applyAlignment="1">
      <alignment vertical="center"/>
    </xf>
    <xf numFmtId="2" fontId="59" fillId="0" borderId="21" xfId="7" applyNumberFormat="1" applyFont="1" applyBorder="1" applyAlignment="1">
      <alignment vertical="center"/>
    </xf>
    <xf numFmtId="0" fontId="47" fillId="0" borderId="30" xfId="6" applyBorder="1" applyAlignment="1">
      <alignment wrapText="1"/>
    </xf>
    <xf numFmtId="14" fontId="55" fillId="0" borderId="31" xfId="7" applyNumberFormat="1" applyFont="1" applyBorder="1" applyAlignment="1">
      <alignment horizontal="center" vertical="center" wrapText="1"/>
    </xf>
    <xf numFmtId="14" fontId="55" fillId="0" borderId="32" xfId="7" applyNumberFormat="1" applyFont="1" applyBorder="1" applyAlignment="1">
      <alignment horizontal="center" vertical="center" wrapText="1"/>
    </xf>
    <xf numFmtId="2" fontId="55" fillId="0" borderId="33" xfId="7" applyNumberFormat="1" applyFont="1" applyBorder="1" applyAlignment="1">
      <alignment horizontal="center" vertical="center" wrapText="1"/>
    </xf>
    <xf numFmtId="2" fontId="55" fillId="0" borderId="34" xfId="7" applyNumberFormat="1" applyFont="1" applyBorder="1" applyAlignment="1">
      <alignment horizontal="center" vertical="center" wrapText="1"/>
    </xf>
    <xf numFmtId="2" fontId="55" fillId="0" borderId="32" xfId="7" applyNumberFormat="1" applyFont="1" applyBorder="1" applyAlignment="1">
      <alignment horizontal="center" vertical="center" wrapText="1"/>
    </xf>
    <xf numFmtId="173" fontId="55" fillId="0" borderId="33" xfId="7" applyNumberFormat="1" applyFont="1" applyBorder="1" applyAlignment="1">
      <alignment horizontal="center" vertical="center" wrapText="1"/>
    </xf>
    <xf numFmtId="173" fontId="55" fillId="0" borderId="35" xfId="7" applyNumberFormat="1" applyFont="1" applyBorder="1" applyAlignment="1">
      <alignment horizontal="center" vertical="center" wrapText="1"/>
    </xf>
    <xf numFmtId="2" fontId="55" fillId="0" borderId="36" xfId="7" applyNumberFormat="1" applyFont="1" applyBorder="1" applyAlignment="1">
      <alignment horizontal="center" vertical="center" wrapText="1"/>
    </xf>
    <xf numFmtId="175" fontId="55" fillId="0" borderId="32" xfId="7" applyNumberFormat="1" applyFont="1" applyBorder="1" applyAlignment="1">
      <alignment vertical="center" wrapText="1"/>
    </xf>
    <xf numFmtId="175" fontId="55" fillId="0" borderId="33" xfId="7" applyNumberFormat="1" applyFont="1" applyBorder="1" applyAlignment="1">
      <alignment vertical="center" wrapText="1"/>
    </xf>
    <xf numFmtId="175" fontId="55" fillId="0" borderId="34" xfId="7" applyNumberFormat="1" applyFont="1" applyBorder="1" applyAlignment="1">
      <alignment vertical="center" wrapText="1"/>
    </xf>
    <xf numFmtId="171" fontId="55" fillId="0" borderId="36" xfId="7" applyNumberFormat="1" applyFont="1" applyBorder="1" applyAlignment="1">
      <alignment horizontal="center" vertical="center" wrapText="1"/>
    </xf>
    <xf numFmtId="0" fontId="47" fillId="0" borderId="37" xfId="6" applyBorder="1"/>
    <xf numFmtId="0" fontId="47" fillId="0" borderId="38" xfId="6" applyBorder="1"/>
    <xf numFmtId="0" fontId="47" fillId="0" borderId="0" xfId="6" applyAlignment="1">
      <alignment wrapText="1"/>
    </xf>
    <xf numFmtId="0" fontId="52" fillId="0" borderId="0" xfId="6" applyFont="1"/>
    <xf numFmtId="14" fontId="47" fillId="0" borderId="0" xfId="6" applyNumberFormat="1"/>
    <xf numFmtId="0" fontId="61" fillId="0" borderId="39" xfId="6" applyFont="1" applyBorder="1" applyAlignment="1">
      <alignment horizontal="center" vertical="center" wrapText="1"/>
    </xf>
    <xf numFmtId="0" fontId="61" fillId="0" borderId="40" xfId="6" applyFont="1" applyBorder="1" applyAlignment="1">
      <alignment horizontal="center" vertical="center"/>
    </xf>
    <xf numFmtId="0" fontId="61" fillId="0" borderId="41" xfId="6" applyFont="1" applyBorder="1" applyAlignment="1">
      <alignment horizontal="center" vertical="center"/>
    </xf>
    <xf numFmtId="0" fontId="61" fillId="0" borderId="0" xfId="6" applyFont="1" applyAlignment="1">
      <alignment horizontal="center" vertical="center"/>
    </xf>
    <xf numFmtId="0" fontId="52" fillId="0" borderId="9" xfId="6" applyFont="1" applyBorder="1" applyAlignment="1">
      <alignment horizontal="center" vertical="center"/>
    </xf>
    <xf numFmtId="14" fontId="52" fillId="0" borderId="9" xfId="6" applyNumberFormat="1" applyFont="1" applyBorder="1" applyAlignment="1">
      <alignment horizontal="center" vertical="center"/>
    </xf>
    <xf numFmtId="0" fontId="52" fillId="0" borderId="10" xfId="6" applyFont="1" applyBorder="1" applyAlignment="1">
      <alignment horizontal="center" vertical="center"/>
    </xf>
    <xf numFmtId="0" fontId="52" fillId="0" borderId="11" xfId="6" applyFont="1" applyBorder="1" applyAlignment="1">
      <alignment horizontal="center" vertical="center"/>
    </xf>
    <xf numFmtId="0" fontId="52" fillId="0" borderId="0" xfId="6" applyFont="1" applyAlignment="1">
      <alignment horizontal="center" vertical="center"/>
    </xf>
    <xf numFmtId="0" fontId="62" fillId="0" borderId="42" xfId="6" applyFont="1" applyBorder="1" applyAlignment="1">
      <alignment horizontal="center" vertical="center" wrapText="1"/>
    </xf>
    <xf numFmtId="0" fontId="51" fillId="0" borderId="9" xfId="6" applyFont="1" applyBorder="1" applyAlignment="1">
      <alignment horizontal="left" vertical="center" wrapText="1"/>
    </xf>
    <xf numFmtId="0" fontId="51" fillId="0" borderId="10" xfId="6" applyFont="1" applyBorder="1" applyAlignment="1">
      <alignment horizontal="left" vertical="center" wrapText="1"/>
    </xf>
    <xf numFmtId="0" fontId="51" fillId="0" borderId="11" xfId="6" applyFont="1" applyBorder="1" applyAlignment="1">
      <alignment horizontal="left" vertical="center" wrapText="1"/>
    </xf>
    <xf numFmtId="0" fontId="51" fillId="0" borderId="0" xfId="6" applyFont="1" applyAlignment="1">
      <alignment horizontal="left" vertical="center" wrapText="1"/>
    </xf>
    <xf numFmtId="0" fontId="53" fillId="0" borderId="1" xfId="6" applyFont="1" applyBorder="1" applyAlignment="1">
      <alignment horizontal="center"/>
    </xf>
    <xf numFmtId="0" fontId="9" fillId="0" borderId="0" xfId="6" applyFont="1" applyAlignment="1">
      <alignment horizontal="left" vertical="center" wrapText="1"/>
    </xf>
    <xf numFmtId="0" fontId="53" fillId="0" borderId="1" xfId="6" applyFont="1" applyBorder="1" applyAlignment="1">
      <alignment horizontal="center" wrapText="1"/>
    </xf>
    <xf numFmtId="0" fontId="53" fillId="0" borderId="0" xfId="6" applyFont="1" applyAlignment="1">
      <alignment horizontal="center"/>
    </xf>
    <xf numFmtId="0" fontId="55" fillId="0" borderId="0" xfId="7" applyFont="1" applyAlignment="1">
      <alignment horizontal="center"/>
    </xf>
    <xf numFmtId="0" fontId="53" fillId="0" borderId="43" xfId="7" applyFont="1" applyBorder="1" applyAlignment="1">
      <alignment horizontal="center" vertical="center" wrapText="1"/>
    </xf>
    <xf numFmtId="0" fontId="53" fillId="0" borderId="44" xfId="7" applyFont="1" applyBorder="1" applyAlignment="1">
      <alignment horizontal="center" vertical="center" wrapText="1"/>
    </xf>
    <xf numFmtId="0" fontId="53" fillId="0" borderId="45" xfId="7" applyFont="1" applyBorder="1" applyAlignment="1">
      <alignment horizontal="center" vertical="center" wrapText="1"/>
    </xf>
    <xf numFmtId="0" fontId="53" fillId="0" borderId="46" xfId="7" applyFont="1" applyBorder="1" applyAlignment="1">
      <alignment horizontal="center" vertical="center" wrapText="1"/>
    </xf>
    <xf numFmtId="0" fontId="53" fillId="0" borderId="2" xfId="7" applyFont="1" applyBorder="1" applyAlignment="1">
      <alignment horizontal="center" vertical="center" wrapText="1"/>
    </xf>
    <xf numFmtId="0" fontId="53" fillId="0" borderId="47" xfId="7" applyFont="1" applyBorder="1" applyAlignment="1">
      <alignment horizontal="center" vertical="center" wrapText="1"/>
    </xf>
    <xf numFmtId="0" fontId="53" fillId="0" borderId="48" xfId="7" applyFont="1" applyBorder="1" applyAlignment="1">
      <alignment horizontal="center" vertical="center" wrapText="1"/>
    </xf>
    <xf numFmtId="0" fontId="53" fillId="0" borderId="4" xfId="7" applyFont="1" applyBorder="1" applyAlignment="1">
      <alignment horizontal="center" vertical="center" wrapText="1"/>
    </xf>
    <xf numFmtId="0" fontId="53" fillId="0" borderId="49" xfId="7" applyFont="1" applyBorder="1" applyAlignment="1">
      <alignment horizontal="center" vertical="center" wrapText="1"/>
    </xf>
    <xf numFmtId="0" fontId="59" fillId="0" borderId="13" xfId="7" applyFont="1" applyBorder="1" applyAlignment="1">
      <alignment horizontal="center" vertical="center"/>
    </xf>
    <xf numFmtId="0" fontId="52" fillId="0" borderId="50" xfId="6" applyFont="1" applyBorder="1" applyAlignment="1">
      <alignment horizontal="center" vertical="center"/>
    </xf>
    <xf numFmtId="0" fontId="52" fillId="0" borderId="50" xfId="6" applyFont="1" applyBorder="1" applyAlignment="1">
      <alignment horizontal="center" vertical="center" wrapText="1"/>
    </xf>
    <xf numFmtId="0" fontId="53" fillId="0" borderId="2" xfId="7" applyFont="1" applyBorder="1" applyAlignment="1">
      <alignment horizontal="center" vertical="center" wrapText="1"/>
    </xf>
    <xf numFmtId="0" fontId="59" fillId="0" borderId="13" xfId="7" applyFont="1" applyBorder="1" applyAlignment="1">
      <alignment horizontal="center" vertical="center" wrapText="1"/>
    </xf>
    <xf numFmtId="0" fontId="54" fillId="0" borderId="1" xfId="7" applyBorder="1" applyAlignment="1">
      <alignment horizontal="center" vertical="center" wrapText="1"/>
    </xf>
    <xf numFmtId="0" fontId="59" fillId="0" borderId="21" xfId="7" applyFont="1" applyBorder="1" applyAlignment="1">
      <alignment horizontal="center" vertical="center" wrapText="1"/>
    </xf>
    <xf numFmtId="0" fontId="47" fillId="0" borderId="22" xfId="6" applyBorder="1"/>
    <xf numFmtId="0" fontId="55" fillId="0" borderId="46" xfId="7" applyFont="1" applyBorder="1"/>
    <xf numFmtId="17" fontId="55" fillId="0" borderId="2" xfId="7" applyNumberFormat="1" applyFont="1" applyBorder="1" applyAlignment="1">
      <alignment horizontal="center" vertical="center" wrapText="1"/>
    </xf>
    <xf numFmtId="2" fontId="53" fillId="0" borderId="2" xfId="7" applyNumberFormat="1" applyFont="1" applyBorder="1" applyAlignment="1">
      <alignment horizontal="center" vertical="center" wrapText="1"/>
    </xf>
    <xf numFmtId="0" fontId="53" fillId="0" borderId="51" xfId="7" applyFont="1" applyBorder="1" applyAlignment="1">
      <alignment horizontal="center" vertical="center" wrapText="1"/>
    </xf>
    <xf numFmtId="0" fontId="55" fillId="0" borderId="22" xfId="7" applyFont="1" applyBorder="1" applyAlignment="1">
      <alignment horizontal="center" vertical="center" wrapText="1"/>
    </xf>
    <xf numFmtId="172" fontId="59" fillId="0" borderId="3" xfId="7" applyNumberFormat="1" applyFont="1" applyBorder="1" applyAlignment="1">
      <alignment horizontal="center" vertical="center" wrapText="1"/>
    </xf>
    <xf numFmtId="1" fontId="54" fillId="0" borderId="1" xfId="7" applyNumberFormat="1" applyBorder="1"/>
    <xf numFmtId="1" fontId="59" fillId="0" borderId="1" xfId="7" applyNumberFormat="1" applyFont="1" applyBorder="1"/>
    <xf numFmtId="1" fontId="54" fillId="0" borderId="1" xfId="7" applyNumberFormat="1" applyBorder="1" applyAlignment="1">
      <alignment horizontal="center"/>
    </xf>
    <xf numFmtId="0" fontId="54" fillId="0" borderId="1" xfId="7" applyBorder="1"/>
    <xf numFmtId="0" fontId="47" fillId="0" borderId="21" xfId="6" applyBorder="1"/>
    <xf numFmtId="0" fontId="47" fillId="0" borderId="2" xfId="6" applyBorder="1" applyAlignment="1">
      <alignment horizontal="center" wrapText="1"/>
    </xf>
    <xf numFmtId="0" fontId="47" fillId="0" borderId="22" xfId="6" applyBorder="1" applyAlignment="1">
      <alignment wrapText="1"/>
    </xf>
    <xf numFmtId="174" fontId="55" fillId="0" borderId="2" xfId="7" applyNumberFormat="1" applyFont="1" applyBorder="1" applyAlignment="1">
      <alignment horizontal="center" vertical="center" wrapText="1"/>
    </xf>
    <xf numFmtId="0" fontId="5" fillId="0" borderId="13" xfId="0" applyFont="1" applyBorder="1" applyAlignment="1">
      <alignment horizontal="center" vertical="center" wrapText="1"/>
    </xf>
    <xf numFmtId="0" fontId="5" fillId="0" borderId="1" xfId="0" applyFont="1" applyBorder="1" applyAlignment="1">
      <alignment horizontal="center" vertical="center" wrapText="1"/>
    </xf>
    <xf numFmtId="0" fontId="64" fillId="0" borderId="1" xfId="0" applyFont="1" applyBorder="1" applyAlignment="1">
      <alignment horizontal="center" vertical="center" wrapText="1"/>
    </xf>
    <xf numFmtId="10" fontId="59" fillId="13" borderId="1" xfId="2" applyNumberFormat="1" applyFont="1" applyFill="1" applyBorder="1" applyAlignment="1">
      <alignment vertical="center" wrapText="1"/>
    </xf>
    <xf numFmtId="10" fontId="54" fillId="0" borderId="1" xfId="2" applyNumberFormat="1" applyFont="1" applyFill="1" applyBorder="1" applyAlignment="1">
      <alignment vertical="center" wrapText="1"/>
    </xf>
    <xf numFmtId="10" fontId="52" fillId="0" borderId="21" xfId="2" applyNumberFormat="1" applyFont="1" applyBorder="1" applyAlignment="1">
      <alignment vertical="center" wrapText="1"/>
    </xf>
    <xf numFmtId="164" fontId="47" fillId="0" borderId="0" xfId="1" applyFont="1" applyAlignment="1">
      <alignment wrapText="1"/>
    </xf>
    <xf numFmtId="14" fontId="55" fillId="0" borderId="52" xfId="7" applyNumberFormat="1" applyFont="1" applyBorder="1" applyAlignment="1">
      <alignment horizontal="center" vertical="center" wrapText="1"/>
    </xf>
    <xf numFmtId="2" fontId="55" fillId="0" borderId="35" xfId="7" applyNumberFormat="1" applyFont="1" applyBorder="1" applyAlignment="1">
      <alignment horizontal="center" vertical="center" wrapText="1"/>
    </xf>
    <xf numFmtId="175" fontId="55" fillId="0" borderId="53" xfId="7" applyNumberFormat="1" applyFont="1" applyBorder="1" applyAlignment="1">
      <alignment vertical="center" wrapText="1"/>
    </xf>
    <xf numFmtId="175" fontId="55" fillId="0" borderId="31" xfId="7" applyNumberFormat="1" applyFont="1" applyBorder="1" applyAlignment="1">
      <alignment vertical="center" wrapText="1"/>
    </xf>
    <xf numFmtId="2" fontId="55" fillId="0" borderId="30" xfId="7" applyNumberFormat="1" applyFont="1" applyBorder="1" applyAlignment="1">
      <alignment horizontal="center" vertical="center" wrapText="1"/>
    </xf>
    <xf numFmtId="0" fontId="47" fillId="0" borderId="37" xfId="6" applyBorder="1" applyAlignment="1">
      <alignment wrapText="1"/>
    </xf>
    <xf numFmtId="0" fontId="47" fillId="0" borderId="32" xfId="6" applyBorder="1" applyAlignment="1">
      <alignment wrapText="1"/>
    </xf>
    <xf numFmtId="0" fontId="47" fillId="0" borderId="33" xfId="6" applyBorder="1" applyAlignment="1">
      <alignment wrapText="1"/>
    </xf>
    <xf numFmtId="0" fontId="47" fillId="0" borderId="34" xfId="6" applyBorder="1" applyAlignment="1">
      <alignment wrapText="1"/>
    </xf>
    <xf numFmtId="164" fontId="60" fillId="0" borderId="4" xfId="1" applyFont="1" applyBorder="1" applyAlignment="1">
      <alignment horizontal="center" vertical="center" wrapText="1"/>
    </xf>
    <xf numFmtId="164" fontId="60" fillId="0" borderId="1" xfId="1" applyFont="1" applyBorder="1" applyAlignment="1">
      <alignment horizontal="center" vertical="center" wrapText="1"/>
    </xf>
    <xf numFmtId="164" fontId="55" fillId="0" borderId="1" xfId="1" applyFont="1" applyBorder="1" applyAlignment="1">
      <alignment horizontal="center" vertical="center" wrapText="1"/>
    </xf>
    <xf numFmtId="164" fontId="55" fillId="0" borderId="2" xfId="1" applyFont="1" applyBorder="1" applyAlignment="1">
      <alignment horizontal="center" vertical="center" wrapText="1"/>
    </xf>
    <xf numFmtId="164" fontId="55" fillId="0" borderId="24" xfId="1" applyFont="1" applyBorder="1" applyAlignment="1">
      <alignment horizontal="center" vertical="center" wrapText="1"/>
    </xf>
    <xf numFmtId="164" fontId="55" fillId="0" borderId="13" xfId="1" applyFont="1" applyBorder="1" applyAlignment="1">
      <alignment vertical="center" wrapText="1"/>
    </xf>
    <xf numFmtId="164" fontId="55" fillId="0" borderId="1" xfId="1" applyFont="1" applyBorder="1" applyAlignment="1">
      <alignment vertical="center" wrapText="1"/>
    </xf>
    <xf numFmtId="164" fontId="55" fillId="0" borderId="21" xfId="1" applyFont="1" applyBorder="1" applyAlignment="1">
      <alignment horizontal="center" vertical="center" wrapText="1"/>
    </xf>
    <xf numFmtId="164" fontId="55" fillId="11" borderId="24" xfId="1" applyFont="1" applyFill="1" applyBorder="1" applyAlignment="1">
      <alignment horizontal="center" vertical="center" wrapText="1"/>
    </xf>
    <xf numFmtId="164" fontId="59" fillId="0" borderId="1" xfId="1" applyFont="1" applyBorder="1" applyAlignment="1">
      <alignment vertical="center"/>
    </xf>
    <xf numFmtId="164" fontId="54" fillId="0" borderId="1" xfId="1" applyFont="1" applyBorder="1" applyAlignment="1">
      <alignment vertical="center"/>
    </xf>
    <xf numFmtId="164" fontId="55" fillId="0" borderId="4" xfId="1" applyFont="1" applyBorder="1" applyAlignment="1">
      <alignment vertical="center" wrapText="1"/>
    </xf>
    <xf numFmtId="164" fontId="55" fillId="12" borderId="1" xfId="1" applyFont="1" applyFill="1" applyBorder="1" applyAlignment="1">
      <alignment horizontal="center" vertical="center" wrapText="1"/>
    </xf>
    <xf numFmtId="164" fontId="59" fillId="0" borderId="1" xfId="1" applyFont="1" applyBorder="1" applyAlignment="1">
      <alignment vertical="center" wrapText="1"/>
    </xf>
    <xf numFmtId="164" fontId="54" fillId="0" borderId="1" xfId="1" applyFont="1" applyBorder="1" applyAlignment="1">
      <alignment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A7EFFC72-E4EB-4254-8485-089E039CDA91}"/>
    <cellStyle name="Normal 6 2" xfId="6" xr:uid="{4C055B59-9021-4BC3-BA5D-2F796FEC056C}"/>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F13" sqref="F1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9"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6" t="s">
        <v>138</v>
      </c>
      <c r="G1" s="56" t="s">
        <v>139</v>
      </c>
      <c r="H1" s="56" t="s">
        <v>140</v>
      </c>
      <c r="I1" s="56" t="s">
        <v>141</v>
      </c>
      <c r="J1" s="51" t="s">
        <v>82</v>
      </c>
      <c r="K1" s="51" t="s">
        <v>142</v>
      </c>
      <c r="L1" s="51" t="s">
        <v>143</v>
      </c>
      <c r="M1" s="51" t="s">
        <v>144</v>
      </c>
      <c r="N1" s="50" t="s">
        <v>4</v>
      </c>
      <c r="O1" s="50" t="s">
        <v>145</v>
      </c>
      <c r="P1" s="50" t="s">
        <v>146</v>
      </c>
      <c r="Q1" s="50" t="s">
        <v>147</v>
      </c>
      <c r="R1" s="54" t="s">
        <v>148</v>
      </c>
      <c r="S1" s="54" t="s">
        <v>149</v>
      </c>
      <c r="T1" s="54" t="s">
        <v>150</v>
      </c>
      <c r="U1" s="54" t="s">
        <v>151</v>
      </c>
      <c r="V1" s="53" t="s">
        <v>6</v>
      </c>
      <c r="W1" s="53" t="s">
        <v>152</v>
      </c>
      <c r="X1" s="53" t="s">
        <v>153</v>
      </c>
      <c r="Y1" s="53" t="s">
        <v>154</v>
      </c>
      <c r="Z1" s="1" t="s">
        <v>155</v>
      </c>
      <c r="AA1" s="1" t="s">
        <v>156</v>
      </c>
      <c r="AB1" s="1" t="s">
        <v>157</v>
      </c>
      <c r="AC1" s="1" t="s">
        <v>158</v>
      </c>
      <c r="AD1" s="52" t="s">
        <v>8</v>
      </c>
      <c r="AE1" s="52" t="s">
        <v>159</v>
      </c>
      <c r="AF1" s="52" t="s">
        <v>160</v>
      </c>
      <c r="AG1" s="52" t="s">
        <v>161</v>
      </c>
      <c r="AH1" s="53" t="s">
        <v>9</v>
      </c>
      <c r="AI1" s="53" t="s">
        <v>162</v>
      </c>
      <c r="AJ1" s="53" t="s">
        <v>163</v>
      </c>
      <c r="AK1" s="53" t="s">
        <v>164</v>
      </c>
      <c r="AL1" s="1" t="s">
        <v>10</v>
      </c>
      <c r="AM1" s="1" t="s">
        <v>165</v>
      </c>
      <c r="AN1" s="1" t="s">
        <v>166</v>
      </c>
      <c r="AO1" s="1" t="s">
        <v>167</v>
      </c>
      <c r="AP1" s="55" t="s">
        <v>168</v>
      </c>
      <c r="AQ1" s="55" t="s">
        <v>169</v>
      </c>
      <c r="AR1" s="55" t="s">
        <v>170</v>
      </c>
      <c r="AS1" s="55"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1"/>
      <c r="C2" s="1" t="s">
        <v>221</v>
      </c>
      <c r="D2" s="1" t="s">
        <v>222</v>
      </c>
      <c r="E2" s="1" t="s">
        <v>223</v>
      </c>
      <c r="F2" s="56" t="s">
        <v>73</v>
      </c>
      <c r="G2" s="56"/>
      <c r="H2" s="56">
        <v>136</v>
      </c>
      <c r="I2" s="56"/>
      <c r="J2" s="51" t="s">
        <v>41</v>
      </c>
      <c r="K2" s="51"/>
      <c r="L2" s="51">
        <v>972</v>
      </c>
      <c r="M2" s="51"/>
      <c r="N2" s="50" t="s">
        <v>224</v>
      </c>
      <c r="O2" s="50"/>
      <c r="P2" s="50">
        <v>348</v>
      </c>
      <c r="Q2" s="50"/>
      <c r="R2" s="54" t="s">
        <v>225</v>
      </c>
      <c r="S2" s="54"/>
      <c r="T2" s="54">
        <v>300</v>
      </c>
      <c r="U2" s="54"/>
      <c r="V2" s="53" t="s">
        <v>51</v>
      </c>
      <c r="W2" s="53"/>
      <c r="X2" s="53">
        <v>584</v>
      </c>
      <c r="Y2" s="53"/>
      <c r="Z2" s="1"/>
      <c r="AA2" s="1"/>
      <c r="AB2" s="1">
        <v>0</v>
      </c>
      <c r="AC2" s="1"/>
      <c r="AD2" s="52"/>
      <c r="AE2" s="52"/>
      <c r="AF2" s="52">
        <v>0</v>
      </c>
      <c r="AG2" s="52"/>
      <c r="AH2" s="53"/>
      <c r="AI2" s="53"/>
      <c r="AJ2" s="53">
        <v>0</v>
      </c>
      <c r="AK2" s="53"/>
      <c r="AL2" s="1" t="s">
        <v>48</v>
      </c>
      <c r="AM2" s="1"/>
      <c r="AN2" s="1">
        <v>901</v>
      </c>
      <c r="AO2" s="1"/>
      <c r="AP2" s="55"/>
      <c r="AQ2" s="55"/>
      <c r="AR2" s="55">
        <v>0</v>
      </c>
      <c r="AS2" s="55"/>
      <c r="AT2" s="1"/>
      <c r="AU2" s="1"/>
      <c r="AV2" s="1">
        <v>0</v>
      </c>
      <c r="AW2" s="1"/>
      <c r="AX2" s="1"/>
      <c r="AY2" s="1"/>
      <c r="AZ2" s="1">
        <v>0</v>
      </c>
      <c r="BA2" s="1"/>
      <c r="BB2" s="1"/>
      <c r="BC2" s="1"/>
      <c r="BD2" s="1">
        <v>0</v>
      </c>
      <c r="BE2" s="1"/>
      <c r="BF2" s="1"/>
      <c r="BG2" s="1"/>
      <c r="BH2" s="1">
        <v>0</v>
      </c>
      <c r="BI2" s="1"/>
      <c r="BJ2" s="1"/>
      <c r="BK2" s="1"/>
      <c r="BL2" s="1">
        <v>0</v>
      </c>
      <c r="BM2" s="68"/>
      <c r="BN2" s="1"/>
      <c r="BO2" s="1"/>
      <c r="BP2" s="1">
        <v>0</v>
      </c>
      <c r="BQ2" s="1"/>
      <c r="BR2" s="1"/>
      <c r="BS2" s="1"/>
      <c r="BT2" s="1">
        <v>0</v>
      </c>
      <c r="BU2" s="1"/>
      <c r="BV2" s="1"/>
      <c r="BW2" s="1"/>
      <c r="BX2" s="1">
        <v>0</v>
      </c>
      <c r="BY2" s="1"/>
      <c r="BZ2" s="1">
        <v>56560</v>
      </c>
      <c r="CA2" s="1">
        <v>56560</v>
      </c>
      <c r="CB2" s="58"/>
      <c r="CC2" s="1"/>
      <c r="CD2" s="58"/>
      <c r="CE2" s="1"/>
      <c r="CF2" s="58"/>
      <c r="CG2" s="1"/>
      <c r="CH2" s="1">
        <v>56560</v>
      </c>
      <c r="CI2" s="58"/>
      <c r="CJ2" s="1"/>
      <c r="CK2" s="58"/>
      <c r="CL2" s="1"/>
      <c r="CM2" s="1"/>
      <c r="CN2" s="1"/>
      <c r="CO2" s="1">
        <v>56560</v>
      </c>
      <c r="CP2" s="58"/>
      <c r="CQ2" s="1">
        <v>56560</v>
      </c>
      <c r="CR2" s="58">
        <v>0.18</v>
      </c>
      <c r="CS2" s="1">
        <v>10180.799999999999</v>
      </c>
      <c r="CT2" s="1">
        <v>66740.800000000003</v>
      </c>
      <c r="CU2" s="57">
        <v>45</v>
      </c>
      <c r="CV2" s="57" t="s">
        <v>226</v>
      </c>
      <c r="CW2" s="57">
        <v>3003336</v>
      </c>
      <c r="CX2" s="1"/>
      <c r="CY2" s="10" t="s">
        <v>227</v>
      </c>
      <c r="CZ2" s="10" t="s">
        <v>228</v>
      </c>
    </row>
    <row r="3" spans="1:104" s="10" customFormat="1" ht="18" customHeight="1" x14ac:dyDescent="0.25">
      <c r="A3" s="6" t="s">
        <v>220</v>
      </c>
      <c r="B3" s="61"/>
      <c r="C3" s="1" t="s">
        <v>229</v>
      </c>
      <c r="D3" s="1" t="s">
        <v>230</v>
      </c>
      <c r="E3" s="1" t="s">
        <v>223</v>
      </c>
      <c r="F3" s="56" t="s">
        <v>65</v>
      </c>
      <c r="G3" s="56"/>
      <c r="H3" s="56">
        <v>108</v>
      </c>
      <c r="I3" s="56"/>
      <c r="J3" s="51" t="s">
        <v>41</v>
      </c>
      <c r="K3" s="51"/>
      <c r="L3" s="51">
        <v>2430</v>
      </c>
      <c r="M3" s="51"/>
      <c r="N3" s="50"/>
      <c r="O3" s="50"/>
      <c r="P3" s="50">
        <v>0</v>
      </c>
      <c r="Q3" s="50"/>
      <c r="R3" s="54" t="s">
        <v>225</v>
      </c>
      <c r="S3" s="54"/>
      <c r="T3" s="54">
        <v>337</v>
      </c>
      <c r="U3" s="54"/>
      <c r="V3" s="53" t="s">
        <v>51</v>
      </c>
      <c r="W3" s="53"/>
      <c r="X3" s="53">
        <v>802</v>
      </c>
      <c r="Y3" s="53"/>
      <c r="Z3" s="1"/>
      <c r="AA3" s="1"/>
      <c r="AB3" s="1">
        <v>0</v>
      </c>
      <c r="AC3" s="1"/>
      <c r="AD3" s="52" t="s">
        <v>48</v>
      </c>
      <c r="AE3" s="52"/>
      <c r="AF3" s="52">
        <v>277</v>
      </c>
      <c r="AG3" s="52"/>
      <c r="AH3" s="53" t="s">
        <v>49</v>
      </c>
      <c r="AI3" s="53"/>
      <c r="AJ3" s="53">
        <v>1125</v>
      </c>
      <c r="AK3" s="53"/>
      <c r="AL3" s="1" t="s">
        <v>48</v>
      </c>
      <c r="AM3" s="1"/>
      <c r="AN3" s="1">
        <v>995</v>
      </c>
      <c r="AO3" s="1"/>
      <c r="AP3" s="55" t="s">
        <v>11</v>
      </c>
      <c r="AQ3" s="55"/>
      <c r="AR3" s="55">
        <v>1258</v>
      </c>
      <c r="AS3" s="55"/>
      <c r="AT3" s="1"/>
      <c r="AU3" s="1"/>
      <c r="AV3" s="1">
        <v>0</v>
      </c>
      <c r="AW3" s="1"/>
      <c r="AX3" s="1"/>
      <c r="AY3" s="1"/>
      <c r="AZ3" s="1">
        <v>0</v>
      </c>
      <c r="BA3" s="1"/>
      <c r="BB3" s="1"/>
      <c r="BC3" s="1"/>
      <c r="BD3" s="1">
        <v>0</v>
      </c>
      <c r="BE3" s="1"/>
      <c r="BF3" s="1"/>
      <c r="BG3" s="1"/>
      <c r="BH3" s="1">
        <v>0</v>
      </c>
      <c r="BI3" s="1"/>
      <c r="BJ3" s="1"/>
      <c r="BK3" s="1"/>
      <c r="BL3" s="1">
        <v>88</v>
      </c>
      <c r="BM3" s="68"/>
      <c r="BN3" s="1"/>
      <c r="BO3" s="1"/>
      <c r="BP3" s="1">
        <v>0</v>
      </c>
      <c r="BQ3" s="1"/>
      <c r="BR3" s="1" t="s">
        <v>18</v>
      </c>
      <c r="BS3" s="1"/>
      <c r="BT3" s="1">
        <v>0</v>
      </c>
      <c r="BU3" s="1"/>
      <c r="BV3" s="1"/>
      <c r="BW3" s="1"/>
      <c r="BX3" s="1">
        <v>0</v>
      </c>
      <c r="BY3" s="1"/>
      <c r="BZ3" s="1">
        <v>60800</v>
      </c>
      <c r="CA3" s="1">
        <v>60800</v>
      </c>
      <c r="CB3" s="58"/>
      <c r="CC3" s="1"/>
      <c r="CD3" s="58"/>
      <c r="CE3" s="1"/>
      <c r="CF3" s="58"/>
      <c r="CG3" s="1"/>
      <c r="CH3" s="1">
        <v>60800</v>
      </c>
      <c r="CI3" s="58"/>
      <c r="CJ3" s="1"/>
      <c r="CK3" s="58"/>
      <c r="CL3" s="1"/>
      <c r="CM3" s="1"/>
      <c r="CN3" s="1"/>
      <c r="CO3" s="1">
        <v>60800</v>
      </c>
      <c r="CP3" s="58"/>
      <c r="CQ3" s="1">
        <v>60800</v>
      </c>
      <c r="CR3" s="58">
        <v>0.18</v>
      </c>
      <c r="CS3" s="1">
        <v>10944</v>
      </c>
      <c r="CT3" s="1">
        <v>71744</v>
      </c>
      <c r="CU3" s="57">
        <v>270</v>
      </c>
      <c r="CV3" s="57" t="s">
        <v>226</v>
      </c>
      <c r="CW3" s="57">
        <v>19370880</v>
      </c>
      <c r="CX3" s="1"/>
      <c r="CY3" s="10" t="s">
        <v>231</v>
      </c>
      <c r="CZ3" s="10" t="s">
        <v>232</v>
      </c>
    </row>
    <row r="4" spans="1:104" s="10" customFormat="1" ht="18" customHeight="1" x14ac:dyDescent="0.25">
      <c r="A4" s="6" t="s">
        <v>220</v>
      </c>
      <c r="B4" s="61"/>
      <c r="C4" s="1" t="s">
        <v>233</v>
      </c>
      <c r="D4" s="1" t="s">
        <v>234</v>
      </c>
      <c r="E4" s="1" t="s">
        <v>223</v>
      </c>
      <c r="F4" s="56" t="s">
        <v>65</v>
      </c>
      <c r="G4" s="56"/>
      <c r="H4" s="56">
        <v>71</v>
      </c>
      <c r="I4" s="56"/>
      <c r="J4" s="51" t="s">
        <v>41</v>
      </c>
      <c r="K4" s="51"/>
      <c r="L4" s="51">
        <v>567</v>
      </c>
      <c r="M4" s="51"/>
      <c r="N4" s="50"/>
      <c r="O4" s="50"/>
      <c r="P4" s="50">
        <v>0</v>
      </c>
      <c r="Q4" s="50"/>
      <c r="R4" s="54" t="s">
        <v>225</v>
      </c>
      <c r="S4" s="54"/>
      <c r="T4" s="54">
        <v>188</v>
      </c>
      <c r="U4" s="54"/>
      <c r="V4" s="53" t="s">
        <v>51</v>
      </c>
      <c r="W4" s="53"/>
      <c r="X4" s="53">
        <v>474</v>
      </c>
      <c r="Y4" s="53"/>
      <c r="Z4" s="1"/>
      <c r="AA4" s="1"/>
      <c r="AB4" s="1">
        <v>0</v>
      </c>
      <c r="AC4" s="1"/>
      <c r="AD4" s="52" t="s">
        <v>48</v>
      </c>
      <c r="AE4" s="52"/>
      <c r="AF4" s="52">
        <v>142</v>
      </c>
      <c r="AG4" s="52"/>
      <c r="AH4" s="53" t="s">
        <v>49</v>
      </c>
      <c r="AI4" s="53"/>
      <c r="AJ4" s="53">
        <v>750</v>
      </c>
      <c r="AK4" s="53"/>
      <c r="AL4" s="1" t="s">
        <v>48</v>
      </c>
      <c r="AM4" s="1"/>
      <c r="AN4" s="1">
        <v>474</v>
      </c>
      <c r="AO4" s="1"/>
      <c r="AP4" s="55" t="s">
        <v>11</v>
      </c>
      <c r="AQ4" s="55"/>
      <c r="AR4" s="55">
        <v>533</v>
      </c>
      <c r="AS4" s="55"/>
      <c r="AT4" s="1"/>
      <c r="AU4" s="1"/>
      <c r="AV4" s="1">
        <v>0</v>
      </c>
      <c r="AW4" s="1"/>
      <c r="AX4" s="1"/>
      <c r="AY4" s="1"/>
      <c r="AZ4" s="1">
        <v>0</v>
      </c>
      <c r="BA4" s="1"/>
      <c r="BB4" s="1"/>
      <c r="BC4" s="1"/>
      <c r="BD4" s="1">
        <v>0</v>
      </c>
      <c r="BE4" s="1"/>
      <c r="BF4" s="1"/>
      <c r="BG4" s="1"/>
      <c r="BH4" s="1">
        <v>0</v>
      </c>
      <c r="BI4" s="1"/>
      <c r="BJ4" s="1"/>
      <c r="BK4" s="1"/>
      <c r="BL4" s="1">
        <v>0</v>
      </c>
      <c r="BM4" s="68"/>
      <c r="BN4" s="1"/>
      <c r="BO4" s="1"/>
      <c r="BP4" s="1">
        <v>0</v>
      </c>
      <c r="BQ4" s="1"/>
      <c r="BR4" s="1" t="s">
        <v>18</v>
      </c>
      <c r="BS4" s="1"/>
      <c r="BT4" s="1">
        <v>0</v>
      </c>
      <c r="BU4" s="1"/>
      <c r="BV4" s="1"/>
      <c r="BW4" s="1"/>
      <c r="BX4" s="1">
        <v>0</v>
      </c>
      <c r="BY4" s="1"/>
      <c r="BZ4" s="1"/>
      <c r="CA4" s="1"/>
      <c r="CB4" s="58"/>
      <c r="CC4" s="1"/>
      <c r="CD4" s="58"/>
      <c r="CE4" s="1"/>
      <c r="CF4" s="58"/>
      <c r="CG4" s="1"/>
      <c r="CH4" s="1"/>
      <c r="CI4" s="58"/>
      <c r="CJ4" s="1"/>
      <c r="CK4" s="58"/>
      <c r="CL4" s="1"/>
      <c r="CM4" s="1"/>
      <c r="CN4" s="1"/>
      <c r="CO4" s="1"/>
      <c r="CP4" s="58"/>
      <c r="CQ4" s="1"/>
      <c r="CR4" s="58">
        <v>0.18</v>
      </c>
      <c r="CS4" s="1"/>
      <c r="CT4" s="1"/>
      <c r="CU4" s="57">
        <v>15</v>
      </c>
      <c r="CV4" s="57" t="s">
        <v>226</v>
      </c>
      <c r="CW4" s="57"/>
      <c r="CX4" s="1"/>
      <c r="CY4" s="10" t="s">
        <v>235</v>
      </c>
      <c r="CZ4" s="10" t="s">
        <v>236</v>
      </c>
    </row>
    <row r="5" spans="1:104" s="10" customFormat="1" ht="18" customHeight="1" x14ac:dyDescent="0.25">
      <c r="A5" s="6" t="s">
        <v>220</v>
      </c>
      <c r="B5" s="61"/>
      <c r="C5" s="1" t="s">
        <v>237</v>
      </c>
      <c r="D5" s="1" t="s">
        <v>238</v>
      </c>
      <c r="E5" s="1" t="s">
        <v>223</v>
      </c>
      <c r="F5" s="56" t="s">
        <v>65</v>
      </c>
      <c r="G5" s="56"/>
      <c r="H5" s="56">
        <v>159</v>
      </c>
      <c r="I5" s="56"/>
      <c r="J5" s="51" t="s">
        <v>41</v>
      </c>
      <c r="K5" s="51"/>
      <c r="L5" s="51">
        <v>3240</v>
      </c>
      <c r="M5" s="51"/>
      <c r="N5" s="50"/>
      <c r="O5" s="50"/>
      <c r="P5" s="50">
        <v>0</v>
      </c>
      <c r="Q5" s="50"/>
      <c r="R5" s="54" t="s">
        <v>225</v>
      </c>
      <c r="S5" s="54"/>
      <c r="T5" s="54">
        <v>427</v>
      </c>
      <c r="U5" s="54"/>
      <c r="V5" s="53" t="s">
        <v>51</v>
      </c>
      <c r="W5" s="53"/>
      <c r="X5" s="53">
        <v>2621</v>
      </c>
      <c r="Y5" s="53"/>
      <c r="Z5" s="1"/>
      <c r="AA5" s="1"/>
      <c r="AB5" s="1">
        <v>0</v>
      </c>
      <c r="AC5" s="1"/>
      <c r="AD5" s="52" t="s">
        <v>48</v>
      </c>
      <c r="AE5" s="52"/>
      <c r="AF5" s="52">
        <v>405</v>
      </c>
      <c r="AG5" s="52"/>
      <c r="AH5" s="53" t="s">
        <v>49</v>
      </c>
      <c r="AI5" s="53"/>
      <c r="AJ5" s="53">
        <v>1600</v>
      </c>
      <c r="AK5" s="53"/>
      <c r="AL5" s="1" t="s">
        <v>48</v>
      </c>
      <c r="AM5" s="1"/>
      <c r="AN5" s="1">
        <v>1560</v>
      </c>
      <c r="AO5" s="1"/>
      <c r="AP5" s="55" t="s">
        <v>11</v>
      </c>
      <c r="AQ5" s="55"/>
      <c r="AR5" s="55">
        <v>2672</v>
      </c>
      <c r="AS5" s="55"/>
      <c r="AT5" s="1"/>
      <c r="AU5" s="1"/>
      <c r="AV5" s="1">
        <v>0</v>
      </c>
      <c r="AW5" s="1"/>
      <c r="AX5" s="1"/>
      <c r="AY5" s="1"/>
      <c r="AZ5" s="1">
        <v>162</v>
      </c>
      <c r="BA5" s="1"/>
      <c r="BB5" s="1"/>
      <c r="BC5" s="1"/>
      <c r="BD5" s="1">
        <v>0</v>
      </c>
      <c r="BE5" s="1"/>
      <c r="BF5" s="1"/>
      <c r="BG5" s="1"/>
      <c r="BH5" s="1">
        <v>52</v>
      </c>
      <c r="BI5" s="1"/>
      <c r="BJ5" s="1"/>
      <c r="BK5" s="1"/>
      <c r="BL5" s="1">
        <v>129</v>
      </c>
      <c r="BM5" s="1"/>
      <c r="BN5" s="1"/>
      <c r="BO5" s="1"/>
      <c r="BP5" s="1">
        <v>0</v>
      </c>
      <c r="BQ5" s="1"/>
      <c r="BR5" s="1" t="s">
        <v>18</v>
      </c>
      <c r="BS5" s="1"/>
      <c r="BT5" s="1">
        <v>0</v>
      </c>
      <c r="BU5" s="1"/>
      <c r="BV5" s="1"/>
      <c r="BW5" s="1"/>
      <c r="BX5" s="1">
        <v>0</v>
      </c>
      <c r="BY5" s="1"/>
      <c r="BZ5" s="1">
        <v>182400</v>
      </c>
      <c r="CA5" s="1">
        <v>182400</v>
      </c>
      <c r="CB5" s="58"/>
      <c r="CC5" s="1"/>
      <c r="CD5" s="58"/>
      <c r="CE5" s="1"/>
      <c r="CF5" s="58"/>
      <c r="CG5" s="1"/>
      <c r="CH5" s="1">
        <v>182400</v>
      </c>
      <c r="CI5" s="58"/>
      <c r="CJ5" s="1"/>
      <c r="CK5" s="58"/>
      <c r="CL5" s="1"/>
      <c r="CM5" s="1"/>
      <c r="CN5" s="1"/>
      <c r="CO5" s="1">
        <v>182400</v>
      </c>
      <c r="CP5" s="58"/>
      <c r="CQ5" s="1">
        <v>182400</v>
      </c>
      <c r="CR5" s="58">
        <v>0.18</v>
      </c>
      <c r="CS5" s="1">
        <v>32832</v>
      </c>
      <c r="CT5" s="1">
        <v>215232</v>
      </c>
      <c r="CU5" s="57">
        <v>195</v>
      </c>
      <c r="CV5" s="57" t="s">
        <v>226</v>
      </c>
      <c r="CW5" s="57">
        <v>41970240</v>
      </c>
      <c r="CX5" s="1"/>
      <c r="CY5" s="10" t="s">
        <v>239</v>
      </c>
      <c r="CZ5" s="10" t="s">
        <v>240</v>
      </c>
    </row>
    <row r="6" spans="1:104" s="10" customFormat="1" ht="18" customHeight="1" x14ac:dyDescent="0.25">
      <c r="A6" s="6" t="s">
        <v>220</v>
      </c>
      <c r="B6" s="61"/>
      <c r="C6" s="1" t="s">
        <v>241</v>
      </c>
      <c r="D6" s="1" t="s">
        <v>242</v>
      </c>
      <c r="E6" s="1" t="s">
        <v>223</v>
      </c>
      <c r="F6" s="56" t="s">
        <v>65</v>
      </c>
      <c r="G6" s="56"/>
      <c r="H6" s="56">
        <v>146</v>
      </c>
      <c r="I6" s="56"/>
      <c r="J6" s="51" t="s">
        <v>41</v>
      </c>
      <c r="K6" s="51"/>
      <c r="L6" s="51">
        <v>2430</v>
      </c>
      <c r="M6" s="51"/>
      <c r="N6" s="50"/>
      <c r="O6" s="50"/>
      <c r="P6" s="50">
        <v>0</v>
      </c>
      <c r="Q6" s="50"/>
      <c r="R6" s="54" t="s">
        <v>56</v>
      </c>
      <c r="S6" s="54"/>
      <c r="T6" s="54">
        <v>386</v>
      </c>
      <c r="U6" s="54"/>
      <c r="V6" s="53" t="s">
        <v>59</v>
      </c>
      <c r="W6" s="53"/>
      <c r="X6" s="53">
        <v>2385</v>
      </c>
      <c r="Y6" s="53"/>
      <c r="Z6" s="1" t="s">
        <v>7</v>
      </c>
      <c r="AA6" s="1"/>
      <c r="AB6" s="1">
        <v>0</v>
      </c>
      <c r="AC6" s="1"/>
      <c r="AD6" s="52" t="s">
        <v>48</v>
      </c>
      <c r="AE6" s="52"/>
      <c r="AF6" s="52">
        <v>378</v>
      </c>
      <c r="AG6" s="52"/>
      <c r="AH6" s="53" t="s">
        <v>49</v>
      </c>
      <c r="AI6" s="53"/>
      <c r="AJ6" s="53">
        <v>1500</v>
      </c>
      <c r="AK6" s="53"/>
      <c r="AL6" s="1" t="s">
        <v>61</v>
      </c>
      <c r="AM6" s="1"/>
      <c r="AN6" s="1">
        <v>1460</v>
      </c>
      <c r="AO6" s="1"/>
      <c r="AP6" s="55" t="s">
        <v>243</v>
      </c>
      <c r="AQ6" s="55"/>
      <c r="AR6" s="55">
        <v>2315</v>
      </c>
      <c r="AS6" s="55"/>
      <c r="AT6" s="1"/>
      <c r="AU6" s="1"/>
      <c r="AV6" s="1">
        <v>0</v>
      </c>
      <c r="AW6" s="1"/>
      <c r="AX6" s="1" t="s">
        <v>13</v>
      </c>
      <c r="AY6" s="1"/>
      <c r="AZ6" s="1">
        <v>0</v>
      </c>
      <c r="BA6" s="1"/>
      <c r="BB6" s="1" t="s">
        <v>14</v>
      </c>
      <c r="BC6" s="1"/>
      <c r="BD6" s="1">
        <v>0</v>
      </c>
      <c r="BE6" s="1"/>
      <c r="BF6" s="1"/>
      <c r="BG6" s="1"/>
      <c r="BH6" s="1">
        <v>0</v>
      </c>
      <c r="BI6" s="1"/>
      <c r="BJ6" s="1"/>
      <c r="BK6" s="1"/>
      <c r="BL6" s="1">
        <v>0</v>
      </c>
      <c r="BM6" s="1"/>
      <c r="BN6" s="1"/>
      <c r="BO6" s="1"/>
      <c r="BP6" s="1">
        <v>0</v>
      </c>
      <c r="BQ6" s="1"/>
      <c r="BR6" s="1" t="s">
        <v>18</v>
      </c>
      <c r="BS6" s="1"/>
      <c r="BT6" s="1">
        <v>0</v>
      </c>
      <c r="BU6" s="1"/>
      <c r="BV6" s="1"/>
      <c r="BW6" s="1"/>
      <c r="BX6" s="1">
        <v>0</v>
      </c>
      <c r="BY6" s="1"/>
      <c r="BZ6" s="1">
        <v>182400</v>
      </c>
      <c r="CA6" s="1">
        <v>182400</v>
      </c>
      <c r="CB6" s="58"/>
      <c r="CC6" s="1"/>
      <c r="CD6" s="58"/>
      <c r="CE6" s="1"/>
      <c r="CF6" s="58"/>
      <c r="CG6" s="1"/>
      <c r="CH6" s="1">
        <v>182400</v>
      </c>
      <c r="CI6" s="58"/>
      <c r="CJ6" s="1"/>
      <c r="CK6" s="58"/>
      <c r="CL6" s="1"/>
      <c r="CM6" s="1"/>
      <c r="CN6" s="1"/>
      <c r="CO6" s="1">
        <v>182400</v>
      </c>
      <c r="CP6" s="58"/>
      <c r="CQ6" s="1">
        <v>182400</v>
      </c>
      <c r="CR6" s="58">
        <v>0.18</v>
      </c>
      <c r="CS6" s="1">
        <v>32832</v>
      </c>
      <c r="CT6" s="1">
        <v>215232</v>
      </c>
      <c r="CU6" s="57">
        <v>3</v>
      </c>
      <c r="CV6" s="57" t="s">
        <v>226</v>
      </c>
      <c r="CW6" s="57">
        <v>645696</v>
      </c>
      <c r="CX6" s="1"/>
      <c r="CY6" s="10" t="s">
        <v>239</v>
      </c>
      <c r="CZ6" s="10" t="s">
        <v>240</v>
      </c>
    </row>
    <row r="7" spans="1:104" s="10" customFormat="1" ht="18" customHeight="1" x14ac:dyDescent="0.25">
      <c r="A7" s="6" t="s">
        <v>220</v>
      </c>
      <c r="B7" s="61"/>
      <c r="C7" s="1" t="s">
        <v>244</v>
      </c>
      <c r="D7" s="1" t="s">
        <v>245</v>
      </c>
      <c r="E7" s="1" t="s">
        <v>223</v>
      </c>
      <c r="F7" s="56" t="s">
        <v>65</v>
      </c>
      <c r="G7" s="56"/>
      <c r="H7" s="56">
        <v>88</v>
      </c>
      <c r="I7" s="56"/>
      <c r="J7" s="51" t="s">
        <v>41</v>
      </c>
      <c r="K7" s="51"/>
      <c r="L7" s="51">
        <v>1215</v>
      </c>
      <c r="M7" s="51"/>
      <c r="N7" s="50"/>
      <c r="O7" s="50"/>
      <c r="P7" s="50">
        <v>0</v>
      </c>
      <c r="Q7" s="50"/>
      <c r="R7" s="54" t="s">
        <v>225</v>
      </c>
      <c r="S7" s="54"/>
      <c r="T7" s="54">
        <v>246</v>
      </c>
      <c r="U7" s="54"/>
      <c r="V7" s="53" t="s">
        <v>51</v>
      </c>
      <c r="W7" s="53"/>
      <c r="X7" s="53">
        <v>620</v>
      </c>
      <c r="Y7" s="53"/>
      <c r="Z7" s="1"/>
      <c r="AA7" s="1"/>
      <c r="AB7" s="1">
        <v>0</v>
      </c>
      <c r="AC7" s="1"/>
      <c r="AD7" s="52" t="s">
        <v>48</v>
      </c>
      <c r="AE7" s="52"/>
      <c r="AF7" s="52">
        <v>200</v>
      </c>
      <c r="AG7" s="52"/>
      <c r="AH7" s="53" t="s">
        <v>49</v>
      </c>
      <c r="AI7" s="53"/>
      <c r="AJ7" s="53">
        <v>900</v>
      </c>
      <c r="AK7" s="53"/>
      <c r="AL7" s="1" t="s">
        <v>48</v>
      </c>
      <c r="AM7" s="1"/>
      <c r="AN7" s="1">
        <v>672</v>
      </c>
      <c r="AO7" s="1"/>
      <c r="AP7" s="55" t="s">
        <v>11</v>
      </c>
      <c r="AQ7" s="55"/>
      <c r="AR7" s="55">
        <v>809</v>
      </c>
      <c r="AS7" s="55"/>
      <c r="AT7" s="1"/>
      <c r="AU7" s="1"/>
      <c r="AV7" s="1">
        <v>0</v>
      </c>
      <c r="AW7" s="1"/>
      <c r="AX7" s="1"/>
      <c r="AY7" s="1"/>
      <c r="AZ7" s="1">
        <v>0</v>
      </c>
      <c r="BA7" s="1"/>
      <c r="BB7" s="1"/>
      <c r="BC7" s="1"/>
      <c r="BD7" s="1">
        <v>0</v>
      </c>
      <c r="BE7" s="1"/>
      <c r="BF7" s="1"/>
      <c r="BG7" s="1"/>
      <c r="BH7" s="1">
        <v>0</v>
      </c>
      <c r="BI7" s="1"/>
      <c r="BJ7" s="1"/>
      <c r="BK7" s="1"/>
      <c r="BL7" s="1">
        <v>0</v>
      </c>
      <c r="BM7" s="1"/>
      <c r="BN7" s="1"/>
      <c r="BO7" s="1"/>
      <c r="BP7" s="1">
        <v>0</v>
      </c>
      <c r="BQ7" s="1"/>
      <c r="BR7" s="1" t="s">
        <v>18</v>
      </c>
      <c r="BS7" s="1"/>
      <c r="BT7" s="1">
        <v>0</v>
      </c>
      <c r="BU7" s="1"/>
      <c r="BV7" s="1"/>
      <c r="BW7" s="1"/>
      <c r="BX7" s="1">
        <v>0</v>
      </c>
      <c r="BY7" s="1"/>
      <c r="BZ7" s="1">
        <v>53200</v>
      </c>
      <c r="CA7" s="1">
        <v>53200</v>
      </c>
      <c r="CB7" s="58"/>
      <c r="CC7" s="1"/>
      <c r="CD7" s="58"/>
      <c r="CE7" s="1"/>
      <c r="CF7" s="58"/>
      <c r="CG7" s="1"/>
      <c r="CH7" s="1">
        <v>53200</v>
      </c>
      <c r="CI7" s="58"/>
      <c r="CJ7" s="1"/>
      <c r="CK7" s="58"/>
      <c r="CL7" s="1"/>
      <c r="CM7" s="1"/>
      <c r="CN7" s="1"/>
      <c r="CO7" s="1">
        <v>53200</v>
      </c>
      <c r="CP7" s="58"/>
      <c r="CQ7" s="1">
        <v>53200</v>
      </c>
      <c r="CR7" s="58">
        <v>0.18</v>
      </c>
      <c r="CS7" s="1">
        <v>9576</v>
      </c>
      <c r="CT7" s="1">
        <v>62776</v>
      </c>
      <c r="CU7" s="57">
        <v>15</v>
      </c>
      <c r="CV7" s="57" t="s">
        <v>226</v>
      </c>
      <c r="CW7" s="57">
        <v>941640</v>
      </c>
      <c r="CX7" s="1"/>
      <c r="CY7" s="10" t="s">
        <v>246</v>
      </c>
      <c r="CZ7" s="10" t="s">
        <v>247</v>
      </c>
    </row>
    <row r="8" spans="1:104" s="10" customFormat="1" ht="18" customHeight="1" x14ac:dyDescent="0.25">
      <c r="A8" s="6"/>
      <c r="B8" s="61"/>
      <c r="C8" s="1"/>
      <c r="D8" s="1"/>
      <c r="E8" s="1"/>
      <c r="F8" s="56"/>
      <c r="G8" s="56"/>
      <c r="H8" s="56"/>
      <c r="I8" s="56"/>
      <c r="J8" s="51"/>
      <c r="K8" s="51"/>
      <c r="L8" s="51"/>
      <c r="M8" s="51"/>
      <c r="N8" s="50"/>
      <c r="O8" s="50"/>
      <c r="P8" s="50"/>
      <c r="Q8" s="50"/>
      <c r="R8" s="54"/>
      <c r="S8" s="54"/>
      <c r="T8" s="54"/>
      <c r="U8" s="54"/>
      <c r="V8" s="53"/>
      <c r="W8" s="53"/>
      <c r="X8" s="53"/>
      <c r="Y8" s="53"/>
      <c r="Z8" s="1"/>
      <c r="AA8" s="1"/>
      <c r="AB8" s="1"/>
      <c r="AC8" s="1"/>
      <c r="AD8" s="52"/>
      <c r="AE8" s="52"/>
      <c r="AF8" s="52"/>
      <c r="AG8" s="52"/>
      <c r="AH8" s="53"/>
      <c r="AI8" s="53"/>
      <c r="AJ8" s="53"/>
      <c r="AK8" s="53"/>
      <c r="AL8" s="1"/>
      <c r="AM8" s="1"/>
      <c r="AN8" s="1"/>
      <c r="AO8" s="1"/>
      <c r="AP8" s="55"/>
      <c r="AQ8" s="55"/>
      <c r="AR8" s="55"/>
      <c r="AS8" s="55"/>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8"/>
      <c r="CC8" s="1"/>
      <c r="CD8" s="58"/>
      <c r="CE8" s="1"/>
      <c r="CF8" s="58"/>
      <c r="CG8" s="1"/>
      <c r="CH8" s="1"/>
      <c r="CI8" s="58"/>
      <c r="CJ8" s="1"/>
      <c r="CK8" s="58"/>
      <c r="CL8" s="1"/>
      <c r="CM8" s="1"/>
      <c r="CN8" s="1"/>
      <c r="CO8" s="1"/>
      <c r="CP8" s="58"/>
      <c r="CQ8" s="1"/>
      <c r="CR8" s="1"/>
      <c r="CS8" s="1"/>
      <c r="CT8" s="1"/>
      <c r="CU8" s="57"/>
      <c r="CV8" s="57"/>
      <c r="CW8" s="57"/>
      <c r="CX8" s="1"/>
    </row>
    <row r="9" spans="1:104" s="10" customFormat="1" ht="18" customHeight="1" x14ac:dyDescent="0.25">
      <c r="A9" s="6"/>
      <c r="B9" s="61"/>
      <c r="C9" s="1"/>
      <c r="D9" s="1"/>
      <c r="E9" s="1"/>
      <c r="F9" s="56"/>
      <c r="G9" s="56"/>
      <c r="H9" s="56"/>
      <c r="I9" s="56"/>
      <c r="J9" s="51"/>
      <c r="K9" s="51"/>
      <c r="L9" s="51"/>
      <c r="M9" s="51"/>
      <c r="N9" s="50"/>
      <c r="O9" s="50"/>
      <c r="P9" s="50"/>
      <c r="Q9" s="50"/>
      <c r="R9" s="54"/>
      <c r="S9" s="54"/>
      <c r="T9" s="54"/>
      <c r="U9" s="54"/>
      <c r="V9" s="53"/>
      <c r="W9" s="53"/>
      <c r="X9" s="53"/>
      <c r="Y9" s="53"/>
      <c r="Z9" s="1"/>
      <c r="AA9" s="1"/>
      <c r="AB9" s="1"/>
      <c r="AC9" s="1"/>
      <c r="AD9" s="52"/>
      <c r="AE9" s="52"/>
      <c r="AF9" s="52"/>
      <c r="AG9" s="52"/>
      <c r="AH9" s="53"/>
      <c r="AI9" s="53"/>
      <c r="AJ9" s="53"/>
      <c r="AK9" s="53"/>
      <c r="AL9" s="1"/>
      <c r="AM9" s="1"/>
      <c r="AN9" s="1"/>
      <c r="AO9" s="1"/>
      <c r="AP9" s="55"/>
      <c r="AQ9" s="55"/>
      <c r="AR9" s="55"/>
      <c r="AS9" s="55"/>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8"/>
      <c r="CC9" s="1"/>
      <c r="CD9" s="58"/>
      <c r="CE9" s="1"/>
      <c r="CF9" s="58"/>
      <c r="CG9" s="1"/>
      <c r="CH9" s="1"/>
      <c r="CI9" s="58"/>
      <c r="CJ9" s="1"/>
      <c r="CK9" s="58"/>
      <c r="CL9" s="1"/>
      <c r="CM9" s="1"/>
      <c r="CN9" s="1"/>
      <c r="CO9" s="1"/>
      <c r="CP9" s="58"/>
      <c r="CQ9" s="1"/>
      <c r="CR9" s="1"/>
      <c r="CS9" s="1"/>
      <c r="CT9" s="1"/>
      <c r="CU9" s="57"/>
      <c r="CV9" s="57"/>
      <c r="CW9" s="57"/>
      <c r="CX9" s="1"/>
    </row>
    <row r="10" spans="1:104" s="10" customFormat="1" ht="18" customHeight="1" x14ac:dyDescent="0.25">
      <c r="A10" s="6"/>
      <c r="B10" s="61"/>
      <c r="C10" s="1"/>
      <c r="D10" s="1"/>
      <c r="E10" s="1"/>
      <c r="F10" s="56"/>
      <c r="G10" s="56"/>
      <c r="H10" s="56"/>
      <c r="I10" s="56"/>
      <c r="J10" s="51"/>
      <c r="K10" s="51"/>
      <c r="L10" s="51"/>
      <c r="M10" s="51"/>
      <c r="N10" s="50"/>
      <c r="O10" s="50"/>
      <c r="P10" s="50"/>
      <c r="Q10" s="50"/>
      <c r="R10" s="54"/>
      <c r="S10" s="54"/>
      <c r="T10" s="54"/>
      <c r="U10" s="54"/>
      <c r="V10" s="53"/>
      <c r="W10" s="53"/>
      <c r="X10" s="53"/>
      <c r="Y10" s="53"/>
      <c r="Z10" s="1"/>
      <c r="AA10" s="1"/>
      <c r="AB10" s="1"/>
      <c r="AC10" s="1"/>
      <c r="AD10" s="52"/>
      <c r="AE10" s="52"/>
      <c r="AF10" s="52"/>
      <c r="AG10" s="52"/>
      <c r="AH10" s="53"/>
      <c r="AI10" s="53"/>
      <c r="AJ10" s="53"/>
      <c r="AK10" s="53"/>
      <c r="AL10" s="1"/>
      <c r="AM10" s="1"/>
      <c r="AN10" s="1"/>
      <c r="AO10" s="1"/>
      <c r="AP10" s="55"/>
      <c r="AQ10" s="55"/>
      <c r="AR10" s="55"/>
      <c r="AS10" s="55"/>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8"/>
      <c r="CC10" s="1"/>
      <c r="CD10" s="58"/>
      <c r="CE10" s="1"/>
      <c r="CF10" s="58"/>
      <c r="CG10" s="1"/>
      <c r="CH10" s="1"/>
      <c r="CI10" s="58"/>
      <c r="CJ10" s="1"/>
      <c r="CK10" s="58"/>
      <c r="CL10" s="1"/>
      <c r="CM10" s="1"/>
      <c r="CN10" s="1"/>
      <c r="CO10" s="1"/>
      <c r="CP10" s="58"/>
      <c r="CQ10" s="1"/>
      <c r="CR10" s="1"/>
      <c r="CS10" s="1"/>
      <c r="CT10" s="1"/>
      <c r="CU10" s="57"/>
      <c r="CV10" s="57"/>
      <c r="CW10" s="57"/>
      <c r="CX10" s="1"/>
    </row>
    <row r="11" spans="1:104" s="10" customFormat="1" ht="18" customHeight="1" x14ac:dyDescent="0.25">
      <c r="A11" s="6"/>
      <c r="B11" s="61"/>
      <c r="C11" s="1"/>
      <c r="D11" s="1"/>
      <c r="E11" s="1"/>
      <c r="F11" s="56"/>
      <c r="G11" s="56"/>
      <c r="H11" s="56"/>
      <c r="I11" s="56"/>
      <c r="J11" s="51"/>
      <c r="K11" s="51"/>
      <c r="L11" s="51"/>
      <c r="M11" s="51"/>
      <c r="N11" s="50"/>
      <c r="O11" s="50"/>
      <c r="P11" s="50"/>
      <c r="Q11" s="50"/>
      <c r="R11" s="54"/>
      <c r="S11" s="54"/>
      <c r="T11" s="54"/>
      <c r="U11" s="54"/>
      <c r="V11" s="53"/>
      <c r="W11" s="53"/>
      <c r="X11" s="53"/>
      <c r="Y11" s="53"/>
      <c r="Z11" s="1"/>
      <c r="AA11" s="1"/>
      <c r="AB11" s="1"/>
      <c r="AC11" s="1"/>
      <c r="AD11" s="52"/>
      <c r="AE11" s="52"/>
      <c r="AF11" s="52"/>
      <c r="AG11" s="52"/>
      <c r="AH11" s="53"/>
      <c r="AI11" s="53"/>
      <c r="AJ11" s="53"/>
      <c r="AK11" s="53"/>
      <c r="AL11" s="1"/>
      <c r="AM11" s="1"/>
      <c r="AN11" s="1"/>
      <c r="AO11" s="1"/>
      <c r="AP11" s="55"/>
      <c r="AQ11" s="55"/>
      <c r="AR11" s="55"/>
      <c r="AS11" s="55"/>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8"/>
      <c r="CC11" s="1"/>
      <c r="CD11" s="58"/>
      <c r="CE11" s="1"/>
      <c r="CF11" s="58"/>
      <c r="CG11" s="1"/>
      <c r="CH11" s="1"/>
      <c r="CI11" s="58"/>
      <c r="CJ11" s="1"/>
      <c r="CK11" s="58"/>
      <c r="CL11" s="1"/>
      <c r="CM11" s="1"/>
      <c r="CN11" s="1"/>
      <c r="CO11" s="1"/>
      <c r="CP11" s="58"/>
      <c r="CQ11" s="1"/>
      <c r="CR11" s="1"/>
      <c r="CS11" s="1"/>
      <c r="CT11" s="1"/>
      <c r="CU11" s="57"/>
      <c r="CV11" s="57"/>
      <c r="CW11" s="57"/>
      <c r="CX11" s="1"/>
    </row>
    <row r="12" spans="1:104" s="10" customFormat="1" ht="18" customHeight="1" x14ac:dyDescent="0.25">
      <c r="A12" s="6"/>
      <c r="B12" s="61"/>
      <c r="C12" s="1"/>
      <c r="D12" s="1"/>
      <c r="E12" s="1"/>
      <c r="F12" s="56"/>
      <c r="G12" s="56"/>
      <c r="H12" s="56"/>
      <c r="I12" s="56"/>
      <c r="J12" s="51"/>
      <c r="K12" s="51"/>
      <c r="L12" s="51"/>
      <c r="M12" s="51"/>
      <c r="N12" s="50"/>
      <c r="O12" s="50"/>
      <c r="P12" s="50"/>
      <c r="Q12" s="50"/>
      <c r="R12" s="54"/>
      <c r="S12" s="54"/>
      <c r="T12" s="54"/>
      <c r="U12" s="54"/>
      <c r="V12" s="53"/>
      <c r="W12" s="53"/>
      <c r="X12" s="53"/>
      <c r="Y12" s="53"/>
      <c r="Z12" s="1"/>
      <c r="AA12" s="1"/>
      <c r="AB12" s="1"/>
      <c r="AC12" s="1"/>
      <c r="AD12" s="52"/>
      <c r="AE12" s="52"/>
      <c r="AF12" s="52"/>
      <c r="AG12" s="52"/>
      <c r="AH12" s="53"/>
      <c r="AI12" s="53"/>
      <c r="AJ12" s="53"/>
      <c r="AK12" s="53"/>
      <c r="AL12" s="1"/>
      <c r="AM12" s="1"/>
      <c r="AN12" s="1"/>
      <c r="AO12" s="1"/>
      <c r="AP12" s="55"/>
      <c r="AQ12" s="55"/>
      <c r="AR12" s="55"/>
      <c r="AS12" s="55"/>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8"/>
      <c r="CC12" s="1"/>
      <c r="CD12" s="58"/>
      <c r="CE12" s="1"/>
      <c r="CF12" s="58"/>
      <c r="CG12" s="1"/>
      <c r="CH12" s="1"/>
      <c r="CI12" s="58"/>
      <c r="CJ12" s="1"/>
      <c r="CK12" s="58"/>
      <c r="CL12" s="1"/>
      <c r="CM12" s="1"/>
      <c r="CN12" s="1"/>
      <c r="CO12" s="1"/>
      <c r="CP12" s="58"/>
      <c r="CQ12" s="1"/>
      <c r="CR12" s="1"/>
      <c r="CS12" s="1"/>
      <c r="CT12" s="1"/>
      <c r="CU12" s="57"/>
      <c r="CV12" s="57"/>
      <c r="CW12" s="57"/>
      <c r="CX12" s="1"/>
    </row>
    <row r="13" spans="1:104" s="10" customFormat="1" ht="18" customHeight="1" x14ac:dyDescent="0.25">
      <c r="A13" s="6"/>
      <c r="B13" s="61"/>
      <c r="C13" s="1"/>
      <c r="D13" s="1"/>
      <c r="E13" s="1"/>
      <c r="F13" s="56"/>
      <c r="G13" s="56"/>
      <c r="H13" s="56"/>
      <c r="I13" s="56"/>
      <c r="J13" s="51"/>
      <c r="K13" s="51"/>
      <c r="L13" s="51"/>
      <c r="M13" s="51"/>
      <c r="N13" s="50"/>
      <c r="O13" s="50"/>
      <c r="P13" s="50"/>
      <c r="Q13" s="50"/>
      <c r="R13" s="54"/>
      <c r="S13" s="54"/>
      <c r="T13" s="54"/>
      <c r="U13" s="54"/>
      <c r="V13" s="53"/>
      <c r="W13" s="53"/>
      <c r="X13" s="53"/>
      <c r="Y13" s="53"/>
      <c r="Z13" s="1"/>
      <c r="AA13" s="1"/>
      <c r="AB13" s="1"/>
      <c r="AC13" s="1"/>
      <c r="AD13" s="52"/>
      <c r="AE13" s="52"/>
      <c r="AF13" s="52"/>
      <c r="AG13" s="52"/>
      <c r="AH13" s="53"/>
      <c r="AI13" s="53"/>
      <c r="AJ13" s="53"/>
      <c r="AK13" s="53"/>
      <c r="AL13" s="1"/>
      <c r="AM13" s="1"/>
      <c r="AN13" s="1"/>
      <c r="AO13" s="1"/>
      <c r="AP13" s="55"/>
      <c r="AQ13" s="55"/>
      <c r="AR13" s="55"/>
      <c r="AS13" s="55"/>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8"/>
      <c r="CC13" s="1"/>
      <c r="CD13" s="58"/>
      <c r="CE13" s="1"/>
      <c r="CF13" s="58"/>
      <c r="CG13" s="1"/>
      <c r="CH13" s="1"/>
      <c r="CI13" s="58"/>
      <c r="CJ13" s="1"/>
      <c r="CK13" s="58"/>
      <c r="CL13" s="1"/>
      <c r="CM13" s="1"/>
      <c r="CN13" s="1"/>
      <c r="CO13" s="1"/>
      <c r="CP13" s="58"/>
      <c r="CQ13" s="1"/>
      <c r="CR13" s="1"/>
      <c r="CS13" s="1"/>
      <c r="CT13" s="1"/>
      <c r="CU13" s="57"/>
      <c r="CV13" s="57"/>
      <c r="CW13" s="57"/>
      <c r="CX13" s="1"/>
    </row>
    <row r="14" spans="1:104" s="10" customFormat="1" ht="18" customHeight="1" x14ac:dyDescent="0.25">
      <c r="A14" s="6"/>
      <c r="B14" s="6"/>
      <c r="C14" s="1"/>
      <c r="D14" s="1"/>
      <c r="E14" s="1"/>
      <c r="F14" s="56"/>
      <c r="G14" s="56"/>
      <c r="H14" s="56"/>
      <c r="I14" s="56"/>
      <c r="J14" s="51"/>
      <c r="K14" s="51"/>
      <c r="L14" s="51"/>
      <c r="M14" s="51"/>
      <c r="N14" s="50"/>
      <c r="O14" s="50"/>
      <c r="P14" s="50"/>
      <c r="Q14" s="50"/>
      <c r="R14" s="54"/>
      <c r="S14" s="54"/>
      <c r="T14" s="54"/>
      <c r="U14" s="54"/>
      <c r="V14" s="53"/>
      <c r="W14" s="53"/>
      <c r="X14" s="53"/>
      <c r="Y14" s="53"/>
      <c r="Z14" s="1"/>
      <c r="AA14" s="1"/>
      <c r="AB14" s="1"/>
      <c r="AC14" s="1"/>
      <c r="AD14" s="52"/>
      <c r="AE14" s="52"/>
      <c r="AF14" s="52"/>
      <c r="AG14" s="52"/>
      <c r="AH14" s="53"/>
      <c r="AI14" s="53"/>
      <c r="AJ14" s="53"/>
      <c r="AK14" s="53"/>
      <c r="AL14" s="1"/>
      <c r="AM14" s="1"/>
      <c r="AN14" s="1"/>
      <c r="AO14" s="1"/>
      <c r="AP14" s="55"/>
      <c r="AQ14" s="55"/>
      <c r="AR14" s="55"/>
      <c r="AS14" s="55"/>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7"/>
      <c r="CW14" s="57"/>
      <c r="CX14" s="1"/>
    </row>
    <row r="15" spans="1:104" s="10" customFormat="1" ht="18" customHeight="1" x14ac:dyDescent="0.25">
      <c r="A15" s="6"/>
      <c r="B15" s="6"/>
      <c r="C15" s="1"/>
      <c r="D15" s="1"/>
      <c r="E15" s="1"/>
      <c r="F15" s="56"/>
      <c r="G15" s="56"/>
      <c r="H15" s="56"/>
      <c r="I15" s="56"/>
      <c r="J15" s="51"/>
      <c r="K15" s="51"/>
      <c r="L15" s="51"/>
      <c r="M15" s="51"/>
      <c r="N15" s="50"/>
      <c r="O15" s="50"/>
      <c r="P15" s="50"/>
      <c r="Q15" s="50"/>
      <c r="R15" s="54"/>
      <c r="S15" s="54"/>
      <c r="T15" s="54"/>
      <c r="U15" s="54"/>
      <c r="V15" s="53"/>
      <c r="W15" s="53"/>
      <c r="X15" s="53"/>
      <c r="Y15" s="53"/>
      <c r="Z15" s="1"/>
      <c r="AA15" s="1"/>
      <c r="AB15" s="1"/>
      <c r="AC15" s="1"/>
      <c r="AD15" s="52"/>
      <c r="AE15" s="52"/>
      <c r="AF15" s="52"/>
      <c r="AG15" s="52"/>
      <c r="AH15" s="53"/>
      <c r="AI15" s="53"/>
      <c r="AJ15" s="53"/>
      <c r="AK15" s="53"/>
      <c r="AL15" s="1"/>
      <c r="AM15" s="1"/>
      <c r="AN15" s="1"/>
      <c r="AO15" s="1"/>
      <c r="AP15" s="55"/>
      <c r="AQ15" s="55"/>
      <c r="AR15" s="55"/>
      <c r="AS15" s="55"/>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7"/>
      <c r="CW15" s="57"/>
      <c r="CX15" s="1"/>
    </row>
    <row r="16" spans="1:104" s="10" customFormat="1" ht="18" customHeight="1" x14ac:dyDescent="0.25">
      <c r="A16" s="6"/>
      <c r="B16" s="6"/>
      <c r="C16" s="1"/>
      <c r="D16" s="1"/>
      <c r="E16" s="1"/>
      <c r="F16" s="56"/>
      <c r="G16" s="56"/>
      <c r="H16" s="56"/>
      <c r="I16" s="56"/>
      <c r="J16" s="51"/>
      <c r="K16" s="51"/>
      <c r="L16" s="51"/>
      <c r="M16" s="51"/>
      <c r="N16" s="50"/>
      <c r="O16" s="50"/>
      <c r="P16" s="50"/>
      <c r="Q16" s="50"/>
      <c r="R16" s="54"/>
      <c r="S16" s="54"/>
      <c r="T16" s="54"/>
      <c r="U16" s="54"/>
      <c r="V16" s="53"/>
      <c r="W16" s="53"/>
      <c r="X16" s="53"/>
      <c r="Y16" s="53"/>
      <c r="Z16" s="1"/>
      <c r="AA16" s="1"/>
      <c r="AB16" s="1"/>
      <c r="AC16" s="1"/>
      <c r="AD16" s="52"/>
      <c r="AE16" s="52"/>
      <c r="AF16" s="52"/>
      <c r="AG16" s="52"/>
      <c r="AH16" s="53"/>
      <c r="AI16" s="53"/>
      <c r="AJ16" s="53"/>
      <c r="AK16" s="53"/>
      <c r="AL16" s="1"/>
      <c r="AM16" s="1"/>
      <c r="AN16" s="1"/>
      <c r="AO16" s="1"/>
      <c r="AP16" s="55"/>
      <c r="AQ16" s="55"/>
      <c r="AR16" s="55"/>
      <c r="AS16" s="55"/>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7"/>
      <c r="CW16" s="57"/>
      <c r="CX16" s="1"/>
    </row>
    <row r="17" spans="1:102" s="10" customFormat="1" ht="18" customHeight="1" x14ac:dyDescent="0.25">
      <c r="A17" s="6"/>
      <c r="B17" s="6"/>
      <c r="C17" s="1"/>
      <c r="D17" s="1"/>
      <c r="E17" s="1"/>
      <c r="F17" s="56"/>
      <c r="G17" s="56"/>
      <c r="H17" s="56"/>
      <c r="I17" s="56"/>
      <c r="J17" s="51"/>
      <c r="K17" s="51"/>
      <c r="L17" s="51"/>
      <c r="M17" s="51"/>
      <c r="N17" s="50"/>
      <c r="O17" s="50"/>
      <c r="P17" s="50"/>
      <c r="Q17" s="50"/>
      <c r="R17" s="54"/>
      <c r="S17" s="54"/>
      <c r="T17" s="54"/>
      <c r="U17" s="54"/>
      <c r="V17" s="53"/>
      <c r="W17" s="53"/>
      <c r="X17" s="53"/>
      <c r="Y17" s="53"/>
      <c r="Z17" s="1"/>
      <c r="AA17" s="1"/>
      <c r="AB17" s="1"/>
      <c r="AC17" s="1"/>
      <c r="AD17" s="52"/>
      <c r="AE17" s="52"/>
      <c r="AF17" s="52"/>
      <c r="AG17" s="52"/>
      <c r="AH17" s="53"/>
      <c r="AI17" s="53"/>
      <c r="AJ17" s="53"/>
      <c r="AK17" s="53"/>
      <c r="AL17" s="1"/>
      <c r="AM17" s="1"/>
      <c r="AN17" s="1"/>
      <c r="AO17" s="1"/>
      <c r="AP17" s="55"/>
      <c r="AQ17" s="55"/>
      <c r="AR17" s="55"/>
      <c r="AS17" s="55"/>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7"/>
      <c r="CW17" s="57"/>
      <c r="CX17" s="1"/>
    </row>
    <row r="18" spans="1:102" s="10" customFormat="1" ht="18" customHeight="1" x14ac:dyDescent="0.25">
      <c r="A18" s="6"/>
      <c r="B18" s="6"/>
      <c r="C18" s="1"/>
      <c r="D18" s="1"/>
      <c r="E18" s="1"/>
      <c r="F18" s="56"/>
      <c r="G18" s="56"/>
      <c r="H18" s="56"/>
      <c r="I18" s="56"/>
      <c r="J18" s="51"/>
      <c r="K18" s="51"/>
      <c r="L18" s="51"/>
      <c r="M18" s="51"/>
      <c r="N18" s="50"/>
      <c r="O18" s="50"/>
      <c r="P18" s="50"/>
      <c r="Q18" s="50"/>
      <c r="R18" s="54"/>
      <c r="S18" s="54"/>
      <c r="T18" s="54"/>
      <c r="U18" s="54"/>
      <c r="V18" s="53"/>
      <c r="W18" s="53"/>
      <c r="X18" s="53"/>
      <c r="Y18" s="53"/>
      <c r="Z18" s="1"/>
      <c r="AA18" s="1"/>
      <c r="AB18" s="1"/>
      <c r="AC18" s="1"/>
      <c r="AD18" s="52"/>
      <c r="AE18" s="52"/>
      <c r="AF18" s="52"/>
      <c r="AG18" s="52"/>
      <c r="AH18" s="53"/>
      <c r="AI18" s="53"/>
      <c r="AJ18" s="53"/>
      <c r="AK18" s="53"/>
      <c r="AL18" s="1"/>
      <c r="AM18" s="1"/>
      <c r="AN18" s="1"/>
      <c r="AO18" s="1"/>
      <c r="AP18" s="55"/>
      <c r="AQ18" s="55"/>
      <c r="AR18" s="55"/>
      <c r="AS18" s="55"/>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7"/>
      <c r="CW18" s="57"/>
      <c r="CX18" s="1"/>
    </row>
    <row r="19" spans="1:102" s="10" customFormat="1" ht="18" customHeight="1" x14ac:dyDescent="0.25">
      <c r="A19" s="6"/>
      <c r="B19" s="6"/>
      <c r="C19" s="1"/>
      <c r="D19" s="1"/>
      <c r="E19" s="1"/>
      <c r="F19" s="56"/>
      <c r="G19" s="56"/>
      <c r="H19" s="56"/>
      <c r="I19" s="56"/>
      <c r="J19" s="51"/>
      <c r="K19" s="51"/>
      <c r="L19" s="51"/>
      <c r="M19" s="51"/>
      <c r="N19" s="50"/>
      <c r="O19" s="50"/>
      <c r="P19" s="50"/>
      <c r="Q19" s="50"/>
      <c r="R19" s="54"/>
      <c r="S19" s="54"/>
      <c r="T19" s="54"/>
      <c r="U19" s="54"/>
      <c r="V19" s="53"/>
      <c r="W19" s="53"/>
      <c r="X19" s="53"/>
      <c r="Y19" s="53"/>
      <c r="Z19" s="1"/>
      <c r="AA19" s="1"/>
      <c r="AB19" s="1"/>
      <c r="AC19" s="1"/>
      <c r="AD19" s="52"/>
      <c r="AE19" s="52"/>
      <c r="AF19" s="52"/>
      <c r="AG19" s="52"/>
      <c r="AH19" s="53"/>
      <c r="AI19" s="53"/>
      <c r="AJ19" s="53"/>
      <c r="AK19" s="53"/>
      <c r="AL19" s="1"/>
      <c r="AM19" s="1"/>
      <c r="AN19" s="1"/>
      <c r="AO19" s="1"/>
      <c r="AP19" s="55"/>
      <c r="AQ19" s="55"/>
      <c r="AR19" s="55"/>
      <c r="AS19" s="55"/>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7"/>
      <c r="CW19" s="57"/>
      <c r="CX19" s="1"/>
    </row>
    <row r="20" spans="1:102" s="10" customFormat="1" ht="18" customHeight="1" x14ac:dyDescent="0.25">
      <c r="A20" s="6"/>
      <c r="B20" s="6"/>
      <c r="C20" s="1"/>
      <c r="D20" s="1"/>
      <c r="E20" s="1"/>
      <c r="F20" s="56"/>
      <c r="G20" s="56"/>
      <c r="H20" s="56"/>
      <c r="I20" s="56"/>
      <c r="J20" s="51"/>
      <c r="K20" s="51"/>
      <c r="L20" s="51"/>
      <c r="M20" s="51"/>
      <c r="N20" s="50"/>
      <c r="O20" s="50"/>
      <c r="P20" s="50"/>
      <c r="Q20" s="50"/>
      <c r="R20" s="54"/>
      <c r="S20" s="54"/>
      <c r="T20" s="54"/>
      <c r="U20" s="54"/>
      <c r="V20" s="53"/>
      <c r="W20" s="53"/>
      <c r="X20" s="53"/>
      <c r="Y20" s="53"/>
      <c r="Z20" s="1"/>
      <c r="AA20" s="1"/>
      <c r="AB20" s="1"/>
      <c r="AC20" s="1"/>
      <c r="AD20" s="52"/>
      <c r="AE20" s="52"/>
      <c r="AF20" s="52"/>
      <c r="AG20" s="52"/>
      <c r="AH20" s="53"/>
      <c r="AI20" s="53"/>
      <c r="AJ20" s="53"/>
      <c r="AK20" s="53"/>
      <c r="AL20" s="1"/>
      <c r="AM20" s="1"/>
      <c r="AN20" s="1"/>
      <c r="AO20" s="1"/>
      <c r="AP20" s="55"/>
      <c r="AQ20" s="55"/>
      <c r="AR20" s="55"/>
      <c r="AS20" s="55"/>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7"/>
      <c r="CW20" s="57"/>
      <c r="CX20" s="1"/>
    </row>
    <row r="21" spans="1:102" s="10" customFormat="1" ht="18" customHeight="1" x14ac:dyDescent="0.25">
      <c r="A21" s="6"/>
      <c r="B21" s="6"/>
      <c r="C21" s="1"/>
      <c r="D21" s="1"/>
      <c r="E21" s="1"/>
      <c r="F21" s="56"/>
      <c r="G21" s="56"/>
      <c r="H21" s="56"/>
      <c r="I21" s="56"/>
      <c r="J21" s="51"/>
      <c r="K21" s="51"/>
      <c r="L21" s="51"/>
      <c r="M21" s="51"/>
      <c r="N21" s="50"/>
      <c r="O21" s="50"/>
      <c r="P21" s="50"/>
      <c r="Q21" s="50"/>
      <c r="R21" s="54"/>
      <c r="S21" s="54"/>
      <c r="T21" s="54"/>
      <c r="U21" s="54"/>
      <c r="V21" s="53"/>
      <c r="W21" s="53"/>
      <c r="X21" s="53"/>
      <c r="Y21" s="53"/>
      <c r="Z21" s="1"/>
      <c r="AA21" s="1"/>
      <c r="AB21" s="1"/>
      <c r="AC21" s="1"/>
      <c r="AD21" s="52"/>
      <c r="AE21" s="52"/>
      <c r="AF21" s="52"/>
      <c r="AG21" s="52"/>
      <c r="AH21" s="53"/>
      <c r="AI21" s="53"/>
      <c r="AJ21" s="53"/>
      <c r="AK21" s="53"/>
      <c r="AL21" s="1"/>
      <c r="AM21" s="1"/>
      <c r="AN21" s="1"/>
      <c r="AO21" s="1"/>
      <c r="AP21" s="55"/>
      <c r="AQ21" s="55"/>
      <c r="AR21" s="55"/>
      <c r="AS21" s="55"/>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7"/>
      <c r="CW21" s="57"/>
      <c r="CX21" s="1"/>
    </row>
    <row r="22" spans="1:102" s="10" customFormat="1" ht="18" customHeight="1" x14ac:dyDescent="0.25">
      <c r="A22" s="6"/>
      <c r="B22" s="6"/>
      <c r="C22" s="1"/>
      <c r="D22" s="1"/>
      <c r="E22" s="1"/>
      <c r="F22" s="56"/>
      <c r="G22" s="56"/>
      <c r="H22" s="56"/>
      <c r="I22" s="56"/>
      <c r="J22" s="51"/>
      <c r="K22" s="51"/>
      <c r="L22" s="51"/>
      <c r="M22" s="51"/>
      <c r="N22" s="50"/>
      <c r="O22" s="50"/>
      <c r="P22" s="50"/>
      <c r="Q22" s="50"/>
      <c r="R22" s="54"/>
      <c r="S22" s="54"/>
      <c r="T22" s="54"/>
      <c r="U22" s="54"/>
      <c r="V22" s="53"/>
      <c r="W22" s="53"/>
      <c r="X22" s="53"/>
      <c r="Y22" s="53"/>
      <c r="Z22" s="1"/>
      <c r="AA22" s="1"/>
      <c r="AB22" s="1"/>
      <c r="AC22" s="1"/>
      <c r="AD22" s="52"/>
      <c r="AE22" s="52"/>
      <c r="AF22" s="52"/>
      <c r="AG22" s="52"/>
      <c r="AH22" s="53"/>
      <c r="AI22" s="53"/>
      <c r="AJ22" s="53"/>
      <c r="AK22" s="53"/>
      <c r="AL22" s="1"/>
      <c r="AM22" s="1"/>
      <c r="AN22" s="1"/>
      <c r="AO22" s="1"/>
      <c r="AP22" s="55"/>
      <c r="AQ22" s="55"/>
      <c r="AR22" s="55"/>
      <c r="AS22" s="55"/>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7"/>
      <c r="CW22" s="57"/>
      <c r="CX22" s="1"/>
    </row>
    <row r="23" spans="1:102" s="10" customFormat="1" ht="18" customHeight="1" x14ac:dyDescent="0.25">
      <c r="A23" s="6"/>
      <c r="B23" s="6"/>
      <c r="C23" s="1"/>
      <c r="D23" s="1"/>
      <c r="E23" s="1"/>
      <c r="F23" s="56"/>
      <c r="G23" s="56"/>
      <c r="H23" s="56"/>
      <c r="I23" s="56"/>
      <c r="J23" s="51"/>
      <c r="K23" s="51"/>
      <c r="L23" s="51"/>
      <c r="M23" s="51"/>
      <c r="N23" s="50"/>
      <c r="O23" s="50"/>
      <c r="P23" s="50"/>
      <c r="Q23" s="50"/>
      <c r="R23" s="54"/>
      <c r="S23" s="54"/>
      <c r="T23" s="54"/>
      <c r="U23" s="54"/>
      <c r="V23" s="53"/>
      <c r="W23" s="53"/>
      <c r="X23" s="53"/>
      <c r="Y23" s="53"/>
      <c r="Z23" s="1"/>
      <c r="AA23" s="1"/>
      <c r="AB23" s="1"/>
      <c r="AC23" s="1"/>
      <c r="AD23" s="52"/>
      <c r="AE23" s="52"/>
      <c r="AF23" s="52"/>
      <c r="AG23" s="52"/>
      <c r="AH23" s="53"/>
      <c r="AI23" s="53"/>
      <c r="AJ23" s="53"/>
      <c r="AK23" s="53"/>
      <c r="AL23" s="1"/>
      <c r="AM23" s="1"/>
      <c r="AN23" s="1"/>
      <c r="AO23" s="1"/>
      <c r="AP23" s="55"/>
      <c r="AQ23" s="55"/>
      <c r="AR23" s="55"/>
      <c r="AS23" s="55"/>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7"/>
      <c r="CW23" s="57"/>
      <c r="CX23" s="1"/>
    </row>
    <row r="24" spans="1:102" s="10" customFormat="1" ht="18" customHeight="1" x14ac:dyDescent="0.25">
      <c r="A24" s="6"/>
      <c r="B24" s="6"/>
      <c r="C24" s="1"/>
      <c r="D24" s="1"/>
      <c r="E24" s="1"/>
      <c r="F24" s="56"/>
      <c r="G24" s="56"/>
      <c r="H24" s="56"/>
      <c r="I24" s="56"/>
      <c r="J24" s="51"/>
      <c r="K24" s="51"/>
      <c r="L24" s="51"/>
      <c r="M24" s="51"/>
      <c r="N24" s="50"/>
      <c r="O24" s="50"/>
      <c r="P24" s="50"/>
      <c r="Q24" s="50"/>
      <c r="R24" s="54"/>
      <c r="S24" s="54"/>
      <c r="T24" s="54"/>
      <c r="U24" s="54"/>
      <c r="V24" s="53"/>
      <c r="W24" s="53"/>
      <c r="X24" s="53"/>
      <c r="Y24" s="53"/>
      <c r="Z24" s="1"/>
      <c r="AA24" s="1"/>
      <c r="AB24" s="1"/>
      <c r="AC24" s="1"/>
      <c r="AD24" s="52"/>
      <c r="AE24" s="52"/>
      <c r="AF24" s="52"/>
      <c r="AG24" s="52"/>
      <c r="AH24" s="53"/>
      <c r="AI24" s="53"/>
      <c r="AJ24" s="53"/>
      <c r="AK24" s="53"/>
      <c r="AL24" s="1"/>
      <c r="AM24" s="1"/>
      <c r="AN24" s="1"/>
      <c r="AO24" s="1"/>
      <c r="AP24" s="55"/>
      <c r="AQ24" s="55"/>
      <c r="AR24" s="55"/>
      <c r="AS24" s="55"/>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7"/>
      <c r="CW24" s="57"/>
      <c r="CX24" s="1"/>
    </row>
    <row r="25" spans="1:102" s="10" customFormat="1" ht="18" customHeight="1" x14ac:dyDescent="0.25">
      <c r="A25" s="6"/>
      <c r="B25" s="6"/>
      <c r="C25" s="1"/>
      <c r="D25" s="1"/>
      <c r="E25" s="1"/>
      <c r="F25" s="56"/>
      <c r="G25" s="56"/>
      <c r="H25" s="56"/>
      <c r="I25" s="56"/>
      <c r="J25" s="51"/>
      <c r="K25" s="51"/>
      <c r="L25" s="51"/>
      <c r="M25" s="51"/>
      <c r="N25" s="50"/>
      <c r="O25" s="50"/>
      <c r="P25" s="50"/>
      <c r="Q25" s="50"/>
      <c r="R25" s="54"/>
      <c r="S25" s="54"/>
      <c r="T25" s="54"/>
      <c r="U25" s="54"/>
      <c r="V25" s="53"/>
      <c r="W25" s="53"/>
      <c r="X25" s="53"/>
      <c r="Y25" s="53"/>
      <c r="Z25" s="1"/>
      <c r="AA25" s="1"/>
      <c r="AB25" s="1"/>
      <c r="AC25" s="1"/>
      <c r="AD25" s="52"/>
      <c r="AE25" s="52"/>
      <c r="AF25" s="52"/>
      <c r="AG25" s="52"/>
      <c r="AH25" s="53"/>
      <c r="AI25" s="53"/>
      <c r="AJ25" s="53"/>
      <c r="AK25" s="53"/>
      <c r="AL25" s="1"/>
      <c r="AM25" s="1"/>
      <c r="AN25" s="1"/>
      <c r="AO25" s="1"/>
      <c r="AP25" s="55"/>
      <c r="AQ25" s="55"/>
      <c r="AR25" s="55"/>
      <c r="AS25" s="55"/>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7"/>
      <c r="CW25" s="57"/>
      <c r="CX25" s="1"/>
    </row>
    <row r="26" spans="1:102" s="10" customFormat="1" ht="18" customHeight="1" x14ac:dyDescent="0.25">
      <c r="A26" s="6"/>
      <c r="B26" s="6"/>
      <c r="C26" s="1"/>
      <c r="D26" s="1"/>
      <c r="E26" s="1"/>
      <c r="F26" s="56"/>
      <c r="G26" s="56"/>
      <c r="H26" s="56"/>
      <c r="I26" s="56"/>
      <c r="J26" s="51"/>
      <c r="K26" s="51"/>
      <c r="L26" s="51"/>
      <c r="M26" s="51"/>
      <c r="N26" s="50"/>
      <c r="O26" s="50"/>
      <c r="P26" s="50"/>
      <c r="Q26" s="50"/>
      <c r="R26" s="54"/>
      <c r="S26" s="54"/>
      <c r="T26" s="54"/>
      <c r="U26" s="54"/>
      <c r="V26" s="53"/>
      <c r="W26" s="53"/>
      <c r="X26" s="53"/>
      <c r="Y26" s="53"/>
      <c r="Z26" s="1"/>
      <c r="AA26" s="1"/>
      <c r="AB26" s="1"/>
      <c r="AC26" s="1"/>
      <c r="AD26" s="52"/>
      <c r="AE26" s="52"/>
      <c r="AF26" s="52"/>
      <c r="AG26" s="52"/>
      <c r="AH26" s="53"/>
      <c r="AI26" s="53"/>
      <c r="AJ26" s="53"/>
      <c r="AK26" s="53"/>
      <c r="AL26" s="1"/>
      <c r="AM26" s="1"/>
      <c r="AN26" s="1"/>
      <c r="AO26" s="1"/>
      <c r="AP26" s="55"/>
      <c r="AQ26" s="55"/>
      <c r="AR26" s="55"/>
      <c r="AS26" s="55"/>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7"/>
      <c r="CW26" s="57"/>
      <c r="CX26" s="1"/>
    </row>
    <row r="27" spans="1:102" s="10" customFormat="1" ht="18" customHeight="1" x14ac:dyDescent="0.25">
      <c r="A27" s="6"/>
      <c r="B27" s="6"/>
      <c r="C27" s="1"/>
      <c r="D27" s="1"/>
      <c r="E27" s="1"/>
      <c r="F27" s="56"/>
      <c r="G27" s="56"/>
      <c r="H27" s="56"/>
      <c r="I27" s="56"/>
      <c r="J27" s="51"/>
      <c r="K27" s="51"/>
      <c r="L27" s="51"/>
      <c r="M27" s="51"/>
      <c r="N27" s="50"/>
      <c r="O27" s="50"/>
      <c r="P27" s="50"/>
      <c r="Q27" s="50"/>
      <c r="R27" s="54"/>
      <c r="S27" s="54"/>
      <c r="T27" s="54"/>
      <c r="U27" s="54"/>
      <c r="V27" s="53"/>
      <c r="W27" s="53"/>
      <c r="X27" s="53"/>
      <c r="Y27" s="53"/>
      <c r="Z27" s="1"/>
      <c r="AA27" s="1"/>
      <c r="AB27" s="1"/>
      <c r="AC27" s="1"/>
      <c r="AD27" s="52"/>
      <c r="AE27" s="52"/>
      <c r="AF27" s="52"/>
      <c r="AG27" s="52"/>
      <c r="AH27" s="53"/>
      <c r="AI27" s="53"/>
      <c r="AJ27" s="53"/>
      <c r="AK27" s="53"/>
      <c r="AL27" s="1"/>
      <c r="AM27" s="1"/>
      <c r="AN27" s="1"/>
      <c r="AO27" s="1"/>
      <c r="AP27" s="55"/>
      <c r="AQ27" s="55"/>
      <c r="AR27" s="55"/>
      <c r="AS27" s="55"/>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7"/>
      <c r="CW27" s="57"/>
      <c r="CX27" s="1"/>
    </row>
    <row r="28" spans="1:102" s="10" customFormat="1" ht="18" customHeight="1" x14ac:dyDescent="0.25">
      <c r="A28" s="6"/>
      <c r="B28" s="6"/>
      <c r="C28" s="1"/>
      <c r="D28" s="1"/>
      <c r="E28" s="1"/>
      <c r="F28" s="56"/>
      <c r="G28" s="56"/>
      <c r="H28" s="56"/>
      <c r="I28" s="56"/>
      <c r="J28" s="51"/>
      <c r="K28" s="51"/>
      <c r="L28" s="51"/>
      <c r="M28" s="51"/>
      <c r="N28" s="50"/>
      <c r="O28" s="50"/>
      <c r="P28" s="50"/>
      <c r="Q28" s="50"/>
      <c r="R28" s="54"/>
      <c r="S28" s="54"/>
      <c r="T28" s="54"/>
      <c r="U28" s="54"/>
      <c r="V28" s="53"/>
      <c r="W28" s="53"/>
      <c r="X28" s="53"/>
      <c r="Y28" s="53"/>
      <c r="Z28" s="1"/>
      <c r="AA28" s="1"/>
      <c r="AB28" s="1"/>
      <c r="AC28" s="1"/>
      <c r="AD28" s="52"/>
      <c r="AE28" s="52"/>
      <c r="AF28" s="52"/>
      <c r="AG28" s="52"/>
      <c r="AH28" s="53"/>
      <c r="AI28" s="53"/>
      <c r="AJ28" s="53"/>
      <c r="AK28" s="53"/>
      <c r="AL28" s="1"/>
      <c r="AM28" s="1"/>
      <c r="AN28" s="1"/>
      <c r="AO28" s="1"/>
      <c r="AP28" s="55"/>
      <c r="AQ28" s="55"/>
      <c r="AR28" s="55"/>
      <c r="AS28" s="55"/>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7"/>
      <c r="CW28" s="57"/>
      <c r="CX28" s="1"/>
    </row>
    <row r="29" spans="1:102" s="10" customFormat="1" ht="18" customHeight="1" x14ac:dyDescent="0.25">
      <c r="A29" s="6"/>
      <c r="B29" s="6"/>
      <c r="C29" s="1"/>
      <c r="D29" s="1"/>
      <c r="E29" s="1"/>
      <c r="F29" s="56"/>
      <c r="G29" s="56"/>
      <c r="H29" s="56"/>
      <c r="I29" s="56"/>
      <c r="J29" s="51"/>
      <c r="K29" s="51"/>
      <c r="L29" s="51"/>
      <c r="M29" s="51"/>
      <c r="N29" s="50"/>
      <c r="O29" s="50"/>
      <c r="P29" s="50"/>
      <c r="Q29" s="50"/>
      <c r="R29" s="54"/>
      <c r="S29" s="54"/>
      <c r="T29" s="54"/>
      <c r="U29" s="54"/>
      <c r="V29" s="53"/>
      <c r="W29" s="53"/>
      <c r="X29" s="53"/>
      <c r="Y29" s="53"/>
      <c r="Z29" s="1"/>
      <c r="AA29" s="1"/>
      <c r="AB29" s="1"/>
      <c r="AC29" s="1"/>
      <c r="AD29" s="52"/>
      <c r="AE29" s="52"/>
      <c r="AF29" s="52"/>
      <c r="AG29" s="52"/>
      <c r="AH29" s="53"/>
      <c r="AI29" s="53"/>
      <c r="AJ29" s="53"/>
      <c r="AK29" s="53"/>
      <c r="AL29" s="1"/>
      <c r="AM29" s="1"/>
      <c r="AN29" s="1"/>
      <c r="AO29" s="1"/>
      <c r="AP29" s="55"/>
      <c r="AQ29" s="55"/>
      <c r="AR29" s="55"/>
      <c r="AS29" s="55"/>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7"/>
      <c r="CW29" s="57"/>
      <c r="CX29" s="1"/>
    </row>
    <row r="30" spans="1:102" s="10" customFormat="1" ht="18" customHeight="1" x14ac:dyDescent="0.25">
      <c r="A30" s="6"/>
      <c r="B30" s="6"/>
      <c r="C30" s="1"/>
      <c r="D30" s="1"/>
      <c r="E30" s="1"/>
      <c r="F30" s="56"/>
      <c r="G30" s="56"/>
      <c r="H30" s="56"/>
      <c r="I30" s="56"/>
      <c r="J30" s="51"/>
      <c r="K30" s="51"/>
      <c r="L30" s="51"/>
      <c r="M30" s="51"/>
      <c r="N30" s="50"/>
      <c r="O30" s="50"/>
      <c r="P30" s="50"/>
      <c r="Q30" s="50"/>
      <c r="R30" s="54"/>
      <c r="S30" s="54"/>
      <c r="T30" s="54"/>
      <c r="U30" s="54"/>
      <c r="V30" s="53"/>
      <c r="W30" s="53"/>
      <c r="X30" s="53"/>
      <c r="Y30" s="53"/>
      <c r="Z30" s="1"/>
      <c r="AA30" s="1"/>
      <c r="AB30" s="1"/>
      <c r="AC30" s="1"/>
      <c r="AD30" s="52"/>
      <c r="AE30" s="52"/>
      <c r="AF30" s="52"/>
      <c r="AG30" s="52"/>
      <c r="AH30" s="53"/>
      <c r="AI30" s="53"/>
      <c r="AJ30" s="53"/>
      <c r="AK30" s="53"/>
      <c r="AL30" s="1"/>
      <c r="AM30" s="1"/>
      <c r="AN30" s="1"/>
      <c r="AO30" s="1"/>
      <c r="AP30" s="55"/>
      <c r="AQ30" s="55"/>
      <c r="AR30" s="55"/>
      <c r="AS30" s="55"/>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7"/>
      <c r="CW30" s="57"/>
      <c r="CX30" s="1"/>
    </row>
    <row r="31" spans="1:102" s="10" customFormat="1" ht="18" customHeight="1" x14ac:dyDescent="0.25">
      <c r="A31" s="6"/>
      <c r="B31" s="6"/>
      <c r="C31" s="1"/>
      <c r="D31" s="1"/>
      <c r="E31" s="1"/>
      <c r="F31" s="56"/>
      <c r="G31" s="56"/>
      <c r="H31" s="56"/>
      <c r="I31" s="56"/>
      <c r="J31" s="51"/>
      <c r="K31" s="51"/>
      <c r="L31" s="51"/>
      <c r="M31" s="51"/>
      <c r="N31" s="50"/>
      <c r="O31" s="50"/>
      <c r="P31" s="50"/>
      <c r="Q31" s="50"/>
      <c r="R31" s="54"/>
      <c r="S31" s="54"/>
      <c r="T31" s="54"/>
      <c r="U31" s="54"/>
      <c r="V31" s="53"/>
      <c r="W31" s="53"/>
      <c r="X31" s="53"/>
      <c r="Y31" s="53"/>
      <c r="Z31" s="1"/>
      <c r="AA31" s="1"/>
      <c r="AB31" s="1"/>
      <c r="AC31" s="1"/>
      <c r="AD31" s="52"/>
      <c r="AE31" s="52"/>
      <c r="AF31" s="52"/>
      <c r="AG31" s="52"/>
      <c r="AH31" s="53"/>
      <c r="AI31" s="53"/>
      <c r="AJ31" s="53"/>
      <c r="AK31" s="53"/>
      <c r="AL31" s="1"/>
      <c r="AM31" s="1"/>
      <c r="AN31" s="1"/>
      <c r="AO31" s="1"/>
      <c r="AP31" s="55"/>
      <c r="AQ31" s="55"/>
      <c r="AR31" s="55"/>
      <c r="AS31" s="55"/>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7"/>
      <c r="CW31" s="57"/>
      <c r="CX31" s="1"/>
    </row>
    <row r="32" spans="1:102" s="10" customFormat="1" ht="18" customHeight="1" x14ac:dyDescent="0.25">
      <c r="A32" s="6"/>
      <c r="B32" s="6"/>
      <c r="C32" s="1"/>
      <c r="D32" s="1"/>
      <c r="E32" s="1"/>
      <c r="F32" s="56"/>
      <c r="G32" s="56"/>
      <c r="H32" s="56"/>
      <c r="I32" s="56"/>
      <c r="J32" s="51"/>
      <c r="K32" s="51"/>
      <c r="L32" s="51"/>
      <c r="M32" s="51"/>
      <c r="N32" s="50"/>
      <c r="O32" s="50"/>
      <c r="P32" s="50"/>
      <c r="Q32" s="50"/>
      <c r="R32" s="54"/>
      <c r="S32" s="54"/>
      <c r="T32" s="54"/>
      <c r="U32" s="54"/>
      <c r="V32" s="53"/>
      <c r="W32" s="53"/>
      <c r="X32" s="53"/>
      <c r="Y32" s="53"/>
      <c r="Z32" s="1"/>
      <c r="AA32" s="1"/>
      <c r="AB32" s="1"/>
      <c r="AC32" s="1"/>
      <c r="AD32" s="52"/>
      <c r="AE32" s="52"/>
      <c r="AF32" s="52"/>
      <c r="AG32" s="52"/>
      <c r="AH32" s="53"/>
      <c r="AI32" s="53"/>
      <c r="AJ32" s="53"/>
      <c r="AK32" s="53"/>
      <c r="AL32" s="1"/>
      <c r="AM32" s="1"/>
      <c r="AN32" s="1"/>
      <c r="AO32" s="1"/>
      <c r="AP32" s="55"/>
      <c r="AQ32" s="55"/>
      <c r="AR32" s="55"/>
      <c r="AS32" s="55"/>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7"/>
      <c r="CW32" s="57"/>
      <c r="CX32" s="1"/>
    </row>
    <row r="33" spans="1:102" s="10" customFormat="1" ht="18" customHeight="1" x14ac:dyDescent="0.25">
      <c r="A33" s="6"/>
      <c r="B33" s="6"/>
      <c r="C33" s="1"/>
      <c r="D33" s="1"/>
      <c r="E33" s="1"/>
      <c r="F33" s="56"/>
      <c r="G33" s="56"/>
      <c r="H33" s="56"/>
      <c r="I33" s="56"/>
      <c r="J33" s="51"/>
      <c r="K33" s="51"/>
      <c r="L33" s="51"/>
      <c r="M33" s="51"/>
      <c r="N33" s="50"/>
      <c r="O33" s="50"/>
      <c r="P33" s="50"/>
      <c r="Q33" s="50"/>
      <c r="R33" s="54"/>
      <c r="S33" s="54"/>
      <c r="T33" s="54"/>
      <c r="U33" s="54"/>
      <c r="V33" s="53"/>
      <c r="W33" s="53"/>
      <c r="X33" s="53"/>
      <c r="Y33" s="53"/>
      <c r="Z33" s="1"/>
      <c r="AA33" s="1"/>
      <c r="AB33" s="1"/>
      <c r="AC33" s="1"/>
      <c r="AD33" s="52"/>
      <c r="AE33" s="52"/>
      <c r="AF33" s="52"/>
      <c r="AG33" s="52"/>
      <c r="AH33" s="53"/>
      <c r="AI33" s="53"/>
      <c r="AJ33" s="53"/>
      <c r="AK33" s="53"/>
      <c r="AL33" s="1"/>
      <c r="AM33" s="1"/>
      <c r="AN33" s="1"/>
      <c r="AO33" s="1"/>
      <c r="AP33" s="55"/>
      <c r="AQ33" s="55"/>
      <c r="AR33" s="55"/>
      <c r="AS33" s="55"/>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7"/>
      <c r="CW33" s="57"/>
      <c r="CX33" s="1"/>
    </row>
    <row r="34" spans="1:102" s="10" customFormat="1" ht="18" customHeight="1" x14ac:dyDescent="0.25">
      <c r="A34" s="6"/>
      <c r="B34" s="6"/>
      <c r="C34" s="1"/>
      <c r="D34" s="1"/>
      <c r="E34" s="1"/>
      <c r="F34" s="56"/>
      <c r="G34" s="56"/>
      <c r="H34" s="56"/>
      <c r="I34" s="56"/>
      <c r="J34" s="51"/>
      <c r="K34" s="51"/>
      <c r="L34" s="51"/>
      <c r="M34" s="51"/>
      <c r="N34" s="50"/>
      <c r="O34" s="50"/>
      <c r="P34" s="50"/>
      <c r="Q34" s="50"/>
      <c r="R34" s="54"/>
      <c r="S34" s="54"/>
      <c r="T34" s="54"/>
      <c r="U34" s="54"/>
      <c r="V34" s="53"/>
      <c r="W34" s="53"/>
      <c r="X34" s="53"/>
      <c r="Y34" s="53"/>
      <c r="Z34" s="1"/>
      <c r="AA34" s="1"/>
      <c r="AB34" s="1"/>
      <c r="AC34" s="1"/>
      <c r="AD34" s="52"/>
      <c r="AE34" s="52"/>
      <c r="AF34" s="52"/>
      <c r="AG34" s="52"/>
      <c r="AH34" s="53"/>
      <c r="AI34" s="53"/>
      <c r="AJ34" s="53"/>
      <c r="AK34" s="53"/>
      <c r="AL34" s="1"/>
      <c r="AM34" s="1"/>
      <c r="AN34" s="1"/>
      <c r="AO34" s="1"/>
      <c r="AP34" s="55"/>
      <c r="AQ34" s="55"/>
      <c r="AR34" s="55"/>
      <c r="AS34" s="55"/>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7"/>
      <c r="CW34" s="57"/>
      <c r="CX34" s="1"/>
    </row>
    <row r="35" spans="1:102" s="10" customFormat="1" ht="18" customHeight="1" x14ac:dyDescent="0.25">
      <c r="A35" s="6"/>
      <c r="B35" s="6"/>
      <c r="C35" s="1"/>
      <c r="D35" s="1"/>
      <c r="E35" s="1"/>
      <c r="F35" s="56"/>
      <c r="G35" s="56"/>
      <c r="H35" s="56"/>
      <c r="I35" s="56"/>
      <c r="J35" s="51"/>
      <c r="K35" s="51"/>
      <c r="L35" s="51"/>
      <c r="M35" s="51"/>
      <c r="N35" s="50"/>
      <c r="O35" s="50"/>
      <c r="P35" s="50"/>
      <c r="Q35" s="50"/>
      <c r="R35" s="54"/>
      <c r="S35" s="54"/>
      <c r="T35" s="54"/>
      <c r="U35" s="54"/>
      <c r="V35" s="53"/>
      <c r="W35" s="53"/>
      <c r="X35" s="53"/>
      <c r="Y35" s="53"/>
      <c r="Z35" s="1"/>
      <c r="AA35" s="1"/>
      <c r="AB35" s="1"/>
      <c r="AC35" s="1"/>
      <c r="AD35" s="52"/>
      <c r="AE35" s="52"/>
      <c r="AF35" s="52"/>
      <c r="AG35" s="52"/>
      <c r="AH35" s="53"/>
      <c r="AI35" s="53"/>
      <c r="AJ35" s="53"/>
      <c r="AK35" s="53"/>
      <c r="AL35" s="1"/>
      <c r="AM35" s="1"/>
      <c r="AN35" s="1"/>
      <c r="AO35" s="1"/>
      <c r="AP35" s="55"/>
      <c r="AQ35" s="55"/>
      <c r="AR35" s="55"/>
      <c r="AS35" s="55"/>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7"/>
      <c r="CW35" s="57"/>
      <c r="CX35" s="1"/>
    </row>
    <row r="36" spans="1:102" s="10" customFormat="1" ht="18" customHeight="1" x14ac:dyDescent="0.25">
      <c r="A36" s="6"/>
      <c r="B36" s="6"/>
      <c r="C36" s="1"/>
      <c r="D36" s="1"/>
      <c r="E36" s="1"/>
      <c r="F36" s="56"/>
      <c r="G36" s="56"/>
      <c r="H36" s="56"/>
      <c r="I36" s="56"/>
      <c r="J36" s="51"/>
      <c r="K36" s="51"/>
      <c r="L36" s="51"/>
      <c r="M36" s="51"/>
      <c r="N36" s="50"/>
      <c r="O36" s="50"/>
      <c r="P36" s="50"/>
      <c r="Q36" s="50"/>
      <c r="R36" s="54"/>
      <c r="S36" s="54"/>
      <c r="T36" s="54"/>
      <c r="U36" s="54"/>
      <c r="V36" s="53"/>
      <c r="W36" s="53"/>
      <c r="X36" s="53"/>
      <c r="Y36" s="53"/>
      <c r="Z36" s="1"/>
      <c r="AA36" s="1"/>
      <c r="AB36" s="1"/>
      <c r="AC36" s="1"/>
      <c r="AD36" s="52"/>
      <c r="AE36" s="52"/>
      <c r="AF36" s="52"/>
      <c r="AG36" s="52"/>
      <c r="AH36" s="53"/>
      <c r="AI36" s="53"/>
      <c r="AJ36" s="53"/>
      <c r="AK36" s="53"/>
      <c r="AL36" s="1"/>
      <c r="AM36" s="1"/>
      <c r="AN36" s="1"/>
      <c r="AO36" s="1"/>
      <c r="AP36" s="55"/>
      <c r="AQ36" s="55"/>
      <c r="AR36" s="55"/>
      <c r="AS36" s="55"/>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7"/>
      <c r="CW36" s="57"/>
      <c r="CX36" s="1"/>
    </row>
    <row r="37" spans="1:102" s="10" customFormat="1" ht="18" customHeight="1" x14ac:dyDescent="0.25">
      <c r="A37" s="6"/>
      <c r="B37" s="6"/>
      <c r="C37" s="1"/>
      <c r="D37" s="1"/>
      <c r="E37" s="1"/>
      <c r="F37" s="56"/>
      <c r="G37" s="56"/>
      <c r="H37" s="56"/>
      <c r="I37" s="56"/>
      <c r="J37" s="51"/>
      <c r="K37" s="51"/>
      <c r="L37" s="51"/>
      <c r="M37" s="51"/>
      <c r="N37" s="50"/>
      <c r="O37" s="50"/>
      <c r="P37" s="50"/>
      <c r="Q37" s="50"/>
      <c r="R37" s="54"/>
      <c r="S37" s="54"/>
      <c r="T37" s="54"/>
      <c r="U37" s="54"/>
      <c r="V37" s="53"/>
      <c r="W37" s="53"/>
      <c r="X37" s="53"/>
      <c r="Y37" s="53"/>
      <c r="Z37" s="1"/>
      <c r="AA37" s="1"/>
      <c r="AB37" s="1"/>
      <c r="AC37" s="1"/>
      <c r="AD37" s="52"/>
      <c r="AE37" s="52"/>
      <c r="AF37" s="52"/>
      <c r="AG37" s="52"/>
      <c r="AH37" s="53"/>
      <c r="AI37" s="53"/>
      <c r="AJ37" s="53"/>
      <c r="AK37" s="53"/>
      <c r="AL37" s="1"/>
      <c r="AM37" s="1"/>
      <c r="AN37" s="1"/>
      <c r="AO37" s="1"/>
      <c r="AP37" s="55"/>
      <c r="AQ37" s="55"/>
      <c r="AR37" s="55"/>
      <c r="AS37" s="55"/>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7"/>
      <c r="CW37" s="57"/>
      <c r="CX37" s="1"/>
    </row>
    <row r="38" spans="1:102" s="10" customFormat="1" ht="18" customHeight="1" x14ac:dyDescent="0.25">
      <c r="A38" s="6"/>
      <c r="B38" s="6"/>
      <c r="C38" s="1"/>
      <c r="D38" s="1"/>
      <c r="E38" s="1"/>
      <c r="F38" s="56"/>
      <c r="G38" s="56"/>
      <c r="H38" s="56"/>
      <c r="I38" s="56"/>
      <c r="J38" s="51"/>
      <c r="K38" s="51"/>
      <c r="L38" s="51"/>
      <c r="M38" s="51"/>
      <c r="N38" s="50"/>
      <c r="O38" s="50"/>
      <c r="P38" s="50"/>
      <c r="Q38" s="50"/>
      <c r="R38" s="54"/>
      <c r="S38" s="54"/>
      <c r="T38" s="54"/>
      <c r="U38" s="54"/>
      <c r="V38" s="53"/>
      <c r="W38" s="53"/>
      <c r="X38" s="53"/>
      <c r="Y38" s="53"/>
      <c r="Z38" s="1"/>
      <c r="AA38" s="1"/>
      <c r="AB38" s="1"/>
      <c r="AC38" s="1"/>
      <c r="AD38" s="52"/>
      <c r="AE38" s="52"/>
      <c r="AF38" s="52"/>
      <c r="AG38" s="52"/>
      <c r="AH38" s="53"/>
      <c r="AI38" s="53"/>
      <c r="AJ38" s="53"/>
      <c r="AK38" s="53"/>
      <c r="AL38" s="1"/>
      <c r="AM38" s="1"/>
      <c r="AN38" s="1"/>
      <c r="AO38" s="1"/>
      <c r="AP38" s="55"/>
      <c r="AQ38" s="55"/>
      <c r="AR38" s="55"/>
      <c r="AS38" s="55"/>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7"/>
      <c r="CW38" s="57"/>
      <c r="CX38" s="1"/>
    </row>
    <row r="39" spans="1:102" s="10" customFormat="1" ht="18" customHeight="1" x14ac:dyDescent="0.25">
      <c r="A39" s="6"/>
      <c r="B39" s="6"/>
      <c r="C39" s="1"/>
      <c r="D39" s="1"/>
      <c r="E39" s="1"/>
      <c r="F39" s="56"/>
      <c r="G39" s="56"/>
      <c r="H39" s="56"/>
      <c r="I39" s="56"/>
      <c r="J39" s="51"/>
      <c r="K39" s="51"/>
      <c r="L39" s="51"/>
      <c r="M39" s="51"/>
      <c r="N39" s="50"/>
      <c r="O39" s="50"/>
      <c r="P39" s="50"/>
      <c r="Q39" s="50"/>
      <c r="R39" s="54"/>
      <c r="S39" s="54"/>
      <c r="T39" s="54"/>
      <c r="U39" s="54"/>
      <c r="V39" s="53"/>
      <c r="W39" s="53"/>
      <c r="X39" s="53"/>
      <c r="Y39" s="53"/>
      <c r="Z39" s="1"/>
      <c r="AA39" s="1"/>
      <c r="AB39" s="1"/>
      <c r="AC39" s="1"/>
      <c r="AD39" s="52"/>
      <c r="AE39" s="52"/>
      <c r="AF39" s="52"/>
      <c r="AG39" s="52"/>
      <c r="AH39" s="53"/>
      <c r="AI39" s="53"/>
      <c r="AJ39" s="53"/>
      <c r="AK39" s="53"/>
      <c r="AL39" s="1"/>
      <c r="AM39" s="1"/>
      <c r="AN39" s="1"/>
      <c r="AO39" s="1"/>
      <c r="AP39" s="55"/>
      <c r="AQ39" s="55"/>
      <c r="AR39" s="55"/>
      <c r="AS39" s="55"/>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7"/>
      <c r="CW39" s="57"/>
      <c r="CX39" s="1"/>
    </row>
    <row r="40" spans="1:102" s="10" customFormat="1" ht="18" customHeight="1" x14ac:dyDescent="0.25">
      <c r="A40" s="6"/>
      <c r="B40" s="6"/>
      <c r="C40" s="1"/>
      <c r="D40" s="1"/>
      <c r="E40" s="1"/>
      <c r="F40" s="56"/>
      <c r="G40" s="56"/>
      <c r="H40" s="56"/>
      <c r="I40" s="56"/>
      <c r="J40" s="51"/>
      <c r="K40" s="51"/>
      <c r="L40" s="51"/>
      <c r="M40" s="51"/>
      <c r="N40" s="50"/>
      <c r="O40" s="50"/>
      <c r="P40" s="50"/>
      <c r="Q40" s="50"/>
      <c r="R40" s="54"/>
      <c r="S40" s="54"/>
      <c r="T40" s="54"/>
      <c r="U40" s="54"/>
      <c r="V40" s="53"/>
      <c r="W40" s="53"/>
      <c r="X40" s="53"/>
      <c r="Y40" s="53"/>
      <c r="Z40" s="1"/>
      <c r="AA40" s="1"/>
      <c r="AB40" s="1"/>
      <c r="AC40" s="1"/>
      <c r="AD40" s="52"/>
      <c r="AE40" s="52"/>
      <c r="AF40" s="52"/>
      <c r="AG40" s="52"/>
      <c r="AH40" s="53"/>
      <c r="AI40" s="53"/>
      <c r="AJ40" s="53"/>
      <c r="AK40" s="53"/>
      <c r="AL40" s="1"/>
      <c r="AM40" s="1"/>
      <c r="AN40" s="1"/>
      <c r="AO40" s="1"/>
      <c r="AP40" s="55"/>
      <c r="AQ40" s="55"/>
      <c r="AR40" s="55"/>
      <c r="AS40" s="55"/>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7"/>
      <c r="CW40" s="57"/>
      <c r="CX40" s="1"/>
    </row>
    <row r="41" spans="1:102" s="10" customFormat="1" ht="18" customHeight="1" x14ac:dyDescent="0.25">
      <c r="A41" s="6"/>
      <c r="B41" s="6"/>
      <c r="C41" s="1"/>
      <c r="D41" s="1"/>
      <c r="E41" s="1"/>
      <c r="F41" s="56"/>
      <c r="G41" s="56"/>
      <c r="H41" s="56"/>
      <c r="I41" s="56"/>
      <c r="J41" s="51"/>
      <c r="K41" s="51"/>
      <c r="L41" s="51"/>
      <c r="M41" s="51"/>
      <c r="N41" s="50"/>
      <c r="O41" s="50"/>
      <c r="P41" s="50"/>
      <c r="Q41" s="50"/>
      <c r="R41" s="54"/>
      <c r="S41" s="54"/>
      <c r="T41" s="54"/>
      <c r="U41" s="54"/>
      <c r="V41" s="53"/>
      <c r="W41" s="53"/>
      <c r="X41" s="53"/>
      <c r="Y41" s="53"/>
      <c r="Z41" s="1"/>
      <c r="AA41" s="1"/>
      <c r="AB41" s="1"/>
      <c r="AC41" s="1"/>
      <c r="AD41" s="52"/>
      <c r="AE41" s="52"/>
      <c r="AF41" s="52"/>
      <c r="AG41" s="52"/>
      <c r="AH41" s="53"/>
      <c r="AI41" s="53"/>
      <c r="AJ41" s="53"/>
      <c r="AK41" s="53"/>
      <c r="AL41" s="1"/>
      <c r="AM41" s="1"/>
      <c r="AN41" s="1"/>
      <c r="AO41" s="1"/>
      <c r="AP41" s="55"/>
      <c r="AQ41" s="55"/>
      <c r="AR41" s="55"/>
      <c r="AS41" s="55"/>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7"/>
      <c r="CW41" s="57"/>
      <c r="CX41" s="1"/>
    </row>
    <row r="42" spans="1:102" s="10" customFormat="1" ht="18" customHeight="1" x14ac:dyDescent="0.25">
      <c r="A42" s="6"/>
      <c r="B42" s="6"/>
      <c r="C42" s="1"/>
      <c r="D42" s="1"/>
      <c r="E42" s="1"/>
      <c r="F42" s="56"/>
      <c r="G42" s="56"/>
      <c r="H42" s="56"/>
      <c r="I42" s="56"/>
      <c r="J42" s="51"/>
      <c r="K42" s="51"/>
      <c r="L42" s="51"/>
      <c r="M42" s="51"/>
      <c r="N42" s="50"/>
      <c r="O42" s="50"/>
      <c r="P42" s="50"/>
      <c r="Q42" s="50"/>
      <c r="R42" s="54"/>
      <c r="S42" s="54"/>
      <c r="T42" s="54"/>
      <c r="U42" s="54"/>
      <c r="V42" s="53"/>
      <c r="W42" s="53"/>
      <c r="X42" s="53"/>
      <c r="Y42" s="53"/>
      <c r="Z42" s="1"/>
      <c r="AA42" s="1"/>
      <c r="AB42" s="1"/>
      <c r="AC42" s="1"/>
      <c r="AD42" s="52"/>
      <c r="AE42" s="52"/>
      <c r="AF42" s="52"/>
      <c r="AG42" s="52"/>
      <c r="AH42" s="53"/>
      <c r="AI42" s="53"/>
      <c r="AJ42" s="53"/>
      <c r="AK42" s="53"/>
      <c r="AL42" s="1"/>
      <c r="AM42" s="1"/>
      <c r="AN42" s="1"/>
      <c r="AO42" s="1"/>
      <c r="AP42" s="55"/>
      <c r="AQ42" s="55"/>
      <c r="AR42" s="55"/>
      <c r="AS42" s="55"/>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7"/>
      <c r="CW42" s="57"/>
      <c r="CX42" s="1"/>
    </row>
    <row r="43" spans="1:102" s="10" customFormat="1" ht="18" customHeight="1" x14ac:dyDescent="0.25">
      <c r="A43" s="6"/>
      <c r="B43" s="6"/>
      <c r="C43" s="1"/>
      <c r="D43" s="1"/>
      <c r="E43" s="1"/>
      <c r="F43" s="56"/>
      <c r="G43" s="56"/>
      <c r="H43" s="56"/>
      <c r="I43" s="56"/>
      <c r="J43" s="51"/>
      <c r="K43" s="51"/>
      <c r="L43" s="51"/>
      <c r="M43" s="51"/>
      <c r="N43" s="50"/>
      <c r="O43" s="50"/>
      <c r="P43" s="50"/>
      <c r="Q43" s="50"/>
      <c r="R43" s="54"/>
      <c r="S43" s="54"/>
      <c r="T43" s="54"/>
      <c r="U43" s="54"/>
      <c r="V43" s="53"/>
      <c r="W43" s="53"/>
      <c r="X43" s="53"/>
      <c r="Y43" s="53"/>
      <c r="Z43" s="1"/>
      <c r="AA43" s="1"/>
      <c r="AB43" s="1"/>
      <c r="AC43" s="1"/>
      <c r="AD43" s="52"/>
      <c r="AE43" s="52"/>
      <c r="AF43" s="52"/>
      <c r="AG43" s="52"/>
      <c r="AH43" s="53"/>
      <c r="AI43" s="53"/>
      <c r="AJ43" s="53"/>
      <c r="AK43" s="53"/>
      <c r="AL43" s="1"/>
      <c r="AM43" s="1"/>
      <c r="AN43" s="1"/>
      <c r="AO43" s="1"/>
      <c r="AP43" s="55"/>
      <c r="AQ43" s="55"/>
      <c r="AR43" s="55"/>
      <c r="AS43" s="55"/>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7"/>
      <c r="CW43" s="57"/>
      <c r="CX43" s="1"/>
    </row>
    <row r="44" spans="1:102" s="10" customFormat="1" ht="18" customHeight="1" x14ac:dyDescent="0.25">
      <c r="A44" s="6"/>
      <c r="B44" s="6"/>
      <c r="C44" s="1"/>
      <c r="D44" s="1"/>
      <c r="E44" s="1"/>
      <c r="F44" s="56"/>
      <c r="G44" s="56"/>
      <c r="H44" s="56"/>
      <c r="I44" s="56"/>
      <c r="J44" s="51"/>
      <c r="K44" s="51"/>
      <c r="L44" s="51"/>
      <c r="M44" s="51"/>
      <c r="N44" s="50"/>
      <c r="O44" s="50"/>
      <c r="P44" s="50"/>
      <c r="Q44" s="50"/>
      <c r="R44" s="54"/>
      <c r="S44" s="54"/>
      <c r="T44" s="54"/>
      <c r="U44" s="54"/>
      <c r="V44" s="53"/>
      <c r="W44" s="53"/>
      <c r="X44" s="53"/>
      <c r="Y44" s="53"/>
      <c r="Z44" s="1"/>
      <c r="AA44" s="1"/>
      <c r="AB44" s="1"/>
      <c r="AC44" s="1"/>
      <c r="AD44" s="52"/>
      <c r="AE44" s="52"/>
      <c r="AF44" s="52"/>
      <c r="AG44" s="52"/>
      <c r="AH44" s="53"/>
      <c r="AI44" s="53"/>
      <c r="AJ44" s="53"/>
      <c r="AK44" s="53"/>
      <c r="AL44" s="1"/>
      <c r="AM44" s="1"/>
      <c r="AN44" s="1"/>
      <c r="AO44" s="1"/>
      <c r="AP44" s="55"/>
      <c r="AQ44" s="55"/>
      <c r="AR44" s="55"/>
      <c r="AS44" s="55"/>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7"/>
      <c r="CW44" s="57"/>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6"/>
  <sheetViews>
    <sheetView showZeros="0" tabSelected="1" topLeftCell="A31" zoomScale="85" zoomScaleNormal="85" workbookViewId="0">
      <selection activeCell="BG49" sqref="BG49"/>
    </sheetView>
  </sheetViews>
  <sheetFormatPr defaultRowHeight="15" x14ac:dyDescent="0.25"/>
  <cols>
    <col min="1" max="1" width="14.140625" bestFit="1" customWidth="1"/>
    <col min="2" max="2" width="16.28515625" style="60" bestFit="1" customWidth="1"/>
    <col min="3" max="3" width="10.28515625" bestFit="1" customWidth="1"/>
    <col min="4" max="4" width="37.5703125" bestFit="1" customWidth="1"/>
    <col min="5" max="5" width="13.7109375" style="2" customWidth="1"/>
    <col min="6" max="6" width="13" customWidth="1"/>
    <col min="7" max="7" width="15.42578125" customWidth="1"/>
    <col min="8" max="8" width="12.7109375" style="5" customWidth="1"/>
    <col min="9" max="9" width="11.7109375" bestFit="1" customWidth="1"/>
    <col min="10" max="10" width="13.140625" customWidth="1"/>
    <col min="11" max="11" width="12.7109375" bestFit="1" customWidth="1"/>
    <col min="12" max="12" width="10.28515625" customWidth="1"/>
    <col min="13" max="13" width="17.85546875" customWidth="1"/>
    <col min="14" max="14" width="7.85546875" style="15" customWidth="1"/>
    <col min="15" max="22" width="7.85546875" style="15" hidden="1" customWidth="1"/>
    <col min="23" max="23" width="7.85546875" style="15" customWidth="1"/>
    <col min="24" max="26" width="7.85546875" style="15" hidden="1" customWidth="1"/>
    <col min="27" max="27" width="9.28515625" style="15" bestFit="1" customWidth="1"/>
    <col min="28" max="32" width="7.85546875" style="15" hidden="1" customWidth="1"/>
    <col min="33" max="34" width="7.85546875" style="15" customWidth="1"/>
    <col min="35" max="35" width="7.85546875" style="15" hidden="1" customWidth="1"/>
    <col min="36" max="36" width="7.85546875" style="15" customWidth="1"/>
    <col min="37" max="42" width="7.85546875" style="15" hidden="1" customWidth="1"/>
    <col min="43" max="43" width="7.85546875" style="15" customWidth="1"/>
    <col min="44" max="49" width="7.85546875" style="15" hidden="1" customWidth="1"/>
    <col min="50" max="50" width="7.85546875" style="15" customWidth="1"/>
    <col min="51" max="58" width="7.85546875" style="15" hidden="1" customWidth="1"/>
    <col min="59" max="59" width="7.85546875" style="15" customWidth="1"/>
    <col min="60" max="66" width="7.85546875" style="15" hidden="1" customWidth="1"/>
    <col min="67" max="67" width="7.85546875" style="15" customWidth="1"/>
    <col min="68" max="69" width="7.85546875" style="15" hidden="1" customWidth="1"/>
    <col min="70" max="70" width="7.85546875" style="15" customWidth="1"/>
    <col min="71" max="75" width="7.85546875" style="15" hidden="1" customWidth="1"/>
    <col min="76" max="80" width="7.85546875" style="15" customWidth="1"/>
    <col min="81" max="82" width="7.85546875" style="15" hidden="1" customWidth="1"/>
    <col min="83" max="85" width="7.85546875" style="15" customWidth="1"/>
    <col min="86" max="86" width="11" style="15" customWidth="1"/>
    <col min="87" max="87" width="27.1406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9" ht="15.75" thickBot="1" x14ac:dyDescent="0.3">
      <c r="A1" s="132"/>
      <c r="B1" s="132"/>
      <c r="C1" s="132"/>
      <c r="D1" s="132"/>
      <c r="E1" s="132"/>
      <c r="F1" s="132"/>
      <c r="G1" s="132"/>
      <c r="H1" s="132"/>
      <c r="I1" s="132"/>
      <c r="J1" s="132"/>
      <c r="K1" s="132"/>
      <c r="L1" s="132"/>
      <c r="M1" s="132"/>
      <c r="N1" s="132"/>
      <c r="O1" s="132"/>
      <c r="P1" s="132"/>
      <c r="Q1" s="132"/>
      <c r="R1" s="132"/>
      <c r="S1" s="132"/>
    </row>
    <row r="2" spans="1:19" ht="23.25" thickBot="1" x14ac:dyDescent="0.3">
      <c r="A2" s="133" t="s">
        <v>268</v>
      </c>
      <c r="B2" s="134"/>
      <c r="C2" s="134"/>
      <c r="D2" s="134"/>
      <c r="E2" s="134"/>
      <c r="F2" s="134"/>
      <c r="G2" s="134"/>
      <c r="H2" s="134"/>
      <c r="I2" s="134"/>
      <c r="J2" s="134"/>
      <c r="K2" s="134"/>
      <c r="L2" s="134"/>
      <c r="M2" s="134"/>
      <c r="N2" s="134"/>
      <c r="O2" s="134"/>
      <c r="P2" s="134"/>
      <c r="Q2" s="134"/>
      <c r="R2" s="134"/>
      <c r="S2" s="135"/>
    </row>
    <row r="3" spans="1:19" ht="15.75" thickBot="1" x14ac:dyDescent="0.3">
      <c r="A3" s="132"/>
      <c r="B3" s="132"/>
      <c r="C3" s="132"/>
      <c r="D3" s="132"/>
      <c r="E3" s="132"/>
      <c r="F3" s="132"/>
      <c r="G3" s="132"/>
      <c r="H3" s="132"/>
      <c r="I3" s="132"/>
      <c r="J3" s="132"/>
      <c r="K3" s="132"/>
      <c r="L3" s="132"/>
      <c r="M3" s="132"/>
      <c r="N3" s="132"/>
      <c r="O3" s="132"/>
      <c r="P3" s="132"/>
      <c r="Q3" s="132"/>
      <c r="R3" s="132"/>
      <c r="S3" s="132"/>
    </row>
    <row r="4" spans="1:19" ht="45.75" thickBot="1" x14ac:dyDescent="0.3">
      <c r="A4" s="136" t="s">
        <v>269</v>
      </c>
      <c r="B4" s="137" t="s">
        <v>282</v>
      </c>
      <c r="C4" s="137"/>
      <c r="D4" s="137"/>
      <c r="E4" s="137"/>
      <c r="F4" s="137"/>
      <c r="G4" s="137"/>
      <c r="H4" s="137"/>
      <c r="I4" s="137"/>
      <c r="J4" s="137"/>
      <c r="K4" s="137"/>
      <c r="L4" s="137"/>
      <c r="M4" s="137"/>
      <c r="N4" s="137"/>
      <c r="O4" s="137"/>
      <c r="P4" s="137"/>
      <c r="Q4" s="137"/>
      <c r="R4" s="137"/>
      <c r="S4" s="137"/>
    </row>
    <row r="5" spans="1:19" ht="45" x14ac:dyDescent="0.25">
      <c r="A5" s="136" t="s">
        <v>270</v>
      </c>
      <c r="B5" s="138" t="s">
        <v>283</v>
      </c>
      <c r="C5" s="137"/>
      <c r="D5" s="137"/>
      <c r="E5" s="137"/>
      <c r="F5" s="137"/>
      <c r="G5" s="137"/>
      <c r="H5" s="137"/>
      <c r="I5" s="137"/>
      <c r="J5" s="137"/>
      <c r="K5" s="137"/>
      <c r="L5" s="137"/>
      <c r="M5" s="137"/>
      <c r="N5" s="137"/>
      <c r="O5" s="137"/>
      <c r="P5" s="137"/>
      <c r="Q5" s="137"/>
      <c r="R5" s="137"/>
      <c r="S5" s="137"/>
    </row>
    <row r="6" spans="1:19" ht="45" x14ac:dyDescent="0.25">
      <c r="A6" s="139" t="s">
        <v>271</v>
      </c>
      <c r="B6" s="140" t="s">
        <v>284</v>
      </c>
      <c r="C6" s="138"/>
      <c r="D6" s="137"/>
      <c r="E6" s="137"/>
      <c r="F6" s="137"/>
      <c r="G6" s="137"/>
      <c r="H6" s="137"/>
      <c r="I6" s="137"/>
      <c r="J6" s="137"/>
      <c r="K6" s="137"/>
      <c r="L6" s="137"/>
      <c r="M6" s="137"/>
      <c r="N6" s="137"/>
      <c r="O6" s="137"/>
      <c r="P6" s="137"/>
      <c r="Q6" s="137"/>
      <c r="R6" s="137"/>
      <c r="S6" s="137"/>
    </row>
    <row r="7" spans="1:19" ht="30" x14ac:dyDescent="0.25">
      <c r="A7" s="139" t="s">
        <v>272</v>
      </c>
      <c r="B7" s="138" t="s">
        <v>273</v>
      </c>
      <c r="C7" s="138"/>
      <c r="D7" s="137"/>
      <c r="E7" s="137"/>
      <c r="F7" s="137"/>
      <c r="G7" s="137"/>
      <c r="H7" s="137"/>
      <c r="I7" s="137"/>
      <c r="J7" s="137"/>
      <c r="K7" s="137"/>
      <c r="L7" s="137"/>
      <c r="M7" s="137"/>
      <c r="N7" s="137"/>
      <c r="O7" s="137"/>
      <c r="P7" s="137"/>
      <c r="Q7" s="137"/>
      <c r="R7" s="137"/>
      <c r="S7" s="137"/>
    </row>
    <row r="8" spans="1:19" ht="94.5" customHeight="1" x14ac:dyDescent="0.25">
      <c r="A8" s="139" t="s">
        <v>274</v>
      </c>
      <c r="B8" s="141" t="s">
        <v>285</v>
      </c>
      <c r="C8" s="142"/>
      <c r="D8" s="142"/>
      <c r="E8" s="142"/>
      <c r="F8" s="142"/>
      <c r="G8" s="142"/>
      <c r="H8" s="142"/>
      <c r="I8" s="142"/>
      <c r="J8" s="142"/>
      <c r="K8" s="142"/>
      <c r="L8" s="142"/>
      <c r="M8" s="142"/>
      <c r="N8" s="142"/>
      <c r="O8" s="142"/>
      <c r="P8" s="142"/>
      <c r="Q8" s="142"/>
      <c r="R8" s="142"/>
      <c r="S8" s="143"/>
    </row>
    <row r="9" spans="1:19" ht="30" customHeight="1" x14ac:dyDescent="0.25">
      <c r="A9" s="139" t="s">
        <v>275</v>
      </c>
      <c r="B9" s="141" t="s">
        <v>276</v>
      </c>
      <c r="C9" s="142"/>
      <c r="D9" s="142"/>
      <c r="E9" s="142"/>
      <c r="F9" s="142"/>
      <c r="G9" s="142"/>
      <c r="H9" s="142"/>
      <c r="I9" s="142"/>
      <c r="J9" s="142"/>
      <c r="K9" s="142"/>
      <c r="L9" s="142"/>
      <c r="M9" s="142"/>
      <c r="N9" s="142"/>
      <c r="O9" s="142"/>
      <c r="P9" s="142"/>
      <c r="Q9" s="142"/>
      <c r="R9" s="142"/>
      <c r="S9" s="143"/>
    </row>
    <row r="10" spans="1:19" ht="30" x14ac:dyDescent="0.25">
      <c r="A10" s="139" t="s">
        <v>277</v>
      </c>
      <c r="B10" s="138" t="s">
        <v>286</v>
      </c>
      <c r="C10" s="138"/>
      <c r="D10" s="138"/>
      <c r="E10" s="138"/>
      <c r="F10" s="138"/>
      <c r="G10" s="138"/>
      <c r="H10" s="138"/>
      <c r="I10" s="138"/>
      <c r="J10" s="138"/>
      <c r="K10" s="138"/>
      <c r="L10" s="138"/>
      <c r="M10" s="138"/>
      <c r="N10" s="138"/>
      <c r="O10" s="138"/>
      <c r="P10" s="138"/>
      <c r="Q10" s="138"/>
      <c r="R10" s="138"/>
      <c r="S10" s="138"/>
    </row>
    <row r="11" spans="1:19" ht="111.75" customHeight="1" x14ac:dyDescent="0.25">
      <c r="A11" s="139" t="s">
        <v>278</v>
      </c>
      <c r="B11" s="144" t="s">
        <v>287</v>
      </c>
      <c r="C11" s="145"/>
      <c r="D11" s="145"/>
      <c r="E11" s="145"/>
      <c r="F11" s="145"/>
      <c r="G11" s="145"/>
      <c r="H11" s="145"/>
      <c r="I11" s="145"/>
      <c r="J11" s="145"/>
      <c r="K11" s="145"/>
      <c r="L11" s="145"/>
      <c r="M11" s="145"/>
      <c r="N11" s="145"/>
      <c r="O11" s="145"/>
      <c r="P11" s="145"/>
      <c r="Q11" s="145"/>
      <c r="R11" s="145"/>
      <c r="S11" s="146"/>
    </row>
    <row r="12" spans="1:19" ht="54.75" customHeight="1" x14ac:dyDescent="0.25">
      <c r="A12" s="147" t="s">
        <v>279</v>
      </c>
      <c r="B12" s="148" t="s">
        <v>288</v>
      </c>
      <c r="C12" s="148"/>
      <c r="D12" s="148"/>
      <c r="E12" s="148"/>
      <c r="F12" s="148"/>
      <c r="G12" s="148"/>
      <c r="H12" s="148"/>
      <c r="I12" s="148"/>
      <c r="J12" s="148"/>
      <c r="K12" s="148"/>
      <c r="L12" s="148"/>
      <c r="M12" s="148"/>
      <c r="N12" s="148"/>
      <c r="O12" s="148"/>
      <c r="P12" s="148"/>
      <c r="Q12" s="148"/>
      <c r="R12" s="148"/>
      <c r="S12" s="148"/>
    </row>
    <row r="13" spans="1:19" ht="53.25" customHeight="1" x14ac:dyDescent="0.25">
      <c r="A13" s="147" t="s">
        <v>280</v>
      </c>
      <c r="B13" s="148" t="s">
        <v>289</v>
      </c>
      <c r="C13" s="148"/>
      <c r="D13" s="148"/>
      <c r="E13" s="148"/>
      <c r="F13" s="148"/>
      <c r="G13" s="148"/>
      <c r="H13" s="148"/>
      <c r="I13" s="148"/>
      <c r="J13" s="148"/>
      <c r="K13" s="148"/>
      <c r="L13" s="148"/>
      <c r="M13" s="148"/>
      <c r="N13" s="148"/>
      <c r="O13" s="148"/>
      <c r="P13" s="148"/>
      <c r="Q13" s="148"/>
      <c r="R13" s="148"/>
      <c r="S13" s="148"/>
    </row>
    <row r="14" spans="1:19" ht="30" x14ac:dyDescent="0.25">
      <c r="A14" s="149" t="s">
        <v>281</v>
      </c>
      <c r="B14" s="148"/>
      <c r="C14" s="148"/>
      <c r="D14" s="148"/>
      <c r="E14" s="148"/>
      <c r="F14" s="148"/>
      <c r="G14" s="148"/>
      <c r="H14" s="148"/>
      <c r="I14" s="148"/>
      <c r="J14" s="148"/>
      <c r="K14" s="148"/>
      <c r="L14" s="148"/>
      <c r="M14" s="148"/>
      <c r="N14" s="148"/>
      <c r="O14" s="148"/>
      <c r="P14" s="148"/>
      <c r="Q14" s="148"/>
      <c r="R14" s="148"/>
      <c r="S14" s="148"/>
    </row>
    <row r="15" spans="1:19" x14ac:dyDescent="0.25">
      <c r="A15" s="132"/>
      <c r="B15" s="132"/>
      <c r="C15" s="132"/>
      <c r="D15" s="132"/>
      <c r="E15" s="132"/>
      <c r="F15" s="150"/>
      <c r="G15" s="132"/>
      <c r="H15" s="132"/>
      <c r="I15" s="151"/>
      <c r="J15" s="132"/>
      <c r="K15" s="132"/>
      <c r="L15" s="132"/>
      <c r="M15" s="132"/>
      <c r="N15" s="132"/>
      <c r="O15" s="152"/>
      <c r="P15" s="152"/>
      <c r="Q15" s="152"/>
      <c r="R15" s="152"/>
      <c r="S15" s="152"/>
    </row>
    <row r="17" spans="1:104" s="22" customFormat="1" ht="28.9" customHeight="1" x14ac:dyDescent="0.25">
      <c r="A17" s="86"/>
      <c r="B17" s="86"/>
      <c r="C17" s="87"/>
      <c r="D17" s="87"/>
      <c r="E17" s="26"/>
      <c r="H17" s="27"/>
      <c r="N17" s="103" t="s">
        <v>82</v>
      </c>
      <c r="O17" s="103"/>
      <c r="P17" s="103"/>
      <c r="Q17" s="103"/>
      <c r="R17" s="103"/>
      <c r="S17" s="103"/>
      <c r="T17" s="103"/>
      <c r="U17" s="103"/>
      <c r="V17" s="104" t="s">
        <v>4</v>
      </c>
      <c r="W17" s="104"/>
      <c r="X17" s="105" t="s">
        <v>3</v>
      </c>
      <c r="Y17" s="105"/>
      <c r="Z17" s="105"/>
      <c r="AA17" s="105"/>
      <c r="AB17" s="105"/>
      <c r="AC17" s="105"/>
      <c r="AD17" s="105"/>
      <c r="AE17" s="105"/>
      <c r="AF17" s="106" t="s">
        <v>5</v>
      </c>
      <c r="AG17" s="106"/>
      <c r="AH17" s="107" t="s">
        <v>6</v>
      </c>
      <c r="AI17" s="107"/>
      <c r="AJ17" s="107"/>
      <c r="AK17" s="107"/>
      <c r="AL17" s="107"/>
      <c r="AM17" s="107"/>
      <c r="AN17" s="107"/>
      <c r="AO17" s="107"/>
      <c r="AP17" s="107"/>
      <c r="AQ17" s="34" t="s">
        <v>7</v>
      </c>
      <c r="AR17" s="99" t="s">
        <v>8</v>
      </c>
      <c r="AS17" s="100"/>
      <c r="AT17" s="100"/>
      <c r="AU17" s="100"/>
      <c r="AV17" s="100"/>
      <c r="AW17" s="100"/>
      <c r="AX17" s="100"/>
      <c r="AY17" s="100"/>
      <c r="AZ17" s="100"/>
      <c r="BA17" s="101" t="s">
        <v>9</v>
      </c>
      <c r="BB17" s="101"/>
      <c r="BC17" s="101"/>
      <c r="BD17" s="101"/>
      <c r="BE17" s="101"/>
      <c r="BF17" s="101"/>
      <c r="BG17" s="101"/>
      <c r="BH17" s="101"/>
      <c r="BI17" s="101"/>
      <c r="BJ17" s="101"/>
      <c r="BK17" s="101"/>
      <c r="BL17" s="102" t="s">
        <v>10</v>
      </c>
      <c r="BM17" s="102"/>
      <c r="BN17" s="102"/>
      <c r="BO17" s="102"/>
      <c r="BP17" s="102"/>
      <c r="BQ17" s="102"/>
      <c r="BR17" s="102"/>
      <c r="BS17" s="102"/>
      <c r="BT17" s="102"/>
      <c r="BU17" s="102"/>
      <c r="BV17" s="102"/>
      <c r="BW17" s="102"/>
      <c r="BX17" s="38" t="s">
        <v>11</v>
      </c>
      <c r="BY17" s="41" t="s">
        <v>12</v>
      </c>
      <c r="BZ17" s="30" t="s">
        <v>13</v>
      </c>
      <c r="CA17" s="33" t="s">
        <v>14</v>
      </c>
      <c r="CB17" s="31" t="s">
        <v>15</v>
      </c>
      <c r="CC17" s="44" t="s">
        <v>16</v>
      </c>
      <c r="CD17" s="45" t="s">
        <v>17</v>
      </c>
      <c r="CE17" s="40" t="s">
        <v>18</v>
      </c>
      <c r="CF17" s="30" t="s">
        <v>19</v>
      </c>
      <c r="CG17" s="96" t="s">
        <v>84</v>
      </c>
      <c r="CH17" s="97"/>
      <c r="CI17" s="97"/>
      <c r="CJ17" s="98"/>
      <c r="CK17" s="63" t="s">
        <v>20</v>
      </c>
      <c r="CL17" s="23" t="s">
        <v>21</v>
      </c>
      <c r="CM17" s="24" t="s">
        <v>40</v>
      </c>
      <c r="CN17" s="23" t="s">
        <v>81</v>
      </c>
      <c r="CO17" s="25"/>
      <c r="CP17" s="26"/>
      <c r="CQ17" s="27"/>
      <c r="CR17" s="26"/>
      <c r="CS17" s="26"/>
      <c r="CT17" s="27"/>
      <c r="CV17" s="27"/>
      <c r="CZ17" s="22" t="s">
        <v>126</v>
      </c>
    </row>
    <row r="18" spans="1:104" s="11" customFormat="1" ht="89.25" x14ac:dyDescent="0.25">
      <c r="A18" s="78" t="s">
        <v>0</v>
      </c>
      <c r="B18" s="79" t="s">
        <v>85</v>
      </c>
      <c r="C18" s="78" t="s">
        <v>1</v>
      </c>
      <c r="D18" s="78" t="s">
        <v>2</v>
      </c>
      <c r="E18" s="3" t="s">
        <v>31</v>
      </c>
      <c r="F18" s="9" t="s">
        <v>32</v>
      </c>
      <c r="G18" s="9" t="s">
        <v>33</v>
      </c>
      <c r="H18" s="4" t="s">
        <v>34</v>
      </c>
      <c r="I18" s="9" t="s">
        <v>35</v>
      </c>
      <c r="J18" s="9" t="s">
        <v>36</v>
      </c>
      <c r="K18" s="9" t="s">
        <v>37</v>
      </c>
      <c r="L18" s="9" t="s">
        <v>38</v>
      </c>
      <c r="M18" s="9" t="s">
        <v>39</v>
      </c>
      <c r="N18" s="80" t="s">
        <v>41</v>
      </c>
      <c r="O18" s="80" t="s">
        <v>46</v>
      </c>
      <c r="P18" s="80" t="s">
        <v>43</v>
      </c>
      <c r="Q18" s="80" t="s">
        <v>123</v>
      </c>
      <c r="R18" s="80" t="s">
        <v>124</v>
      </c>
      <c r="S18" s="80" t="s">
        <v>125</v>
      </c>
      <c r="T18" s="80" t="s">
        <v>44</v>
      </c>
      <c r="U18" s="80" t="s">
        <v>45</v>
      </c>
      <c r="V18" s="80" t="s">
        <v>41</v>
      </c>
      <c r="W18" s="80" t="s">
        <v>46</v>
      </c>
      <c r="X18" s="81" t="s">
        <v>53</v>
      </c>
      <c r="Y18" s="81" t="s">
        <v>57</v>
      </c>
      <c r="Z18" s="81" t="s">
        <v>60</v>
      </c>
      <c r="AA18" s="81" t="s">
        <v>65</v>
      </c>
      <c r="AB18" s="81" t="s">
        <v>69</v>
      </c>
      <c r="AC18" s="81" t="s">
        <v>71</v>
      </c>
      <c r="AD18" s="81" t="s">
        <v>73</v>
      </c>
      <c r="AE18" s="81" t="s">
        <v>75</v>
      </c>
      <c r="AF18" s="81" t="s">
        <v>52</v>
      </c>
      <c r="AG18" s="81" t="s">
        <v>56</v>
      </c>
      <c r="AH18" s="81" t="s">
        <v>51</v>
      </c>
      <c r="AI18" s="81" t="s">
        <v>47</v>
      </c>
      <c r="AJ18" s="81" t="s">
        <v>59</v>
      </c>
      <c r="AK18" s="81" t="s">
        <v>64</v>
      </c>
      <c r="AL18" s="81" t="s">
        <v>68</v>
      </c>
      <c r="AM18" s="81" t="s">
        <v>87</v>
      </c>
      <c r="AN18" s="81" t="s">
        <v>88</v>
      </c>
      <c r="AO18" s="81" t="s">
        <v>86</v>
      </c>
      <c r="AP18" s="81" t="s">
        <v>94</v>
      </c>
      <c r="AQ18" s="82" t="s">
        <v>7</v>
      </c>
      <c r="AR18" s="81" t="s">
        <v>54</v>
      </c>
      <c r="AS18" s="81" t="s">
        <v>58</v>
      </c>
      <c r="AT18" s="81" t="s">
        <v>63</v>
      </c>
      <c r="AU18" s="81" t="s">
        <v>61</v>
      </c>
      <c r="AV18" s="81" t="s">
        <v>66</v>
      </c>
      <c r="AW18" s="81" t="s">
        <v>70</v>
      </c>
      <c r="AX18" s="81" t="s">
        <v>48</v>
      </c>
      <c r="AY18" s="81" t="s">
        <v>122</v>
      </c>
      <c r="AZ18" s="81" t="s">
        <v>74</v>
      </c>
      <c r="BA18" s="81" t="s">
        <v>55</v>
      </c>
      <c r="BB18" s="81" t="s">
        <v>42</v>
      </c>
      <c r="BC18" s="81" t="s">
        <v>62</v>
      </c>
      <c r="BD18" s="81" t="s">
        <v>67</v>
      </c>
      <c r="BE18" s="81" t="s">
        <v>89</v>
      </c>
      <c r="BF18" s="81" t="s">
        <v>72</v>
      </c>
      <c r="BG18" s="81" t="s">
        <v>49</v>
      </c>
      <c r="BH18" s="81" t="s">
        <v>76</v>
      </c>
      <c r="BI18" s="81" t="s">
        <v>77</v>
      </c>
      <c r="BJ18" s="81" t="s">
        <v>78</v>
      </c>
      <c r="BK18" s="81" t="s">
        <v>80</v>
      </c>
      <c r="BL18" s="81" t="s">
        <v>54</v>
      </c>
      <c r="BM18" s="81" t="s">
        <v>58</v>
      </c>
      <c r="BN18" s="81" t="s">
        <v>63</v>
      </c>
      <c r="BO18" s="81" t="s">
        <v>61</v>
      </c>
      <c r="BP18" s="81" t="s">
        <v>90</v>
      </c>
      <c r="BQ18" s="81" t="s">
        <v>95</v>
      </c>
      <c r="BR18" s="81" t="s">
        <v>91</v>
      </c>
      <c r="BS18" s="81" t="s">
        <v>66</v>
      </c>
      <c r="BT18" s="81" t="s">
        <v>48</v>
      </c>
      <c r="BU18" s="81" t="s">
        <v>122</v>
      </c>
      <c r="BV18" s="81" t="s">
        <v>74</v>
      </c>
      <c r="BW18" s="81" t="s">
        <v>79</v>
      </c>
      <c r="BX18" s="82" t="s">
        <v>11</v>
      </c>
      <c r="BY18" s="108" t="s">
        <v>248</v>
      </c>
      <c r="BZ18" s="109" t="s">
        <v>250</v>
      </c>
      <c r="CA18" s="84" t="s">
        <v>14</v>
      </c>
      <c r="CB18" s="109" t="s">
        <v>249</v>
      </c>
      <c r="CC18" s="83" t="s">
        <v>16</v>
      </c>
      <c r="CD18" s="83" t="s">
        <v>17</v>
      </c>
      <c r="CE18" s="84" t="s">
        <v>18</v>
      </c>
      <c r="CF18" s="109" t="s">
        <v>251</v>
      </c>
      <c r="CG18" s="67" t="s">
        <v>83</v>
      </c>
      <c r="CH18" s="67" t="s">
        <v>92</v>
      </c>
      <c r="CI18" s="67" t="s">
        <v>93</v>
      </c>
      <c r="CJ18" s="67"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4" s="14" customFormat="1" x14ac:dyDescent="0.25">
      <c r="A19" s="16"/>
      <c r="B19" s="59"/>
      <c r="C19" s="16"/>
      <c r="D19" s="16"/>
      <c r="E19" s="3"/>
      <c r="F19" s="75"/>
      <c r="G19" s="62"/>
      <c r="H19" s="3"/>
      <c r="I19" s="3"/>
      <c r="J19" s="3"/>
      <c r="K19" s="76"/>
      <c r="L19" s="3"/>
      <c r="M19" s="3"/>
      <c r="N19" s="17">
        <v>335</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N19+5</f>
        <v>340</v>
      </c>
      <c r="X19" s="18">
        <f>+IFERROR(VLOOKUP($X$18,Sheet1!F:I,2,0),0)</f>
        <v>0</v>
      </c>
      <c r="Y19" s="18">
        <f>+IFERROR(VLOOKUP($Y$18,Sheet1!F:I,2,0),0)</f>
        <v>0</v>
      </c>
      <c r="Z19" s="18">
        <f>+IFERROR(VLOOKUP($Z$18,Sheet1!F:I,2,0),0)</f>
        <v>0</v>
      </c>
      <c r="AA19" s="18">
        <v>1276</v>
      </c>
      <c r="AB19" s="18">
        <f>+IFERROR(VLOOKUP($AB$18,Sheet1!F:I,2,0),0)</f>
        <v>0</v>
      </c>
      <c r="AC19" s="18">
        <f>+IFERROR(VLOOKUP($AC$18,Sheet1!F:I,2,0),0)</f>
        <v>0</v>
      </c>
      <c r="AD19" s="18">
        <f>+IFERROR(VLOOKUP($AD$18,Sheet1!F:I,2,0),0)</f>
        <v>0</v>
      </c>
      <c r="AE19" s="18">
        <f>+IFERROR(VLOOKUP($AE$18,Sheet1!F:I,2,0),0)</f>
        <v>0</v>
      </c>
      <c r="AF19" s="18">
        <f>+IFERROR(VLOOKUP($AF$18,Sheet1!R:U,2,0),0)</f>
        <v>0</v>
      </c>
      <c r="AG19" s="18">
        <v>170</v>
      </c>
      <c r="AH19" s="18">
        <v>125</v>
      </c>
      <c r="AI19" s="18">
        <f>+IFERROR(VLOOKUP($AI$18,Sheet1!V:Y,2,0),0)</f>
        <v>0</v>
      </c>
      <c r="AJ19" s="18">
        <v>200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v>110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v>59</v>
      </c>
      <c r="AY19" s="18">
        <f>+IFERROR(VLOOKUP($AY$18,Sheet1!AD2:AG840,2,0),0)</f>
        <v>0</v>
      </c>
      <c r="AZ19" s="18">
        <f>+IFERROR(VLOOKUP($AZ$18,Sheet1!AD2:AG840,2,0),0)</f>
        <v>0</v>
      </c>
      <c r="BA19" s="18">
        <f>+IFERROR(VLOOKUP($BA$18,Sheet1!AH2:AK840,2,0),0)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v>74</v>
      </c>
      <c r="BH19" s="18">
        <f>+IFERROR(VLOOKUP($BH$18,Sheet1!AH2:AK840,2,0),0)</f>
        <v>0</v>
      </c>
      <c r="BI19" s="18">
        <f>+IFERROR(VLOOKUP($BI$18,Sheet1!AH2:AK840,2,0),0)</f>
        <v>0</v>
      </c>
      <c r="BJ19" s="18">
        <f>+IFERROR(VLOOKUP($BJ$18,Sheet1!AH2:AK840,2,0),0)</f>
        <v>0</v>
      </c>
      <c r="BK19" s="18">
        <f>+IFERROR(VLOOKUP($BK$18,Sheet1!AH2:AK840,2,0),0)</f>
        <v>0</v>
      </c>
      <c r="BL19" s="18">
        <f>+IFERROR(VLOOKUP($BL$18,Sheet1!AL2:AO840,2,0),0)</f>
        <v>0</v>
      </c>
      <c r="BM19" s="18">
        <f>+IFERROR(VLOOKUP($BM$18,Sheet1!AL2:AO840,2,0),0)</f>
        <v>0</v>
      </c>
      <c r="BN19" s="18">
        <f>+IFERROR(VLOOKUP($BN$18,Sheet1!AL2:AO840,2,0),0)</f>
        <v>0</v>
      </c>
      <c r="BO19" s="18">
        <v>76</v>
      </c>
      <c r="BP19" s="18">
        <f>+IFERROR(VLOOKUP($BP$18,Sheet1!AL2:AO840,2,0),0)</f>
        <v>0</v>
      </c>
      <c r="BQ19" s="18">
        <f>+IFERROR(VLOOKUP($BQ$18,Sheet1!AL2:AO840,2,0),0)</f>
        <v>0</v>
      </c>
      <c r="BR19" s="18">
        <v>96</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9">
        <v>27</v>
      </c>
      <c r="BY19" s="19">
        <v>76</v>
      </c>
      <c r="BZ19" s="20">
        <v>491</v>
      </c>
      <c r="CA19" s="21">
        <v>369</v>
      </c>
      <c r="CB19" s="20">
        <v>310</v>
      </c>
      <c r="CC19" s="20">
        <f>+IFERROR(VLOOKUP($CC$18,Sheet1!BJ2:BM840,2,0),0)</f>
        <v>0</v>
      </c>
      <c r="CD19" s="20">
        <f>+IFERROR(VLOOKUP($CD$18,Sheet1!BN2:BQ840,2,0),0)</f>
        <v>0</v>
      </c>
      <c r="CE19" s="21">
        <v>282</v>
      </c>
      <c r="CF19" s="20">
        <f>N19+5</f>
        <v>340</v>
      </c>
      <c r="CG19" s="64"/>
      <c r="CH19" s="64"/>
      <c r="CI19" s="64"/>
      <c r="CJ19" s="64"/>
      <c r="CO19" s="3"/>
      <c r="CP19" s="3"/>
      <c r="CQ19" s="3"/>
      <c r="CR19" s="3"/>
      <c r="CS19" s="3"/>
      <c r="CT19" s="3"/>
      <c r="CU19" s="3"/>
      <c r="CV19" s="3"/>
      <c r="CW19" s="3"/>
      <c r="CX19" s="3"/>
      <c r="CY19" s="3"/>
    </row>
    <row r="20" spans="1:104" s="22" customFormat="1" ht="30" x14ac:dyDescent="0.25">
      <c r="A20" s="6" t="str">
        <f>Sheet1!A7</f>
        <v>ENQ-18775-25-26</v>
      </c>
      <c r="B20" s="85">
        <v>46023</v>
      </c>
      <c r="C20" s="6" t="str">
        <f>Sheet1!C7</f>
        <v>FA1300052</v>
      </c>
      <c r="D20" s="6" t="str">
        <f>Sheet1!D7</f>
        <v>3 CORE X 150 SQ. MM. AL/ARM - STRIP (XLPE) - 11 KV</v>
      </c>
      <c r="E20" s="23">
        <f>CS20+CU20+CW20+CY20</f>
        <v>1207624.8689999999</v>
      </c>
      <c r="F20" s="126">
        <f>ROUNDUP(M30,0)</f>
        <v>36000</v>
      </c>
      <c r="G20" s="28">
        <f>E20+F20</f>
        <v>1243624.8689999999</v>
      </c>
      <c r="H20" s="29">
        <f>Sheet1!CR7</f>
        <v>0.18</v>
      </c>
      <c r="I20" s="28">
        <f>G20*H20</f>
        <v>223852.47641999999</v>
      </c>
      <c r="J20" s="28">
        <f>G20+I20</f>
        <v>1467477.3454199999</v>
      </c>
      <c r="K20" s="77">
        <f>Sheet1!CU7</f>
        <v>15</v>
      </c>
      <c r="L20" s="74" t="str">
        <f>Sheet1!CV7</f>
        <v>KMS</v>
      </c>
      <c r="M20" s="23">
        <f>J20*K20</f>
        <v>22012160.181299999</v>
      </c>
      <c r="N20" s="110">
        <f>+IFERROR(VLOOKUP($N$18,Sheet1!J7:L7,3,0),0)</f>
        <v>1215</v>
      </c>
      <c r="O20" s="69">
        <f>+IFERROR(VLOOKUP($O$18,Sheet1!J7:L7,3,0),0)</f>
        <v>0</v>
      </c>
      <c r="P20" s="69">
        <f>+IFERROR(VLOOKUP($P$18,Sheet1!J7:M7,3,0),0)</f>
        <v>0</v>
      </c>
      <c r="Q20" s="69">
        <f>+IFERROR(VLOOKUP($Q$18,Sheet1!J7:M7,3,0),0)</f>
        <v>0</v>
      </c>
      <c r="R20" s="69">
        <f>+IFERROR(VLOOKUP($R$18,Sheet1!J7:M7,3,0),0)</f>
        <v>0</v>
      </c>
      <c r="S20" s="69">
        <f>+IFERROR(VLOOKUP($S$18,Sheet1!J7:M7,3,0),0)</f>
        <v>0</v>
      </c>
      <c r="T20" s="69">
        <f>+IFERROR(VLOOKUP($T$18,Sheet1!J7:M7,3,0),0)</f>
        <v>0</v>
      </c>
      <c r="U20" s="69">
        <f>+IFERROR(VLOOKUP($U$18,Sheet1!J7:M7,3,0),0)</f>
        <v>0</v>
      </c>
      <c r="V20" s="70">
        <f>+IFERROR(VLOOKUP($V$18,Sheet1!N7:Q7,3,0),0)</f>
        <v>0</v>
      </c>
      <c r="W20" s="70">
        <f>+IFERROR(VLOOKUP($W$18,Sheet1!N7:Q7,3,0),0)</f>
        <v>0</v>
      </c>
      <c r="X20" s="71">
        <f>+IFERROR(VLOOKUP($X$18,Sheet1!F7:I7,3,0),0)</f>
        <v>0</v>
      </c>
      <c r="Y20" s="71">
        <f>+IFERROR(VLOOKUP($Y$18,Sheet1!F7:I7,3,0),0)</f>
        <v>0</v>
      </c>
      <c r="Z20" s="71">
        <f>+IFERROR(VLOOKUP($Z$18,Sheet1!F7:I7,3,0),0)</f>
        <v>0</v>
      </c>
      <c r="AA20" s="112">
        <v>99</v>
      </c>
      <c r="AB20" s="71">
        <f>+IFERROR(VLOOKUP($AB$18,Sheet1!F7:I7,3,0),0)</f>
        <v>0</v>
      </c>
      <c r="AC20" s="71">
        <f>+IFERROR(VLOOKUP($AC$18,Sheet1!F7:I7,3,0),0)</f>
        <v>0</v>
      </c>
      <c r="AD20" s="71">
        <f>+IFERROR(VLOOKUP($AD$18,Sheet1!F7:I7,3,0),0)</f>
        <v>0</v>
      </c>
      <c r="AE20" s="71">
        <f>+IFERROR(VLOOKUP($AE$18,Sheet1!F7:I7,3,0),0)</f>
        <v>0</v>
      </c>
      <c r="AF20" s="72"/>
      <c r="AG20" s="111">
        <v>246</v>
      </c>
      <c r="AH20" s="119">
        <f>+IFERROR(VLOOKUP($AH$18,Sheet1!V7:Y7,3,0),0)</f>
        <v>620</v>
      </c>
      <c r="AI20" s="32">
        <f>+IFERROR(VLOOKUP($AI$18,Sheet1!V7:Y7,3,0),0)</f>
        <v>0</v>
      </c>
      <c r="AJ20" s="32">
        <f>+IFERROR(VLOOKUP($AJ$18,Sheet1!V7:Y7,3,0),0)</f>
        <v>0</v>
      </c>
      <c r="AK20" s="32">
        <f>+IFERROR(VLOOKUP($AK$18,Sheet1!V7:Y7,3,0),0)</f>
        <v>0</v>
      </c>
      <c r="AL20" s="32">
        <f>+IFERROR(VLOOKUP($AL$18,Sheet1!V7:Y7,3,0),0)</f>
        <v>0</v>
      </c>
      <c r="AM20" s="32">
        <f>+IFERROR(VLOOKUP($AM$18,Sheet1!V7:Y7,3,0),0)</f>
        <v>0</v>
      </c>
      <c r="AN20" s="32">
        <f>+IFERROR(VLOOKUP($AN$18,Sheet1!V7:Y7,3,0),0)</f>
        <v>0</v>
      </c>
      <c r="AO20" s="32">
        <f>+IFERROR(VLOOKUP($AO$18,Sheet1!V7:Y7,3,0),0)</f>
        <v>0</v>
      </c>
      <c r="AP20" s="32">
        <f>+IFERROR(VLOOKUP($AP$18,Sheet1!V7:Y7,3,0),0)</f>
        <v>0</v>
      </c>
      <c r="AQ20" s="115">
        <v>37</v>
      </c>
      <c r="AR20" s="36">
        <f>+IFERROR(VLOOKUP($AR$18,Sheet1!AD7:AG7,3,0),0)</f>
        <v>0</v>
      </c>
      <c r="AS20" s="36">
        <f>+IFERROR(VLOOKUP($AS$18,Sheet1!AD7:AG7,3,0),0)</f>
        <v>0</v>
      </c>
      <c r="AT20" s="36">
        <f>+IFERROR(VLOOKUP($AT$18,Sheet1!AD7:AG7,3,0),0)</f>
        <v>0</v>
      </c>
      <c r="AU20" s="36">
        <f>+IFERROR(VLOOKUP($AU$18,Sheet1!AD7:AG7,3,0),0)</f>
        <v>0</v>
      </c>
      <c r="AV20" s="36">
        <f>+IFERROR(VLOOKUP($AV$18,Sheet1!AD7:AG7,3,0),0)</f>
        <v>0</v>
      </c>
      <c r="AW20" s="36">
        <f>+IFERROR(VLOOKUP($AW$18,Sheet1!AD7:AG7,3,0),0)</f>
        <v>0</v>
      </c>
      <c r="AX20" s="114">
        <v>210</v>
      </c>
      <c r="AY20" s="36">
        <f>+IFERROR(VLOOKUP($AY$18,Sheet1!AD7:AG7,3,0),0)</f>
        <v>0</v>
      </c>
      <c r="AZ20" s="36">
        <f>+IFERROR(VLOOKUP($AZ$18,Sheet1!AD7:AG7,3,0),0)</f>
        <v>0</v>
      </c>
      <c r="BA20" s="35">
        <f>+IFERROR(VLOOKUP($BA$18,Sheet1!AH7:AK7,3,0),0)</f>
        <v>0</v>
      </c>
      <c r="BB20" s="35">
        <f>+IFERROR(VLOOKUP($BB$18,Sheet1!AH7:AK7,3,0),0)</f>
        <v>0</v>
      </c>
      <c r="BC20" s="35">
        <f>+IFERROR(VLOOKUP($BC$18,Sheet1!AH7:AK7,3,0),0)</f>
        <v>0</v>
      </c>
      <c r="BD20" s="35">
        <f>+IFERROR(VLOOKUP($BD$18,Sheet1!AH7:AK7,3,0),0)</f>
        <v>0</v>
      </c>
      <c r="BE20" s="35">
        <f>+IFERROR(VLOOKUP($BE$18,Sheet1!AH7:AK7,3,0),0)</f>
        <v>0</v>
      </c>
      <c r="BF20" s="35">
        <f>+IFERROR(VLOOKUP($BF$18,Sheet1!AH7:AK7,3,0),0)</f>
        <v>0</v>
      </c>
      <c r="BG20" s="115">
        <v>972</v>
      </c>
      <c r="BH20" s="35">
        <f>+IFERROR(VLOOKUP($BH$18,Sheet1!AH7:AK7,3,0),0)</f>
        <v>0</v>
      </c>
      <c r="BI20" s="35">
        <f>+IFERROR(VLOOKUP($BI$18,Sheet1!AH7:AK7,3,0),0)</f>
        <v>0</v>
      </c>
      <c r="BJ20" s="35">
        <f>+IFERROR(VLOOKUP($BJ$18,Sheet1!AH7:AK7,3,0),0)</f>
        <v>0</v>
      </c>
      <c r="BK20" s="35">
        <f>+IFERROR(VLOOKUP($BK$18,Sheet1!AH7:AK7,3,0),0)</f>
        <v>0</v>
      </c>
      <c r="BL20" s="9">
        <f>+IFERROR(VLOOKUP($BL$18,Sheet1!AL7:AO7,3,0),0)</f>
        <v>0</v>
      </c>
      <c r="BM20" s="9">
        <f>+IFERROR(VLOOKUP($BM$18,Sheet1!AL7:AO7,3,0),0)</f>
        <v>0</v>
      </c>
      <c r="BN20" s="9">
        <f>+IFERROR(VLOOKUP($BN$18,Sheet1!AL7:AO7,3,0),0)</f>
        <v>0</v>
      </c>
      <c r="BO20" s="116">
        <v>739</v>
      </c>
      <c r="BP20" s="9">
        <f>+IFERROR(VLOOKUP($BP$18,Sheet1!AL7:AO7,3,0),0)</f>
        <v>0</v>
      </c>
      <c r="BQ20" s="9">
        <f>+IFERROR(VLOOKUP($BQ$18,Sheet1!AL7:AO7,3,0),0)</f>
        <v>0</v>
      </c>
      <c r="BR20" s="9">
        <f>+IFERROR(VLOOKUP($BR$18,Sheet1!AL7:AO7,3,0),0)</f>
        <v>0</v>
      </c>
      <c r="BS20" s="9">
        <f>+IFERROR(VLOOKUP($BS$18,Sheet1!AL7:AO7,3,0),0)</f>
        <v>0</v>
      </c>
      <c r="BT20" s="9"/>
      <c r="BU20" s="9">
        <f>+IFERROR(VLOOKUP($BU$18,Sheet1!AL7:AO7,3,0),0)</f>
        <v>0</v>
      </c>
      <c r="BV20" s="9">
        <f>+IFERROR(VLOOKUP($BV$18,Sheet1!AL7:AO7,3,0),0)</f>
        <v>0</v>
      </c>
      <c r="BW20" s="9">
        <f>+IFERROR(VLOOKUP($BW$18,Sheet1!AL7:AO7,3,0),0)</f>
        <v>0</v>
      </c>
      <c r="BX20" s="113">
        <f>+IFERROR(VLOOKUP($BX$18,Sheet1!AP7:AS7,3,0),0)</f>
        <v>809</v>
      </c>
      <c r="BY20" s="42">
        <f>+IFERROR(VLOOKUP($BY$18,Sheet1!AT7:AW7,3,0),0)</f>
        <v>0</v>
      </c>
      <c r="BZ20" s="43">
        <f>+IFERROR(VLOOKUP($BZ$18,Sheet1!AX7:BA7,3,0),0)</f>
        <v>0</v>
      </c>
      <c r="CA20" s="117">
        <v>37</v>
      </c>
      <c r="CB20" s="46">
        <f>+IFERROR(VLOOKUP($CB$18,Sheet1!BF7:BI7,3,0),0)</f>
        <v>0</v>
      </c>
      <c r="CC20" s="47">
        <f>+IFERROR(VLOOKUP($CC$18,Sheet1!BJ7:BM7,3,0),0)</f>
        <v>0</v>
      </c>
      <c r="CD20" s="48">
        <f>+IFERROR(VLOOKUP($CD$18,Sheet1!BN7:BQ7,3,0),0)</f>
        <v>0</v>
      </c>
      <c r="CE20" s="118">
        <v>40</v>
      </c>
      <c r="CF20" s="43">
        <f>+IFERROR(VLOOKUP($CF$18,Sheet1!BV7:BY7,3,0),0)</f>
        <v>0</v>
      </c>
      <c r="CG20" s="65" t="str">
        <f>Sheet1!E7</f>
        <v>STEEL</v>
      </c>
      <c r="CH20" s="66" t="str">
        <f>Sheet1!CY7</f>
        <v>SP0400112</v>
      </c>
      <c r="CI20" s="66" t="str">
        <f>Sheet1!CZ7</f>
        <v>CORRUGATED DISPATCH STEEL DRUM 2000 X 1000 X 1000 MM</v>
      </c>
      <c r="CJ20" s="66">
        <v>500</v>
      </c>
      <c r="CK20" s="23">
        <f>16500/0.5</f>
        <v>33000</v>
      </c>
      <c r="CL20" s="23">
        <f>SUMPRODUCT($N$19:$CF$19,N20:CF20)+CK20</f>
        <v>876997</v>
      </c>
      <c r="CM20" s="24">
        <f>Sheet1!CB7</f>
        <v>0</v>
      </c>
      <c r="CN20" s="23">
        <f>CL20*CM20</f>
        <v>0</v>
      </c>
      <c r="CO20" s="93">
        <v>0.35</v>
      </c>
      <c r="CP20" s="23">
        <f>CL20*CO20</f>
        <v>306948.94999999995</v>
      </c>
      <c r="CQ20" s="93">
        <v>0</v>
      </c>
      <c r="CR20" s="23">
        <f>CL20*CQ20</f>
        <v>0</v>
      </c>
      <c r="CS20" s="23">
        <f>CL20+CN20+CP20+CR20</f>
        <v>1183945.95</v>
      </c>
      <c r="CT20" s="93">
        <v>0.02</v>
      </c>
      <c r="CU20" s="6">
        <f>CS20*CT20</f>
        <v>23678.918999999998</v>
      </c>
      <c r="CV20" s="93">
        <v>0</v>
      </c>
      <c r="CW20" s="6">
        <f>CS20*CV20</f>
        <v>0</v>
      </c>
      <c r="CX20" s="93">
        <f>Sheet1!CM7</f>
        <v>0</v>
      </c>
      <c r="CY20" s="6">
        <f>CX20*CS20</f>
        <v>0</v>
      </c>
    </row>
    <row r="21" spans="1:104" s="22" customFormat="1" ht="30" x14ac:dyDescent="0.25">
      <c r="A21" s="6" t="str">
        <f>Sheet1!A3</f>
        <v>ENQ-18775-25-26</v>
      </c>
      <c r="B21" s="85">
        <v>46023</v>
      </c>
      <c r="C21" s="6" t="str">
        <f>Sheet1!C3</f>
        <v>FA1300004</v>
      </c>
      <c r="D21" s="6" t="str">
        <f>Sheet1!D3</f>
        <v>3 CORE X 300 SQ. MM. AL/ARM - STRIP (XLPE) - 11 KV</v>
      </c>
      <c r="E21" s="23">
        <f>CS21+CU21+CW21+CY21</f>
        <v>1958018.2649999999</v>
      </c>
      <c r="F21" s="126">
        <f t="shared" ref="F21:F25" si="0">ROUNDUP(M31,0)</f>
        <v>54000</v>
      </c>
      <c r="G21" s="28">
        <f>E21+F21</f>
        <v>2012018.2649999999</v>
      </c>
      <c r="H21" s="29">
        <f>Sheet1!CR3</f>
        <v>0.18</v>
      </c>
      <c r="I21" s="28">
        <f>G21*H21</f>
        <v>362163.28769999999</v>
      </c>
      <c r="J21" s="28">
        <f>G21+I21</f>
        <v>2374181.5526999999</v>
      </c>
      <c r="K21" s="77">
        <f>Sheet1!CU3</f>
        <v>270</v>
      </c>
      <c r="L21" s="74" t="str">
        <f>Sheet1!CV3</f>
        <v>KMS</v>
      </c>
      <c r="M21" s="23">
        <f>J21*K21</f>
        <v>641029019.22899997</v>
      </c>
      <c r="N21" s="110">
        <f>+IFERROR(VLOOKUP($N$18,Sheet1!J3:L3,3,0),0)</f>
        <v>2430</v>
      </c>
      <c r="O21" s="69">
        <f>+IFERROR(VLOOKUP($O$18,Sheet1!J3:L3,3,0),0)</f>
        <v>0</v>
      </c>
      <c r="P21" s="69">
        <f>+IFERROR(VLOOKUP($P$18,Sheet1!J3:M3,3,0),0)</f>
        <v>0</v>
      </c>
      <c r="Q21" s="69">
        <f>+IFERROR(VLOOKUP($Q$18,Sheet1!J3:M3,3,0),0)</f>
        <v>0</v>
      </c>
      <c r="R21" s="69">
        <f>+IFERROR(VLOOKUP($R$18,Sheet1!J3:M3,3,0),0)</f>
        <v>0</v>
      </c>
      <c r="S21" s="69">
        <f>+IFERROR(VLOOKUP($S$18,Sheet1!J3:M3,3,0),0)</f>
        <v>0</v>
      </c>
      <c r="T21" s="69">
        <f>+IFERROR(VLOOKUP($T$18,Sheet1!J3:M3,3,0),0)</f>
        <v>0</v>
      </c>
      <c r="U21" s="69">
        <f>+IFERROR(VLOOKUP($U$18,Sheet1!J3:M3,3,0),0)</f>
        <v>0</v>
      </c>
      <c r="V21" s="70">
        <f>+IFERROR(VLOOKUP($V$18,Sheet1!N3:Q3,3,0),0)</f>
        <v>0</v>
      </c>
      <c r="W21" s="70">
        <f>+IFERROR(VLOOKUP($W$18,Sheet1!N3:Q3,3,0),0)</f>
        <v>0</v>
      </c>
      <c r="X21" s="71">
        <f>+IFERROR(VLOOKUP($X$18,Sheet1!F3:I3,3,0),0)</f>
        <v>0</v>
      </c>
      <c r="Y21" s="71">
        <f>+IFERROR(VLOOKUP($Y$18,Sheet1!F3:I3,3,0),0)</f>
        <v>0</v>
      </c>
      <c r="Z21" s="71">
        <f>+IFERROR(VLOOKUP($Z$18,Sheet1!F3:I3,3,0),0)</f>
        <v>0</v>
      </c>
      <c r="AA21" s="112">
        <v>123</v>
      </c>
      <c r="AB21" s="71">
        <f>+IFERROR(VLOOKUP($AB$18,Sheet1!F3:I3,3,0),0)</f>
        <v>0</v>
      </c>
      <c r="AC21" s="71">
        <f>+IFERROR(VLOOKUP($AC$18,Sheet1!F3:I3,3,0),0)</f>
        <v>0</v>
      </c>
      <c r="AD21" s="71">
        <f>+IFERROR(VLOOKUP($AD$18,Sheet1!F3:I3,3,0),0)</f>
        <v>0</v>
      </c>
      <c r="AE21" s="71">
        <f>+IFERROR(VLOOKUP($AE$18,Sheet1!F3:I3,3,0),0)</f>
        <v>0</v>
      </c>
      <c r="AF21" s="72"/>
      <c r="AG21" s="111">
        <v>337</v>
      </c>
      <c r="AH21" s="119">
        <f>+IFERROR(VLOOKUP($AH$18,Sheet1!V3:Y3,3,0),0)</f>
        <v>802</v>
      </c>
      <c r="AI21" s="32">
        <f>+IFERROR(VLOOKUP($AI$18,Sheet1!V3:Y3,3,0),0)</f>
        <v>0</v>
      </c>
      <c r="AJ21" s="32">
        <f>+IFERROR(VLOOKUP($AJ$18,Sheet1!V3:Y3,3,0),0)</f>
        <v>0</v>
      </c>
      <c r="AK21" s="32">
        <f>+IFERROR(VLOOKUP($AK$18,Sheet1!V3:Y3,3,0),0)</f>
        <v>0</v>
      </c>
      <c r="AL21" s="32">
        <f>+IFERROR(VLOOKUP($AL$18,Sheet1!V3:Y3,3,0),0)</f>
        <v>0</v>
      </c>
      <c r="AM21" s="32">
        <f>+IFERROR(VLOOKUP($AM$18,Sheet1!V3:Y3,3,0),0)</f>
        <v>0</v>
      </c>
      <c r="AN21" s="32">
        <f>+IFERROR(VLOOKUP($AN$18,Sheet1!V3:Y3,3,0),0)</f>
        <v>0</v>
      </c>
      <c r="AO21" s="32">
        <f>+IFERROR(VLOOKUP($AO$18,Sheet1!V3:Y3,3,0),0)</f>
        <v>0</v>
      </c>
      <c r="AP21" s="32">
        <f>+IFERROR(VLOOKUP($AP$18,Sheet1!V3:Y3,3,0),0)</f>
        <v>0</v>
      </c>
      <c r="AQ21" s="115">
        <v>46</v>
      </c>
      <c r="AR21" s="36">
        <f>+IFERROR(VLOOKUP($AR$18,Sheet1!AD3:AG3,3,0),0)</f>
        <v>0</v>
      </c>
      <c r="AS21" s="36">
        <f>+IFERROR(VLOOKUP($AS$18,Sheet1!AD3:AG3,3,0),0)</f>
        <v>0</v>
      </c>
      <c r="AT21" s="36">
        <f>+IFERROR(VLOOKUP($AT$18,Sheet1!AD3:AG3,3,0),0)</f>
        <v>0</v>
      </c>
      <c r="AU21" s="36">
        <f>+IFERROR(VLOOKUP($AU$18,Sheet1!AD3:AG3,3,0),0)</f>
        <v>0</v>
      </c>
      <c r="AV21" s="36">
        <f>+IFERROR(VLOOKUP($AV$18,Sheet1!AD3:AG3,3,0),0)</f>
        <v>0</v>
      </c>
      <c r="AW21" s="36">
        <f>+IFERROR(VLOOKUP($AW$18,Sheet1!AD3:AG3,3,0),0)</f>
        <v>0</v>
      </c>
      <c r="AX21" s="114">
        <v>291</v>
      </c>
      <c r="AY21" s="36">
        <f>+IFERROR(VLOOKUP($AY$18,Sheet1!AD3:AG3,3,0),0)</f>
        <v>0</v>
      </c>
      <c r="AZ21" s="36">
        <f>+IFERROR(VLOOKUP($AZ$18,Sheet1!AD3:AG3,3,0),0)</f>
        <v>0</v>
      </c>
      <c r="BA21" s="35">
        <f>+IFERROR(VLOOKUP($BA$18,Sheet1!AH3:AK3,3,0),0)</f>
        <v>0</v>
      </c>
      <c r="BB21" s="35">
        <f>+IFERROR(VLOOKUP($BB$18,Sheet1!AH3:AK3,3,0),0)</f>
        <v>0</v>
      </c>
      <c r="BC21" s="35">
        <f>+IFERROR(VLOOKUP($BC$18,Sheet1!AH3:AK3,3,0),0)</f>
        <v>0</v>
      </c>
      <c r="BD21" s="35">
        <f>+IFERROR(VLOOKUP($BD$18,Sheet1!AH3:AK3,3,0),0)</f>
        <v>0</v>
      </c>
      <c r="BE21" s="35">
        <f>+IFERROR(VLOOKUP($BE$18,Sheet1!AH3:AK3,3,0),0)</f>
        <v>0</v>
      </c>
      <c r="BF21" s="35">
        <f>+IFERROR(VLOOKUP($BF$18,Sheet1!AH3:AK3,3,0),0)</f>
        <v>0</v>
      </c>
      <c r="BG21" s="115">
        <v>1215</v>
      </c>
      <c r="BH21" s="35">
        <f>+IFERROR(VLOOKUP($BH$18,Sheet1!AH3:AK3,3,0),0)</f>
        <v>0</v>
      </c>
      <c r="BI21" s="35">
        <f>+IFERROR(VLOOKUP($BI$18,Sheet1!AH3:AK3,3,0),0)</f>
        <v>0</v>
      </c>
      <c r="BJ21" s="35">
        <f>+IFERROR(VLOOKUP($BJ$18,Sheet1!AH3:AK3,3,0),0)</f>
        <v>0</v>
      </c>
      <c r="BK21" s="35">
        <f>+IFERROR(VLOOKUP($BK$18,Sheet1!AH3:AK3,3,0),0)</f>
        <v>0</v>
      </c>
      <c r="BL21" s="9">
        <f>+IFERROR(VLOOKUP($BL$18,Sheet1!AL3:AO3,3,0),0)</f>
        <v>0</v>
      </c>
      <c r="BM21" s="9">
        <f>+IFERROR(VLOOKUP($BM$18,Sheet1!AL3:AO3,3,0),0)</f>
        <v>0</v>
      </c>
      <c r="BN21" s="9">
        <f>+IFERROR(VLOOKUP($BN$18,Sheet1!AL3:AO3,3,0),0)</f>
        <v>0</v>
      </c>
      <c r="BO21" s="116">
        <v>1045</v>
      </c>
      <c r="BP21" s="9">
        <f>+IFERROR(VLOOKUP($BP$18,Sheet1!AL3:AO3,3,0),0)</f>
        <v>0</v>
      </c>
      <c r="BQ21" s="9">
        <f>+IFERROR(VLOOKUP($BQ$18,Sheet1!AL3:AO3,3,0),0)</f>
        <v>0</v>
      </c>
      <c r="BR21" s="9">
        <f>+IFERROR(VLOOKUP($BR$18,Sheet1!AL3:AO3,3,0),0)</f>
        <v>0</v>
      </c>
      <c r="BS21" s="9">
        <f>+IFERROR(VLOOKUP($BS$18,Sheet1!AL3:AO3,3,0),0)</f>
        <v>0</v>
      </c>
      <c r="BT21" s="9"/>
      <c r="BU21" s="9">
        <f>+IFERROR(VLOOKUP($BU$18,Sheet1!AL3:AO3,3,0),0)</f>
        <v>0</v>
      </c>
      <c r="BV21" s="9">
        <f>+IFERROR(VLOOKUP($BV$18,Sheet1!AL3:AO3,3,0),0)</f>
        <v>0</v>
      </c>
      <c r="BW21" s="9">
        <f>+IFERROR(VLOOKUP($BW$18,Sheet1!AL3:AO3,3,0),0)</f>
        <v>0</v>
      </c>
      <c r="BX21" s="113">
        <f>+IFERROR(VLOOKUP($BX$18,Sheet1!AP3:AS3,3,0),0)</f>
        <v>1258</v>
      </c>
      <c r="BY21" s="42">
        <f>+IFERROR(VLOOKUP($BY$18,Sheet1!AT3:AW3,3,0),0)</f>
        <v>0</v>
      </c>
      <c r="BZ21" s="43">
        <f>+IFERROR(VLOOKUP($BZ$18,Sheet1!AX3:BA3,3,0),0)</f>
        <v>0</v>
      </c>
      <c r="CA21" s="117">
        <v>46</v>
      </c>
      <c r="CB21" s="46">
        <f>+IFERROR(VLOOKUP($CB$18,Sheet1!BF3:BI3,3,0),0)</f>
        <v>0</v>
      </c>
      <c r="CC21" s="47">
        <f>+IFERROR(VLOOKUP($CC$18,Sheet1!BJ3:BM3,3,0),0)</f>
        <v>0</v>
      </c>
      <c r="CD21" s="48">
        <f>+IFERROR(VLOOKUP($CD$18,Sheet1!BN3:BQ3,3,0),0)</f>
        <v>0</v>
      </c>
      <c r="CE21" s="118">
        <v>44</v>
      </c>
      <c r="CF21" s="43">
        <f>+IFERROR(VLOOKUP($CF$18,Sheet1!BV3:BY3,3,0),0)</f>
        <v>0</v>
      </c>
      <c r="CG21" s="65" t="str">
        <f>Sheet1!E3</f>
        <v>STEEL</v>
      </c>
      <c r="CH21" s="66" t="str">
        <f>Sheet1!CY3</f>
        <v>SP0400141</v>
      </c>
      <c r="CI21" s="66" t="str">
        <f>Sheet1!CZ3</f>
        <v>CORRUGATED DISPATCH STEEL DRUM 2080 X 1000 X 1400 MM</v>
      </c>
      <c r="CJ21" s="66">
        <v>500</v>
      </c>
      <c r="CK21" s="23">
        <f>19250/0.5</f>
        <v>38500</v>
      </c>
      <c r="CL21" s="23">
        <f>SUMPRODUCT($N$19:$CF$19,N21:CF21)+CK21</f>
        <v>1421945</v>
      </c>
      <c r="CM21" s="24">
        <f>Sheet1!CB3</f>
        <v>0</v>
      </c>
      <c r="CN21" s="23">
        <f>CL21*CM21</f>
        <v>0</v>
      </c>
      <c r="CO21" s="93">
        <v>0.35</v>
      </c>
      <c r="CP21" s="23">
        <f>CL21*CO21</f>
        <v>497680.74999999994</v>
      </c>
      <c r="CQ21" s="93">
        <v>0</v>
      </c>
      <c r="CR21" s="23">
        <f>CL21*CQ21</f>
        <v>0</v>
      </c>
      <c r="CS21" s="23">
        <f>CL21+CN21+CP21+CR21</f>
        <v>1919625.75</v>
      </c>
      <c r="CT21" s="93">
        <v>0.02</v>
      </c>
      <c r="CU21" s="6">
        <f>CS21*CT21</f>
        <v>38392.514999999999</v>
      </c>
      <c r="CV21" s="93">
        <v>0</v>
      </c>
      <c r="CW21" s="6">
        <f>CS21*CV21</f>
        <v>0</v>
      </c>
      <c r="CX21" s="93">
        <f>Sheet1!CM3</f>
        <v>0</v>
      </c>
      <c r="CY21" s="6">
        <f>CX21*CS21</f>
        <v>0</v>
      </c>
    </row>
    <row r="22" spans="1:104" s="22" customFormat="1" ht="30" x14ac:dyDescent="0.25">
      <c r="A22" s="6" t="str">
        <f>Sheet1!A4</f>
        <v>ENQ-18775-25-26</v>
      </c>
      <c r="B22" s="85">
        <v>46023</v>
      </c>
      <c r="C22" s="6" t="str">
        <f>Sheet1!C4</f>
        <v>FA1300006</v>
      </c>
      <c r="D22" s="6" t="str">
        <f>Sheet1!D4</f>
        <v>3 CORE X 70 SQ. MM. AL/ARM - STRIP (XLPE) - 11 KV</v>
      </c>
      <c r="E22" s="23">
        <f>CS22+CU22+CW22+CY22</f>
        <v>785528.92800000007</v>
      </c>
      <c r="F22" s="126">
        <f t="shared" si="0"/>
        <v>27000</v>
      </c>
      <c r="G22" s="28">
        <f>E22+F22</f>
        <v>812528.92800000007</v>
      </c>
      <c r="H22" s="29">
        <f>Sheet1!CR4</f>
        <v>0.18</v>
      </c>
      <c r="I22" s="28">
        <f>G22*H22</f>
        <v>146255.20704000001</v>
      </c>
      <c r="J22" s="28">
        <f>G22+I22</f>
        <v>958784.13504000008</v>
      </c>
      <c r="K22" s="77">
        <f>Sheet1!CU4</f>
        <v>15</v>
      </c>
      <c r="L22" s="74" t="str">
        <f>Sheet1!CV4</f>
        <v>KMS</v>
      </c>
      <c r="M22" s="23">
        <f>J22*K22</f>
        <v>14381762.025600001</v>
      </c>
      <c r="N22" s="110">
        <f>+IFERROR(VLOOKUP($N$18,Sheet1!J4:L4,3,0),0)</f>
        <v>567</v>
      </c>
      <c r="O22" s="69">
        <f>+IFERROR(VLOOKUP($O$18,Sheet1!J4:L4,3,0),0)</f>
        <v>0</v>
      </c>
      <c r="P22" s="69">
        <f>+IFERROR(VLOOKUP($P$18,Sheet1!J4:M4,3,0),0)</f>
        <v>0</v>
      </c>
      <c r="Q22" s="69">
        <f>+IFERROR(VLOOKUP($Q$18,Sheet1!J4:M4,3,0),0)</f>
        <v>0</v>
      </c>
      <c r="R22" s="69">
        <f>+IFERROR(VLOOKUP($R$18,Sheet1!J4:M4,3,0),0)</f>
        <v>0</v>
      </c>
      <c r="S22" s="69">
        <f>+IFERROR(VLOOKUP($S$18,Sheet1!J4:M4,3,0),0)</f>
        <v>0</v>
      </c>
      <c r="T22" s="69">
        <f>+IFERROR(VLOOKUP($T$18,Sheet1!J4:M4,3,0),0)</f>
        <v>0</v>
      </c>
      <c r="U22" s="69">
        <f>+IFERROR(VLOOKUP($U$18,Sheet1!J4:M4,3,0),0)</f>
        <v>0</v>
      </c>
      <c r="V22" s="70">
        <f>+IFERROR(VLOOKUP($V$18,Sheet1!N4:Q4,3,0),0)</f>
        <v>0</v>
      </c>
      <c r="W22" s="70">
        <f>+IFERROR(VLOOKUP($W$18,Sheet1!N4:Q4,3,0),0)</f>
        <v>0</v>
      </c>
      <c r="X22" s="71">
        <f>+IFERROR(VLOOKUP($X$18,Sheet1!F4:I4,3,0),0)</f>
        <v>0</v>
      </c>
      <c r="Y22" s="71">
        <f>+IFERROR(VLOOKUP($Y$18,Sheet1!F4:I4,3,0),0)</f>
        <v>0</v>
      </c>
      <c r="Z22" s="71">
        <f>+IFERROR(VLOOKUP($Z$18,Sheet1!F4:I4,3,0),0)</f>
        <v>0</v>
      </c>
      <c r="AA22" s="112">
        <v>81</v>
      </c>
      <c r="AB22" s="71">
        <f>+IFERROR(VLOOKUP($AB$18,Sheet1!F4:I4,3,0),0)</f>
        <v>0</v>
      </c>
      <c r="AC22" s="71">
        <f>+IFERROR(VLOOKUP($AC$18,Sheet1!F4:I4,3,0),0)</f>
        <v>0</v>
      </c>
      <c r="AD22" s="71">
        <f>+IFERROR(VLOOKUP($AD$18,Sheet1!F4:I4,3,0),0)</f>
        <v>0</v>
      </c>
      <c r="AE22" s="71">
        <f>+IFERROR(VLOOKUP($AE$18,Sheet1!F4:I4,3,0),0)</f>
        <v>0</v>
      </c>
      <c r="AF22" s="72"/>
      <c r="AG22" s="111">
        <v>188</v>
      </c>
      <c r="AH22" s="119">
        <f>+IFERROR(VLOOKUP($AH$18,Sheet1!V4:Y4,3,0),0)</f>
        <v>474</v>
      </c>
      <c r="AI22" s="32">
        <f>+IFERROR(VLOOKUP($AI$18,Sheet1!V4:Y4,3,0),0)</f>
        <v>0</v>
      </c>
      <c r="AJ22" s="32">
        <f>+IFERROR(VLOOKUP($AJ$18,Sheet1!V4:Y4,3,0),0)</f>
        <v>0</v>
      </c>
      <c r="AK22" s="32">
        <f>+IFERROR(VLOOKUP($AK$18,Sheet1!V4:Y4,3,0),0)</f>
        <v>0</v>
      </c>
      <c r="AL22" s="32">
        <f>+IFERROR(VLOOKUP($AL$18,Sheet1!V4:Y4,3,0),0)</f>
        <v>0</v>
      </c>
      <c r="AM22" s="32">
        <f>+IFERROR(VLOOKUP($AM$18,Sheet1!V4:Y4,3,0),0)</f>
        <v>0</v>
      </c>
      <c r="AN22" s="32">
        <f>+IFERROR(VLOOKUP($AN$18,Sheet1!V4:Y4,3,0),0)</f>
        <v>0</v>
      </c>
      <c r="AO22" s="32">
        <f>+IFERROR(VLOOKUP($AO$18,Sheet1!V4:Y4,3,0),0)</f>
        <v>0</v>
      </c>
      <c r="AP22" s="32">
        <f>+IFERROR(VLOOKUP($AP$18,Sheet1!V4:Y4,3,0),0)</f>
        <v>0</v>
      </c>
      <c r="AQ22" s="115">
        <v>30</v>
      </c>
      <c r="AR22" s="36">
        <f>+IFERROR(VLOOKUP($AR$18,Sheet1!AD4:AG4,3,0),0)</f>
        <v>0</v>
      </c>
      <c r="AS22" s="36">
        <f>+IFERROR(VLOOKUP($AS$18,Sheet1!AD4:AG4,3,0),0)</f>
        <v>0</v>
      </c>
      <c r="AT22" s="36">
        <f>+IFERROR(VLOOKUP($AT$18,Sheet1!AD4:AG4,3,0),0)</f>
        <v>0</v>
      </c>
      <c r="AU22" s="36">
        <f>+IFERROR(VLOOKUP($AU$18,Sheet1!AD4:AG4,3,0),0)</f>
        <v>0</v>
      </c>
      <c r="AV22" s="36">
        <f>+IFERROR(VLOOKUP($AV$18,Sheet1!AD4:AG4,3,0),0)</f>
        <v>0</v>
      </c>
      <c r="AW22" s="36">
        <f>+IFERROR(VLOOKUP($AW$18,Sheet1!AD4:AG4,3,0),0)</f>
        <v>0</v>
      </c>
      <c r="AX22" s="114">
        <v>167</v>
      </c>
      <c r="AY22" s="36">
        <f>+IFERROR(VLOOKUP($AY$18,Sheet1!AD4:AG4,3,0),0)</f>
        <v>0</v>
      </c>
      <c r="AZ22" s="36">
        <f>+IFERROR(VLOOKUP($AZ$18,Sheet1!AD4:AG4,3,0),0)</f>
        <v>0</v>
      </c>
      <c r="BA22" s="35">
        <f>+IFERROR(VLOOKUP($BA$18,Sheet1!AH4:AK4,3,0),0)</f>
        <v>0</v>
      </c>
      <c r="BB22" s="35">
        <f>+IFERROR(VLOOKUP($BB$18,Sheet1!AH4:AK4,3,0),0)</f>
        <v>0</v>
      </c>
      <c r="BC22" s="35">
        <f>+IFERROR(VLOOKUP($BC$18,Sheet1!AH4:AK4,3,0),0)</f>
        <v>0</v>
      </c>
      <c r="BD22" s="35">
        <f>+IFERROR(VLOOKUP($BD$18,Sheet1!AH4:AK4,3,0),0)</f>
        <v>0</v>
      </c>
      <c r="BE22" s="35">
        <f>+IFERROR(VLOOKUP($BE$18,Sheet1!AH4:AK4,3,0),0)</f>
        <v>0</v>
      </c>
      <c r="BF22" s="35">
        <f>+IFERROR(VLOOKUP($BF$18,Sheet1!AH4:AK4,3,0),0)</f>
        <v>0</v>
      </c>
      <c r="BG22" s="115">
        <v>858</v>
      </c>
      <c r="BH22" s="35">
        <f>+IFERROR(VLOOKUP($BH$18,Sheet1!AH4:AK4,3,0),0)</f>
        <v>0</v>
      </c>
      <c r="BI22" s="35">
        <f>+IFERROR(VLOOKUP($BI$18,Sheet1!AH4:AK4,3,0),0)</f>
        <v>0</v>
      </c>
      <c r="BJ22" s="35">
        <f>+IFERROR(VLOOKUP($BJ$18,Sheet1!AH4:AK4,3,0),0)</f>
        <v>0</v>
      </c>
      <c r="BK22" s="35">
        <f>+IFERROR(VLOOKUP($BK$18,Sheet1!AH4:AK4,3,0),0)</f>
        <v>0</v>
      </c>
      <c r="BL22" s="9">
        <f>+IFERROR(VLOOKUP($BL$18,Sheet1!AL4:AO4,3,0),0)</f>
        <v>0</v>
      </c>
      <c r="BM22" s="9">
        <f>+IFERROR(VLOOKUP($BM$18,Sheet1!AL4:AO4,3,0),0)</f>
        <v>0</v>
      </c>
      <c r="BN22" s="9">
        <f>+IFERROR(VLOOKUP($BN$18,Sheet1!AL4:AO4,3,0),0)</f>
        <v>0</v>
      </c>
      <c r="BO22" s="116">
        <v>708</v>
      </c>
      <c r="BP22" s="9">
        <f>+IFERROR(VLOOKUP($BP$18,Sheet1!AL4:AO4,3,0),0)</f>
        <v>0</v>
      </c>
      <c r="BQ22" s="9">
        <f>+IFERROR(VLOOKUP($BQ$18,Sheet1!AL4:AO4,3,0),0)</f>
        <v>0</v>
      </c>
      <c r="BR22" s="9">
        <f>+IFERROR(VLOOKUP($BR$18,Sheet1!AL4:AO4,3,0),0)</f>
        <v>0</v>
      </c>
      <c r="BS22" s="9">
        <f>+IFERROR(VLOOKUP($BS$18,Sheet1!AL4:AO4,3,0),0)</f>
        <v>0</v>
      </c>
      <c r="BT22" s="9"/>
      <c r="BU22" s="9">
        <f>+IFERROR(VLOOKUP($BU$18,Sheet1!AL4:AO4,3,0),0)</f>
        <v>0</v>
      </c>
      <c r="BV22" s="9">
        <f>+IFERROR(VLOOKUP($BV$18,Sheet1!AL4:AO4,3,0),0)</f>
        <v>0</v>
      </c>
      <c r="BW22" s="9">
        <f>+IFERROR(VLOOKUP($BW$18,Sheet1!AL4:AO4,3,0),0)</f>
        <v>0</v>
      </c>
      <c r="BX22" s="113">
        <f>+IFERROR(VLOOKUP($BX$18,Sheet1!AP4:AS4,3,0),0)</f>
        <v>533</v>
      </c>
      <c r="BY22" s="42">
        <f>+IFERROR(VLOOKUP($BY$18,Sheet1!AT4:AW4,3,0),0)</f>
        <v>0</v>
      </c>
      <c r="BZ22" s="43">
        <f>+IFERROR(VLOOKUP($BZ$18,Sheet1!AX4:BA4,3,0),0)</f>
        <v>0</v>
      </c>
      <c r="CA22" s="117">
        <v>31</v>
      </c>
      <c r="CB22" s="46">
        <f>+IFERROR(VLOOKUP($CB$18,Sheet1!BF4:BI4,3,0),0)</f>
        <v>0</v>
      </c>
      <c r="CC22" s="47">
        <f>+IFERROR(VLOOKUP($CC$18,Sheet1!BJ4:BM4,3,0),0)</f>
        <v>0</v>
      </c>
      <c r="CD22" s="48">
        <f>+IFERROR(VLOOKUP($CD$18,Sheet1!BN4:BQ4,3,0),0)</f>
        <v>0</v>
      </c>
      <c r="CE22" s="118">
        <v>35</v>
      </c>
      <c r="CF22" s="43">
        <f>+IFERROR(VLOOKUP($CF$18,Sheet1!BV4:BY4,3,0),0)</f>
        <v>0</v>
      </c>
      <c r="CG22" s="65" t="str">
        <f>Sheet1!E4</f>
        <v>STEEL</v>
      </c>
      <c r="CH22" s="66" t="str">
        <f>Sheet1!CY4</f>
        <v>SP0400118</v>
      </c>
      <c r="CI22" s="66" t="str">
        <f>Sheet1!CZ4</f>
        <v>CORRUGATED DISPATCH STEEL DRUM 1700 X 1000 X 1200</v>
      </c>
      <c r="CJ22" s="66">
        <v>500</v>
      </c>
      <c r="CK22" s="23">
        <f>9900/0.5</f>
        <v>19800</v>
      </c>
      <c r="CL22" s="23">
        <f>SUMPRODUCT($N$19:$CF$19,N22:CF22)+CK22</f>
        <v>570464</v>
      </c>
      <c r="CM22" s="24">
        <f>Sheet1!CB4</f>
        <v>0</v>
      </c>
      <c r="CN22" s="23">
        <f>CL22*CM22</f>
        <v>0</v>
      </c>
      <c r="CO22" s="93">
        <v>0.35</v>
      </c>
      <c r="CP22" s="23">
        <f>CL22*CO22</f>
        <v>199662.4</v>
      </c>
      <c r="CQ22" s="93">
        <v>0</v>
      </c>
      <c r="CR22" s="23">
        <f>CL22*CQ22</f>
        <v>0</v>
      </c>
      <c r="CS22" s="23">
        <f>CL22+CN22+CP22+CR22</f>
        <v>770126.4</v>
      </c>
      <c r="CT22" s="93">
        <v>0.02</v>
      </c>
      <c r="CU22" s="6">
        <f>CS22*CT22</f>
        <v>15402.528</v>
      </c>
      <c r="CV22" s="93">
        <v>0</v>
      </c>
      <c r="CW22" s="6">
        <f>CS22*CV22</f>
        <v>0</v>
      </c>
      <c r="CX22" s="93">
        <f>Sheet1!CM4</f>
        <v>0</v>
      </c>
      <c r="CY22" s="6">
        <f>CX22*CS22</f>
        <v>0</v>
      </c>
    </row>
    <row r="23" spans="1:104" s="22" customFormat="1" ht="30" x14ac:dyDescent="0.25">
      <c r="A23" s="6" t="str">
        <f>Sheet1!A5</f>
        <v>ENQ-18775-25-26</v>
      </c>
      <c r="B23" s="85">
        <v>46023</v>
      </c>
      <c r="C23" s="6" t="str">
        <f>Sheet1!C5</f>
        <v>FA1300010</v>
      </c>
      <c r="D23" s="6" t="str">
        <f>Sheet1!D5</f>
        <v>3 CORE X 400 SQ. MM. AL/ARM - STRIP (XLPE) - 33 KV</v>
      </c>
      <c r="E23" s="23">
        <f>CS23+CU23+CW23+CY23</f>
        <v>3371284.3140000002</v>
      </c>
      <c r="F23" s="126">
        <f t="shared" si="0"/>
        <v>90000</v>
      </c>
      <c r="G23" s="28">
        <f>E23+F23</f>
        <v>3461284.3140000002</v>
      </c>
      <c r="H23" s="29">
        <f>Sheet1!CR5</f>
        <v>0.18</v>
      </c>
      <c r="I23" s="28">
        <f>G23*H23</f>
        <v>623031.17651999998</v>
      </c>
      <c r="J23" s="28">
        <f>G23+I23</f>
        <v>4084315.4905200005</v>
      </c>
      <c r="K23" s="77">
        <f>Sheet1!CU5</f>
        <v>195</v>
      </c>
      <c r="L23" s="74" t="str">
        <f>Sheet1!CV5</f>
        <v>KMS</v>
      </c>
      <c r="M23" s="23">
        <f>J23*K23</f>
        <v>796441520.65140009</v>
      </c>
      <c r="N23" s="110">
        <f>+IFERROR(VLOOKUP($N$18,Sheet1!J5:L5,3,0),0)</f>
        <v>3240</v>
      </c>
      <c r="O23" s="69">
        <f>+IFERROR(VLOOKUP($O$18,Sheet1!J5:L5,3,0),0)</f>
        <v>0</v>
      </c>
      <c r="P23" s="69">
        <f>+IFERROR(VLOOKUP($P$18,Sheet1!J5:M5,3,0),0)</f>
        <v>0</v>
      </c>
      <c r="Q23" s="69">
        <f>+IFERROR(VLOOKUP($Q$18,Sheet1!J5:M5,3,0),0)</f>
        <v>0</v>
      </c>
      <c r="R23" s="69">
        <f>+IFERROR(VLOOKUP($R$18,Sheet1!J5:M5,3,0),0)</f>
        <v>0</v>
      </c>
      <c r="S23" s="69">
        <f>+IFERROR(VLOOKUP($S$18,Sheet1!J5:M5,3,0),0)</f>
        <v>0</v>
      </c>
      <c r="T23" s="69">
        <f>+IFERROR(VLOOKUP($T$18,Sheet1!J5:M5,3,0),0)</f>
        <v>0</v>
      </c>
      <c r="U23" s="69">
        <f>+IFERROR(VLOOKUP($U$18,Sheet1!J5:M5,3,0),0)</f>
        <v>0</v>
      </c>
      <c r="V23" s="70">
        <f>+IFERROR(VLOOKUP($V$18,Sheet1!N5:Q5,3,0),0)</f>
        <v>0</v>
      </c>
      <c r="W23" s="70">
        <f>+IFERROR(VLOOKUP($W$18,Sheet1!N5:Q5,3,0),0)</f>
        <v>0</v>
      </c>
      <c r="X23" s="71">
        <f>+IFERROR(VLOOKUP($X$18,Sheet1!F5:I5,3,0),0)</f>
        <v>0</v>
      </c>
      <c r="Y23" s="71">
        <f>+IFERROR(VLOOKUP($Y$18,Sheet1!F5:I5,3,0),0)</f>
        <v>0</v>
      </c>
      <c r="Z23" s="71">
        <f>+IFERROR(VLOOKUP($Z$18,Sheet1!F5:I5,3,0),0)</f>
        <v>0</v>
      </c>
      <c r="AA23" s="112">
        <v>181</v>
      </c>
      <c r="AB23" s="71">
        <f>+IFERROR(VLOOKUP($AB$18,Sheet1!F5:I5,3,0),0)</f>
        <v>0</v>
      </c>
      <c r="AC23" s="71">
        <f>+IFERROR(VLOOKUP($AC$18,Sheet1!F5:I5,3,0),0)</f>
        <v>0</v>
      </c>
      <c r="AD23" s="71">
        <f>+IFERROR(VLOOKUP($AD$18,Sheet1!F5:I5,3,0),0)</f>
        <v>0</v>
      </c>
      <c r="AE23" s="71">
        <f>+IFERROR(VLOOKUP($AE$18,Sheet1!F5:I5,3,0),0)</f>
        <v>0</v>
      </c>
      <c r="AF23" s="72"/>
      <c r="AG23" s="111">
        <v>427</v>
      </c>
      <c r="AH23" s="73"/>
      <c r="AI23" s="32">
        <f>+IFERROR(VLOOKUP($AI$18,Sheet1!V5:Y5,3,0),0)</f>
        <v>0</v>
      </c>
      <c r="AJ23" s="120">
        <v>2621</v>
      </c>
      <c r="AK23" s="32">
        <f>+IFERROR(VLOOKUP($AK$18,Sheet1!V5:Y5,3,0),0)</f>
        <v>0</v>
      </c>
      <c r="AL23" s="32">
        <f>+IFERROR(VLOOKUP($AL$18,Sheet1!V5:Y5,3,0),0)</f>
        <v>0</v>
      </c>
      <c r="AM23" s="32">
        <f>+IFERROR(VLOOKUP($AM$18,Sheet1!V5:Y5,3,0),0)</f>
        <v>0</v>
      </c>
      <c r="AN23" s="32">
        <f>+IFERROR(VLOOKUP($AN$18,Sheet1!V5:Y5,3,0),0)</f>
        <v>0</v>
      </c>
      <c r="AO23" s="32">
        <f>+IFERROR(VLOOKUP($AO$18,Sheet1!V5:Y5,3,0),0)</f>
        <v>0</v>
      </c>
      <c r="AP23" s="32">
        <f>+IFERROR(VLOOKUP($AP$18,Sheet1!V5:Y5,3,0),0)</f>
        <v>0</v>
      </c>
      <c r="AQ23" s="115">
        <v>66</v>
      </c>
      <c r="AR23" s="36">
        <f>+IFERROR(VLOOKUP($AR$18,Sheet1!AD5:AG5,3,0),0)</f>
        <v>0</v>
      </c>
      <c r="AS23" s="36">
        <f>+IFERROR(VLOOKUP($AS$18,Sheet1!AD5:AG5,3,0),0)</f>
        <v>0</v>
      </c>
      <c r="AT23" s="36">
        <f>+IFERROR(VLOOKUP($AT$18,Sheet1!AD5:AG5,3,0),0)</f>
        <v>0</v>
      </c>
      <c r="AU23" s="36">
        <f>+IFERROR(VLOOKUP($AU$18,Sheet1!AD5:AG5,3,0),0)</f>
        <v>0</v>
      </c>
      <c r="AV23" s="36">
        <f>+IFERROR(VLOOKUP($AV$18,Sheet1!AD5:AG5,3,0),0)</f>
        <v>0</v>
      </c>
      <c r="AW23" s="36">
        <f>+IFERROR(VLOOKUP($AW$18,Sheet1!AD5:AG5,3,0),0)</f>
        <v>0</v>
      </c>
      <c r="AX23" s="114">
        <v>426</v>
      </c>
      <c r="AY23" s="36">
        <f>+IFERROR(VLOOKUP($AY$18,Sheet1!AD5:AG5,3,0),0)</f>
        <v>0</v>
      </c>
      <c r="AZ23" s="36">
        <f>+IFERROR(VLOOKUP($AZ$18,Sheet1!AD5:AG5,3,0),0)</f>
        <v>0</v>
      </c>
      <c r="BA23" s="35">
        <f>+IFERROR(VLOOKUP($BA$18,Sheet1!AH5:AK5,3,0),0)</f>
        <v>0</v>
      </c>
      <c r="BB23" s="35">
        <f>+IFERROR(VLOOKUP($BB$18,Sheet1!AH5:AK5,3,0),0)</f>
        <v>0</v>
      </c>
      <c r="BC23" s="35">
        <f>+IFERROR(VLOOKUP($BC$18,Sheet1!AH5:AK5,3,0),0)</f>
        <v>0</v>
      </c>
      <c r="BD23" s="35">
        <f>+IFERROR(VLOOKUP($BD$18,Sheet1!AH5:AK5,3,0),0)</f>
        <v>0</v>
      </c>
      <c r="BE23" s="35">
        <f>+IFERROR(VLOOKUP($BE$18,Sheet1!AH5:AK5,3,0),0)</f>
        <v>0</v>
      </c>
      <c r="BF23" s="35">
        <f>+IFERROR(VLOOKUP($BF$18,Sheet1!AH5:AK5,3,0),0)</f>
        <v>0</v>
      </c>
      <c r="BG23" s="115">
        <v>1728</v>
      </c>
      <c r="BH23" s="35">
        <f>+IFERROR(VLOOKUP($BH$18,Sheet1!AH5:AK5,3,0),0)</f>
        <v>0</v>
      </c>
      <c r="BI23" s="35">
        <f>+IFERROR(VLOOKUP($BI$18,Sheet1!AH5:AK5,3,0),0)</f>
        <v>0</v>
      </c>
      <c r="BJ23" s="35">
        <f>+IFERROR(VLOOKUP($BJ$18,Sheet1!AH5:AK5,3,0),0)</f>
        <v>0</v>
      </c>
      <c r="BK23" s="35">
        <f>+IFERROR(VLOOKUP($BK$18,Sheet1!AH5:AK5,3,0),0)</f>
        <v>0</v>
      </c>
      <c r="BL23" s="9">
        <f>+IFERROR(VLOOKUP($BL$18,Sheet1!AL5:AO5,3,0),0)</f>
        <v>0</v>
      </c>
      <c r="BM23" s="9">
        <f>+IFERROR(VLOOKUP($BM$18,Sheet1!AL5:AO5,3,0),0)</f>
        <v>0</v>
      </c>
      <c r="BN23" s="9">
        <f>+IFERROR(VLOOKUP($BN$18,Sheet1!AL5:AO5,3,0),0)</f>
        <v>0</v>
      </c>
      <c r="BO23" s="116">
        <v>1638</v>
      </c>
      <c r="BP23" s="9">
        <f>+IFERROR(VLOOKUP($BP$18,Sheet1!AL5:AO5,3,0),0)</f>
        <v>0</v>
      </c>
      <c r="BQ23" s="9">
        <f>+IFERROR(VLOOKUP($BQ$18,Sheet1!AL5:AO5,3,0),0)</f>
        <v>0</v>
      </c>
      <c r="BR23" s="9">
        <f>+IFERROR(VLOOKUP($BR$18,Sheet1!AL5:AO5,3,0),0)</f>
        <v>0</v>
      </c>
      <c r="BS23" s="9">
        <f>+IFERROR(VLOOKUP($BS$18,Sheet1!AL5:AO5,3,0),0)</f>
        <v>0</v>
      </c>
      <c r="BT23" s="9"/>
      <c r="BU23" s="9">
        <f>+IFERROR(VLOOKUP($BU$18,Sheet1!AL5:AO5,3,0),0)</f>
        <v>0</v>
      </c>
      <c r="BV23" s="9">
        <f>+IFERROR(VLOOKUP($BV$18,Sheet1!AL5:AO5,3,0),0)</f>
        <v>0</v>
      </c>
      <c r="BW23" s="9">
        <f>+IFERROR(VLOOKUP($BW$18,Sheet1!AL5:AO5,3,0),0)</f>
        <v>0</v>
      </c>
      <c r="BX23" s="39"/>
      <c r="BY23" s="121">
        <v>1718</v>
      </c>
      <c r="BZ23" s="43">
        <f>+IFERROR(VLOOKUP($BZ$18,Sheet1!AX5:BA5,3,0),0)</f>
        <v>0</v>
      </c>
      <c r="CA23" s="117">
        <v>104</v>
      </c>
      <c r="CB23" s="122">
        <v>58</v>
      </c>
      <c r="CC23" s="47">
        <f>+IFERROR(VLOOKUP($CC$18,Sheet1!BJ5:BM5,3,0),0)</f>
        <v>0</v>
      </c>
      <c r="CD23" s="48">
        <f>+IFERROR(VLOOKUP($CD$18,Sheet1!BN5:BQ5,3,0),0)</f>
        <v>0</v>
      </c>
      <c r="CE23" s="118">
        <v>69</v>
      </c>
      <c r="CF23" s="43">
        <f>+IFERROR(VLOOKUP($CF$18,Sheet1!BV5:BY5,3,0),0)</f>
        <v>0</v>
      </c>
      <c r="CG23" s="65" t="str">
        <f>Sheet1!E5</f>
        <v>STEEL</v>
      </c>
      <c r="CH23" s="66" t="str">
        <f>Sheet1!CY5</f>
        <v>SP0400105</v>
      </c>
      <c r="CI23" s="66" t="str">
        <f>Sheet1!CZ5</f>
        <v>CORRUGATED DISPATCH STEEL DRUM 2500 X 1500 X 1400</v>
      </c>
      <c r="CJ23" s="66">
        <v>500</v>
      </c>
      <c r="CK23" s="23">
        <f>22000/0.5</f>
        <v>44000</v>
      </c>
      <c r="CL23" s="23">
        <f>SUMPRODUCT($N$19:$CF$19,N23:CF23)+CK23</f>
        <v>2448282</v>
      </c>
      <c r="CM23" s="24">
        <f>Sheet1!CB5</f>
        <v>0</v>
      </c>
      <c r="CN23" s="23">
        <f>CL23*CM23</f>
        <v>0</v>
      </c>
      <c r="CO23" s="93">
        <v>0.35</v>
      </c>
      <c r="CP23" s="23">
        <f>CL23*CO23</f>
        <v>856898.7</v>
      </c>
      <c r="CQ23" s="93">
        <v>0</v>
      </c>
      <c r="CR23" s="23">
        <f>CL23*CQ23</f>
        <v>0</v>
      </c>
      <c r="CS23" s="23">
        <f>CL23+CN23+CP23+CR23</f>
        <v>3305180.7</v>
      </c>
      <c r="CT23" s="93">
        <v>0.02</v>
      </c>
      <c r="CU23" s="6">
        <f>CS23*CT23</f>
        <v>66103.614000000001</v>
      </c>
      <c r="CV23" s="93">
        <v>0</v>
      </c>
      <c r="CW23" s="6">
        <f>CS23*CV23</f>
        <v>0</v>
      </c>
      <c r="CX23" s="93">
        <f>Sheet1!CM5</f>
        <v>0</v>
      </c>
      <c r="CY23" s="6">
        <f>CX23*CS23</f>
        <v>0</v>
      </c>
    </row>
    <row r="24" spans="1:104" s="22" customFormat="1" ht="30" x14ac:dyDescent="0.25">
      <c r="A24" s="6" t="str">
        <f>Sheet1!A6</f>
        <v>ENQ-18775-25-26</v>
      </c>
      <c r="B24" s="85">
        <v>46023</v>
      </c>
      <c r="C24" s="6" t="str">
        <f>Sheet1!C6</f>
        <v>FA1300015</v>
      </c>
      <c r="D24" s="6" t="str">
        <f>Sheet1!D6</f>
        <v>3 CORE X 300 SQ. MM. AL/ARM - STRIP (XLPE) - 33 KV</v>
      </c>
      <c r="E24" s="23">
        <f>CS24+CU24+CW24+CY24</f>
        <v>2833568.568</v>
      </c>
      <c r="F24" s="126">
        <f t="shared" si="0"/>
        <v>90000</v>
      </c>
      <c r="G24" s="28">
        <f>E24+F24</f>
        <v>2923568.568</v>
      </c>
      <c r="H24" s="29">
        <f>Sheet1!CR6</f>
        <v>0.18</v>
      </c>
      <c r="I24" s="28">
        <f>G24*H24</f>
        <v>526242.34224000003</v>
      </c>
      <c r="J24" s="28">
        <f>G24+I24</f>
        <v>3449810.9102400001</v>
      </c>
      <c r="K24" s="77">
        <f>Sheet1!CU6</f>
        <v>3</v>
      </c>
      <c r="L24" s="74" t="str">
        <f>Sheet1!CV6</f>
        <v>KMS</v>
      </c>
      <c r="M24" s="23">
        <f>J24*K24</f>
        <v>10349432.73072</v>
      </c>
      <c r="N24" s="110">
        <f>+IFERROR(VLOOKUP($N$18,Sheet1!J6:L6,3,0),0)</f>
        <v>2430</v>
      </c>
      <c r="O24" s="69">
        <f>+IFERROR(VLOOKUP($O$18,Sheet1!J6:L6,3,0),0)</f>
        <v>0</v>
      </c>
      <c r="P24" s="69">
        <f>+IFERROR(VLOOKUP($P$18,Sheet1!J6:M6,3,0),0)</f>
        <v>0</v>
      </c>
      <c r="Q24" s="69">
        <f>+IFERROR(VLOOKUP($Q$18,Sheet1!J6:M6,3,0),0)</f>
        <v>0</v>
      </c>
      <c r="R24" s="69">
        <f>+IFERROR(VLOOKUP($R$18,Sheet1!J6:M6,3,0),0)</f>
        <v>0</v>
      </c>
      <c r="S24" s="69">
        <f>+IFERROR(VLOOKUP($S$18,Sheet1!J6:M6,3,0),0)</f>
        <v>0</v>
      </c>
      <c r="T24" s="69">
        <f>+IFERROR(VLOOKUP($T$18,Sheet1!J6:M6,3,0),0)</f>
        <v>0</v>
      </c>
      <c r="U24" s="69">
        <f>+IFERROR(VLOOKUP($U$18,Sheet1!J6:M6,3,0),0)</f>
        <v>0</v>
      </c>
      <c r="V24" s="70">
        <f>+IFERROR(VLOOKUP($V$18,Sheet1!N6:Q6,3,0),0)</f>
        <v>0</v>
      </c>
      <c r="W24" s="70">
        <f>+IFERROR(VLOOKUP($W$18,Sheet1!N6:Q6,3,0),0)</f>
        <v>0</v>
      </c>
      <c r="X24" s="71">
        <f>+IFERROR(VLOOKUP($X$18,Sheet1!F6:I6,3,0),0)</f>
        <v>0</v>
      </c>
      <c r="Y24" s="71">
        <f>+IFERROR(VLOOKUP($Y$18,Sheet1!F6:I6,3,0),0)</f>
        <v>0</v>
      </c>
      <c r="Z24" s="71">
        <f>+IFERROR(VLOOKUP($Z$18,Sheet1!F6:I6,3,0),0)</f>
        <v>0</v>
      </c>
      <c r="AA24" s="112">
        <v>168</v>
      </c>
      <c r="AB24" s="71">
        <f>+IFERROR(VLOOKUP($AB$18,Sheet1!F6:I6,3,0),0)</f>
        <v>0</v>
      </c>
      <c r="AC24" s="71">
        <f>+IFERROR(VLOOKUP($AC$18,Sheet1!F6:I6,3,0),0)</f>
        <v>0</v>
      </c>
      <c r="AD24" s="71">
        <f>+IFERROR(VLOOKUP($AD$18,Sheet1!F6:I6,3,0),0)</f>
        <v>0</v>
      </c>
      <c r="AE24" s="71">
        <f>+IFERROR(VLOOKUP($AE$18,Sheet1!F6:I6,3,0),0)</f>
        <v>0</v>
      </c>
      <c r="AF24" s="72">
        <f>+IFERROR(VLOOKUP($AF$18,Sheet1!R6:U6,3,0),0)</f>
        <v>0</v>
      </c>
      <c r="AG24" s="111">
        <f>+IFERROR(VLOOKUP($AG$18,Sheet1!R6:U6,3,0),0)</f>
        <v>386</v>
      </c>
      <c r="AH24" s="73">
        <f>+IFERROR(VLOOKUP($AH$18,Sheet1!V6:Y6,3,0),0)</f>
        <v>0</v>
      </c>
      <c r="AI24" s="32">
        <f>+IFERROR(VLOOKUP($AI$18,Sheet1!V6:Y6,3,0),0)</f>
        <v>0</v>
      </c>
      <c r="AJ24" s="120">
        <f>+IFERROR(VLOOKUP($AJ$18,Sheet1!V6:Y6,3,0),0)</f>
        <v>2385</v>
      </c>
      <c r="AK24" s="32">
        <f>+IFERROR(VLOOKUP($AK$18,Sheet1!V6:Y6,3,0),0)</f>
        <v>0</v>
      </c>
      <c r="AL24" s="32">
        <f>+IFERROR(VLOOKUP($AL$18,Sheet1!V6:Y6,3,0),0)</f>
        <v>0</v>
      </c>
      <c r="AM24" s="32">
        <f>+IFERROR(VLOOKUP($AM$18,Sheet1!V6:Y6,3,0),0)</f>
        <v>0</v>
      </c>
      <c r="AN24" s="32">
        <f>+IFERROR(VLOOKUP($AN$18,Sheet1!V6:Y6,3,0),0)</f>
        <v>0</v>
      </c>
      <c r="AO24" s="32">
        <f>+IFERROR(VLOOKUP($AO$18,Sheet1!V6:Y6,3,0),0)</f>
        <v>0</v>
      </c>
      <c r="AP24" s="32">
        <f>+IFERROR(VLOOKUP($AP$18,Sheet1!V6:Y6,3,0),0)</f>
        <v>0</v>
      </c>
      <c r="AQ24" s="115">
        <v>61</v>
      </c>
      <c r="AR24" s="36">
        <f>+IFERROR(VLOOKUP($AR$18,Sheet1!AD6:AG6,3,0),0)</f>
        <v>0</v>
      </c>
      <c r="AS24" s="36">
        <f>+IFERROR(VLOOKUP($AS$18,Sheet1!AD6:AG6,3,0),0)</f>
        <v>0</v>
      </c>
      <c r="AT24" s="36">
        <f>+IFERROR(VLOOKUP($AT$18,Sheet1!AD6:AG6,3,0),0)</f>
        <v>0</v>
      </c>
      <c r="AU24" s="36">
        <f>+IFERROR(VLOOKUP($AU$18,Sheet1!AD6:AG6,3,0),0)</f>
        <v>0</v>
      </c>
      <c r="AV24" s="36">
        <f>+IFERROR(VLOOKUP($AV$18,Sheet1!AD6:AG6,3,0),0)</f>
        <v>0</v>
      </c>
      <c r="AW24" s="36">
        <f>+IFERROR(VLOOKUP($AW$18,Sheet1!AD6:AG6,3,0),0)</f>
        <v>0</v>
      </c>
      <c r="AX24" s="114">
        <v>397</v>
      </c>
      <c r="AY24" s="36">
        <f>+IFERROR(VLOOKUP($AY$18,Sheet1!AD6:AG6,3,0),0)</f>
        <v>0</v>
      </c>
      <c r="AZ24" s="36">
        <f>+IFERROR(VLOOKUP($AZ$18,Sheet1!AD6:AG6,3,0),0)</f>
        <v>0</v>
      </c>
      <c r="BA24" s="35">
        <f>+IFERROR(VLOOKUP($BA$18,Sheet1!AH6:AK6,3,0),0)</f>
        <v>0</v>
      </c>
      <c r="BB24" s="35">
        <f>+IFERROR(VLOOKUP($BB$18,Sheet1!AH6:AK6,3,0),0)</f>
        <v>0</v>
      </c>
      <c r="BC24" s="35">
        <f>+IFERROR(VLOOKUP($BC$18,Sheet1!AH6:AK6,3,0),0)</f>
        <v>0</v>
      </c>
      <c r="BD24" s="35">
        <f>+IFERROR(VLOOKUP($BD$18,Sheet1!AH6:AK6,3,0),0)</f>
        <v>0</v>
      </c>
      <c r="BE24" s="35">
        <f>+IFERROR(VLOOKUP($BE$18,Sheet1!AH6:AK6,3,0),0)</f>
        <v>0</v>
      </c>
      <c r="BF24" s="35">
        <f>+IFERROR(VLOOKUP($BF$18,Sheet1!AH6:AK6,3,0),0)</f>
        <v>0</v>
      </c>
      <c r="BG24" s="115">
        <v>1620</v>
      </c>
      <c r="BH24" s="35">
        <f>+IFERROR(VLOOKUP($BH$18,Sheet1!AH6:AK6,3,0),0)</f>
        <v>0</v>
      </c>
      <c r="BI24" s="35">
        <f>+IFERROR(VLOOKUP($BI$18,Sheet1!AH6:AK6,3,0),0)</f>
        <v>0</v>
      </c>
      <c r="BJ24" s="35">
        <f>+IFERROR(VLOOKUP($BJ$18,Sheet1!AH6:AK6,3,0),0)</f>
        <v>0</v>
      </c>
      <c r="BK24" s="35">
        <f>+IFERROR(VLOOKUP($BK$18,Sheet1!AH6:AK6,3,0),0)</f>
        <v>0</v>
      </c>
      <c r="BL24" s="9">
        <f>+IFERROR(VLOOKUP($BL$18,Sheet1!AL6:AO6,3,0),0)</f>
        <v>0</v>
      </c>
      <c r="BM24" s="9">
        <f>+IFERROR(VLOOKUP($BM$18,Sheet1!AL6:AO6,3,0),0)</f>
        <v>0</v>
      </c>
      <c r="BN24" s="9">
        <f>+IFERROR(VLOOKUP($BN$18,Sheet1!AL6:AO6,3,0),0)</f>
        <v>0</v>
      </c>
      <c r="BO24" s="116">
        <v>1533</v>
      </c>
      <c r="BP24" s="9">
        <f>+IFERROR(VLOOKUP($BP$18,Sheet1!AL6:AO6,3,0),0)</f>
        <v>0</v>
      </c>
      <c r="BQ24" s="9">
        <f>+IFERROR(VLOOKUP($BQ$18,Sheet1!AL6:AO6,3,0),0)</f>
        <v>0</v>
      </c>
      <c r="BR24" s="9">
        <f>+IFERROR(VLOOKUP($BR$18,Sheet1!AL6:AO6,3,0),0)</f>
        <v>0</v>
      </c>
      <c r="BS24" s="9">
        <f>+IFERROR(VLOOKUP($BS$18,Sheet1!AL6:AO6,3,0),0)</f>
        <v>0</v>
      </c>
      <c r="BT24" s="9">
        <f>+IFERROR(VLOOKUP($BT$18,Sheet1!AL6:AO6,3,0),0)</f>
        <v>0</v>
      </c>
      <c r="BU24" s="9">
        <f>+IFERROR(VLOOKUP($BU$18,Sheet1!AL6:AO6,3,0),0)</f>
        <v>0</v>
      </c>
      <c r="BV24" s="9">
        <f>+IFERROR(VLOOKUP($BV$18,Sheet1!AL6:AO6,3,0),0)</f>
        <v>0</v>
      </c>
      <c r="BW24" s="9">
        <f>+IFERROR(VLOOKUP($BW$18,Sheet1!AL6:AO6,3,0),0)</f>
        <v>0</v>
      </c>
      <c r="BX24" s="39">
        <f>+IFERROR(VLOOKUP($BX$18,Sheet1!AP6:AS6,3,0),0)</f>
        <v>0</v>
      </c>
      <c r="BY24" s="121">
        <v>1497</v>
      </c>
      <c r="BZ24" s="43">
        <f>+IFERROR(VLOOKUP($BZ$18,Sheet1!AX6:BA6,3,0),0)</f>
        <v>0</v>
      </c>
      <c r="CA24" s="117">
        <v>93</v>
      </c>
      <c r="CB24" s="122">
        <v>38</v>
      </c>
      <c r="CC24" s="47">
        <f>+IFERROR(VLOOKUP($CC$18,Sheet1!BJ6:BM6,3,0),0)</f>
        <v>0</v>
      </c>
      <c r="CD24" s="48">
        <f>+IFERROR(VLOOKUP($CD$18,Sheet1!BN6:BQ6,3,0),0)</f>
        <v>0</v>
      </c>
      <c r="CE24" s="118">
        <v>58</v>
      </c>
      <c r="CF24" s="43">
        <f>+IFERROR(VLOOKUP($CF$18,Sheet1!BV6:BY6,3,0),0)</f>
        <v>0</v>
      </c>
      <c r="CG24" s="65" t="str">
        <f>Sheet1!E6</f>
        <v>STEEL</v>
      </c>
      <c r="CH24" s="66" t="str">
        <f>Sheet1!CY6</f>
        <v>SP0400105</v>
      </c>
      <c r="CI24" s="66" t="str">
        <f>Sheet1!CZ6</f>
        <v>CORRUGATED DISPATCH STEEL DRUM 2500 X 1500 X 1400</v>
      </c>
      <c r="CJ24" s="66">
        <v>500</v>
      </c>
      <c r="CK24" s="23">
        <f>22000/0.5</f>
        <v>44000</v>
      </c>
      <c r="CL24" s="23">
        <f>SUMPRODUCT($N$19:$CF$19,N24:CF24)+CK24</f>
        <v>2057784</v>
      </c>
      <c r="CM24" s="24">
        <f>Sheet1!CB6</f>
        <v>0</v>
      </c>
      <c r="CN24" s="23">
        <f>CL24*CM24</f>
        <v>0</v>
      </c>
      <c r="CO24" s="93">
        <v>0.35</v>
      </c>
      <c r="CP24" s="23">
        <f>CL24*CO24</f>
        <v>720224.39999999991</v>
      </c>
      <c r="CQ24" s="93">
        <v>0</v>
      </c>
      <c r="CR24" s="23">
        <f>CL24*CQ24</f>
        <v>0</v>
      </c>
      <c r="CS24" s="23">
        <f>CL24+CN24+CP24+CR24</f>
        <v>2778008.4</v>
      </c>
      <c r="CT24" s="93">
        <v>0.02</v>
      </c>
      <c r="CU24" s="6">
        <f>CS24*CT24</f>
        <v>55560.167999999998</v>
      </c>
      <c r="CV24" s="93">
        <v>0</v>
      </c>
      <c r="CW24" s="6">
        <f>CS24*CV24</f>
        <v>0</v>
      </c>
      <c r="CX24" s="93">
        <f>Sheet1!CM6</f>
        <v>0</v>
      </c>
      <c r="CY24" s="6">
        <f>CX24*CS24</f>
        <v>0</v>
      </c>
    </row>
    <row r="25" spans="1:104" s="22" customFormat="1" ht="30" customHeight="1" x14ac:dyDescent="0.25">
      <c r="A25" s="6" t="str">
        <f>Sheet1!A2</f>
        <v>ENQ-18775-25-26</v>
      </c>
      <c r="B25" s="85">
        <v>46023</v>
      </c>
      <c r="C25" s="6" t="str">
        <f>Sheet1!C2</f>
        <v>FA0400106</v>
      </c>
      <c r="D25" s="6" t="str">
        <f>Sheet1!D2</f>
        <v>3 CORE X 120 SQ MM + 1 CORE X 125 SQ MM (AB CABLES) (INSULATED) - 11 KV</v>
      </c>
      <c r="E25" s="23">
        <f>CS25+CU25+CW25+CY25</f>
        <v>1439767.791</v>
      </c>
      <c r="F25" s="126">
        <f t="shared" si="0"/>
        <v>36000</v>
      </c>
      <c r="G25" s="28">
        <f>E25+F25</f>
        <v>1475767.791</v>
      </c>
      <c r="H25" s="29">
        <f>Sheet1!CR2</f>
        <v>0.18</v>
      </c>
      <c r="I25" s="28">
        <f>G25*H25</f>
        <v>265638.20237999997</v>
      </c>
      <c r="J25" s="28">
        <f>G25+I25</f>
        <v>1741405.9933799999</v>
      </c>
      <c r="K25" s="77">
        <f>Sheet1!CU2</f>
        <v>45</v>
      </c>
      <c r="L25" s="74" t="str">
        <f>Sheet1!CV2</f>
        <v>KMS</v>
      </c>
      <c r="M25" s="23">
        <f>J25*K25</f>
        <v>78363269.702099994</v>
      </c>
      <c r="N25" s="110">
        <v>975</v>
      </c>
      <c r="O25" s="69">
        <f>+IFERROR(VLOOKUP($O$18,Sheet1!J2:L2,3,0),0)</f>
        <v>0</v>
      </c>
      <c r="P25" s="69">
        <f>+IFERROR(VLOOKUP($P$18,Sheet1!J2:M2,3,0),0)</f>
        <v>0</v>
      </c>
      <c r="Q25" s="69">
        <f>+IFERROR(VLOOKUP($Q$18,Sheet1!J2:M2,3,0),0)</f>
        <v>0</v>
      </c>
      <c r="R25" s="69">
        <f>+IFERROR(VLOOKUP($R$18,Sheet1!J2:M2,3,0),0)</f>
        <v>0</v>
      </c>
      <c r="S25" s="69">
        <f>+IFERROR(VLOOKUP($S$18,Sheet1!J2:M2,3,0),0)</f>
        <v>0</v>
      </c>
      <c r="T25" s="69">
        <f>+IFERROR(VLOOKUP($T$18,Sheet1!J2:M2,3,0),0)</f>
        <v>0</v>
      </c>
      <c r="U25" s="69">
        <f>+IFERROR(VLOOKUP($U$18,Sheet1!J2:M2,3,0),0)</f>
        <v>0</v>
      </c>
      <c r="V25" s="70">
        <f>+IFERROR(VLOOKUP($V$18,Sheet1!N2:Q2,3,0),0)</f>
        <v>0</v>
      </c>
      <c r="W25" s="123">
        <v>350</v>
      </c>
      <c r="X25" s="71">
        <f>+IFERROR(VLOOKUP($X$18,Sheet1!F2:I2,3,0),0)</f>
        <v>0</v>
      </c>
      <c r="Y25" s="71">
        <f>+IFERROR(VLOOKUP($Y$18,Sheet1!F2:I2,3,0),0)</f>
        <v>0</v>
      </c>
      <c r="Z25" s="71">
        <f>+IFERROR(VLOOKUP($Z$18,Sheet1!F2:I2,3,0),0)</f>
        <v>0</v>
      </c>
      <c r="AA25" s="71">
        <f>+IFERROR(VLOOKUP($AA$18,Sheet1!F2:I2,3,0),0)</f>
        <v>0</v>
      </c>
      <c r="AB25" s="71">
        <f>+IFERROR(VLOOKUP($AB$18,Sheet1!F2:I2,3,0),0)</f>
        <v>0</v>
      </c>
      <c r="AC25" s="71">
        <f>+IFERROR(VLOOKUP($AC$18,Sheet1!F2:I2,3,0),0)</f>
        <v>0</v>
      </c>
      <c r="AD25" s="71"/>
      <c r="AE25" s="71">
        <f>+IFERROR(VLOOKUP($AE$18,Sheet1!F2:I2,3,0),0)</f>
        <v>0</v>
      </c>
      <c r="AF25" s="72"/>
      <c r="AG25" s="111">
        <v>276</v>
      </c>
      <c r="AH25" s="119">
        <v>584</v>
      </c>
      <c r="AI25" s="32">
        <f>+IFERROR(VLOOKUP($AI$18,Sheet1!V2:Y2,3,0),0)</f>
        <v>0</v>
      </c>
      <c r="AJ25" s="32">
        <f>+IFERROR(VLOOKUP($AJ$18,Sheet1!V2:Y2,3,0),0)</f>
        <v>0</v>
      </c>
      <c r="AK25" s="32">
        <f>+IFERROR(VLOOKUP($AK$18,Sheet1!V2:Y2,3,0),0)</f>
        <v>0</v>
      </c>
      <c r="AL25" s="32">
        <f>+IFERROR(VLOOKUP($AL$18,Sheet1!V2:Y2,3,0),0)</f>
        <v>0</v>
      </c>
      <c r="AM25" s="32">
        <f>+IFERROR(VLOOKUP($AM$18,Sheet1!V2:Y2,3,0),0)</f>
        <v>0</v>
      </c>
      <c r="AN25" s="32">
        <f>+IFERROR(VLOOKUP($AN$18,Sheet1!V2:Y2,3,0),0)</f>
        <v>0</v>
      </c>
      <c r="AO25" s="32">
        <f>+IFERROR(VLOOKUP($AO$18,Sheet1!V2:Y2,3,0),0)</f>
        <v>0</v>
      </c>
      <c r="AP25" s="32">
        <f>+IFERROR(VLOOKUP($AP$18,Sheet1!V2:Y2,3,0),0)</f>
        <v>0</v>
      </c>
      <c r="AQ25" s="35">
        <f>+IFERROR(VLOOKUP($AQ$18,Sheet1!Z2:AB2,3,0),0)</f>
        <v>0</v>
      </c>
      <c r="AR25" s="36">
        <f>+IFERROR(VLOOKUP($AR$18,Sheet1!AD2:AG2,3,0),0)</f>
        <v>0</v>
      </c>
      <c r="AS25" s="36">
        <f>+IFERROR(VLOOKUP($AS$18,Sheet1!AD2:AG2,3,0),0)</f>
        <v>0</v>
      </c>
      <c r="AT25" s="36">
        <f>+IFERROR(VLOOKUP($AT$18,Sheet1!AD2:AG2,3,0),0)</f>
        <v>0</v>
      </c>
      <c r="AU25" s="36">
        <f>+IFERROR(VLOOKUP($AU$18,Sheet1!AD2:AG2,3,0),0)</f>
        <v>0</v>
      </c>
      <c r="AV25" s="36">
        <f>+IFERROR(VLOOKUP($AV$18,Sheet1!AD2:AG2,3,0),0)</f>
        <v>0</v>
      </c>
      <c r="AW25" s="36">
        <f>+IFERROR(VLOOKUP($AW$18,Sheet1!AD2:AG2,3,0),0)</f>
        <v>0</v>
      </c>
      <c r="AX25" s="114">
        <v>135</v>
      </c>
      <c r="AY25" s="36">
        <f>+IFERROR(VLOOKUP($AY$18,Sheet1!AD2:AG2,3,0),0)</f>
        <v>0</v>
      </c>
      <c r="AZ25" s="36">
        <f>+IFERROR(VLOOKUP($AZ$18,Sheet1!AD2:AG2,3,0),0)</f>
        <v>0</v>
      </c>
      <c r="BA25" s="35">
        <f>+IFERROR(VLOOKUP($BA$18,Sheet1!AH2:AK2,3,0),0)</f>
        <v>0</v>
      </c>
      <c r="BB25" s="35">
        <f>+IFERROR(VLOOKUP($BB$18,Sheet1!AH2:AK2,3,0),0)</f>
        <v>0</v>
      </c>
      <c r="BC25" s="35">
        <f>+IFERROR(VLOOKUP($BC$18,Sheet1!AH2:AK2,3,0),0)</f>
        <v>0</v>
      </c>
      <c r="BD25" s="35">
        <f>+IFERROR(VLOOKUP($BD$18,Sheet1!AH2:AK2,3,0),0)</f>
        <v>0</v>
      </c>
      <c r="BE25" s="35">
        <f>+IFERROR(VLOOKUP($BE$18,Sheet1!AH2:AK2,3,0),0)</f>
        <v>0</v>
      </c>
      <c r="BF25" s="35">
        <f>+IFERROR(VLOOKUP($BF$18,Sheet1!AH2:AK2,3,0),0)</f>
        <v>0</v>
      </c>
      <c r="BG25" s="35">
        <f>+IFERROR(VLOOKUP($BG$18,Sheet1!AH2:AK2,3,0),0)</f>
        <v>0</v>
      </c>
      <c r="BH25" s="35">
        <f>+IFERROR(VLOOKUP($BH$18,Sheet1!AH2:AK2,3,0),0)</f>
        <v>0</v>
      </c>
      <c r="BI25" s="35">
        <f>+IFERROR(VLOOKUP($BI$18,Sheet1!AH2:AK2,3,0),0)</f>
        <v>0</v>
      </c>
      <c r="BJ25" s="35">
        <f>+IFERROR(VLOOKUP($BJ$18,Sheet1!AH2:AK2,3,0),0)</f>
        <v>0</v>
      </c>
      <c r="BK25" s="35">
        <f>+IFERROR(VLOOKUP($BK$18,Sheet1!AH2:AK2,3,0),0)</f>
        <v>0</v>
      </c>
      <c r="BL25" s="9">
        <f>+IFERROR(VLOOKUP($BL$18,Sheet1!AL2:AO2,3,0),0)</f>
        <v>0</v>
      </c>
      <c r="BM25" s="9">
        <f>+IFERROR(VLOOKUP($BM$18,Sheet1!AL2:AO2,3,0),0)</f>
        <v>0</v>
      </c>
      <c r="BN25" s="9">
        <f>+IFERROR(VLOOKUP($BN$18,Sheet1!AL2:AO2,3,0),0)</f>
        <v>0</v>
      </c>
      <c r="BO25" s="9">
        <f>+IFERROR(VLOOKUP($BO$18,Sheet1!AL2:AO2,3,0),0)</f>
        <v>0</v>
      </c>
      <c r="BP25" s="9">
        <f>+IFERROR(VLOOKUP($BP$18,Sheet1!AL2:AO2,3,0),0)</f>
        <v>0</v>
      </c>
      <c r="BQ25" s="9">
        <f>+IFERROR(VLOOKUP($BQ$18,Sheet1!AL2:AO2,3,0),0)</f>
        <v>0</v>
      </c>
      <c r="BR25" s="116">
        <v>680</v>
      </c>
      <c r="BS25" s="9">
        <f>+IFERROR(VLOOKUP($BS$18,Sheet1!AL2:AO2,3,0),0)</f>
        <v>0</v>
      </c>
      <c r="BT25" s="9"/>
      <c r="BU25" s="9">
        <f>+IFERROR(VLOOKUP($BU$18,Sheet1!AL2:AO2,3,0),0)</f>
        <v>0</v>
      </c>
      <c r="BV25" s="9">
        <f>+IFERROR(VLOOKUP($BV$18,Sheet1!AL2:AO2,3,0),0)</f>
        <v>0</v>
      </c>
      <c r="BW25" s="9">
        <f>+IFERROR(VLOOKUP($BW$18,Sheet1!AL2:AO2,3,0),0)</f>
        <v>0</v>
      </c>
      <c r="BX25" s="39">
        <f>+IFERROR(VLOOKUP($BX$18,Sheet1!AP2:AS2,3,0),0)</f>
        <v>0</v>
      </c>
      <c r="BY25" s="42">
        <f>+IFERROR(VLOOKUP($BY$18,Sheet1!AT2:AW2,3,0),0)</f>
        <v>0</v>
      </c>
      <c r="BZ25" s="124">
        <v>18</v>
      </c>
      <c r="CA25" s="117">
        <v>75</v>
      </c>
      <c r="CB25" s="46">
        <f>+IFERROR(VLOOKUP($CB$18,Sheet1!BF2:BI2,3,0),0)</f>
        <v>0</v>
      </c>
      <c r="CC25" s="47">
        <f>+IFERROR(VLOOKUP($CC$18,Sheet1!BJ2:BM2,3,0),0)</f>
        <v>0</v>
      </c>
      <c r="CD25" s="48">
        <f>+IFERROR(VLOOKUP($CD$18,Sheet1!BN2:BQ2,3,0),0)</f>
        <v>0</v>
      </c>
      <c r="CE25" s="37">
        <f>+IFERROR(VLOOKUP($CE$18,Sheet1!BR2:BU2,3,0),0)</f>
        <v>0</v>
      </c>
      <c r="CF25" s="124">
        <v>992</v>
      </c>
      <c r="CG25" s="65" t="str">
        <f>Sheet1!E2</f>
        <v>STEEL</v>
      </c>
      <c r="CH25" s="66" t="str">
        <f>Sheet1!CY2</f>
        <v>SP0400123</v>
      </c>
      <c r="CI25" s="66" t="str">
        <f>Sheet1!CZ2</f>
        <v>DRUM - 2000 X 1000 X 1200</v>
      </c>
      <c r="CJ25" s="66">
        <v>500</v>
      </c>
      <c r="CK25" s="23">
        <f>16500/0.5</f>
        <v>33000</v>
      </c>
      <c r="CL25" s="23">
        <f>SUMPRODUCT($N$19:$CF$19,N25:CF25)+CK25</f>
        <v>1045583</v>
      </c>
      <c r="CM25" s="24">
        <f>Sheet1!CB2</f>
        <v>0</v>
      </c>
      <c r="CN25" s="23">
        <f>CL25*CM25</f>
        <v>0</v>
      </c>
      <c r="CO25" s="93">
        <v>0.35</v>
      </c>
      <c r="CP25" s="23">
        <f>CL25*CO25</f>
        <v>365954.05</v>
      </c>
      <c r="CQ25" s="93">
        <v>0</v>
      </c>
      <c r="CR25" s="23">
        <f>CL25*CQ25</f>
        <v>0</v>
      </c>
      <c r="CS25" s="23">
        <f>CL25+CN25+CP25+CR25</f>
        <v>1411537.05</v>
      </c>
      <c r="CT25" s="93">
        <v>0.02</v>
      </c>
      <c r="CU25" s="6">
        <f>CS25*CT25</f>
        <v>28230.741000000002</v>
      </c>
      <c r="CV25" s="93">
        <v>0</v>
      </c>
      <c r="CW25" s="6">
        <f>CS25*CV25</f>
        <v>0</v>
      </c>
      <c r="CX25" s="93">
        <f>Sheet1!CM2</f>
        <v>0</v>
      </c>
      <c r="CY25" s="6">
        <f>CX25*CS25</f>
        <v>0</v>
      </c>
    </row>
    <row r="26" spans="1:104" x14ac:dyDescent="0.25">
      <c r="M26" s="153">
        <f>SUM(M20:M25)</f>
        <v>1562577164.5201201</v>
      </c>
    </row>
    <row r="29" spans="1:104" ht="60" x14ac:dyDescent="0.25">
      <c r="E29" s="1" t="s">
        <v>127</v>
      </c>
      <c r="F29" s="1" t="s">
        <v>128</v>
      </c>
      <c r="G29" s="88" t="s">
        <v>129</v>
      </c>
      <c r="H29" s="1" t="s">
        <v>130</v>
      </c>
      <c r="I29" s="1" t="s">
        <v>131</v>
      </c>
      <c r="J29" s="1" t="s">
        <v>132</v>
      </c>
      <c r="K29" s="1" t="s">
        <v>133</v>
      </c>
      <c r="L29" s="1" t="s">
        <v>134</v>
      </c>
      <c r="M29" s="89" t="s">
        <v>135</v>
      </c>
      <c r="W29" s="15" t="s">
        <v>252</v>
      </c>
      <c r="AA29" s="15" t="s">
        <v>253</v>
      </c>
      <c r="AG29" s="15" t="s">
        <v>254</v>
      </c>
      <c r="AH29" s="15" t="s">
        <v>255</v>
      </c>
    </row>
    <row r="30" spans="1:104" ht="30" x14ac:dyDescent="0.25">
      <c r="D30" s="15" t="str">
        <f>D20</f>
        <v>3 CORE X 150 SQ. MM. AL/ARM - STRIP (XLPE) - 11 KV</v>
      </c>
      <c r="E30" s="90">
        <f>K20</f>
        <v>15</v>
      </c>
      <c r="F30" s="91">
        <f>CJ20/1000</f>
        <v>0.5</v>
      </c>
      <c r="G30" s="88" t="s">
        <v>256</v>
      </c>
      <c r="H30" s="92">
        <v>135000</v>
      </c>
      <c r="I30" s="91">
        <v>8</v>
      </c>
      <c r="J30" s="88">
        <f>F30*I30</f>
        <v>4</v>
      </c>
      <c r="K30" s="88">
        <f>ROUNDUP((E30/J30),0)</f>
        <v>4</v>
      </c>
      <c r="L30" s="88">
        <f>H30*K30</f>
        <v>540000</v>
      </c>
      <c r="M30" s="94">
        <f>L30/E30</f>
        <v>36000</v>
      </c>
      <c r="N30" s="125" t="str">
        <f>CH20</f>
        <v>SP0400112</v>
      </c>
      <c r="W30" s="15">
        <f>SUM(N20:CF20)</f>
        <v>5024</v>
      </c>
      <c r="AA30" s="15">
        <v>220</v>
      </c>
      <c r="AG30" s="15">
        <f>((W30*F30)+AA30)</f>
        <v>2732</v>
      </c>
      <c r="AH30" s="15">
        <f>AG30*I30</f>
        <v>21856</v>
      </c>
    </row>
    <row r="31" spans="1:104" ht="30" x14ac:dyDescent="0.25">
      <c r="D31" s="15" t="str">
        <f t="shared" ref="D31:D35" si="1">D21</f>
        <v>3 CORE X 300 SQ. MM. AL/ARM - STRIP (XLPE) - 11 KV</v>
      </c>
      <c r="E31" s="90">
        <f t="shared" ref="E31:E35" si="2">K21</f>
        <v>270</v>
      </c>
      <c r="F31" s="91">
        <f t="shared" ref="F31:F35" si="3">CJ21/1000</f>
        <v>0.5</v>
      </c>
      <c r="G31" s="88" t="s">
        <v>256</v>
      </c>
      <c r="H31" s="92">
        <v>135000</v>
      </c>
      <c r="I31" s="91">
        <v>5</v>
      </c>
      <c r="J31" s="88">
        <f t="shared" ref="J31:J35" si="4">F31*I31</f>
        <v>2.5</v>
      </c>
      <c r="K31" s="88">
        <f t="shared" ref="K31:K35" si="5">ROUNDUP((E31/J31),0)</f>
        <v>108</v>
      </c>
      <c r="L31" s="88">
        <f t="shared" ref="L31:L35" si="6">H31*K31</f>
        <v>14580000</v>
      </c>
      <c r="M31" s="94">
        <f t="shared" ref="M31:M35" si="7">L31/E31</f>
        <v>54000</v>
      </c>
      <c r="N31" s="125" t="str">
        <f t="shared" ref="N31:N35" si="8">CH21</f>
        <v>SP0400141</v>
      </c>
      <c r="W31" s="15">
        <f t="shared" ref="W31:W35" si="9">SUM(N21:CF21)</f>
        <v>7637</v>
      </c>
      <c r="AA31" s="15">
        <v>350</v>
      </c>
      <c r="AG31" s="15">
        <f t="shared" ref="AG31:AG35" si="10">((W31*F31)+AA31)</f>
        <v>4168.5</v>
      </c>
      <c r="AH31" s="15">
        <f t="shared" ref="AH31:AH35" si="11">AG31*I31</f>
        <v>20842.5</v>
      </c>
    </row>
    <row r="32" spans="1:104" ht="30" x14ac:dyDescent="0.25">
      <c r="D32" s="15" t="str">
        <f t="shared" si="1"/>
        <v>3 CORE X 70 SQ. MM. AL/ARM - STRIP (XLPE) - 11 KV</v>
      </c>
      <c r="E32" s="90">
        <f t="shared" si="2"/>
        <v>15</v>
      </c>
      <c r="F32" s="91">
        <f t="shared" si="3"/>
        <v>0.5</v>
      </c>
      <c r="G32" s="88" t="s">
        <v>256</v>
      </c>
      <c r="H32" s="92">
        <v>135000</v>
      </c>
      <c r="I32" s="91">
        <v>10</v>
      </c>
      <c r="J32" s="88">
        <f t="shared" si="4"/>
        <v>5</v>
      </c>
      <c r="K32" s="88">
        <f t="shared" si="5"/>
        <v>3</v>
      </c>
      <c r="L32" s="88">
        <f t="shared" si="6"/>
        <v>405000</v>
      </c>
      <c r="M32" s="94">
        <f t="shared" si="7"/>
        <v>27000</v>
      </c>
      <c r="N32" s="125" t="str">
        <f t="shared" si="8"/>
        <v>SP0400118</v>
      </c>
      <c r="W32" s="15">
        <f t="shared" si="9"/>
        <v>3672</v>
      </c>
      <c r="AA32" s="15">
        <v>200</v>
      </c>
      <c r="AG32" s="15">
        <f t="shared" si="10"/>
        <v>2036</v>
      </c>
      <c r="AH32" s="15">
        <f t="shared" si="11"/>
        <v>20360</v>
      </c>
    </row>
    <row r="33" spans="2:34" ht="30" x14ac:dyDescent="0.25">
      <c r="D33" s="15" t="str">
        <f t="shared" si="1"/>
        <v>3 CORE X 400 SQ. MM. AL/ARM - STRIP (XLPE) - 33 KV</v>
      </c>
      <c r="E33" s="90">
        <f t="shared" si="2"/>
        <v>195</v>
      </c>
      <c r="F33" s="91">
        <f t="shared" si="3"/>
        <v>0.5</v>
      </c>
      <c r="G33" s="88" t="s">
        <v>256</v>
      </c>
      <c r="H33" s="92">
        <v>135000</v>
      </c>
      <c r="I33" s="91">
        <v>3</v>
      </c>
      <c r="J33" s="88">
        <f t="shared" si="4"/>
        <v>1.5</v>
      </c>
      <c r="K33" s="88">
        <f t="shared" si="5"/>
        <v>130</v>
      </c>
      <c r="L33" s="88">
        <f t="shared" si="6"/>
        <v>17550000</v>
      </c>
      <c r="M33" s="94">
        <f t="shared" si="7"/>
        <v>90000</v>
      </c>
      <c r="N33" s="125" t="str">
        <f t="shared" si="8"/>
        <v>SP0400105</v>
      </c>
      <c r="W33" s="15">
        <f t="shared" si="9"/>
        <v>12276</v>
      </c>
      <c r="AA33" s="15">
        <v>470</v>
      </c>
      <c r="AG33" s="15">
        <f t="shared" si="10"/>
        <v>6608</v>
      </c>
      <c r="AH33" s="15">
        <f t="shared" si="11"/>
        <v>19824</v>
      </c>
    </row>
    <row r="34" spans="2:34" ht="30" x14ac:dyDescent="0.25">
      <c r="D34" s="15" t="str">
        <f t="shared" si="1"/>
        <v>3 CORE X 300 SQ. MM. AL/ARM - STRIP (XLPE) - 33 KV</v>
      </c>
      <c r="E34" s="90">
        <f t="shared" si="2"/>
        <v>3</v>
      </c>
      <c r="F34" s="91">
        <f t="shared" si="3"/>
        <v>0.5</v>
      </c>
      <c r="G34" s="88" t="s">
        <v>256</v>
      </c>
      <c r="H34" s="92">
        <v>135000</v>
      </c>
      <c r="I34" s="91">
        <v>3</v>
      </c>
      <c r="J34" s="88">
        <f t="shared" si="4"/>
        <v>1.5</v>
      </c>
      <c r="K34" s="88">
        <f t="shared" si="5"/>
        <v>2</v>
      </c>
      <c r="L34" s="88">
        <f t="shared" si="6"/>
        <v>270000</v>
      </c>
      <c r="M34" s="94">
        <f t="shared" si="7"/>
        <v>90000</v>
      </c>
      <c r="N34" s="125" t="str">
        <f t="shared" si="8"/>
        <v>SP0400105</v>
      </c>
      <c r="W34" s="15">
        <f t="shared" si="9"/>
        <v>10666</v>
      </c>
      <c r="AA34" s="15">
        <v>470</v>
      </c>
      <c r="AG34" s="15">
        <f t="shared" si="10"/>
        <v>5803</v>
      </c>
      <c r="AH34" s="15">
        <f t="shared" si="11"/>
        <v>17409</v>
      </c>
    </row>
    <row r="35" spans="2:34" ht="30" x14ac:dyDescent="0.25">
      <c r="D35" s="15" t="str">
        <f t="shared" si="1"/>
        <v>3 CORE X 120 SQ MM + 1 CORE X 125 SQ MM (AB CABLES) (INSULATED) - 11 KV</v>
      </c>
      <c r="E35" s="90">
        <f t="shared" si="2"/>
        <v>45</v>
      </c>
      <c r="F35" s="91">
        <f t="shared" si="3"/>
        <v>0.5</v>
      </c>
      <c r="G35" s="88" t="s">
        <v>256</v>
      </c>
      <c r="H35" s="92">
        <v>135000</v>
      </c>
      <c r="I35" s="91">
        <v>8</v>
      </c>
      <c r="J35" s="88">
        <f t="shared" si="4"/>
        <v>4</v>
      </c>
      <c r="K35" s="88">
        <f t="shared" si="5"/>
        <v>12</v>
      </c>
      <c r="L35" s="88">
        <f t="shared" si="6"/>
        <v>1620000</v>
      </c>
      <c r="M35" s="94">
        <f t="shared" si="7"/>
        <v>36000</v>
      </c>
      <c r="N35" s="125" t="str">
        <f t="shared" si="8"/>
        <v>SP0400123</v>
      </c>
      <c r="W35" s="15">
        <f t="shared" si="9"/>
        <v>4085</v>
      </c>
      <c r="AA35" s="15">
        <v>280</v>
      </c>
      <c r="AG35" s="15">
        <f t="shared" si="10"/>
        <v>2322.5</v>
      </c>
      <c r="AH35" s="15">
        <f t="shared" si="11"/>
        <v>18580</v>
      </c>
    </row>
    <row r="36" spans="2:34" x14ac:dyDescent="0.25">
      <c r="M36" s="95"/>
    </row>
    <row r="37" spans="2:34" x14ac:dyDescent="0.25">
      <c r="B37" s="127" t="s">
        <v>257</v>
      </c>
      <c r="C37" s="128" t="s">
        <v>258</v>
      </c>
      <c r="M37" s="95"/>
    </row>
    <row r="38" spans="2:34" x14ac:dyDescent="0.25">
      <c r="B38" s="129"/>
      <c r="C38" s="130" t="s">
        <v>259</v>
      </c>
      <c r="M38" s="95"/>
    </row>
    <row r="39" spans="2:34" x14ac:dyDescent="0.25">
      <c r="B39" s="129"/>
      <c r="C39" s="130" t="s">
        <v>260</v>
      </c>
      <c r="M39" s="95"/>
    </row>
    <row r="40" spans="2:34" x14ac:dyDescent="0.25">
      <c r="B40" s="129"/>
      <c r="C40" s="130" t="s">
        <v>261</v>
      </c>
      <c r="M40" s="95"/>
    </row>
    <row r="41" spans="2:34" x14ac:dyDescent="0.25">
      <c r="B41" s="129"/>
      <c r="C41" s="130" t="s">
        <v>262</v>
      </c>
      <c r="M41" s="95"/>
    </row>
    <row r="42" spans="2:34" x14ac:dyDescent="0.25">
      <c r="B42" s="129"/>
      <c r="C42" s="130" t="s">
        <v>263</v>
      </c>
      <c r="M42" s="95"/>
    </row>
    <row r="43" spans="2:34" x14ac:dyDescent="0.25">
      <c r="B43" s="129"/>
      <c r="C43" s="130" t="s">
        <v>264</v>
      </c>
      <c r="M43" s="95"/>
    </row>
    <row r="44" spans="2:34" x14ac:dyDescent="0.25">
      <c r="B44" s="129"/>
      <c r="C44" s="130" t="s">
        <v>265</v>
      </c>
      <c r="M44" s="95"/>
    </row>
    <row r="45" spans="2:34" x14ac:dyDescent="0.25">
      <c r="B45" s="129"/>
      <c r="C45" s="130" t="s">
        <v>266</v>
      </c>
      <c r="M45" s="95"/>
    </row>
    <row r="46" spans="2:34" x14ac:dyDescent="0.25">
      <c r="B46" s="131"/>
      <c r="C46" s="130" t="s">
        <v>267</v>
      </c>
      <c r="M46" s="95"/>
    </row>
    <row r="47" spans="2:34" x14ac:dyDescent="0.25">
      <c r="M47" s="95"/>
    </row>
    <row r="48" spans="2:34" x14ac:dyDescent="0.25">
      <c r="M48" s="95"/>
    </row>
    <row r="49" spans="1:13" ht="51" x14ac:dyDescent="0.25">
      <c r="A49" s="78" t="s">
        <v>0</v>
      </c>
      <c r="B49" s="79" t="s">
        <v>85</v>
      </c>
      <c r="C49" s="78" t="s">
        <v>1</v>
      </c>
      <c r="D49" s="78" t="s">
        <v>2</v>
      </c>
      <c r="E49" s="3" t="s">
        <v>290</v>
      </c>
      <c r="F49" s="9" t="s">
        <v>291</v>
      </c>
      <c r="G49" s="9" t="s">
        <v>292</v>
      </c>
      <c r="H49" s="4" t="s">
        <v>34</v>
      </c>
      <c r="I49" s="9" t="s">
        <v>35</v>
      </c>
      <c r="J49" s="9" t="s">
        <v>293</v>
      </c>
      <c r="K49" s="9" t="s">
        <v>37</v>
      </c>
      <c r="L49" s="9" t="s">
        <v>38</v>
      </c>
      <c r="M49" s="9" t="s">
        <v>39</v>
      </c>
    </row>
    <row r="50" spans="1:13" x14ac:dyDescent="0.25">
      <c r="A50" s="16"/>
      <c r="B50" s="59"/>
      <c r="C50" s="16"/>
      <c r="D50" s="16"/>
      <c r="E50" s="3"/>
      <c r="F50" s="75"/>
      <c r="G50" s="62"/>
      <c r="H50" s="3"/>
      <c r="I50" s="3"/>
      <c r="J50" s="3"/>
      <c r="K50" s="76"/>
      <c r="L50" s="3"/>
      <c r="M50" s="3"/>
    </row>
    <row r="51" spans="1:13" ht="30" x14ac:dyDescent="0.25">
      <c r="A51" s="6" t="str">
        <f>A20</f>
        <v>ENQ-18775-25-26</v>
      </c>
      <c r="B51" s="85">
        <f>B20</f>
        <v>46023</v>
      </c>
      <c r="C51" s="6" t="str">
        <f>C20</f>
        <v>FA1300052</v>
      </c>
      <c r="D51" s="6" t="str">
        <f>D20</f>
        <v>3 CORE X 150 SQ. MM. AL/ARM - STRIP (XLPE) - 11 KV</v>
      </c>
      <c r="E51" s="23">
        <f>ROUNDUP(E20/1000,2)</f>
        <v>1207.6299999999999</v>
      </c>
      <c r="F51" s="126">
        <f>ROUNDUP(F20/1000,2)</f>
        <v>36</v>
      </c>
      <c r="G51" s="28">
        <f>E51+F51</f>
        <v>1243.6299999999999</v>
      </c>
      <c r="H51" s="29">
        <f>H20</f>
        <v>0.18</v>
      </c>
      <c r="I51" s="28">
        <f>ROUND(G51*H51,2)</f>
        <v>223.85</v>
      </c>
      <c r="J51" s="28">
        <f>G51+I51</f>
        <v>1467.4799999999998</v>
      </c>
      <c r="K51" s="77">
        <f>K20*1000</f>
        <v>15000</v>
      </c>
      <c r="L51" s="74" t="s">
        <v>294</v>
      </c>
      <c r="M51" s="23">
        <f>J51*K51</f>
        <v>22012199.999999996</v>
      </c>
    </row>
    <row r="52" spans="1:13" ht="30" x14ac:dyDescent="0.25">
      <c r="A52" s="6" t="str">
        <f t="shared" ref="A52:D56" si="12">A21</f>
        <v>ENQ-18775-25-26</v>
      </c>
      <c r="B52" s="85">
        <f t="shared" si="12"/>
        <v>46023</v>
      </c>
      <c r="C52" s="6" t="str">
        <f t="shared" si="12"/>
        <v>FA1300004</v>
      </c>
      <c r="D52" s="6" t="str">
        <f t="shared" si="12"/>
        <v>3 CORE X 300 SQ. MM. AL/ARM - STRIP (XLPE) - 11 KV</v>
      </c>
      <c r="E52" s="23">
        <f t="shared" ref="E52:F56" si="13">ROUNDUP(E21/1000,2)</f>
        <v>1958.02</v>
      </c>
      <c r="F52" s="126">
        <f t="shared" si="13"/>
        <v>54</v>
      </c>
      <c r="G52" s="28">
        <f>E52+F52</f>
        <v>2012.02</v>
      </c>
      <c r="H52" s="29">
        <f t="shared" ref="H52:H56" si="14">H21</f>
        <v>0.18</v>
      </c>
      <c r="I52" s="28">
        <f t="shared" ref="I52:I56" si="15">ROUND(G52*H52,2)</f>
        <v>362.16</v>
      </c>
      <c r="J52" s="28">
        <f>G52+I52</f>
        <v>2374.1799999999998</v>
      </c>
      <c r="K52" s="77">
        <f t="shared" ref="K52:K56" si="16">K21*1000</f>
        <v>270000</v>
      </c>
      <c r="L52" s="74" t="s">
        <v>294</v>
      </c>
      <c r="M52" s="23">
        <f>J52*K52</f>
        <v>641028600</v>
      </c>
    </row>
    <row r="53" spans="1:13" ht="30" x14ac:dyDescent="0.25">
      <c r="A53" s="6" t="str">
        <f t="shared" si="12"/>
        <v>ENQ-18775-25-26</v>
      </c>
      <c r="B53" s="85">
        <f t="shared" si="12"/>
        <v>46023</v>
      </c>
      <c r="C53" s="6" t="str">
        <f t="shared" si="12"/>
        <v>FA1300006</v>
      </c>
      <c r="D53" s="6" t="str">
        <f t="shared" si="12"/>
        <v>3 CORE X 70 SQ. MM. AL/ARM - STRIP (XLPE) - 11 KV</v>
      </c>
      <c r="E53" s="23">
        <f t="shared" si="13"/>
        <v>785.53</v>
      </c>
      <c r="F53" s="126">
        <f t="shared" si="13"/>
        <v>27</v>
      </c>
      <c r="G53" s="28">
        <f>E53+F53</f>
        <v>812.53</v>
      </c>
      <c r="H53" s="29">
        <f t="shared" si="14"/>
        <v>0.18</v>
      </c>
      <c r="I53" s="28">
        <f t="shared" si="15"/>
        <v>146.26</v>
      </c>
      <c r="J53" s="28">
        <f>G53+I53</f>
        <v>958.79</v>
      </c>
      <c r="K53" s="77">
        <f t="shared" si="16"/>
        <v>15000</v>
      </c>
      <c r="L53" s="74" t="s">
        <v>294</v>
      </c>
      <c r="M53" s="23">
        <f>J53*K53</f>
        <v>14381850</v>
      </c>
    </row>
    <row r="54" spans="1:13" ht="30" x14ac:dyDescent="0.25">
      <c r="A54" s="6" t="str">
        <f t="shared" si="12"/>
        <v>ENQ-18775-25-26</v>
      </c>
      <c r="B54" s="85">
        <f t="shared" si="12"/>
        <v>46023</v>
      </c>
      <c r="C54" s="6" t="str">
        <f t="shared" si="12"/>
        <v>FA1300010</v>
      </c>
      <c r="D54" s="6" t="str">
        <f t="shared" si="12"/>
        <v>3 CORE X 400 SQ. MM. AL/ARM - STRIP (XLPE) - 33 KV</v>
      </c>
      <c r="E54" s="23">
        <f t="shared" si="13"/>
        <v>3371.2900000000004</v>
      </c>
      <c r="F54" s="126">
        <f t="shared" si="13"/>
        <v>90</v>
      </c>
      <c r="G54" s="28">
        <f>E54+F54</f>
        <v>3461.2900000000004</v>
      </c>
      <c r="H54" s="29">
        <f t="shared" si="14"/>
        <v>0.18</v>
      </c>
      <c r="I54" s="28">
        <f t="shared" si="15"/>
        <v>623.03</v>
      </c>
      <c r="J54" s="28">
        <f>G54+I54</f>
        <v>4084.3200000000006</v>
      </c>
      <c r="K54" s="77">
        <f t="shared" si="16"/>
        <v>195000</v>
      </c>
      <c r="L54" s="74" t="s">
        <v>294</v>
      </c>
      <c r="M54" s="23">
        <f>J54*K54</f>
        <v>796442400.00000012</v>
      </c>
    </row>
    <row r="55" spans="1:13" ht="30" x14ac:dyDescent="0.25">
      <c r="A55" s="6" t="str">
        <f t="shared" si="12"/>
        <v>ENQ-18775-25-26</v>
      </c>
      <c r="B55" s="85">
        <f t="shared" si="12"/>
        <v>46023</v>
      </c>
      <c r="C55" s="6" t="str">
        <f t="shared" si="12"/>
        <v>FA1300015</v>
      </c>
      <c r="D55" s="6" t="str">
        <f t="shared" si="12"/>
        <v>3 CORE X 300 SQ. MM. AL/ARM - STRIP (XLPE) - 33 KV</v>
      </c>
      <c r="E55" s="23">
        <f t="shared" si="13"/>
        <v>2833.57</v>
      </c>
      <c r="F55" s="126">
        <f t="shared" si="13"/>
        <v>90</v>
      </c>
      <c r="G55" s="28">
        <f>E55+F55</f>
        <v>2923.57</v>
      </c>
      <c r="H55" s="29">
        <f t="shared" si="14"/>
        <v>0.18</v>
      </c>
      <c r="I55" s="28">
        <f t="shared" si="15"/>
        <v>526.24</v>
      </c>
      <c r="J55" s="28">
        <f>G55+I55</f>
        <v>3449.8100000000004</v>
      </c>
      <c r="K55" s="77">
        <f t="shared" si="16"/>
        <v>3000</v>
      </c>
      <c r="L55" s="74" t="s">
        <v>294</v>
      </c>
      <c r="M55" s="23">
        <f>J55*K55</f>
        <v>10349430.000000002</v>
      </c>
    </row>
    <row r="56" spans="1:13" ht="30" x14ac:dyDescent="0.25">
      <c r="A56" s="6" t="str">
        <f t="shared" si="12"/>
        <v>ENQ-18775-25-26</v>
      </c>
      <c r="B56" s="85">
        <f t="shared" si="12"/>
        <v>46023</v>
      </c>
      <c r="C56" s="6" t="str">
        <f t="shared" si="12"/>
        <v>FA0400106</v>
      </c>
      <c r="D56" s="6" t="str">
        <f t="shared" si="12"/>
        <v>3 CORE X 120 SQ MM + 1 CORE X 125 SQ MM (AB CABLES) (INSULATED) - 11 KV</v>
      </c>
      <c r="E56" s="23">
        <f t="shared" si="13"/>
        <v>1439.77</v>
      </c>
      <c r="F56" s="126">
        <f t="shared" si="13"/>
        <v>36</v>
      </c>
      <c r="G56" s="28">
        <f>E56+F56</f>
        <v>1475.77</v>
      </c>
      <c r="H56" s="29">
        <f t="shared" si="14"/>
        <v>0.18</v>
      </c>
      <c r="I56" s="28">
        <f t="shared" si="15"/>
        <v>265.64</v>
      </c>
      <c r="J56" s="28">
        <f>G56+I56</f>
        <v>1741.4099999999999</v>
      </c>
      <c r="K56" s="77">
        <f t="shared" si="16"/>
        <v>45000</v>
      </c>
      <c r="L56" s="74" t="s">
        <v>294</v>
      </c>
      <c r="M56" s="23">
        <f>J56*K56</f>
        <v>78363450</v>
      </c>
    </row>
    <row r="57" spans="1:13" x14ac:dyDescent="0.25">
      <c r="M57" s="2">
        <f>SUM(M51:M56)</f>
        <v>1562577930</v>
      </c>
    </row>
    <row r="58" spans="1:13" x14ac:dyDescent="0.25">
      <c r="M58" s="95">
        <f>M57-M26</f>
        <v>765.47987985610962</v>
      </c>
    </row>
    <row r="59" spans="1:13" x14ac:dyDescent="0.25">
      <c r="M59" s="95"/>
    </row>
    <row r="60" spans="1:13" x14ac:dyDescent="0.25">
      <c r="M60" s="95"/>
    </row>
    <row r="61" spans="1:13" x14ac:dyDescent="0.25">
      <c r="M61" s="95"/>
    </row>
    <row r="62" spans="1:13" x14ac:dyDescent="0.25">
      <c r="M62" s="95"/>
    </row>
    <row r="63" spans="1:13" x14ac:dyDescent="0.25">
      <c r="M63" s="95"/>
    </row>
    <row r="64" spans="1:13" x14ac:dyDescent="0.25">
      <c r="M64" s="95"/>
    </row>
    <row r="65" spans="13:13" x14ac:dyDescent="0.25">
      <c r="M65" s="95"/>
    </row>
    <row r="66" spans="13:13" x14ac:dyDescent="0.25">
      <c r="M66" s="95"/>
    </row>
    <row r="67" spans="13:13" x14ac:dyDescent="0.25">
      <c r="M67" s="95"/>
    </row>
    <row r="68" spans="13:13" x14ac:dyDescent="0.25">
      <c r="M68" s="95"/>
    </row>
    <row r="69" spans="13:13" x14ac:dyDescent="0.25">
      <c r="M69" s="95"/>
    </row>
    <row r="70" spans="13:13" x14ac:dyDescent="0.25">
      <c r="M70" s="95"/>
    </row>
    <row r="71" spans="13:13" x14ac:dyDescent="0.25">
      <c r="M71" s="95"/>
    </row>
    <row r="72" spans="13:13" x14ac:dyDescent="0.25">
      <c r="M72" s="95"/>
    </row>
    <row r="73" spans="13:13" x14ac:dyDescent="0.25">
      <c r="M73" s="95"/>
    </row>
    <row r="74" spans="13:13" x14ac:dyDescent="0.25">
      <c r="M74" s="95"/>
    </row>
    <row r="75" spans="13:13" x14ac:dyDescent="0.25">
      <c r="M75" s="95"/>
    </row>
    <row r="76" spans="13:13" x14ac:dyDescent="0.25">
      <c r="M76" s="95"/>
    </row>
  </sheetData>
  <sortState xmlns:xlrd2="http://schemas.microsoft.com/office/spreadsheetml/2017/richdata2" ref="A20:CY25">
    <sortCondition ref="F20:F25"/>
  </sortState>
  <mergeCells count="22">
    <mergeCell ref="B37:B46"/>
    <mergeCell ref="A2:S2"/>
    <mergeCell ref="B4:S4"/>
    <mergeCell ref="B5:S5"/>
    <mergeCell ref="B6:S6"/>
    <mergeCell ref="B7:S7"/>
    <mergeCell ref="B8:S8"/>
    <mergeCell ref="B9:S9"/>
    <mergeCell ref="B10:S10"/>
    <mergeCell ref="B11:S11"/>
    <mergeCell ref="B12:S12"/>
    <mergeCell ref="B13:S13"/>
    <mergeCell ref="B14:S14"/>
    <mergeCell ref="CG17:CJ17"/>
    <mergeCell ref="AR17:AZ17"/>
    <mergeCell ref="BA17:BK17"/>
    <mergeCell ref="BL17:BW17"/>
    <mergeCell ref="N17:U17"/>
    <mergeCell ref="V17:W17"/>
    <mergeCell ref="X17:AE17"/>
    <mergeCell ref="AF17:AG17"/>
    <mergeCell ref="AH17:AP17"/>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CAB4-5A27-411D-AE02-9FA810A98B1E}">
  <sheetPr>
    <tabColor rgb="FFFF0000"/>
    <pageSetUpPr fitToPage="1"/>
  </sheetPr>
  <dimension ref="A1:BF21"/>
  <sheetViews>
    <sheetView showZeros="0" topLeftCell="AC9" zoomScaleNormal="100" workbookViewId="0">
      <selection activeCell="AF10" sqref="AF10:AW10"/>
    </sheetView>
  </sheetViews>
  <sheetFormatPr defaultRowHeight="12.75" x14ac:dyDescent="0.2"/>
  <cols>
    <col min="1" max="1" width="45.28515625" style="168" customWidth="1"/>
    <col min="2" max="2" width="14.7109375" style="168" customWidth="1"/>
    <col min="3" max="3" width="11.85546875" style="168" customWidth="1"/>
    <col min="4" max="4" width="10.7109375" style="168" customWidth="1"/>
    <col min="5" max="5" width="11.140625" style="168" customWidth="1"/>
    <col min="6" max="6" width="12.140625" style="168" customWidth="1"/>
    <col min="7" max="8" width="11.140625" style="168" customWidth="1"/>
    <col min="9" max="9" width="9.42578125" style="168" customWidth="1"/>
    <col min="10" max="10" width="11.85546875" style="168" customWidth="1"/>
    <col min="11" max="11" width="11.140625" style="168" customWidth="1"/>
    <col min="12" max="12" width="12.140625" style="168" customWidth="1"/>
    <col min="13" max="14" width="11.140625" style="168" customWidth="1"/>
    <col min="15" max="15" width="9.7109375" style="168" customWidth="1"/>
    <col min="16" max="17" width="7.28515625" style="168" customWidth="1"/>
    <col min="18" max="22" width="7.42578125" style="168" customWidth="1"/>
    <col min="23" max="24" width="12.140625" style="168" bestFit="1" customWidth="1"/>
    <col min="25" max="25" width="12" style="168" customWidth="1"/>
    <col min="26" max="26" width="11.140625" style="168" bestFit="1" customWidth="1"/>
    <col min="27" max="27" width="11.5703125" style="168" bestFit="1" customWidth="1"/>
    <col min="28" max="29" width="11" style="168" customWidth="1"/>
    <col min="30" max="30" width="11.140625" style="168" bestFit="1" customWidth="1"/>
    <col min="31" max="31" width="14.5703125" style="168" bestFit="1" customWidth="1"/>
    <col min="32" max="32" width="9.140625" style="168" customWidth="1"/>
    <col min="33" max="38" width="10.85546875" style="168" customWidth="1"/>
    <col min="39" max="39" width="13.28515625" style="168" bestFit="1" customWidth="1"/>
    <col min="40" max="40" width="9.5703125" style="168" customWidth="1"/>
    <col min="41" max="42" width="10.42578125" style="168" customWidth="1"/>
    <col min="43" max="43" width="12.7109375" style="168" customWidth="1"/>
    <col min="44" max="49" width="10.42578125" style="168" customWidth="1"/>
    <col min="50" max="50" width="12.85546875" style="168" bestFit="1" customWidth="1"/>
    <col min="51" max="51" width="10.28515625" style="168" bestFit="1" customWidth="1"/>
    <col min="52" max="53" width="12.85546875" style="168" bestFit="1" customWidth="1"/>
    <col min="54" max="54" width="9.28515625" style="168" bestFit="1" customWidth="1"/>
    <col min="55" max="272" width="9.140625" style="168"/>
    <col min="273" max="273" width="54.140625" style="168" bestFit="1" customWidth="1"/>
    <col min="274" max="274" width="14.7109375" style="168" customWidth="1"/>
    <col min="275" max="275" width="10.140625" style="168" customWidth="1"/>
    <col min="276" max="276" width="10.42578125" style="168" bestFit="1" customWidth="1"/>
    <col min="277" max="278" width="9.42578125" style="168" bestFit="1" customWidth="1"/>
    <col min="279" max="280" width="9.42578125" style="168" customWidth="1"/>
    <col min="281" max="281" width="10.140625" style="168" bestFit="1" customWidth="1"/>
    <col min="282" max="285" width="9.140625" style="168"/>
    <col min="286" max="286" width="7.28515625" style="168" customWidth="1"/>
    <col min="287" max="289" width="7.42578125" style="168" customWidth="1"/>
    <col min="290" max="290" width="10.42578125" style="168" bestFit="1" customWidth="1"/>
    <col min="291" max="291" width="12" style="168" bestFit="1" customWidth="1"/>
    <col min="292" max="292" width="11" style="168" bestFit="1" customWidth="1"/>
    <col min="293" max="294" width="11" style="168" customWidth="1"/>
    <col min="295" max="295" width="10" style="168" bestFit="1" customWidth="1"/>
    <col min="296" max="296" width="14.42578125" style="168" bestFit="1" customWidth="1"/>
    <col min="297" max="307" width="0" style="168" hidden="1" customWidth="1"/>
    <col min="308" max="528" width="9.140625" style="168"/>
    <col min="529" max="529" width="54.140625" style="168" bestFit="1" customWidth="1"/>
    <col min="530" max="530" width="14.7109375" style="168" customWidth="1"/>
    <col min="531" max="531" width="10.140625" style="168" customWidth="1"/>
    <col min="532" max="532" width="10.42578125" style="168" bestFit="1" customWidth="1"/>
    <col min="533" max="534" width="9.42578125" style="168" bestFit="1" customWidth="1"/>
    <col min="535" max="536" width="9.42578125" style="168" customWidth="1"/>
    <col min="537" max="537" width="10.140625" style="168" bestFit="1" customWidth="1"/>
    <col min="538" max="541" width="9.140625" style="168"/>
    <col min="542" max="542" width="7.28515625" style="168" customWidth="1"/>
    <col min="543" max="545" width="7.42578125" style="168" customWidth="1"/>
    <col min="546" max="546" width="10.42578125" style="168" bestFit="1" customWidth="1"/>
    <col min="547" max="547" width="12" style="168" bestFit="1" customWidth="1"/>
    <col min="548" max="548" width="11" style="168" bestFit="1" customWidth="1"/>
    <col min="549" max="550" width="11" style="168" customWidth="1"/>
    <col min="551" max="551" width="10" style="168" bestFit="1" customWidth="1"/>
    <col min="552" max="552" width="14.42578125" style="168" bestFit="1" customWidth="1"/>
    <col min="553" max="563" width="0" style="168" hidden="1" customWidth="1"/>
    <col min="564" max="784" width="9.140625" style="168"/>
    <col min="785" max="785" width="54.140625" style="168" bestFit="1" customWidth="1"/>
    <col min="786" max="786" width="14.7109375" style="168" customWidth="1"/>
    <col min="787" max="787" width="10.140625" style="168" customWidth="1"/>
    <col min="788" max="788" width="10.42578125" style="168" bestFit="1" customWidth="1"/>
    <col min="789" max="790" width="9.42578125" style="168" bestFit="1" customWidth="1"/>
    <col min="791" max="792" width="9.42578125" style="168" customWidth="1"/>
    <col min="793" max="793" width="10.140625" style="168" bestFit="1" customWidth="1"/>
    <col min="794" max="797" width="9.140625" style="168"/>
    <col min="798" max="798" width="7.28515625" style="168" customWidth="1"/>
    <col min="799" max="801" width="7.42578125" style="168" customWidth="1"/>
    <col min="802" max="802" width="10.42578125" style="168" bestFit="1" customWidth="1"/>
    <col min="803" max="803" width="12" style="168" bestFit="1" customWidth="1"/>
    <col min="804" max="804" width="11" style="168" bestFit="1" customWidth="1"/>
    <col min="805" max="806" width="11" style="168" customWidth="1"/>
    <col min="807" max="807" width="10" style="168" bestFit="1" customWidth="1"/>
    <col min="808" max="808" width="14.42578125" style="168" bestFit="1" customWidth="1"/>
    <col min="809" max="819" width="0" style="168" hidden="1" customWidth="1"/>
    <col min="820" max="1040" width="9.140625" style="168"/>
    <col min="1041" max="1041" width="54.140625" style="168" bestFit="1" customWidth="1"/>
    <col min="1042" max="1042" width="14.7109375" style="168" customWidth="1"/>
    <col min="1043" max="1043" width="10.140625" style="168" customWidth="1"/>
    <col min="1044" max="1044" width="10.42578125" style="168" bestFit="1" customWidth="1"/>
    <col min="1045" max="1046" width="9.42578125" style="168" bestFit="1" customWidth="1"/>
    <col min="1047" max="1048" width="9.42578125" style="168" customWidth="1"/>
    <col min="1049" max="1049" width="10.140625" style="168" bestFit="1" customWidth="1"/>
    <col min="1050" max="1053" width="9.140625" style="168"/>
    <col min="1054" max="1054" width="7.28515625" style="168" customWidth="1"/>
    <col min="1055" max="1057" width="7.42578125" style="168" customWidth="1"/>
    <col min="1058" max="1058" width="10.42578125" style="168" bestFit="1" customWidth="1"/>
    <col min="1059" max="1059" width="12" style="168" bestFit="1" customWidth="1"/>
    <col min="1060" max="1060" width="11" style="168" bestFit="1" customWidth="1"/>
    <col min="1061" max="1062" width="11" style="168" customWidth="1"/>
    <col min="1063" max="1063" width="10" style="168" bestFit="1" customWidth="1"/>
    <col min="1064" max="1064" width="14.42578125" style="168" bestFit="1" customWidth="1"/>
    <col min="1065" max="1075" width="0" style="168" hidden="1" customWidth="1"/>
    <col min="1076" max="1296" width="9.140625" style="168"/>
    <col min="1297" max="1297" width="54.140625" style="168" bestFit="1" customWidth="1"/>
    <col min="1298" max="1298" width="14.7109375" style="168" customWidth="1"/>
    <col min="1299" max="1299" width="10.140625" style="168" customWidth="1"/>
    <col min="1300" max="1300" width="10.42578125" style="168" bestFit="1" customWidth="1"/>
    <col min="1301" max="1302" width="9.42578125" style="168" bestFit="1" customWidth="1"/>
    <col min="1303" max="1304" width="9.42578125" style="168" customWidth="1"/>
    <col min="1305" max="1305" width="10.140625" style="168" bestFit="1" customWidth="1"/>
    <col min="1306" max="1309" width="9.140625" style="168"/>
    <col min="1310" max="1310" width="7.28515625" style="168" customWidth="1"/>
    <col min="1311" max="1313" width="7.42578125" style="168" customWidth="1"/>
    <col min="1314" max="1314" width="10.42578125" style="168" bestFit="1" customWidth="1"/>
    <col min="1315" max="1315" width="12" style="168" bestFit="1" customWidth="1"/>
    <col min="1316" max="1316" width="11" style="168" bestFit="1" customWidth="1"/>
    <col min="1317" max="1318" width="11" style="168" customWidth="1"/>
    <col min="1319" max="1319" width="10" style="168" bestFit="1" customWidth="1"/>
    <col min="1320" max="1320" width="14.42578125" style="168" bestFit="1" customWidth="1"/>
    <col min="1321" max="1331" width="0" style="168" hidden="1" customWidth="1"/>
    <col min="1332" max="1552" width="9.140625" style="168"/>
    <col min="1553" max="1553" width="54.140625" style="168" bestFit="1" customWidth="1"/>
    <col min="1554" max="1554" width="14.7109375" style="168" customWidth="1"/>
    <col min="1555" max="1555" width="10.140625" style="168" customWidth="1"/>
    <col min="1556" max="1556" width="10.42578125" style="168" bestFit="1" customWidth="1"/>
    <col min="1557" max="1558" width="9.42578125" style="168" bestFit="1" customWidth="1"/>
    <col min="1559" max="1560" width="9.42578125" style="168" customWidth="1"/>
    <col min="1561" max="1561" width="10.140625" style="168" bestFit="1" customWidth="1"/>
    <col min="1562" max="1565" width="9.140625" style="168"/>
    <col min="1566" max="1566" width="7.28515625" style="168" customWidth="1"/>
    <col min="1567" max="1569" width="7.42578125" style="168" customWidth="1"/>
    <col min="1570" max="1570" width="10.42578125" style="168" bestFit="1" customWidth="1"/>
    <col min="1571" max="1571" width="12" style="168" bestFit="1" customWidth="1"/>
    <col min="1572" max="1572" width="11" style="168" bestFit="1" customWidth="1"/>
    <col min="1573" max="1574" width="11" style="168" customWidth="1"/>
    <col min="1575" max="1575" width="10" style="168" bestFit="1" customWidth="1"/>
    <col min="1576" max="1576" width="14.42578125" style="168" bestFit="1" customWidth="1"/>
    <col min="1577" max="1587" width="0" style="168" hidden="1" customWidth="1"/>
    <col min="1588" max="1808" width="9.140625" style="168"/>
    <col min="1809" max="1809" width="54.140625" style="168" bestFit="1" customWidth="1"/>
    <col min="1810" max="1810" width="14.7109375" style="168" customWidth="1"/>
    <col min="1811" max="1811" width="10.140625" style="168" customWidth="1"/>
    <col min="1812" max="1812" width="10.42578125" style="168" bestFit="1" customWidth="1"/>
    <col min="1813" max="1814" width="9.42578125" style="168" bestFit="1" customWidth="1"/>
    <col min="1815" max="1816" width="9.42578125" style="168" customWidth="1"/>
    <col min="1817" max="1817" width="10.140625" style="168" bestFit="1" customWidth="1"/>
    <col min="1818" max="1821" width="9.140625" style="168"/>
    <col min="1822" max="1822" width="7.28515625" style="168" customWidth="1"/>
    <col min="1823" max="1825" width="7.42578125" style="168" customWidth="1"/>
    <col min="1826" max="1826" width="10.42578125" style="168" bestFit="1" customWidth="1"/>
    <col min="1827" max="1827" width="12" style="168" bestFit="1" customWidth="1"/>
    <col min="1828" max="1828" width="11" style="168" bestFit="1" customWidth="1"/>
    <col min="1829" max="1830" width="11" style="168" customWidth="1"/>
    <col min="1831" max="1831" width="10" style="168" bestFit="1" customWidth="1"/>
    <col min="1832" max="1832" width="14.42578125" style="168" bestFit="1" customWidth="1"/>
    <col min="1833" max="1843" width="0" style="168" hidden="1" customWidth="1"/>
    <col min="1844" max="2064" width="9.140625" style="168"/>
    <col min="2065" max="2065" width="54.140625" style="168" bestFit="1" customWidth="1"/>
    <col min="2066" max="2066" width="14.7109375" style="168" customWidth="1"/>
    <col min="2067" max="2067" width="10.140625" style="168" customWidth="1"/>
    <col min="2068" max="2068" width="10.42578125" style="168" bestFit="1" customWidth="1"/>
    <col min="2069" max="2070" width="9.42578125" style="168" bestFit="1" customWidth="1"/>
    <col min="2071" max="2072" width="9.42578125" style="168" customWidth="1"/>
    <col min="2073" max="2073" width="10.140625" style="168" bestFit="1" customWidth="1"/>
    <col min="2074" max="2077" width="9.140625" style="168"/>
    <col min="2078" max="2078" width="7.28515625" style="168" customWidth="1"/>
    <col min="2079" max="2081" width="7.42578125" style="168" customWidth="1"/>
    <col min="2082" max="2082" width="10.42578125" style="168" bestFit="1" customWidth="1"/>
    <col min="2083" max="2083" width="12" style="168" bestFit="1" customWidth="1"/>
    <col min="2084" max="2084" width="11" style="168" bestFit="1" customWidth="1"/>
    <col min="2085" max="2086" width="11" style="168" customWidth="1"/>
    <col min="2087" max="2087" width="10" style="168" bestFit="1" customWidth="1"/>
    <col min="2088" max="2088" width="14.42578125" style="168" bestFit="1" customWidth="1"/>
    <col min="2089" max="2099" width="0" style="168" hidden="1" customWidth="1"/>
    <col min="2100" max="2320" width="9.140625" style="168"/>
    <col min="2321" max="2321" width="54.140625" style="168" bestFit="1" customWidth="1"/>
    <col min="2322" max="2322" width="14.7109375" style="168" customWidth="1"/>
    <col min="2323" max="2323" width="10.140625" style="168" customWidth="1"/>
    <col min="2324" max="2324" width="10.42578125" style="168" bestFit="1" customWidth="1"/>
    <col min="2325" max="2326" width="9.42578125" style="168" bestFit="1" customWidth="1"/>
    <col min="2327" max="2328" width="9.42578125" style="168" customWidth="1"/>
    <col min="2329" max="2329" width="10.140625" style="168" bestFit="1" customWidth="1"/>
    <col min="2330" max="2333" width="9.140625" style="168"/>
    <col min="2334" max="2334" width="7.28515625" style="168" customWidth="1"/>
    <col min="2335" max="2337" width="7.42578125" style="168" customWidth="1"/>
    <col min="2338" max="2338" width="10.42578125" style="168" bestFit="1" customWidth="1"/>
    <col min="2339" max="2339" width="12" style="168" bestFit="1" customWidth="1"/>
    <col min="2340" max="2340" width="11" style="168" bestFit="1" customWidth="1"/>
    <col min="2341" max="2342" width="11" style="168" customWidth="1"/>
    <col min="2343" max="2343" width="10" style="168" bestFit="1" customWidth="1"/>
    <col min="2344" max="2344" width="14.42578125" style="168" bestFit="1" customWidth="1"/>
    <col min="2345" max="2355" width="0" style="168" hidden="1" customWidth="1"/>
    <col min="2356" max="2576" width="9.140625" style="168"/>
    <col min="2577" max="2577" width="54.140625" style="168" bestFit="1" customWidth="1"/>
    <col min="2578" max="2578" width="14.7109375" style="168" customWidth="1"/>
    <col min="2579" max="2579" width="10.140625" style="168" customWidth="1"/>
    <col min="2580" max="2580" width="10.42578125" style="168" bestFit="1" customWidth="1"/>
    <col min="2581" max="2582" width="9.42578125" style="168" bestFit="1" customWidth="1"/>
    <col min="2583" max="2584" width="9.42578125" style="168" customWidth="1"/>
    <col min="2585" max="2585" width="10.140625" style="168" bestFit="1" customWidth="1"/>
    <col min="2586" max="2589" width="9.140625" style="168"/>
    <col min="2590" max="2590" width="7.28515625" style="168" customWidth="1"/>
    <col min="2591" max="2593" width="7.42578125" style="168" customWidth="1"/>
    <col min="2594" max="2594" width="10.42578125" style="168" bestFit="1" customWidth="1"/>
    <col min="2595" max="2595" width="12" style="168" bestFit="1" customWidth="1"/>
    <col min="2596" max="2596" width="11" style="168" bestFit="1" customWidth="1"/>
    <col min="2597" max="2598" width="11" style="168" customWidth="1"/>
    <col min="2599" max="2599" width="10" style="168" bestFit="1" customWidth="1"/>
    <col min="2600" max="2600" width="14.42578125" style="168" bestFit="1" customWidth="1"/>
    <col min="2601" max="2611" width="0" style="168" hidden="1" customWidth="1"/>
    <col min="2612" max="2832" width="9.140625" style="168"/>
    <col min="2833" max="2833" width="54.140625" style="168" bestFit="1" customWidth="1"/>
    <col min="2834" max="2834" width="14.7109375" style="168" customWidth="1"/>
    <col min="2835" max="2835" width="10.140625" style="168" customWidth="1"/>
    <col min="2836" max="2836" width="10.42578125" style="168" bestFit="1" customWidth="1"/>
    <col min="2837" max="2838" width="9.42578125" style="168" bestFit="1" customWidth="1"/>
    <col min="2839" max="2840" width="9.42578125" style="168" customWidth="1"/>
    <col min="2841" max="2841" width="10.140625" style="168" bestFit="1" customWidth="1"/>
    <col min="2842" max="2845" width="9.140625" style="168"/>
    <col min="2846" max="2846" width="7.28515625" style="168" customWidth="1"/>
    <col min="2847" max="2849" width="7.42578125" style="168" customWidth="1"/>
    <col min="2850" max="2850" width="10.42578125" style="168" bestFit="1" customWidth="1"/>
    <col min="2851" max="2851" width="12" style="168" bestFit="1" customWidth="1"/>
    <col min="2852" max="2852" width="11" style="168" bestFit="1" customWidth="1"/>
    <col min="2853" max="2854" width="11" style="168" customWidth="1"/>
    <col min="2855" max="2855" width="10" style="168" bestFit="1" customWidth="1"/>
    <col min="2856" max="2856" width="14.42578125" style="168" bestFit="1" customWidth="1"/>
    <col min="2857" max="2867" width="0" style="168" hidden="1" customWidth="1"/>
    <col min="2868" max="3088" width="9.140625" style="168"/>
    <col min="3089" max="3089" width="54.140625" style="168" bestFit="1" customWidth="1"/>
    <col min="3090" max="3090" width="14.7109375" style="168" customWidth="1"/>
    <col min="3091" max="3091" width="10.140625" style="168" customWidth="1"/>
    <col min="3092" max="3092" width="10.42578125" style="168" bestFit="1" customWidth="1"/>
    <col min="3093" max="3094" width="9.42578125" style="168" bestFit="1" customWidth="1"/>
    <col min="3095" max="3096" width="9.42578125" style="168" customWidth="1"/>
    <col min="3097" max="3097" width="10.140625" style="168" bestFit="1" customWidth="1"/>
    <col min="3098" max="3101" width="9.140625" style="168"/>
    <col min="3102" max="3102" width="7.28515625" style="168" customWidth="1"/>
    <col min="3103" max="3105" width="7.42578125" style="168" customWidth="1"/>
    <col min="3106" max="3106" width="10.42578125" style="168" bestFit="1" customWidth="1"/>
    <col min="3107" max="3107" width="12" style="168" bestFit="1" customWidth="1"/>
    <col min="3108" max="3108" width="11" style="168" bestFit="1" customWidth="1"/>
    <col min="3109" max="3110" width="11" style="168" customWidth="1"/>
    <col min="3111" max="3111" width="10" style="168" bestFit="1" customWidth="1"/>
    <col min="3112" max="3112" width="14.42578125" style="168" bestFit="1" customWidth="1"/>
    <col min="3113" max="3123" width="0" style="168" hidden="1" customWidth="1"/>
    <col min="3124" max="3344" width="9.140625" style="168"/>
    <col min="3345" max="3345" width="54.140625" style="168" bestFit="1" customWidth="1"/>
    <col min="3346" max="3346" width="14.7109375" style="168" customWidth="1"/>
    <col min="3347" max="3347" width="10.140625" style="168" customWidth="1"/>
    <col min="3348" max="3348" width="10.42578125" style="168" bestFit="1" customWidth="1"/>
    <col min="3349" max="3350" width="9.42578125" style="168" bestFit="1" customWidth="1"/>
    <col min="3351" max="3352" width="9.42578125" style="168" customWidth="1"/>
    <col min="3353" max="3353" width="10.140625" style="168" bestFit="1" customWidth="1"/>
    <col min="3354" max="3357" width="9.140625" style="168"/>
    <col min="3358" max="3358" width="7.28515625" style="168" customWidth="1"/>
    <col min="3359" max="3361" width="7.42578125" style="168" customWidth="1"/>
    <col min="3362" max="3362" width="10.42578125" style="168" bestFit="1" customWidth="1"/>
    <col min="3363" max="3363" width="12" style="168" bestFit="1" customWidth="1"/>
    <col min="3364" max="3364" width="11" style="168" bestFit="1" customWidth="1"/>
    <col min="3365" max="3366" width="11" style="168" customWidth="1"/>
    <col min="3367" max="3367" width="10" style="168" bestFit="1" customWidth="1"/>
    <col min="3368" max="3368" width="14.42578125" style="168" bestFit="1" customWidth="1"/>
    <col min="3369" max="3379" width="0" style="168" hidden="1" customWidth="1"/>
    <col min="3380" max="3600" width="9.140625" style="168"/>
    <col min="3601" max="3601" width="54.140625" style="168" bestFit="1" customWidth="1"/>
    <col min="3602" max="3602" width="14.7109375" style="168" customWidth="1"/>
    <col min="3603" max="3603" width="10.140625" style="168" customWidth="1"/>
    <col min="3604" max="3604" width="10.42578125" style="168" bestFit="1" customWidth="1"/>
    <col min="3605" max="3606" width="9.42578125" style="168" bestFit="1" customWidth="1"/>
    <col min="3607" max="3608" width="9.42578125" style="168" customWidth="1"/>
    <col min="3609" max="3609" width="10.140625" style="168" bestFit="1" customWidth="1"/>
    <col min="3610" max="3613" width="9.140625" style="168"/>
    <col min="3614" max="3614" width="7.28515625" style="168" customWidth="1"/>
    <col min="3615" max="3617" width="7.42578125" style="168" customWidth="1"/>
    <col min="3618" max="3618" width="10.42578125" style="168" bestFit="1" customWidth="1"/>
    <col min="3619" max="3619" width="12" style="168" bestFit="1" customWidth="1"/>
    <col min="3620" max="3620" width="11" style="168" bestFit="1" customWidth="1"/>
    <col min="3621" max="3622" width="11" style="168" customWidth="1"/>
    <col min="3623" max="3623" width="10" style="168" bestFit="1" customWidth="1"/>
    <col min="3624" max="3624" width="14.42578125" style="168" bestFit="1" customWidth="1"/>
    <col min="3625" max="3635" width="0" style="168" hidden="1" customWidth="1"/>
    <col min="3636" max="3856" width="9.140625" style="168"/>
    <col min="3857" max="3857" width="54.140625" style="168" bestFit="1" customWidth="1"/>
    <col min="3858" max="3858" width="14.7109375" style="168" customWidth="1"/>
    <col min="3859" max="3859" width="10.140625" style="168" customWidth="1"/>
    <col min="3860" max="3860" width="10.42578125" style="168" bestFit="1" customWidth="1"/>
    <col min="3861" max="3862" width="9.42578125" style="168" bestFit="1" customWidth="1"/>
    <col min="3863" max="3864" width="9.42578125" style="168" customWidth="1"/>
    <col min="3865" max="3865" width="10.140625" style="168" bestFit="1" customWidth="1"/>
    <col min="3866" max="3869" width="9.140625" style="168"/>
    <col min="3870" max="3870" width="7.28515625" style="168" customWidth="1"/>
    <col min="3871" max="3873" width="7.42578125" style="168" customWidth="1"/>
    <col min="3874" max="3874" width="10.42578125" style="168" bestFit="1" customWidth="1"/>
    <col min="3875" max="3875" width="12" style="168" bestFit="1" customWidth="1"/>
    <col min="3876" max="3876" width="11" style="168" bestFit="1" customWidth="1"/>
    <col min="3877" max="3878" width="11" style="168" customWidth="1"/>
    <col min="3879" max="3879" width="10" style="168" bestFit="1" customWidth="1"/>
    <col min="3880" max="3880" width="14.42578125" style="168" bestFit="1" customWidth="1"/>
    <col min="3881" max="3891" width="0" style="168" hidden="1" customWidth="1"/>
    <col min="3892" max="4112" width="9.140625" style="168"/>
    <col min="4113" max="4113" width="54.140625" style="168" bestFit="1" customWidth="1"/>
    <col min="4114" max="4114" width="14.7109375" style="168" customWidth="1"/>
    <col min="4115" max="4115" width="10.140625" style="168" customWidth="1"/>
    <col min="4116" max="4116" width="10.42578125" style="168" bestFit="1" customWidth="1"/>
    <col min="4117" max="4118" width="9.42578125" style="168" bestFit="1" customWidth="1"/>
    <col min="4119" max="4120" width="9.42578125" style="168" customWidth="1"/>
    <col min="4121" max="4121" width="10.140625" style="168" bestFit="1" customWidth="1"/>
    <col min="4122" max="4125" width="9.140625" style="168"/>
    <col min="4126" max="4126" width="7.28515625" style="168" customWidth="1"/>
    <col min="4127" max="4129" width="7.42578125" style="168" customWidth="1"/>
    <col min="4130" max="4130" width="10.42578125" style="168" bestFit="1" customWidth="1"/>
    <col min="4131" max="4131" width="12" style="168" bestFit="1" customWidth="1"/>
    <col min="4132" max="4132" width="11" style="168" bestFit="1" customWidth="1"/>
    <col min="4133" max="4134" width="11" style="168" customWidth="1"/>
    <col min="4135" max="4135" width="10" style="168" bestFit="1" customWidth="1"/>
    <col min="4136" max="4136" width="14.42578125" style="168" bestFit="1" customWidth="1"/>
    <col min="4137" max="4147" width="0" style="168" hidden="1" customWidth="1"/>
    <col min="4148" max="4368" width="9.140625" style="168"/>
    <col min="4369" max="4369" width="54.140625" style="168" bestFit="1" customWidth="1"/>
    <col min="4370" max="4370" width="14.7109375" style="168" customWidth="1"/>
    <col min="4371" max="4371" width="10.140625" style="168" customWidth="1"/>
    <col min="4372" max="4372" width="10.42578125" style="168" bestFit="1" customWidth="1"/>
    <col min="4373" max="4374" width="9.42578125" style="168" bestFit="1" customWidth="1"/>
    <col min="4375" max="4376" width="9.42578125" style="168" customWidth="1"/>
    <col min="4377" max="4377" width="10.140625" style="168" bestFit="1" customWidth="1"/>
    <col min="4378" max="4381" width="9.140625" style="168"/>
    <col min="4382" max="4382" width="7.28515625" style="168" customWidth="1"/>
    <col min="4383" max="4385" width="7.42578125" style="168" customWidth="1"/>
    <col min="4386" max="4386" width="10.42578125" style="168" bestFit="1" customWidth="1"/>
    <col min="4387" max="4387" width="12" style="168" bestFit="1" customWidth="1"/>
    <col min="4388" max="4388" width="11" style="168" bestFit="1" customWidth="1"/>
    <col min="4389" max="4390" width="11" style="168" customWidth="1"/>
    <col min="4391" max="4391" width="10" style="168" bestFit="1" customWidth="1"/>
    <col min="4392" max="4392" width="14.42578125" style="168" bestFit="1" customWidth="1"/>
    <col min="4393" max="4403" width="0" style="168" hidden="1" customWidth="1"/>
    <col min="4404" max="4624" width="9.140625" style="168"/>
    <col min="4625" max="4625" width="54.140625" style="168" bestFit="1" customWidth="1"/>
    <col min="4626" max="4626" width="14.7109375" style="168" customWidth="1"/>
    <col min="4627" max="4627" width="10.140625" style="168" customWidth="1"/>
    <col min="4628" max="4628" width="10.42578125" style="168" bestFit="1" customWidth="1"/>
    <col min="4629" max="4630" width="9.42578125" style="168" bestFit="1" customWidth="1"/>
    <col min="4631" max="4632" width="9.42578125" style="168" customWidth="1"/>
    <col min="4633" max="4633" width="10.140625" style="168" bestFit="1" customWidth="1"/>
    <col min="4634" max="4637" width="9.140625" style="168"/>
    <col min="4638" max="4638" width="7.28515625" style="168" customWidth="1"/>
    <col min="4639" max="4641" width="7.42578125" style="168" customWidth="1"/>
    <col min="4642" max="4642" width="10.42578125" style="168" bestFit="1" customWidth="1"/>
    <col min="4643" max="4643" width="12" style="168" bestFit="1" customWidth="1"/>
    <col min="4644" max="4644" width="11" style="168" bestFit="1" customWidth="1"/>
    <col min="4645" max="4646" width="11" style="168" customWidth="1"/>
    <col min="4647" max="4647" width="10" style="168" bestFit="1" customWidth="1"/>
    <col min="4648" max="4648" width="14.42578125" style="168" bestFit="1" customWidth="1"/>
    <col min="4649" max="4659" width="0" style="168" hidden="1" customWidth="1"/>
    <col min="4660" max="4880" width="9.140625" style="168"/>
    <col min="4881" max="4881" width="54.140625" style="168" bestFit="1" customWidth="1"/>
    <col min="4882" max="4882" width="14.7109375" style="168" customWidth="1"/>
    <col min="4883" max="4883" width="10.140625" style="168" customWidth="1"/>
    <col min="4884" max="4884" width="10.42578125" style="168" bestFit="1" customWidth="1"/>
    <col min="4885" max="4886" width="9.42578125" style="168" bestFit="1" customWidth="1"/>
    <col min="4887" max="4888" width="9.42578125" style="168" customWidth="1"/>
    <col min="4889" max="4889" width="10.140625" style="168" bestFit="1" customWidth="1"/>
    <col min="4890" max="4893" width="9.140625" style="168"/>
    <col min="4894" max="4894" width="7.28515625" style="168" customWidth="1"/>
    <col min="4895" max="4897" width="7.42578125" style="168" customWidth="1"/>
    <col min="4898" max="4898" width="10.42578125" style="168" bestFit="1" customWidth="1"/>
    <col min="4899" max="4899" width="12" style="168" bestFit="1" customWidth="1"/>
    <col min="4900" max="4900" width="11" style="168" bestFit="1" customWidth="1"/>
    <col min="4901" max="4902" width="11" style="168" customWidth="1"/>
    <col min="4903" max="4903" width="10" style="168" bestFit="1" customWidth="1"/>
    <col min="4904" max="4904" width="14.42578125" style="168" bestFit="1" customWidth="1"/>
    <col min="4905" max="4915" width="0" style="168" hidden="1" customWidth="1"/>
    <col min="4916" max="5136" width="9.140625" style="168"/>
    <col min="5137" max="5137" width="54.140625" style="168" bestFit="1" customWidth="1"/>
    <col min="5138" max="5138" width="14.7109375" style="168" customWidth="1"/>
    <col min="5139" max="5139" width="10.140625" style="168" customWidth="1"/>
    <col min="5140" max="5140" width="10.42578125" style="168" bestFit="1" customWidth="1"/>
    <col min="5141" max="5142" width="9.42578125" style="168" bestFit="1" customWidth="1"/>
    <col min="5143" max="5144" width="9.42578125" style="168" customWidth="1"/>
    <col min="5145" max="5145" width="10.140625" style="168" bestFit="1" customWidth="1"/>
    <col min="5146" max="5149" width="9.140625" style="168"/>
    <col min="5150" max="5150" width="7.28515625" style="168" customWidth="1"/>
    <col min="5151" max="5153" width="7.42578125" style="168" customWidth="1"/>
    <col min="5154" max="5154" width="10.42578125" style="168" bestFit="1" customWidth="1"/>
    <col min="5155" max="5155" width="12" style="168" bestFit="1" customWidth="1"/>
    <col min="5156" max="5156" width="11" style="168" bestFit="1" customWidth="1"/>
    <col min="5157" max="5158" width="11" style="168" customWidth="1"/>
    <col min="5159" max="5159" width="10" style="168" bestFit="1" customWidth="1"/>
    <col min="5160" max="5160" width="14.42578125" style="168" bestFit="1" customWidth="1"/>
    <col min="5161" max="5171" width="0" style="168" hidden="1" customWidth="1"/>
    <col min="5172" max="5392" width="9.140625" style="168"/>
    <col min="5393" max="5393" width="54.140625" style="168" bestFit="1" customWidth="1"/>
    <col min="5394" max="5394" width="14.7109375" style="168" customWidth="1"/>
    <col min="5395" max="5395" width="10.140625" style="168" customWidth="1"/>
    <col min="5396" max="5396" width="10.42578125" style="168" bestFit="1" customWidth="1"/>
    <col min="5397" max="5398" width="9.42578125" style="168" bestFit="1" customWidth="1"/>
    <col min="5399" max="5400" width="9.42578125" style="168" customWidth="1"/>
    <col min="5401" max="5401" width="10.140625" style="168" bestFit="1" customWidth="1"/>
    <col min="5402" max="5405" width="9.140625" style="168"/>
    <col min="5406" max="5406" width="7.28515625" style="168" customWidth="1"/>
    <col min="5407" max="5409" width="7.42578125" style="168" customWidth="1"/>
    <col min="5410" max="5410" width="10.42578125" style="168" bestFit="1" customWidth="1"/>
    <col min="5411" max="5411" width="12" style="168" bestFit="1" customWidth="1"/>
    <col min="5412" max="5412" width="11" style="168" bestFit="1" customWidth="1"/>
    <col min="5413" max="5414" width="11" style="168" customWidth="1"/>
    <col min="5415" max="5415" width="10" style="168" bestFit="1" customWidth="1"/>
    <col min="5416" max="5416" width="14.42578125" style="168" bestFit="1" customWidth="1"/>
    <col min="5417" max="5427" width="0" style="168" hidden="1" customWidth="1"/>
    <col min="5428" max="5648" width="9.140625" style="168"/>
    <col min="5649" max="5649" width="54.140625" style="168" bestFit="1" customWidth="1"/>
    <col min="5650" max="5650" width="14.7109375" style="168" customWidth="1"/>
    <col min="5651" max="5651" width="10.140625" style="168" customWidth="1"/>
    <col min="5652" max="5652" width="10.42578125" style="168" bestFit="1" customWidth="1"/>
    <col min="5653" max="5654" width="9.42578125" style="168" bestFit="1" customWidth="1"/>
    <col min="5655" max="5656" width="9.42578125" style="168" customWidth="1"/>
    <col min="5657" max="5657" width="10.140625" style="168" bestFit="1" customWidth="1"/>
    <col min="5658" max="5661" width="9.140625" style="168"/>
    <col min="5662" max="5662" width="7.28515625" style="168" customWidth="1"/>
    <col min="5663" max="5665" width="7.42578125" style="168" customWidth="1"/>
    <col min="5666" max="5666" width="10.42578125" style="168" bestFit="1" customWidth="1"/>
    <col min="5667" max="5667" width="12" style="168" bestFit="1" customWidth="1"/>
    <col min="5668" max="5668" width="11" style="168" bestFit="1" customWidth="1"/>
    <col min="5669" max="5670" width="11" style="168" customWidth="1"/>
    <col min="5671" max="5671" width="10" style="168" bestFit="1" customWidth="1"/>
    <col min="5672" max="5672" width="14.42578125" style="168" bestFit="1" customWidth="1"/>
    <col min="5673" max="5683" width="0" style="168" hidden="1" customWidth="1"/>
    <col min="5684" max="5904" width="9.140625" style="168"/>
    <col min="5905" max="5905" width="54.140625" style="168" bestFit="1" customWidth="1"/>
    <col min="5906" max="5906" width="14.7109375" style="168" customWidth="1"/>
    <col min="5907" max="5907" width="10.140625" style="168" customWidth="1"/>
    <col min="5908" max="5908" width="10.42578125" style="168" bestFit="1" customWidth="1"/>
    <col min="5909" max="5910" width="9.42578125" style="168" bestFit="1" customWidth="1"/>
    <col min="5911" max="5912" width="9.42578125" style="168" customWidth="1"/>
    <col min="5913" max="5913" width="10.140625" style="168" bestFit="1" customWidth="1"/>
    <col min="5914" max="5917" width="9.140625" style="168"/>
    <col min="5918" max="5918" width="7.28515625" style="168" customWidth="1"/>
    <col min="5919" max="5921" width="7.42578125" style="168" customWidth="1"/>
    <col min="5922" max="5922" width="10.42578125" style="168" bestFit="1" customWidth="1"/>
    <col min="5923" max="5923" width="12" style="168" bestFit="1" customWidth="1"/>
    <col min="5924" max="5924" width="11" style="168" bestFit="1" customWidth="1"/>
    <col min="5925" max="5926" width="11" style="168" customWidth="1"/>
    <col min="5927" max="5927" width="10" style="168" bestFit="1" customWidth="1"/>
    <col min="5928" max="5928" width="14.42578125" style="168" bestFit="1" customWidth="1"/>
    <col min="5929" max="5939" width="0" style="168" hidden="1" customWidth="1"/>
    <col min="5940" max="6160" width="9.140625" style="168"/>
    <col min="6161" max="6161" width="54.140625" style="168" bestFit="1" customWidth="1"/>
    <col min="6162" max="6162" width="14.7109375" style="168" customWidth="1"/>
    <col min="6163" max="6163" width="10.140625" style="168" customWidth="1"/>
    <col min="6164" max="6164" width="10.42578125" style="168" bestFit="1" customWidth="1"/>
    <col min="6165" max="6166" width="9.42578125" style="168" bestFit="1" customWidth="1"/>
    <col min="6167" max="6168" width="9.42578125" style="168" customWidth="1"/>
    <col min="6169" max="6169" width="10.140625" style="168" bestFit="1" customWidth="1"/>
    <col min="6170" max="6173" width="9.140625" style="168"/>
    <col min="6174" max="6174" width="7.28515625" style="168" customWidth="1"/>
    <col min="6175" max="6177" width="7.42578125" style="168" customWidth="1"/>
    <col min="6178" max="6178" width="10.42578125" style="168" bestFit="1" customWidth="1"/>
    <col min="6179" max="6179" width="12" style="168" bestFit="1" customWidth="1"/>
    <col min="6180" max="6180" width="11" style="168" bestFit="1" customWidth="1"/>
    <col min="6181" max="6182" width="11" style="168" customWidth="1"/>
    <col min="6183" max="6183" width="10" style="168" bestFit="1" customWidth="1"/>
    <col min="6184" max="6184" width="14.42578125" style="168" bestFit="1" customWidth="1"/>
    <col min="6185" max="6195" width="0" style="168" hidden="1" customWidth="1"/>
    <col min="6196" max="6416" width="9.140625" style="168"/>
    <col min="6417" max="6417" width="54.140625" style="168" bestFit="1" customWidth="1"/>
    <col min="6418" max="6418" width="14.7109375" style="168" customWidth="1"/>
    <col min="6419" max="6419" width="10.140625" style="168" customWidth="1"/>
    <col min="6420" max="6420" width="10.42578125" style="168" bestFit="1" customWidth="1"/>
    <col min="6421" max="6422" width="9.42578125" style="168" bestFit="1" customWidth="1"/>
    <col min="6423" max="6424" width="9.42578125" style="168" customWidth="1"/>
    <col min="6425" max="6425" width="10.140625" style="168" bestFit="1" customWidth="1"/>
    <col min="6426" max="6429" width="9.140625" style="168"/>
    <col min="6430" max="6430" width="7.28515625" style="168" customWidth="1"/>
    <col min="6431" max="6433" width="7.42578125" style="168" customWidth="1"/>
    <col min="6434" max="6434" width="10.42578125" style="168" bestFit="1" customWidth="1"/>
    <col min="6435" max="6435" width="12" style="168" bestFit="1" customWidth="1"/>
    <col min="6436" max="6436" width="11" style="168" bestFit="1" customWidth="1"/>
    <col min="6437" max="6438" width="11" style="168" customWidth="1"/>
    <col min="6439" max="6439" width="10" style="168" bestFit="1" customWidth="1"/>
    <col min="6440" max="6440" width="14.42578125" style="168" bestFit="1" customWidth="1"/>
    <col min="6441" max="6451" width="0" style="168" hidden="1" customWidth="1"/>
    <col min="6452" max="6672" width="9.140625" style="168"/>
    <col min="6673" max="6673" width="54.140625" style="168" bestFit="1" customWidth="1"/>
    <col min="6674" max="6674" width="14.7109375" style="168" customWidth="1"/>
    <col min="6675" max="6675" width="10.140625" style="168" customWidth="1"/>
    <col min="6676" max="6676" width="10.42578125" style="168" bestFit="1" customWidth="1"/>
    <col min="6677" max="6678" width="9.42578125" style="168" bestFit="1" customWidth="1"/>
    <col min="6679" max="6680" width="9.42578125" style="168" customWidth="1"/>
    <col min="6681" max="6681" width="10.140625" style="168" bestFit="1" customWidth="1"/>
    <col min="6682" max="6685" width="9.140625" style="168"/>
    <col min="6686" max="6686" width="7.28515625" style="168" customWidth="1"/>
    <col min="6687" max="6689" width="7.42578125" style="168" customWidth="1"/>
    <col min="6690" max="6690" width="10.42578125" style="168" bestFit="1" customWidth="1"/>
    <col min="6691" max="6691" width="12" style="168" bestFit="1" customWidth="1"/>
    <col min="6692" max="6692" width="11" style="168" bestFit="1" customWidth="1"/>
    <col min="6693" max="6694" width="11" style="168" customWidth="1"/>
    <col min="6695" max="6695" width="10" style="168" bestFit="1" customWidth="1"/>
    <col min="6696" max="6696" width="14.42578125" style="168" bestFit="1" customWidth="1"/>
    <col min="6697" max="6707" width="0" style="168" hidden="1" customWidth="1"/>
    <col min="6708" max="6928" width="9.140625" style="168"/>
    <col min="6929" max="6929" width="54.140625" style="168" bestFit="1" customWidth="1"/>
    <col min="6930" max="6930" width="14.7109375" style="168" customWidth="1"/>
    <col min="6931" max="6931" width="10.140625" style="168" customWidth="1"/>
    <col min="6932" max="6932" width="10.42578125" style="168" bestFit="1" customWidth="1"/>
    <col min="6933" max="6934" width="9.42578125" style="168" bestFit="1" customWidth="1"/>
    <col min="6935" max="6936" width="9.42578125" style="168" customWidth="1"/>
    <col min="6937" max="6937" width="10.140625" style="168" bestFit="1" customWidth="1"/>
    <col min="6938" max="6941" width="9.140625" style="168"/>
    <col min="6942" max="6942" width="7.28515625" style="168" customWidth="1"/>
    <col min="6943" max="6945" width="7.42578125" style="168" customWidth="1"/>
    <col min="6946" max="6946" width="10.42578125" style="168" bestFit="1" customWidth="1"/>
    <col min="6947" max="6947" width="12" style="168" bestFit="1" customWidth="1"/>
    <col min="6948" max="6948" width="11" style="168" bestFit="1" customWidth="1"/>
    <col min="6949" max="6950" width="11" style="168" customWidth="1"/>
    <col min="6951" max="6951" width="10" style="168" bestFit="1" customWidth="1"/>
    <col min="6952" max="6952" width="14.42578125" style="168" bestFit="1" customWidth="1"/>
    <col min="6953" max="6963" width="0" style="168" hidden="1" customWidth="1"/>
    <col min="6964" max="7184" width="9.140625" style="168"/>
    <col min="7185" max="7185" width="54.140625" style="168" bestFit="1" customWidth="1"/>
    <col min="7186" max="7186" width="14.7109375" style="168" customWidth="1"/>
    <col min="7187" max="7187" width="10.140625" style="168" customWidth="1"/>
    <col min="7188" max="7188" width="10.42578125" style="168" bestFit="1" customWidth="1"/>
    <col min="7189" max="7190" width="9.42578125" style="168" bestFit="1" customWidth="1"/>
    <col min="7191" max="7192" width="9.42578125" style="168" customWidth="1"/>
    <col min="7193" max="7193" width="10.140625" style="168" bestFit="1" customWidth="1"/>
    <col min="7194" max="7197" width="9.140625" style="168"/>
    <col min="7198" max="7198" width="7.28515625" style="168" customWidth="1"/>
    <col min="7199" max="7201" width="7.42578125" style="168" customWidth="1"/>
    <col min="7202" max="7202" width="10.42578125" style="168" bestFit="1" customWidth="1"/>
    <col min="7203" max="7203" width="12" style="168" bestFit="1" customWidth="1"/>
    <col min="7204" max="7204" width="11" style="168" bestFit="1" customWidth="1"/>
    <col min="7205" max="7206" width="11" style="168" customWidth="1"/>
    <col min="7207" max="7207" width="10" style="168" bestFit="1" customWidth="1"/>
    <col min="7208" max="7208" width="14.42578125" style="168" bestFit="1" customWidth="1"/>
    <col min="7209" max="7219" width="0" style="168" hidden="1" customWidth="1"/>
    <col min="7220" max="7440" width="9.140625" style="168"/>
    <col min="7441" max="7441" width="54.140625" style="168" bestFit="1" customWidth="1"/>
    <col min="7442" max="7442" width="14.7109375" style="168" customWidth="1"/>
    <col min="7443" max="7443" width="10.140625" style="168" customWidth="1"/>
    <col min="7444" max="7444" width="10.42578125" style="168" bestFit="1" customWidth="1"/>
    <col min="7445" max="7446" width="9.42578125" style="168" bestFit="1" customWidth="1"/>
    <col min="7447" max="7448" width="9.42578125" style="168" customWidth="1"/>
    <col min="7449" max="7449" width="10.140625" style="168" bestFit="1" customWidth="1"/>
    <col min="7450" max="7453" width="9.140625" style="168"/>
    <col min="7454" max="7454" width="7.28515625" style="168" customWidth="1"/>
    <col min="7455" max="7457" width="7.42578125" style="168" customWidth="1"/>
    <col min="7458" max="7458" width="10.42578125" style="168" bestFit="1" customWidth="1"/>
    <col min="7459" max="7459" width="12" style="168" bestFit="1" customWidth="1"/>
    <col min="7460" max="7460" width="11" style="168" bestFit="1" customWidth="1"/>
    <col min="7461" max="7462" width="11" style="168" customWidth="1"/>
    <col min="7463" max="7463" width="10" style="168" bestFit="1" customWidth="1"/>
    <col min="7464" max="7464" width="14.42578125" style="168" bestFit="1" customWidth="1"/>
    <col min="7465" max="7475" width="0" style="168" hidden="1" customWidth="1"/>
    <col min="7476" max="7696" width="9.140625" style="168"/>
    <col min="7697" max="7697" width="54.140625" style="168" bestFit="1" customWidth="1"/>
    <col min="7698" max="7698" width="14.7109375" style="168" customWidth="1"/>
    <col min="7699" max="7699" width="10.140625" style="168" customWidth="1"/>
    <col min="7700" max="7700" width="10.42578125" style="168" bestFit="1" customWidth="1"/>
    <col min="7701" max="7702" width="9.42578125" style="168" bestFit="1" customWidth="1"/>
    <col min="7703" max="7704" width="9.42578125" style="168" customWidth="1"/>
    <col min="7705" max="7705" width="10.140625" style="168" bestFit="1" customWidth="1"/>
    <col min="7706" max="7709" width="9.140625" style="168"/>
    <col min="7710" max="7710" width="7.28515625" style="168" customWidth="1"/>
    <col min="7711" max="7713" width="7.42578125" style="168" customWidth="1"/>
    <col min="7714" max="7714" width="10.42578125" style="168" bestFit="1" customWidth="1"/>
    <col min="7715" max="7715" width="12" style="168" bestFit="1" customWidth="1"/>
    <col min="7716" max="7716" width="11" style="168" bestFit="1" customWidth="1"/>
    <col min="7717" max="7718" width="11" style="168" customWidth="1"/>
    <col min="7719" max="7719" width="10" style="168" bestFit="1" customWidth="1"/>
    <col min="7720" max="7720" width="14.42578125" style="168" bestFit="1" customWidth="1"/>
    <col min="7721" max="7731" width="0" style="168" hidden="1" customWidth="1"/>
    <col min="7732" max="7952" width="9.140625" style="168"/>
    <col min="7953" max="7953" width="54.140625" style="168" bestFit="1" customWidth="1"/>
    <col min="7954" max="7954" width="14.7109375" style="168" customWidth="1"/>
    <col min="7955" max="7955" width="10.140625" style="168" customWidth="1"/>
    <col min="7956" max="7956" width="10.42578125" style="168" bestFit="1" customWidth="1"/>
    <col min="7957" max="7958" width="9.42578125" style="168" bestFit="1" customWidth="1"/>
    <col min="7959" max="7960" width="9.42578125" style="168" customWidth="1"/>
    <col min="7961" max="7961" width="10.140625" style="168" bestFit="1" customWidth="1"/>
    <col min="7962" max="7965" width="9.140625" style="168"/>
    <col min="7966" max="7966" width="7.28515625" style="168" customWidth="1"/>
    <col min="7967" max="7969" width="7.42578125" style="168" customWidth="1"/>
    <col min="7970" max="7970" width="10.42578125" style="168" bestFit="1" customWidth="1"/>
    <col min="7971" max="7971" width="12" style="168" bestFit="1" customWidth="1"/>
    <col min="7972" max="7972" width="11" style="168" bestFit="1" customWidth="1"/>
    <col min="7973" max="7974" width="11" style="168" customWidth="1"/>
    <col min="7975" max="7975" width="10" style="168" bestFit="1" customWidth="1"/>
    <col min="7976" max="7976" width="14.42578125" style="168" bestFit="1" customWidth="1"/>
    <col min="7977" max="7987" width="0" style="168" hidden="1" customWidth="1"/>
    <col min="7988" max="8208" width="9.140625" style="168"/>
    <col min="8209" max="8209" width="54.140625" style="168" bestFit="1" customWidth="1"/>
    <col min="8210" max="8210" width="14.7109375" style="168" customWidth="1"/>
    <col min="8211" max="8211" width="10.140625" style="168" customWidth="1"/>
    <col min="8212" max="8212" width="10.42578125" style="168" bestFit="1" customWidth="1"/>
    <col min="8213" max="8214" width="9.42578125" style="168" bestFit="1" customWidth="1"/>
    <col min="8215" max="8216" width="9.42578125" style="168" customWidth="1"/>
    <col min="8217" max="8217" width="10.140625" style="168" bestFit="1" customWidth="1"/>
    <col min="8218" max="8221" width="9.140625" style="168"/>
    <col min="8222" max="8222" width="7.28515625" style="168" customWidth="1"/>
    <col min="8223" max="8225" width="7.42578125" style="168" customWidth="1"/>
    <col min="8226" max="8226" width="10.42578125" style="168" bestFit="1" customWidth="1"/>
    <col min="8227" max="8227" width="12" style="168" bestFit="1" customWidth="1"/>
    <col min="8228" max="8228" width="11" style="168" bestFit="1" customWidth="1"/>
    <col min="8229" max="8230" width="11" style="168" customWidth="1"/>
    <col min="8231" max="8231" width="10" style="168" bestFit="1" customWidth="1"/>
    <col min="8232" max="8232" width="14.42578125" style="168" bestFit="1" customWidth="1"/>
    <col min="8233" max="8243" width="0" style="168" hidden="1" customWidth="1"/>
    <col min="8244" max="8464" width="9.140625" style="168"/>
    <col min="8465" max="8465" width="54.140625" style="168" bestFit="1" customWidth="1"/>
    <col min="8466" max="8466" width="14.7109375" style="168" customWidth="1"/>
    <col min="8467" max="8467" width="10.140625" style="168" customWidth="1"/>
    <col min="8468" max="8468" width="10.42578125" style="168" bestFit="1" customWidth="1"/>
    <col min="8469" max="8470" width="9.42578125" style="168" bestFit="1" customWidth="1"/>
    <col min="8471" max="8472" width="9.42578125" style="168" customWidth="1"/>
    <col min="8473" max="8473" width="10.140625" style="168" bestFit="1" customWidth="1"/>
    <col min="8474" max="8477" width="9.140625" style="168"/>
    <col min="8478" max="8478" width="7.28515625" style="168" customWidth="1"/>
    <col min="8479" max="8481" width="7.42578125" style="168" customWidth="1"/>
    <col min="8482" max="8482" width="10.42578125" style="168" bestFit="1" customWidth="1"/>
    <col min="8483" max="8483" width="12" style="168" bestFit="1" customWidth="1"/>
    <col min="8484" max="8484" width="11" style="168" bestFit="1" customWidth="1"/>
    <col min="8485" max="8486" width="11" style="168" customWidth="1"/>
    <col min="8487" max="8487" width="10" style="168" bestFit="1" customWidth="1"/>
    <col min="8488" max="8488" width="14.42578125" style="168" bestFit="1" customWidth="1"/>
    <col min="8489" max="8499" width="0" style="168" hidden="1" customWidth="1"/>
    <col min="8500" max="8720" width="9.140625" style="168"/>
    <col min="8721" max="8721" width="54.140625" style="168" bestFit="1" customWidth="1"/>
    <col min="8722" max="8722" width="14.7109375" style="168" customWidth="1"/>
    <col min="8723" max="8723" width="10.140625" style="168" customWidth="1"/>
    <col min="8724" max="8724" width="10.42578125" style="168" bestFit="1" customWidth="1"/>
    <col min="8725" max="8726" width="9.42578125" style="168" bestFit="1" customWidth="1"/>
    <col min="8727" max="8728" width="9.42578125" style="168" customWidth="1"/>
    <col min="8729" max="8729" width="10.140625" style="168" bestFit="1" customWidth="1"/>
    <col min="8730" max="8733" width="9.140625" style="168"/>
    <col min="8734" max="8734" width="7.28515625" style="168" customWidth="1"/>
    <col min="8735" max="8737" width="7.42578125" style="168" customWidth="1"/>
    <col min="8738" max="8738" width="10.42578125" style="168" bestFit="1" customWidth="1"/>
    <col min="8739" max="8739" width="12" style="168" bestFit="1" customWidth="1"/>
    <col min="8740" max="8740" width="11" style="168" bestFit="1" customWidth="1"/>
    <col min="8741" max="8742" width="11" style="168" customWidth="1"/>
    <col min="8743" max="8743" width="10" style="168" bestFit="1" customWidth="1"/>
    <col min="8744" max="8744" width="14.42578125" style="168" bestFit="1" customWidth="1"/>
    <col min="8745" max="8755" width="0" style="168" hidden="1" customWidth="1"/>
    <col min="8756" max="8976" width="9.140625" style="168"/>
    <col min="8977" max="8977" width="54.140625" style="168" bestFit="1" customWidth="1"/>
    <col min="8978" max="8978" width="14.7109375" style="168" customWidth="1"/>
    <col min="8979" max="8979" width="10.140625" style="168" customWidth="1"/>
    <col min="8980" max="8980" width="10.42578125" style="168" bestFit="1" customWidth="1"/>
    <col min="8981" max="8982" width="9.42578125" style="168" bestFit="1" customWidth="1"/>
    <col min="8983" max="8984" width="9.42578125" style="168" customWidth="1"/>
    <col min="8985" max="8985" width="10.140625" style="168" bestFit="1" customWidth="1"/>
    <col min="8986" max="8989" width="9.140625" style="168"/>
    <col min="8990" max="8990" width="7.28515625" style="168" customWidth="1"/>
    <col min="8991" max="8993" width="7.42578125" style="168" customWidth="1"/>
    <col min="8994" max="8994" width="10.42578125" style="168" bestFit="1" customWidth="1"/>
    <col min="8995" max="8995" width="12" style="168" bestFit="1" customWidth="1"/>
    <col min="8996" max="8996" width="11" style="168" bestFit="1" customWidth="1"/>
    <col min="8997" max="8998" width="11" style="168" customWidth="1"/>
    <col min="8999" max="8999" width="10" style="168" bestFit="1" customWidth="1"/>
    <col min="9000" max="9000" width="14.42578125" style="168" bestFit="1" customWidth="1"/>
    <col min="9001" max="9011" width="0" style="168" hidden="1" customWidth="1"/>
    <col min="9012" max="9232" width="9.140625" style="168"/>
    <col min="9233" max="9233" width="54.140625" style="168" bestFit="1" customWidth="1"/>
    <col min="9234" max="9234" width="14.7109375" style="168" customWidth="1"/>
    <col min="9235" max="9235" width="10.140625" style="168" customWidth="1"/>
    <col min="9236" max="9236" width="10.42578125" style="168" bestFit="1" customWidth="1"/>
    <col min="9237" max="9238" width="9.42578125" style="168" bestFit="1" customWidth="1"/>
    <col min="9239" max="9240" width="9.42578125" style="168" customWidth="1"/>
    <col min="9241" max="9241" width="10.140625" style="168" bestFit="1" customWidth="1"/>
    <col min="9242" max="9245" width="9.140625" style="168"/>
    <col min="9246" max="9246" width="7.28515625" style="168" customWidth="1"/>
    <col min="9247" max="9249" width="7.42578125" style="168" customWidth="1"/>
    <col min="9250" max="9250" width="10.42578125" style="168" bestFit="1" customWidth="1"/>
    <col min="9251" max="9251" width="12" style="168" bestFit="1" customWidth="1"/>
    <col min="9252" max="9252" width="11" style="168" bestFit="1" customWidth="1"/>
    <col min="9253" max="9254" width="11" style="168" customWidth="1"/>
    <col min="9255" max="9255" width="10" style="168" bestFit="1" customWidth="1"/>
    <col min="9256" max="9256" width="14.42578125" style="168" bestFit="1" customWidth="1"/>
    <col min="9257" max="9267" width="0" style="168" hidden="1" customWidth="1"/>
    <col min="9268" max="9488" width="9.140625" style="168"/>
    <col min="9489" max="9489" width="54.140625" style="168" bestFit="1" customWidth="1"/>
    <col min="9490" max="9490" width="14.7109375" style="168" customWidth="1"/>
    <col min="9491" max="9491" width="10.140625" style="168" customWidth="1"/>
    <col min="9492" max="9492" width="10.42578125" style="168" bestFit="1" customWidth="1"/>
    <col min="9493" max="9494" width="9.42578125" style="168" bestFit="1" customWidth="1"/>
    <col min="9495" max="9496" width="9.42578125" style="168" customWidth="1"/>
    <col min="9497" max="9497" width="10.140625" style="168" bestFit="1" customWidth="1"/>
    <col min="9498" max="9501" width="9.140625" style="168"/>
    <col min="9502" max="9502" width="7.28515625" style="168" customWidth="1"/>
    <col min="9503" max="9505" width="7.42578125" style="168" customWidth="1"/>
    <col min="9506" max="9506" width="10.42578125" style="168" bestFit="1" customWidth="1"/>
    <col min="9507" max="9507" width="12" style="168" bestFit="1" customWidth="1"/>
    <col min="9508" max="9508" width="11" style="168" bestFit="1" customWidth="1"/>
    <col min="9509" max="9510" width="11" style="168" customWidth="1"/>
    <col min="9511" max="9511" width="10" style="168" bestFit="1" customWidth="1"/>
    <col min="9512" max="9512" width="14.42578125" style="168" bestFit="1" customWidth="1"/>
    <col min="9513" max="9523" width="0" style="168" hidden="1" customWidth="1"/>
    <col min="9524" max="9744" width="9.140625" style="168"/>
    <col min="9745" max="9745" width="54.140625" style="168" bestFit="1" customWidth="1"/>
    <col min="9746" max="9746" width="14.7109375" style="168" customWidth="1"/>
    <col min="9747" max="9747" width="10.140625" style="168" customWidth="1"/>
    <col min="9748" max="9748" width="10.42578125" style="168" bestFit="1" customWidth="1"/>
    <col min="9749" max="9750" width="9.42578125" style="168" bestFit="1" customWidth="1"/>
    <col min="9751" max="9752" width="9.42578125" style="168" customWidth="1"/>
    <col min="9753" max="9753" width="10.140625" style="168" bestFit="1" customWidth="1"/>
    <col min="9754" max="9757" width="9.140625" style="168"/>
    <col min="9758" max="9758" width="7.28515625" style="168" customWidth="1"/>
    <col min="9759" max="9761" width="7.42578125" style="168" customWidth="1"/>
    <col min="9762" max="9762" width="10.42578125" style="168" bestFit="1" customWidth="1"/>
    <col min="9763" max="9763" width="12" style="168" bestFit="1" customWidth="1"/>
    <col min="9764" max="9764" width="11" style="168" bestFit="1" customWidth="1"/>
    <col min="9765" max="9766" width="11" style="168" customWidth="1"/>
    <col min="9767" max="9767" width="10" style="168" bestFit="1" customWidth="1"/>
    <col min="9768" max="9768" width="14.42578125" style="168" bestFit="1" customWidth="1"/>
    <col min="9769" max="9779" width="0" style="168" hidden="1" customWidth="1"/>
    <col min="9780" max="10000" width="9.140625" style="168"/>
    <col min="10001" max="10001" width="54.140625" style="168" bestFit="1" customWidth="1"/>
    <col min="10002" max="10002" width="14.7109375" style="168" customWidth="1"/>
    <col min="10003" max="10003" width="10.140625" style="168" customWidth="1"/>
    <col min="10004" max="10004" width="10.42578125" style="168" bestFit="1" customWidth="1"/>
    <col min="10005" max="10006" width="9.42578125" style="168" bestFit="1" customWidth="1"/>
    <col min="10007" max="10008" width="9.42578125" style="168" customWidth="1"/>
    <col min="10009" max="10009" width="10.140625" style="168" bestFit="1" customWidth="1"/>
    <col min="10010" max="10013" width="9.140625" style="168"/>
    <col min="10014" max="10014" width="7.28515625" style="168" customWidth="1"/>
    <col min="10015" max="10017" width="7.42578125" style="168" customWidth="1"/>
    <col min="10018" max="10018" width="10.42578125" style="168" bestFit="1" customWidth="1"/>
    <col min="10019" max="10019" width="12" style="168" bestFit="1" customWidth="1"/>
    <col min="10020" max="10020" width="11" style="168" bestFit="1" customWidth="1"/>
    <col min="10021" max="10022" width="11" style="168" customWidth="1"/>
    <col min="10023" max="10023" width="10" style="168" bestFit="1" customWidth="1"/>
    <col min="10024" max="10024" width="14.42578125" style="168" bestFit="1" customWidth="1"/>
    <col min="10025" max="10035" width="0" style="168" hidden="1" customWidth="1"/>
    <col min="10036" max="10256" width="9.140625" style="168"/>
    <col min="10257" max="10257" width="54.140625" style="168" bestFit="1" customWidth="1"/>
    <col min="10258" max="10258" width="14.7109375" style="168" customWidth="1"/>
    <col min="10259" max="10259" width="10.140625" style="168" customWidth="1"/>
    <col min="10260" max="10260" width="10.42578125" style="168" bestFit="1" customWidth="1"/>
    <col min="10261" max="10262" width="9.42578125" style="168" bestFit="1" customWidth="1"/>
    <col min="10263" max="10264" width="9.42578125" style="168" customWidth="1"/>
    <col min="10265" max="10265" width="10.140625" style="168" bestFit="1" customWidth="1"/>
    <col min="10266" max="10269" width="9.140625" style="168"/>
    <col min="10270" max="10270" width="7.28515625" style="168" customWidth="1"/>
    <col min="10271" max="10273" width="7.42578125" style="168" customWidth="1"/>
    <col min="10274" max="10274" width="10.42578125" style="168" bestFit="1" customWidth="1"/>
    <col min="10275" max="10275" width="12" style="168" bestFit="1" customWidth="1"/>
    <col min="10276" max="10276" width="11" style="168" bestFit="1" customWidth="1"/>
    <col min="10277" max="10278" width="11" style="168" customWidth="1"/>
    <col min="10279" max="10279" width="10" style="168" bestFit="1" customWidth="1"/>
    <col min="10280" max="10280" width="14.42578125" style="168" bestFit="1" customWidth="1"/>
    <col min="10281" max="10291" width="0" style="168" hidden="1" customWidth="1"/>
    <col min="10292" max="10512" width="9.140625" style="168"/>
    <col min="10513" max="10513" width="54.140625" style="168" bestFit="1" customWidth="1"/>
    <col min="10514" max="10514" width="14.7109375" style="168" customWidth="1"/>
    <col min="10515" max="10515" width="10.140625" style="168" customWidth="1"/>
    <col min="10516" max="10516" width="10.42578125" style="168" bestFit="1" customWidth="1"/>
    <col min="10517" max="10518" width="9.42578125" style="168" bestFit="1" customWidth="1"/>
    <col min="10519" max="10520" width="9.42578125" style="168" customWidth="1"/>
    <col min="10521" max="10521" width="10.140625" style="168" bestFit="1" customWidth="1"/>
    <col min="10522" max="10525" width="9.140625" style="168"/>
    <col min="10526" max="10526" width="7.28515625" style="168" customWidth="1"/>
    <col min="10527" max="10529" width="7.42578125" style="168" customWidth="1"/>
    <col min="10530" max="10530" width="10.42578125" style="168" bestFit="1" customWidth="1"/>
    <col min="10531" max="10531" width="12" style="168" bestFit="1" customWidth="1"/>
    <col min="10532" max="10532" width="11" style="168" bestFit="1" customWidth="1"/>
    <col min="10533" max="10534" width="11" style="168" customWidth="1"/>
    <col min="10535" max="10535" width="10" style="168" bestFit="1" customWidth="1"/>
    <col min="10536" max="10536" width="14.42578125" style="168" bestFit="1" customWidth="1"/>
    <col min="10537" max="10547" width="0" style="168" hidden="1" customWidth="1"/>
    <col min="10548" max="10768" width="9.140625" style="168"/>
    <col min="10769" max="10769" width="54.140625" style="168" bestFit="1" customWidth="1"/>
    <col min="10770" max="10770" width="14.7109375" style="168" customWidth="1"/>
    <col min="10771" max="10771" width="10.140625" style="168" customWidth="1"/>
    <col min="10772" max="10772" width="10.42578125" style="168" bestFit="1" customWidth="1"/>
    <col min="10773" max="10774" width="9.42578125" style="168" bestFit="1" customWidth="1"/>
    <col min="10775" max="10776" width="9.42578125" style="168" customWidth="1"/>
    <col min="10777" max="10777" width="10.140625" style="168" bestFit="1" customWidth="1"/>
    <col min="10778" max="10781" width="9.140625" style="168"/>
    <col min="10782" max="10782" width="7.28515625" style="168" customWidth="1"/>
    <col min="10783" max="10785" width="7.42578125" style="168" customWidth="1"/>
    <col min="10786" max="10786" width="10.42578125" style="168" bestFit="1" customWidth="1"/>
    <col min="10787" max="10787" width="12" style="168" bestFit="1" customWidth="1"/>
    <col min="10788" max="10788" width="11" style="168" bestFit="1" customWidth="1"/>
    <col min="10789" max="10790" width="11" style="168" customWidth="1"/>
    <col min="10791" max="10791" width="10" style="168" bestFit="1" customWidth="1"/>
    <col min="10792" max="10792" width="14.42578125" style="168" bestFit="1" customWidth="1"/>
    <col min="10793" max="10803" width="0" style="168" hidden="1" customWidth="1"/>
    <col min="10804" max="11024" width="9.140625" style="168"/>
    <col min="11025" max="11025" width="54.140625" style="168" bestFit="1" customWidth="1"/>
    <col min="11026" max="11026" width="14.7109375" style="168" customWidth="1"/>
    <col min="11027" max="11027" width="10.140625" style="168" customWidth="1"/>
    <col min="11028" max="11028" width="10.42578125" style="168" bestFit="1" customWidth="1"/>
    <col min="11029" max="11030" width="9.42578125" style="168" bestFit="1" customWidth="1"/>
    <col min="11031" max="11032" width="9.42578125" style="168" customWidth="1"/>
    <col min="11033" max="11033" width="10.140625" style="168" bestFit="1" customWidth="1"/>
    <col min="11034" max="11037" width="9.140625" style="168"/>
    <col min="11038" max="11038" width="7.28515625" style="168" customWidth="1"/>
    <col min="11039" max="11041" width="7.42578125" style="168" customWidth="1"/>
    <col min="11042" max="11042" width="10.42578125" style="168" bestFit="1" customWidth="1"/>
    <col min="11043" max="11043" width="12" style="168" bestFit="1" customWidth="1"/>
    <col min="11044" max="11044" width="11" style="168" bestFit="1" customWidth="1"/>
    <col min="11045" max="11046" width="11" style="168" customWidth="1"/>
    <col min="11047" max="11047" width="10" style="168" bestFit="1" customWidth="1"/>
    <col min="11048" max="11048" width="14.42578125" style="168" bestFit="1" customWidth="1"/>
    <col min="11049" max="11059" width="0" style="168" hidden="1" customWidth="1"/>
    <col min="11060" max="11280" width="9.140625" style="168"/>
    <col min="11281" max="11281" width="54.140625" style="168" bestFit="1" customWidth="1"/>
    <col min="11282" max="11282" width="14.7109375" style="168" customWidth="1"/>
    <col min="11283" max="11283" width="10.140625" style="168" customWidth="1"/>
    <col min="11284" max="11284" width="10.42578125" style="168" bestFit="1" customWidth="1"/>
    <col min="11285" max="11286" width="9.42578125" style="168" bestFit="1" customWidth="1"/>
    <col min="11287" max="11288" width="9.42578125" style="168" customWidth="1"/>
    <col min="11289" max="11289" width="10.140625" style="168" bestFit="1" customWidth="1"/>
    <col min="11290" max="11293" width="9.140625" style="168"/>
    <col min="11294" max="11294" width="7.28515625" style="168" customWidth="1"/>
    <col min="11295" max="11297" width="7.42578125" style="168" customWidth="1"/>
    <col min="11298" max="11298" width="10.42578125" style="168" bestFit="1" customWidth="1"/>
    <col min="11299" max="11299" width="12" style="168" bestFit="1" customWidth="1"/>
    <col min="11300" max="11300" width="11" style="168" bestFit="1" customWidth="1"/>
    <col min="11301" max="11302" width="11" style="168" customWidth="1"/>
    <col min="11303" max="11303" width="10" style="168" bestFit="1" customWidth="1"/>
    <col min="11304" max="11304" width="14.42578125" style="168" bestFit="1" customWidth="1"/>
    <col min="11305" max="11315" width="0" style="168" hidden="1" customWidth="1"/>
    <col min="11316" max="11536" width="9.140625" style="168"/>
    <col min="11537" max="11537" width="54.140625" style="168" bestFit="1" customWidth="1"/>
    <col min="11538" max="11538" width="14.7109375" style="168" customWidth="1"/>
    <col min="11539" max="11539" width="10.140625" style="168" customWidth="1"/>
    <col min="11540" max="11540" width="10.42578125" style="168" bestFit="1" customWidth="1"/>
    <col min="11541" max="11542" width="9.42578125" style="168" bestFit="1" customWidth="1"/>
    <col min="11543" max="11544" width="9.42578125" style="168" customWidth="1"/>
    <col min="11545" max="11545" width="10.140625" style="168" bestFit="1" customWidth="1"/>
    <col min="11546" max="11549" width="9.140625" style="168"/>
    <col min="11550" max="11550" width="7.28515625" style="168" customWidth="1"/>
    <col min="11551" max="11553" width="7.42578125" style="168" customWidth="1"/>
    <col min="11554" max="11554" width="10.42578125" style="168" bestFit="1" customWidth="1"/>
    <col min="11555" max="11555" width="12" style="168" bestFit="1" customWidth="1"/>
    <col min="11556" max="11556" width="11" style="168" bestFit="1" customWidth="1"/>
    <col min="11557" max="11558" width="11" style="168" customWidth="1"/>
    <col min="11559" max="11559" width="10" style="168" bestFit="1" customWidth="1"/>
    <col min="11560" max="11560" width="14.42578125" style="168" bestFit="1" customWidth="1"/>
    <col min="11561" max="11571" width="0" style="168" hidden="1" customWidth="1"/>
    <col min="11572" max="11792" width="9.140625" style="168"/>
    <col min="11793" max="11793" width="54.140625" style="168" bestFit="1" customWidth="1"/>
    <col min="11794" max="11794" width="14.7109375" style="168" customWidth="1"/>
    <col min="11795" max="11795" width="10.140625" style="168" customWidth="1"/>
    <col min="11796" max="11796" width="10.42578125" style="168" bestFit="1" customWidth="1"/>
    <col min="11797" max="11798" width="9.42578125" style="168" bestFit="1" customWidth="1"/>
    <col min="11799" max="11800" width="9.42578125" style="168" customWidth="1"/>
    <col min="11801" max="11801" width="10.140625" style="168" bestFit="1" customWidth="1"/>
    <col min="11802" max="11805" width="9.140625" style="168"/>
    <col min="11806" max="11806" width="7.28515625" style="168" customWidth="1"/>
    <col min="11807" max="11809" width="7.42578125" style="168" customWidth="1"/>
    <col min="11810" max="11810" width="10.42578125" style="168" bestFit="1" customWidth="1"/>
    <col min="11811" max="11811" width="12" style="168" bestFit="1" customWidth="1"/>
    <col min="11812" max="11812" width="11" style="168" bestFit="1" customWidth="1"/>
    <col min="11813" max="11814" width="11" style="168" customWidth="1"/>
    <col min="11815" max="11815" width="10" style="168" bestFit="1" customWidth="1"/>
    <col min="11816" max="11816" width="14.42578125" style="168" bestFit="1" customWidth="1"/>
    <col min="11817" max="11827" width="0" style="168" hidden="1" customWidth="1"/>
    <col min="11828" max="12048" width="9.140625" style="168"/>
    <col min="12049" max="12049" width="54.140625" style="168" bestFit="1" customWidth="1"/>
    <col min="12050" max="12050" width="14.7109375" style="168" customWidth="1"/>
    <col min="12051" max="12051" width="10.140625" style="168" customWidth="1"/>
    <col min="12052" max="12052" width="10.42578125" style="168" bestFit="1" customWidth="1"/>
    <col min="12053" max="12054" width="9.42578125" style="168" bestFit="1" customWidth="1"/>
    <col min="12055" max="12056" width="9.42578125" style="168" customWidth="1"/>
    <col min="12057" max="12057" width="10.140625" style="168" bestFit="1" customWidth="1"/>
    <col min="12058" max="12061" width="9.140625" style="168"/>
    <col min="12062" max="12062" width="7.28515625" style="168" customWidth="1"/>
    <col min="12063" max="12065" width="7.42578125" style="168" customWidth="1"/>
    <col min="12066" max="12066" width="10.42578125" style="168" bestFit="1" customWidth="1"/>
    <col min="12067" max="12067" width="12" style="168" bestFit="1" customWidth="1"/>
    <col min="12068" max="12068" width="11" style="168" bestFit="1" customWidth="1"/>
    <col min="12069" max="12070" width="11" style="168" customWidth="1"/>
    <col min="12071" max="12071" width="10" style="168" bestFit="1" customWidth="1"/>
    <col min="12072" max="12072" width="14.42578125" style="168" bestFit="1" customWidth="1"/>
    <col min="12073" max="12083" width="0" style="168" hidden="1" customWidth="1"/>
    <col min="12084" max="12304" width="9.140625" style="168"/>
    <col min="12305" max="12305" width="54.140625" style="168" bestFit="1" customWidth="1"/>
    <col min="12306" max="12306" width="14.7109375" style="168" customWidth="1"/>
    <col min="12307" max="12307" width="10.140625" style="168" customWidth="1"/>
    <col min="12308" max="12308" width="10.42578125" style="168" bestFit="1" customWidth="1"/>
    <col min="12309" max="12310" width="9.42578125" style="168" bestFit="1" customWidth="1"/>
    <col min="12311" max="12312" width="9.42578125" style="168" customWidth="1"/>
    <col min="12313" max="12313" width="10.140625" style="168" bestFit="1" customWidth="1"/>
    <col min="12314" max="12317" width="9.140625" style="168"/>
    <col min="12318" max="12318" width="7.28515625" style="168" customWidth="1"/>
    <col min="12319" max="12321" width="7.42578125" style="168" customWidth="1"/>
    <col min="12322" max="12322" width="10.42578125" style="168" bestFit="1" customWidth="1"/>
    <col min="12323" max="12323" width="12" style="168" bestFit="1" customWidth="1"/>
    <col min="12324" max="12324" width="11" style="168" bestFit="1" customWidth="1"/>
    <col min="12325" max="12326" width="11" style="168" customWidth="1"/>
    <col min="12327" max="12327" width="10" style="168" bestFit="1" customWidth="1"/>
    <col min="12328" max="12328" width="14.42578125" style="168" bestFit="1" customWidth="1"/>
    <col min="12329" max="12339" width="0" style="168" hidden="1" customWidth="1"/>
    <col min="12340" max="12560" width="9.140625" style="168"/>
    <col min="12561" max="12561" width="54.140625" style="168" bestFit="1" customWidth="1"/>
    <col min="12562" max="12562" width="14.7109375" style="168" customWidth="1"/>
    <col min="12563" max="12563" width="10.140625" style="168" customWidth="1"/>
    <col min="12564" max="12564" width="10.42578125" style="168" bestFit="1" customWidth="1"/>
    <col min="12565" max="12566" width="9.42578125" style="168" bestFit="1" customWidth="1"/>
    <col min="12567" max="12568" width="9.42578125" style="168" customWidth="1"/>
    <col min="12569" max="12569" width="10.140625" style="168" bestFit="1" customWidth="1"/>
    <col min="12570" max="12573" width="9.140625" style="168"/>
    <col min="12574" max="12574" width="7.28515625" style="168" customWidth="1"/>
    <col min="12575" max="12577" width="7.42578125" style="168" customWidth="1"/>
    <col min="12578" max="12578" width="10.42578125" style="168" bestFit="1" customWidth="1"/>
    <col min="12579" max="12579" width="12" style="168" bestFit="1" customWidth="1"/>
    <col min="12580" max="12580" width="11" style="168" bestFit="1" customWidth="1"/>
    <col min="12581" max="12582" width="11" style="168" customWidth="1"/>
    <col min="12583" max="12583" width="10" style="168" bestFit="1" customWidth="1"/>
    <col min="12584" max="12584" width="14.42578125" style="168" bestFit="1" customWidth="1"/>
    <col min="12585" max="12595" width="0" style="168" hidden="1" customWidth="1"/>
    <col min="12596" max="12816" width="9.140625" style="168"/>
    <col min="12817" max="12817" width="54.140625" style="168" bestFit="1" customWidth="1"/>
    <col min="12818" max="12818" width="14.7109375" style="168" customWidth="1"/>
    <col min="12819" max="12819" width="10.140625" style="168" customWidth="1"/>
    <col min="12820" max="12820" width="10.42578125" style="168" bestFit="1" customWidth="1"/>
    <col min="12821" max="12822" width="9.42578125" style="168" bestFit="1" customWidth="1"/>
    <col min="12823" max="12824" width="9.42578125" style="168" customWidth="1"/>
    <col min="12825" max="12825" width="10.140625" style="168" bestFit="1" customWidth="1"/>
    <col min="12826" max="12829" width="9.140625" style="168"/>
    <col min="12830" max="12830" width="7.28515625" style="168" customWidth="1"/>
    <col min="12831" max="12833" width="7.42578125" style="168" customWidth="1"/>
    <col min="12834" max="12834" width="10.42578125" style="168" bestFit="1" customWidth="1"/>
    <col min="12835" max="12835" width="12" style="168" bestFit="1" customWidth="1"/>
    <col min="12836" max="12836" width="11" style="168" bestFit="1" customWidth="1"/>
    <col min="12837" max="12838" width="11" style="168" customWidth="1"/>
    <col min="12839" max="12839" width="10" style="168" bestFit="1" customWidth="1"/>
    <col min="12840" max="12840" width="14.42578125" style="168" bestFit="1" customWidth="1"/>
    <col min="12841" max="12851" width="0" style="168" hidden="1" customWidth="1"/>
    <col min="12852" max="13072" width="9.140625" style="168"/>
    <col min="13073" max="13073" width="54.140625" style="168" bestFit="1" customWidth="1"/>
    <col min="13074" max="13074" width="14.7109375" style="168" customWidth="1"/>
    <col min="13075" max="13075" width="10.140625" style="168" customWidth="1"/>
    <col min="13076" max="13076" width="10.42578125" style="168" bestFit="1" customWidth="1"/>
    <col min="13077" max="13078" width="9.42578125" style="168" bestFit="1" customWidth="1"/>
    <col min="13079" max="13080" width="9.42578125" style="168" customWidth="1"/>
    <col min="13081" max="13081" width="10.140625" style="168" bestFit="1" customWidth="1"/>
    <col min="13082" max="13085" width="9.140625" style="168"/>
    <col min="13086" max="13086" width="7.28515625" style="168" customWidth="1"/>
    <col min="13087" max="13089" width="7.42578125" style="168" customWidth="1"/>
    <col min="13090" max="13090" width="10.42578125" style="168" bestFit="1" customWidth="1"/>
    <col min="13091" max="13091" width="12" style="168" bestFit="1" customWidth="1"/>
    <col min="13092" max="13092" width="11" style="168" bestFit="1" customWidth="1"/>
    <col min="13093" max="13094" width="11" style="168" customWidth="1"/>
    <col min="13095" max="13095" width="10" style="168" bestFit="1" customWidth="1"/>
    <col min="13096" max="13096" width="14.42578125" style="168" bestFit="1" customWidth="1"/>
    <col min="13097" max="13107" width="0" style="168" hidden="1" customWidth="1"/>
    <col min="13108" max="13328" width="9.140625" style="168"/>
    <col min="13329" max="13329" width="54.140625" style="168" bestFit="1" customWidth="1"/>
    <col min="13330" max="13330" width="14.7109375" style="168" customWidth="1"/>
    <col min="13331" max="13331" width="10.140625" style="168" customWidth="1"/>
    <col min="13332" max="13332" width="10.42578125" style="168" bestFit="1" customWidth="1"/>
    <col min="13333" max="13334" width="9.42578125" style="168" bestFit="1" customWidth="1"/>
    <col min="13335" max="13336" width="9.42578125" style="168" customWidth="1"/>
    <col min="13337" max="13337" width="10.140625" style="168" bestFit="1" customWidth="1"/>
    <col min="13338" max="13341" width="9.140625" style="168"/>
    <col min="13342" max="13342" width="7.28515625" style="168" customWidth="1"/>
    <col min="13343" max="13345" width="7.42578125" style="168" customWidth="1"/>
    <col min="13346" max="13346" width="10.42578125" style="168" bestFit="1" customWidth="1"/>
    <col min="13347" max="13347" width="12" style="168" bestFit="1" customWidth="1"/>
    <col min="13348" max="13348" width="11" style="168" bestFit="1" customWidth="1"/>
    <col min="13349" max="13350" width="11" style="168" customWidth="1"/>
    <col min="13351" max="13351" width="10" style="168" bestFit="1" customWidth="1"/>
    <col min="13352" max="13352" width="14.42578125" style="168" bestFit="1" customWidth="1"/>
    <col min="13353" max="13363" width="0" style="168" hidden="1" customWidth="1"/>
    <col min="13364" max="13584" width="9.140625" style="168"/>
    <col min="13585" max="13585" width="54.140625" style="168" bestFit="1" customWidth="1"/>
    <col min="13586" max="13586" width="14.7109375" style="168" customWidth="1"/>
    <col min="13587" max="13587" width="10.140625" style="168" customWidth="1"/>
    <col min="13588" max="13588" width="10.42578125" style="168" bestFit="1" customWidth="1"/>
    <col min="13589" max="13590" width="9.42578125" style="168" bestFit="1" customWidth="1"/>
    <col min="13591" max="13592" width="9.42578125" style="168" customWidth="1"/>
    <col min="13593" max="13593" width="10.140625" style="168" bestFit="1" customWidth="1"/>
    <col min="13594" max="13597" width="9.140625" style="168"/>
    <col min="13598" max="13598" width="7.28515625" style="168" customWidth="1"/>
    <col min="13599" max="13601" width="7.42578125" style="168" customWidth="1"/>
    <col min="13602" max="13602" width="10.42578125" style="168" bestFit="1" customWidth="1"/>
    <col min="13603" max="13603" width="12" style="168" bestFit="1" customWidth="1"/>
    <col min="13604" max="13604" width="11" style="168" bestFit="1" customWidth="1"/>
    <col min="13605" max="13606" width="11" style="168" customWidth="1"/>
    <col min="13607" max="13607" width="10" style="168" bestFit="1" customWidth="1"/>
    <col min="13608" max="13608" width="14.42578125" style="168" bestFit="1" customWidth="1"/>
    <col min="13609" max="13619" width="0" style="168" hidden="1" customWidth="1"/>
    <col min="13620" max="13840" width="9.140625" style="168"/>
    <col min="13841" max="13841" width="54.140625" style="168" bestFit="1" customWidth="1"/>
    <col min="13842" max="13842" width="14.7109375" style="168" customWidth="1"/>
    <col min="13843" max="13843" width="10.140625" style="168" customWidth="1"/>
    <col min="13844" max="13844" width="10.42578125" style="168" bestFit="1" customWidth="1"/>
    <col min="13845" max="13846" width="9.42578125" style="168" bestFit="1" customWidth="1"/>
    <col min="13847" max="13848" width="9.42578125" style="168" customWidth="1"/>
    <col min="13849" max="13849" width="10.140625" style="168" bestFit="1" customWidth="1"/>
    <col min="13850" max="13853" width="9.140625" style="168"/>
    <col min="13854" max="13854" width="7.28515625" style="168" customWidth="1"/>
    <col min="13855" max="13857" width="7.42578125" style="168" customWidth="1"/>
    <col min="13858" max="13858" width="10.42578125" style="168" bestFit="1" customWidth="1"/>
    <col min="13859" max="13859" width="12" style="168" bestFit="1" customWidth="1"/>
    <col min="13860" max="13860" width="11" style="168" bestFit="1" customWidth="1"/>
    <col min="13861" max="13862" width="11" style="168" customWidth="1"/>
    <col min="13863" max="13863" width="10" style="168" bestFit="1" customWidth="1"/>
    <col min="13864" max="13864" width="14.42578125" style="168" bestFit="1" customWidth="1"/>
    <col min="13865" max="13875" width="0" style="168" hidden="1" customWidth="1"/>
    <col min="13876" max="14096" width="9.140625" style="168"/>
    <col min="14097" max="14097" width="54.140625" style="168" bestFit="1" customWidth="1"/>
    <col min="14098" max="14098" width="14.7109375" style="168" customWidth="1"/>
    <col min="14099" max="14099" width="10.140625" style="168" customWidth="1"/>
    <col min="14100" max="14100" width="10.42578125" style="168" bestFit="1" customWidth="1"/>
    <col min="14101" max="14102" width="9.42578125" style="168" bestFit="1" customWidth="1"/>
    <col min="14103" max="14104" width="9.42578125" style="168" customWidth="1"/>
    <col min="14105" max="14105" width="10.140625" style="168" bestFit="1" customWidth="1"/>
    <col min="14106" max="14109" width="9.140625" style="168"/>
    <col min="14110" max="14110" width="7.28515625" style="168" customWidth="1"/>
    <col min="14111" max="14113" width="7.42578125" style="168" customWidth="1"/>
    <col min="14114" max="14114" width="10.42578125" style="168" bestFit="1" customWidth="1"/>
    <col min="14115" max="14115" width="12" style="168" bestFit="1" customWidth="1"/>
    <col min="14116" max="14116" width="11" style="168" bestFit="1" customWidth="1"/>
    <col min="14117" max="14118" width="11" style="168" customWidth="1"/>
    <col min="14119" max="14119" width="10" style="168" bestFit="1" customWidth="1"/>
    <col min="14120" max="14120" width="14.42578125" style="168" bestFit="1" customWidth="1"/>
    <col min="14121" max="14131" width="0" style="168" hidden="1" customWidth="1"/>
    <col min="14132" max="14352" width="9.140625" style="168"/>
    <col min="14353" max="14353" width="54.140625" style="168" bestFit="1" customWidth="1"/>
    <col min="14354" max="14354" width="14.7109375" style="168" customWidth="1"/>
    <col min="14355" max="14355" width="10.140625" style="168" customWidth="1"/>
    <col min="14356" max="14356" width="10.42578125" style="168" bestFit="1" customWidth="1"/>
    <col min="14357" max="14358" width="9.42578125" style="168" bestFit="1" customWidth="1"/>
    <col min="14359" max="14360" width="9.42578125" style="168" customWidth="1"/>
    <col min="14361" max="14361" width="10.140625" style="168" bestFit="1" customWidth="1"/>
    <col min="14362" max="14365" width="9.140625" style="168"/>
    <col min="14366" max="14366" width="7.28515625" style="168" customWidth="1"/>
    <col min="14367" max="14369" width="7.42578125" style="168" customWidth="1"/>
    <col min="14370" max="14370" width="10.42578125" style="168" bestFit="1" customWidth="1"/>
    <col min="14371" max="14371" width="12" style="168" bestFit="1" customWidth="1"/>
    <col min="14372" max="14372" width="11" style="168" bestFit="1" customWidth="1"/>
    <col min="14373" max="14374" width="11" style="168" customWidth="1"/>
    <col min="14375" max="14375" width="10" style="168" bestFit="1" customWidth="1"/>
    <col min="14376" max="14376" width="14.42578125" style="168" bestFit="1" customWidth="1"/>
    <col min="14377" max="14387" width="0" style="168" hidden="1" customWidth="1"/>
    <col min="14388" max="14608" width="9.140625" style="168"/>
    <col min="14609" max="14609" width="54.140625" style="168" bestFit="1" customWidth="1"/>
    <col min="14610" max="14610" width="14.7109375" style="168" customWidth="1"/>
    <col min="14611" max="14611" width="10.140625" style="168" customWidth="1"/>
    <col min="14612" max="14612" width="10.42578125" style="168" bestFit="1" customWidth="1"/>
    <col min="14613" max="14614" width="9.42578125" style="168" bestFit="1" customWidth="1"/>
    <col min="14615" max="14616" width="9.42578125" style="168" customWidth="1"/>
    <col min="14617" max="14617" width="10.140625" style="168" bestFit="1" customWidth="1"/>
    <col min="14618" max="14621" width="9.140625" style="168"/>
    <col min="14622" max="14622" width="7.28515625" style="168" customWidth="1"/>
    <col min="14623" max="14625" width="7.42578125" style="168" customWidth="1"/>
    <col min="14626" max="14626" width="10.42578125" style="168" bestFit="1" customWidth="1"/>
    <col min="14627" max="14627" width="12" style="168" bestFit="1" customWidth="1"/>
    <col min="14628" max="14628" width="11" style="168" bestFit="1" customWidth="1"/>
    <col min="14629" max="14630" width="11" style="168" customWidth="1"/>
    <col min="14631" max="14631" width="10" style="168" bestFit="1" customWidth="1"/>
    <col min="14632" max="14632" width="14.42578125" style="168" bestFit="1" customWidth="1"/>
    <col min="14633" max="14643" width="0" style="168" hidden="1" customWidth="1"/>
    <col min="14644" max="14864" width="9.140625" style="168"/>
    <col min="14865" max="14865" width="54.140625" style="168" bestFit="1" customWidth="1"/>
    <col min="14866" max="14866" width="14.7109375" style="168" customWidth="1"/>
    <col min="14867" max="14867" width="10.140625" style="168" customWidth="1"/>
    <col min="14868" max="14868" width="10.42578125" style="168" bestFit="1" customWidth="1"/>
    <col min="14869" max="14870" width="9.42578125" style="168" bestFit="1" customWidth="1"/>
    <col min="14871" max="14872" width="9.42578125" style="168" customWidth="1"/>
    <col min="14873" max="14873" width="10.140625" style="168" bestFit="1" customWidth="1"/>
    <col min="14874" max="14877" width="9.140625" style="168"/>
    <col min="14878" max="14878" width="7.28515625" style="168" customWidth="1"/>
    <col min="14879" max="14881" width="7.42578125" style="168" customWidth="1"/>
    <col min="14882" max="14882" width="10.42578125" style="168" bestFit="1" customWidth="1"/>
    <col min="14883" max="14883" width="12" style="168" bestFit="1" customWidth="1"/>
    <col min="14884" max="14884" width="11" style="168" bestFit="1" customWidth="1"/>
    <col min="14885" max="14886" width="11" style="168" customWidth="1"/>
    <col min="14887" max="14887" width="10" style="168" bestFit="1" customWidth="1"/>
    <col min="14888" max="14888" width="14.42578125" style="168" bestFit="1" customWidth="1"/>
    <col min="14889" max="14899" width="0" style="168" hidden="1" customWidth="1"/>
    <col min="14900" max="15120" width="9.140625" style="168"/>
    <col min="15121" max="15121" width="54.140625" style="168" bestFit="1" customWidth="1"/>
    <col min="15122" max="15122" width="14.7109375" style="168" customWidth="1"/>
    <col min="15123" max="15123" width="10.140625" style="168" customWidth="1"/>
    <col min="15124" max="15124" width="10.42578125" style="168" bestFit="1" customWidth="1"/>
    <col min="15125" max="15126" width="9.42578125" style="168" bestFit="1" customWidth="1"/>
    <col min="15127" max="15128" width="9.42578125" style="168" customWidth="1"/>
    <col min="15129" max="15129" width="10.140625" style="168" bestFit="1" customWidth="1"/>
    <col min="15130" max="15133" width="9.140625" style="168"/>
    <col min="15134" max="15134" width="7.28515625" style="168" customWidth="1"/>
    <col min="15135" max="15137" width="7.42578125" style="168" customWidth="1"/>
    <col min="15138" max="15138" width="10.42578125" style="168" bestFit="1" customWidth="1"/>
    <col min="15139" max="15139" width="12" style="168" bestFit="1" customWidth="1"/>
    <col min="15140" max="15140" width="11" style="168" bestFit="1" customWidth="1"/>
    <col min="15141" max="15142" width="11" style="168" customWidth="1"/>
    <col min="15143" max="15143" width="10" style="168" bestFit="1" customWidth="1"/>
    <col min="15144" max="15144" width="14.42578125" style="168" bestFit="1" customWidth="1"/>
    <col min="15145" max="15155" width="0" style="168" hidden="1" customWidth="1"/>
    <col min="15156" max="15376" width="9.140625" style="168"/>
    <col min="15377" max="15377" width="54.140625" style="168" bestFit="1" customWidth="1"/>
    <col min="15378" max="15378" width="14.7109375" style="168" customWidth="1"/>
    <col min="15379" max="15379" width="10.140625" style="168" customWidth="1"/>
    <col min="15380" max="15380" width="10.42578125" style="168" bestFit="1" customWidth="1"/>
    <col min="15381" max="15382" width="9.42578125" style="168" bestFit="1" customWidth="1"/>
    <col min="15383" max="15384" width="9.42578125" style="168" customWidth="1"/>
    <col min="15385" max="15385" width="10.140625" style="168" bestFit="1" customWidth="1"/>
    <col min="15386" max="15389" width="9.140625" style="168"/>
    <col min="15390" max="15390" width="7.28515625" style="168" customWidth="1"/>
    <col min="15391" max="15393" width="7.42578125" style="168" customWidth="1"/>
    <col min="15394" max="15394" width="10.42578125" style="168" bestFit="1" customWidth="1"/>
    <col min="15395" max="15395" width="12" style="168" bestFit="1" customWidth="1"/>
    <col min="15396" max="15396" width="11" style="168" bestFit="1" customWidth="1"/>
    <col min="15397" max="15398" width="11" style="168" customWidth="1"/>
    <col min="15399" max="15399" width="10" style="168" bestFit="1" customWidth="1"/>
    <col min="15400" max="15400" width="14.42578125" style="168" bestFit="1" customWidth="1"/>
    <col min="15401" max="15411" width="0" style="168" hidden="1" customWidth="1"/>
    <col min="15412" max="15632" width="9.140625" style="168"/>
    <col min="15633" max="15633" width="54.140625" style="168" bestFit="1" customWidth="1"/>
    <col min="15634" max="15634" width="14.7109375" style="168" customWidth="1"/>
    <col min="15635" max="15635" width="10.140625" style="168" customWidth="1"/>
    <col min="15636" max="15636" width="10.42578125" style="168" bestFit="1" customWidth="1"/>
    <col min="15637" max="15638" width="9.42578125" style="168" bestFit="1" customWidth="1"/>
    <col min="15639" max="15640" width="9.42578125" style="168" customWidth="1"/>
    <col min="15641" max="15641" width="10.140625" style="168" bestFit="1" customWidth="1"/>
    <col min="15642" max="15645" width="9.140625" style="168"/>
    <col min="15646" max="15646" width="7.28515625" style="168" customWidth="1"/>
    <col min="15647" max="15649" width="7.42578125" style="168" customWidth="1"/>
    <col min="15650" max="15650" width="10.42578125" style="168" bestFit="1" customWidth="1"/>
    <col min="15651" max="15651" width="12" style="168" bestFit="1" customWidth="1"/>
    <col min="15652" max="15652" width="11" style="168" bestFit="1" customWidth="1"/>
    <col min="15653" max="15654" width="11" style="168" customWidth="1"/>
    <col min="15655" max="15655" width="10" style="168" bestFit="1" customWidth="1"/>
    <col min="15656" max="15656" width="14.42578125" style="168" bestFit="1" customWidth="1"/>
    <col min="15657" max="15667" width="0" style="168" hidden="1" customWidth="1"/>
    <col min="15668" max="15888" width="9.140625" style="168"/>
    <col min="15889" max="15889" width="54.140625" style="168" bestFit="1" customWidth="1"/>
    <col min="15890" max="15890" width="14.7109375" style="168" customWidth="1"/>
    <col min="15891" max="15891" width="10.140625" style="168" customWidth="1"/>
    <col min="15892" max="15892" width="10.42578125" style="168" bestFit="1" customWidth="1"/>
    <col min="15893" max="15894" width="9.42578125" style="168" bestFit="1" customWidth="1"/>
    <col min="15895" max="15896" width="9.42578125" style="168" customWidth="1"/>
    <col min="15897" max="15897" width="10.140625" style="168" bestFit="1" customWidth="1"/>
    <col min="15898" max="15901" width="9.140625" style="168"/>
    <col min="15902" max="15902" width="7.28515625" style="168" customWidth="1"/>
    <col min="15903" max="15905" width="7.42578125" style="168" customWidth="1"/>
    <col min="15906" max="15906" width="10.42578125" style="168" bestFit="1" customWidth="1"/>
    <col min="15907" max="15907" width="12" style="168" bestFit="1" customWidth="1"/>
    <col min="15908" max="15908" width="11" style="168" bestFit="1" customWidth="1"/>
    <col min="15909" max="15910" width="11" style="168" customWidth="1"/>
    <col min="15911" max="15911" width="10" style="168" bestFit="1" customWidth="1"/>
    <col min="15912" max="15912" width="14.42578125" style="168" bestFit="1" customWidth="1"/>
    <col min="15913" max="15923" width="0" style="168" hidden="1" customWidth="1"/>
    <col min="15924" max="16144" width="9.140625" style="168"/>
    <col min="16145" max="16145" width="54.140625" style="168" bestFit="1" customWidth="1"/>
    <col min="16146" max="16146" width="14.7109375" style="168" customWidth="1"/>
    <col min="16147" max="16147" width="10.140625" style="168" customWidth="1"/>
    <col min="16148" max="16148" width="10.42578125" style="168" bestFit="1" customWidth="1"/>
    <col min="16149" max="16150" width="9.42578125" style="168" bestFit="1" customWidth="1"/>
    <col min="16151" max="16152" width="9.42578125" style="168" customWidth="1"/>
    <col min="16153" max="16153" width="10.140625" style="168" bestFit="1" customWidth="1"/>
    <col min="16154" max="16157" width="9.140625" style="168"/>
    <col min="16158" max="16158" width="7.28515625" style="168" customWidth="1"/>
    <col min="16159" max="16161" width="7.42578125" style="168" customWidth="1"/>
    <col min="16162" max="16162" width="10.42578125" style="168" bestFit="1" customWidth="1"/>
    <col min="16163" max="16163" width="12" style="168" bestFit="1" customWidth="1"/>
    <col min="16164" max="16164" width="11" style="168" bestFit="1" customWidth="1"/>
    <col min="16165" max="16166" width="11" style="168" customWidth="1"/>
    <col min="16167" max="16167" width="10" style="168" bestFit="1" customWidth="1"/>
    <col min="16168" max="16168" width="14.42578125" style="168" bestFit="1" customWidth="1"/>
    <col min="16169" max="16179" width="0" style="168" hidden="1" customWidth="1"/>
    <col min="16180" max="16384" width="9.140625" style="168"/>
  </cols>
  <sheetData>
    <row r="1" spans="1:58" s="160" customFormat="1" ht="45.75" customHeight="1" x14ac:dyDescent="0.25">
      <c r="A1" s="154" t="s">
        <v>136</v>
      </c>
      <c r="B1" s="155">
        <v>46023</v>
      </c>
      <c r="C1" s="156"/>
      <c r="D1" s="156"/>
      <c r="E1" s="156"/>
      <c r="F1" s="156"/>
      <c r="G1" s="156"/>
      <c r="H1" s="156"/>
      <c r="I1" s="156"/>
      <c r="J1" s="156"/>
      <c r="K1" s="156"/>
      <c r="L1" s="156"/>
      <c r="M1" s="157"/>
      <c r="N1" s="158"/>
      <c r="O1" s="158"/>
      <c r="P1" s="158"/>
      <c r="Q1" s="158"/>
      <c r="R1" s="158"/>
      <c r="S1" s="158"/>
      <c r="T1" s="158"/>
      <c r="U1" s="158"/>
      <c r="V1" s="158"/>
      <c r="W1" s="158"/>
      <c r="X1" s="158"/>
      <c r="Y1" s="158"/>
      <c r="Z1" s="158"/>
      <c r="AA1" s="158"/>
      <c r="AB1" s="158"/>
      <c r="AC1" s="158"/>
      <c r="AD1" s="159"/>
      <c r="AE1" s="159"/>
    </row>
    <row r="2" spans="1:58" ht="15.75" x14ac:dyDescent="0.2">
      <c r="A2" s="161" t="s">
        <v>295</v>
      </c>
      <c r="B2" s="161"/>
      <c r="C2" s="161"/>
      <c r="D2" s="161"/>
      <c r="E2" s="161"/>
      <c r="F2" s="161"/>
      <c r="G2" s="161"/>
      <c r="H2" s="161"/>
      <c r="I2" s="161"/>
      <c r="J2" s="161"/>
      <c r="K2" s="161"/>
      <c r="L2" s="161"/>
      <c r="M2" s="162"/>
      <c r="N2" s="163"/>
      <c r="O2" s="164"/>
      <c r="P2" s="164"/>
      <c r="Q2" s="164"/>
      <c r="R2" s="165"/>
      <c r="S2" s="164"/>
      <c r="T2" s="164"/>
      <c r="U2" s="166"/>
      <c r="V2" s="166"/>
      <c r="W2" s="166"/>
      <c r="X2" s="166"/>
      <c r="Y2" s="166"/>
      <c r="Z2" s="166"/>
      <c r="AA2" s="166"/>
      <c r="AB2" s="166"/>
      <c r="AC2" s="166"/>
      <c r="AD2" s="167"/>
      <c r="AE2" s="167"/>
    </row>
    <row r="3" spans="1:58" ht="21" customHeight="1" x14ac:dyDescent="0.2">
      <c r="A3" s="169" t="s">
        <v>364</v>
      </c>
      <c r="B3" s="161"/>
      <c r="C3" s="161"/>
      <c r="D3" s="161"/>
      <c r="E3" s="161"/>
      <c r="F3" s="161"/>
      <c r="G3" s="161"/>
      <c r="H3" s="161"/>
      <c r="I3" s="161"/>
      <c r="J3" s="161"/>
      <c r="K3" s="161"/>
      <c r="L3" s="161"/>
      <c r="M3" s="162"/>
      <c r="N3" s="170"/>
      <c r="O3" s="171"/>
      <c r="P3" s="171"/>
      <c r="Q3" s="171"/>
      <c r="R3" s="171"/>
      <c r="S3" s="171"/>
      <c r="T3" s="171"/>
      <c r="U3" s="166"/>
      <c r="V3" s="166"/>
      <c r="W3" s="166"/>
    </row>
    <row r="4" spans="1:58" ht="21" customHeight="1" x14ac:dyDescent="0.2">
      <c r="A4" s="161"/>
      <c r="B4" s="161"/>
      <c r="C4" s="161"/>
      <c r="D4" s="161"/>
      <c r="E4" s="161"/>
      <c r="F4" s="161"/>
      <c r="G4" s="161"/>
      <c r="H4" s="161"/>
      <c r="I4" s="161"/>
      <c r="J4" s="161"/>
      <c r="K4" s="161"/>
      <c r="L4" s="161"/>
      <c r="M4" s="162"/>
      <c r="N4" s="170"/>
      <c r="O4" s="171"/>
      <c r="P4" s="171"/>
      <c r="Q4" s="171"/>
      <c r="R4" s="171"/>
      <c r="S4" s="171"/>
      <c r="T4" s="171"/>
      <c r="U4" s="172"/>
      <c r="V4" s="172"/>
      <c r="W4" s="172"/>
      <c r="X4" s="172"/>
      <c r="Y4" s="172"/>
      <c r="Z4" s="172"/>
      <c r="AA4" s="172"/>
      <c r="AB4" s="172"/>
      <c r="AC4" s="172"/>
      <c r="AD4" s="167"/>
      <c r="AE4" s="167"/>
    </row>
    <row r="5" spans="1:58" x14ac:dyDescent="0.2">
      <c r="A5" s="158"/>
      <c r="B5" s="158"/>
      <c r="C5" s="158"/>
      <c r="D5" s="158"/>
      <c r="E5" s="158"/>
      <c r="F5" s="158"/>
      <c r="G5" s="158"/>
      <c r="H5" s="158"/>
      <c r="I5" s="158"/>
      <c r="J5" s="158"/>
      <c r="K5" s="158"/>
      <c r="L5" s="158"/>
      <c r="M5" s="158"/>
      <c r="N5" s="158"/>
      <c r="O5" s="158"/>
      <c r="P5" s="172"/>
      <c r="Q5" s="172"/>
      <c r="R5" s="172"/>
      <c r="S5" s="172"/>
      <c r="T5" s="172"/>
      <c r="U5" s="172"/>
      <c r="V5" s="172"/>
      <c r="W5" s="172"/>
      <c r="X5" s="172"/>
      <c r="Y5" s="172"/>
      <c r="Z5" s="172"/>
      <c r="AA5" s="172"/>
      <c r="AB5" s="172"/>
      <c r="AC5" s="172"/>
      <c r="AD5" s="173"/>
      <c r="AE5" s="173"/>
    </row>
    <row r="6" spans="1:58" ht="18" customHeight="1" thickBot="1" x14ac:dyDescent="0.25">
      <c r="B6" s="158"/>
      <c r="C6" s="158"/>
      <c r="D6" s="158"/>
      <c r="E6" s="158"/>
      <c r="F6" s="158"/>
      <c r="G6" s="158"/>
      <c r="H6" s="158"/>
      <c r="I6" s="158"/>
      <c r="J6" s="158"/>
      <c r="K6" s="158"/>
      <c r="L6" s="158"/>
      <c r="M6" s="158"/>
      <c r="N6" s="158"/>
      <c r="O6" s="158"/>
      <c r="P6" s="172"/>
      <c r="Q6" s="172"/>
      <c r="R6" s="172"/>
      <c r="S6" s="172"/>
      <c r="T6" s="172"/>
      <c r="U6" s="172"/>
      <c r="V6" s="172"/>
      <c r="W6" s="172"/>
      <c r="X6" s="174"/>
      <c r="Y6" s="174"/>
      <c r="Z6" s="172"/>
      <c r="AA6" s="172"/>
      <c r="AB6" s="172"/>
      <c r="AC6" s="172"/>
      <c r="AD6" s="175"/>
      <c r="AE6" s="175"/>
    </row>
    <row r="7" spans="1:58" ht="13.5" thickBot="1" x14ac:dyDescent="0.25">
      <c r="C7" s="176"/>
      <c r="D7" s="177"/>
      <c r="E7" s="172"/>
      <c r="F7" s="172"/>
      <c r="G7" s="172"/>
      <c r="H7" s="172"/>
      <c r="I7" s="172"/>
      <c r="J7" s="172"/>
      <c r="K7" s="172"/>
      <c r="L7" s="172"/>
      <c r="M7" s="172"/>
      <c r="N7" s="158"/>
      <c r="O7" s="158"/>
      <c r="P7" s="172"/>
      <c r="Q7" s="172"/>
      <c r="R7" s="172"/>
      <c r="S7" s="172"/>
      <c r="T7" s="172"/>
      <c r="U7" s="172"/>
      <c r="V7" s="172"/>
      <c r="W7" s="172"/>
      <c r="X7" s="172"/>
      <c r="Y7" s="172"/>
      <c r="Z7" s="172"/>
      <c r="AA7" s="172"/>
      <c r="AB7" s="172"/>
      <c r="AC7" s="172"/>
      <c r="AD7" s="175"/>
      <c r="AE7" s="175"/>
      <c r="AF7" s="178" t="s">
        <v>296</v>
      </c>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80"/>
    </row>
    <row r="8" spans="1:58" ht="26.25" customHeight="1" x14ac:dyDescent="0.2">
      <c r="A8" s="181" t="s">
        <v>297</v>
      </c>
      <c r="B8" s="182" t="s">
        <v>298</v>
      </c>
      <c r="C8" s="183" t="s">
        <v>299</v>
      </c>
      <c r="D8" s="184" t="s">
        <v>300</v>
      </c>
      <c r="E8" s="185"/>
      <c r="F8" s="185"/>
      <c r="G8" s="185"/>
      <c r="H8" s="185"/>
      <c r="I8" s="186"/>
      <c r="J8" s="184" t="s">
        <v>85</v>
      </c>
      <c r="K8" s="185"/>
      <c r="L8" s="185"/>
      <c r="M8" s="185"/>
      <c r="N8" s="185"/>
      <c r="O8" s="187"/>
      <c r="P8" s="184" t="s">
        <v>301</v>
      </c>
      <c r="Q8" s="185"/>
      <c r="R8" s="185"/>
      <c r="S8" s="185"/>
      <c r="T8" s="185"/>
      <c r="U8" s="185"/>
      <c r="V8" s="186"/>
      <c r="W8" s="188" t="s">
        <v>302</v>
      </c>
      <c r="X8" s="184" t="s">
        <v>303</v>
      </c>
      <c r="Y8" s="185" t="s">
        <v>304</v>
      </c>
      <c r="Z8" s="185" t="s">
        <v>305</v>
      </c>
      <c r="AA8" s="185" t="s">
        <v>306</v>
      </c>
      <c r="AB8" s="185" t="s">
        <v>307</v>
      </c>
      <c r="AC8" s="186" t="s">
        <v>308</v>
      </c>
      <c r="AD8" s="188" t="s">
        <v>309</v>
      </c>
      <c r="AE8" s="188" t="s">
        <v>310</v>
      </c>
      <c r="AF8" s="189"/>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1"/>
    </row>
    <row r="9" spans="1:58" ht="63.75" x14ac:dyDescent="0.2">
      <c r="A9" s="192"/>
      <c r="B9" s="193"/>
      <c r="C9" s="194"/>
      <c r="D9" s="195" t="s">
        <v>311</v>
      </c>
      <c r="E9" s="196" t="s">
        <v>312</v>
      </c>
      <c r="F9" s="196" t="s">
        <v>313</v>
      </c>
      <c r="G9" s="196" t="s">
        <v>314</v>
      </c>
      <c r="H9" s="196" t="s">
        <v>315</v>
      </c>
      <c r="I9" s="197" t="s">
        <v>316</v>
      </c>
      <c r="J9" s="195" t="s">
        <v>311</v>
      </c>
      <c r="K9" s="196" t="s">
        <v>317</v>
      </c>
      <c r="L9" s="196" t="s">
        <v>318</v>
      </c>
      <c r="M9" s="196" t="s">
        <v>319</v>
      </c>
      <c r="N9" s="198" t="s">
        <v>320</v>
      </c>
      <c r="O9" s="199" t="s">
        <v>321</v>
      </c>
      <c r="P9" s="195"/>
      <c r="Q9" s="196"/>
      <c r="R9" s="196"/>
      <c r="S9" s="196"/>
      <c r="T9" s="196"/>
      <c r="U9" s="196"/>
      <c r="V9" s="197"/>
      <c r="W9" s="200"/>
      <c r="X9" s="195"/>
      <c r="Y9" s="196"/>
      <c r="Z9" s="196"/>
      <c r="AA9" s="196"/>
      <c r="AB9" s="196"/>
      <c r="AC9" s="197"/>
      <c r="AD9" s="200"/>
      <c r="AE9" s="200"/>
      <c r="AF9" s="201" t="str">
        <f>'AUTO CALCULATION SHEET (2)'!N18</f>
        <v>Alumimium</v>
      </c>
      <c r="AG9" s="202" t="str">
        <f>'AUTO CALCULATION SHEET (2)'!W18</f>
        <v>Alumimium ALLOY</v>
      </c>
      <c r="AH9" s="202" t="str">
        <f>'AUTO CALCULATION SHEET (2)'!AA18</f>
        <v>Copper Tape - 0.04 mm</v>
      </c>
      <c r="AI9" s="202" t="str">
        <f>'AUTO CALCULATION SHEET (2)'!AG18</f>
        <v>Extruded Semiconductive(Stripable)</v>
      </c>
      <c r="AJ9" s="202" t="str">
        <f>'AUTO CALCULATION SHEET (2)'!AH18</f>
        <v>HT-XLPE</v>
      </c>
      <c r="AK9" s="202" t="str">
        <f>'AUTO CALCULATION SHEET (2)'!AJ18</f>
        <v>TR XLPE</v>
      </c>
      <c r="AL9" s="202" t="str">
        <f>'AUTO CALCULATION SHEET (2)'!AQ18</f>
        <v>POLY TAPE</v>
      </c>
      <c r="AM9" s="202" t="str">
        <f>'AUTO CALCULATION SHEET (2)'!AX18</f>
        <v>PVC Type ST-2</v>
      </c>
      <c r="AN9" s="202" t="str">
        <f>'AUTO CALCULATION SHEET (2)'!BG18</f>
        <v>Galvanised Steel Flat Strip</v>
      </c>
      <c r="AO9" s="202" t="str">
        <f>'AUTO CALCULATION SHEET (2)'!BO18</f>
        <v>FRLSH PVC Type ST-2</v>
      </c>
      <c r="AP9" s="202" t="str">
        <f>'AUTO CALCULATION SHEET (2)'!BR18</f>
        <v>PE-ST-7</v>
      </c>
      <c r="AQ9" s="202" t="str">
        <f>'AUTO CALCULATION SHEET (2)'!BX18</f>
        <v>FILLER</v>
      </c>
      <c r="AR9" s="202" t="str">
        <f>'AUTO CALCULATION SHEET (2)'!BY18</f>
        <v>PP FILLER</v>
      </c>
      <c r="AS9" s="202" t="str">
        <f>'AUTO CALCULATION SHEET (2)'!BZ18</f>
        <v>Al Tape (15x0.10)</v>
      </c>
      <c r="AT9" s="202" t="str">
        <f>'AUTO CALCULATION SHEET (2)'!CA18</f>
        <v>Semi conducting Water Swellable tape</v>
      </c>
      <c r="AU9" s="202" t="str">
        <f>'AUTO CALCULATION SHEET (2)'!CB18</f>
        <v>NCWT</v>
      </c>
      <c r="AV9" s="202" t="str">
        <f>'AUTO CALCULATION SHEET (2)'!CE18</f>
        <v>RUBBERIZED COTTON TAPE</v>
      </c>
      <c r="AW9" s="202" t="str">
        <f>'AUTO CALCULATION SHEET (2)'!CF18</f>
        <v>Al Wire Screen</v>
      </c>
      <c r="AX9" s="203" t="s">
        <v>322</v>
      </c>
      <c r="AY9" s="203" t="s">
        <v>323</v>
      </c>
      <c r="AZ9" s="203" t="s">
        <v>324</v>
      </c>
      <c r="BA9" s="203" t="s">
        <v>325</v>
      </c>
      <c r="BB9" s="203" t="s">
        <v>326</v>
      </c>
      <c r="BC9" s="203" t="s">
        <v>327</v>
      </c>
      <c r="BD9" s="203" t="s">
        <v>328</v>
      </c>
      <c r="BE9" s="203" t="s">
        <v>329</v>
      </c>
      <c r="BF9" s="204" t="s">
        <v>330</v>
      </c>
    </row>
    <row r="10" spans="1:58" ht="21.75" customHeight="1" thickBot="1" x14ac:dyDescent="0.25">
      <c r="A10" s="192"/>
      <c r="B10" s="193"/>
      <c r="C10" s="205"/>
      <c r="D10" s="195"/>
      <c r="E10" s="196"/>
      <c r="F10" s="196"/>
      <c r="G10" s="196"/>
      <c r="H10" s="196"/>
      <c r="I10" s="197"/>
      <c r="J10" s="195"/>
      <c r="K10" s="196"/>
      <c r="L10" s="196"/>
      <c r="M10" s="196"/>
      <c r="N10" s="206"/>
      <c r="O10" s="207"/>
      <c r="P10" s="208" t="s">
        <v>331</v>
      </c>
      <c r="Q10" s="209" t="s">
        <v>313</v>
      </c>
      <c r="R10" s="209" t="s">
        <v>332</v>
      </c>
      <c r="S10" s="209" t="s">
        <v>333</v>
      </c>
      <c r="T10" s="209" t="s">
        <v>334</v>
      </c>
      <c r="U10" s="209" t="s">
        <v>335</v>
      </c>
      <c r="V10" s="210" t="s">
        <v>336</v>
      </c>
      <c r="W10" s="200"/>
      <c r="X10" s="195"/>
      <c r="Y10" s="196"/>
      <c r="Z10" s="196"/>
      <c r="AA10" s="196"/>
      <c r="AB10" s="196"/>
      <c r="AC10" s="197"/>
      <c r="AD10" s="200"/>
      <c r="AE10" s="200"/>
      <c r="AF10" s="211">
        <v>361</v>
      </c>
      <c r="AG10" s="211">
        <f>AF10+5</f>
        <v>366</v>
      </c>
      <c r="AH10" s="211">
        <v>1394</v>
      </c>
      <c r="AI10" s="211">
        <v>210</v>
      </c>
      <c r="AJ10" s="211">
        <v>158</v>
      </c>
      <c r="AK10" s="211">
        <v>240</v>
      </c>
      <c r="AL10" s="211">
        <v>130</v>
      </c>
      <c r="AM10" s="211">
        <v>83</v>
      </c>
      <c r="AN10" s="211">
        <v>76</v>
      </c>
      <c r="AO10" s="211">
        <v>98</v>
      </c>
      <c r="AP10" s="211">
        <v>132</v>
      </c>
      <c r="AQ10" s="211">
        <v>30</v>
      </c>
      <c r="AR10" s="211">
        <v>76</v>
      </c>
      <c r="AS10" s="211">
        <v>559</v>
      </c>
      <c r="AT10" s="211">
        <v>370</v>
      </c>
      <c r="AU10" s="211">
        <v>300</v>
      </c>
      <c r="AV10" s="211">
        <v>280</v>
      </c>
      <c r="AW10" s="211">
        <f>AF10+5</f>
        <v>366</v>
      </c>
      <c r="AX10" s="212"/>
      <c r="AY10" s="212"/>
      <c r="AZ10" s="212"/>
      <c r="BA10" s="212"/>
      <c r="BB10" s="212"/>
      <c r="BC10" s="212"/>
      <c r="BD10" s="212"/>
      <c r="BE10" s="212"/>
      <c r="BF10" s="213"/>
    </row>
    <row r="11" spans="1:58" ht="24" customHeight="1" x14ac:dyDescent="0.2">
      <c r="A11" s="214"/>
      <c r="B11" s="214"/>
      <c r="C11" s="167"/>
      <c r="D11" s="215"/>
      <c r="E11" s="216"/>
      <c r="F11" s="216"/>
      <c r="G11" s="216"/>
      <c r="H11" s="216"/>
      <c r="I11" s="217"/>
      <c r="J11" s="218"/>
      <c r="K11" s="216"/>
      <c r="L11" s="216"/>
      <c r="M11" s="216"/>
      <c r="N11" s="216"/>
      <c r="O11" s="219"/>
      <c r="P11" s="220"/>
      <c r="Q11" s="221"/>
      <c r="R11" s="221"/>
      <c r="S11" s="221"/>
      <c r="T11" s="221"/>
      <c r="U11" s="221"/>
      <c r="V11" s="222"/>
      <c r="W11" s="223"/>
      <c r="X11" s="208"/>
      <c r="Y11" s="209"/>
      <c r="Z11" s="209"/>
      <c r="AA11" s="209"/>
      <c r="AB11" s="209"/>
      <c r="AC11" s="210"/>
      <c r="AD11" s="224"/>
      <c r="AE11" s="224"/>
      <c r="AF11" s="211" t="s">
        <v>337</v>
      </c>
      <c r="AG11" s="211" t="s">
        <v>337</v>
      </c>
      <c r="AH11" s="211" t="s">
        <v>337</v>
      </c>
      <c r="AI11" s="211" t="s">
        <v>337</v>
      </c>
      <c r="AJ11" s="211" t="s">
        <v>337</v>
      </c>
      <c r="AK11" s="211" t="s">
        <v>337</v>
      </c>
      <c r="AL11" s="211" t="s">
        <v>337</v>
      </c>
      <c r="AM11" s="211" t="s">
        <v>337</v>
      </c>
      <c r="AN11" s="211" t="s">
        <v>337</v>
      </c>
      <c r="AO11" s="211" t="s">
        <v>337</v>
      </c>
      <c r="AP11" s="211" t="s">
        <v>337</v>
      </c>
      <c r="AQ11" s="211" t="s">
        <v>337</v>
      </c>
      <c r="AR11" s="211" t="s">
        <v>337</v>
      </c>
      <c r="AS11" s="211" t="s">
        <v>337</v>
      </c>
      <c r="AT11" s="211" t="s">
        <v>337</v>
      </c>
      <c r="AU11" s="211" t="s">
        <v>337</v>
      </c>
      <c r="AV11" s="211" t="s">
        <v>337</v>
      </c>
      <c r="AW11" s="211" t="s">
        <v>337</v>
      </c>
      <c r="AX11" s="225"/>
      <c r="AY11" s="225"/>
      <c r="AZ11" s="225"/>
      <c r="BA11" s="225"/>
      <c r="BB11" s="225"/>
      <c r="BC11" s="225"/>
      <c r="BD11" s="225"/>
      <c r="BE11" s="225"/>
      <c r="BF11" s="226"/>
    </row>
    <row r="12" spans="1:58" ht="24" customHeight="1" x14ac:dyDescent="0.2">
      <c r="A12" s="227" t="str">
        <f>'AUTO CALCULATION SHEET (2)'!D20</f>
        <v>3 CORE X 150 SQ. MM. AL/ARM - STRIP (XLPE) - 11 KV</v>
      </c>
      <c r="B12" s="228"/>
      <c r="C12" s="229" t="s">
        <v>338</v>
      </c>
      <c r="D12" s="230">
        <v>46098</v>
      </c>
      <c r="E12" s="324">
        <v>352322.32</v>
      </c>
      <c r="F12" s="325">
        <v>1273267.07</v>
      </c>
      <c r="G12" s="326">
        <v>198367</v>
      </c>
      <c r="H12" s="326">
        <v>158825</v>
      </c>
      <c r="I12" s="327">
        <v>82250</v>
      </c>
      <c r="J12" s="231">
        <f t="shared" ref="J12:J13" si="0">$B$1</f>
        <v>46023</v>
      </c>
      <c r="K12" s="326">
        <v>334622</v>
      </c>
      <c r="L12" s="326">
        <v>1275895</v>
      </c>
      <c r="M12" s="326">
        <v>194965</v>
      </c>
      <c r="N12" s="326">
        <v>153825</v>
      </c>
      <c r="O12" s="327">
        <v>80250</v>
      </c>
      <c r="P12" s="232">
        <v>1.2789999999999999</v>
      </c>
      <c r="Q12" s="233"/>
      <c r="R12" s="233">
        <v>0.89</v>
      </c>
      <c r="S12" s="233">
        <v>2.0609999999999999</v>
      </c>
      <c r="T12" s="233"/>
      <c r="U12" s="233">
        <v>1.0549999999999999</v>
      </c>
      <c r="V12" s="234">
        <v>8.7999999999999995E-2</v>
      </c>
      <c r="W12" s="328">
        <f>'AUTO CALCULATION SHEET (2)'!E51*1000</f>
        <v>1207629.9999999998</v>
      </c>
      <c r="X12" s="329">
        <f>(P12*(E12-K12))</f>
        <v>22638.709280000006</v>
      </c>
      <c r="Y12" s="330">
        <f>(Q12*(F12-L12))</f>
        <v>0</v>
      </c>
      <c r="Z12" s="326">
        <f>(R12*(G12-M12))</f>
        <v>3027.78</v>
      </c>
      <c r="AA12" s="326">
        <f>(S12*(H12-N12))</f>
        <v>10305</v>
      </c>
      <c r="AB12" s="326">
        <f t="shared" ref="AB12:AB16" si="1">(U12*(I12-O12))</f>
        <v>2110</v>
      </c>
      <c r="AC12" s="331">
        <f t="shared" ref="AC12:AC16" si="2">V12*(F12-L12)</f>
        <v>-231.25783999999425</v>
      </c>
      <c r="AD12" s="328">
        <f>X12+Y12+Z12+AA12+AB12+AC12</f>
        <v>37850.231440000018</v>
      </c>
      <c r="AE12" s="332">
        <f>+W12+AD12</f>
        <v>1245480.2314399998</v>
      </c>
      <c r="AF12" s="236">
        <f>'AUTO CALCULATION SHEET (2)'!N20</f>
        <v>1215</v>
      </c>
      <c r="AG12" s="237">
        <f>'AUTO CALCULATION SHEET (2)'!W20</f>
        <v>0</v>
      </c>
      <c r="AH12" s="237">
        <f>'AUTO CALCULATION SHEET (2)'!AA20</f>
        <v>99</v>
      </c>
      <c r="AI12" s="237">
        <f>'AUTO CALCULATION SHEET (2)'!AG20</f>
        <v>246</v>
      </c>
      <c r="AJ12" s="237">
        <f>'AUTO CALCULATION SHEET (2)'!AH20</f>
        <v>620</v>
      </c>
      <c r="AK12" s="237">
        <f>'AUTO CALCULATION SHEET (2)'!AJ20</f>
        <v>0</v>
      </c>
      <c r="AL12" s="237">
        <f>'AUTO CALCULATION SHEET (2)'!AQ20</f>
        <v>37</v>
      </c>
      <c r="AM12" s="237">
        <f>'AUTO CALCULATION SHEET (2)'!AX20</f>
        <v>210</v>
      </c>
      <c r="AN12" s="237">
        <f>'AUTO CALCULATION SHEET (2)'!BG20</f>
        <v>972</v>
      </c>
      <c r="AO12" s="237">
        <f>'AUTO CALCULATION SHEET (2)'!BO20</f>
        <v>739</v>
      </c>
      <c r="AP12" s="237">
        <f>'AUTO CALCULATION SHEET (2)'!BR20</f>
        <v>0</v>
      </c>
      <c r="AQ12" s="237">
        <f>'AUTO CALCULATION SHEET (2)'!BX20</f>
        <v>809</v>
      </c>
      <c r="AR12" s="237">
        <f>'AUTO CALCULATION SHEET (2)'!BY20</f>
        <v>0</v>
      </c>
      <c r="AS12" s="237">
        <f>'AUTO CALCULATION SHEET (2)'!BZ20</f>
        <v>0</v>
      </c>
      <c r="AT12" s="237">
        <f>'AUTO CALCULATION SHEET (2)'!CA20</f>
        <v>37</v>
      </c>
      <c r="AU12" s="237">
        <f>'AUTO CALCULATION SHEET (2)'!CB20</f>
        <v>0</v>
      </c>
      <c r="AV12" s="237">
        <f>'AUTO CALCULATION SHEET (2)'!CE20</f>
        <v>40</v>
      </c>
      <c r="AW12" s="237">
        <f>'AUTO CALCULATION SHEET (2)'!CF20</f>
        <v>0</v>
      </c>
      <c r="AX12" s="333">
        <f>SUMPRODUCT(AF12:AW12,$AF$10:$AW$10)</f>
        <v>943935</v>
      </c>
      <c r="AY12" s="334">
        <f>'AUTO CALCULATION SHEET (2)'!CK20</f>
        <v>33000</v>
      </c>
      <c r="AZ12" s="333">
        <f>AX12+AY12</f>
        <v>976935</v>
      </c>
      <c r="BA12" s="334">
        <f>AE12-AZ12</f>
        <v>268545.23143999977</v>
      </c>
      <c r="BB12" s="333">
        <f>ROUND((BA12/AZ12)*100,2)</f>
        <v>27.49</v>
      </c>
      <c r="BC12" s="238">
        <v>0</v>
      </c>
      <c r="BD12" s="238">
        <v>2</v>
      </c>
      <c r="BE12" s="238">
        <v>0</v>
      </c>
      <c r="BF12" s="239">
        <f>BB12-BC12-BD12-BE12</f>
        <v>25.49</v>
      </c>
    </row>
    <row r="13" spans="1:58" ht="24" customHeight="1" x14ac:dyDescent="0.2">
      <c r="A13" s="227" t="str">
        <f>'AUTO CALCULATION SHEET (2)'!D21</f>
        <v>3 CORE X 300 SQ. MM. AL/ARM - STRIP (XLPE) - 11 KV</v>
      </c>
      <c r="B13" s="228"/>
      <c r="C13" s="229" t="s">
        <v>338</v>
      </c>
      <c r="D13" s="230">
        <v>46098</v>
      </c>
      <c r="E13" s="324">
        <v>352322.32</v>
      </c>
      <c r="F13" s="325">
        <v>1273267.07</v>
      </c>
      <c r="G13" s="326">
        <v>198367</v>
      </c>
      <c r="H13" s="326">
        <v>158825</v>
      </c>
      <c r="I13" s="327">
        <v>82250</v>
      </c>
      <c r="J13" s="231">
        <f t="shared" si="0"/>
        <v>46023</v>
      </c>
      <c r="K13" s="326">
        <v>334622</v>
      </c>
      <c r="L13" s="326">
        <v>1275895</v>
      </c>
      <c r="M13" s="326">
        <v>194965</v>
      </c>
      <c r="N13" s="326">
        <v>153825</v>
      </c>
      <c r="O13" s="327">
        <v>80250</v>
      </c>
      <c r="P13" s="232">
        <v>2.6349999999999998</v>
      </c>
      <c r="Q13" s="233"/>
      <c r="R13" s="233">
        <v>1.167</v>
      </c>
      <c r="S13" s="233">
        <v>3.161</v>
      </c>
      <c r="T13" s="233"/>
      <c r="U13" s="233">
        <v>1.3180000000000001</v>
      </c>
      <c r="V13" s="234">
        <v>0.11</v>
      </c>
      <c r="W13" s="328">
        <f>'AUTO CALCULATION SHEET (2)'!E52*1000</f>
        <v>1958020</v>
      </c>
      <c r="X13" s="329">
        <f t="shared" ref="X13:AA16" si="3">(P13*(E13-K13))</f>
        <v>46640.343200000018</v>
      </c>
      <c r="Y13" s="330">
        <f t="shared" si="3"/>
        <v>0</v>
      </c>
      <c r="Z13" s="326">
        <f>(R13*(G13-M13))</f>
        <v>3970.134</v>
      </c>
      <c r="AA13" s="326">
        <f>(S13*(H13-N13))</f>
        <v>15805</v>
      </c>
      <c r="AB13" s="326">
        <f t="shared" si="1"/>
        <v>2636</v>
      </c>
      <c r="AC13" s="331">
        <f t="shared" si="2"/>
        <v>-289.07229999999282</v>
      </c>
      <c r="AD13" s="328">
        <f>X13+Y13+Z13+AA13+AB13+AC13</f>
        <v>68762.404900000023</v>
      </c>
      <c r="AE13" s="332">
        <f>+W13+AD13</f>
        <v>2026782.4049</v>
      </c>
      <c r="AF13" s="236">
        <f>'AUTO CALCULATION SHEET (2)'!N21</f>
        <v>2430</v>
      </c>
      <c r="AG13" s="237">
        <f>'AUTO CALCULATION SHEET (2)'!W21</f>
        <v>0</v>
      </c>
      <c r="AH13" s="237">
        <f>'AUTO CALCULATION SHEET (2)'!AA21</f>
        <v>123</v>
      </c>
      <c r="AI13" s="237">
        <f>'AUTO CALCULATION SHEET (2)'!AG21</f>
        <v>337</v>
      </c>
      <c r="AJ13" s="237">
        <f>'AUTO CALCULATION SHEET (2)'!AH21</f>
        <v>802</v>
      </c>
      <c r="AK13" s="237">
        <f>'AUTO CALCULATION SHEET (2)'!AJ21</f>
        <v>0</v>
      </c>
      <c r="AL13" s="237">
        <f>'AUTO CALCULATION SHEET (2)'!AQ21</f>
        <v>46</v>
      </c>
      <c r="AM13" s="237">
        <f>'AUTO CALCULATION SHEET (2)'!AX21</f>
        <v>291</v>
      </c>
      <c r="AN13" s="237">
        <f>'AUTO CALCULATION SHEET (2)'!BG21</f>
        <v>1215</v>
      </c>
      <c r="AO13" s="237">
        <f>'AUTO CALCULATION SHEET (2)'!BO21</f>
        <v>1045</v>
      </c>
      <c r="AP13" s="237">
        <f>'AUTO CALCULATION SHEET (2)'!BR21</f>
        <v>0</v>
      </c>
      <c r="AQ13" s="237">
        <f>'AUTO CALCULATION SHEET (2)'!BX21</f>
        <v>1258</v>
      </c>
      <c r="AR13" s="237">
        <f>'AUTO CALCULATION SHEET (2)'!BY21</f>
        <v>0</v>
      </c>
      <c r="AS13" s="237">
        <f>'AUTO CALCULATION SHEET (2)'!BZ21</f>
        <v>0</v>
      </c>
      <c r="AT13" s="237">
        <f>'AUTO CALCULATION SHEET (2)'!CA21</f>
        <v>46</v>
      </c>
      <c r="AU13" s="237">
        <f>'AUTO CALCULATION SHEET (2)'!CB21</f>
        <v>0</v>
      </c>
      <c r="AV13" s="237">
        <f>'AUTO CALCULATION SHEET (2)'!CE21</f>
        <v>44</v>
      </c>
      <c r="AW13" s="237">
        <f>'AUTO CALCULATION SHEET (2)'!CF21</f>
        <v>0</v>
      </c>
      <c r="AX13" s="333">
        <f>SUMPRODUCT(AF13:AW13,$AF$10:$AW$10)</f>
        <v>1538141</v>
      </c>
      <c r="AY13" s="334">
        <f>'AUTO CALCULATION SHEET (2)'!CK21</f>
        <v>38500</v>
      </c>
      <c r="AZ13" s="333">
        <f>AX13+AY13</f>
        <v>1576641</v>
      </c>
      <c r="BA13" s="334">
        <f>AE13-AZ13</f>
        <v>450141.40489999996</v>
      </c>
      <c r="BB13" s="333">
        <f>ROUND((BA13/AZ13)*100,2)</f>
        <v>28.55</v>
      </c>
      <c r="BC13" s="238">
        <v>0</v>
      </c>
      <c r="BD13" s="238">
        <v>2</v>
      </c>
      <c r="BE13" s="238">
        <v>0</v>
      </c>
      <c r="BF13" s="239">
        <f>BB13-BC13-BD13-BE13</f>
        <v>26.55</v>
      </c>
    </row>
    <row r="14" spans="1:58" ht="24" customHeight="1" x14ac:dyDescent="0.2">
      <c r="A14" s="227" t="str">
        <f>'AUTO CALCULATION SHEET (2)'!D22</f>
        <v>3 CORE X 70 SQ. MM. AL/ARM - STRIP (XLPE) - 11 KV</v>
      </c>
      <c r="B14" s="228"/>
      <c r="C14" s="229" t="s">
        <v>338</v>
      </c>
      <c r="D14" s="230">
        <v>46098</v>
      </c>
      <c r="E14" s="324">
        <v>352322.32</v>
      </c>
      <c r="F14" s="325">
        <v>1273267.07</v>
      </c>
      <c r="G14" s="326">
        <v>198367</v>
      </c>
      <c r="H14" s="326">
        <v>158825</v>
      </c>
      <c r="I14" s="327">
        <v>82250</v>
      </c>
      <c r="J14" s="231">
        <f>$B$1</f>
        <v>46023</v>
      </c>
      <c r="K14" s="326">
        <v>334622</v>
      </c>
      <c r="L14" s="326">
        <v>1275895</v>
      </c>
      <c r="M14" s="326">
        <v>194965</v>
      </c>
      <c r="N14" s="326">
        <v>153825</v>
      </c>
      <c r="O14" s="327">
        <v>80250</v>
      </c>
      <c r="P14" s="232">
        <v>0.59299999999999997</v>
      </c>
      <c r="Q14" s="233"/>
      <c r="R14" s="233">
        <v>0.67900000000000005</v>
      </c>
      <c r="S14" s="233">
        <v>1.3959999999999999</v>
      </c>
      <c r="T14" s="233"/>
      <c r="U14" s="233">
        <v>0.84899999999999998</v>
      </c>
      <c r="V14" s="234">
        <v>7.0999999999999994E-2</v>
      </c>
      <c r="W14" s="328">
        <f>'AUTO CALCULATION SHEET (2)'!E53*1000</f>
        <v>785530</v>
      </c>
      <c r="X14" s="329">
        <f t="shared" si="3"/>
        <v>10496.289760000003</v>
      </c>
      <c r="Y14" s="330">
        <f>(Q14*(F14-L14))</f>
        <v>0</v>
      </c>
      <c r="Z14" s="326">
        <f>(R14*(G14-M14))</f>
        <v>2309.9580000000001</v>
      </c>
      <c r="AA14" s="326">
        <f>(S14*(H14-N14))</f>
        <v>6979.9999999999991</v>
      </c>
      <c r="AB14" s="326">
        <f t="shared" si="1"/>
        <v>1698</v>
      </c>
      <c r="AC14" s="331">
        <f t="shared" si="2"/>
        <v>-186.58302999999535</v>
      </c>
      <c r="AD14" s="328">
        <f>X14+Y14+Z14+AA14+AB14+AC14</f>
        <v>21297.664730000008</v>
      </c>
      <c r="AE14" s="332">
        <f>+W14+AD14</f>
        <v>806827.66472999996</v>
      </c>
      <c r="AF14" s="236">
        <f>'AUTO CALCULATION SHEET (2)'!N22</f>
        <v>567</v>
      </c>
      <c r="AG14" s="237">
        <f>'AUTO CALCULATION SHEET (2)'!W22</f>
        <v>0</v>
      </c>
      <c r="AH14" s="237">
        <f>'AUTO CALCULATION SHEET (2)'!AA22</f>
        <v>81</v>
      </c>
      <c r="AI14" s="237">
        <f>'AUTO CALCULATION SHEET (2)'!AG22</f>
        <v>188</v>
      </c>
      <c r="AJ14" s="237">
        <f>'AUTO CALCULATION SHEET (2)'!AH22</f>
        <v>474</v>
      </c>
      <c r="AK14" s="237">
        <f>'AUTO CALCULATION SHEET (2)'!AJ22</f>
        <v>0</v>
      </c>
      <c r="AL14" s="237">
        <f>'AUTO CALCULATION SHEET (2)'!AQ22</f>
        <v>30</v>
      </c>
      <c r="AM14" s="237">
        <f>'AUTO CALCULATION SHEET (2)'!AX22</f>
        <v>167</v>
      </c>
      <c r="AN14" s="237">
        <f>'AUTO CALCULATION SHEET (2)'!BG22</f>
        <v>858</v>
      </c>
      <c r="AO14" s="237">
        <f>'AUTO CALCULATION SHEET (2)'!BO22</f>
        <v>708</v>
      </c>
      <c r="AP14" s="237">
        <f>'AUTO CALCULATION SHEET (2)'!BR22</f>
        <v>0</v>
      </c>
      <c r="AQ14" s="237">
        <f>'AUTO CALCULATION SHEET (2)'!BX22</f>
        <v>533</v>
      </c>
      <c r="AR14" s="237">
        <f>'AUTO CALCULATION SHEET (2)'!BY22</f>
        <v>0</v>
      </c>
      <c r="AS14" s="237">
        <f>'AUTO CALCULATION SHEET (2)'!BZ22</f>
        <v>0</v>
      </c>
      <c r="AT14" s="237">
        <f>'AUTO CALCULATION SHEET (2)'!CA22</f>
        <v>31</v>
      </c>
      <c r="AU14" s="237">
        <f>'AUTO CALCULATION SHEET (2)'!CB22</f>
        <v>0</v>
      </c>
      <c r="AV14" s="237">
        <f>'AUTO CALCULATION SHEET (2)'!CE22</f>
        <v>35</v>
      </c>
      <c r="AW14" s="237">
        <f>'AUTO CALCULATION SHEET (2)'!CF22</f>
        <v>0</v>
      </c>
      <c r="AX14" s="333">
        <f>SUMPRODUCT(AF14:AW14,$AF$10:$AW$10)</f>
        <v>621586</v>
      </c>
      <c r="AY14" s="334">
        <f>'AUTO CALCULATION SHEET (2)'!CK22</f>
        <v>19800</v>
      </c>
      <c r="AZ14" s="333">
        <f>AX14+AY14</f>
        <v>641386</v>
      </c>
      <c r="BA14" s="334">
        <f>AE14-AZ14</f>
        <v>165441.66472999996</v>
      </c>
      <c r="BB14" s="333">
        <f>ROUND((BA14/AZ14)*100,2)</f>
        <v>25.79</v>
      </c>
      <c r="BC14" s="238">
        <v>0</v>
      </c>
      <c r="BD14" s="238">
        <v>2</v>
      </c>
      <c r="BE14" s="238">
        <v>0</v>
      </c>
      <c r="BF14" s="239">
        <f>BB14-BC14-BD14-BE14</f>
        <v>23.79</v>
      </c>
    </row>
    <row r="15" spans="1:58" ht="24" customHeight="1" x14ac:dyDescent="0.2">
      <c r="A15" s="227" t="str">
        <f>'AUTO CALCULATION SHEET (2)'!D23</f>
        <v>3 CORE X 400 SQ. MM. AL/ARM - STRIP (XLPE) - 33 KV</v>
      </c>
      <c r="B15" s="228"/>
      <c r="C15" s="229" t="s">
        <v>338</v>
      </c>
      <c r="D15" s="230">
        <v>46098</v>
      </c>
      <c r="E15" s="324">
        <v>352322.32</v>
      </c>
      <c r="F15" s="325">
        <v>1273267.07</v>
      </c>
      <c r="G15" s="326">
        <v>198367</v>
      </c>
      <c r="H15" s="326">
        <v>158825</v>
      </c>
      <c r="I15" s="327">
        <v>82250</v>
      </c>
      <c r="J15" s="231">
        <f>$B$1</f>
        <v>46023</v>
      </c>
      <c r="K15" s="326">
        <v>334622</v>
      </c>
      <c r="L15" s="326">
        <v>1275895</v>
      </c>
      <c r="M15" s="326">
        <v>194965</v>
      </c>
      <c r="N15" s="326">
        <v>153825</v>
      </c>
      <c r="O15" s="327">
        <v>80250</v>
      </c>
      <c r="P15" s="232">
        <v>3.3740000000000001</v>
      </c>
      <c r="Q15" s="233"/>
      <c r="R15" s="233">
        <v>3.2290000000000001</v>
      </c>
      <c r="S15" s="233">
        <v>5.7359999999999998</v>
      </c>
      <c r="T15" s="233"/>
      <c r="U15" s="233">
        <v>1.8759999999999999</v>
      </c>
      <c r="V15" s="234">
        <v>0.16400000000000001</v>
      </c>
      <c r="W15" s="328">
        <f>'AUTO CALCULATION SHEET (2)'!E54*1000</f>
        <v>3371290.0000000005</v>
      </c>
      <c r="X15" s="329">
        <f t="shared" si="3"/>
        <v>59720.879680000027</v>
      </c>
      <c r="Y15" s="330">
        <f t="shared" si="3"/>
        <v>0</v>
      </c>
      <c r="Z15" s="326">
        <f t="shared" si="3"/>
        <v>10985.058000000001</v>
      </c>
      <c r="AA15" s="326">
        <f t="shared" si="3"/>
        <v>28680</v>
      </c>
      <c r="AB15" s="326">
        <f t="shared" si="1"/>
        <v>3752</v>
      </c>
      <c r="AC15" s="331">
        <f t="shared" si="2"/>
        <v>-430.98051999998933</v>
      </c>
      <c r="AD15" s="328">
        <f>X15+Y15+Z15+AA15+AB15+AC15</f>
        <v>102706.95716000005</v>
      </c>
      <c r="AE15" s="332">
        <f>+W15+AD15</f>
        <v>3473996.9571600007</v>
      </c>
      <c r="AF15" s="236">
        <f>'AUTO CALCULATION SHEET (2)'!N23</f>
        <v>3240</v>
      </c>
      <c r="AG15" s="237">
        <f>'AUTO CALCULATION SHEET (2)'!W23</f>
        <v>0</v>
      </c>
      <c r="AH15" s="237">
        <f>'AUTO CALCULATION SHEET (2)'!AA23</f>
        <v>181</v>
      </c>
      <c r="AI15" s="237">
        <f>'AUTO CALCULATION SHEET (2)'!AG23</f>
        <v>427</v>
      </c>
      <c r="AJ15" s="237">
        <f>'AUTO CALCULATION SHEET (2)'!AH23</f>
        <v>0</v>
      </c>
      <c r="AK15" s="237">
        <f>'AUTO CALCULATION SHEET (2)'!AJ23</f>
        <v>2621</v>
      </c>
      <c r="AL15" s="237">
        <f>'AUTO CALCULATION SHEET (2)'!AQ23</f>
        <v>66</v>
      </c>
      <c r="AM15" s="237">
        <f>'AUTO CALCULATION SHEET (2)'!AX23</f>
        <v>426</v>
      </c>
      <c r="AN15" s="237">
        <f>'AUTO CALCULATION SHEET (2)'!BG23</f>
        <v>1728</v>
      </c>
      <c r="AO15" s="237">
        <f>'AUTO CALCULATION SHEET (2)'!BO23</f>
        <v>1638</v>
      </c>
      <c r="AP15" s="237">
        <f>'AUTO CALCULATION SHEET (2)'!BR23</f>
        <v>0</v>
      </c>
      <c r="AQ15" s="237">
        <f>'AUTO CALCULATION SHEET (2)'!BX23</f>
        <v>0</v>
      </c>
      <c r="AR15" s="237">
        <f>'AUTO CALCULATION SHEET (2)'!BY23</f>
        <v>1718</v>
      </c>
      <c r="AS15" s="237">
        <f>'AUTO CALCULATION SHEET (2)'!BZ23</f>
        <v>0</v>
      </c>
      <c r="AT15" s="237">
        <f>'AUTO CALCULATION SHEET (2)'!CA23</f>
        <v>104</v>
      </c>
      <c r="AU15" s="237">
        <f>'AUTO CALCULATION SHEET (2)'!CB23</f>
        <v>58</v>
      </c>
      <c r="AV15" s="237">
        <f>'AUTO CALCULATION SHEET (2)'!CE23</f>
        <v>69</v>
      </c>
      <c r="AW15" s="237">
        <f>'AUTO CALCULATION SHEET (2)'!CF23</f>
        <v>0</v>
      </c>
      <c r="AX15" s="333">
        <f>SUMPRODUCT(AF15:AW15,$AF$10:$AW$10)</f>
        <v>2682222</v>
      </c>
      <c r="AY15" s="334">
        <f>'AUTO CALCULATION SHEET (2)'!CK23</f>
        <v>44000</v>
      </c>
      <c r="AZ15" s="333">
        <f>AX15+AY15</f>
        <v>2726222</v>
      </c>
      <c r="BA15" s="334">
        <f>AE15-AZ15</f>
        <v>747774.95716000069</v>
      </c>
      <c r="BB15" s="333">
        <f>ROUND((BA15/AZ15)*100,2)</f>
        <v>27.43</v>
      </c>
      <c r="BC15" s="238">
        <v>0</v>
      </c>
      <c r="BD15" s="238">
        <v>2</v>
      </c>
      <c r="BE15" s="238">
        <v>0</v>
      </c>
      <c r="BF15" s="239">
        <f>BB15-BC15-BD15-BE15</f>
        <v>25.43</v>
      </c>
    </row>
    <row r="16" spans="1:58" ht="24" customHeight="1" x14ac:dyDescent="0.2">
      <c r="A16" s="227" t="str">
        <f>'AUTO CALCULATION SHEET (2)'!D24</f>
        <v>3 CORE X 300 SQ. MM. AL/ARM - STRIP (XLPE) - 33 KV</v>
      </c>
      <c r="B16" s="228"/>
      <c r="C16" s="229" t="s">
        <v>338</v>
      </c>
      <c r="D16" s="230">
        <v>46098</v>
      </c>
      <c r="E16" s="324">
        <v>352322.32</v>
      </c>
      <c r="F16" s="325">
        <v>1273267.07</v>
      </c>
      <c r="G16" s="326">
        <v>198367</v>
      </c>
      <c r="H16" s="326">
        <v>158825</v>
      </c>
      <c r="I16" s="327">
        <v>82250</v>
      </c>
      <c r="J16" s="231">
        <f t="shared" ref="J16" si="4">$B$1</f>
        <v>46023</v>
      </c>
      <c r="K16" s="326">
        <v>334622</v>
      </c>
      <c r="L16" s="326">
        <v>1275895</v>
      </c>
      <c r="M16" s="326">
        <v>194965</v>
      </c>
      <c r="N16" s="326">
        <v>153825</v>
      </c>
      <c r="O16" s="327">
        <v>80250</v>
      </c>
      <c r="P16" s="232">
        <v>2.6349999999999998</v>
      </c>
      <c r="Q16" s="233"/>
      <c r="R16" s="233">
        <v>2.919</v>
      </c>
      <c r="S16" s="233">
        <v>5.0289999999999999</v>
      </c>
      <c r="T16" s="233"/>
      <c r="U16" s="233">
        <v>1.758</v>
      </c>
      <c r="V16" s="234">
        <v>0.15</v>
      </c>
      <c r="W16" s="328">
        <f>'AUTO CALCULATION SHEET (2)'!E55*1000</f>
        <v>2833570</v>
      </c>
      <c r="X16" s="329">
        <f t="shared" si="3"/>
        <v>46640.343200000018</v>
      </c>
      <c r="Y16" s="330">
        <f t="shared" si="3"/>
        <v>0</v>
      </c>
      <c r="Z16" s="326">
        <f t="shared" si="3"/>
        <v>9930.4380000000001</v>
      </c>
      <c r="AA16" s="326">
        <f t="shared" si="3"/>
        <v>25145</v>
      </c>
      <c r="AB16" s="326">
        <f t="shared" si="1"/>
        <v>3516</v>
      </c>
      <c r="AC16" s="331">
        <f t="shared" si="2"/>
        <v>-394.18949999999023</v>
      </c>
      <c r="AD16" s="328">
        <f t="shared" ref="AD16" si="5">X16+Y16+Z16+AA16+AB16+AC16</f>
        <v>84837.591700000034</v>
      </c>
      <c r="AE16" s="332">
        <f t="shared" ref="AE16" si="6">+W16+AD16</f>
        <v>2918407.5917000002</v>
      </c>
      <c r="AF16" s="236">
        <f>'AUTO CALCULATION SHEET (2)'!N24</f>
        <v>2430</v>
      </c>
      <c r="AG16" s="237">
        <f>'AUTO CALCULATION SHEET (2)'!W24</f>
        <v>0</v>
      </c>
      <c r="AH16" s="237">
        <f>'AUTO CALCULATION SHEET (2)'!AA24</f>
        <v>168</v>
      </c>
      <c r="AI16" s="237">
        <f>'AUTO CALCULATION SHEET (2)'!AG24</f>
        <v>386</v>
      </c>
      <c r="AJ16" s="237">
        <f>'AUTO CALCULATION SHEET (2)'!AH24</f>
        <v>0</v>
      </c>
      <c r="AK16" s="237">
        <f>'AUTO CALCULATION SHEET (2)'!AJ24</f>
        <v>2385</v>
      </c>
      <c r="AL16" s="237">
        <f>'AUTO CALCULATION SHEET (2)'!AQ24</f>
        <v>61</v>
      </c>
      <c r="AM16" s="237">
        <f>'AUTO CALCULATION SHEET (2)'!AX24</f>
        <v>397</v>
      </c>
      <c r="AN16" s="237">
        <f>'AUTO CALCULATION SHEET (2)'!BG24</f>
        <v>1620</v>
      </c>
      <c r="AO16" s="237">
        <f>'AUTO CALCULATION SHEET (2)'!BO24</f>
        <v>1533</v>
      </c>
      <c r="AP16" s="237">
        <f>'AUTO CALCULATION SHEET (2)'!BR24</f>
        <v>0</v>
      </c>
      <c r="AQ16" s="237">
        <f>'AUTO CALCULATION SHEET (2)'!BX24</f>
        <v>0</v>
      </c>
      <c r="AR16" s="237">
        <f>'AUTO CALCULATION SHEET (2)'!BY24</f>
        <v>1497</v>
      </c>
      <c r="AS16" s="237">
        <f>'AUTO CALCULATION SHEET (2)'!BZ24</f>
        <v>0</v>
      </c>
      <c r="AT16" s="237">
        <f>'AUTO CALCULATION SHEET (2)'!CA24</f>
        <v>93</v>
      </c>
      <c r="AU16" s="237">
        <f>'AUTO CALCULATION SHEET (2)'!CB24</f>
        <v>38</v>
      </c>
      <c r="AV16" s="237">
        <f>'AUTO CALCULATION SHEET (2)'!CE24</f>
        <v>58</v>
      </c>
      <c r="AW16" s="237">
        <f>'AUTO CALCULATION SHEET (2)'!CF24</f>
        <v>0</v>
      </c>
      <c r="AX16" s="333">
        <f>SUMPRODUCT(AF16:AW16,$AF$10:$AW$10)</f>
        <v>2254939</v>
      </c>
      <c r="AY16" s="334">
        <f>'AUTO CALCULATION SHEET (2)'!CK24</f>
        <v>44000</v>
      </c>
      <c r="AZ16" s="333">
        <f t="shared" ref="AZ16" si="7">AX16+AY16</f>
        <v>2298939</v>
      </c>
      <c r="BA16" s="334">
        <f>AE16-AZ16</f>
        <v>619468.59170000022</v>
      </c>
      <c r="BB16" s="333">
        <f t="shared" ref="BB16" si="8">ROUND((BA16/AZ16)*100,2)</f>
        <v>26.95</v>
      </c>
      <c r="BC16" s="238">
        <v>0</v>
      </c>
      <c r="BD16" s="238">
        <v>2</v>
      </c>
      <c r="BE16" s="238">
        <v>0</v>
      </c>
      <c r="BF16" s="239">
        <f t="shared" ref="BF16" si="9">BB16-BC16-BD16-BE16</f>
        <v>24.95</v>
      </c>
    </row>
    <row r="17" spans="1:58" s="255" customFormat="1" ht="31.5" customHeight="1" thickBot="1" x14ac:dyDescent="0.25">
      <c r="A17" s="240"/>
      <c r="B17" s="240"/>
      <c r="C17" s="241"/>
      <c r="D17" s="242"/>
      <c r="E17" s="243"/>
      <c r="F17" s="243"/>
      <c r="G17" s="243"/>
      <c r="H17" s="243"/>
      <c r="I17" s="244"/>
      <c r="J17" s="245"/>
      <c r="K17" s="246"/>
      <c r="L17" s="246"/>
      <c r="M17" s="246"/>
      <c r="N17" s="246"/>
      <c r="O17" s="247"/>
      <c r="P17" s="245"/>
      <c r="Q17" s="243"/>
      <c r="R17" s="243"/>
      <c r="S17" s="243"/>
      <c r="T17" s="243"/>
      <c r="U17" s="243"/>
      <c r="V17" s="244"/>
      <c r="W17" s="248"/>
      <c r="X17" s="249"/>
      <c r="Y17" s="250"/>
      <c r="Z17" s="250"/>
      <c r="AA17" s="250"/>
      <c r="AB17" s="250"/>
      <c r="AC17" s="251"/>
      <c r="AD17" s="252"/>
      <c r="AE17" s="248"/>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3"/>
      <c r="BD17" s="253"/>
      <c r="BE17" s="253"/>
      <c r="BF17" s="254"/>
    </row>
    <row r="18" spans="1:58" s="255" customFormat="1" x14ac:dyDescent="0.2">
      <c r="A18" s="168"/>
      <c r="B18" s="168"/>
      <c r="C18" s="168"/>
      <c r="D18" s="168"/>
      <c r="E18" s="256"/>
      <c r="F18" s="256"/>
      <c r="G18" s="168"/>
      <c r="H18" s="168"/>
      <c r="I18" s="168"/>
      <c r="J18" s="168"/>
      <c r="K18" s="168"/>
      <c r="L18" s="168"/>
      <c r="M18" s="168"/>
    </row>
    <row r="20" spans="1:58" x14ac:dyDescent="0.2">
      <c r="J20" s="257"/>
    </row>
    <row r="21" spans="1:58" x14ac:dyDescent="0.2">
      <c r="J21" s="257"/>
    </row>
  </sheetData>
  <mergeCells count="41">
    <mergeCell ref="BD9:BD11"/>
    <mergeCell ref="BE9:BE11"/>
    <mergeCell ref="BF9:BF11"/>
    <mergeCell ref="AX9:AX11"/>
    <mergeCell ref="AY9:AY11"/>
    <mergeCell ref="AZ9:AZ11"/>
    <mergeCell ref="BA9:BA11"/>
    <mergeCell ref="BB9:BB11"/>
    <mergeCell ref="BC9:BC11"/>
    <mergeCell ref="J9:J10"/>
    <mergeCell ref="K9:K10"/>
    <mergeCell ref="L9:L10"/>
    <mergeCell ref="M9:M10"/>
    <mergeCell ref="N9:N10"/>
    <mergeCell ref="O9:O10"/>
    <mergeCell ref="AB8:AB10"/>
    <mergeCell ref="AC8:AC10"/>
    <mergeCell ref="AD8:AD10"/>
    <mergeCell ref="AE8:AE10"/>
    <mergeCell ref="D9:D10"/>
    <mergeCell ref="E9:E10"/>
    <mergeCell ref="F9:F10"/>
    <mergeCell ref="G9:G10"/>
    <mergeCell ref="H9:H10"/>
    <mergeCell ref="I9:I10"/>
    <mergeCell ref="P8:V9"/>
    <mergeCell ref="W8:W10"/>
    <mergeCell ref="X8:X10"/>
    <mergeCell ref="Y8:Y10"/>
    <mergeCell ref="Z8:Z10"/>
    <mergeCell ref="AA8:AA10"/>
    <mergeCell ref="B1:M1"/>
    <mergeCell ref="A2:M2"/>
    <mergeCell ref="A3:M4"/>
    <mergeCell ref="AD5:AE5"/>
    <mergeCell ref="AF7:BF8"/>
    <mergeCell ref="A8:A10"/>
    <mergeCell ref="B8:B10"/>
    <mergeCell ref="C8:C10"/>
    <mergeCell ref="D8:I8"/>
    <mergeCell ref="J8:O8"/>
  </mergeCells>
  <pageMargins left="0.17" right="0.17" top="4.3499999999999996" bottom="0.75" header="0.3" footer="0.3"/>
  <pageSetup paperSize="9" scale="2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BE1E-824C-474A-8D2D-FA9891799FAB}">
  <sheetPr>
    <tabColor rgb="FFFF0000"/>
  </sheetPr>
  <dimension ref="A1:BK15"/>
  <sheetViews>
    <sheetView showZeros="0" zoomScaleNormal="100" workbookViewId="0">
      <selection activeCell="F17" sqref="F17"/>
    </sheetView>
  </sheetViews>
  <sheetFormatPr defaultRowHeight="12.75" x14ac:dyDescent="0.2"/>
  <cols>
    <col min="1" max="1" width="41" style="168" customWidth="1"/>
    <col min="2" max="2" width="19.5703125" style="168" bestFit="1" customWidth="1"/>
    <col min="3" max="3" width="11.28515625" style="168" customWidth="1"/>
    <col min="4" max="4" width="11.5703125" style="168" customWidth="1"/>
    <col min="5" max="5" width="11.140625" style="168" bestFit="1" customWidth="1"/>
    <col min="6" max="6" width="12.140625" style="168" bestFit="1" customWidth="1"/>
    <col min="7" max="8" width="11.140625" style="168" bestFit="1" customWidth="1"/>
    <col min="9" max="9" width="10.7109375" style="168" bestFit="1" customWidth="1"/>
    <col min="10" max="10" width="11.140625" style="168" bestFit="1" customWidth="1"/>
    <col min="11" max="11" width="12.140625" style="168" bestFit="1" customWidth="1"/>
    <col min="12" max="12" width="11.140625" style="168" bestFit="1" customWidth="1"/>
    <col min="13" max="13" width="11.42578125" style="168" customWidth="1"/>
    <col min="14" max="14" width="7.42578125" style="168" customWidth="1"/>
    <col min="15" max="15" width="7.7109375" style="168" customWidth="1"/>
    <col min="16" max="16" width="7.5703125" style="168" customWidth="1"/>
    <col min="17" max="17" width="7" style="168" customWidth="1"/>
    <col min="18" max="18" width="8.7109375" style="168" customWidth="1"/>
    <col min="19" max="19" width="8.42578125" style="168" customWidth="1"/>
    <col min="20" max="20" width="9" style="168" customWidth="1"/>
    <col min="21" max="21" width="7.42578125" style="168" bestFit="1" customWidth="1"/>
    <col min="22" max="22" width="9.5703125" style="168" customWidth="1"/>
    <col min="23" max="23" width="8.5703125" style="168" customWidth="1"/>
    <col min="24" max="24" width="12.140625" style="168" bestFit="1" customWidth="1"/>
    <col min="25" max="25" width="10.42578125" style="168" bestFit="1" customWidth="1"/>
    <col min="26" max="26" width="10" style="168" bestFit="1" customWidth="1"/>
    <col min="27" max="27" width="9.28515625" style="168" bestFit="1" customWidth="1"/>
    <col min="28" max="28" width="9.28515625" style="168" customWidth="1"/>
    <col min="29" max="32" width="10" style="168" customWidth="1"/>
    <col min="33" max="33" width="8.85546875" style="168" customWidth="1"/>
    <col min="34" max="34" width="10.85546875" style="168" customWidth="1"/>
    <col min="35" max="35" width="14.42578125" style="168" bestFit="1" customWidth="1"/>
    <col min="36" max="36" width="10.85546875" style="168" customWidth="1"/>
    <col min="37" max="48" width="9.5703125" style="168" customWidth="1"/>
    <col min="49" max="49" width="9.5703125" style="168" bestFit="1" customWidth="1"/>
    <col min="50" max="53" width="9.5703125" style="168" customWidth="1"/>
    <col min="54" max="54" width="12.85546875" style="168" bestFit="1" customWidth="1"/>
    <col min="55" max="55" width="10.28515625" style="168" bestFit="1" customWidth="1"/>
    <col min="56" max="56" width="12.85546875" style="168" bestFit="1" customWidth="1"/>
    <col min="57" max="57" width="11.85546875" style="168" bestFit="1" customWidth="1"/>
    <col min="58" max="58" width="9" style="168" bestFit="1" customWidth="1"/>
    <col min="59" max="59" width="8.85546875" style="168" customWidth="1"/>
    <col min="60" max="61" width="9.140625" style="168"/>
    <col min="62" max="62" width="12.140625" style="168" bestFit="1" customWidth="1"/>
    <col min="63" max="277" width="9.140625" style="168"/>
    <col min="278" max="278" width="41" style="168" customWidth="1"/>
    <col min="279" max="279" width="19.5703125" style="168" bestFit="1" customWidth="1"/>
    <col min="280" max="280" width="10.140625" style="168" customWidth="1"/>
    <col min="281" max="281" width="10.42578125" style="168" bestFit="1" customWidth="1"/>
    <col min="282" max="282" width="11.28515625" style="168" customWidth="1"/>
    <col min="283" max="283" width="9.42578125" style="168" customWidth="1"/>
    <col min="284" max="284" width="10.140625" style="168" bestFit="1" customWidth="1"/>
    <col min="285" max="286" width="9.140625" style="168"/>
    <col min="287" max="287" width="7.28515625" style="168" customWidth="1"/>
    <col min="288" max="293" width="7.42578125" style="168" customWidth="1"/>
    <col min="294" max="294" width="9.42578125" style="168" bestFit="1" customWidth="1"/>
    <col min="295" max="295" width="12" style="168" bestFit="1" customWidth="1"/>
    <col min="296" max="297" width="12" style="168" customWidth="1"/>
    <col min="298" max="298" width="13.140625" style="168" bestFit="1" customWidth="1"/>
    <col min="299" max="300" width="13.140625" style="168" customWidth="1"/>
    <col min="301" max="302" width="14.42578125" style="168" bestFit="1" customWidth="1"/>
    <col min="303" max="304" width="9.140625" style="168" customWidth="1"/>
    <col min="305" max="305" width="9.5703125" style="168" customWidth="1"/>
    <col min="306" max="307" width="9.5703125" style="168" bestFit="1" customWidth="1"/>
    <col min="308" max="309" width="10.140625" style="168" bestFit="1" customWidth="1"/>
    <col min="310" max="310" width="9.5703125" style="168" bestFit="1" customWidth="1"/>
    <col min="311" max="311" width="9.5703125" style="168" customWidth="1"/>
    <col min="312" max="312" width="9" style="168" customWidth="1"/>
    <col min="313" max="313" width="10.5703125" style="168" bestFit="1" customWidth="1"/>
    <col min="314" max="314" width="11.42578125" style="168" bestFit="1" customWidth="1"/>
    <col min="315" max="315" width="18" style="168" bestFit="1" customWidth="1"/>
    <col min="316" max="533" width="9.140625" style="168"/>
    <col min="534" max="534" width="41" style="168" customWidth="1"/>
    <col min="535" max="535" width="19.5703125" style="168" bestFit="1" customWidth="1"/>
    <col min="536" max="536" width="10.140625" style="168" customWidth="1"/>
    <col min="537" max="537" width="10.42578125" style="168" bestFit="1" customWidth="1"/>
    <col min="538" max="538" width="11.28515625" style="168" customWidth="1"/>
    <col min="539" max="539" width="9.42578125" style="168" customWidth="1"/>
    <col min="540" max="540" width="10.140625" style="168" bestFit="1" customWidth="1"/>
    <col min="541" max="542" width="9.140625" style="168"/>
    <col min="543" max="543" width="7.28515625" style="168" customWidth="1"/>
    <col min="544" max="549" width="7.42578125" style="168" customWidth="1"/>
    <col min="550" max="550" width="9.42578125" style="168" bestFit="1" customWidth="1"/>
    <col min="551" max="551" width="12" style="168" bestFit="1" customWidth="1"/>
    <col min="552" max="553" width="12" style="168" customWidth="1"/>
    <col min="554" max="554" width="13.140625" style="168" bestFit="1" customWidth="1"/>
    <col min="555" max="556" width="13.140625" style="168" customWidth="1"/>
    <col min="557" max="558" width="14.42578125" style="168" bestFit="1" customWidth="1"/>
    <col min="559" max="560" width="9.140625" style="168" customWidth="1"/>
    <col min="561" max="561" width="9.5703125" style="168" customWidth="1"/>
    <col min="562" max="563" width="9.5703125" style="168" bestFit="1" customWidth="1"/>
    <col min="564" max="565" width="10.140625" style="168" bestFit="1" customWidth="1"/>
    <col min="566" max="566" width="9.5703125" style="168" bestFit="1" customWidth="1"/>
    <col min="567" max="567" width="9.5703125" style="168" customWidth="1"/>
    <col min="568" max="568" width="9" style="168" customWidth="1"/>
    <col min="569" max="569" width="10.5703125" style="168" bestFit="1" customWidth="1"/>
    <col min="570" max="570" width="11.42578125" style="168" bestFit="1" customWidth="1"/>
    <col min="571" max="571" width="18" style="168" bestFit="1" customWidth="1"/>
    <col min="572" max="789" width="9.140625" style="168"/>
    <col min="790" max="790" width="41" style="168" customWidth="1"/>
    <col min="791" max="791" width="19.5703125" style="168" bestFit="1" customWidth="1"/>
    <col min="792" max="792" width="10.140625" style="168" customWidth="1"/>
    <col min="793" max="793" width="10.42578125" style="168" bestFit="1" customWidth="1"/>
    <col min="794" max="794" width="11.28515625" style="168" customWidth="1"/>
    <col min="795" max="795" width="9.42578125" style="168" customWidth="1"/>
    <col min="796" max="796" width="10.140625" style="168" bestFit="1" customWidth="1"/>
    <col min="797" max="798" width="9.140625" style="168"/>
    <col min="799" max="799" width="7.28515625" style="168" customWidth="1"/>
    <col min="800" max="805" width="7.42578125" style="168" customWidth="1"/>
    <col min="806" max="806" width="9.42578125" style="168" bestFit="1" customWidth="1"/>
    <col min="807" max="807" width="12" style="168" bestFit="1" customWidth="1"/>
    <col min="808" max="809" width="12" style="168" customWidth="1"/>
    <col min="810" max="810" width="13.140625" style="168" bestFit="1" customWidth="1"/>
    <col min="811" max="812" width="13.140625" style="168" customWidth="1"/>
    <col min="813" max="814" width="14.42578125" style="168" bestFit="1" customWidth="1"/>
    <col min="815" max="816" width="9.140625" style="168" customWidth="1"/>
    <col min="817" max="817" width="9.5703125" style="168" customWidth="1"/>
    <col min="818" max="819" width="9.5703125" style="168" bestFit="1" customWidth="1"/>
    <col min="820" max="821" width="10.140625" style="168" bestFit="1" customWidth="1"/>
    <col min="822" max="822" width="9.5703125" style="168" bestFit="1" customWidth="1"/>
    <col min="823" max="823" width="9.5703125" style="168" customWidth="1"/>
    <col min="824" max="824" width="9" style="168" customWidth="1"/>
    <col min="825" max="825" width="10.5703125" style="168" bestFit="1" customWidth="1"/>
    <col min="826" max="826" width="11.42578125" style="168" bestFit="1" customWidth="1"/>
    <col min="827" max="827" width="18" style="168" bestFit="1" customWidth="1"/>
    <col min="828" max="1045" width="9.140625" style="168"/>
    <col min="1046" max="1046" width="41" style="168" customWidth="1"/>
    <col min="1047" max="1047" width="19.5703125" style="168" bestFit="1" customWidth="1"/>
    <col min="1048" max="1048" width="10.140625" style="168" customWidth="1"/>
    <col min="1049" max="1049" width="10.42578125" style="168" bestFit="1" customWidth="1"/>
    <col min="1050" max="1050" width="11.28515625" style="168" customWidth="1"/>
    <col min="1051" max="1051" width="9.42578125" style="168" customWidth="1"/>
    <col min="1052" max="1052" width="10.140625" style="168" bestFit="1" customWidth="1"/>
    <col min="1053" max="1054" width="9.140625" style="168"/>
    <col min="1055" max="1055" width="7.28515625" style="168" customWidth="1"/>
    <col min="1056" max="1061" width="7.42578125" style="168" customWidth="1"/>
    <col min="1062" max="1062" width="9.42578125" style="168" bestFit="1" customWidth="1"/>
    <col min="1063" max="1063" width="12" style="168" bestFit="1" customWidth="1"/>
    <col min="1064" max="1065" width="12" style="168" customWidth="1"/>
    <col min="1066" max="1066" width="13.140625" style="168" bestFit="1" customWidth="1"/>
    <col min="1067" max="1068" width="13.140625" style="168" customWidth="1"/>
    <col min="1069" max="1070" width="14.42578125" style="168" bestFit="1" customWidth="1"/>
    <col min="1071" max="1072" width="9.140625" style="168" customWidth="1"/>
    <col min="1073" max="1073" width="9.5703125" style="168" customWidth="1"/>
    <col min="1074" max="1075" width="9.5703125" style="168" bestFit="1" customWidth="1"/>
    <col min="1076" max="1077" width="10.140625" style="168" bestFit="1" customWidth="1"/>
    <col min="1078" max="1078" width="9.5703125" style="168" bestFit="1" customWidth="1"/>
    <col min="1079" max="1079" width="9.5703125" style="168" customWidth="1"/>
    <col min="1080" max="1080" width="9" style="168" customWidth="1"/>
    <col min="1081" max="1081" width="10.5703125" style="168" bestFit="1" customWidth="1"/>
    <col min="1082" max="1082" width="11.42578125" style="168" bestFit="1" customWidth="1"/>
    <col min="1083" max="1083" width="18" style="168" bestFit="1" customWidth="1"/>
    <col min="1084" max="1301" width="9.140625" style="168"/>
    <col min="1302" max="1302" width="41" style="168" customWidth="1"/>
    <col min="1303" max="1303" width="19.5703125" style="168" bestFit="1" customWidth="1"/>
    <col min="1304" max="1304" width="10.140625" style="168" customWidth="1"/>
    <col min="1305" max="1305" width="10.42578125" style="168" bestFit="1" customWidth="1"/>
    <col min="1306" max="1306" width="11.28515625" style="168" customWidth="1"/>
    <col min="1307" max="1307" width="9.42578125" style="168" customWidth="1"/>
    <col min="1308" max="1308" width="10.140625" style="168" bestFit="1" customWidth="1"/>
    <col min="1309" max="1310" width="9.140625" style="168"/>
    <col min="1311" max="1311" width="7.28515625" style="168" customWidth="1"/>
    <col min="1312" max="1317" width="7.42578125" style="168" customWidth="1"/>
    <col min="1318" max="1318" width="9.42578125" style="168" bestFit="1" customWidth="1"/>
    <col min="1319" max="1319" width="12" style="168" bestFit="1" customWidth="1"/>
    <col min="1320" max="1321" width="12" style="168" customWidth="1"/>
    <col min="1322" max="1322" width="13.140625" style="168" bestFit="1" customWidth="1"/>
    <col min="1323" max="1324" width="13.140625" style="168" customWidth="1"/>
    <col min="1325" max="1326" width="14.42578125" style="168" bestFit="1" customWidth="1"/>
    <col min="1327" max="1328" width="9.140625" style="168" customWidth="1"/>
    <col min="1329" max="1329" width="9.5703125" style="168" customWidth="1"/>
    <col min="1330" max="1331" width="9.5703125" style="168" bestFit="1" customWidth="1"/>
    <col min="1332" max="1333" width="10.140625" style="168" bestFit="1" customWidth="1"/>
    <col min="1334" max="1334" width="9.5703125" style="168" bestFit="1" customWidth="1"/>
    <col min="1335" max="1335" width="9.5703125" style="168" customWidth="1"/>
    <col min="1336" max="1336" width="9" style="168" customWidth="1"/>
    <col min="1337" max="1337" width="10.5703125" style="168" bestFit="1" customWidth="1"/>
    <col min="1338" max="1338" width="11.42578125" style="168" bestFit="1" customWidth="1"/>
    <col min="1339" max="1339" width="18" style="168" bestFit="1" customWidth="1"/>
    <col min="1340" max="1557" width="9.140625" style="168"/>
    <col min="1558" max="1558" width="41" style="168" customWidth="1"/>
    <col min="1559" max="1559" width="19.5703125" style="168" bestFit="1" customWidth="1"/>
    <col min="1560" max="1560" width="10.140625" style="168" customWidth="1"/>
    <col min="1561" max="1561" width="10.42578125" style="168" bestFit="1" customWidth="1"/>
    <col min="1562" max="1562" width="11.28515625" style="168" customWidth="1"/>
    <col min="1563" max="1563" width="9.42578125" style="168" customWidth="1"/>
    <col min="1564" max="1564" width="10.140625" style="168" bestFit="1" customWidth="1"/>
    <col min="1565" max="1566" width="9.140625" style="168"/>
    <col min="1567" max="1567" width="7.28515625" style="168" customWidth="1"/>
    <col min="1568" max="1573" width="7.42578125" style="168" customWidth="1"/>
    <col min="1574" max="1574" width="9.42578125" style="168" bestFit="1" customWidth="1"/>
    <col min="1575" max="1575" width="12" style="168" bestFit="1" customWidth="1"/>
    <col min="1576" max="1577" width="12" style="168" customWidth="1"/>
    <col min="1578" max="1578" width="13.140625" style="168" bestFit="1" customWidth="1"/>
    <col min="1579" max="1580" width="13.140625" style="168" customWidth="1"/>
    <col min="1581" max="1582" width="14.42578125" style="168" bestFit="1" customWidth="1"/>
    <col min="1583" max="1584" width="9.140625" style="168" customWidth="1"/>
    <col min="1585" max="1585" width="9.5703125" style="168" customWidth="1"/>
    <col min="1586" max="1587" width="9.5703125" style="168" bestFit="1" customWidth="1"/>
    <col min="1588" max="1589" width="10.140625" style="168" bestFit="1" customWidth="1"/>
    <col min="1590" max="1590" width="9.5703125" style="168" bestFit="1" customWidth="1"/>
    <col min="1591" max="1591" width="9.5703125" style="168" customWidth="1"/>
    <col min="1592" max="1592" width="9" style="168" customWidth="1"/>
    <col min="1593" max="1593" width="10.5703125" style="168" bestFit="1" customWidth="1"/>
    <col min="1594" max="1594" width="11.42578125" style="168" bestFit="1" customWidth="1"/>
    <col min="1595" max="1595" width="18" style="168" bestFit="1" customWidth="1"/>
    <col min="1596" max="1813" width="9.140625" style="168"/>
    <col min="1814" max="1814" width="41" style="168" customWidth="1"/>
    <col min="1815" max="1815" width="19.5703125" style="168" bestFit="1" customWidth="1"/>
    <col min="1816" max="1816" width="10.140625" style="168" customWidth="1"/>
    <col min="1817" max="1817" width="10.42578125" style="168" bestFit="1" customWidth="1"/>
    <col min="1818" max="1818" width="11.28515625" style="168" customWidth="1"/>
    <col min="1819" max="1819" width="9.42578125" style="168" customWidth="1"/>
    <col min="1820" max="1820" width="10.140625" style="168" bestFit="1" customWidth="1"/>
    <col min="1821" max="1822" width="9.140625" style="168"/>
    <col min="1823" max="1823" width="7.28515625" style="168" customWidth="1"/>
    <col min="1824" max="1829" width="7.42578125" style="168" customWidth="1"/>
    <col min="1830" max="1830" width="9.42578125" style="168" bestFit="1" customWidth="1"/>
    <col min="1831" max="1831" width="12" style="168" bestFit="1" customWidth="1"/>
    <col min="1832" max="1833" width="12" style="168" customWidth="1"/>
    <col min="1834" max="1834" width="13.140625" style="168" bestFit="1" customWidth="1"/>
    <col min="1835" max="1836" width="13.140625" style="168" customWidth="1"/>
    <col min="1837" max="1838" width="14.42578125" style="168" bestFit="1" customWidth="1"/>
    <col min="1839" max="1840" width="9.140625" style="168" customWidth="1"/>
    <col min="1841" max="1841" width="9.5703125" style="168" customWidth="1"/>
    <col min="1842" max="1843" width="9.5703125" style="168" bestFit="1" customWidth="1"/>
    <col min="1844" max="1845" width="10.140625" style="168" bestFit="1" customWidth="1"/>
    <col min="1846" max="1846" width="9.5703125" style="168" bestFit="1" customWidth="1"/>
    <col min="1847" max="1847" width="9.5703125" style="168" customWidth="1"/>
    <col min="1848" max="1848" width="9" style="168" customWidth="1"/>
    <col min="1849" max="1849" width="10.5703125" style="168" bestFit="1" customWidth="1"/>
    <col min="1850" max="1850" width="11.42578125" style="168" bestFit="1" customWidth="1"/>
    <col min="1851" max="1851" width="18" style="168" bestFit="1" customWidth="1"/>
    <col min="1852" max="2069" width="9.140625" style="168"/>
    <col min="2070" max="2070" width="41" style="168" customWidth="1"/>
    <col min="2071" max="2071" width="19.5703125" style="168" bestFit="1" customWidth="1"/>
    <col min="2072" max="2072" width="10.140625" style="168" customWidth="1"/>
    <col min="2073" max="2073" width="10.42578125" style="168" bestFit="1" customWidth="1"/>
    <col min="2074" max="2074" width="11.28515625" style="168" customWidth="1"/>
    <col min="2075" max="2075" width="9.42578125" style="168" customWidth="1"/>
    <col min="2076" max="2076" width="10.140625" style="168" bestFit="1" customWidth="1"/>
    <col min="2077" max="2078" width="9.140625" style="168"/>
    <col min="2079" max="2079" width="7.28515625" style="168" customWidth="1"/>
    <col min="2080" max="2085" width="7.42578125" style="168" customWidth="1"/>
    <col min="2086" max="2086" width="9.42578125" style="168" bestFit="1" customWidth="1"/>
    <col min="2087" max="2087" width="12" style="168" bestFit="1" customWidth="1"/>
    <col min="2088" max="2089" width="12" style="168" customWidth="1"/>
    <col min="2090" max="2090" width="13.140625" style="168" bestFit="1" customWidth="1"/>
    <col min="2091" max="2092" width="13.140625" style="168" customWidth="1"/>
    <col min="2093" max="2094" width="14.42578125" style="168" bestFit="1" customWidth="1"/>
    <col min="2095" max="2096" width="9.140625" style="168" customWidth="1"/>
    <col min="2097" max="2097" width="9.5703125" style="168" customWidth="1"/>
    <col min="2098" max="2099" width="9.5703125" style="168" bestFit="1" customWidth="1"/>
    <col min="2100" max="2101" width="10.140625" style="168" bestFit="1" customWidth="1"/>
    <col min="2102" max="2102" width="9.5703125" style="168" bestFit="1" customWidth="1"/>
    <col min="2103" max="2103" width="9.5703125" style="168" customWidth="1"/>
    <col min="2104" max="2104" width="9" style="168" customWidth="1"/>
    <col min="2105" max="2105" width="10.5703125" style="168" bestFit="1" customWidth="1"/>
    <col min="2106" max="2106" width="11.42578125" style="168" bestFit="1" customWidth="1"/>
    <col min="2107" max="2107" width="18" style="168" bestFit="1" customWidth="1"/>
    <col min="2108" max="2325" width="9.140625" style="168"/>
    <col min="2326" max="2326" width="41" style="168" customWidth="1"/>
    <col min="2327" max="2327" width="19.5703125" style="168" bestFit="1" customWidth="1"/>
    <col min="2328" max="2328" width="10.140625" style="168" customWidth="1"/>
    <col min="2329" max="2329" width="10.42578125" style="168" bestFit="1" customWidth="1"/>
    <col min="2330" max="2330" width="11.28515625" style="168" customWidth="1"/>
    <col min="2331" max="2331" width="9.42578125" style="168" customWidth="1"/>
    <col min="2332" max="2332" width="10.140625" style="168" bestFit="1" customWidth="1"/>
    <col min="2333" max="2334" width="9.140625" style="168"/>
    <col min="2335" max="2335" width="7.28515625" style="168" customWidth="1"/>
    <col min="2336" max="2341" width="7.42578125" style="168" customWidth="1"/>
    <col min="2342" max="2342" width="9.42578125" style="168" bestFit="1" customWidth="1"/>
    <col min="2343" max="2343" width="12" style="168" bestFit="1" customWidth="1"/>
    <col min="2344" max="2345" width="12" style="168" customWidth="1"/>
    <col min="2346" max="2346" width="13.140625" style="168" bestFit="1" customWidth="1"/>
    <col min="2347" max="2348" width="13.140625" style="168" customWidth="1"/>
    <col min="2349" max="2350" width="14.42578125" style="168" bestFit="1" customWidth="1"/>
    <col min="2351" max="2352" width="9.140625" style="168" customWidth="1"/>
    <col min="2353" max="2353" width="9.5703125" style="168" customWidth="1"/>
    <col min="2354" max="2355" width="9.5703125" style="168" bestFit="1" customWidth="1"/>
    <col min="2356" max="2357" width="10.140625" style="168" bestFit="1" customWidth="1"/>
    <col min="2358" max="2358" width="9.5703125" style="168" bestFit="1" customWidth="1"/>
    <col min="2359" max="2359" width="9.5703125" style="168" customWidth="1"/>
    <col min="2360" max="2360" width="9" style="168" customWidth="1"/>
    <col min="2361" max="2361" width="10.5703125" style="168" bestFit="1" customWidth="1"/>
    <col min="2362" max="2362" width="11.42578125" style="168" bestFit="1" customWidth="1"/>
    <col min="2363" max="2363" width="18" style="168" bestFit="1" customWidth="1"/>
    <col min="2364" max="2581" width="9.140625" style="168"/>
    <col min="2582" max="2582" width="41" style="168" customWidth="1"/>
    <col min="2583" max="2583" width="19.5703125" style="168" bestFit="1" customWidth="1"/>
    <col min="2584" max="2584" width="10.140625" style="168" customWidth="1"/>
    <col min="2585" max="2585" width="10.42578125" style="168" bestFit="1" customWidth="1"/>
    <col min="2586" max="2586" width="11.28515625" style="168" customWidth="1"/>
    <col min="2587" max="2587" width="9.42578125" style="168" customWidth="1"/>
    <col min="2588" max="2588" width="10.140625" style="168" bestFit="1" customWidth="1"/>
    <col min="2589" max="2590" width="9.140625" style="168"/>
    <col min="2591" max="2591" width="7.28515625" style="168" customWidth="1"/>
    <col min="2592" max="2597" width="7.42578125" style="168" customWidth="1"/>
    <col min="2598" max="2598" width="9.42578125" style="168" bestFit="1" customWidth="1"/>
    <col min="2599" max="2599" width="12" style="168" bestFit="1" customWidth="1"/>
    <col min="2600" max="2601" width="12" style="168" customWidth="1"/>
    <col min="2602" max="2602" width="13.140625" style="168" bestFit="1" customWidth="1"/>
    <col min="2603" max="2604" width="13.140625" style="168" customWidth="1"/>
    <col min="2605" max="2606" width="14.42578125" style="168" bestFit="1" customWidth="1"/>
    <col min="2607" max="2608" width="9.140625" style="168" customWidth="1"/>
    <col min="2609" max="2609" width="9.5703125" style="168" customWidth="1"/>
    <col min="2610" max="2611" width="9.5703125" style="168" bestFit="1" customWidth="1"/>
    <col min="2612" max="2613" width="10.140625" style="168" bestFit="1" customWidth="1"/>
    <col min="2614" max="2614" width="9.5703125" style="168" bestFit="1" customWidth="1"/>
    <col min="2615" max="2615" width="9.5703125" style="168" customWidth="1"/>
    <col min="2616" max="2616" width="9" style="168" customWidth="1"/>
    <col min="2617" max="2617" width="10.5703125" style="168" bestFit="1" customWidth="1"/>
    <col min="2618" max="2618" width="11.42578125" style="168" bestFit="1" customWidth="1"/>
    <col min="2619" max="2619" width="18" style="168" bestFit="1" customWidth="1"/>
    <col min="2620" max="2837" width="9.140625" style="168"/>
    <col min="2838" max="2838" width="41" style="168" customWidth="1"/>
    <col min="2839" max="2839" width="19.5703125" style="168" bestFit="1" customWidth="1"/>
    <col min="2840" max="2840" width="10.140625" style="168" customWidth="1"/>
    <col min="2841" max="2841" width="10.42578125" style="168" bestFit="1" customWidth="1"/>
    <col min="2842" max="2842" width="11.28515625" style="168" customWidth="1"/>
    <col min="2843" max="2843" width="9.42578125" style="168" customWidth="1"/>
    <col min="2844" max="2844" width="10.140625" style="168" bestFit="1" customWidth="1"/>
    <col min="2845" max="2846" width="9.140625" style="168"/>
    <col min="2847" max="2847" width="7.28515625" style="168" customWidth="1"/>
    <col min="2848" max="2853" width="7.42578125" style="168" customWidth="1"/>
    <col min="2854" max="2854" width="9.42578125" style="168" bestFit="1" customWidth="1"/>
    <col min="2855" max="2855" width="12" style="168" bestFit="1" customWidth="1"/>
    <col min="2856" max="2857" width="12" style="168" customWidth="1"/>
    <col min="2858" max="2858" width="13.140625" style="168" bestFit="1" customWidth="1"/>
    <col min="2859" max="2860" width="13.140625" style="168" customWidth="1"/>
    <col min="2861" max="2862" width="14.42578125" style="168" bestFit="1" customWidth="1"/>
    <col min="2863" max="2864" width="9.140625" style="168" customWidth="1"/>
    <col min="2865" max="2865" width="9.5703125" style="168" customWidth="1"/>
    <col min="2866" max="2867" width="9.5703125" style="168" bestFit="1" customWidth="1"/>
    <col min="2868" max="2869" width="10.140625" style="168" bestFit="1" customWidth="1"/>
    <col min="2870" max="2870" width="9.5703125" style="168" bestFit="1" customWidth="1"/>
    <col min="2871" max="2871" width="9.5703125" style="168" customWidth="1"/>
    <col min="2872" max="2872" width="9" style="168" customWidth="1"/>
    <col min="2873" max="2873" width="10.5703125" style="168" bestFit="1" customWidth="1"/>
    <col min="2874" max="2874" width="11.42578125" style="168" bestFit="1" customWidth="1"/>
    <col min="2875" max="2875" width="18" style="168" bestFit="1" customWidth="1"/>
    <col min="2876" max="3093" width="9.140625" style="168"/>
    <col min="3094" max="3094" width="41" style="168" customWidth="1"/>
    <col min="3095" max="3095" width="19.5703125" style="168" bestFit="1" customWidth="1"/>
    <col min="3096" max="3096" width="10.140625" style="168" customWidth="1"/>
    <col min="3097" max="3097" width="10.42578125" style="168" bestFit="1" customWidth="1"/>
    <col min="3098" max="3098" width="11.28515625" style="168" customWidth="1"/>
    <col min="3099" max="3099" width="9.42578125" style="168" customWidth="1"/>
    <col min="3100" max="3100" width="10.140625" style="168" bestFit="1" customWidth="1"/>
    <col min="3101" max="3102" width="9.140625" style="168"/>
    <col min="3103" max="3103" width="7.28515625" style="168" customWidth="1"/>
    <col min="3104" max="3109" width="7.42578125" style="168" customWidth="1"/>
    <col min="3110" max="3110" width="9.42578125" style="168" bestFit="1" customWidth="1"/>
    <col min="3111" max="3111" width="12" style="168" bestFit="1" customWidth="1"/>
    <col min="3112" max="3113" width="12" style="168" customWidth="1"/>
    <col min="3114" max="3114" width="13.140625" style="168" bestFit="1" customWidth="1"/>
    <col min="3115" max="3116" width="13.140625" style="168" customWidth="1"/>
    <col min="3117" max="3118" width="14.42578125" style="168" bestFit="1" customWidth="1"/>
    <col min="3119" max="3120" width="9.140625" style="168" customWidth="1"/>
    <col min="3121" max="3121" width="9.5703125" style="168" customWidth="1"/>
    <col min="3122" max="3123" width="9.5703125" style="168" bestFit="1" customWidth="1"/>
    <col min="3124" max="3125" width="10.140625" style="168" bestFit="1" customWidth="1"/>
    <col min="3126" max="3126" width="9.5703125" style="168" bestFit="1" customWidth="1"/>
    <col min="3127" max="3127" width="9.5703125" style="168" customWidth="1"/>
    <col min="3128" max="3128" width="9" style="168" customWidth="1"/>
    <col min="3129" max="3129" width="10.5703125" style="168" bestFit="1" customWidth="1"/>
    <col min="3130" max="3130" width="11.42578125" style="168" bestFit="1" customWidth="1"/>
    <col min="3131" max="3131" width="18" style="168" bestFit="1" customWidth="1"/>
    <col min="3132" max="3349" width="9.140625" style="168"/>
    <col min="3350" max="3350" width="41" style="168" customWidth="1"/>
    <col min="3351" max="3351" width="19.5703125" style="168" bestFit="1" customWidth="1"/>
    <col min="3352" max="3352" width="10.140625" style="168" customWidth="1"/>
    <col min="3353" max="3353" width="10.42578125" style="168" bestFit="1" customWidth="1"/>
    <col min="3354" max="3354" width="11.28515625" style="168" customWidth="1"/>
    <col min="3355" max="3355" width="9.42578125" style="168" customWidth="1"/>
    <col min="3356" max="3356" width="10.140625" style="168" bestFit="1" customWidth="1"/>
    <col min="3357" max="3358" width="9.140625" style="168"/>
    <col min="3359" max="3359" width="7.28515625" style="168" customWidth="1"/>
    <col min="3360" max="3365" width="7.42578125" style="168" customWidth="1"/>
    <col min="3366" max="3366" width="9.42578125" style="168" bestFit="1" customWidth="1"/>
    <col min="3367" max="3367" width="12" style="168" bestFit="1" customWidth="1"/>
    <col min="3368" max="3369" width="12" style="168" customWidth="1"/>
    <col min="3370" max="3370" width="13.140625" style="168" bestFit="1" customWidth="1"/>
    <col min="3371" max="3372" width="13.140625" style="168" customWidth="1"/>
    <col min="3373" max="3374" width="14.42578125" style="168" bestFit="1" customWidth="1"/>
    <col min="3375" max="3376" width="9.140625" style="168" customWidth="1"/>
    <col min="3377" max="3377" width="9.5703125" style="168" customWidth="1"/>
    <col min="3378" max="3379" width="9.5703125" style="168" bestFit="1" customWidth="1"/>
    <col min="3380" max="3381" width="10.140625" style="168" bestFit="1" customWidth="1"/>
    <col min="3382" max="3382" width="9.5703125" style="168" bestFit="1" customWidth="1"/>
    <col min="3383" max="3383" width="9.5703125" style="168" customWidth="1"/>
    <col min="3384" max="3384" width="9" style="168" customWidth="1"/>
    <col min="3385" max="3385" width="10.5703125" style="168" bestFit="1" customWidth="1"/>
    <col min="3386" max="3386" width="11.42578125" style="168" bestFit="1" customWidth="1"/>
    <col min="3387" max="3387" width="18" style="168" bestFit="1" customWidth="1"/>
    <col min="3388" max="3605" width="9.140625" style="168"/>
    <col min="3606" max="3606" width="41" style="168" customWidth="1"/>
    <col min="3607" max="3607" width="19.5703125" style="168" bestFit="1" customWidth="1"/>
    <col min="3608" max="3608" width="10.140625" style="168" customWidth="1"/>
    <col min="3609" max="3609" width="10.42578125" style="168" bestFit="1" customWidth="1"/>
    <col min="3610" max="3610" width="11.28515625" style="168" customWidth="1"/>
    <col min="3611" max="3611" width="9.42578125" style="168" customWidth="1"/>
    <col min="3612" max="3612" width="10.140625" style="168" bestFit="1" customWidth="1"/>
    <col min="3613" max="3614" width="9.140625" style="168"/>
    <col min="3615" max="3615" width="7.28515625" style="168" customWidth="1"/>
    <col min="3616" max="3621" width="7.42578125" style="168" customWidth="1"/>
    <col min="3622" max="3622" width="9.42578125" style="168" bestFit="1" customWidth="1"/>
    <col min="3623" max="3623" width="12" style="168" bestFit="1" customWidth="1"/>
    <col min="3624" max="3625" width="12" style="168" customWidth="1"/>
    <col min="3626" max="3626" width="13.140625" style="168" bestFit="1" customWidth="1"/>
    <col min="3627" max="3628" width="13.140625" style="168" customWidth="1"/>
    <col min="3629" max="3630" width="14.42578125" style="168" bestFit="1" customWidth="1"/>
    <col min="3631" max="3632" width="9.140625" style="168" customWidth="1"/>
    <col min="3633" max="3633" width="9.5703125" style="168" customWidth="1"/>
    <col min="3634" max="3635" width="9.5703125" style="168" bestFit="1" customWidth="1"/>
    <col min="3636" max="3637" width="10.140625" style="168" bestFit="1" customWidth="1"/>
    <col min="3638" max="3638" width="9.5703125" style="168" bestFit="1" customWidth="1"/>
    <col min="3639" max="3639" width="9.5703125" style="168" customWidth="1"/>
    <col min="3640" max="3640" width="9" style="168" customWidth="1"/>
    <col min="3641" max="3641" width="10.5703125" style="168" bestFit="1" customWidth="1"/>
    <col min="3642" max="3642" width="11.42578125" style="168" bestFit="1" customWidth="1"/>
    <col min="3643" max="3643" width="18" style="168" bestFit="1" customWidth="1"/>
    <col min="3644" max="3861" width="9.140625" style="168"/>
    <col min="3862" max="3862" width="41" style="168" customWidth="1"/>
    <col min="3863" max="3863" width="19.5703125" style="168" bestFit="1" customWidth="1"/>
    <col min="3864" max="3864" width="10.140625" style="168" customWidth="1"/>
    <col min="3865" max="3865" width="10.42578125" style="168" bestFit="1" customWidth="1"/>
    <col min="3866" max="3866" width="11.28515625" style="168" customWidth="1"/>
    <col min="3867" max="3867" width="9.42578125" style="168" customWidth="1"/>
    <col min="3868" max="3868" width="10.140625" style="168" bestFit="1" customWidth="1"/>
    <col min="3869" max="3870" width="9.140625" style="168"/>
    <col min="3871" max="3871" width="7.28515625" style="168" customWidth="1"/>
    <col min="3872" max="3877" width="7.42578125" style="168" customWidth="1"/>
    <col min="3878" max="3878" width="9.42578125" style="168" bestFit="1" customWidth="1"/>
    <col min="3879" max="3879" width="12" style="168" bestFit="1" customWidth="1"/>
    <col min="3880" max="3881" width="12" style="168" customWidth="1"/>
    <col min="3882" max="3882" width="13.140625" style="168" bestFit="1" customWidth="1"/>
    <col min="3883" max="3884" width="13.140625" style="168" customWidth="1"/>
    <col min="3885" max="3886" width="14.42578125" style="168" bestFit="1" customWidth="1"/>
    <col min="3887" max="3888" width="9.140625" style="168" customWidth="1"/>
    <col min="3889" max="3889" width="9.5703125" style="168" customWidth="1"/>
    <col min="3890" max="3891" width="9.5703125" style="168" bestFit="1" customWidth="1"/>
    <col min="3892" max="3893" width="10.140625" style="168" bestFit="1" customWidth="1"/>
    <col min="3894" max="3894" width="9.5703125" style="168" bestFit="1" customWidth="1"/>
    <col min="3895" max="3895" width="9.5703125" style="168" customWidth="1"/>
    <col min="3896" max="3896" width="9" style="168" customWidth="1"/>
    <col min="3897" max="3897" width="10.5703125" style="168" bestFit="1" customWidth="1"/>
    <col min="3898" max="3898" width="11.42578125" style="168" bestFit="1" customWidth="1"/>
    <col min="3899" max="3899" width="18" style="168" bestFit="1" customWidth="1"/>
    <col min="3900" max="4117" width="9.140625" style="168"/>
    <col min="4118" max="4118" width="41" style="168" customWidth="1"/>
    <col min="4119" max="4119" width="19.5703125" style="168" bestFit="1" customWidth="1"/>
    <col min="4120" max="4120" width="10.140625" style="168" customWidth="1"/>
    <col min="4121" max="4121" width="10.42578125" style="168" bestFit="1" customWidth="1"/>
    <col min="4122" max="4122" width="11.28515625" style="168" customWidth="1"/>
    <col min="4123" max="4123" width="9.42578125" style="168" customWidth="1"/>
    <col min="4124" max="4124" width="10.140625" style="168" bestFit="1" customWidth="1"/>
    <col min="4125" max="4126" width="9.140625" style="168"/>
    <col min="4127" max="4127" width="7.28515625" style="168" customWidth="1"/>
    <col min="4128" max="4133" width="7.42578125" style="168" customWidth="1"/>
    <col min="4134" max="4134" width="9.42578125" style="168" bestFit="1" customWidth="1"/>
    <col min="4135" max="4135" width="12" style="168" bestFit="1" customWidth="1"/>
    <col min="4136" max="4137" width="12" style="168" customWidth="1"/>
    <col min="4138" max="4138" width="13.140625" style="168" bestFit="1" customWidth="1"/>
    <col min="4139" max="4140" width="13.140625" style="168" customWidth="1"/>
    <col min="4141" max="4142" width="14.42578125" style="168" bestFit="1" customWidth="1"/>
    <col min="4143" max="4144" width="9.140625" style="168" customWidth="1"/>
    <col min="4145" max="4145" width="9.5703125" style="168" customWidth="1"/>
    <col min="4146" max="4147" width="9.5703125" style="168" bestFit="1" customWidth="1"/>
    <col min="4148" max="4149" width="10.140625" style="168" bestFit="1" customWidth="1"/>
    <col min="4150" max="4150" width="9.5703125" style="168" bestFit="1" customWidth="1"/>
    <col min="4151" max="4151" width="9.5703125" style="168" customWidth="1"/>
    <col min="4152" max="4152" width="9" style="168" customWidth="1"/>
    <col min="4153" max="4153" width="10.5703125" style="168" bestFit="1" customWidth="1"/>
    <col min="4154" max="4154" width="11.42578125" style="168" bestFit="1" customWidth="1"/>
    <col min="4155" max="4155" width="18" style="168" bestFit="1" customWidth="1"/>
    <col min="4156" max="4373" width="9.140625" style="168"/>
    <col min="4374" max="4374" width="41" style="168" customWidth="1"/>
    <col min="4375" max="4375" width="19.5703125" style="168" bestFit="1" customWidth="1"/>
    <col min="4376" max="4376" width="10.140625" style="168" customWidth="1"/>
    <col min="4377" max="4377" width="10.42578125" style="168" bestFit="1" customWidth="1"/>
    <col min="4378" max="4378" width="11.28515625" style="168" customWidth="1"/>
    <col min="4379" max="4379" width="9.42578125" style="168" customWidth="1"/>
    <col min="4380" max="4380" width="10.140625" style="168" bestFit="1" customWidth="1"/>
    <col min="4381" max="4382" width="9.140625" style="168"/>
    <col min="4383" max="4383" width="7.28515625" style="168" customWidth="1"/>
    <col min="4384" max="4389" width="7.42578125" style="168" customWidth="1"/>
    <col min="4390" max="4390" width="9.42578125" style="168" bestFit="1" customWidth="1"/>
    <col min="4391" max="4391" width="12" style="168" bestFit="1" customWidth="1"/>
    <col min="4392" max="4393" width="12" style="168" customWidth="1"/>
    <col min="4394" max="4394" width="13.140625" style="168" bestFit="1" customWidth="1"/>
    <col min="4395" max="4396" width="13.140625" style="168" customWidth="1"/>
    <col min="4397" max="4398" width="14.42578125" style="168" bestFit="1" customWidth="1"/>
    <col min="4399" max="4400" width="9.140625" style="168" customWidth="1"/>
    <col min="4401" max="4401" width="9.5703125" style="168" customWidth="1"/>
    <col min="4402" max="4403" width="9.5703125" style="168" bestFit="1" customWidth="1"/>
    <col min="4404" max="4405" width="10.140625" style="168" bestFit="1" customWidth="1"/>
    <col min="4406" max="4406" width="9.5703125" style="168" bestFit="1" customWidth="1"/>
    <col min="4407" max="4407" width="9.5703125" style="168" customWidth="1"/>
    <col min="4408" max="4408" width="9" style="168" customWidth="1"/>
    <col min="4409" max="4409" width="10.5703125" style="168" bestFit="1" customWidth="1"/>
    <col min="4410" max="4410" width="11.42578125" style="168" bestFit="1" customWidth="1"/>
    <col min="4411" max="4411" width="18" style="168" bestFit="1" customWidth="1"/>
    <col min="4412" max="4629" width="9.140625" style="168"/>
    <col min="4630" max="4630" width="41" style="168" customWidth="1"/>
    <col min="4631" max="4631" width="19.5703125" style="168" bestFit="1" customWidth="1"/>
    <col min="4632" max="4632" width="10.140625" style="168" customWidth="1"/>
    <col min="4633" max="4633" width="10.42578125" style="168" bestFit="1" customWidth="1"/>
    <col min="4634" max="4634" width="11.28515625" style="168" customWidth="1"/>
    <col min="4635" max="4635" width="9.42578125" style="168" customWidth="1"/>
    <col min="4636" max="4636" width="10.140625" style="168" bestFit="1" customWidth="1"/>
    <col min="4637" max="4638" width="9.140625" style="168"/>
    <col min="4639" max="4639" width="7.28515625" style="168" customWidth="1"/>
    <col min="4640" max="4645" width="7.42578125" style="168" customWidth="1"/>
    <col min="4646" max="4646" width="9.42578125" style="168" bestFit="1" customWidth="1"/>
    <col min="4647" max="4647" width="12" style="168" bestFit="1" customWidth="1"/>
    <col min="4648" max="4649" width="12" style="168" customWidth="1"/>
    <col min="4650" max="4650" width="13.140625" style="168" bestFit="1" customWidth="1"/>
    <col min="4651" max="4652" width="13.140625" style="168" customWidth="1"/>
    <col min="4653" max="4654" width="14.42578125" style="168" bestFit="1" customWidth="1"/>
    <col min="4655" max="4656" width="9.140625" style="168" customWidth="1"/>
    <col min="4657" max="4657" width="9.5703125" style="168" customWidth="1"/>
    <col min="4658" max="4659" width="9.5703125" style="168" bestFit="1" customWidth="1"/>
    <col min="4660" max="4661" width="10.140625" style="168" bestFit="1" customWidth="1"/>
    <col min="4662" max="4662" width="9.5703125" style="168" bestFit="1" customWidth="1"/>
    <col min="4663" max="4663" width="9.5703125" style="168" customWidth="1"/>
    <col min="4664" max="4664" width="9" style="168" customWidth="1"/>
    <col min="4665" max="4665" width="10.5703125" style="168" bestFit="1" customWidth="1"/>
    <col min="4666" max="4666" width="11.42578125" style="168" bestFit="1" customWidth="1"/>
    <col min="4667" max="4667" width="18" style="168" bestFit="1" customWidth="1"/>
    <col min="4668" max="4885" width="9.140625" style="168"/>
    <col min="4886" max="4886" width="41" style="168" customWidth="1"/>
    <col min="4887" max="4887" width="19.5703125" style="168" bestFit="1" customWidth="1"/>
    <col min="4888" max="4888" width="10.140625" style="168" customWidth="1"/>
    <col min="4889" max="4889" width="10.42578125" style="168" bestFit="1" customWidth="1"/>
    <col min="4890" max="4890" width="11.28515625" style="168" customWidth="1"/>
    <col min="4891" max="4891" width="9.42578125" style="168" customWidth="1"/>
    <col min="4892" max="4892" width="10.140625" style="168" bestFit="1" customWidth="1"/>
    <col min="4893" max="4894" width="9.140625" style="168"/>
    <col min="4895" max="4895" width="7.28515625" style="168" customWidth="1"/>
    <col min="4896" max="4901" width="7.42578125" style="168" customWidth="1"/>
    <col min="4902" max="4902" width="9.42578125" style="168" bestFit="1" customWidth="1"/>
    <col min="4903" max="4903" width="12" style="168" bestFit="1" customWidth="1"/>
    <col min="4904" max="4905" width="12" style="168" customWidth="1"/>
    <col min="4906" max="4906" width="13.140625" style="168" bestFit="1" customWidth="1"/>
    <col min="4907" max="4908" width="13.140625" style="168" customWidth="1"/>
    <col min="4909" max="4910" width="14.42578125" style="168" bestFit="1" customWidth="1"/>
    <col min="4911" max="4912" width="9.140625" style="168" customWidth="1"/>
    <col min="4913" max="4913" width="9.5703125" style="168" customWidth="1"/>
    <col min="4914" max="4915" width="9.5703125" style="168" bestFit="1" customWidth="1"/>
    <col min="4916" max="4917" width="10.140625" style="168" bestFit="1" customWidth="1"/>
    <col min="4918" max="4918" width="9.5703125" style="168" bestFit="1" customWidth="1"/>
    <col min="4919" max="4919" width="9.5703125" style="168" customWidth="1"/>
    <col min="4920" max="4920" width="9" style="168" customWidth="1"/>
    <col min="4921" max="4921" width="10.5703125" style="168" bestFit="1" customWidth="1"/>
    <col min="4922" max="4922" width="11.42578125" style="168" bestFit="1" customWidth="1"/>
    <col min="4923" max="4923" width="18" style="168" bestFit="1" customWidth="1"/>
    <col min="4924" max="5141" width="9.140625" style="168"/>
    <col min="5142" max="5142" width="41" style="168" customWidth="1"/>
    <col min="5143" max="5143" width="19.5703125" style="168" bestFit="1" customWidth="1"/>
    <col min="5144" max="5144" width="10.140625" style="168" customWidth="1"/>
    <col min="5145" max="5145" width="10.42578125" style="168" bestFit="1" customWidth="1"/>
    <col min="5146" max="5146" width="11.28515625" style="168" customWidth="1"/>
    <col min="5147" max="5147" width="9.42578125" style="168" customWidth="1"/>
    <col min="5148" max="5148" width="10.140625" style="168" bestFit="1" customWidth="1"/>
    <col min="5149" max="5150" width="9.140625" style="168"/>
    <col min="5151" max="5151" width="7.28515625" style="168" customWidth="1"/>
    <col min="5152" max="5157" width="7.42578125" style="168" customWidth="1"/>
    <col min="5158" max="5158" width="9.42578125" style="168" bestFit="1" customWidth="1"/>
    <col min="5159" max="5159" width="12" style="168" bestFit="1" customWidth="1"/>
    <col min="5160" max="5161" width="12" style="168" customWidth="1"/>
    <col min="5162" max="5162" width="13.140625" style="168" bestFit="1" customWidth="1"/>
    <col min="5163" max="5164" width="13.140625" style="168" customWidth="1"/>
    <col min="5165" max="5166" width="14.42578125" style="168" bestFit="1" customWidth="1"/>
    <col min="5167" max="5168" width="9.140625" style="168" customWidth="1"/>
    <col min="5169" max="5169" width="9.5703125" style="168" customWidth="1"/>
    <col min="5170" max="5171" width="9.5703125" style="168" bestFit="1" customWidth="1"/>
    <col min="5172" max="5173" width="10.140625" style="168" bestFit="1" customWidth="1"/>
    <col min="5174" max="5174" width="9.5703125" style="168" bestFit="1" customWidth="1"/>
    <col min="5175" max="5175" width="9.5703125" style="168" customWidth="1"/>
    <col min="5176" max="5176" width="9" style="168" customWidth="1"/>
    <col min="5177" max="5177" width="10.5703125" style="168" bestFit="1" customWidth="1"/>
    <col min="5178" max="5178" width="11.42578125" style="168" bestFit="1" customWidth="1"/>
    <col min="5179" max="5179" width="18" style="168" bestFit="1" customWidth="1"/>
    <col min="5180" max="5397" width="9.140625" style="168"/>
    <col min="5398" max="5398" width="41" style="168" customWidth="1"/>
    <col min="5399" max="5399" width="19.5703125" style="168" bestFit="1" customWidth="1"/>
    <col min="5400" max="5400" width="10.140625" style="168" customWidth="1"/>
    <col min="5401" max="5401" width="10.42578125" style="168" bestFit="1" customWidth="1"/>
    <col min="5402" max="5402" width="11.28515625" style="168" customWidth="1"/>
    <col min="5403" max="5403" width="9.42578125" style="168" customWidth="1"/>
    <col min="5404" max="5404" width="10.140625" style="168" bestFit="1" customWidth="1"/>
    <col min="5405" max="5406" width="9.140625" style="168"/>
    <col min="5407" max="5407" width="7.28515625" style="168" customWidth="1"/>
    <col min="5408" max="5413" width="7.42578125" style="168" customWidth="1"/>
    <col min="5414" max="5414" width="9.42578125" style="168" bestFit="1" customWidth="1"/>
    <col min="5415" max="5415" width="12" style="168" bestFit="1" customWidth="1"/>
    <col min="5416" max="5417" width="12" style="168" customWidth="1"/>
    <col min="5418" max="5418" width="13.140625" style="168" bestFit="1" customWidth="1"/>
    <col min="5419" max="5420" width="13.140625" style="168" customWidth="1"/>
    <col min="5421" max="5422" width="14.42578125" style="168" bestFit="1" customWidth="1"/>
    <col min="5423" max="5424" width="9.140625" style="168" customWidth="1"/>
    <col min="5425" max="5425" width="9.5703125" style="168" customWidth="1"/>
    <col min="5426" max="5427" width="9.5703125" style="168" bestFit="1" customWidth="1"/>
    <col min="5428" max="5429" width="10.140625" style="168" bestFit="1" customWidth="1"/>
    <col min="5430" max="5430" width="9.5703125" style="168" bestFit="1" customWidth="1"/>
    <col min="5431" max="5431" width="9.5703125" style="168" customWidth="1"/>
    <col min="5432" max="5432" width="9" style="168" customWidth="1"/>
    <col min="5433" max="5433" width="10.5703125" style="168" bestFit="1" customWidth="1"/>
    <col min="5434" max="5434" width="11.42578125" style="168" bestFit="1" customWidth="1"/>
    <col min="5435" max="5435" width="18" style="168" bestFit="1" customWidth="1"/>
    <col min="5436" max="5653" width="9.140625" style="168"/>
    <col min="5654" max="5654" width="41" style="168" customWidth="1"/>
    <col min="5655" max="5655" width="19.5703125" style="168" bestFit="1" customWidth="1"/>
    <col min="5656" max="5656" width="10.140625" style="168" customWidth="1"/>
    <col min="5657" max="5657" width="10.42578125" style="168" bestFit="1" customWidth="1"/>
    <col min="5658" max="5658" width="11.28515625" style="168" customWidth="1"/>
    <col min="5659" max="5659" width="9.42578125" style="168" customWidth="1"/>
    <col min="5660" max="5660" width="10.140625" style="168" bestFit="1" customWidth="1"/>
    <col min="5661" max="5662" width="9.140625" style="168"/>
    <col min="5663" max="5663" width="7.28515625" style="168" customWidth="1"/>
    <col min="5664" max="5669" width="7.42578125" style="168" customWidth="1"/>
    <col min="5670" max="5670" width="9.42578125" style="168" bestFit="1" customWidth="1"/>
    <col min="5671" max="5671" width="12" style="168" bestFit="1" customWidth="1"/>
    <col min="5672" max="5673" width="12" style="168" customWidth="1"/>
    <col min="5674" max="5674" width="13.140625" style="168" bestFit="1" customWidth="1"/>
    <col min="5675" max="5676" width="13.140625" style="168" customWidth="1"/>
    <col min="5677" max="5678" width="14.42578125" style="168" bestFit="1" customWidth="1"/>
    <col min="5679" max="5680" width="9.140625" style="168" customWidth="1"/>
    <col min="5681" max="5681" width="9.5703125" style="168" customWidth="1"/>
    <col min="5682" max="5683" width="9.5703125" style="168" bestFit="1" customWidth="1"/>
    <col min="5684" max="5685" width="10.140625" style="168" bestFit="1" customWidth="1"/>
    <col min="5686" max="5686" width="9.5703125" style="168" bestFit="1" customWidth="1"/>
    <col min="5687" max="5687" width="9.5703125" style="168" customWidth="1"/>
    <col min="5688" max="5688" width="9" style="168" customWidth="1"/>
    <col min="5689" max="5689" width="10.5703125" style="168" bestFit="1" customWidth="1"/>
    <col min="5690" max="5690" width="11.42578125" style="168" bestFit="1" customWidth="1"/>
    <col min="5691" max="5691" width="18" style="168" bestFit="1" customWidth="1"/>
    <col min="5692" max="5909" width="9.140625" style="168"/>
    <col min="5910" max="5910" width="41" style="168" customWidth="1"/>
    <col min="5911" max="5911" width="19.5703125" style="168" bestFit="1" customWidth="1"/>
    <col min="5912" max="5912" width="10.140625" style="168" customWidth="1"/>
    <col min="5913" max="5913" width="10.42578125" style="168" bestFit="1" customWidth="1"/>
    <col min="5914" max="5914" width="11.28515625" style="168" customWidth="1"/>
    <col min="5915" max="5915" width="9.42578125" style="168" customWidth="1"/>
    <col min="5916" max="5916" width="10.140625" style="168" bestFit="1" customWidth="1"/>
    <col min="5917" max="5918" width="9.140625" style="168"/>
    <col min="5919" max="5919" width="7.28515625" style="168" customWidth="1"/>
    <col min="5920" max="5925" width="7.42578125" style="168" customWidth="1"/>
    <col min="5926" max="5926" width="9.42578125" style="168" bestFit="1" customWidth="1"/>
    <col min="5927" max="5927" width="12" style="168" bestFit="1" customWidth="1"/>
    <col min="5928" max="5929" width="12" style="168" customWidth="1"/>
    <col min="5930" max="5930" width="13.140625" style="168" bestFit="1" customWidth="1"/>
    <col min="5931" max="5932" width="13.140625" style="168" customWidth="1"/>
    <col min="5933" max="5934" width="14.42578125" style="168" bestFit="1" customWidth="1"/>
    <col min="5935" max="5936" width="9.140625" style="168" customWidth="1"/>
    <col min="5937" max="5937" width="9.5703125" style="168" customWidth="1"/>
    <col min="5938" max="5939" width="9.5703125" style="168" bestFit="1" customWidth="1"/>
    <col min="5940" max="5941" width="10.140625" style="168" bestFit="1" customWidth="1"/>
    <col min="5942" max="5942" width="9.5703125" style="168" bestFit="1" customWidth="1"/>
    <col min="5943" max="5943" width="9.5703125" style="168" customWidth="1"/>
    <col min="5944" max="5944" width="9" style="168" customWidth="1"/>
    <col min="5945" max="5945" width="10.5703125" style="168" bestFit="1" customWidth="1"/>
    <col min="5946" max="5946" width="11.42578125" style="168" bestFit="1" customWidth="1"/>
    <col min="5947" max="5947" width="18" style="168" bestFit="1" customWidth="1"/>
    <col min="5948" max="6165" width="9.140625" style="168"/>
    <col min="6166" max="6166" width="41" style="168" customWidth="1"/>
    <col min="6167" max="6167" width="19.5703125" style="168" bestFit="1" customWidth="1"/>
    <col min="6168" max="6168" width="10.140625" style="168" customWidth="1"/>
    <col min="6169" max="6169" width="10.42578125" style="168" bestFit="1" customWidth="1"/>
    <col min="6170" max="6170" width="11.28515625" style="168" customWidth="1"/>
    <col min="6171" max="6171" width="9.42578125" style="168" customWidth="1"/>
    <col min="6172" max="6172" width="10.140625" style="168" bestFit="1" customWidth="1"/>
    <col min="6173" max="6174" width="9.140625" style="168"/>
    <col min="6175" max="6175" width="7.28515625" style="168" customWidth="1"/>
    <col min="6176" max="6181" width="7.42578125" style="168" customWidth="1"/>
    <col min="6182" max="6182" width="9.42578125" style="168" bestFit="1" customWidth="1"/>
    <col min="6183" max="6183" width="12" style="168" bestFit="1" customWidth="1"/>
    <col min="6184" max="6185" width="12" style="168" customWidth="1"/>
    <col min="6186" max="6186" width="13.140625" style="168" bestFit="1" customWidth="1"/>
    <col min="6187" max="6188" width="13.140625" style="168" customWidth="1"/>
    <col min="6189" max="6190" width="14.42578125" style="168" bestFit="1" customWidth="1"/>
    <col min="6191" max="6192" width="9.140625" style="168" customWidth="1"/>
    <col min="6193" max="6193" width="9.5703125" style="168" customWidth="1"/>
    <col min="6194" max="6195" width="9.5703125" style="168" bestFit="1" customWidth="1"/>
    <col min="6196" max="6197" width="10.140625" style="168" bestFit="1" customWidth="1"/>
    <col min="6198" max="6198" width="9.5703125" style="168" bestFit="1" customWidth="1"/>
    <col min="6199" max="6199" width="9.5703125" style="168" customWidth="1"/>
    <col min="6200" max="6200" width="9" style="168" customWidth="1"/>
    <col min="6201" max="6201" width="10.5703125" style="168" bestFit="1" customWidth="1"/>
    <col min="6202" max="6202" width="11.42578125" style="168" bestFit="1" customWidth="1"/>
    <col min="6203" max="6203" width="18" style="168" bestFit="1" customWidth="1"/>
    <col min="6204" max="6421" width="9.140625" style="168"/>
    <col min="6422" max="6422" width="41" style="168" customWidth="1"/>
    <col min="6423" max="6423" width="19.5703125" style="168" bestFit="1" customWidth="1"/>
    <col min="6424" max="6424" width="10.140625" style="168" customWidth="1"/>
    <col min="6425" max="6425" width="10.42578125" style="168" bestFit="1" customWidth="1"/>
    <col min="6426" max="6426" width="11.28515625" style="168" customWidth="1"/>
    <col min="6427" max="6427" width="9.42578125" style="168" customWidth="1"/>
    <col min="6428" max="6428" width="10.140625" style="168" bestFit="1" customWidth="1"/>
    <col min="6429" max="6430" width="9.140625" style="168"/>
    <col min="6431" max="6431" width="7.28515625" style="168" customWidth="1"/>
    <col min="6432" max="6437" width="7.42578125" style="168" customWidth="1"/>
    <col min="6438" max="6438" width="9.42578125" style="168" bestFit="1" customWidth="1"/>
    <col min="6439" max="6439" width="12" style="168" bestFit="1" customWidth="1"/>
    <col min="6440" max="6441" width="12" style="168" customWidth="1"/>
    <col min="6442" max="6442" width="13.140625" style="168" bestFit="1" customWidth="1"/>
    <col min="6443" max="6444" width="13.140625" style="168" customWidth="1"/>
    <col min="6445" max="6446" width="14.42578125" style="168" bestFit="1" customWidth="1"/>
    <col min="6447" max="6448" width="9.140625" style="168" customWidth="1"/>
    <col min="6449" max="6449" width="9.5703125" style="168" customWidth="1"/>
    <col min="6450" max="6451" width="9.5703125" style="168" bestFit="1" customWidth="1"/>
    <col min="6452" max="6453" width="10.140625" style="168" bestFit="1" customWidth="1"/>
    <col min="6454" max="6454" width="9.5703125" style="168" bestFit="1" customWidth="1"/>
    <col min="6455" max="6455" width="9.5703125" style="168" customWidth="1"/>
    <col min="6456" max="6456" width="9" style="168" customWidth="1"/>
    <col min="6457" max="6457" width="10.5703125" style="168" bestFit="1" customWidth="1"/>
    <col min="6458" max="6458" width="11.42578125" style="168" bestFit="1" customWidth="1"/>
    <col min="6459" max="6459" width="18" style="168" bestFit="1" customWidth="1"/>
    <col min="6460" max="6677" width="9.140625" style="168"/>
    <col min="6678" max="6678" width="41" style="168" customWidth="1"/>
    <col min="6679" max="6679" width="19.5703125" style="168" bestFit="1" customWidth="1"/>
    <col min="6680" max="6680" width="10.140625" style="168" customWidth="1"/>
    <col min="6681" max="6681" width="10.42578125" style="168" bestFit="1" customWidth="1"/>
    <col min="6682" max="6682" width="11.28515625" style="168" customWidth="1"/>
    <col min="6683" max="6683" width="9.42578125" style="168" customWidth="1"/>
    <col min="6684" max="6684" width="10.140625" style="168" bestFit="1" customWidth="1"/>
    <col min="6685" max="6686" width="9.140625" style="168"/>
    <col min="6687" max="6687" width="7.28515625" style="168" customWidth="1"/>
    <col min="6688" max="6693" width="7.42578125" style="168" customWidth="1"/>
    <col min="6694" max="6694" width="9.42578125" style="168" bestFit="1" customWidth="1"/>
    <col min="6695" max="6695" width="12" style="168" bestFit="1" customWidth="1"/>
    <col min="6696" max="6697" width="12" style="168" customWidth="1"/>
    <col min="6698" max="6698" width="13.140625" style="168" bestFit="1" customWidth="1"/>
    <col min="6699" max="6700" width="13.140625" style="168" customWidth="1"/>
    <col min="6701" max="6702" width="14.42578125" style="168" bestFit="1" customWidth="1"/>
    <col min="6703" max="6704" width="9.140625" style="168" customWidth="1"/>
    <col min="6705" max="6705" width="9.5703125" style="168" customWidth="1"/>
    <col min="6706" max="6707" width="9.5703125" style="168" bestFit="1" customWidth="1"/>
    <col min="6708" max="6709" width="10.140625" style="168" bestFit="1" customWidth="1"/>
    <col min="6710" max="6710" width="9.5703125" style="168" bestFit="1" customWidth="1"/>
    <col min="6711" max="6711" width="9.5703125" style="168" customWidth="1"/>
    <col min="6712" max="6712" width="9" style="168" customWidth="1"/>
    <col min="6713" max="6713" width="10.5703125" style="168" bestFit="1" customWidth="1"/>
    <col min="6714" max="6714" width="11.42578125" style="168" bestFit="1" customWidth="1"/>
    <col min="6715" max="6715" width="18" style="168" bestFit="1" customWidth="1"/>
    <col min="6716" max="6933" width="9.140625" style="168"/>
    <col min="6934" max="6934" width="41" style="168" customWidth="1"/>
    <col min="6935" max="6935" width="19.5703125" style="168" bestFit="1" customWidth="1"/>
    <col min="6936" max="6936" width="10.140625" style="168" customWidth="1"/>
    <col min="6937" max="6937" width="10.42578125" style="168" bestFit="1" customWidth="1"/>
    <col min="6938" max="6938" width="11.28515625" style="168" customWidth="1"/>
    <col min="6939" max="6939" width="9.42578125" style="168" customWidth="1"/>
    <col min="6940" max="6940" width="10.140625" style="168" bestFit="1" customWidth="1"/>
    <col min="6941" max="6942" width="9.140625" style="168"/>
    <col min="6943" max="6943" width="7.28515625" style="168" customWidth="1"/>
    <col min="6944" max="6949" width="7.42578125" style="168" customWidth="1"/>
    <col min="6950" max="6950" width="9.42578125" style="168" bestFit="1" customWidth="1"/>
    <col min="6951" max="6951" width="12" style="168" bestFit="1" customWidth="1"/>
    <col min="6952" max="6953" width="12" style="168" customWidth="1"/>
    <col min="6954" max="6954" width="13.140625" style="168" bestFit="1" customWidth="1"/>
    <col min="6955" max="6956" width="13.140625" style="168" customWidth="1"/>
    <col min="6957" max="6958" width="14.42578125" style="168" bestFit="1" customWidth="1"/>
    <col min="6959" max="6960" width="9.140625" style="168" customWidth="1"/>
    <col min="6961" max="6961" width="9.5703125" style="168" customWidth="1"/>
    <col min="6962" max="6963" width="9.5703125" style="168" bestFit="1" customWidth="1"/>
    <col min="6964" max="6965" width="10.140625" style="168" bestFit="1" customWidth="1"/>
    <col min="6966" max="6966" width="9.5703125" style="168" bestFit="1" customWidth="1"/>
    <col min="6967" max="6967" width="9.5703125" style="168" customWidth="1"/>
    <col min="6968" max="6968" width="9" style="168" customWidth="1"/>
    <col min="6969" max="6969" width="10.5703125" style="168" bestFit="1" customWidth="1"/>
    <col min="6970" max="6970" width="11.42578125" style="168" bestFit="1" customWidth="1"/>
    <col min="6971" max="6971" width="18" style="168" bestFit="1" customWidth="1"/>
    <col min="6972" max="7189" width="9.140625" style="168"/>
    <col min="7190" max="7190" width="41" style="168" customWidth="1"/>
    <col min="7191" max="7191" width="19.5703125" style="168" bestFit="1" customWidth="1"/>
    <col min="7192" max="7192" width="10.140625" style="168" customWidth="1"/>
    <col min="7193" max="7193" width="10.42578125" style="168" bestFit="1" customWidth="1"/>
    <col min="7194" max="7194" width="11.28515625" style="168" customWidth="1"/>
    <col min="7195" max="7195" width="9.42578125" style="168" customWidth="1"/>
    <col min="7196" max="7196" width="10.140625" style="168" bestFit="1" customWidth="1"/>
    <col min="7197" max="7198" width="9.140625" style="168"/>
    <col min="7199" max="7199" width="7.28515625" style="168" customWidth="1"/>
    <col min="7200" max="7205" width="7.42578125" style="168" customWidth="1"/>
    <col min="7206" max="7206" width="9.42578125" style="168" bestFit="1" customWidth="1"/>
    <col min="7207" max="7207" width="12" style="168" bestFit="1" customWidth="1"/>
    <col min="7208" max="7209" width="12" style="168" customWidth="1"/>
    <col min="7210" max="7210" width="13.140625" style="168" bestFit="1" customWidth="1"/>
    <col min="7211" max="7212" width="13.140625" style="168" customWidth="1"/>
    <col min="7213" max="7214" width="14.42578125" style="168" bestFit="1" customWidth="1"/>
    <col min="7215" max="7216" width="9.140625" style="168" customWidth="1"/>
    <col min="7217" max="7217" width="9.5703125" style="168" customWidth="1"/>
    <col min="7218" max="7219" width="9.5703125" style="168" bestFit="1" customWidth="1"/>
    <col min="7220" max="7221" width="10.140625" style="168" bestFit="1" customWidth="1"/>
    <col min="7222" max="7222" width="9.5703125" style="168" bestFit="1" customWidth="1"/>
    <col min="7223" max="7223" width="9.5703125" style="168" customWidth="1"/>
    <col min="7224" max="7224" width="9" style="168" customWidth="1"/>
    <col min="7225" max="7225" width="10.5703125" style="168" bestFit="1" customWidth="1"/>
    <col min="7226" max="7226" width="11.42578125" style="168" bestFit="1" customWidth="1"/>
    <col min="7227" max="7227" width="18" style="168" bestFit="1" customWidth="1"/>
    <col min="7228" max="7445" width="9.140625" style="168"/>
    <col min="7446" max="7446" width="41" style="168" customWidth="1"/>
    <col min="7447" max="7447" width="19.5703125" style="168" bestFit="1" customWidth="1"/>
    <col min="7448" max="7448" width="10.140625" style="168" customWidth="1"/>
    <col min="7449" max="7449" width="10.42578125" style="168" bestFit="1" customWidth="1"/>
    <col min="7450" max="7450" width="11.28515625" style="168" customWidth="1"/>
    <col min="7451" max="7451" width="9.42578125" style="168" customWidth="1"/>
    <col min="7452" max="7452" width="10.140625" style="168" bestFit="1" customWidth="1"/>
    <col min="7453" max="7454" width="9.140625" style="168"/>
    <col min="7455" max="7455" width="7.28515625" style="168" customWidth="1"/>
    <col min="7456" max="7461" width="7.42578125" style="168" customWidth="1"/>
    <col min="7462" max="7462" width="9.42578125" style="168" bestFit="1" customWidth="1"/>
    <col min="7463" max="7463" width="12" style="168" bestFit="1" customWidth="1"/>
    <col min="7464" max="7465" width="12" style="168" customWidth="1"/>
    <col min="7466" max="7466" width="13.140625" style="168" bestFit="1" customWidth="1"/>
    <col min="7467" max="7468" width="13.140625" style="168" customWidth="1"/>
    <col min="7469" max="7470" width="14.42578125" style="168" bestFit="1" customWidth="1"/>
    <col min="7471" max="7472" width="9.140625" style="168" customWidth="1"/>
    <col min="7473" max="7473" width="9.5703125" style="168" customWidth="1"/>
    <col min="7474" max="7475" width="9.5703125" style="168" bestFit="1" customWidth="1"/>
    <col min="7476" max="7477" width="10.140625" style="168" bestFit="1" customWidth="1"/>
    <col min="7478" max="7478" width="9.5703125" style="168" bestFit="1" customWidth="1"/>
    <col min="7479" max="7479" width="9.5703125" style="168" customWidth="1"/>
    <col min="7480" max="7480" width="9" style="168" customWidth="1"/>
    <col min="7481" max="7481" width="10.5703125" style="168" bestFit="1" customWidth="1"/>
    <col min="7482" max="7482" width="11.42578125" style="168" bestFit="1" customWidth="1"/>
    <col min="7483" max="7483" width="18" style="168" bestFit="1" customWidth="1"/>
    <col min="7484" max="7701" width="9.140625" style="168"/>
    <col min="7702" max="7702" width="41" style="168" customWidth="1"/>
    <col min="7703" max="7703" width="19.5703125" style="168" bestFit="1" customWidth="1"/>
    <col min="7704" max="7704" width="10.140625" style="168" customWidth="1"/>
    <col min="7705" max="7705" width="10.42578125" style="168" bestFit="1" customWidth="1"/>
    <col min="7706" max="7706" width="11.28515625" style="168" customWidth="1"/>
    <col min="7707" max="7707" width="9.42578125" style="168" customWidth="1"/>
    <col min="7708" max="7708" width="10.140625" style="168" bestFit="1" customWidth="1"/>
    <col min="7709" max="7710" width="9.140625" style="168"/>
    <col min="7711" max="7711" width="7.28515625" style="168" customWidth="1"/>
    <col min="7712" max="7717" width="7.42578125" style="168" customWidth="1"/>
    <col min="7718" max="7718" width="9.42578125" style="168" bestFit="1" customWidth="1"/>
    <col min="7719" max="7719" width="12" style="168" bestFit="1" customWidth="1"/>
    <col min="7720" max="7721" width="12" style="168" customWidth="1"/>
    <col min="7722" max="7722" width="13.140625" style="168" bestFit="1" customWidth="1"/>
    <col min="7723" max="7724" width="13.140625" style="168" customWidth="1"/>
    <col min="7725" max="7726" width="14.42578125" style="168" bestFit="1" customWidth="1"/>
    <col min="7727" max="7728" width="9.140625" style="168" customWidth="1"/>
    <col min="7729" max="7729" width="9.5703125" style="168" customWidth="1"/>
    <col min="7730" max="7731" width="9.5703125" style="168" bestFit="1" customWidth="1"/>
    <col min="7732" max="7733" width="10.140625" style="168" bestFit="1" customWidth="1"/>
    <col min="7734" max="7734" width="9.5703125" style="168" bestFit="1" customWidth="1"/>
    <col min="7735" max="7735" width="9.5703125" style="168" customWidth="1"/>
    <col min="7736" max="7736" width="9" style="168" customWidth="1"/>
    <col min="7737" max="7737" width="10.5703125" style="168" bestFit="1" customWidth="1"/>
    <col min="7738" max="7738" width="11.42578125" style="168" bestFit="1" customWidth="1"/>
    <col min="7739" max="7739" width="18" style="168" bestFit="1" customWidth="1"/>
    <col min="7740" max="7957" width="9.140625" style="168"/>
    <col min="7958" max="7958" width="41" style="168" customWidth="1"/>
    <col min="7959" max="7959" width="19.5703125" style="168" bestFit="1" customWidth="1"/>
    <col min="7960" max="7960" width="10.140625" style="168" customWidth="1"/>
    <col min="7961" max="7961" width="10.42578125" style="168" bestFit="1" customWidth="1"/>
    <col min="7962" max="7962" width="11.28515625" style="168" customWidth="1"/>
    <col min="7963" max="7963" width="9.42578125" style="168" customWidth="1"/>
    <col min="7964" max="7964" width="10.140625" style="168" bestFit="1" customWidth="1"/>
    <col min="7965" max="7966" width="9.140625" style="168"/>
    <col min="7967" max="7967" width="7.28515625" style="168" customWidth="1"/>
    <col min="7968" max="7973" width="7.42578125" style="168" customWidth="1"/>
    <col min="7974" max="7974" width="9.42578125" style="168" bestFit="1" customWidth="1"/>
    <col min="7975" max="7975" width="12" style="168" bestFit="1" customWidth="1"/>
    <col min="7976" max="7977" width="12" style="168" customWidth="1"/>
    <col min="7978" max="7978" width="13.140625" style="168" bestFit="1" customWidth="1"/>
    <col min="7979" max="7980" width="13.140625" style="168" customWidth="1"/>
    <col min="7981" max="7982" width="14.42578125" style="168" bestFit="1" customWidth="1"/>
    <col min="7983" max="7984" width="9.140625" style="168" customWidth="1"/>
    <col min="7985" max="7985" width="9.5703125" style="168" customWidth="1"/>
    <col min="7986" max="7987" width="9.5703125" style="168" bestFit="1" customWidth="1"/>
    <col min="7988" max="7989" width="10.140625" style="168" bestFit="1" customWidth="1"/>
    <col min="7990" max="7990" width="9.5703125" style="168" bestFit="1" customWidth="1"/>
    <col min="7991" max="7991" width="9.5703125" style="168" customWidth="1"/>
    <col min="7992" max="7992" width="9" style="168" customWidth="1"/>
    <col min="7993" max="7993" width="10.5703125" style="168" bestFit="1" customWidth="1"/>
    <col min="7994" max="7994" width="11.42578125" style="168" bestFit="1" customWidth="1"/>
    <col min="7995" max="7995" width="18" style="168" bestFit="1" customWidth="1"/>
    <col min="7996" max="8213" width="9.140625" style="168"/>
    <col min="8214" max="8214" width="41" style="168" customWidth="1"/>
    <col min="8215" max="8215" width="19.5703125" style="168" bestFit="1" customWidth="1"/>
    <col min="8216" max="8216" width="10.140625" style="168" customWidth="1"/>
    <col min="8217" max="8217" width="10.42578125" style="168" bestFit="1" customWidth="1"/>
    <col min="8218" max="8218" width="11.28515625" style="168" customWidth="1"/>
    <col min="8219" max="8219" width="9.42578125" style="168" customWidth="1"/>
    <col min="8220" max="8220" width="10.140625" style="168" bestFit="1" customWidth="1"/>
    <col min="8221" max="8222" width="9.140625" style="168"/>
    <col min="8223" max="8223" width="7.28515625" style="168" customWidth="1"/>
    <col min="8224" max="8229" width="7.42578125" style="168" customWidth="1"/>
    <col min="8230" max="8230" width="9.42578125" style="168" bestFit="1" customWidth="1"/>
    <col min="8231" max="8231" width="12" style="168" bestFit="1" customWidth="1"/>
    <col min="8232" max="8233" width="12" style="168" customWidth="1"/>
    <col min="8234" max="8234" width="13.140625" style="168" bestFit="1" customWidth="1"/>
    <col min="8235" max="8236" width="13.140625" style="168" customWidth="1"/>
    <col min="8237" max="8238" width="14.42578125" style="168" bestFit="1" customWidth="1"/>
    <col min="8239" max="8240" width="9.140625" style="168" customWidth="1"/>
    <col min="8241" max="8241" width="9.5703125" style="168" customWidth="1"/>
    <col min="8242" max="8243" width="9.5703125" style="168" bestFit="1" customWidth="1"/>
    <col min="8244" max="8245" width="10.140625" style="168" bestFit="1" customWidth="1"/>
    <col min="8246" max="8246" width="9.5703125" style="168" bestFit="1" customWidth="1"/>
    <col min="8247" max="8247" width="9.5703125" style="168" customWidth="1"/>
    <col min="8248" max="8248" width="9" style="168" customWidth="1"/>
    <col min="8249" max="8249" width="10.5703125" style="168" bestFit="1" customWidth="1"/>
    <col min="8250" max="8250" width="11.42578125" style="168" bestFit="1" customWidth="1"/>
    <col min="8251" max="8251" width="18" style="168" bestFit="1" customWidth="1"/>
    <col min="8252" max="8469" width="9.140625" style="168"/>
    <col min="8470" max="8470" width="41" style="168" customWidth="1"/>
    <col min="8471" max="8471" width="19.5703125" style="168" bestFit="1" customWidth="1"/>
    <col min="8472" max="8472" width="10.140625" style="168" customWidth="1"/>
    <col min="8473" max="8473" width="10.42578125" style="168" bestFit="1" customWidth="1"/>
    <col min="8474" max="8474" width="11.28515625" style="168" customWidth="1"/>
    <col min="8475" max="8475" width="9.42578125" style="168" customWidth="1"/>
    <col min="8476" max="8476" width="10.140625" style="168" bestFit="1" customWidth="1"/>
    <col min="8477" max="8478" width="9.140625" style="168"/>
    <col min="8479" max="8479" width="7.28515625" style="168" customWidth="1"/>
    <col min="8480" max="8485" width="7.42578125" style="168" customWidth="1"/>
    <col min="8486" max="8486" width="9.42578125" style="168" bestFit="1" customWidth="1"/>
    <col min="8487" max="8487" width="12" style="168" bestFit="1" customWidth="1"/>
    <col min="8488" max="8489" width="12" style="168" customWidth="1"/>
    <col min="8490" max="8490" width="13.140625" style="168" bestFit="1" customWidth="1"/>
    <col min="8491" max="8492" width="13.140625" style="168" customWidth="1"/>
    <col min="8493" max="8494" width="14.42578125" style="168" bestFit="1" customWidth="1"/>
    <col min="8495" max="8496" width="9.140625" style="168" customWidth="1"/>
    <col min="8497" max="8497" width="9.5703125" style="168" customWidth="1"/>
    <col min="8498" max="8499" width="9.5703125" style="168" bestFit="1" customWidth="1"/>
    <col min="8500" max="8501" width="10.140625" style="168" bestFit="1" customWidth="1"/>
    <col min="8502" max="8502" width="9.5703125" style="168" bestFit="1" customWidth="1"/>
    <col min="8503" max="8503" width="9.5703125" style="168" customWidth="1"/>
    <col min="8504" max="8504" width="9" style="168" customWidth="1"/>
    <col min="8505" max="8505" width="10.5703125" style="168" bestFit="1" customWidth="1"/>
    <col min="8506" max="8506" width="11.42578125" style="168" bestFit="1" customWidth="1"/>
    <col min="8507" max="8507" width="18" style="168" bestFit="1" customWidth="1"/>
    <col min="8508" max="8725" width="9.140625" style="168"/>
    <col min="8726" max="8726" width="41" style="168" customWidth="1"/>
    <col min="8727" max="8727" width="19.5703125" style="168" bestFit="1" customWidth="1"/>
    <col min="8728" max="8728" width="10.140625" style="168" customWidth="1"/>
    <col min="8729" max="8729" width="10.42578125" style="168" bestFit="1" customWidth="1"/>
    <col min="8730" max="8730" width="11.28515625" style="168" customWidth="1"/>
    <col min="8731" max="8731" width="9.42578125" style="168" customWidth="1"/>
    <col min="8732" max="8732" width="10.140625" style="168" bestFit="1" customWidth="1"/>
    <col min="8733" max="8734" width="9.140625" style="168"/>
    <col min="8735" max="8735" width="7.28515625" style="168" customWidth="1"/>
    <col min="8736" max="8741" width="7.42578125" style="168" customWidth="1"/>
    <col min="8742" max="8742" width="9.42578125" style="168" bestFit="1" customWidth="1"/>
    <col min="8743" max="8743" width="12" style="168" bestFit="1" customWidth="1"/>
    <col min="8744" max="8745" width="12" style="168" customWidth="1"/>
    <col min="8746" max="8746" width="13.140625" style="168" bestFit="1" customWidth="1"/>
    <col min="8747" max="8748" width="13.140625" style="168" customWidth="1"/>
    <col min="8749" max="8750" width="14.42578125" style="168" bestFit="1" customWidth="1"/>
    <col min="8751" max="8752" width="9.140625" style="168" customWidth="1"/>
    <col min="8753" max="8753" width="9.5703125" style="168" customWidth="1"/>
    <col min="8754" max="8755" width="9.5703125" style="168" bestFit="1" customWidth="1"/>
    <col min="8756" max="8757" width="10.140625" style="168" bestFit="1" customWidth="1"/>
    <col min="8758" max="8758" width="9.5703125" style="168" bestFit="1" customWidth="1"/>
    <col min="8759" max="8759" width="9.5703125" style="168" customWidth="1"/>
    <col min="8760" max="8760" width="9" style="168" customWidth="1"/>
    <col min="8761" max="8761" width="10.5703125" style="168" bestFit="1" customWidth="1"/>
    <col min="8762" max="8762" width="11.42578125" style="168" bestFit="1" customWidth="1"/>
    <col min="8763" max="8763" width="18" style="168" bestFit="1" customWidth="1"/>
    <col min="8764" max="8981" width="9.140625" style="168"/>
    <col min="8982" max="8982" width="41" style="168" customWidth="1"/>
    <col min="8983" max="8983" width="19.5703125" style="168" bestFit="1" customWidth="1"/>
    <col min="8984" max="8984" width="10.140625" style="168" customWidth="1"/>
    <col min="8985" max="8985" width="10.42578125" style="168" bestFit="1" customWidth="1"/>
    <col min="8986" max="8986" width="11.28515625" style="168" customWidth="1"/>
    <col min="8987" max="8987" width="9.42578125" style="168" customWidth="1"/>
    <col min="8988" max="8988" width="10.140625" style="168" bestFit="1" customWidth="1"/>
    <col min="8989" max="8990" width="9.140625" style="168"/>
    <col min="8991" max="8991" width="7.28515625" style="168" customWidth="1"/>
    <col min="8992" max="8997" width="7.42578125" style="168" customWidth="1"/>
    <col min="8998" max="8998" width="9.42578125" style="168" bestFit="1" customWidth="1"/>
    <col min="8999" max="8999" width="12" style="168" bestFit="1" customWidth="1"/>
    <col min="9000" max="9001" width="12" style="168" customWidth="1"/>
    <col min="9002" max="9002" width="13.140625" style="168" bestFit="1" customWidth="1"/>
    <col min="9003" max="9004" width="13.140625" style="168" customWidth="1"/>
    <col min="9005" max="9006" width="14.42578125" style="168" bestFit="1" customWidth="1"/>
    <col min="9007" max="9008" width="9.140625" style="168" customWidth="1"/>
    <col min="9009" max="9009" width="9.5703125" style="168" customWidth="1"/>
    <col min="9010" max="9011" width="9.5703125" style="168" bestFit="1" customWidth="1"/>
    <col min="9012" max="9013" width="10.140625" style="168" bestFit="1" customWidth="1"/>
    <col min="9014" max="9014" width="9.5703125" style="168" bestFit="1" customWidth="1"/>
    <col min="9015" max="9015" width="9.5703125" style="168" customWidth="1"/>
    <col min="9016" max="9016" width="9" style="168" customWidth="1"/>
    <col min="9017" max="9017" width="10.5703125" style="168" bestFit="1" customWidth="1"/>
    <col min="9018" max="9018" width="11.42578125" style="168" bestFit="1" customWidth="1"/>
    <col min="9019" max="9019" width="18" style="168" bestFit="1" customWidth="1"/>
    <col min="9020" max="9237" width="9.140625" style="168"/>
    <col min="9238" max="9238" width="41" style="168" customWidth="1"/>
    <col min="9239" max="9239" width="19.5703125" style="168" bestFit="1" customWidth="1"/>
    <col min="9240" max="9240" width="10.140625" style="168" customWidth="1"/>
    <col min="9241" max="9241" width="10.42578125" style="168" bestFit="1" customWidth="1"/>
    <col min="9242" max="9242" width="11.28515625" style="168" customWidth="1"/>
    <col min="9243" max="9243" width="9.42578125" style="168" customWidth="1"/>
    <col min="9244" max="9244" width="10.140625" style="168" bestFit="1" customWidth="1"/>
    <col min="9245" max="9246" width="9.140625" style="168"/>
    <col min="9247" max="9247" width="7.28515625" style="168" customWidth="1"/>
    <col min="9248" max="9253" width="7.42578125" style="168" customWidth="1"/>
    <col min="9254" max="9254" width="9.42578125" style="168" bestFit="1" customWidth="1"/>
    <col min="9255" max="9255" width="12" style="168" bestFit="1" customWidth="1"/>
    <col min="9256" max="9257" width="12" style="168" customWidth="1"/>
    <col min="9258" max="9258" width="13.140625" style="168" bestFit="1" customWidth="1"/>
    <col min="9259" max="9260" width="13.140625" style="168" customWidth="1"/>
    <col min="9261" max="9262" width="14.42578125" style="168" bestFit="1" customWidth="1"/>
    <col min="9263" max="9264" width="9.140625" style="168" customWidth="1"/>
    <col min="9265" max="9265" width="9.5703125" style="168" customWidth="1"/>
    <col min="9266" max="9267" width="9.5703125" style="168" bestFit="1" customWidth="1"/>
    <col min="9268" max="9269" width="10.140625" style="168" bestFit="1" customWidth="1"/>
    <col min="9270" max="9270" width="9.5703125" style="168" bestFit="1" customWidth="1"/>
    <col min="9271" max="9271" width="9.5703125" style="168" customWidth="1"/>
    <col min="9272" max="9272" width="9" style="168" customWidth="1"/>
    <col min="9273" max="9273" width="10.5703125" style="168" bestFit="1" customWidth="1"/>
    <col min="9274" max="9274" width="11.42578125" style="168" bestFit="1" customWidth="1"/>
    <col min="9275" max="9275" width="18" style="168" bestFit="1" customWidth="1"/>
    <col min="9276" max="9493" width="9.140625" style="168"/>
    <col min="9494" max="9494" width="41" style="168" customWidth="1"/>
    <col min="9495" max="9495" width="19.5703125" style="168" bestFit="1" customWidth="1"/>
    <col min="9496" max="9496" width="10.140625" style="168" customWidth="1"/>
    <col min="9497" max="9497" width="10.42578125" style="168" bestFit="1" customWidth="1"/>
    <col min="9498" max="9498" width="11.28515625" style="168" customWidth="1"/>
    <col min="9499" max="9499" width="9.42578125" style="168" customWidth="1"/>
    <col min="9500" max="9500" width="10.140625" style="168" bestFit="1" customWidth="1"/>
    <col min="9501" max="9502" width="9.140625" style="168"/>
    <col min="9503" max="9503" width="7.28515625" style="168" customWidth="1"/>
    <col min="9504" max="9509" width="7.42578125" style="168" customWidth="1"/>
    <col min="9510" max="9510" width="9.42578125" style="168" bestFit="1" customWidth="1"/>
    <col min="9511" max="9511" width="12" style="168" bestFit="1" customWidth="1"/>
    <col min="9512" max="9513" width="12" style="168" customWidth="1"/>
    <col min="9514" max="9514" width="13.140625" style="168" bestFit="1" customWidth="1"/>
    <col min="9515" max="9516" width="13.140625" style="168" customWidth="1"/>
    <col min="9517" max="9518" width="14.42578125" style="168" bestFit="1" customWidth="1"/>
    <col min="9519" max="9520" width="9.140625" style="168" customWidth="1"/>
    <col min="9521" max="9521" width="9.5703125" style="168" customWidth="1"/>
    <col min="9522" max="9523" width="9.5703125" style="168" bestFit="1" customWidth="1"/>
    <col min="9524" max="9525" width="10.140625" style="168" bestFit="1" customWidth="1"/>
    <col min="9526" max="9526" width="9.5703125" style="168" bestFit="1" customWidth="1"/>
    <col min="9527" max="9527" width="9.5703125" style="168" customWidth="1"/>
    <col min="9528" max="9528" width="9" style="168" customWidth="1"/>
    <col min="9529" max="9529" width="10.5703125" style="168" bestFit="1" customWidth="1"/>
    <col min="9530" max="9530" width="11.42578125" style="168" bestFit="1" customWidth="1"/>
    <col min="9531" max="9531" width="18" style="168" bestFit="1" customWidth="1"/>
    <col min="9532" max="9749" width="9.140625" style="168"/>
    <col min="9750" max="9750" width="41" style="168" customWidth="1"/>
    <col min="9751" max="9751" width="19.5703125" style="168" bestFit="1" customWidth="1"/>
    <col min="9752" max="9752" width="10.140625" style="168" customWidth="1"/>
    <col min="9753" max="9753" width="10.42578125" style="168" bestFit="1" customWidth="1"/>
    <col min="9754" max="9754" width="11.28515625" style="168" customWidth="1"/>
    <col min="9755" max="9755" width="9.42578125" style="168" customWidth="1"/>
    <col min="9756" max="9756" width="10.140625" style="168" bestFit="1" customWidth="1"/>
    <col min="9757" max="9758" width="9.140625" style="168"/>
    <col min="9759" max="9759" width="7.28515625" style="168" customWidth="1"/>
    <col min="9760" max="9765" width="7.42578125" style="168" customWidth="1"/>
    <col min="9766" max="9766" width="9.42578125" style="168" bestFit="1" customWidth="1"/>
    <col min="9767" max="9767" width="12" style="168" bestFit="1" customWidth="1"/>
    <col min="9768" max="9769" width="12" style="168" customWidth="1"/>
    <col min="9770" max="9770" width="13.140625" style="168" bestFit="1" customWidth="1"/>
    <col min="9771" max="9772" width="13.140625" style="168" customWidth="1"/>
    <col min="9773" max="9774" width="14.42578125" style="168" bestFit="1" customWidth="1"/>
    <col min="9775" max="9776" width="9.140625" style="168" customWidth="1"/>
    <col min="9777" max="9777" width="9.5703125" style="168" customWidth="1"/>
    <col min="9778" max="9779" width="9.5703125" style="168" bestFit="1" customWidth="1"/>
    <col min="9780" max="9781" width="10.140625" style="168" bestFit="1" customWidth="1"/>
    <col min="9782" max="9782" width="9.5703125" style="168" bestFit="1" customWidth="1"/>
    <col min="9783" max="9783" width="9.5703125" style="168" customWidth="1"/>
    <col min="9784" max="9784" width="9" style="168" customWidth="1"/>
    <col min="9785" max="9785" width="10.5703125" style="168" bestFit="1" customWidth="1"/>
    <col min="9786" max="9786" width="11.42578125" style="168" bestFit="1" customWidth="1"/>
    <col min="9787" max="9787" width="18" style="168" bestFit="1" customWidth="1"/>
    <col min="9788" max="10005" width="9.140625" style="168"/>
    <col min="10006" max="10006" width="41" style="168" customWidth="1"/>
    <col min="10007" max="10007" width="19.5703125" style="168" bestFit="1" customWidth="1"/>
    <col min="10008" max="10008" width="10.140625" style="168" customWidth="1"/>
    <col min="10009" max="10009" width="10.42578125" style="168" bestFit="1" customWidth="1"/>
    <col min="10010" max="10010" width="11.28515625" style="168" customWidth="1"/>
    <col min="10011" max="10011" width="9.42578125" style="168" customWidth="1"/>
    <col min="10012" max="10012" width="10.140625" style="168" bestFit="1" customWidth="1"/>
    <col min="10013" max="10014" width="9.140625" style="168"/>
    <col min="10015" max="10015" width="7.28515625" style="168" customWidth="1"/>
    <col min="10016" max="10021" width="7.42578125" style="168" customWidth="1"/>
    <col min="10022" max="10022" width="9.42578125" style="168" bestFit="1" customWidth="1"/>
    <col min="10023" max="10023" width="12" style="168" bestFit="1" customWidth="1"/>
    <col min="10024" max="10025" width="12" style="168" customWidth="1"/>
    <col min="10026" max="10026" width="13.140625" style="168" bestFit="1" customWidth="1"/>
    <col min="10027" max="10028" width="13.140625" style="168" customWidth="1"/>
    <col min="10029" max="10030" width="14.42578125" style="168" bestFit="1" customWidth="1"/>
    <col min="10031" max="10032" width="9.140625" style="168" customWidth="1"/>
    <col min="10033" max="10033" width="9.5703125" style="168" customWidth="1"/>
    <col min="10034" max="10035" width="9.5703125" style="168" bestFit="1" customWidth="1"/>
    <col min="10036" max="10037" width="10.140625" style="168" bestFit="1" customWidth="1"/>
    <col min="10038" max="10038" width="9.5703125" style="168" bestFit="1" customWidth="1"/>
    <col min="10039" max="10039" width="9.5703125" style="168" customWidth="1"/>
    <col min="10040" max="10040" width="9" style="168" customWidth="1"/>
    <col min="10041" max="10041" width="10.5703125" style="168" bestFit="1" customWidth="1"/>
    <col min="10042" max="10042" width="11.42578125" style="168" bestFit="1" customWidth="1"/>
    <col min="10043" max="10043" width="18" style="168" bestFit="1" customWidth="1"/>
    <col min="10044" max="10261" width="9.140625" style="168"/>
    <col min="10262" max="10262" width="41" style="168" customWidth="1"/>
    <col min="10263" max="10263" width="19.5703125" style="168" bestFit="1" customWidth="1"/>
    <col min="10264" max="10264" width="10.140625" style="168" customWidth="1"/>
    <col min="10265" max="10265" width="10.42578125" style="168" bestFit="1" customWidth="1"/>
    <col min="10266" max="10266" width="11.28515625" style="168" customWidth="1"/>
    <col min="10267" max="10267" width="9.42578125" style="168" customWidth="1"/>
    <col min="10268" max="10268" width="10.140625" style="168" bestFit="1" customWidth="1"/>
    <col min="10269" max="10270" width="9.140625" style="168"/>
    <col min="10271" max="10271" width="7.28515625" style="168" customWidth="1"/>
    <col min="10272" max="10277" width="7.42578125" style="168" customWidth="1"/>
    <col min="10278" max="10278" width="9.42578125" style="168" bestFit="1" customWidth="1"/>
    <col min="10279" max="10279" width="12" style="168" bestFit="1" customWidth="1"/>
    <col min="10280" max="10281" width="12" style="168" customWidth="1"/>
    <col min="10282" max="10282" width="13.140625" style="168" bestFit="1" customWidth="1"/>
    <col min="10283" max="10284" width="13.140625" style="168" customWidth="1"/>
    <col min="10285" max="10286" width="14.42578125" style="168" bestFit="1" customWidth="1"/>
    <col min="10287" max="10288" width="9.140625" style="168" customWidth="1"/>
    <col min="10289" max="10289" width="9.5703125" style="168" customWidth="1"/>
    <col min="10290" max="10291" width="9.5703125" style="168" bestFit="1" customWidth="1"/>
    <col min="10292" max="10293" width="10.140625" style="168" bestFit="1" customWidth="1"/>
    <col min="10294" max="10294" width="9.5703125" style="168" bestFit="1" customWidth="1"/>
    <col min="10295" max="10295" width="9.5703125" style="168" customWidth="1"/>
    <col min="10296" max="10296" width="9" style="168" customWidth="1"/>
    <col min="10297" max="10297" width="10.5703125" style="168" bestFit="1" customWidth="1"/>
    <col min="10298" max="10298" width="11.42578125" style="168" bestFit="1" customWidth="1"/>
    <col min="10299" max="10299" width="18" style="168" bestFit="1" customWidth="1"/>
    <col min="10300" max="10517" width="9.140625" style="168"/>
    <col min="10518" max="10518" width="41" style="168" customWidth="1"/>
    <col min="10519" max="10519" width="19.5703125" style="168" bestFit="1" customWidth="1"/>
    <col min="10520" max="10520" width="10.140625" style="168" customWidth="1"/>
    <col min="10521" max="10521" width="10.42578125" style="168" bestFit="1" customWidth="1"/>
    <col min="10522" max="10522" width="11.28515625" style="168" customWidth="1"/>
    <col min="10523" max="10523" width="9.42578125" style="168" customWidth="1"/>
    <col min="10524" max="10524" width="10.140625" style="168" bestFit="1" customWidth="1"/>
    <col min="10525" max="10526" width="9.140625" style="168"/>
    <col min="10527" max="10527" width="7.28515625" style="168" customWidth="1"/>
    <col min="10528" max="10533" width="7.42578125" style="168" customWidth="1"/>
    <col min="10534" max="10534" width="9.42578125" style="168" bestFit="1" customWidth="1"/>
    <col min="10535" max="10535" width="12" style="168" bestFit="1" customWidth="1"/>
    <col min="10536" max="10537" width="12" style="168" customWidth="1"/>
    <col min="10538" max="10538" width="13.140625" style="168" bestFit="1" customWidth="1"/>
    <col min="10539" max="10540" width="13.140625" style="168" customWidth="1"/>
    <col min="10541" max="10542" width="14.42578125" style="168" bestFit="1" customWidth="1"/>
    <col min="10543" max="10544" width="9.140625" style="168" customWidth="1"/>
    <col min="10545" max="10545" width="9.5703125" style="168" customWidth="1"/>
    <col min="10546" max="10547" width="9.5703125" style="168" bestFit="1" customWidth="1"/>
    <col min="10548" max="10549" width="10.140625" style="168" bestFit="1" customWidth="1"/>
    <col min="10550" max="10550" width="9.5703125" style="168" bestFit="1" customWidth="1"/>
    <col min="10551" max="10551" width="9.5703125" style="168" customWidth="1"/>
    <col min="10552" max="10552" width="9" style="168" customWidth="1"/>
    <col min="10553" max="10553" width="10.5703125" style="168" bestFit="1" customWidth="1"/>
    <col min="10554" max="10554" width="11.42578125" style="168" bestFit="1" customWidth="1"/>
    <col min="10555" max="10555" width="18" style="168" bestFit="1" customWidth="1"/>
    <col min="10556" max="10773" width="9.140625" style="168"/>
    <col min="10774" max="10774" width="41" style="168" customWidth="1"/>
    <col min="10775" max="10775" width="19.5703125" style="168" bestFit="1" customWidth="1"/>
    <col min="10776" max="10776" width="10.140625" style="168" customWidth="1"/>
    <col min="10777" max="10777" width="10.42578125" style="168" bestFit="1" customWidth="1"/>
    <col min="10778" max="10778" width="11.28515625" style="168" customWidth="1"/>
    <col min="10779" max="10779" width="9.42578125" style="168" customWidth="1"/>
    <col min="10780" max="10780" width="10.140625" style="168" bestFit="1" customWidth="1"/>
    <col min="10781" max="10782" width="9.140625" style="168"/>
    <col min="10783" max="10783" width="7.28515625" style="168" customWidth="1"/>
    <col min="10784" max="10789" width="7.42578125" style="168" customWidth="1"/>
    <col min="10790" max="10790" width="9.42578125" style="168" bestFit="1" customWidth="1"/>
    <col min="10791" max="10791" width="12" style="168" bestFit="1" customWidth="1"/>
    <col min="10792" max="10793" width="12" style="168" customWidth="1"/>
    <col min="10794" max="10794" width="13.140625" style="168" bestFit="1" customWidth="1"/>
    <col min="10795" max="10796" width="13.140625" style="168" customWidth="1"/>
    <col min="10797" max="10798" width="14.42578125" style="168" bestFit="1" customWidth="1"/>
    <col min="10799" max="10800" width="9.140625" style="168" customWidth="1"/>
    <col min="10801" max="10801" width="9.5703125" style="168" customWidth="1"/>
    <col min="10802" max="10803" width="9.5703125" style="168" bestFit="1" customWidth="1"/>
    <col min="10804" max="10805" width="10.140625" style="168" bestFit="1" customWidth="1"/>
    <col min="10806" max="10806" width="9.5703125" style="168" bestFit="1" customWidth="1"/>
    <col min="10807" max="10807" width="9.5703125" style="168" customWidth="1"/>
    <col min="10808" max="10808" width="9" style="168" customWidth="1"/>
    <col min="10809" max="10809" width="10.5703125" style="168" bestFit="1" customWidth="1"/>
    <col min="10810" max="10810" width="11.42578125" style="168" bestFit="1" customWidth="1"/>
    <col min="10811" max="10811" width="18" style="168" bestFit="1" customWidth="1"/>
    <col min="10812" max="11029" width="9.140625" style="168"/>
    <col min="11030" max="11030" width="41" style="168" customWidth="1"/>
    <col min="11031" max="11031" width="19.5703125" style="168" bestFit="1" customWidth="1"/>
    <col min="11032" max="11032" width="10.140625" style="168" customWidth="1"/>
    <col min="11033" max="11033" width="10.42578125" style="168" bestFit="1" customWidth="1"/>
    <col min="11034" max="11034" width="11.28515625" style="168" customWidth="1"/>
    <col min="11035" max="11035" width="9.42578125" style="168" customWidth="1"/>
    <col min="11036" max="11036" width="10.140625" style="168" bestFit="1" customWidth="1"/>
    <col min="11037" max="11038" width="9.140625" style="168"/>
    <col min="11039" max="11039" width="7.28515625" style="168" customWidth="1"/>
    <col min="11040" max="11045" width="7.42578125" style="168" customWidth="1"/>
    <col min="11046" max="11046" width="9.42578125" style="168" bestFit="1" customWidth="1"/>
    <col min="11047" max="11047" width="12" style="168" bestFit="1" customWidth="1"/>
    <col min="11048" max="11049" width="12" style="168" customWidth="1"/>
    <col min="11050" max="11050" width="13.140625" style="168" bestFit="1" customWidth="1"/>
    <col min="11051" max="11052" width="13.140625" style="168" customWidth="1"/>
    <col min="11053" max="11054" width="14.42578125" style="168" bestFit="1" customWidth="1"/>
    <col min="11055" max="11056" width="9.140625" style="168" customWidth="1"/>
    <col min="11057" max="11057" width="9.5703125" style="168" customWidth="1"/>
    <col min="11058" max="11059" width="9.5703125" style="168" bestFit="1" customWidth="1"/>
    <col min="11060" max="11061" width="10.140625" style="168" bestFit="1" customWidth="1"/>
    <col min="11062" max="11062" width="9.5703125" style="168" bestFit="1" customWidth="1"/>
    <col min="11063" max="11063" width="9.5703125" style="168" customWidth="1"/>
    <col min="11064" max="11064" width="9" style="168" customWidth="1"/>
    <col min="11065" max="11065" width="10.5703125" style="168" bestFit="1" customWidth="1"/>
    <col min="11066" max="11066" width="11.42578125" style="168" bestFit="1" customWidth="1"/>
    <col min="11067" max="11067" width="18" style="168" bestFit="1" customWidth="1"/>
    <col min="11068" max="11285" width="9.140625" style="168"/>
    <col min="11286" max="11286" width="41" style="168" customWidth="1"/>
    <col min="11287" max="11287" width="19.5703125" style="168" bestFit="1" customWidth="1"/>
    <col min="11288" max="11288" width="10.140625" style="168" customWidth="1"/>
    <col min="11289" max="11289" width="10.42578125" style="168" bestFit="1" customWidth="1"/>
    <col min="11290" max="11290" width="11.28515625" style="168" customWidth="1"/>
    <col min="11291" max="11291" width="9.42578125" style="168" customWidth="1"/>
    <col min="11292" max="11292" width="10.140625" style="168" bestFit="1" customWidth="1"/>
    <col min="11293" max="11294" width="9.140625" style="168"/>
    <col min="11295" max="11295" width="7.28515625" style="168" customWidth="1"/>
    <col min="11296" max="11301" width="7.42578125" style="168" customWidth="1"/>
    <col min="11302" max="11302" width="9.42578125" style="168" bestFit="1" customWidth="1"/>
    <col min="11303" max="11303" width="12" style="168" bestFit="1" customWidth="1"/>
    <col min="11304" max="11305" width="12" style="168" customWidth="1"/>
    <col min="11306" max="11306" width="13.140625" style="168" bestFit="1" customWidth="1"/>
    <col min="11307" max="11308" width="13.140625" style="168" customWidth="1"/>
    <col min="11309" max="11310" width="14.42578125" style="168" bestFit="1" customWidth="1"/>
    <col min="11311" max="11312" width="9.140625" style="168" customWidth="1"/>
    <col min="11313" max="11313" width="9.5703125" style="168" customWidth="1"/>
    <col min="11314" max="11315" width="9.5703125" style="168" bestFit="1" customWidth="1"/>
    <col min="11316" max="11317" width="10.140625" style="168" bestFit="1" customWidth="1"/>
    <col min="11318" max="11318" width="9.5703125" style="168" bestFit="1" customWidth="1"/>
    <col min="11319" max="11319" width="9.5703125" style="168" customWidth="1"/>
    <col min="11320" max="11320" width="9" style="168" customWidth="1"/>
    <col min="11321" max="11321" width="10.5703125" style="168" bestFit="1" customWidth="1"/>
    <col min="11322" max="11322" width="11.42578125" style="168" bestFit="1" customWidth="1"/>
    <col min="11323" max="11323" width="18" style="168" bestFit="1" customWidth="1"/>
    <col min="11324" max="11541" width="9.140625" style="168"/>
    <col min="11542" max="11542" width="41" style="168" customWidth="1"/>
    <col min="11543" max="11543" width="19.5703125" style="168" bestFit="1" customWidth="1"/>
    <col min="11544" max="11544" width="10.140625" style="168" customWidth="1"/>
    <col min="11545" max="11545" width="10.42578125" style="168" bestFit="1" customWidth="1"/>
    <col min="11546" max="11546" width="11.28515625" style="168" customWidth="1"/>
    <col min="11547" max="11547" width="9.42578125" style="168" customWidth="1"/>
    <col min="11548" max="11548" width="10.140625" style="168" bestFit="1" customWidth="1"/>
    <col min="11549" max="11550" width="9.140625" style="168"/>
    <col min="11551" max="11551" width="7.28515625" style="168" customWidth="1"/>
    <col min="11552" max="11557" width="7.42578125" style="168" customWidth="1"/>
    <col min="11558" max="11558" width="9.42578125" style="168" bestFit="1" customWidth="1"/>
    <col min="11559" max="11559" width="12" style="168" bestFit="1" customWidth="1"/>
    <col min="11560" max="11561" width="12" style="168" customWidth="1"/>
    <col min="11562" max="11562" width="13.140625" style="168" bestFit="1" customWidth="1"/>
    <col min="11563" max="11564" width="13.140625" style="168" customWidth="1"/>
    <col min="11565" max="11566" width="14.42578125" style="168" bestFit="1" customWidth="1"/>
    <col min="11567" max="11568" width="9.140625" style="168" customWidth="1"/>
    <col min="11569" max="11569" width="9.5703125" style="168" customWidth="1"/>
    <col min="11570" max="11571" width="9.5703125" style="168" bestFit="1" customWidth="1"/>
    <col min="11572" max="11573" width="10.140625" style="168" bestFit="1" customWidth="1"/>
    <col min="11574" max="11574" width="9.5703125" style="168" bestFit="1" customWidth="1"/>
    <col min="11575" max="11575" width="9.5703125" style="168" customWidth="1"/>
    <col min="11576" max="11576" width="9" style="168" customWidth="1"/>
    <col min="11577" max="11577" width="10.5703125" style="168" bestFit="1" customWidth="1"/>
    <col min="11578" max="11578" width="11.42578125" style="168" bestFit="1" customWidth="1"/>
    <col min="11579" max="11579" width="18" style="168" bestFit="1" customWidth="1"/>
    <col min="11580" max="11797" width="9.140625" style="168"/>
    <col min="11798" max="11798" width="41" style="168" customWidth="1"/>
    <col min="11799" max="11799" width="19.5703125" style="168" bestFit="1" customWidth="1"/>
    <col min="11800" max="11800" width="10.140625" style="168" customWidth="1"/>
    <col min="11801" max="11801" width="10.42578125" style="168" bestFit="1" customWidth="1"/>
    <col min="11802" max="11802" width="11.28515625" style="168" customWidth="1"/>
    <col min="11803" max="11803" width="9.42578125" style="168" customWidth="1"/>
    <col min="11804" max="11804" width="10.140625" style="168" bestFit="1" customWidth="1"/>
    <col min="11805" max="11806" width="9.140625" style="168"/>
    <col min="11807" max="11807" width="7.28515625" style="168" customWidth="1"/>
    <col min="11808" max="11813" width="7.42578125" style="168" customWidth="1"/>
    <col min="11814" max="11814" width="9.42578125" style="168" bestFit="1" customWidth="1"/>
    <col min="11815" max="11815" width="12" style="168" bestFit="1" customWidth="1"/>
    <col min="11816" max="11817" width="12" style="168" customWidth="1"/>
    <col min="11818" max="11818" width="13.140625" style="168" bestFit="1" customWidth="1"/>
    <col min="11819" max="11820" width="13.140625" style="168" customWidth="1"/>
    <col min="11821" max="11822" width="14.42578125" style="168" bestFit="1" customWidth="1"/>
    <col min="11823" max="11824" width="9.140625" style="168" customWidth="1"/>
    <col min="11825" max="11825" width="9.5703125" style="168" customWidth="1"/>
    <col min="11826" max="11827" width="9.5703125" style="168" bestFit="1" customWidth="1"/>
    <col min="11828" max="11829" width="10.140625" style="168" bestFit="1" customWidth="1"/>
    <col min="11830" max="11830" width="9.5703125" style="168" bestFit="1" customWidth="1"/>
    <col min="11831" max="11831" width="9.5703125" style="168" customWidth="1"/>
    <col min="11832" max="11832" width="9" style="168" customWidth="1"/>
    <col min="11833" max="11833" width="10.5703125" style="168" bestFit="1" customWidth="1"/>
    <col min="11834" max="11834" width="11.42578125" style="168" bestFit="1" customWidth="1"/>
    <col min="11835" max="11835" width="18" style="168" bestFit="1" customWidth="1"/>
    <col min="11836" max="12053" width="9.140625" style="168"/>
    <col min="12054" max="12054" width="41" style="168" customWidth="1"/>
    <col min="12055" max="12055" width="19.5703125" style="168" bestFit="1" customWidth="1"/>
    <col min="12056" max="12056" width="10.140625" style="168" customWidth="1"/>
    <col min="12057" max="12057" width="10.42578125" style="168" bestFit="1" customWidth="1"/>
    <col min="12058" max="12058" width="11.28515625" style="168" customWidth="1"/>
    <col min="12059" max="12059" width="9.42578125" style="168" customWidth="1"/>
    <col min="12060" max="12060" width="10.140625" style="168" bestFit="1" customWidth="1"/>
    <col min="12061" max="12062" width="9.140625" style="168"/>
    <col min="12063" max="12063" width="7.28515625" style="168" customWidth="1"/>
    <col min="12064" max="12069" width="7.42578125" style="168" customWidth="1"/>
    <col min="12070" max="12070" width="9.42578125" style="168" bestFit="1" customWidth="1"/>
    <col min="12071" max="12071" width="12" style="168" bestFit="1" customWidth="1"/>
    <col min="12072" max="12073" width="12" style="168" customWidth="1"/>
    <col min="12074" max="12074" width="13.140625" style="168" bestFit="1" customWidth="1"/>
    <col min="12075" max="12076" width="13.140625" style="168" customWidth="1"/>
    <col min="12077" max="12078" width="14.42578125" style="168" bestFit="1" customWidth="1"/>
    <col min="12079" max="12080" width="9.140625" style="168" customWidth="1"/>
    <col min="12081" max="12081" width="9.5703125" style="168" customWidth="1"/>
    <col min="12082" max="12083" width="9.5703125" style="168" bestFit="1" customWidth="1"/>
    <col min="12084" max="12085" width="10.140625" style="168" bestFit="1" customWidth="1"/>
    <col min="12086" max="12086" width="9.5703125" style="168" bestFit="1" customWidth="1"/>
    <col min="12087" max="12087" width="9.5703125" style="168" customWidth="1"/>
    <col min="12088" max="12088" width="9" style="168" customWidth="1"/>
    <col min="12089" max="12089" width="10.5703125" style="168" bestFit="1" customWidth="1"/>
    <col min="12090" max="12090" width="11.42578125" style="168" bestFit="1" customWidth="1"/>
    <col min="12091" max="12091" width="18" style="168" bestFit="1" customWidth="1"/>
    <col min="12092" max="12309" width="9.140625" style="168"/>
    <col min="12310" max="12310" width="41" style="168" customWidth="1"/>
    <col min="12311" max="12311" width="19.5703125" style="168" bestFit="1" customWidth="1"/>
    <col min="12312" max="12312" width="10.140625" style="168" customWidth="1"/>
    <col min="12313" max="12313" width="10.42578125" style="168" bestFit="1" customWidth="1"/>
    <col min="12314" max="12314" width="11.28515625" style="168" customWidth="1"/>
    <col min="12315" max="12315" width="9.42578125" style="168" customWidth="1"/>
    <col min="12316" max="12316" width="10.140625" style="168" bestFit="1" customWidth="1"/>
    <col min="12317" max="12318" width="9.140625" style="168"/>
    <col min="12319" max="12319" width="7.28515625" style="168" customWidth="1"/>
    <col min="12320" max="12325" width="7.42578125" style="168" customWidth="1"/>
    <col min="12326" max="12326" width="9.42578125" style="168" bestFit="1" customWidth="1"/>
    <col min="12327" max="12327" width="12" style="168" bestFit="1" customWidth="1"/>
    <col min="12328" max="12329" width="12" style="168" customWidth="1"/>
    <col min="12330" max="12330" width="13.140625" style="168" bestFit="1" customWidth="1"/>
    <col min="12331" max="12332" width="13.140625" style="168" customWidth="1"/>
    <col min="12333" max="12334" width="14.42578125" style="168" bestFit="1" customWidth="1"/>
    <col min="12335" max="12336" width="9.140625" style="168" customWidth="1"/>
    <col min="12337" max="12337" width="9.5703125" style="168" customWidth="1"/>
    <col min="12338" max="12339" width="9.5703125" style="168" bestFit="1" customWidth="1"/>
    <col min="12340" max="12341" width="10.140625" style="168" bestFit="1" customWidth="1"/>
    <col min="12342" max="12342" width="9.5703125" style="168" bestFit="1" customWidth="1"/>
    <col min="12343" max="12343" width="9.5703125" style="168" customWidth="1"/>
    <col min="12344" max="12344" width="9" style="168" customWidth="1"/>
    <col min="12345" max="12345" width="10.5703125" style="168" bestFit="1" customWidth="1"/>
    <col min="12346" max="12346" width="11.42578125" style="168" bestFit="1" customWidth="1"/>
    <col min="12347" max="12347" width="18" style="168" bestFit="1" customWidth="1"/>
    <col min="12348" max="12565" width="9.140625" style="168"/>
    <col min="12566" max="12566" width="41" style="168" customWidth="1"/>
    <col min="12567" max="12567" width="19.5703125" style="168" bestFit="1" customWidth="1"/>
    <col min="12568" max="12568" width="10.140625" style="168" customWidth="1"/>
    <col min="12569" max="12569" width="10.42578125" style="168" bestFit="1" customWidth="1"/>
    <col min="12570" max="12570" width="11.28515625" style="168" customWidth="1"/>
    <col min="12571" max="12571" width="9.42578125" style="168" customWidth="1"/>
    <col min="12572" max="12572" width="10.140625" style="168" bestFit="1" customWidth="1"/>
    <col min="12573" max="12574" width="9.140625" style="168"/>
    <col min="12575" max="12575" width="7.28515625" style="168" customWidth="1"/>
    <col min="12576" max="12581" width="7.42578125" style="168" customWidth="1"/>
    <col min="12582" max="12582" width="9.42578125" style="168" bestFit="1" customWidth="1"/>
    <col min="12583" max="12583" width="12" style="168" bestFit="1" customWidth="1"/>
    <col min="12584" max="12585" width="12" style="168" customWidth="1"/>
    <col min="12586" max="12586" width="13.140625" style="168" bestFit="1" customWidth="1"/>
    <col min="12587" max="12588" width="13.140625" style="168" customWidth="1"/>
    <col min="12589" max="12590" width="14.42578125" style="168" bestFit="1" customWidth="1"/>
    <col min="12591" max="12592" width="9.140625" style="168" customWidth="1"/>
    <col min="12593" max="12593" width="9.5703125" style="168" customWidth="1"/>
    <col min="12594" max="12595" width="9.5703125" style="168" bestFit="1" customWidth="1"/>
    <col min="12596" max="12597" width="10.140625" style="168" bestFit="1" customWidth="1"/>
    <col min="12598" max="12598" width="9.5703125" style="168" bestFit="1" customWidth="1"/>
    <col min="12599" max="12599" width="9.5703125" style="168" customWidth="1"/>
    <col min="12600" max="12600" width="9" style="168" customWidth="1"/>
    <col min="12601" max="12601" width="10.5703125" style="168" bestFit="1" customWidth="1"/>
    <col min="12602" max="12602" width="11.42578125" style="168" bestFit="1" customWidth="1"/>
    <col min="12603" max="12603" width="18" style="168" bestFit="1" customWidth="1"/>
    <col min="12604" max="12821" width="9.140625" style="168"/>
    <col min="12822" max="12822" width="41" style="168" customWidth="1"/>
    <col min="12823" max="12823" width="19.5703125" style="168" bestFit="1" customWidth="1"/>
    <col min="12824" max="12824" width="10.140625" style="168" customWidth="1"/>
    <col min="12825" max="12825" width="10.42578125" style="168" bestFit="1" customWidth="1"/>
    <col min="12826" max="12826" width="11.28515625" style="168" customWidth="1"/>
    <col min="12827" max="12827" width="9.42578125" style="168" customWidth="1"/>
    <col min="12828" max="12828" width="10.140625" style="168" bestFit="1" customWidth="1"/>
    <col min="12829" max="12830" width="9.140625" style="168"/>
    <col min="12831" max="12831" width="7.28515625" style="168" customWidth="1"/>
    <col min="12832" max="12837" width="7.42578125" style="168" customWidth="1"/>
    <col min="12838" max="12838" width="9.42578125" style="168" bestFit="1" customWidth="1"/>
    <col min="12839" max="12839" width="12" style="168" bestFit="1" customWidth="1"/>
    <col min="12840" max="12841" width="12" style="168" customWidth="1"/>
    <col min="12842" max="12842" width="13.140625" style="168" bestFit="1" customWidth="1"/>
    <col min="12843" max="12844" width="13.140625" style="168" customWidth="1"/>
    <col min="12845" max="12846" width="14.42578125" style="168" bestFit="1" customWidth="1"/>
    <col min="12847" max="12848" width="9.140625" style="168" customWidth="1"/>
    <col min="12849" max="12849" width="9.5703125" style="168" customWidth="1"/>
    <col min="12850" max="12851" width="9.5703125" style="168" bestFit="1" customWidth="1"/>
    <col min="12852" max="12853" width="10.140625" style="168" bestFit="1" customWidth="1"/>
    <col min="12854" max="12854" width="9.5703125" style="168" bestFit="1" customWidth="1"/>
    <col min="12855" max="12855" width="9.5703125" style="168" customWidth="1"/>
    <col min="12856" max="12856" width="9" style="168" customWidth="1"/>
    <col min="12857" max="12857" width="10.5703125" style="168" bestFit="1" customWidth="1"/>
    <col min="12858" max="12858" width="11.42578125" style="168" bestFit="1" customWidth="1"/>
    <col min="12859" max="12859" width="18" style="168" bestFit="1" customWidth="1"/>
    <col min="12860" max="13077" width="9.140625" style="168"/>
    <col min="13078" max="13078" width="41" style="168" customWidth="1"/>
    <col min="13079" max="13079" width="19.5703125" style="168" bestFit="1" customWidth="1"/>
    <col min="13080" max="13080" width="10.140625" style="168" customWidth="1"/>
    <col min="13081" max="13081" width="10.42578125" style="168" bestFit="1" customWidth="1"/>
    <col min="13082" max="13082" width="11.28515625" style="168" customWidth="1"/>
    <col min="13083" max="13083" width="9.42578125" style="168" customWidth="1"/>
    <col min="13084" max="13084" width="10.140625" style="168" bestFit="1" customWidth="1"/>
    <col min="13085" max="13086" width="9.140625" style="168"/>
    <col min="13087" max="13087" width="7.28515625" style="168" customWidth="1"/>
    <col min="13088" max="13093" width="7.42578125" style="168" customWidth="1"/>
    <col min="13094" max="13094" width="9.42578125" style="168" bestFit="1" customWidth="1"/>
    <col min="13095" max="13095" width="12" style="168" bestFit="1" customWidth="1"/>
    <col min="13096" max="13097" width="12" style="168" customWidth="1"/>
    <col min="13098" max="13098" width="13.140625" style="168" bestFit="1" customWidth="1"/>
    <col min="13099" max="13100" width="13.140625" style="168" customWidth="1"/>
    <col min="13101" max="13102" width="14.42578125" style="168" bestFit="1" customWidth="1"/>
    <col min="13103" max="13104" width="9.140625" style="168" customWidth="1"/>
    <col min="13105" max="13105" width="9.5703125" style="168" customWidth="1"/>
    <col min="13106" max="13107" width="9.5703125" style="168" bestFit="1" customWidth="1"/>
    <col min="13108" max="13109" width="10.140625" style="168" bestFit="1" customWidth="1"/>
    <col min="13110" max="13110" width="9.5703125" style="168" bestFit="1" customWidth="1"/>
    <col min="13111" max="13111" width="9.5703125" style="168" customWidth="1"/>
    <col min="13112" max="13112" width="9" style="168" customWidth="1"/>
    <col min="13113" max="13113" width="10.5703125" style="168" bestFit="1" customWidth="1"/>
    <col min="13114" max="13114" width="11.42578125" style="168" bestFit="1" customWidth="1"/>
    <col min="13115" max="13115" width="18" style="168" bestFit="1" customWidth="1"/>
    <col min="13116" max="13333" width="9.140625" style="168"/>
    <col min="13334" max="13334" width="41" style="168" customWidth="1"/>
    <col min="13335" max="13335" width="19.5703125" style="168" bestFit="1" customWidth="1"/>
    <col min="13336" max="13336" width="10.140625" style="168" customWidth="1"/>
    <col min="13337" max="13337" width="10.42578125" style="168" bestFit="1" customWidth="1"/>
    <col min="13338" max="13338" width="11.28515625" style="168" customWidth="1"/>
    <col min="13339" max="13339" width="9.42578125" style="168" customWidth="1"/>
    <col min="13340" max="13340" width="10.140625" style="168" bestFit="1" customWidth="1"/>
    <col min="13341" max="13342" width="9.140625" style="168"/>
    <col min="13343" max="13343" width="7.28515625" style="168" customWidth="1"/>
    <col min="13344" max="13349" width="7.42578125" style="168" customWidth="1"/>
    <col min="13350" max="13350" width="9.42578125" style="168" bestFit="1" customWidth="1"/>
    <col min="13351" max="13351" width="12" style="168" bestFit="1" customWidth="1"/>
    <col min="13352" max="13353" width="12" style="168" customWidth="1"/>
    <col min="13354" max="13354" width="13.140625" style="168" bestFit="1" customWidth="1"/>
    <col min="13355" max="13356" width="13.140625" style="168" customWidth="1"/>
    <col min="13357" max="13358" width="14.42578125" style="168" bestFit="1" customWidth="1"/>
    <col min="13359" max="13360" width="9.140625" style="168" customWidth="1"/>
    <col min="13361" max="13361" width="9.5703125" style="168" customWidth="1"/>
    <col min="13362" max="13363" width="9.5703125" style="168" bestFit="1" customWidth="1"/>
    <col min="13364" max="13365" width="10.140625" style="168" bestFit="1" customWidth="1"/>
    <col min="13366" max="13366" width="9.5703125" style="168" bestFit="1" customWidth="1"/>
    <col min="13367" max="13367" width="9.5703125" style="168" customWidth="1"/>
    <col min="13368" max="13368" width="9" style="168" customWidth="1"/>
    <col min="13369" max="13369" width="10.5703125" style="168" bestFit="1" customWidth="1"/>
    <col min="13370" max="13370" width="11.42578125" style="168" bestFit="1" customWidth="1"/>
    <col min="13371" max="13371" width="18" style="168" bestFit="1" customWidth="1"/>
    <col min="13372" max="13589" width="9.140625" style="168"/>
    <col min="13590" max="13590" width="41" style="168" customWidth="1"/>
    <col min="13591" max="13591" width="19.5703125" style="168" bestFit="1" customWidth="1"/>
    <col min="13592" max="13592" width="10.140625" style="168" customWidth="1"/>
    <col min="13593" max="13593" width="10.42578125" style="168" bestFit="1" customWidth="1"/>
    <col min="13594" max="13594" width="11.28515625" style="168" customWidth="1"/>
    <col min="13595" max="13595" width="9.42578125" style="168" customWidth="1"/>
    <col min="13596" max="13596" width="10.140625" style="168" bestFit="1" customWidth="1"/>
    <col min="13597" max="13598" width="9.140625" style="168"/>
    <col min="13599" max="13599" width="7.28515625" style="168" customWidth="1"/>
    <col min="13600" max="13605" width="7.42578125" style="168" customWidth="1"/>
    <col min="13606" max="13606" width="9.42578125" style="168" bestFit="1" customWidth="1"/>
    <col min="13607" max="13607" width="12" style="168" bestFit="1" customWidth="1"/>
    <col min="13608" max="13609" width="12" style="168" customWidth="1"/>
    <col min="13610" max="13610" width="13.140625" style="168" bestFit="1" customWidth="1"/>
    <col min="13611" max="13612" width="13.140625" style="168" customWidth="1"/>
    <col min="13613" max="13614" width="14.42578125" style="168" bestFit="1" customWidth="1"/>
    <col min="13615" max="13616" width="9.140625" style="168" customWidth="1"/>
    <col min="13617" max="13617" width="9.5703125" style="168" customWidth="1"/>
    <col min="13618" max="13619" width="9.5703125" style="168" bestFit="1" customWidth="1"/>
    <col min="13620" max="13621" width="10.140625" style="168" bestFit="1" customWidth="1"/>
    <col min="13622" max="13622" width="9.5703125" style="168" bestFit="1" customWidth="1"/>
    <col min="13623" max="13623" width="9.5703125" style="168" customWidth="1"/>
    <col min="13624" max="13624" width="9" style="168" customWidth="1"/>
    <col min="13625" max="13625" width="10.5703125" style="168" bestFit="1" customWidth="1"/>
    <col min="13626" max="13626" width="11.42578125" style="168" bestFit="1" customWidth="1"/>
    <col min="13627" max="13627" width="18" style="168" bestFit="1" customWidth="1"/>
    <col min="13628" max="13845" width="9.140625" style="168"/>
    <col min="13846" max="13846" width="41" style="168" customWidth="1"/>
    <col min="13847" max="13847" width="19.5703125" style="168" bestFit="1" customWidth="1"/>
    <col min="13848" max="13848" width="10.140625" style="168" customWidth="1"/>
    <col min="13849" max="13849" width="10.42578125" style="168" bestFit="1" customWidth="1"/>
    <col min="13850" max="13850" width="11.28515625" style="168" customWidth="1"/>
    <col min="13851" max="13851" width="9.42578125" style="168" customWidth="1"/>
    <col min="13852" max="13852" width="10.140625" style="168" bestFit="1" customWidth="1"/>
    <col min="13853" max="13854" width="9.140625" style="168"/>
    <col min="13855" max="13855" width="7.28515625" style="168" customWidth="1"/>
    <col min="13856" max="13861" width="7.42578125" style="168" customWidth="1"/>
    <col min="13862" max="13862" width="9.42578125" style="168" bestFit="1" customWidth="1"/>
    <col min="13863" max="13863" width="12" style="168" bestFit="1" customWidth="1"/>
    <col min="13864" max="13865" width="12" style="168" customWidth="1"/>
    <col min="13866" max="13866" width="13.140625" style="168" bestFit="1" customWidth="1"/>
    <col min="13867" max="13868" width="13.140625" style="168" customWidth="1"/>
    <col min="13869" max="13870" width="14.42578125" style="168" bestFit="1" customWidth="1"/>
    <col min="13871" max="13872" width="9.140625" style="168" customWidth="1"/>
    <col min="13873" max="13873" width="9.5703125" style="168" customWidth="1"/>
    <col min="13874" max="13875" width="9.5703125" style="168" bestFit="1" customWidth="1"/>
    <col min="13876" max="13877" width="10.140625" style="168" bestFit="1" customWidth="1"/>
    <col min="13878" max="13878" width="9.5703125" style="168" bestFit="1" customWidth="1"/>
    <col min="13879" max="13879" width="9.5703125" style="168" customWidth="1"/>
    <col min="13880" max="13880" width="9" style="168" customWidth="1"/>
    <col min="13881" max="13881" width="10.5703125" style="168" bestFit="1" customWidth="1"/>
    <col min="13882" max="13882" width="11.42578125" style="168" bestFit="1" customWidth="1"/>
    <col min="13883" max="13883" width="18" style="168" bestFit="1" customWidth="1"/>
    <col min="13884" max="14101" width="9.140625" style="168"/>
    <col min="14102" max="14102" width="41" style="168" customWidth="1"/>
    <col min="14103" max="14103" width="19.5703125" style="168" bestFit="1" customWidth="1"/>
    <col min="14104" max="14104" width="10.140625" style="168" customWidth="1"/>
    <col min="14105" max="14105" width="10.42578125" style="168" bestFit="1" customWidth="1"/>
    <col min="14106" max="14106" width="11.28515625" style="168" customWidth="1"/>
    <col min="14107" max="14107" width="9.42578125" style="168" customWidth="1"/>
    <col min="14108" max="14108" width="10.140625" style="168" bestFit="1" customWidth="1"/>
    <col min="14109" max="14110" width="9.140625" style="168"/>
    <col min="14111" max="14111" width="7.28515625" style="168" customWidth="1"/>
    <col min="14112" max="14117" width="7.42578125" style="168" customWidth="1"/>
    <col min="14118" max="14118" width="9.42578125" style="168" bestFit="1" customWidth="1"/>
    <col min="14119" max="14119" width="12" style="168" bestFit="1" customWidth="1"/>
    <col min="14120" max="14121" width="12" style="168" customWidth="1"/>
    <col min="14122" max="14122" width="13.140625" style="168" bestFit="1" customWidth="1"/>
    <col min="14123" max="14124" width="13.140625" style="168" customWidth="1"/>
    <col min="14125" max="14126" width="14.42578125" style="168" bestFit="1" customWidth="1"/>
    <col min="14127" max="14128" width="9.140625" style="168" customWidth="1"/>
    <col min="14129" max="14129" width="9.5703125" style="168" customWidth="1"/>
    <col min="14130" max="14131" width="9.5703125" style="168" bestFit="1" customWidth="1"/>
    <col min="14132" max="14133" width="10.140625" style="168" bestFit="1" customWidth="1"/>
    <col min="14134" max="14134" width="9.5703125" style="168" bestFit="1" customWidth="1"/>
    <col min="14135" max="14135" width="9.5703125" style="168" customWidth="1"/>
    <col min="14136" max="14136" width="9" style="168" customWidth="1"/>
    <col min="14137" max="14137" width="10.5703125" style="168" bestFit="1" customWidth="1"/>
    <col min="14138" max="14138" width="11.42578125" style="168" bestFit="1" customWidth="1"/>
    <col min="14139" max="14139" width="18" style="168" bestFit="1" customWidth="1"/>
    <col min="14140" max="14357" width="9.140625" style="168"/>
    <col min="14358" max="14358" width="41" style="168" customWidth="1"/>
    <col min="14359" max="14359" width="19.5703125" style="168" bestFit="1" customWidth="1"/>
    <col min="14360" max="14360" width="10.140625" style="168" customWidth="1"/>
    <col min="14361" max="14361" width="10.42578125" style="168" bestFit="1" customWidth="1"/>
    <col min="14362" max="14362" width="11.28515625" style="168" customWidth="1"/>
    <col min="14363" max="14363" width="9.42578125" style="168" customWidth="1"/>
    <col min="14364" max="14364" width="10.140625" style="168" bestFit="1" customWidth="1"/>
    <col min="14365" max="14366" width="9.140625" style="168"/>
    <col min="14367" max="14367" width="7.28515625" style="168" customWidth="1"/>
    <col min="14368" max="14373" width="7.42578125" style="168" customWidth="1"/>
    <col min="14374" max="14374" width="9.42578125" style="168" bestFit="1" customWidth="1"/>
    <col min="14375" max="14375" width="12" style="168" bestFit="1" customWidth="1"/>
    <col min="14376" max="14377" width="12" style="168" customWidth="1"/>
    <col min="14378" max="14378" width="13.140625" style="168" bestFit="1" customWidth="1"/>
    <col min="14379" max="14380" width="13.140625" style="168" customWidth="1"/>
    <col min="14381" max="14382" width="14.42578125" style="168" bestFit="1" customWidth="1"/>
    <col min="14383" max="14384" width="9.140625" style="168" customWidth="1"/>
    <col min="14385" max="14385" width="9.5703125" style="168" customWidth="1"/>
    <col min="14386" max="14387" width="9.5703125" style="168" bestFit="1" customWidth="1"/>
    <col min="14388" max="14389" width="10.140625" style="168" bestFit="1" customWidth="1"/>
    <col min="14390" max="14390" width="9.5703125" style="168" bestFit="1" customWidth="1"/>
    <col min="14391" max="14391" width="9.5703125" style="168" customWidth="1"/>
    <col min="14392" max="14392" width="9" style="168" customWidth="1"/>
    <col min="14393" max="14393" width="10.5703125" style="168" bestFit="1" customWidth="1"/>
    <col min="14394" max="14394" width="11.42578125" style="168" bestFit="1" customWidth="1"/>
    <col min="14395" max="14395" width="18" style="168" bestFit="1" customWidth="1"/>
    <col min="14396" max="14613" width="9.140625" style="168"/>
    <col min="14614" max="14614" width="41" style="168" customWidth="1"/>
    <col min="14615" max="14615" width="19.5703125" style="168" bestFit="1" customWidth="1"/>
    <col min="14616" max="14616" width="10.140625" style="168" customWidth="1"/>
    <col min="14617" max="14617" width="10.42578125" style="168" bestFit="1" customWidth="1"/>
    <col min="14618" max="14618" width="11.28515625" style="168" customWidth="1"/>
    <col min="14619" max="14619" width="9.42578125" style="168" customWidth="1"/>
    <col min="14620" max="14620" width="10.140625" style="168" bestFit="1" customWidth="1"/>
    <col min="14621" max="14622" width="9.140625" style="168"/>
    <col min="14623" max="14623" width="7.28515625" style="168" customWidth="1"/>
    <col min="14624" max="14629" width="7.42578125" style="168" customWidth="1"/>
    <col min="14630" max="14630" width="9.42578125" style="168" bestFit="1" customWidth="1"/>
    <col min="14631" max="14631" width="12" style="168" bestFit="1" customWidth="1"/>
    <col min="14632" max="14633" width="12" style="168" customWidth="1"/>
    <col min="14634" max="14634" width="13.140625" style="168" bestFit="1" customWidth="1"/>
    <col min="14635" max="14636" width="13.140625" style="168" customWidth="1"/>
    <col min="14637" max="14638" width="14.42578125" style="168" bestFit="1" customWidth="1"/>
    <col min="14639" max="14640" width="9.140625" style="168" customWidth="1"/>
    <col min="14641" max="14641" width="9.5703125" style="168" customWidth="1"/>
    <col min="14642" max="14643" width="9.5703125" style="168" bestFit="1" customWidth="1"/>
    <col min="14644" max="14645" width="10.140625" style="168" bestFit="1" customWidth="1"/>
    <col min="14646" max="14646" width="9.5703125" style="168" bestFit="1" customWidth="1"/>
    <col min="14647" max="14647" width="9.5703125" style="168" customWidth="1"/>
    <col min="14648" max="14648" width="9" style="168" customWidth="1"/>
    <col min="14649" max="14649" width="10.5703125" style="168" bestFit="1" customWidth="1"/>
    <col min="14650" max="14650" width="11.42578125" style="168" bestFit="1" customWidth="1"/>
    <col min="14651" max="14651" width="18" style="168" bestFit="1" customWidth="1"/>
    <col min="14652" max="14869" width="9.140625" style="168"/>
    <col min="14870" max="14870" width="41" style="168" customWidth="1"/>
    <col min="14871" max="14871" width="19.5703125" style="168" bestFit="1" customWidth="1"/>
    <col min="14872" max="14872" width="10.140625" style="168" customWidth="1"/>
    <col min="14873" max="14873" width="10.42578125" style="168" bestFit="1" customWidth="1"/>
    <col min="14874" max="14874" width="11.28515625" style="168" customWidth="1"/>
    <col min="14875" max="14875" width="9.42578125" style="168" customWidth="1"/>
    <col min="14876" max="14876" width="10.140625" style="168" bestFit="1" customWidth="1"/>
    <col min="14877" max="14878" width="9.140625" style="168"/>
    <col min="14879" max="14879" width="7.28515625" style="168" customWidth="1"/>
    <col min="14880" max="14885" width="7.42578125" style="168" customWidth="1"/>
    <col min="14886" max="14886" width="9.42578125" style="168" bestFit="1" customWidth="1"/>
    <col min="14887" max="14887" width="12" style="168" bestFit="1" customWidth="1"/>
    <col min="14888" max="14889" width="12" style="168" customWidth="1"/>
    <col min="14890" max="14890" width="13.140625" style="168" bestFit="1" customWidth="1"/>
    <col min="14891" max="14892" width="13.140625" style="168" customWidth="1"/>
    <col min="14893" max="14894" width="14.42578125" style="168" bestFit="1" customWidth="1"/>
    <col min="14895" max="14896" width="9.140625" style="168" customWidth="1"/>
    <col min="14897" max="14897" width="9.5703125" style="168" customWidth="1"/>
    <col min="14898" max="14899" width="9.5703125" style="168" bestFit="1" customWidth="1"/>
    <col min="14900" max="14901" width="10.140625" style="168" bestFit="1" customWidth="1"/>
    <col min="14902" max="14902" width="9.5703125" style="168" bestFit="1" customWidth="1"/>
    <col min="14903" max="14903" width="9.5703125" style="168" customWidth="1"/>
    <col min="14904" max="14904" width="9" style="168" customWidth="1"/>
    <col min="14905" max="14905" width="10.5703125" style="168" bestFit="1" customWidth="1"/>
    <col min="14906" max="14906" width="11.42578125" style="168" bestFit="1" customWidth="1"/>
    <col min="14907" max="14907" width="18" style="168" bestFit="1" customWidth="1"/>
    <col min="14908" max="15125" width="9.140625" style="168"/>
    <col min="15126" max="15126" width="41" style="168" customWidth="1"/>
    <col min="15127" max="15127" width="19.5703125" style="168" bestFit="1" customWidth="1"/>
    <col min="15128" max="15128" width="10.140625" style="168" customWidth="1"/>
    <col min="15129" max="15129" width="10.42578125" style="168" bestFit="1" customWidth="1"/>
    <col min="15130" max="15130" width="11.28515625" style="168" customWidth="1"/>
    <col min="15131" max="15131" width="9.42578125" style="168" customWidth="1"/>
    <col min="15132" max="15132" width="10.140625" style="168" bestFit="1" customWidth="1"/>
    <col min="15133" max="15134" width="9.140625" style="168"/>
    <col min="15135" max="15135" width="7.28515625" style="168" customWidth="1"/>
    <col min="15136" max="15141" width="7.42578125" style="168" customWidth="1"/>
    <col min="15142" max="15142" width="9.42578125" style="168" bestFit="1" customWidth="1"/>
    <col min="15143" max="15143" width="12" style="168" bestFit="1" customWidth="1"/>
    <col min="15144" max="15145" width="12" style="168" customWidth="1"/>
    <col min="15146" max="15146" width="13.140625" style="168" bestFit="1" customWidth="1"/>
    <col min="15147" max="15148" width="13.140625" style="168" customWidth="1"/>
    <col min="15149" max="15150" width="14.42578125" style="168" bestFit="1" customWidth="1"/>
    <col min="15151" max="15152" width="9.140625" style="168" customWidth="1"/>
    <col min="15153" max="15153" width="9.5703125" style="168" customWidth="1"/>
    <col min="15154" max="15155" width="9.5703125" style="168" bestFit="1" customWidth="1"/>
    <col min="15156" max="15157" width="10.140625" style="168" bestFit="1" customWidth="1"/>
    <col min="15158" max="15158" width="9.5703125" style="168" bestFit="1" customWidth="1"/>
    <col min="15159" max="15159" width="9.5703125" style="168" customWidth="1"/>
    <col min="15160" max="15160" width="9" style="168" customWidth="1"/>
    <col min="15161" max="15161" width="10.5703125" style="168" bestFit="1" customWidth="1"/>
    <col min="15162" max="15162" width="11.42578125" style="168" bestFit="1" customWidth="1"/>
    <col min="15163" max="15163" width="18" style="168" bestFit="1" customWidth="1"/>
    <col min="15164" max="15381" width="9.140625" style="168"/>
    <col min="15382" max="15382" width="41" style="168" customWidth="1"/>
    <col min="15383" max="15383" width="19.5703125" style="168" bestFit="1" customWidth="1"/>
    <col min="15384" max="15384" width="10.140625" style="168" customWidth="1"/>
    <col min="15385" max="15385" width="10.42578125" style="168" bestFit="1" customWidth="1"/>
    <col min="15386" max="15386" width="11.28515625" style="168" customWidth="1"/>
    <col min="15387" max="15387" width="9.42578125" style="168" customWidth="1"/>
    <col min="15388" max="15388" width="10.140625" style="168" bestFit="1" customWidth="1"/>
    <col min="15389" max="15390" width="9.140625" style="168"/>
    <col min="15391" max="15391" width="7.28515625" style="168" customWidth="1"/>
    <col min="15392" max="15397" width="7.42578125" style="168" customWidth="1"/>
    <col min="15398" max="15398" width="9.42578125" style="168" bestFit="1" customWidth="1"/>
    <col min="15399" max="15399" width="12" style="168" bestFit="1" customWidth="1"/>
    <col min="15400" max="15401" width="12" style="168" customWidth="1"/>
    <col min="15402" max="15402" width="13.140625" style="168" bestFit="1" customWidth="1"/>
    <col min="15403" max="15404" width="13.140625" style="168" customWidth="1"/>
    <col min="15405" max="15406" width="14.42578125" style="168" bestFit="1" customWidth="1"/>
    <col min="15407" max="15408" width="9.140625" style="168" customWidth="1"/>
    <col min="15409" max="15409" width="9.5703125" style="168" customWidth="1"/>
    <col min="15410" max="15411" width="9.5703125" style="168" bestFit="1" customWidth="1"/>
    <col min="15412" max="15413" width="10.140625" style="168" bestFit="1" customWidth="1"/>
    <col min="15414" max="15414" width="9.5703125" style="168" bestFit="1" customWidth="1"/>
    <col min="15415" max="15415" width="9.5703125" style="168" customWidth="1"/>
    <col min="15416" max="15416" width="9" style="168" customWidth="1"/>
    <col min="15417" max="15417" width="10.5703125" style="168" bestFit="1" customWidth="1"/>
    <col min="15418" max="15418" width="11.42578125" style="168" bestFit="1" customWidth="1"/>
    <col min="15419" max="15419" width="18" style="168" bestFit="1" customWidth="1"/>
    <col min="15420" max="15637" width="9.140625" style="168"/>
    <col min="15638" max="15638" width="41" style="168" customWidth="1"/>
    <col min="15639" max="15639" width="19.5703125" style="168" bestFit="1" customWidth="1"/>
    <col min="15640" max="15640" width="10.140625" style="168" customWidth="1"/>
    <col min="15641" max="15641" width="10.42578125" style="168" bestFit="1" customWidth="1"/>
    <col min="15642" max="15642" width="11.28515625" style="168" customWidth="1"/>
    <col min="15643" max="15643" width="9.42578125" style="168" customWidth="1"/>
    <col min="15644" max="15644" width="10.140625" style="168" bestFit="1" customWidth="1"/>
    <col min="15645" max="15646" width="9.140625" style="168"/>
    <col min="15647" max="15647" width="7.28515625" style="168" customWidth="1"/>
    <col min="15648" max="15653" width="7.42578125" style="168" customWidth="1"/>
    <col min="15654" max="15654" width="9.42578125" style="168" bestFit="1" customWidth="1"/>
    <col min="15655" max="15655" width="12" style="168" bestFit="1" customWidth="1"/>
    <col min="15656" max="15657" width="12" style="168" customWidth="1"/>
    <col min="15658" max="15658" width="13.140625" style="168" bestFit="1" customWidth="1"/>
    <col min="15659" max="15660" width="13.140625" style="168" customWidth="1"/>
    <col min="15661" max="15662" width="14.42578125" style="168" bestFit="1" customWidth="1"/>
    <col min="15663" max="15664" width="9.140625" style="168" customWidth="1"/>
    <col min="15665" max="15665" width="9.5703125" style="168" customWidth="1"/>
    <col min="15666" max="15667" width="9.5703125" style="168" bestFit="1" customWidth="1"/>
    <col min="15668" max="15669" width="10.140625" style="168" bestFit="1" customWidth="1"/>
    <col min="15670" max="15670" width="9.5703125" style="168" bestFit="1" customWidth="1"/>
    <col min="15671" max="15671" width="9.5703125" style="168" customWidth="1"/>
    <col min="15672" max="15672" width="9" style="168" customWidth="1"/>
    <col min="15673" max="15673" width="10.5703125" style="168" bestFit="1" customWidth="1"/>
    <col min="15674" max="15674" width="11.42578125" style="168" bestFit="1" customWidth="1"/>
    <col min="15675" max="15675" width="18" style="168" bestFit="1" customWidth="1"/>
    <col min="15676" max="15893" width="9.140625" style="168"/>
    <col min="15894" max="15894" width="41" style="168" customWidth="1"/>
    <col min="15895" max="15895" width="19.5703125" style="168" bestFit="1" customWidth="1"/>
    <col min="15896" max="15896" width="10.140625" style="168" customWidth="1"/>
    <col min="15897" max="15897" width="10.42578125" style="168" bestFit="1" customWidth="1"/>
    <col min="15898" max="15898" width="11.28515625" style="168" customWidth="1"/>
    <col min="15899" max="15899" width="9.42578125" style="168" customWidth="1"/>
    <col min="15900" max="15900" width="10.140625" style="168" bestFit="1" customWidth="1"/>
    <col min="15901" max="15902" width="9.140625" style="168"/>
    <col min="15903" max="15903" width="7.28515625" style="168" customWidth="1"/>
    <col min="15904" max="15909" width="7.42578125" style="168" customWidth="1"/>
    <col min="15910" max="15910" width="9.42578125" style="168" bestFit="1" customWidth="1"/>
    <col min="15911" max="15911" width="12" style="168" bestFit="1" customWidth="1"/>
    <col min="15912" max="15913" width="12" style="168" customWidth="1"/>
    <col min="15914" max="15914" width="13.140625" style="168" bestFit="1" customWidth="1"/>
    <col min="15915" max="15916" width="13.140625" style="168" customWidth="1"/>
    <col min="15917" max="15918" width="14.42578125" style="168" bestFit="1" customWidth="1"/>
    <col min="15919" max="15920" width="9.140625" style="168" customWidth="1"/>
    <col min="15921" max="15921" width="9.5703125" style="168" customWidth="1"/>
    <col min="15922" max="15923" width="9.5703125" style="168" bestFit="1" customWidth="1"/>
    <col min="15924" max="15925" width="10.140625" style="168" bestFit="1" customWidth="1"/>
    <col min="15926" max="15926" width="9.5703125" style="168" bestFit="1" customWidth="1"/>
    <col min="15927" max="15927" width="9.5703125" style="168" customWidth="1"/>
    <col min="15928" max="15928" width="9" style="168" customWidth="1"/>
    <col min="15929" max="15929" width="10.5703125" style="168" bestFit="1" customWidth="1"/>
    <col min="15930" max="15930" width="11.42578125" style="168" bestFit="1" customWidth="1"/>
    <col min="15931" max="15931" width="18" style="168" bestFit="1" customWidth="1"/>
    <col min="15932" max="16149" width="9.140625" style="168"/>
    <col min="16150" max="16150" width="41" style="168" customWidth="1"/>
    <col min="16151" max="16151" width="19.5703125" style="168" bestFit="1" customWidth="1"/>
    <col min="16152" max="16152" width="10.140625" style="168" customWidth="1"/>
    <col min="16153" max="16153" width="10.42578125" style="168" bestFit="1" customWidth="1"/>
    <col min="16154" max="16154" width="11.28515625" style="168" customWidth="1"/>
    <col min="16155" max="16155" width="9.42578125" style="168" customWidth="1"/>
    <col min="16156" max="16156" width="10.140625" style="168" bestFit="1" customWidth="1"/>
    <col min="16157" max="16158" width="9.140625" style="168"/>
    <col min="16159" max="16159" width="7.28515625" style="168" customWidth="1"/>
    <col min="16160" max="16165" width="7.42578125" style="168" customWidth="1"/>
    <col min="16166" max="16166" width="9.42578125" style="168" bestFit="1" customWidth="1"/>
    <col min="16167" max="16167" width="12" style="168" bestFit="1" customWidth="1"/>
    <col min="16168" max="16169" width="12" style="168" customWidth="1"/>
    <col min="16170" max="16170" width="13.140625" style="168" bestFit="1" customWidth="1"/>
    <col min="16171" max="16172" width="13.140625" style="168" customWidth="1"/>
    <col min="16173" max="16174" width="14.42578125" style="168" bestFit="1" customWidth="1"/>
    <col min="16175" max="16176" width="9.140625" style="168" customWidth="1"/>
    <col min="16177" max="16177" width="9.5703125" style="168" customWidth="1"/>
    <col min="16178" max="16179" width="9.5703125" style="168" bestFit="1" customWidth="1"/>
    <col min="16180" max="16181" width="10.140625" style="168" bestFit="1" customWidth="1"/>
    <col min="16182" max="16182" width="9.5703125" style="168" bestFit="1" customWidth="1"/>
    <col min="16183" max="16183" width="9.5703125" style="168" customWidth="1"/>
    <col min="16184" max="16184" width="9" style="168" customWidth="1"/>
    <col min="16185" max="16185" width="10.5703125" style="168" bestFit="1" customWidth="1"/>
    <col min="16186" max="16186" width="11.42578125" style="168" bestFit="1" customWidth="1"/>
    <col min="16187" max="16187" width="18" style="168" bestFit="1" customWidth="1"/>
    <col min="16188" max="16384" width="9.140625" style="168"/>
  </cols>
  <sheetData>
    <row r="1" spans="1:63" ht="24" customHeight="1" thickBot="1" x14ac:dyDescent="0.25">
      <c r="A1" s="258"/>
      <c r="B1" s="259"/>
      <c r="C1" s="259"/>
      <c r="D1" s="259"/>
      <c r="E1" s="259"/>
      <c r="F1" s="259"/>
      <c r="G1" s="259"/>
      <c r="H1" s="259"/>
      <c r="I1" s="259"/>
      <c r="J1" s="260"/>
      <c r="K1" s="261"/>
      <c r="L1" s="261"/>
      <c r="M1" s="166"/>
      <c r="N1" s="166"/>
      <c r="O1" s="166"/>
      <c r="P1" s="166"/>
      <c r="Q1" s="166"/>
      <c r="R1" s="166"/>
      <c r="S1" s="166"/>
      <c r="T1" s="166"/>
      <c r="U1" s="166"/>
      <c r="V1" s="166"/>
      <c r="W1" s="166"/>
      <c r="X1" s="166"/>
      <c r="Y1" s="167"/>
      <c r="Z1" s="167"/>
      <c r="AA1" s="167"/>
      <c r="AB1" s="167"/>
      <c r="AC1" s="167"/>
      <c r="AD1" s="167"/>
    </row>
    <row r="2" spans="1:63" ht="30" customHeight="1" thickBot="1" x14ac:dyDescent="0.25">
      <c r="A2" s="262" t="s">
        <v>136</v>
      </c>
      <c r="B2" s="263">
        <v>46023</v>
      </c>
      <c r="C2" s="264"/>
      <c r="D2" s="264"/>
      <c r="E2" s="264"/>
      <c r="F2" s="264"/>
      <c r="G2" s="264"/>
      <c r="H2" s="264"/>
      <c r="I2" s="264"/>
      <c r="J2" s="265"/>
      <c r="K2" s="266"/>
      <c r="L2" s="266"/>
      <c r="M2" s="166"/>
      <c r="N2" s="166"/>
      <c r="O2" s="166"/>
      <c r="P2" s="166"/>
      <c r="Q2" s="166"/>
      <c r="R2" s="166"/>
      <c r="S2" s="166"/>
      <c r="T2" s="166"/>
      <c r="U2" s="166"/>
      <c r="V2" s="166"/>
      <c r="W2" s="166"/>
      <c r="X2" s="166"/>
      <c r="Y2" s="167"/>
      <c r="Z2" s="167"/>
      <c r="AA2" s="167"/>
      <c r="AB2" s="167"/>
      <c r="AC2" s="167"/>
      <c r="AD2" s="167"/>
    </row>
    <row r="3" spans="1:63" ht="24.75" customHeight="1" thickBot="1" x14ac:dyDescent="0.25">
      <c r="A3" s="267" t="s">
        <v>339</v>
      </c>
      <c r="B3" s="268"/>
      <c r="C3" s="269"/>
      <c r="D3" s="269"/>
      <c r="E3" s="269"/>
      <c r="F3" s="269"/>
      <c r="G3" s="269"/>
      <c r="H3" s="269"/>
      <c r="I3" s="269"/>
      <c r="J3" s="270"/>
      <c r="K3" s="271"/>
      <c r="L3" s="271"/>
      <c r="M3" s="166"/>
      <c r="N3" s="166"/>
      <c r="O3" s="166"/>
      <c r="P3" s="166"/>
      <c r="Q3" s="166"/>
      <c r="R3" s="166"/>
      <c r="S3" s="166"/>
      <c r="T3" s="166"/>
      <c r="U3" s="166"/>
      <c r="V3" s="166"/>
      <c r="W3" s="166"/>
      <c r="X3" s="166"/>
      <c r="Y3" s="167"/>
      <c r="Z3" s="167"/>
      <c r="AA3" s="167"/>
      <c r="AB3" s="167"/>
      <c r="AC3" s="167"/>
      <c r="AD3" s="167"/>
    </row>
    <row r="4" spans="1:63" ht="12.75" customHeight="1" x14ac:dyDescent="0.2">
      <c r="A4" s="272" t="s">
        <v>340</v>
      </c>
      <c r="B4" s="272"/>
      <c r="C4" s="272"/>
      <c r="D4" s="272"/>
      <c r="E4" s="272"/>
      <c r="F4" s="272"/>
      <c r="G4" s="272"/>
      <c r="H4" s="272"/>
      <c r="I4" s="272"/>
      <c r="J4" s="273"/>
      <c r="K4" s="273"/>
      <c r="L4" s="273"/>
      <c r="M4" s="273"/>
      <c r="N4" s="273"/>
      <c r="O4" s="273"/>
      <c r="P4" s="273"/>
      <c r="Q4" s="273"/>
      <c r="R4" s="273"/>
      <c r="S4" s="273"/>
      <c r="T4" s="273"/>
      <c r="U4" s="273"/>
      <c r="V4" s="273"/>
      <c r="W4" s="273"/>
    </row>
    <row r="5" spans="1:63" s="175" customFormat="1" ht="12.75" customHeight="1" x14ac:dyDescent="0.2">
      <c r="A5" s="274" t="s">
        <v>365</v>
      </c>
      <c r="B5" s="272"/>
      <c r="C5" s="272"/>
      <c r="D5" s="272"/>
      <c r="E5" s="272"/>
      <c r="F5" s="272"/>
      <c r="G5" s="272"/>
      <c r="H5" s="272"/>
      <c r="I5" s="272"/>
      <c r="J5" s="273"/>
      <c r="K5" s="273"/>
      <c r="L5" s="273"/>
      <c r="M5" s="273"/>
      <c r="N5" s="273"/>
      <c r="O5" s="273"/>
      <c r="P5" s="273"/>
      <c r="Q5" s="273"/>
      <c r="R5" s="273"/>
      <c r="S5" s="273"/>
      <c r="T5" s="273"/>
      <c r="U5" s="273"/>
      <c r="V5" s="273"/>
      <c r="W5" s="273"/>
      <c r="X5" s="275"/>
      <c r="Y5" s="276"/>
      <c r="Z5" s="276"/>
      <c r="AA5" s="276"/>
      <c r="AB5" s="276"/>
      <c r="AC5" s="276"/>
      <c r="AD5" s="276"/>
    </row>
    <row r="6" spans="1:63" s="175" customFormat="1" ht="25.5" customHeight="1" x14ac:dyDescent="0.2">
      <c r="A6" s="272"/>
      <c r="B6" s="272"/>
      <c r="C6" s="272"/>
      <c r="D6" s="272"/>
      <c r="E6" s="272"/>
      <c r="F6" s="272"/>
      <c r="G6" s="272"/>
      <c r="H6" s="272"/>
      <c r="I6" s="272"/>
      <c r="J6" s="275"/>
      <c r="K6" s="275"/>
      <c r="L6" s="275"/>
      <c r="M6" s="275"/>
      <c r="N6" s="275"/>
      <c r="O6" s="275"/>
      <c r="P6" s="275"/>
      <c r="Q6" s="275"/>
      <c r="R6" s="275"/>
      <c r="S6" s="275"/>
      <c r="T6" s="275"/>
      <c r="U6" s="275"/>
      <c r="V6" s="275"/>
      <c r="W6" s="275"/>
      <c r="X6" s="275"/>
      <c r="Y6" s="173"/>
      <c r="Z6" s="173"/>
      <c r="AA6" s="173"/>
      <c r="AB6" s="173"/>
      <c r="AC6" s="173"/>
    </row>
    <row r="7" spans="1:63" x14ac:dyDescent="0.2">
      <c r="A7" s="158"/>
      <c r="B7" s="158"/>
      <c r="C7" s="158"/>
      <c r="D7" s="158"/>
      <c r="E7" s="158"/>
      <c r="F7" s="158"/>
      <c r="G7" s="158"/>
      <c r="H7" s="158"/>
      <c r="I7" s="158"/>
      <c r="J7" s="158"/>
      <c r="K7" s="158"/>
      <c r="L7" s="158"/>
      <c r="M7" s="172"/>
      <c r="N7" s="172"/>
      <c r="O7" s="172"/>
      <c r="P7" s="172"/>
      <c r="Q7" s="172"/>
      <c r="R7" s="172"/>
      <c r="S7" s="172"/>
      <c r="T7" s="172"/>
      <c r="U7" s="172"/>
      <c r="V7" s="172"/>
      <c r="W7" s="172"/>
      <c r="X7" s="172"/>
      <c r="Y7" s="175"/>
      <c r="Z7" s="175"/>
      <c r="AA7" s="175"/>
      <c r="AB7" s="175"/>
      <c r="AC7" s="175"/>
      <c r="AD7" s="175"/>
    </row>
    <row r="8" spans="1:63" ht="30" customHeight="1" thickBot="1" x14ac:dyDescent="0.25">
      <c r="C8" s="176"/>
      <c r="D8" s="177"/>
      <c r="E8" s="172"/>
      <c r="F8" s="172"/>
      <c r="G8" s="172"/>
      <c r="H8" s="172"/>
      <c r="I8" s="172"/>
      <c r="J8" s="172"/>
      <c r="K8" s="172"/>
      <c r="L8" s="172"/>
      <c r="M8" s="172"/>
      <c r="N8" s="172"/>
      <c r="O8" s="172"/>
      <c r="P8" s="172"/>
      <c r="Q8" s="172"/>
      <c r="R8" s="172"/>
      <c r="S8" s="172"/>
      <c r="T8" s="172"/>
      <c r="U8" s="172"/>
      <c r="V8" s="172"/>
      <c r="W8" s="172"/>
      <c r="X8" s="172"/>
      <c r="Y8" s="167"/>
      <c r="Z8" s="167"/>
      <c r="AA8" s="167"/>
      <c r="AB8" s="167"/>
      <c r="AC8" s="167"/>
      <c r="AD8" s="167"/>
    </row>
    <row r="9" spans="1:63" ht="16.5" customHeight="1" x14ac:dyDescent="0.2">
      <c r="A9" s="181" t="s">
        <v>297</v>
      </c>
      <c r="B9" s="182" t="s">
        <v>298</v>
      </c>
      <c r="C9" s="277" t="s">
        <v>299</v>
      </c>
      <c r="D9" s="184" t="s">
        <v>300</v>
      </c>
      <c r="E9" s="185"/>
      <c r="F9" s="185"/>
      <c r="G9" s="185"/>
      <c r="H9" s="185"/>
      <c r="I9" s="184" t="s">
        <v>85</v>
      </c>
      <c r="J9" s="185"/>
      <c r="K9" s="187"/>
      <c r="L9" s="187"/>
      <c r="M9" s="187"/>
      <c r="N9" s="278" t="s">
        <v>301</v>
      </c>
      <c r="O9" s="183"/>
      <c r="P9" s="183"/>
      <c r="Q9" s="183"/>
      <c r="R9" s="183"/>
      <c r="S9" s="183"/>
      <c r="T9" s="183"/>
      <c r="U9" s="183"/>
      <c r="V9" s="183"/>
      <c r="W9" s="277"/>
      <c r="X9" s="188" t="s">
        <v>302</v>
      </c>
      <c r="Y9" s="279" t="s">
        <v>341</v>
      </c>
      <c r="Z9" s="185" t="s">
        <v>342</v>
      </c>
      <c r="AA9" s="185" t="s">
        <v>343</v>
      </c>
      <c r="AB9" s="185" t="s">
        <v>344</v>
      </c>
      <c r="AC9" s="185" t="s">
        <v>345</v>
      </c>
      <c r="AD9" s="185" t="s">
        <v>346</v>
      </c>
      <c r="AE9" s="185" t="s">
        <v>347</v>
      </c>
      <c r="AF9" s="185" t="s">
        <v>348</v>
      </c>
      <c r="AG9" s="185" t="s">
        <v>349</v>
      </c>
      <c r="AH9" s="188" t="s">
        <v>309</v>
      </c>
      <c r="AI9" s="278" t="s">
        <v>310</v>
      </c>
      <c r="AJ9" s="178" t="s">
        <v>350</v>
      </c>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80"/>
    </row>
    <row r="10" spans="1:63" x14ac:dyDescent="0.2">
      <c r="A10" s="192"/>
      <c r="B10" s="193"/>
      <c r="C10" s="280"/>
      <c r="D10" s="195" t="s">
        <v>311</v>
      </c>
      <c r="E10" s="196" t="s">
        <v>312</v>
      </c>
      <c r="F10" s="196" t="s">
        <v>313</v>
      </c>
      <c r="G10" s="196" t="s">
        <v>351</v>
      </c>
      <c r="H10" s="196" t="s">
        <v>352</v>
      </c>
      <c r="I10" s="195" t="s">
        <v>311</v>
      </c>
      <c r="J10" s="196" t="s">
        <v>317</v>
      </c>
      <c r="K10" s="196" t="s">
        <v>318</v>
      </c>
      <c r="L10" s="281" t="s">
        <v>319</v>
      </c>
      <c r="M10" s="281" t="s">
        <v>320</v>
      </c>
      <c r="N10" s="282"/>
      <c r="O10" s="205"/>
      <c r="P10" s="205"/>
      <c r="Q10" s="205"/>
      <c r="R10" s="205"/>
      <c r="S10" s="205"/>
      <c r="T10" s="205"/>
      <c r="U10" s="205"/>
      <c r="V10" s="205"/>
      <c r="W10" s="283"/>
      <c r="X10" s="200"/>
      <c r="Y10" s="284"/>
      <c r="Z10" s="196"/>
      <c r="AA10" s="196"/>
      <c r="AB10" s="196"/>
      <c r="AC10" s="196"/>
      <c r="AD10" s="196"/>
      <c r="AE10" s="196"/>
      <c r="AF10" s="196"/>
      <c r="AG10" s="196"/>
      <c r="AH10" s="200"/>
      <c r="AI10" s="285"/>
      <c r="AJ10" s="286"/>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1"/>
    </row>
    <row r="11" spans="1:63" ht="42.75" customHeight="1" x14ac:dyDescent="0.2">
      <c r="A11" s="287"/>
      <c r="B11" s="288"/>
      <c r="C11" s="283"/>
      <c r="D11" s="195"/>
      <c r="E11" s="196"/>
      <c r="F11" s="196"/>
      <c r="G11" s="196"/>
      <c r="H11" s="196"/>
      <c r="I11" s="195"/>
      <c r="J11" s="196"/>
      <c r="K11" s="196"/>
      <c r="L11" s="281"/>
      <c r="M11" s="281"/>
      <c r="N11" s="208" t="s">
        <v>353</v>
      </c>
      <c r="O11" s="289" t="s">
        <v>354</v>
      </c>
      <c r="P11" s="289" t="s">
        <v>355</v>
      </c>
      <c r="Q11" s="289" t="s">
        <v>356</v>
      </c>
      <c r="R11" s="289" t="s">
        <v>357</v>
      </c>
      <c r="S11" s="289" t="s">
        <v>358</v>
      </c>
      <c r="T11" s="289" t="s">
        <v>359</v>
      </c>
      <c r="U11" s="289" t="s">
        <v>360</v>
      </c>
      <c r="V11" s="289" t="s">
        <v>361</v>
      </c>
      <c r="W11" s="210" t="s">
        <v>362</v>
      </c>
      <c r="X11" s="200"/>
      <c r="Y11" s="284"/>
      <c r="Z11" s="196"/>
      <c r="AA11" s="196"/>
      <c r="AB11" s="196"/>
      <c r="AC11" s="196"/>
      <c r="AD11" s="196"/>
      <c r="AE11" s="196"/>
      <c r="AF11" s="196"/>
      <c r="AG11" s="196"/>
      <c r="AH11" s="200"/>
      <c r="AI11" s="282"/>
      <c r="AJ11" s="290" t="str">
        <f>'AUTO CALCULATION SHEET (2)'!N18</f>
        <v>Alumimium</v>
      </c>
      <c r="AK11" s="202" t="str">
        <f>'AUTO CALCULATION SHEET (2)'!W18</f>
        <v>Alumimium ALLOY</v>
      </c>
      <c r="AL11" s="202" t="str">
        <f>'AUTO CALCULATION SHEET (2)'!AA18</f>
        <v>Copper Tape - 0.04 mm</v>
      </c>
      <c r="AM11" s="202" t="str">
        <f>'AUTO CALCULATION SHEET (2)'!AG18</f>
        <v>Extruded Semiconductive(Stripable)</v>
      </c>
      <c r="AN11" s="202" t="str">
        <f>'AUTO CALCULATION SHEET (2)'!AH18</f>
        <v>HT-XLPE</v>
      </c>
      <c r="AO11" s="202" t="str">
        <f>'AUTO CALCULATION SHEET (2)'!AJ18</f>
        <v>TR XLPE</v>
      </c>
      <c r="AP11" s="202" t="str">
        <f>'AUTO CALCULATION SHEET (2)'!AQ18</f>
        <v>POLY TAPE</v>
      </c>
      <c r="AQ11" s="202" t="str">
        <f>'AUTO CALCULATION SHEET (2)'!AX18</f>
        <v>PVC Type ST-2</v>
      </c>
      <c r="AR11" s="202" t="str">
        <f>'AUTO CALCULATION SHEET (2)'!BG18</f>
        <v>Galvanised Steel Flat Strip</v>
      </c>
      <c r="AS11" s="202" t="str">
        <f>'AUTO CALCULATION SHEET (2)'!BO18</f>
        <v>FRLSH PVC Type ST-2</v>
      </c>
      <c r="AT11" s="202" t="str">
        <f>'AUTO CALCULATION SHEET (2)'!BR18</f>
        <v>PE-ST-7</v>
      </c>
      <c r="AU11" s="202" t="str">
        <f>'AUTO CALCULATION SHEET (2)'!BX18</f>
        <v>FILLER</v>
      </c>
      <c r="AV11" s="202" t="str">
        <f>'AUTO CALCULATION SHEET (2)'!BY18</f>
        <v>PP FILLER</v>
      </c>
      <c r="AW11" s="202" t="str">
        <f>'AUTO CALCULATION SHEET (2)'!BZ18</f>
        <v>Al Tape (15x0.10)</v>
      </c>
      <c r="AX11" s="202" t="str">
        <f>'AUTO CALCULATION SHEET (2)'!CA18</f>
        <v>Semi conducting Water Swellable tape</v>
      </c>
      <c r="AY11" s="202" t="str">
        <f>'AUTO CALCULATION SHEET (2)'!CB18</f>
        <v>NCWT</v>
      </c>
      <c r="AZ11" s="202" t="str">
        <f>'AUTO CALCULATION SHEET (2)'!CE18</f>
        <v>RUBBERIZED COTTON TAPE</v>
      </c>
      <c r="BA11" s="202" t="str">
        <f>'AUTO CALCULATION SHEET (2)'!CF18</f>
        <v>Al Wire Screen</v>
      </c>
      <c r="BB11" s="202" t="s">
        <v>322</v>
      </c>
      <c r="BC11" s="291" t="s">
        <v>323</v>
      </c>
      <c r="BD11" s="202" t="s">
        <v>324</v>
      </c>
      <c r="BE11" s="291" t="s">
        <v>325</v>
      </c>
      <c r="BF11" s="202" t="s">
        <v>326</v>
      </c>
      <c r="BG11" s="291" t="s">
        <v>327</v>
      </c>
      <c r="BH11" s="291" t="s">
        <v>328</v>
      </c>
      <c r="BI11" s="291" t="s">
        <v>329</v>
      </c>
      <c r="BJ11" s="292" t="s">
        <v>363</v>
      </c>
    </row>
    <row r="12" spans="1:63" ht="18" customHeight="1" x14ac:dyDescent="0.2">
      <c r="A12" s="293"/>
      <c r="B12" s="293"/>
      <c r="C12" s="294"/>
      <c r="D12" s="215"/>
      <c r="E12" s="216"/>
      <c r="F12" s="219"/>
      <c r="G12" s="219"/>
      <c r="H12" s="295"/>
      <c r="I12" s="218"/>
      <c r="J12" s="216"/>
      <c r="K12" s="219"/>
      <c r="L12" s="219"/>
      <c r="M12" s="295"/>
      <c r="N12" s="220"/>
      <c r="O12" s="296"/>
      <c r="P12" s="296"/>
      <c r="Q12" s="296"/>
      <c r="R12" s="296"/>
      <c r="S12" s="296"/>
      <c r="T12" s="296"/>
      <c r="U12" s="296"/>
      <c r="V12" s="296"/>
      <c r="W12" s="222"/>
      <c r="X12" s="223"/>
      <c r="Y12" s="297"/>
      <c r="Z12" s="297"/>
      <c r="AA12" s="297"/>
      <c r="AB12" s="297"/>
      <c r="AC12" s="297"/>
      <c r="AD12" s="297"/>
      <c r="AE12" s="297"/>
      <c r="AF12" s="297"/>
      <c r="AG12" s="297"/>
      <c r="AH12" s="298"/>
      <c r="AI12" s="299"/>
      <c r="AJ12" s="211">
        <v>361</v>
      </c>
      <c r="AK12" s="211">
        <f>AJ12+5</f>
        <v>366</v>
      </c>
      <c r="AL12" s="211">
        <v>1394</v>
      </c>
      <c r="AM12" s="211">
        <v>210</v>
      </c>
      <c r="AN12" s="211">
        <v>158</v>
      </c>
      <c r="AO12" s="211">
        <v>240</v>
      </c>
      <c r="AP12" s="211">
        <v>130</v>
      </c>
      <c r="AQ12" s="211">
        <v>83</v>
      </c>
      <c r="AR12" s="211">
        <v>76</v>
      </c>
      <c r="AS12" s="211">
        <v>98</v>
      </c>
      <c r="AT12" s="211">
        <v>132</v>
      </c>
      <c r="AU12" s="211">
        <v>30</v>
      </c>
      <c r="AV12" s="211">
        <v>76</v>
      </c>
      <c r="AW12" s="211">
        <v>559</v>
      </c>
      <c r="AX12" s="211">
        <v>370</v>
      </c>
      <c r="AY12" s="211">
        <v>300</v>
      </c>
      <c r="AZ12" s="211">
        <v>280</v>
      </c>
      <c r="BA12" s="211">
        <f>AJ12+5</f>
        <v>366</v>
      </c>
      <c r="BB12" s="300"/>
      <c r="BC12" s="301"/>
      <c r="BD12" s="300"/>
      <c r="BE12" s="301"/>
      <c r="BF12" s="300"/>
      <c r="BG12" s="302"/>
      <c r="BH12" s="300"/>
      <c r="BI12" s="303"/>
      <c r="BJ12" s="304"/>
    </row>
    <row r="13" spans="1:63" s="255" customFormat="1" ht="38.25" x14ac:dyDescent="0.2">
      <c r="A13" s="305" t="str">
        <f>'AUTO CALCULATION SHEET (2)'!D25</f>
        <v>3 CORE X 120 SQ MM + 1 CORE X 125 SQ MM (AB CABLES) (INSULATED) - 11 KV</v>
      </c>
      <c r="B13" s="306"/>
      <c r="C13" s="229"/>
      <c r="D13" s="230">
        <v>46098</v>
      </c>
      <c r="E13" s="324">
        <v>352322.32</v>
      </c>
      <c r="F13" s="325">
        <v>1273267.07</v>
      </c>
      <c r="G13" s="326">
        <v>198367</v>
      </c>
      <c r="H13" s="326">
        <v>158825</v>
      </c>
      <c r="I13" s="231">
        <f>$B$2</f>
        <v>46023</v>
      </c>
      <c r="J13" s="326">
        <v>334622</v>
      </c>
      <c r="K13" s="326">
        <v>1275895</v>
      </c>
      <c r="L13" s="326">
        <v>194965</v>
      </c>
      <c r="M13" s="326">
        <v>153825</v>
      </c>
      <c r="N13" s="232">
        <v>3</v>
      </c>
      <c r="O13" s="307">
        <v>0.34599999999999997</v>
      </c>
      <c r="P13" s="307">
        <f>(O13/120)*125</f>
        <v>0.36041666666666666</v>
      </c>
      <c r="Q13" s="307"/>
      <c r="R13" s="307">
        <v>3.5999999999999997E-2</v>
      </c>
      <c r="S13" s="307"/>
      <c r="T13" s="307">
        <v>0.24099999999999999</v>
      </c>
      <c r="U13" s="307">
        <f>(T13/120)*125</f>
        <v>0.25104166666666666</v>
      </c>
      <c r="V13" s="307">
        <v>0.17199999999999999</v>
      </c>
      <c r="W13" s="235"/>
      <c r="X13" s="328">
        <f>'AUTO CALCULATION SHEET (2)'!E56*1000</f>
        <v>1439770</v>
      </c>
      <c r="Y13" s="335">
        <f>(O13*N13*(E13-J13))</f>
        <v>18372.932160000004</v>
      </c>
      <c r="Z13" s="335">
        <f>P13*(E13-J13)</f>
        <v>6379.4903333333359</v>
      </c>
      <c r="AA13" s="335">
        <f>Q13*(E13-J13)</f>
        <v>0</v>
      </c>
      <c r="AB13" s="335">
        <f>R13*N13*(F13-K13)</f>
        <v>-283.81643999999289</v>
      </c>
      <c r="AC13" s="335">
        <f>(S13*N13*(G13-L13))</f>
        <v>0</v>
      </c>
      <c r="AD13" s="335">
        <f>(T13*N13*(G13-L13))</f>
        <v>2459.6459999999997</v>
      </c>
      <c r="AE13" s="335">
        <f>U13*(G13-L13)</f>
        <v>854.04374999999993</v>
      </c>
      <c r="AF13" s="335">
        <f>(V13*N13*(H13-M13))</f>
        <v>2580</v>
      </c>
      <c r="AG13" s="335">
        <f>W13*(G13-L13)</f>
        <v>0</v>
      </c>
      <c r="AH13" s="332">
        <f>Y13+Z13+AA13+AB13+AC13+AD13+AE13+AF13+AG13</f>
        <v>30362.295803333349</v>
      </c>
      <c r="AI13" s="336">
        <f>X13+AH13</f>
        <v>1470132.2958033334</v>
      </c>
      <c r="AJ13" s="308">
        <f>'AUTO CALCULATION SHEET (2)'!N25</f>
        <v>975</v>
      </c>
      <c r="AK13" s="309">
        <f>'AUTO CALCULATION SHEET (2)'!W25</f>
        <v>350</v>
      </c>
      <c r="AL13" s="309">
        <f>'AUTO CALCULATION SHEET (2)'!AA25</f>
        <v>0</v>
      </c>
      <c r="AM13" s="309">
        <f>'AUTO CALCULATION SHEET (2)'!AG25</f>
        <v>276</v>
      </c>
      <c r="AN13" s="309">
        <f>'AUTO CALCULATION SHEET (2)'!AH25</f>
        <v>584</v>
      </c>
      <c r="AO13" s="309">
        <f>'AUTO CALCULATION SHEET (2)'!AJ25</f>
        <v>0</v>
      </c>
      <c r="AP13" s="309">
        <f>'AUTO CALCULATION SHEET (2)'!AQ25</f>
        <v>0</v>
      </c>
      <c r="AQ13" s="309">
        <f>'AUTO CALCULATION SHEET (2)'!AX25</f>
        <v>135</v>
      </c>
      <c r="AR13" s="309">
        <f>'AUTO CALCULATION SHEET (2)'!BG25</f>
        <v>0</v>
      </c>
      <c r="AS13" s="309">
        <f>'AUTO CALCULATION SHEET (2)'!BO25</f>
        <v>0</v>
      </c>
      <c r="AT13" s="309">
        <f>'AUTO CALCULATION SHEET (2)'!BR25</f>
        <v>680</v>
      </c>
      <c r="AU13" s="309">
        <f>'AUTO CALCULATION SHEET (2)'!BX25</f>
        <v>0</v>
      </c>
      <c r="AV13" s="309">
        <f>'AUTO CALCULATION SHEET (2)'!BY25</f>
        <v>0</v>
      </c>
      <c r="AW13" s="310">
        <f>'AUTO CALCULATION SHEET (2)'!BZ25</f>
        <v>18</v>
      </c>
      <c r="AX13" s="310">
        <f>'AUTO CALCULATION SHEET (2)'!CA25</f>
        <v>75</v>
      </c>
      <c r="AY13" s="310">
        <f>'AUTO CALCULATION SHEET (2)'!CB25</f>
        <v>0</v>
      </c>
      <c r="AZ13" s="310">
        <f>'AUTO CALCULATION SHEET (2)'!CE25</f>
        <v>0</v>
      </c>
      <c r="BA13" s="310">
        <f>'AUTO CALCULATION SHEET (2)'!CF25</f>
        <v>992</v>
      </c>
      <c r="BB13" s="337">
        <f>SUMPRODUCT($AJ$12:$BA$12,AJ13:BA13)</f>
        <v>1132156</v>
      </c>
      <c r="BC13" s="338">
        <f>'AUTO CALCULATION SHEET (2)'!CK25</f>
        <v>33000</v>
      </c>
      <c r="BD13" s="337">
        <f>+BB13+BC13</f>
        <v>1165156</v>
      </c>
      <c r="BE13" s="337">
        <f>+AI13-BD13</f>
        <v>304976.2958033334</v>
      </c>
      <c r="BF13" s="311">
        <f t="shared" ref="BF13" si="0">+BE13/BD13</f>
        <v>0.26174717874974113</v>
      </c>
      <c r="BG13" s="312"/>
      <c r="BH13" s="312">
        <v>0.02</v>
      </c>
      <c r="BI13" s="312"/>
      <c r="BJ13" s="313">
        <f>+BF13-(BG13+BH13+BI13)</f>
        <v>0.24174717874974114</v>
      </c>
      <c r="BK13" s="314"/>
    </row>
    <row r="14" spans="1:63" s="255" customFormat="1" ht="15.75" customHeight="1" thickBot="1" x14ac:dyDescent="0.25">
      <c r="A14" s="240"/>
      <c r="B14" s="240"/>
      <c r="C14" s="315"/>
      <c r="D14" s="242"/>
      <c r="E14" s="243"/>
      <c r="F14" s="243"/>
      <c r="G14" s="243"/>
      <c r="H14" s="243"/>
      <c r="I14" s="245"/>
      <c r="J14" s="246"/>
      <c r="K14" s="247"/>
      <c r="L14" s="247"/>
      <c r="M14" s="247"/>
      <c r="N14" s="245"/>
      <c r="O14" s="316"/>
      <c r="P14" s="316"/>
      <c r="Q14" s="316"/>
      <c r="R14" s="316"/>
      <c r="S14" s="316"/>
      <c r="T14" s="316"/>
      <c r="U14" s="316"/>
      <c r="V14" s="316"/>
      <c r="W14" s="244"/>
      <c r="X14" s="248"/>
      <c r="Y14" s="317"/>
      <c r="Z14" s="317"/>
      <c r="AA14" s="317"/>
      <c r="AB14" s="317"/>
      <c r="AC14" s="317"/>
      <c r="AD14" s="318"/>
      <c r="AE14" s="318"/>
      <c r="AF14" s="318"/>
      <c r="AG14" s="318"/>
      <c r="AH14" s="319"/>
      <c r="AI14" s="320"/>
      <c r="AJ14" s="321"/>
      <c r="AK14" s="322"/>
      <c r="AL14" s="322"/>
      <c r="AM14" s="322"/>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63" x14ac:dyDescent="0.2">
      <c r="E15" s="256"/>
      <c r="F15" s="256"/>
      <c r="G15" s="256"/>
    </row>
  </sheetData>
  <mergeCells count="36">
    <mergeCell ref="J10:J11"/>
    <mergeCell ref="K10:K11"/>
    <mergeCell ref="L10:L11"/>
    <mergeCell ref="M10:M11"/>
    <mergeCell ref="AG9:AG11"/>
    <mergeCell ref="AH9:AH11"/>
    <mergeCell ref="AI9:AI11"/>
    <mergeCell ref="AJ9:BJ10"/>
    <mergeCell ref="D10:D11"/>
    <mergeCell ref="E10:E11"/>
    <mergeCell ref="F10:F11"/>
    <mergeCell ref="G10:G11"/>
    <mergeCell ref="H10:H11"/>
    <mergeCell ref="I10:I11"/>
    <mergeCell ref="AA9:AA11"/>
    <mergeCell ref="AB9:AB11"/>
    <mergeCell ref="AC9:AC11"/>
    <mergeCell ref="AD9:AD11"/>
    <mergeCell ref="AE9:AE11"/>
    <mergeCell ref="AF9:AF11"/>
    <mergeCell ref="Y6:AC6"/>
    <mergeCell ref="A9:A11"/>
    <mergeCell ref="B9:B11"/>
    <mergeCell ref="C9:C11"/>
    <mergeCell ref="D9:H9"/>
    <mergeCell ref="I9:M9"/>
    <mergeCell ref="N9:W10"/>
    <mergeCell ref="X9:X11"/>
    <mergeCell ref="Y9:Y11"/>
    <mergeCell ref="Z9:Z11"/>
    <mergeCell ref="A1:J1"/>
    <mergeCell ref="B2:J2"/>
    <mergeCell ref="B3:J3"/>
    <mergeCell ref="A4:I4"/>
    <mergeCell ref="J4:W5"/>
    <mergeCell ref="A5:I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AUTO CALCULATION SHEET (2)</vt:lpstr>
      <vt:lpstr>PV AUTO CALCULATION-HTPC</vt:lpstr>
      <vt:lpstr>PV AUTO CALCULATION-HTABC</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2026-03-17T11:46:07Z</dcterms:modified>
</cp:coreProperties>
</file>