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3_MARCH 2025\OPTCL-CPC-22-CONTROLCABLE-15423\"/>
    </mc:Choice>
  </mc:AlternateContent>
  <xr:revisionPtr revIDLastSave="0" documentId="13_ncr:1_{DF81DAB1-6A85-479B-9272-1199E196969C}" xr6:coauthVersionLast="47" xr6:coauthVersionMax="47" xr10:uidLastSave="{00000000-0000-0000-0000-000000000000}"/>
  <bookViews>
    <workbookView xWindow="0" yWindow="6840" windowWidth="28800" windowHeight="8715" firstSheet="1" activeTab="1" xr2:uid="{00000000-000D-0000-FFFF-FFFF00000000}"/>
  </bookViews>
  <sheets>
    <sheet name="Sheet1" sheetId="1" state="hidden" r:id="rId1"/>
    <sheet name="AUTO CALCULATION SHEET (2)" sheetId="4" r:id="rId2"/>
    <sheet name="Cable"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5" i="5" l="1"/>
  <c r="AC14" i="5"/>
  <c r="AC13" i="5"/>
  <c r="AA15" i="5"/>
  <c r="AA14" i="5"/>
  <c r="AA13" i="5"/>
  <c r="S15" i="5"/>
  <c r="S14" i="5"/>
  <c r="S13" i="5"/>
  <c r="R15" i="5"/>
  <c r="R14" i="5"/>
  <c r="R13" i="5"/>
  <c r="Q15" i="5"/>
  <c r="Q14" i="5"/>
  <c r="Q13" i="5"/>
  <c r="P15" i="5"/>
  <c r="P14" i="5"/>
  <c r="P13" i="5"/>
  <c r="BD18" i="4"/>
  <c r="W14" i="5"/>
  <c r="W15" i="5"/>
  <c r="Z13" i="5"/>
  <c r="Z12" i="5"/>
  <c r="Y11" i="5"/>
  <c r="X11" i="5"/>
  <c r="W11" i="5"/>
  <c r="V11" i="5"/>
  <c r="H15" i="5"/>
  <c r="H14" i="5"/>
  <c r="H13" i="5"/>
  <c r="AK27" i="4" l="1"/>
  <c r="AK26" i="4"/>
  <c r="AK25" i="4"/>
  <c r="F26" i="4" l="1"/>
  <c r="F27" i="4"/>
  <c r="F25" i="4"/>
  <c r="J27" i="4" l="1"/>
  <c r="J25" i="4"/>
  <c r="J26" i="4"/>
  <c r="BY17" i="4"/>
  <c r="A20" i="4"/>
  <c r="C20" i="4"/>
  <c r="D20" i="4"/>
  <c r="H20" i="4"/>
  <c r="K20" i="4"/>
  <c r="E26" i="4" s="1"/>
  <c r="L20" i="4"/>
  <c r="N20" i="4"/>
  <c r="O20" i="4"/>
  <c r="P20" i="4"/>
  <c r="Q20" i="4"/>
  <c r="R20" i="4"/>
  <c r="S20" i="4"/>
  <c r="T20" i="4"/>
  <c r="U20" i="4"/>
  <c r="V20" i="4"/>
  <c r="W20" i="4"/>
  <c r="X20" i="4"/>
  <c r="Y20" i="4"/>
  <c r="Z20" i="4"/>
  <c r="AA20" i="4"/>
  <c r="AB20" i="4"/>
  <c r="AC20" i="4"/>
  <c r="AD20" i="4"/>
  <c r="AE20" i="4"/>
  <c r="AF20" i="4"/>
  <c r="AG20" i="4"/>
  <c r="AJ20" i="4"/>
  <c r="AK20" i="4"/>
  <c r="X14" i="5" s="1"/>
  <c r="AL20" i="4"/>
  <c r="AM20" i="4"/>
  <c r="AN20" i="4"/>
  <c r="AO20" i="4"/>
  <c r="AP20" i="4"/>
  <c r="AQ20" i="4"/>
  <c r="Y14" i="5" s="1"/>
  <c r="AR20" i="4"/>
  <c r="AS20" i="4"/>
  <c r="AT20" i="4"/>
  <c r="AU20" i="4"/>
  <c r="AV20" i="4"/>
  <c r="AW20" i="4"/>
  <c r="AX20" i="4"/>
  <c r="AY20" i="4"/>
  <c r="AZ20" i="4"/>
  <c r="BA20" i="4"/>
  <c r="BB20" i="4"/>
  <c r="BC20" i="4"/>
  <c r="BD20" i="4"/>
  <c r="Z14" i="5" s="1"/>
  <c r="BE20" i="4"/>
  <c r="BF20" i="4"/>
  <c r="BG20" i="4"/>
  <c r="BH20" i="4"/>
  <c r="BI20" i="4"/>
  <c r="BJ20" i="4"/>
  <c r="BK20" i="4"/>
  <c r="BL20" i="4"/>
  <c r="BM20" i="4"/>
  <c r="BN20" i="4"/>
  <c r="BO20" i="4"/>
  <c r="BP20" i="4"/>
  <c r="BQ20" i="4"/>
  <c r="BR20" i="4"/>
  <c r="BS20" i="4"/>
  <c r="BT20" i="4"/>
  <c r="BU20" i="4"/>
  <c r="BV20" i="4"/>
  <c r="BW20" i="4"/>
  <c r="BX20" i="4"/>
  <c r="BZ20" i="4"/>
  <c r="AB14" i="5" s="1"/>
  <c r="CB20" i="4"/>
  <c r="A21" i="4"/>
  <c r="C21" i="4"/>
  <c r="D21" i="4"/>
  <c r="H21" i="4"/>
  <c r="K21" i="4"/>
  <c r="E27" i="4" s="1"/>
  <c r="L21" i="4"/>
  <c r="N21" i="4"/>
  <c r="O21" i="4"/>
  <c r="P21" i="4"/>
  <c r="Q21" i="4"/>
  <c r="R21" i="4"/>
  <c r="S21" i="4"/>
  <c r="T21" i="4"/>
  <c r="U21" i="4"/>
  <c r="V21" i="4"/>
  <c r="W21" i="4"/>
  <c r="X21" i="4"/>
  <c r="Y21" i="4"/>
  <c r="Z21" i="4"/>
  <c r="AA21" i="4"/>
  <c r="AB21" i="4"/>
  <c r="AC21" i="4"/>
  <c r="AD21" i="4"/>
  <c r="AE21" i="4"/>
  <c r="AF21" i="4"/>
  <c r="AG21" i="4"/>
  <c r="AJ21" i="4"/>
  <c r="AK21" i="4"/>
  <c r="X15" i="5" s="1"/>
  <c r="AL21" i="4"/>
  <c r="AM21" i="4"/>
  <c r="AN21" i="4"/>
  <c r="AO21" i="4"/>
  <c r="AP21" i="4"/>
  <c r="AQ21" i="4"/>
  <c r="Y15" i="5" s="1"/>
  <c r="AR21" i="4"/>
  <c r="AS21" i="4"/>
  <c r="AT21" i="4"/>
  <c r="AU21" i="4"/>
  <c r="AV21" i="4"/>
  <c r="AW21" i="4"/>
  <c r="AX21" i="4"/>
  <c r="AY21" i="4"/>
  <c r="AZ21" i="4"/>
  <c r="BA21" i="4"/>
  <c r="BB21" i="4"/>
  <c r="BC21" i="4"/>
  <c r="BD21" i="4"/>
  <c r="Z15" i="5" s="1"/>
  <c r="BE21" i="4"/>
  <c r="BF21" i="4"/>
  <c r="BG21" i="4"/>
  <c r="BH21" i="4"/>
  <c r="BI21" i="4"/>
  <c r="BJ21" i="4"/>
  <c r="BK21" i="4"/>
  <c r="BL21" i="4"/>
  <c r="BM21" i="4"/>
  <c r="BN21" i="4"/>
  <c r="BO21" i="4"/>
  <c r="BP21" i="4"/>
  <c r="BQ21" i="4"/>
  <c r="BR21" i="4"/>
  <c r="BS21" i="4"/>
  <c r="BT21" i="4"/>
  <c r="BU21" i="4"/>
  <c r="BV21" i="4"/>
  <c r="BW21" i="4"/>
  <c r="BX21" i="4"/>
  <c r="BZ21" i="4"/>
  <c r="AB15" i="5" s="1"/>
  <c r="CB21" i="4"/>
  <c r="V14" i="5" l="1"/>
  <c r="AI26" i="4"/>
  <c r="AQ26" i="4" s="1"/>
  <c r="BD26" i="4" s="1"/>
  <c r="A14" i="5"/>
  <c r="D26" i="4"/>
  <c r="K26" i="4"/>
  <c r="M26" i="4" s="1"/>
  <c r="V15" i="5"/>
  <c r="AI27" i="4"/>
  <c r="AQ27" i="4" s="1"/>
  <c r="BD27" i="4" s="1"/>
  <c r="A15" i="5"/>
  <c r="D27" i="4"/>
  <c r="K27" i="4"/>
  <c r="M27" i="4" s="1"/>
  <c r="L27" i="4" l="1"/>
  <c r="F21" i="4"/>
  <c r="L26" i="4"/>
  <c r="F20" i="4"/>
  <c r="BX19" i="4"/>
  <c r="BW19" i="4"/>
  <c r="BX17" i="4"/>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I19" i="4"/>
  <c r="BH19" i="4"/>
  <c r="BG19" i="4"/>
  <c r="BF19" i="4"/>
  <c r="BE19" i="4"/>
  <c r="BC19" i="4"/>
  <c r="BL18" i="4"/>
  <c r="BK18" i="4"/>
  <c r="BI18" i="4"/>
  <c r="BH18" i="4"/>
  <c r="BG18" i="4"/>
  <c r="BF18" i="4"/>
  <c r="BE18" i="4"/>
  <c r="BC18" i="4"/>
  <c r="BB19" i="4"/>
  <c r="BA19" i="4"/>
  <c r="AZ19" i="4"/>
  <c r="AY19" i="4"/>
  <c r="AX19" i="4"/>
  <c r="AW19" i="4"/>
  <c r="AV19" i="4"/>
  <c r="AU19" i="4"/>
  <c r="AT19" i="4"/>
  <c r="AS19" i="4"/>
  <c r="BB18" i="4"/>
  <c r="BA18" i="4"/>
  <c r="AZ18" i="4"/>
  <c r="AY18" i="4"/>
  <c r="AX18" i="4"/>
  <c r="AW18" i="4"/>
  <c r="AV18" i="4"/>
  <c r="AU18" i="4"/>
  <c r="AT18" i="4"/>
  <c r="AS18" i="4"/>
  <c r="AR18" i="4"/>
  <c r="AR19" i="4"/>
  <c r="AQ19" i="4"/>
  <c r="Y13" i="5" s="1"/>
  <c r="AP19" i="4"/>
  <c r="AO19" i="4"/>
  <c r="AN19" i="4"/>
  <c r="AM19" i="4"/>
  <c r="AL19" i="4"/>
  <c r="AP18" i="4"/>
  <c r="AO18" i="4"/>
  <c r="AN18" i="4"/>
  <c r="AM18" i="4"/>
  <c r="AL18" i="4"/>
  <c r="AK19" i="4"/>
  <c r="X13" i="5" s="1"/>
  <c r="AJ19" i="4"/>
  <c r="AI19" i="4"/>
  <c r="W13" i="5" s="1"/>
  <c r="AH19" i="4"/>
  <c r="AG19" i="4"/>
  <c r="AF19" i="4"/>
  <c r="AE19" i="4"/>
  <c r="AJ18" i="4"/>
  <c r="AE18" i="4"/>
  <c r="AG18" i="4"/>
  <c r="AF18" i="4"/>
  <c r="AD18" i="4"/>
  <c r="AD19" i="4"/>
  <c r="AC19" i="4"/>
  <c r="AC18" i="4"/>
  <c r="N18" i="4"/>
  <c r="AB18" i="4" l="1"/>
  <c r="AA18" i="4"/>
  <c r="Z18" i="4"/>
  <c r="Y18" i="4"/>
  <c r="X18" i="4"/>
  <c r="W18" i="4"/>
  <c r="V18" i="4"/>
  <c r="U18" i="4"/>
  <c r="R18" i="4" l="1"/>
  <c r="Q18" i="4"/>
  <c r="O18" i="4"/>
  <c r="N19" i="4"/>
  <c r="R19" i="4"/>
  <c r="Q19" i="4"/>
  <c r="P19" i="4"/>
  <c r="O19" i="4"/>
  <c r="N16" i="4"/>
  <c r="L19" i="4"/>
  <c r="K19" i="4"/>
  <c r="E25" i="4" s="1"/>
  <c r="K25" i="4" s="1"/>
  <c r="M25" i="4" s="1"/>
  <c r="H19" i="4"/>
  <c r="CB19" i="4"/>
  <c r="BZ19" i="4"/>
  <c r="AB13" i="5" s="1"/>
  <c r="D19" i="4"/>
  <c r="C19" i="4"/>
  <c r="A19" i="4"/>
  <c r="A13" i="5" l="1"/>
  <c r="D25" i="4"/>
  <c r="L25" i="4"/>
  <c r="F19" i="4"/>
  <c r="V13" i="5"/>
  <c r="AI25" i="4"/>
  <c r="AQ25" i="4" s="1"/>
  <c r="BD25" i="4" s="1"/>
  <c r="CA21" i="4"/>
  <c r="CA20" i="4"/>
  <c r="CA19" i="4"/>
  <c r="CE20" i="4" l="1"/>
  <c r="CG20" i="4"/>
  <c r="CC20" i="4"/>
  <c r="CC21" i="4"/>
  <c r="CG21" i="4"/>
  <c r="CE21" i="4"/>
  <c r="CC19" i="4"/>
  <c r="CE19" i="4"/>
  <c r="CG19" i="4"/>
  <c r="CH20" i="4" l="1"/>
  <c r="CL20" i="4" s="1"/>
  <c r="CJ20" i="4"/>
  <c r="CH21" i="4"/>
  <c r="CH19" i="4"/>
  <c r="E20" i="4" l="1"/>
  <c r="CJ21" i="4"/>
  <c r="CL21" i="4"/>
  <c r="CJ19" i="4"/>
  <c r="CL19" i="4"/>
  <c r="G20" i="4" l="1"/>
  <c r="I20" i="4" s="1"/>
  <c r="J20" i="4" s="1"/>
  <c r="M20" i="4" s="1"/>
  <c r="O14" i="5"/>
  <c r="E21" i="4"/>
  <c r="E19" i="4"/>
  <c r="O13" i="5" s="1"/>
  <c r="T14" i="5" l="1"/>
  <c r="U14" i="5" s="1"/>
  <c r="AD14" i="5" s="1"/>
  <c r="AE14" i="5" s="1"/>
  <c r="AI14" i="5" s="1"/>
  <c r="T13" i="5"/>
  <c r="U13" i="5" s="1"/>
  <c r="AD13" i="5" s="1"/>
  <c r="AE13" i="5" s="1"/>
  <c r="AI13" i="5" s="1"/>
  <c r="G21" i="4"/>
  <c r="I21" i="4" s="1"/>
  <c r="J21" i="4" s="1"/>
  <c r="M21" i="4" s="1"/>
  <c r="O15" i="5"/>
  <c r="G19" i="4"/>
  <c r="F31" i="4" s="1"/>
  <c r="T15" i="5" l="1"/>
  <c r="U15" i="5" s="1"/>
  <c r="AD15" i="5" s="1"/>
  <c r="AE15" i="5" s="1"/>
  <c r="AI15" i="5" s="1"/>
  <c r="I19" i="4"/>
  <c r="J19" i="4" s="1"/>
  <c r="M19" i="4" s="1"/>
  <c r="M22" i="4" s="1"/>
  <c r="F30" i="4" s="1"/>
  <c r="G30" i="4" s="1"/>
  <c r="G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DF940274-B05D-4180-B8A9-FDCD52AF2B03}">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<sst xmlns="http://schemas.openxmlformats.org/spreadsheetml/2006/main" count="329" uniqueCount="265">
  <si>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</si>
  <si>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</si>
  <si>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</si>
  <si>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</si>
  <si>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</si>
  <si>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</si>
  <si>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</si>
  <si>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</si>
  <si>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</si>
  <si>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</si>
  <si>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</si>
  <si>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</si>
  <si>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</si>
  <si>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</si>
  <si>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</si>
  <si>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</si>
  <si>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</si>
  <si>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</si>
  <si>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</si>
  <si>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</si>
  <si>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</si>
  <si>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</si>
  <si>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</si>
  <si>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</si>
  <si>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</si>
  <si>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</si>
  <si>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</si>
  <si>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</si>
  <si>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</si>
  <si>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</si>
  <si>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</si>
  <si>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</si>
  <si>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</si>
  <si>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</si>
  <si>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</si>
  <si>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</si>
  <si>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</si>
  <si>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</si>
  <si>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</si>
  <si>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</si>
  <si>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</si>
  <si>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</si>
  <si>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</si>
  <si>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</si>
  <si>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</si>
  <si>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</si>
  <si>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</si>
  <si>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</si>
  <si>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</si>
  <si>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</si>
  <si>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</si>
  <si>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</si>
  <si>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</si>
  <si>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</si>
  <si>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</si>
  <si>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</si>
  <si>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</si>
  <si>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</si>
  <si>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</si>
  <si>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</si>
  <si>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</si>
  <si>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</si>
  <si>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</si>
  <si>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</si>
  <si>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</si>
  <si>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</si>
  <si>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</si>
  <si>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</si>
  <si>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</si>
  <si>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</si>
  <si>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</si>
  <si>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</si>
  <si>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</si>
  <si>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</si>
  <si>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</si>
  <si>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</si>
  <si>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</si>
  <si>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</si>
  <si>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</si>
  <si>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</si>
  <si>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</si>
  <si>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</si>
  <si>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</si>
  <si>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</si>
  <si>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</si>
  <si>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</si>
  <si>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</si>
  <si>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</si>
  <si>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</si>
  <si>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</si>
  <si>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</si>
  <si>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</si>
  <si>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</si>
  <si>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</si>
  <si>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</si>
  <si>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</si>
  <si>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</si>
  <si>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</si>
  <si>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</si>
  <si>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</si>
  <si>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</si>
  <si>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ODISHA POWER TRANSMISSION CORPORATION LTD.</t>
  </si>
  <si>
    <t>CPC- 22/2024-25</t>
  </si>
  <si>
    <t>Procurement of supply of Control Cables</t>
  </si>
  <si>
    <t>24.03.2025 (03.00 PM).</t>
  </si>
  <si>
    <t>e-Reverse Auction (RA) will be conducted in e-tender portal of OPTCL on specified date and time, while bidders shall quote from their own offices/places of their choice. Internet connectivity shall be ensured by the respective agencies/bidders themselves.</t>
  </si>
  <si>
    <t>Tenderer should quote Price (IEEMA variable) and the offer should be kept valid for a period of 180 days from the date of opening of Tender.</t>
  </si>
  <si>
    <t>Time being the essence of the contract; the equipment shall be supplied within the delivery period, specified in the contract. The Purchaser, however, reserves the right to reschedule the delivery and change the destination if required. The delivery period shall be reckoned from the date of placing the Letter of Intent/Purchase order, as may be specified in LOI/Purchase order.
The desired delivery period shall be as indicated at Appendix-II (Quantity &amp; Delivery     Schedule) of Section-IV (Technical Specification).</t>
  </si>
  <si>
    <t>100% taxable value of each consignment with 100% Goods and Services Tax in full as applicable will be paid on receipt of materials in good condition at stores/desired site and verification thereof, subject to furnishing and approval of 
a). Contract cum Performance Bank Guarantee at the rate of 10% [ten percent] of Taxable Value plus GST thereon [In case successful bidder is a local Micro and small Enterprise (MSEs), based in Odisha &amp; registered with respective DICs, Khadi, Village, Cottage &amp; Handicrafts Industries, OSIC and NSIC, 5% (five percent) in place of 10% (ten percent) will be applicable]
b).Guarantee certificate, c).Test certificate by the Purchaser.</t>
  </si>
  <si>
    <t xml:space="preserve">The cable shall be supplied in 500metre lengths. </t>
  </si>
  <si>
    <t xml:space="preserve">The cable shall be wound on strong drums or reels capable of withstanding all normal transportation and handling. Each length of cable shall be durably sealed before shipment to prevent ingress of moisture. The drums, reels or coils shall be lagged or covered with suitable material to provide physical protection for the cable during transit and during storage and handling operations. </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</si>
  <si>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</si>
  <si>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</si>
  <si>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</si>
  <si>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</si>
  <si>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</si>
  <si>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</si>
  <si>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</si>
  <si>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</si>
  <si>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</si>
  <si>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</si>
  <si>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</si>
  <si>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</si>
  <si>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</si>
  <si>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</si>
  <si>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</si>
  <si>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</si>
  <si>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</si>
  <si>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</si>
  <si>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</si>
  <si>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</si>
  <si>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</si>
  <si>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</si>
  <si>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</si>
  <si>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</si>
  <si>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</si>
  <si>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</si>
  <si>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</si>
  <si>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</si>
  <si>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</si>
  <si>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</si>
  <si>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</si>
  <si>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</si>
  <si>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</si>
  <si>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</si>
  <si>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</si>
  <si>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</si>
  <si>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</si>
  <si>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</si>
  <si>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</si>
  <si>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</si>
  <si>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</si>
  <si>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</si>
  <si>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</si>
  <si>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</si>
  <si>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</si>
  <si>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</si>
  <si>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</si>
  <si>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</si>
  <si>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</si>
  <si>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</si>
  <si>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</si>
  <si>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</si>
  <si>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</si>
  <si>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</si>
  <si>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</si>
  <si>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</si>
  <si>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</si>
  <si>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</si>
  <si>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</si>
  <si>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</si>
  <si>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</si>
  <si>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</si>
  <si>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</si>
  <si>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</si>
  <si>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</si>
  <si>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</si>
  <si>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</si>
  <si>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</si>
  <si>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</si>
  <si>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</si>
  <si>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</si>
  <si>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</si>
  <si>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</si>
  <si>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</si>
  <si>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</si>
  <si>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</si>
  <si>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</si>
  <si>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</si>
  <si>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</si>
  <si>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ENQ-15423-22-23</t>
  </si>
  <si>
    <t>FA0300004</t>
  </si>
  <si>
    <t>2 CORE X 2.5 SQ. MM. CU/UNARD.(PVC)</t>
  </si>
  <si>
    <t>WOOD</t>
  </si>
  <si>
    <t>KMS</t>
  </si>
  <si>
    <t>MD0100003</t>
  </si>
  <si>
    <t>DRUM - 28 X 14 X 23 X 2</t>
  </si>
  <si>
    <t>FA0300006</t>
  </si>
  <si>
    <t>4 CORE X 2.5 SQ. MM. CU/UNARD.(PVC)</t>
  </si>
  <si>
    <t>Type C PVC</t>
  </si>
  <si>
    <t>FA0300009</t>
  </si>
  <si>
    <t>7 CORE X 2.5 SQ. MM. CU/UNARD ( PVC )</t>
  </si>
  <si>
    <t>MD0100005</t>
  </si>
  <si>
    <t>DRUM - 36 X 14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</si>
  <si>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</si>
  <si>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</si>
  <si>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</si>
  <si>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</si>
  <si>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</si>
  <si>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</si>
  <si>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</si>
  <si>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</si>
  <si>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</si>
  <si>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</si>
  <si>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ATR OUTER</t>
  </si>
  <si>
    <t>CABLE WEIGHT KG/KM</t>
  </si>
  <si>
    <t>DRUM WEIGHT</t>
  </si>
  <si>
    <t>CABLE+DRUM WEIGHT</t>
  </si>
  <si>
    <t>TRUCK WEIGHT</t>
  </si>
  <si>
    <t>PV FORMULA</t>
  </si>
  <si>
    <t xml:space="preserve">P= P0 + CuF (Cu - Cu0) + CCFCu (CC – CC0) + FeF(Fe-Fe0) </t>
  </si>
  <si>
    <t xml:space="preserve">For unarmoued control cables FeF = 0
</t>
  </si>
  <si>
    <t>Item</t>
  </si>
  <si>
    <t>Calculation part</t>
  </si>
  <si>
    <t>Date of Inspection</t>
  </si>
  <si>
    <t>Applicable Date</t>
  </si>
  <si>
    <t>BASE DATE</t>
  </si>
  <si>
    <t>FACTORS</t>
  </si>
  <si>
    <t>Ex-Work
Po</t>
  </si>
  <si>
    <t>PVC of Cu</t>
  </si>
  <si>
    <t>PVC of PVC</t>
  </si>
  <si>
    <t>PVC of FE</t>
  </si>
  <si>
    <t>PV/PKM</t>
  </si>
  <si>
    <t>Billing Price/PKM</t>
  </si>
  <si>
    <t>VALUE ADDITION CALCULATION</t>
  </si>
  <si>
    <t>Date</t>
  </si>
  <si>
    <t>Cu</t>
  </si>
  <si>
    <t>PVC</t>
  </si>
  <si>
    <t>Fe</t>
  </si>
  <si>
    <t>Cuo</t>
  </si>
  <si>
    <t>PVCo</t>
  </si>
  <si>
    <t>Feo</t>
  </si>
  <si>
    <t>CuF</t>
  </si>
  <si>
    <t>CCFCu</t>
  </si>
  <si>
    <t>FeF</t>
  </si>
  <si>
    <t>RMC</t>
  </si>
  <si>
    <t xml:space="preserve">Drum </t>
  </si>
  <si>
    <t>RMC+Drum</t>
  </si>
  <si>
    <t>VA</t>
  </si>
  <si>
    <t>Gross VA%</t>
  </si>
  <si>
    <t>Mfg %</t>
  </si>
  <si>
    <t>Int %</t>
  </si>
  <si>
    <t>Ins%</t>
  </si>
  <si>
    <t>Net VA</t>
  </si>
  <si>
    <t>Provisional</t>
  </si>
  <si>
    <t>ATR - FR PVC Type ST-2</t>
  </si>
  <si>
    <t xml:space="preserve">The quoted price shall be variable as per IEEMA PVC
• IEEMA PV formula shall be made applicable on 95% of taxable value (Discovered in OPTCL tenders/negotiated including freight and insurance) considering 5% towards freight and loading &amp; unloading cost.
•There would be ceiling of 20% on positive side and no ceiling on negative side for price variation. However increase beyond 15% can be given in exceptional cases only.
</t>
  </si>
  <si>
    <t>PV TERMS</t>
  </si>
  <si>
    <t>•IEEMA PV formula shall be made applicable on 95% of taxable value (Discovered in OPTCL tenders/negotiated including freight and insurance) considering 5% towards freight and loading &amp; unloading 
•There would be ceiling of 20% on positive side and no ceiling on negative side for price variation. However increase beyond 15% can be given in exceptional cases only.</t>
  </si>
  <si>
    <t>CELLING</t>
  </si>
  <si>
    <t>ESTIMATED COST</t>
  </si>
  <si>
    <t>OUR COST</t>
  </si>
  <si>
    <t>DIFF % FROM OUR COST</t>
  </si>
  <si>
    <t>INCLUDING GST</t>
  </si>
  <si>
    <t>EXCLUDING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</si>
</sst>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0.0000"/>
    <numFmt numFmtId="167" formatCode="&quot;Rs.&quot;#,##0"/>
    <numFmt numFmtId="168" formatCode="0.0"/>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4"/>
      <name val="Calibri"/>
      <family val="2"/>
      <scheme val="minor"/>
    </font>
    <font>
      <b/>
      <sz val="10"/>
      <name val="Calibri"/>
      <family val="2"/>
      <scheme val="minor"/>
    </font>
    <font>
      <sz val="10"/>
      <name val="Calibri"/>
      <family val="2"/>
      <scheme val="minor"/>
    </font>
    <font>
      <b/>
      <sz val="10"/>
      <name val="Verdana"/>
      <family val="2"/>
    </font>
    <font>
      <b/>
      <sz val="10"/>
      <name val="Arial"/>
      <family val="2"/>
    </font>
    <font>
      <b/>
      <sz val="11"/>
      <color rgb="FF000000"/>
      <name val="Calibri"/>
      <family val="2"/>
      <scheme val="minor"/>
    </font>
    <font>
      <b/>
      <sz val="10"/>
      <color rgb="FF000000"/>
      <name val="Arial"/>
      <family val="2"/>
    </font>
    <font>
      <sz val="10"/>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2" tint="-9.9978637043366805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09">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0" fillId="8" borderId="1" xfId="0" applyFill="1" applyBorder="1" applyAlignment="1">
      <alignment vertical="center" wrapText="1"/>
    </xf>
    <xf numFmtId="0" fontId="16" fillId="0" borderId="0" xfId="4" applyFont="1"/>
    <xf numFmtId="0" fontId="17" fillId="0" borderId="0" xfId="5" applyFont="1"/>
    <xf numFmtId="0" fontId="11" fillId="0" borderId="0" xfId="4"/>
    <xf numFmtId="0" fontId="17" fillId="0" borderId="0" xfId="4" applyFont="1" applyAlignment="1">
      <alignment horizontal="center"/>
    </xf>
    <xf numFmtId="0" fontId="11" fillId="0" borderId="1" xfId="4" applyBorder="1" applyAlignment="1">
      <alignment horizontal="left" vertical="center"/>
    </xf>
    <xf numFmtId="14" fontId="18" fillId="0" borderId="2" xfId="4" applyNumberFormat="1" applyFont="1" applyBorder="1" applyAlignment="1">
      <alignment horizontal="center" vertical="center"/>
    </xf>
    <xf numFmtId="0" fontId="18" fillId="0" borderId="3" xfId="4" applyFont="1" applyBorder="1" applyAlignment="1">
      <alignment horizontal="center" vertical="center"/>
    </xf>
    <xf numFmtId="0" fontId="18" fillId="0" borderId="4" xfId="4" applyFont="1" applyBorder="1" applyAlignment="1">
      <alignment horizontal="center" vertical="center"/>
    </xf>
    <xf numFmtId="0" fontId="16" fillId="0" borderId="0" xfId="4" applyFont="1" applyAlignment="1">
      <alignment horizontal="center" vertical="center"/>
    </xf>
    <xf numFmtId="0" fontId="16" fillId="0" borderId="0" xfId="4" applyFont="1" applyAlignment="1">
      <alignment vertical="center"/>
    </xf>
    <xf numFmtId="0" fontId="11" fillId="0" borderId="0" xfId="4" applyAlignment="1">
      <alignment horizontal="center"/>
    </xf>
    <xf numFmtId="166" fontId="16" fillId="0" borderId="0" xfId="4" applyNumberFormat="1" applyFont="1" applyAlignment="1">
      <alignment vertical="center"/>
    </xf>
    <xf numFmtId="14" fontId="17" fillId="0" borderId="0" xfId="4" applyNumberFormat="1" applyFont="1" applyAlignment="1">
      <alignment horizontal="center"/>
    </xf>
    <xf numFmtId="0" fontId="19" fillId="0" borderId="0" xfId="5" applyFont="1" applyAlignment="1">
      <alignment vertical="center"/>
    </xf>
    <xf numFmtId="0" fontId="16" fillId="0" borderId="2" xfId="5" applyFont="1" applyBorder="1" applyAlignment="1">
      <alignment horizontal="center" vertical="center" wrapText="1"/>
    </xf>
    <xf numFmtId="0" fontId="16" fillId="0" borderId="27" xfId="5" applyFont="1" applyBorder="1" applyAlignment="1">
      <alignment horizontal="center" vertical="center" wrapText="1"/>
    </xf>
    <xf numFmtId="0" fontId="16" fillId="0" borderId="6" xfId="5" applyFont="1" applyBorder="1" applyAlignment="1">
      <alignment horizontal="center" vertical="center" wrapText="1"/>
    </xf>
    <xf numFmtId="0" fontId="20" fillId="0" borderId="34" xfId="0" applyFont="1" applyBorder="1" applyAlignment="1">
      <alignment horizontal="center" vertical="center" wrapText="1"/>
    </xf>
    <xf numFmtId="0" fontId="21" fillId="0" borderId="35" xfId="3" applyFont="1" applyBorder="1" applyAlignment="1">
      <alignment horizontal="center" vertical="center" wrapText="1"/>
    </xf>
    <xf numFmtId="0" fontId="19" fillId="0" borderId="35" xfId="5" applyFont="1" applyBorder="1" applyAlignment="1">
      <alignment horizontal="center" vertical="center" wrapText="1"/>
    </xf>
    <xf numFmtId="0" fontId="19" fillId="0" borderId="36" xfId="5" applyFont="1" applyBorder="1" applyAlignment="1">
      <alignment horizontal="center" vertical="center" wrapText="1"/>
    </xf>
    <xf numFmtId="0" fontId="11" fillId="0" borderId="23" xfId="4" applyBorder="1"/>
    <xf numFmtId="0" fontId="11" fillId="0" borderId="24" xfId="4" applyBorder="1"/>
    <xf numFmtId="0" fontId="17" fillId="0" borderId="25" xfId="5" applyFont="1" applyBorder="1"/>
    <xf numFmtId="0" fontId="17" fillId="0" borderId="0" xfId="5" applyFont="1" applyAlignment="1">
      <alignment horizontal="left" vertical="center" wrapText="1"/>
    </xf>
    <xf numFmtId="14" fontId="17" fillId="0" borderId="37" xfId="5" applyNumberFormat="1" applyFont="1" applyBorder="1" applyAlignment="1">
      <alignment horizontal="center" vertical="center" wrapText="1"/>
    </xf>
    <xf numFmtId="14" fontId="17" fillId="0" borderId="38" xfId="5" applyNumberFormat="1" applyFont="1" applyBorder="1" applyAlignment="1">
      <alignment horizontal="center" vertical="center" wrapText="1"/>
    </xf>
    <xf numFmtId="14" fontId="17" fillId="0" borderId="39" xfId="5" applyNumberFormat="1" applyFont="1" applyBorder="1" applyAlignment="1">
      <alignment horizontal="center" vertical="center" wrapText="1"/>
    </xf>
    <xf numFmtId="14" fontId="17" fillId="0" borderId="40" xfId="5" applyNumberFormat="1" applyFont="1" applyBorder="1" applyAlignment="1">
      <alignment horizontal="center" vertical="center" wrapText="1"/>
    </xf>
    <xf numFmtId="14" fontId="17" fillId="0" borderId="0" xfId="5" applyNumberFormat="1" applyFont="1" applyAlignment="1">
      <alignment horizontal="center" vertical="center" wrapText="1"/>
    </xf>
    <xf numFmtId="14" fontId="17" fillId="0" borderId="41" xfId="5" applyNumberFormat="1" applyFont="1" applyBorder="1" applyAlignment="1">
      <alignment horizontal="center" vertical="center" wrapText="1"/>
    </xf>
    <xf numFmtId="2" fontId="16" fillId="0" borderId="6" xfId="5" applyNumberFormat="1" applyFont="1" applyBorder="1" applyAlignment="1">
      <alignment horizontal="center" vertical="center" wrapText="1"/>
    </xf>
    <xf numFmtId="2" fontId="16" fillId="0" borderId="2" xfId="5" applyNumberFormat="1" applyFont="1" applyBorder="1" applyAlignment="1">
      <alignment horizontal="center" vertical="center" wrapText="1"/>
    </xf>
    <xf numFmtId="2" fontId="16" fillId="0" borderId="27" xfId="5" applyNumberFormat="1" applyFont="1" applyBorder="1" applyAlignment="1">
      <alignment horizontal="center" vertical="center" wrapText="1"/>
    </xf>
    <xf numFmtId="0" fontId="16" fillId="0" borderId="40" xfId="5" applyFont="1" applyBorder="1" applyAlignment="1">
      <alignment horizontal="center" vertical="center" wrapText="1"/>
    </xf>
    <xf numFmtId="0" fontId="17" fillId="0" borderId="24" xfId="5" applyFont="1" applyBorder="1" applyAlignment="1">
      <alignment horizontal="center" vertical="center" wrapText="1"/>
    </xf>
    <xf numFmtId="167" fontId="19" fillId="0" borderId="4" xfId="5" applyNumberFormat="1" applyFont="1" applyBorder="1" applyAlignment="1">
      <alignment horizontal="center" vertical="center" wrapText="1"/>
    </xf>
    <xf numFmtId="167" fontId="19" fillId="0" borderId="1" xfId="5" applyNumberFormat="1" applyFont="1" applyBorder="1" applyAlignment="1">
      <alignment horizontal="center" vertical="center"/>
    </xf>
    <xf numFmtId="1" fontId="19" fillId="0" borderId="1" xfId="5" applyNumberFormat="1" applyFont="1" applyBorder="1"/>
    <xf numFmtId="1" fontId="19" fillId="0" borderId="1" xfId="5" applyNumberFormat="1" applyFont="1" applyBorder="1" applyAlignment="1">
      <alignment horizontal="center"/>
    </xf>
    <xf numFmtId="0" fontId="12" fillId="0" borderId="27" xfId="5" applyBorder="1"/>
    <xf numFmtId="0" fontId="11" fillId="0" borderId="42" xfId="4" applyBorder="1" applyAlignment="1">
      <alignment horizontal="center" wrapText="1"/>
    </xf>
    <xf numFmtId="0" fontId="11" fillId="0" borderId="43" xfId="4" applyBorder="1" applyAlignment="1">
      <alignment wrapText="1"/>
    </xf>
    <xf numFmtId="14" fontId="17" fillId="0" borderId="28" xfId="5" applyNumberFormat="1" applyFont="1" applyBorder="1" applyAlignment="1">
      <alignment horizontal="center" vertical="center" wrapText="1"/>
    </xf>
    <xf numFmtId="14" fontId="3" fillId="9" borderId="4" xfId="5" applyNumberFormat="1" applyFont="1" applyFill="1" applyBorder="1" applyAlignment="1">
      <alignment horizontal="center" vertical="center" wrapText="1"/>
    </xf>
    <xf numFmtId="168" fontId="22" fillId="0" borderId="1" xfId="6" applyNumberFormat="1" applyFont="1" applyBorder="1" applyAlignment="1">
      <alignment horizontal="center" vertical="center" wrapText="1"/>
    </xf>
    <xf numFmtId="168" fontId="17" fillId="0" borderId="1" xfId="6" applyNumberFormat="1" applyFont="1" applyBorder="1" applyAlignment="1">
      <alignment horizontal="center" vertical="center" wrapText="1"/>
    </xf>
    <xf numFmtId="168" fontId="17" fillId="0" borderId="27" xfId="6" applyNumberFormat="1" applyFont="1" applyBorder="1" applyAlignment="1">
      <alignment horizontal="center" vertical="center" wrapText="1"/>
    </xf>
    <xf numFmtId="14" fontId="16" fillId="9" borderId="6" xfId="6" applyNumberFormat="1" applyFont="1" applyFill="1" applyBorder="1" applyAlignment="1">
      <alignment horizontal="center" vertical="center" wrapText="1"/>
    </xf>
    <xf numFmtId="169" fontId="17" fillId="0" borderId="6" xfId="5" applyNumberFormat="1" applyFont="1" applyBorder="1" applyAlignment="1">
      <alignment horizontal="center" vertical="center" wrapText="1"/>
    </xf>
    <xf numFmtId="169" fontId="17" fillId="0" borderId="1" xfId="5" applyNumberFormat="1" applyFont="1" applyBorder="1" applyAlignment="1">
      <alignment horizontal="center" vertical="center" wrapText="1"/>
    </xf>
    <xf numFmtId="169" fontId="17" fillId="0" borderId="27" xfId="5" applyNumberFormat="1" applyFont="1" applyBorder="1" applyAlignment="1">
      <alignment horizontal="center" vertical="center" wrapText="1"/>
    </xf>
    <xf numFmtId="166" fontId="17" fillId="0" borderId="1" xfId="5" applyNumberFormat="1" applyFont="1" applyBorder="1" applyAlignment="1">
      <alignment vertical="center" wrapText="1"/>
    </xf>
    <xf numFmtId="2" fontId="17" fillId="10" borderId="43" xfId="5" applyNumberFormat="1" applyFont="1" applyFill="1" applyBorder="1" applyAlignment="1">
      <alignment horizontal="center" vertical="center" wrapText="1"/>
    </xf>
    <xf numFmtId="2" fontId="12" fillId="0" borderId="4" xfId="5" applyNumberFormat="1" applyBorder="1" applyAlignment="1">
      <alignment vertical="center"/>
    </xf>
    <xf numFmtId="2" fontId="12" fillId="0" borderId="1" xfId="5" applyNumberFormat="1" applyBorder="1" applyAlignment="1">
      <alignment vertical="center"/>
    </xf>
    <xf numFmtId="2" fontId="19" fillId="0" borderId="1" xfId="5" applyNumberFormat="1" applyFont="1" applyBorder="1" applyAlignment="1">
      <alignment vertical="center"/>
    </xf>
    <xf numFmtId="2" fontId="12" fillId="0" borderId="27" xfId="5" applyNumberFormat="1" applyBorder="1" applyAlignment="1">
      <alignment vertical="center"/>
    </xf>
    <xf numFmtId="0" fontId="11" fillId="0" borderId="0" xfId="4" applyAlignment="1">
      <alignment wrapText="1"/>
    </xf>
    <xf numFmtId="0" fontId="11" fillId="0" borderId="44" xfId="4" applyBorder="1"/>
    <xf numFmtId="0" fontId="11" fillId="0" borderId="45" xfId="4" applyBorder="1"/>
    <xf numFmtId="0" fontId="11" fillId="0" borderId="46" xfId="4" applyBorder="1"/>
    <xf numFmtId="0" fontId="11" fillId="0" borderId="47" xfId="4" applyBorder="1"/>
    <xf numFmtId="0" fontId="11" fillId="0" borderId="48" xfId="4" applyBorder="1"/>
    <xf numFmtId="0" fontId="11" fillId="0" borderId="49" xfId="4" applyBorder="1"/>
    <xf numFmtId="0" fontId="11" fillId="0" borderId="50" xfId="4" applyBorder="1"/>
    <xf numFmtId="0" fontId="11" fillId="0" borderId="51" xfId="4" applyBorder="1"/>
    <xf numFmtId="0" fontId="11" fillId="0" borderId="0" xfId="4" applyAlignment="1">
      <alignment horizontal="left" vertical="center"/>
    </xf>
    <xf numFmtId="0" fontId="16" fillId="0" borderId="0" xfId="5" applyFont="1" applyAlignment="1">
      <alignment horizontal="center" vertical="center" wrapText="1"/>
    </xf>
    <xf numFmtId="2" fontId="17" fillId="0" borderId="3" xfId="5" applyNumberFormat="1" applyFont="1" applyBorder="1" applyAlignment="1">
      <alignment horizontal="center" vertical="center" wrapText="1"/>
    </xf>
    <xf numFmtId="0" fontId="11" fillId="0" borderId="52" xfId="4" applyBorder="1"/>
    <xf numFmtId="0" fontId="17" fillId="0" borderId="1" xfId="5" applyFont="1" applyBorder="1" applyAlignment="1">
      <alignment horizontal="center" vertical="center" wrapText="1"/>
    </xf>
    <xf numFmtId="2" fontId="17" fillId="0" borderId="1" xfId="5" applyNumberFormat="1" applyFont="1" applyBorder="1" applyAlignment="1">
      <alignment horizontal="center" vertical="center" wrapText="1"/>
    </xf>
    <xf numFmtId="9" fontId="16" fillId="0" borderId="0" xfId="5" applyNumberFormat="1" applyFont="1" applyAlignment="1">
      <alignment horizontal="center" vertical="center" wrapText="1"/>
    </xf>
    <xf numFmtId="2" fontId="11" fillId="0" borderId="0" xfId="4" applyNumberFormat="1"/>
    <xf numFmtId="164" fontId="2" fillId="0" borderId="0" xfId="0" applyNumberFormat="1" applyFont="1"/>
    <xf numFmtId="164" fontId="2" fillId="0" borderId="0" xfId="1" applyFont="1" applyAlignment="1">
      <alignment wrapText="1"/>
    </xf>
    <xf numFmtId="0" fontId="2" fillId="0" borderId="0" xfId="0" applyFont="1" applyAlignment="1">
      <alignment wrapText="1"/>
    </xf>
    <xf numFmtId="9" fontId="2" fillId="0" borderId="0" xfId="2" applyFont="1"/>
    <xf numFmtId="164" fontId="2" fillId="0" borderId="0" xfId="1" applyFont="1"/>
    <xf numFmtId="2" fontId="2" fillId="0" borderId="0" xfId="0" applyNumberFormat="1" applyFont="1" applyAlignment="1">
      <alignment horizontal="center"/>
    </xf>
    <xf numFmtId="0" fontId="0" fillId="0" borderId="1" xfId="0" applyBorder="1" applyAlignment="1">
      <alignment horizontal="center" vertical="center"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6" fillId="0" borderId="20"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1" xfId="5" applyFont="1" applyBorder="1" applyAlignment="1">
      <alignment horizontal="center" vertical="center" wrapText="1"/>
    </xf>
    <xf numFmtId="0" fontId="16" fillId="0" borderId="24" xfId="5" applyFont="1" applyBorder="1" applyAlignment="1">
      <alignment horizontal="center" vertical="center" wrapText="1"/>
    </xf>
    <xf numFmtId="0" fontId="16" fillId="0" borderId="32" xfId="5" applyFont="1" applyBorder="1" applyAlignment="1">
      <alignment horizontal="center" vertical="center" wrapText="1"/>
    </xf>
    <xf numFmtId="0" fontId="19" fillId="0" borderId="22" xfId="5" applyFont="1" applyBorder="1" applyAlignment="1">
      <alignment horizontal="center" vertical="center"/>
    </xf>
    <xf numFmtId="0" fontId="19" fillId="0" borderId="12" xfId="5" applyFont="1" applyBorder="1" applyAlignment="1">
      <alignment horizontal="center" vertical="center"/>
    </xf>
    <xf numFmtId="0" fontId="19" fillId="0" borderId="29" xfId="5" applyFont="1" applyBorder="1" applyAlignment="1">
      <alignment horizontal="center" vertical="center"/>
    </xf>
    <xf numFmtId="0" fontId="19" fillId="0" borderId="30" xfId="5" applyFont="1" applyBorder="1" applyAlignment="1">
      <alignment horizontal="center" vertical="center"/>
    </xf>
    <xf numFmtId="0" fontId="16" fillId="0" borderId="19" xfId="5" applyFont="1" applyBorder="1" applyAlignment="1">
      <alignment horizontal="center" vertical="center" wrapText="1"/>
    </xf>
    <xf numFmtId="0" fontId="16" fillId="0" borderId="4" xfId="5" applyFont="1" applyBorder="1" applyAlignment="1">
      <alignment horizontal="center" vertical="center" wrapText="1"/>
    </xf>
    <xf numFmtId="0" fontId="16" fillId="0" borderId="21" xfId="5" applyFont="1" applyBorder="1" applyAlignment="1">
      <alignment horizontal="center" vertical="center" wrapText="1"/>
    </xf>
    <xf numFmtId="0" fontId="16" fillId="0" borderId="2" xfId="5" applyFont="1" applyBorder="1" applyAlignment="1">
      <alignment horizontal="center" vertical="center" wrapText="1"/>
    </xf>
    <xf numFmtId="0" fontId="16" fillId="0" borderId="26" xfId="5" applyFont="1" applyBorder="1" applyAlignment="1">
      <alignment horizontal="center" vertical="center" wrapText="1"/>
    </xf>
    <xf numFmtId="0" fontId="16" fillId="0" borderId="31" xfId="5" applyFont="1" applyBorder="1" applyAlignment="1">
      <alignment horizontal="center" vertical="center" wrapText="1"/>
    </xf>
    <xf numFmtId="0" fontId="16" fillId="0" borderId="27" xfId="5" applyFont="1" applyBorder="1" applyAlignment="1">
      <alignment horizontal="center" vertical="center" wrapText="1"/>
    </xf>
    <xf numFmtId="0" fontId="16" fillId="0" borderId="5"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18" xfId="5" applyFont="1" applyBorder="1" applyAlignment="1">
      <alignment horizontal="center" vertical="center" wrapText="1"/>
    </xf>
    <xf numFmtId="0" fontId="16" fillId="0" borderId="6" xfId="5" applyFont="1" applyBorder="1" applyAlignment="1">
      <alignment horizontal="center" vertical="center" wrapText="1"/>
    </xf>
    <xf numFmtId="0" fontId="16" fillId="0" borderId="3" xfId="5" applyFont="1" applyBorder="1" applyAlignment="1">
      <alignment horizontal="center" vertical="center" wrapText="1"/>
    </xf>
    <xf numFmtId="0" fontId="16" fillId="0" borderId="28" xfId="5" applyFont="1" applyBorder="1" applyAlignment="1">
      <alignment horizontal="center" vertical="center" wrapText="1"/>
    </xf>
    <xf numFmtId="0" fontId="15" fillId="0" borderId="7" xfId="4" applyFont="1" applyBorder="1" applyAlignment="1">
      <alignment horizontal="center" vertical="center" wrapText="1"/>
    </xf>
    <xf numFmtId="0" fontId="15" fillId="0" borderId="8" xfId="4" applyFont="1" applyBorder="1" applyAlignment="1">
      <alignment horizontal="center" vertical="center"/>
    </xf>
    <xf numFmtId="0" fontId="15" fillId="0" borderId="9" xfId="4" applyFont="1" applyBorder="1" applyAlignment="1">
      <alignment horizontal="center" vertical="center"/>
    </xf>
    <xf numFmtId="14" fontId="18" fillId="0" borderId="2" xfId="4" applyNumberFormat="1" applyFont="1" applyBorder="1" applyAlignment="1">
      <alignment horizontal="center" vertical="center"/>
    </xf>
    <xf numFmtId="0" fontId="18" fillId="0" borderId="3" xfId="4" applyFont="1" applyBorder="1" applyAlignment="1">
      <alignment horizontal="center" vertical="center"/>
    </xf>
    <xf numFmtId="0" fontId="18" fillId="0" borderId="4" xfId="4" applyFont="1" applyBorder="1" applyAlignment="1">
      <alignment horizontal="center" vertical="center"/>
    </xf>
    <xf numFmtId="0" fontId="16" fillId="0" borderId="1" xfId="4" applyFont="1" applyBorder="1" applyAlignment="1">
      <alignment horizontal="center" vertical="center"/>
    </xf>
    <xf numFmtId="0" fontId="16" fillId="0" borderId="2" xfId="4" applyFont="1" applyBorder="1" applyAlignment="1">
      <alignment horizontal="left" vertical="center" wrapText="1"/>
    </xf>
    <xf numFmtId="0" fontId="16" fillId="0" borderId="4" xfId="4" applyFont="1" applyBorder="1" applyAlignment="1">
      <alignment horizontal="left" vertical="center"/>
    </xf>
    <xf numFmtId="0" fontId="18" fillId="0" borderId="10" xfId="4" applyFont="1" applyBorder="1" applyAlignment="1">
      <alignment horizontal="center" vertical="center"/>
    </xf>
    <xf numFmtId="0" fontId="18" fillId="0" borderId="23" xfId="4" applyFont="1" applyBorder="1" applyAlignment="1">
      <alignment horizontal="center" vertical="center"/>
    </xf>
    <xf numFmtId="0" fontId="18" fillId="0" borderId="31" xfId="4" applyFont="1" applyBorder="1" applyAlignment="1">
      <alignment horizontal="center" vertical="center"/>
    </xf>
    <xf numFmtId="0" fontId="18" fillId="0" borderId="11" xfId="4" applyFont="1" applyBorder="1" applyAlignment="1">
      <alignment horizontal="center" vertical="center" wrapText="1"/>
    </xf>
    <xf numFmtId="0" fontId="18" fillId="0" borderId="24" xfId="4" applyFont="1" applyBorder="1" applyAlignment="1">
      <alignment horizontal="center" vertical="center" wrapText="1"/>
    </xf>
    <xf numFmtId="0" fontId="18" fillId="0" borderId="32" xfId="4" applyFont="1" applyBorder="1" applyAlignment="1">
      <alignment horizontal="center" vertical="center" wrapText="1"/>
    </xf>
    <xf numFmtId="0" fontId="16" fillId="0" borderId="12"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33"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14" xfId="5" applyFont="1" applyBorder="1" applyAlignment="1">
      <alignment horizontal="center" vertical="center" wrapText="1"/>
    </xf>
    <xf numFmtId="0" fontId="16" fillId="0" borderId="15" xfId="5" applyFont="1" applyBorder="1" applyAlignment="1">
      <alignment horizontal="center" vertical="center" wrapText="1"/>
    </xf>
    <xf numFmtId="0" fontId="16" fillId="0" borderId="16" xfId="5" applyFont="1" applyBorder="1" applyAlignment="1">
      <alignment horizontal="center" vertical="center" wrapText="1"/>
    </xf>
    <xf numFmtId="14" fontId="11" fillId="0" borderId="2" xfId="4" applyNumberFormat="1" applyBorder="1" applyAlignment="1">
      <alignment horizontal="left" vertical="center" wrapText="1"/>
    </xf>
    <xf numFmtId="14" fontId="11" fillId="0" borderId="3" xfId="4" applyNumberFormat="1" applyBorder="1" applyAlignment="1">
      <alignment horizontal="left" vertical="center" wrapText="1"/>
    </xf>
    <xf numFmtId="14" fontId="11" fillId="0" borderId="4" xfId="4" applyNumberFormat="1" applyBorder="1" applyAlignment="1">
      <alignment horizontal="left"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activeCell="V3" sqref="V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21" width="8.85546875" customWidth="1"/>
    <col min="22" max="22" width="15.28515625" bestFit="1" customWidth="1"/>
    <col min="23"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98</v>
      </c>
      <c r="C1" t="s">
        <v>1</v>
      </c>
      <c r="D1" t="s">
        <v>2</v>
      </c>
      <c r="E1" t="s">
        <v>111</v>
      </c>
      <c r="F1" t="s">
        <v>112</v>
      </c>
      <c r="G1" t="s">
        <v>113</v>
      </c>
      <c r="H1" t="s">
        <v>4</v>
      </c>
      <c r="I1" t="s">
        <v>114</v>
      </c>
      <c r="J1" t="s">
        <v>5</v>
      </c>
      <c r="K1" t="s">
        <v>115</v>
      </c>
      <c r="L1" t="s">
        <v>116</v>
      </c>
      <c r="M1" t="s">
        <v>117</v>
      </c>
      <c r="N1" t="s">
        <v>6</v>
      </c>
      <c r="O1" t="s">
        <v>118</v>
      </c>
      <c r="P1" t="s">
        <v>119</v>
      </c>
      <c r="Q1" t="s">
        <v>120</v>
      </c>
      <c r="R1" t="s">
        <v>121</v>
      </c>
      <c r="S1" t="s">
        <v>122</v>
      </c>
      <c r="T1" t="s">
        <v>123</v>
      </c>
      <c r="U1" t="s">
        <v>124</v>
      </c>
      <c r="V1" t="s">
        <v>8</v>
      </c>
      <c r="W1" t="s">
        <v>125</v>
      </c>
      <c r="X1" t="s">
        <v>126</v>
      </c>
      <c r="Y1" t="s">
        <v>127</v>
      </c>
      <c r="Z1" t="s">
        <v>128</v>
      </c>
      <c r="AA1" t="s">
        <v>129</v>
      </c>
      <c r="AB1" t="s">
        <v>130</v>
      </c>
      <c r="AC1" t="s">
        <v>131</v>
      </c>
      <c r="AD1" t="s">
        <v>10</v>
      </c>
      <c r="AE1" t="s">
        <v>132</v>
      </c>
      <c r="AF1" t="s">
        <v>133</v>
      </c>
      <c r="AG1" t="s">
        <v>134</v>
      </c>
      <c r="AH1" t="s">
        <v>11</v>
      </c>
      <c r="AI1" t="s">
        <v>135</v>
      </c>
      <c r="AJ1" t="s">
        <v>136</v>
      </c>
      <c r="AK1" t="s">
        <v>137</v>
      </c>
      <c r="AL1" t="s">
        <v>12</v>
      </c>
      <c r="AM1" t="s">
        <v>138</v>
      </c>
      <c r="AN1" t="s">
        <v>139</v>
      </c>
      <c r="AO1" t="s">
        <v>140</v>
      </c>
      <c r="AP1" t="s">
        <v>141</v>
      </c>
      <c r="AQ1" t="s">
        <v>142</v>
      </c>
      <c r="AR1" t="s">
        <v>143</v>
      </c>
      <c r="AS1" t="s">
        <v>144</v>
      </c>
      <c r="AT1" t="s">
        <v>53</v>
      </c>
      <c r="AU1" t="s">
        <v>145</v>
      </c>
      <c r="AV1" t="s">
        <v>146</v>
      </c>
      <c r="AW1" t="s">
        <v>147</v>
      </c>
      <c r="AX1" t="s">
        <v>148</v>
      </c>
      <c r="AY1" t="s">
        <v>149</v>
      </c>
      <c r="AZ1" t="s">
        <v>150</v>
      </c>
      <c r="BA1" t="s">
        <v>151</v>
      </c>
      <c r="BB1" t="s">
        <v>152</v>
      </c>
      <c r="BC1" t="s">
        <v>153</v>
      </c>
      <c r="BD1" t="s">
        <v>154</v>
      </c>
      <c r="BE1" t="s">
        <v>155</v>
      </c>
      <c r="BF1" t="s">
        <v>156</v>
      </c>
      <c r="BG1" t="s">
        <v>157</v>
      </c>
      <c r="BH1" t="s">
        <v>158</v>
      </c>
      <c r="BI1" t="s">
        <v>159</v>
      </c>
      <c r="BJ1" t="s">
        <v>160</v>
      </c>
      <c r="BK1" t="s">
        <v>161</v>
      </c>
      <c r="BL1" t="s">
        <v>162</v>
      </c>
      <c r="BM1" t="s">
        <v>163</v>
      </c>
      <c r="BN1" t="s">
        <v>164</v>
      </c>
      <c r="BO1" t="s">
        <v>165</v>
      </c>
      <c r="BP1" t="s">
        <v>166</v>
      </c>
      <c r="BQ1" t="s">
        <v>167</v>
      </c>
      <c r="BR1" t="s">
        <v>168</v>
      </c>
      <c r="BS1" t="s">
        <v>169</v>
      </c>
      <c r="BT1" t="s">
        <v>170</v>
      </c>
      <c r="BU1" t="s">
        <v>171</v>
      </c>
      <c r="BV1" t="s">
        <v>21</v>
      </c>
      <c r="BW1" t="s">
        <v>172</v>
      </c>
      <c r="BX1" t="s">
        <v>173</v>
      </c>
      <c r="BY1" t="s">
        <v>174</v>
      </c>
      <c r="BZ1" t="s">
        <v>175</v>
      </c>
      <c r="CA1" t="s">
        <v>176</v>
      </c>
      <c r="CB1" t="s">
        <v>24</v>
      </c>
      <c r="CC1" t="s">
        <v>177</v>
      </c>
      <c r="CD1" t="s">
        <v>25</v>
      </c>
      <c r="CE1" t="s">
        <v>178</v>
      </c>
      <c r="CF1" t="s">
        <v>27</v>
      </c>
      <c r="CG1" t="s">
        <v>179</v>
      </c>
      <c r="CH1" t="s">
        <v>180</v>
      </c>
      <c r="CI1" t="s">
        <v>30</v>
      </c>
      <c r="CJ1" t="s">
        <v>181</v>
      </c>
      <c r="CK1" t="s">
        <v>32</v>
      </c>
      <c r="CL1" t="s">
        <v>182</v>
      </c>
      <c r="CM1" t="s">
        <v>183</v>
      </c>
      <c r="CN1" t="s">
        <v>184</v>
      </c>
      <c r="CO1" t="s">
        <v>185</v>
      </c>
      <c r="CP1" t="s">
        <v>37</v>
      </c>
      <c r="CQ1" t="s">
        <v>186</v>
      </c>
      <c r="CR1" t="s">
        <v>187</v>
      </c>
      <c r="CS1" t="s">
        <v>40</v>
      </c>
      <c r="CT1" t="s">
        <v>41</v>
      </c>
      <c r="CU1" t="s">
        <v>188</v>
      </c>
      <c r="CV1" t="s">
        <v>99</v>
      </c>
      <c r="CW1" t="s">
        <v>100</v>
      </c>
      <c r="CX1" t="s">
        <v>189</v>
      </c>
      <c r="CY1"/>
    </row>
    <row r="2" spans="1:103" x14ac:dyDescent="0.25">
      <c r="A2" t="s">
        <v>190</v>
      </c>
      <c r="B2" s="55">
        <v>45733</v>
      </c>
      <c r="C2" t="s">
        <v>191</v>
      </c>
      <c r="D2" t="s">
        <v>192</v>
      </c>
      <c r="E2" t="s">
        <v>193</v>
      </c>
      <c r="H2">
        <v>0</v>
      </c>
      <c r="J2" t="s">
        <v>46</v>
      </c>
      <c r="K2">
        <v>910.79</v>
      </c>
      <c r="L2">
        <v>44</v>
      </c>
      <c r="M2">
        <v>40074.76</v>
      </c>
      <c r="P2">
        <v>0</v>
      </c>
      <c r="T2">
        <v>0</v>
      </c>
      <c r="V2" t="s">
        <v>70</v>
      </c>
      <c r="W2">
        <v>102.22</v>
      </c>
      <c r="X2">
        <v>26</v>
      </c>
      <c r="Y2" s="56">
        <v>2657.72</v>
      </c>
      <c r="Z2" t="s">
        <v>9</v>
      </c>
      <c r="AA2">
        <v>117</v>
      </c>
      <c r="AB2">
        <v>3</v>
      </c>
      <c r="AC2">
        <v>351</v>
      </c>
      <c r="AD2" t="s">
        <v>51</v>
      </c>
      <c r="AE2">
        <v>70.87</v>
      </c>
      <c r="AF2">
        <v>39</v>
      </c>
      <c r="AG2">
        <v>2763.93</v>
      </c>
      <c r="AJ2">
        <v>0</v>
      </c>
      <c r="AL2" t="s">
        <v>51</v>
      </c>
      <c r="AM2">
        <v>70.87</v>
      </c>
      <c r="AN2">
        <v>100</v>
      </c>
      <c r="AO2">
        <v>7087</v>
      </c>
      <c r="AR2">
        <v>0</v>
      </c>
      <c r="AV2">
        <v>0</v>
      </c>
      <c r="AZ2">
        <v>0</v>
      </c>
      <c r="BD2">
        <v>0</v>
      </c>
      <c r="BH2">
        <v>0</v>
      </c>
      <c r="BL2">
        <v>0</v>
      </c>
      <c r="BP2">
        <v>0</v>
      </c>
      <c r="BT2">
        <v>0</v>
      </c>
      <c r="BX2">
        <v>0</v>
      </c>
      <c r="BZ2">
        <v>4260</v>
      </c>
      <c r="CA2">
        <v>57194.41</v>
      </c>
      <c r="CH2">
        <v>57194.41</v>
      </c>
      <c r="CM2">
        <v>57194.41</v>
      </c>
      <c r="CO2">
        <v>57194.41</v>
      </c>
      <c r="CP2" s="57">
        <v>0.18</v>
      </c>
      <c r="CQ2">
        <v>10294.99</v>
      </c>
      <c r="CR2">
        <v>67489.399999999994</v>
      </c>
      <c r="CS2">
        <v>19.013999999999999</v>
      </c>
      <c r="CT2" t="s">
        <v>194</v>
      </c>
      <c r="CU2" s="58">
        <v>1283244</v>
      </c>
      <c r="CV2" t="s">
        <v>195</v>
      </c>
      <c r="CW2" t="s">
        <v>196</v>
      </c>
    </row>
    <row r="3" spans="1:103" x14ac:dyDescent="0.25">
      <c r="A3" t="s">
        <v>190</v>
      </c>
      <c r="B3" s="55">
        <v>45733</v>
      </c>
      <c r="C3" t="s">
        <v>197</v>
      </c>
      <c r="D3" t="s">
        <v>198</v>
      </c>
      <c r="E3" t="s">
        <v>193</v>
      </c>
      <c r="H3">
        <v>0</v>
      </c>
      <c r="J3" t="s">
        <v>46</v>
      </c>
      <c r="K3">
        <v>910.79</v>
      </c>
      <c r="L3">
        <v>89</v>
      </c>
      <c r="M3">
        <v>81060.31</v>
      </c>
      <c r="P3">
        <v>0</v>
      </c>
      <c r="T3">
        <v>0</v>
      </c>
      <c r="V3" t="s">
        <v>199</v>
      </c>
      <c r="W3">
        <v>93.6</v>
      </c>
      <c r="X3">
        <v>52</v>
      </c>
      <c r="Y3" s="56">
        <v>4867.2</v>
      </c>
      <c r="Z3" t="s">
        <v>9</v>
      </c>
      <c r="AA3">
        <v>117</v>
      </c>
      <c r="AB3">
        <v>4</v>
      </c>
      <c r="AC3">
        <v>468</v>
      </c>
      <c r="AD3" t="s">
        <v>51</v>
      </c>
      <c r="AE3">
        <v>70.87</v>
      </c>
      <c r="AF3">
        <v>27</v>
      </c>
      <c r="AG3">
        <v>1913.49</v>
      </c>
      <c r="AJ3">
        <v>0</v>
      </c>
      <c r="AL3" t="s">
        <v>61</v>
      </c>
      <c r="AM3">
        <v>86.1</v>
      </c>
      <c r="AN3">
        <v>109</v>
      </c>
      <c r="AO3">
        <v>9384.9</v>
      </c>
      <c r="AR3">
        <v>0</v>
      </c>
      <c r="AV3">
        <v>0</v>
      </c>
      <c r="AZ3">
        <v>0</v>
      </c>
      <c r="BD3">
        <v>0</v>
      </c>
      <c r="BH3">
        <v>0</v>
      </c>
      <c r="BL3">
        <v>15</v>
      </c>
      <c r="BP3">
        <v>0</v>
      </c>
      <c r="BT3">
        <v>0</v>
      </c>
      <c r="BX3">
        <v>0</v>
      </c>
      <c r="BZ3">
        <v>4260</v>
      </c>
      <c r="CA3">
        <v>101953.9</v>
      </c>
      <c r="CH3">
        <v>101953.9</v>
      </c>
      <c r="CM3">
        <v>101953.9</v>
      </c>
      <c r="CO3">
        <v>101953.9</v>
      </c>
      <c r="CP3" s="57">
        <v>0.18</v>
      </c>
      <c r="CQ3">
        <v>18351.7</v>
      </c>
      <c r="CR3">
        <v>120305.60000000001</v>
      </c>
      <c r="CS3">
        <v>35.747</v>
      </c>
      <c r="CT3" t="s">
        <v>194</v>
      </c>
      <c r="CU3" s="58">
        <v>4300564</v>
      </c>
      <c r="CV3" t="s">
        <v>195</v>
      </c>
      <c r="CW3" t="s">
        <v>196</v>
      </c>
    </row>
    <row r="4" spans="1:103" x14ac:dyDescent="0.25">
      <c r="A4" t="s">
        <v>190</v>
      </c>
      <c r="B4" s="55">
        <v>45733</v>
      </c>
      <c r="C4" t="s">
        <v>200</v>
      </c>
      <c r="D4" t="s">
        <v>201</v>
      </c>
      <c r="E4" t="s">
        <v>193</v>
      </c>
      <c r="H4">
        <v>0</v>
      </c>
      <c r="J4" t="s">
        <v>46</v>
      </c>
      <c r="K4">
        <v>910.79</v>
      </c>
      <c r="L4">
        <v>155</v>
      </c>
      <c r="M4">
        <v>141172.45000000001</v>
      </c>
      <c r="P4">
        <v>0</v>
      </c>
      <c r="T4">
        <v>0</v>
      </c>
      <c r="V4" t="s">
        <v>199</v>
      </c>
      <c r="W4">
        <v>93.6</v>
      </c>
      <c r="X4">
        <v>91</v>
      </c>
      <c r="Y4" s="56">
        <v>8517.6</v>
      </c>
      <c r="Z4" t="s">
        <v>9</v>
      </c>
      <c r="AA4">
        <v>117</v>
      </c>
      <c r="AB4">
        <v>4</v>
      </c>
      <c r="AC4">
        <v>468</v>
      </c>
      <c r="AD4" t="s">
        <v>51</v>
      </c>
      <c r="AE4">
        <v>70.87</v>
      </c>
      <c r="AF4">
        <v>27</v>
      </c>
      <c r="AG4">
        <v>1913.49</v>
      </c>
      <c r="AJ4">
        <v>0</v>
      </c>
      <c r="AL4" t="s">
        <v>61</v>
      </c>
      <c r="AM4">
        <v>86.1</v>
      </c>
      <c r="AN4">
        <v>117</v>
      </c>
      <c r="AO4">
        <v>10073.700000000001</v>
      </c>
      <c r="AR4">
        <v>0</v>
      </c>
      <c r="AV4">
        <v>0</v>
      </c>
      <c r="AZ4">
        <v>0</v>
      </c>
      <c r="BD4">
        <v>0</v>
      </c>
      <c r="BH4">
        <v>0</v>
      </c>
      <c r="BL4">
        <v>0</v>
      </c>
      <c r="BP4">
        <v>0</v>
      </c>
      <c r="BT4">
        <v>0</v>
      </c>
      <c r="BX4">
        <v>0</v>
      </c>
      <c r="BZ4">
        <v>5170</v>
      </c>
      <c r="CA4">
        <v>167315.24</v>
      </c>
      <c r="CH4">
        <v>167315.24</v>
      </c>
      <c r="CM4">
        <v>167315.24</v>
      </c>
      <c r="CO4">
        <v>167315.24</v>
      </c>
      <c r="CP4" s="57">
        <v>0.18</v>
      </c>
      <c r="CQ4">
        <v>30116.74</v>
      </c>
      <c r="CR4">
        <v>197431.98</v>
      </c>
      <c r="CS4">
        <v>40.28</v>
      </c>
      <c r="CT4" t="s">
        <v>194</v>
      </c>
      <c r="CU4" s="58">
        <v>7952560</v>
      </c>
      <c r="CV4" t="s">
        <v>202</v>
      </c>
      <c r="CW4" t="s">
        <v>203</v>
      </c>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1"/>
  <sheetViews>
    <sheetView showZeros="0" tabSelected="1" topLeftCell="A18" workbookViewId="0">
      <selection activeCell="D24" sqref="D24"/>
    </sheetView>
  </sheetViews>
  <sheetFormatPr defaultRowHeight="15" x14ac:dyDescent="0.25"/>
  <cols>
    <col min="1" max="1" width="15.140625" bestFit="1" customWidth="1"/>
    <col min="2" max="2" width="10.42578125" bestFit="1" customWidth="1"/>
    <col min="3" max="3" width="10.28515625" bestFit="1" customWidth="1"/>
    <col min="4" max="4" width="24" customWidth="1"/>
    <col min="5" max="5" width="14.28515625" style="4" bestFit="1" customWidth="1"/>
    <col min="6" max="6" width="14.28515625"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5" width="7.85546875" style="30" hidden="1" customWidth="1"/>
    <col min="16" max="16" width="7.85546875" style="30" customWidth="1"/>
    <col min="17" max="34" width="7.85546875" style="30" hidden="1" customWidth="1"/>
    <col min="35" max="35" width="7.85546875" style="30" customWidth="1"/>
    <col min="36" max="36" width="7.85546875" style="30" hidden="1" customWidth="1"/>
    <col min="37" max="37" width="7.85546875" style="30" customWidth="1"/>
    <col min="38" max="42" width="7.85546875" style="30" hidden="1" customWidth="1"/>
    <col min="43" max="43" width="7.85546875" style="30" customWidth="1"/>
    <col min="44" max="55" width="7.85546875" style="30" hidden="1" customWidth="1"/>
    <col min="56" max="56" width="7.7109375" style="30" customWidth="1"/>
    <col min="57" max="73" width="7.85546875" style="30" hidden="1" customWidth="1"/>
    <col min="74" max="74" width="7.85546875" style="30" customWidth="1"/>
    <col min="75" max="75" width="10.7109375" style="30" bestFit="1" customWidth="1"/>
    <col min="76" max="76" width="12.28515625" style="30" customWidth="1"/>
    <col min="77" max="77" width="9"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7.42578125" style="8" customWidth="1"/>
    <col min="85" max="85" width="7.7109375" style="4"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52" t="s">
        <v>101</v>
      </c>
      <c r="B2" s="153"/>
      <c r="C2" s="153"/>
      <c r="D2" s="153"/>
      <c r="E2" s="153"/>
      <c r="F2" s="153"/>
      <c r="G2" s="153"/>
      <c r="H2" s="153"/>
      <c r="I2" s="153"/>
      <c r="J2" s="153"/>
      <c r="K2" s="153"/>
      <c r="L2" s="153"/>
      <c r="M2" s="153"/>
      <c r="N2" s="153"/>
      <c r="O2" s="153"/>
      <c r="P2" s="153"/>
      <c r="Q2" s="153"/>
      <c r="R2" s="154"/>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88</v>
      </c>
      <c r="B4" s="161" t="s">
        <v>102</v>
      </c>
      <c r="C4" s="161"/>
      <c r="D4" s="161"/>
      <c r="E4" s="161"/>
      <c r="F4" s="161"/>
      <c r="G4" s="161"/>
      <c r="H4" s="161"/>
      <c r="I4" s="161"/>
      <c r="J4" s="161"/>
      <c r="K4" s="161"/>
      <c r="L4" s="161"/>
      <c r="M4" s="161"/>
      <c r="N4" s="161"/>
      <c r="O4" s="161"/>
      <c r="P4" s="161"/>
      <c r="Q4" s="161"/>
      <c r="R4" s="161"/>
      <c r="S4"/>
    </row>
    <row r="5" spans="1:89" s="44" customFormat="1" ht="34.5" customHeight="1" x14ac:dyDescent="0.25">
      <c r="A5" s="45" t="s">
        <v>89</v>
      </c>
      <c r="B5" s="161" t="s">
        <v>103</v>
      </c>
      <c r="C5" s="161"/>
      <c r="D5" s="161"/>
      <c r="E5" s="161"/>
      <c r="F5" s="161"/>
      <c r="G5" s="161"/>
      <c r="H5" s="161"/>
      <c r="I5" s="161"/>
      <c r="J5" s="161"/>
      <c r="K5" s="161"/>
      <c r="L5" s="161"/>
      <c r="M5" s="161"/>
      <c r="N5" s="161"/>
      <c r="O5" s="161"/>
      <c r="P5" s="161"/>
      <c r="Q5" s="161"/>
      <c r="R5" s="161"/>
      <c r="S5"/>
    </row>
    <row r="6" spans="1:89" s="44" customFormat="1" ht="45" customHeight="1" x14ac:dyDescent="0.25">
      <c r="A6" s="46" t="s">
        <v>90</v>
      </c>
      <c r="B6" s="148" t="s">
        <v>104</v>
      </c>
      <c r="C6" s="161"/>
      <c r="D6" s="161"/>
      <c r="E6" s="161"/>
      <c r="F6" s="161"/>
      <c r="G6" s="161"/>
      <c r="H6" s="161"/>
      <c r="I6" s="161"/>
      <c r="J6" s="161"/>
      <c r="K6" s="161"/>
      <c r="L6" s="161"/>
      <c r="M6" s="161"/>
      <c r="N6" s="161"/>
      <c r="O6" s="161"/>
      <c r="P6" s="161"/>
      <c r="Q6" s="161"/>
      <c r="R6" s="161"/>
      <c r="S6"/>
    </row>
    <row r="7" spans="1:89" s="44" customFormat="1" ht="30" x14ac:dyDescent="0.25">
      <c r="A7" s="46" t="s">
        <v>87</v>
      </c>
      <c r="B7" s="148" t="s">
        <v>105</v>
      </c>
      <c r="C7" s="161"/>
      <c r="D7" s="161"/>
      <c r="E7" s="161"/>
      <c r="F7" s="161"/>
      <c r="G7" s="161"/>
      <c r="H7" s="161"/>
      <c r="I7" s="161"/>
      <c r="J7" s="161"/>
      <c r="K7" s="161"/>
      <c r="L7" s="161"/>
      <c r="M7" s="161"/>
      <c r="N7" s="161"/>
      <c r="O7" s="161"/>
      <c r="P7" s="161"/>
      <c r="Q7" s="161"/>
      <c r="R7" s="161"/>
      <c r="S7"/>
    </row>
    <row r="8" spans="1:89" s="44" customFormat="1" ht="65.25" customHeight="1" x14ac:dyDescent="0.25">
      <c r="A8" s="46" t="s">
        <v>91</v>
      </c>
      <c r="B8" s="148" t="s">
        <v>256</v>
      </c>
      <c r="C8" s="148"/>
      <c r="D8" s="148"/>
      <c r="E8" s="148"/>
      <c r="F8" s="148"/>
      <c r="G8" s="148"/>
      <c r="H8" s="148"/>
      <c r="I8" s="148"/>
      <c r="J8" s="148"/>
      <c r="K8" s="148"/>
      <c r="L8" s="148"/>
      <c r="M8" s="148"/>
      <c r="N8" s="148"/>
      <c r="O8" s="148"/>
      <c r="P8" s="148"/>
      <c r="Q8" s="148"/>
      <c r="R8" s="148"/>
      <c r="S8"/>
    </row>
    <row r="9" spans="1:89" s="44" customFormat="1" ht="23.25" customHeight="1" x14ac:dyDescent="0.25">
      <c r="A9" s="46" t="s">
        <v>92</v>
      </c>
      <c r="B9" s="149" t="s">
        <v>106</v>
      </c>
      <c r="C9" s="150"/>
      <c r="D9" s="150"/>
      <c r="E9" s="150"/>
      <c r="F9" s="150"/>
      <c r="G9" s="150"/>
      <c r="H9" s="150"/>
      <c r="I9" s="150"/>
      <c r="J9" s="150"/>
      <c r="K9" s="150"/>
      <c r="L9" s="150"/>
      <c r="M9" s="150"/>
      <c r="N9" s="150"/>
      <c r="O9" s="150"/>
      <c r="P9" s="150"/>
      <c r="Q9" s="150"/>
      <c r="R9" s="151"/>
    </row>
    <row r="10" spans="1:89" s="44" customFormat="1" ht="51.75" customHeight="1" x14ac:dyDescent="0.25">
      <c r="A10" s="46" t="s">
        <v>93</v>
      </c>
      <c r="B10" s="148" t="s">
        <v>107</v>
      </c>
      <c r="C10" s="148"/>
      <c r="D10" s="148"/>
      <c r="E10" s="148"/>
      <c r="F10" s="148"/>
      <c r="G10" s="148"/>
      <c r="H10" s="148"/>
      <c r="I10" s="148"/>
      <c r="J10" s="148"/>
      <c r="K10" s="148"/>
      <c r="L10" s="148"/>
      <c r="M10" s="148"/>
      <c r="N10" s="148"/>
      <c r="O10" s="148"/>
      <c r="P10" s="148"/>
      <c r="Q10" s="148"/>
      <c r="R10" s="148"/>
      <c r="S10"/>
    </row>
    <row r="11" spans="1:89" s="44" customFormat="1" ht="78.75" customHeight="1" x14ac:dyDescent="0.25">
      <c r="A11" s="46" t="s">
        <v>94</v>
      </c>
      <c r="B11" s="157" t="s">
        <v>108</v>
      </c>
      <c r="C11" s="158"/>
      <c r="D11" s="158"/>
      <c r="E11" s="158"/>
      <c r="F11" s="158"/>
      <c r="G11" s="158"/>
      <c r="H11" s="158"/>
      <c r="I11" s="158"/>
      <c r="J11" s="158"/>
      <c r="K11" s="158"/>
      <c r="L11" s="158"/>
      <c r="M11" s="158"/>
      <c r="N11" s="158"/>
      <c r="O11" s="158"/>
      <c r="P11" s="158"/>
      <c r="Q11" s="158"/>
      <c r="R11" s="159"/>
      <c r="S11"/>
    </row>
    <row r="12" spans="1:89" s="44" customFormat="1" ht="30" x14ac:dyDescent="0.25">
      <c r="A12" s="49" t="s">
        <v>95</v>
      </c>
      <c r="B12" s="160" t="s">
        <v>109</v>
      </c>
      <c r="C12" s="160"/>
      <c r="D12" s="160"/>
      <c r="E12" s="160"/>
      <c r="F12" s="160"/>
      <c r="G12" s="160"/>
      <c r="H12" s="160"/>
      <c r="I12" s="160"/>
      <c r="J12" s="160"/>
      <c r="K12" s="160"/>
      <c r="L12" s="160"/>
      <c r="M12" s="160"/>
      <c r="N12" s="160"/>
      <c r="O12" s="160"/>
      <c r="P12" s="160"/>
      <c r="Q12" s="160"/>
      <c r="R12" s="160"/>
    </row>
    <row r="13" spans="1:89" s="44" customFormat="1" ht="44.25" customHeight="1" x14ac:dyDescent="0.25">
      <c r="A13" s="49" t="s">
        <v>96</v>
      </c>
      <c r="B13" s="160" t="s">
        <v>110</v>
      </c>
      <c r="C13" s="160"/>
      <c r="D13" s="160"/>
      <c r="E13" s="160"/>
      <c r="F13" s="160"/>
      <c r="G13" s="160"/>
      <c r="H13" s="160"/>
      <c r="I13" s="160"/>
      <c r="J13" s="160"/>
      <c r="K13" s="160"/>
      <c r="L13" s="160"/>
      <c r="M13" s="160"/>
      <c r="N13" s="160"/>
      <c r="O13" s="160"/>
      <c r="P13" s="160"/>
      <c r="Q13" s="160"/>
      <c r="R13" s="160"/>
    </row>
    <row r="14" spans="1:89" s="44" customFormat="1" ht="30" x14ac:dyDescent="0.25">
      <c r="A14" s="50" t="s">
        <v>97</v>
      </c>
      <c r="B14" s="160"/>
      <c r="C14" s="160"/>
      <c r="D14" s="160"/>
      <c r="E14" s="160"/>
      <c r="F14" s="160"/>
      <c r="G14" s="160"/>
      <c r="H14" s="160"/>
      <c r="I14" s="160"/>
      <c r="J14" s="160"/>
      <c r="K14" s="160"/>
      <c r="L14" s="160"/>
      <c r="M14" s="160"/>
      <c r="N14" s="160"/>
      <c r="O14" s="160"/>
      <c r="P14" s="160"/>
      <c r="Q14" s="160"/>
      <c r="R14" s="160"/>
    </row>
    <row r="16" spans="1:89" s="37" customFormat="1" ht="28.9" customHeight="1" x14ac:dyDescent="0.25">
      <c r="E16" s="42"/>
      <c r="H16" s="43"/>
      <c r="N16" s="147" t="str">
        <f>Sheet1!J1</f>
        <v>Conductor</v>
      </c>
      <c r="O16" s="147"/>
      <c r="P16" s="147"/>
      <c r="Q16" s="147"/>
      <c r="R16" s="147"/>
      <c r="S16" s="147" t="s">
        <v>6</v>
      </c>
      <c r="T16" s="147"/>
      <c r="U16" s="147" t="s">
        <v>3</v>
      </c>
      <c r="V16" s="147"/>
      <c r="W16" s="147"/>
      <c r="X16" s="147"/>
      <c r="Y16" s="147"/>
      <c r="Z16" s="147"/>
      <c r="AA16" s="147"/>
      <c r="AB16" s="147"/>
      <c r="AC16" s="147" t="s">
        <v>7</v>
      </c>
      <c r="AD16" s="147"/>
      <c r="AE16" s="147" t="s">
        <v>8</v>
      </c>
      <c r="AF16" s="147"/>
      <c r="AG16" s="147"/>
      <c r="AH16" s="147"/>
      <c r="AI16" s="147"/>
      <c r="AJ16" s="147"/>
      <c r="AK16" s="10" t="s">
        <v>9</v>
      </c>
      <c r="AL16" s="155" t="s">
        <v>10</v>
      </c>
      <c r="AM16" s="156"/>
      <c r="AN16" s="156"/>
      <c r="AO16" s="156"/>
      <c r="AP16" s="156"/>
      <c r="AQ16" s="156"/>
      <c r="AR16" s="156"/>
      <c r="AS16" s="147" t="s">
        <v>11</v>
      </c>
      <c r="AT16" s="147"/>
      <c r="AU16" s="147"/>
      <c r="AV16" s="147"/>
      <c r="AW16" s="147"/>
      <c r="AX16" s="147"/>
      <c r="AY16" s="147"/>
      <c r="AZ16" s="147"/>
      <c r="BA16" s="147"/>
      <c r="BB16" s="147"/>
      <c r="BC16" s="54" t="s">
        <v>12</v>
      </c>
      <c r="BD16" s="65" t="s">
        <v>214</v>
      </c>
      <c r="BE16" s="54"/>
      <c r="BF16" s="54"/>
      <c r="BG16" s="54"/>
      <c r="BH16" s="54"/>
      <c r="BI16" s="54"/>
      <c r="BJ16" s="54"/>
      <c r="BK16" s="54"/>
      <c r="BL16" s="54"/>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86</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67</v>
      </c>
      <c r="Y17" s="24" t="s">
        <v>71</v>
      </c>
      <c r="Z17" s="24" t="s">
        <v>75</v>
      </c>
      <c r="AA17" s="24" t="s">
        <v>78</v>
      </c>
      <c r="AB17" s="24" t="s">
        <v>80</v>
      </c>
      <c r="AC17" s="24" t="s">
        <v>55</v>
      </c>
      <c r="AD17" s="24" t="s">
        <v>59</v>
      </c>
      <c r="AE17" s="24" t="s">
        <v>54</v>
      </c>
      <c r="AF17" s="24" t="s">
        <v>50</v>
      </c>
      <c r="AG17" s="24" t="s">
        <v>62</v>
      </c>
      <c r="AH17" s="24" t="s">
        <v>199</v>
      </c>
      <c r="AI17" s="24" t="s">
        <v>70</v>
      </c>
      <c r="AJ17" s="24" t="s">
        <v>74</v>
      </c>
      <c r="AK17" s="20" t="s">
        <v>9</v>
      </c>
      <c r="AL17" s="24" t="s">
        <v>57</v>
      </c>
      <c r="AM17" s="24" t="s">
        <v>61</v>
      </c>
      <c r="AN17" s="24" t="s">
        <v>64</v>
      </c>
      <c r="AO17" s="24" t="s">
        <v>68</v>
      </c>
      <c r="AP17" s="24" t="s">
        <v>72</v>
      </c>
      <c r="AQ17" s="24" t="s">
        <v>51</v>
      </c>
      <c r="AR17" s="24" t="s">
        <v>79</v>
      </c>
      <c r="AS17" s="24" t="s">
        <v>58</v>
      </c>
      <c r="AT17" s="24" t="s">
        <v>45</v>
      </c>
      <c r="AU17" s="24" t="s">
        <v>65</v>
      </c>
      <c r="AV17" s="24" t="s">
        <v>69</v>
      </c>
      <c r="AW17" s="24" t="s">
        <v>76</v>
      </c>
      <c r="AX17" s="24" t="s">
        <v>52</v>
      </c>
      <c r="AY17" s="24" t="s">
        <v>81</v>
      </c>
      <c r="AZ17" s="24" t="s">
        <v>82</v>
      </c>
      <c r="BA17" s="24" t="s">
        <v>83</v>
      </c>
      <c r="BB17" s="24" t="s">
        <v>85</v>
      </c>
      <c r="BC17" s="24" t="s">
        <v>57</v>
      </c>
      <c r="BD17" s="24" t="s">
        <v>61</v>
      </c>
      <c r="BE17" s="24" t="s">
        <v>66</v>
      </c>
      <c r="BF17" s="24" t="s">
        <v>64</v>
      </c>
      <c r="BG17" s="24" t="s">
        <v>73</v>
      </c>
      <c r="BH17" s="24" t="s">
        <v>77</v>
      </c>
      <c r="BI17" s="24" t="s">
        <v>68</v>
      </c>
      <c r="BJ17" s="24" t="s">
        <v>51</v>
      </c>
      <c r="BK17" s="24" t="s">
        <v>79</v>
      </c>
      <c r="BL17" s="24" t="s">
        <v>84</v>
      </c>
      <c r="BM17" s="20" t="s">
        <v>13</v>
      </c>
      <c r="BN17" s="20" t="s">
        <v>53</v>
      </c>
      <c r="BO17" s="21" t="s">
        <v>15</v>
      </c>
      <c r="BP17" s="25" t="s">
        <v>16</v>
      </c>
      <c r="BQ17" s="21" t="s">
        <v>17</v>
      </c>
      <c r="BR17" s="21" t="s">
        <v>18</v>
      </c>
      <c r="BS17" s="21" t="s">
        <v>19</v>
      </c>
      <c r="BT17" s="25" t="s">
        <v>20</v>
      </c>
      <c r="BU17" s="21" t="s">
        <v>21</v>
      </c>
      <c r="BV17" s="21" t="str">
        <f>Sheet1!E1</f>
        <v>Propose Drum Type</v>
      </c>
      <c r="BW17" s="53" t="str">
        <f>Sheet1!CV1</f>
        <v>DRUM CODE</v>
      </c>
      <c r="BX17" s="53" t="str">
        <f>Sheet1!CW1</f>
        <v>DRUM SIZE (FxbXtx Ft)</v>
      </c>
      <c r="BY17" s="53"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f>+IFERROR(VLOOKUP($N$17,Sheet1!J:L,2,0),0)</f>
        <v>0</v>
      </c>
      <c r="O18" s="32">
        <f>+IFERROR(VLOOKUP($O$17,Sheet1!J:L,2,0),0)</f>
        <v>0</v>
      </c>
      <c r="P18" s="32">
        <v>872</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c r="AI18" s="33">
        <v>103</v>
      </c>
      <c r="AJ18" s="33">
        <f>+IFERROR(VLOOKUP($AJ$17,Sheet1!V:Y,2,0),0)</f>
        <v>0</v>
      </c>
      <c r="AK18" s="34">
        <v>120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v>69</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88+20</f>
        <v>108</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0" ht="30" x14ac:dyDescent="0.25">
      <c r="A19" s="1" t="str">
        <f>Sheet1!A2</f>
        <v>ENQ-15423-22-23</v>
      </c>
      <c r="B19" s="51">
        <v>45691</v>
      </c>
      <c r="C19" s="1" t="str">
        <f>Sheet1!C2</f>
        <v>FA0300004</v>
      </c>
      <c r="D19" s="1" t="str">
        <f>Sheet1!D2</f>
        <v>2 CORE X 2.5 SQ. MM. CU/UNARD.(PVC)</v>
      </c>
      <c r="E19" s="3">
        <f>CH19+CJ19+CL19</f>
        <v>76164.637499999997</v>
      </c>
      <c r="F19" s="64">
        <f>ROUNDUP(M25,0)</f>
        <v>1263</v>
      </c>
      <c r="G19" s="9">
        <f>E19+F19</f>
        <v>77427.637499999997</v>
      </c>
      <c r="H19" s="7">
        <f>Sheet1!CP2</f>
        <v>0.18</v>
      </c>
      <c r="I19" s="9">
        <f>G19*H19</f>
        <v>13936.974749999999</v>
      </c>
      <c r="J19" s="9">
        <f>G19+I19</f>
        <v>91364.612249999991</v>
      </c>
      <c r="K19" s="1">
        <f>Sheet1!CS2</f>
        <v>19.013999999999999</v>
      </c>
      <c r="L19" s="1" t="str">
        <f>Sheet1!CT2</f>
        <v>KMS</v>
      </c>
      <c r="M19" s="3">
        <f>J19*K19</f>
        <v>1737206.7373214997</v>
      </c>
      <c r="N19" s="2">
        <f>+IFERROR(VLOOKUP($N$17,Sheet1!J2:L2,3,0),0)</f>
        <v>0</v>
      </c>
      <c r="O19" s="2">
        <f>+IFERROR(VLOOKUP($O$17,Sheet1!J2:L2,3,0),0)</f>
        <v>0</v>
      </c>
      <c r="P19" s="2">
        <f>+IFERROR(VLOOKUP($P$17,Sheet1!J2:M2,3,0),0)</f>
        <v>44</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26</v>
      </c>
      <c r="AJ19" s="15">
        <f>+IFERROR(VLOOKUP($AJ$17,Sheet1!V2:Y2,3,0),0)</f>
        <v>0</v>
      </c>
      <c r="AK19" s="15">
        <f>+IFERROR(VLOOKUP($AK$17,Sheet1!Z2:AB2,3,0),0)</f>
        <v>3</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39</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v>100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tr">
        <f>Sheet1!CV2</f>
        <v>MD0100003</v>
      </c>
      <c r="BX19" s="15" t="str">
        <f>Sheet1!CW2</f>
        <v>DRUM - 28 X 14 X 23 X 2</v>
      </c>
      <c r="BY19" s="15">
        <v>500</v>
      </c>
      <c r="BZ19" s="3">
        <f>Sheet1!BZ2</f>
        <v>4260</v>
      </c>
      <c r="CA19" s="3">
        <f>SUMPRODUCT($N$18:$BU$18,N19:BU19)+BZ19</f>
        <v>59157</v>
      </c>
      <c r="CB19" s="27">
        <f>Sheet1!CB2</f>
        <v>0</v>
      </c>
      <c r="CC19" s="3">
        <f>CA19*CB19</f>
        <v>0</v>
      </c>
      <c r="CD19" s="48">
        <v>0.25</v>
      </c>
      <c r="CE19" s="3">
        <f>CA19*CD19</f>
        <v>14789.25</v>
      </c>
      <c r="CF19" s="48">
        <v>0</v>
      </c>
      <c r="CG19" s="3">
        <f>CA19*CF19</f>
        <v>0</v>
      </c>
      <c r="CH19" s="3">
        <f>CA19+CC19+CE19+CG19</f>
        <v>73946.25</v>
      </c>
      <c r="CI19" s="48">
        <v>0.02</v>
      </c>
      <c r="CJ19" s="1">
        <f>CH19*CI19</f>
        <v>1478.925</v>
      </c>
      <c r="CK19" s="48">
        <v>0.01</v>
      </c>
      <c r="CL19" s="1">
        <f>CH19*CK19</f>
        <v>739.46249999999998</v>
      </c>
    </row>
    <row r="20" spans="1:90" ht="30" x14ac:dyDescent="0.25">
      <c r="A20" s="1" t="str">
        <f>Sheet1!A3</f>
        <v>ENQ-15423-22-23</v>
      </c>
      <c r="B20" s="51">
        <v>45691</v>
      </c>
      <c r="C20" s="1" t="str">
        <f>Sheet1!C3</f>
        <v>FA0300006</v>
      </c>
      <c r="D20" s="1" t="str">
        <f>Sheet1!D3</f>
        <v>4 CORE X 2.5 SQ. MM. CU/UNARD.(PVC)</v>
      </c>
      <c r="E20" s="3">
        <f>CH20+CJ20+CL20</f>
        <v>130473.96250000001</v>
      </c>
      <c r="F20" s="64">
        <f t="shared" ref="F20:F21" si="0">ROUNDUP(M26,0)</f>
        <v>1343</v>
      </c>
      <c r="G20" s="9">
        <f t="shared" ref="G20:G21" si="1">E20+F20</f>
        <v>131816.96250000002</v>
      </c>
      <c r="H20" s="7">
        <f>Sheet1!CP3</f>
        <v>0.18</v>
      </c>
      <c r="I20" s="9">
        <f t="shared" ref="I20:I21" si="2">G20*H20</f>
        <v>23727.053250000004</v>
      </c>
      <c r="J20" s="9">
        <f t="shared" ref="J20:J21" si="3">G20+I20</f>
        <v>155544.01575000002</v>
      </c>
      <c r="K20" s="1">
        <f>Sheet1!CS3</f>
        <v>35.747</v>
      </c>
      <c r="L20" s="1" t="str">
        <f>Sheet1!CT3</f>
        <v>KMS</v>
      </c>
      <c r="M20" s="3">
        <f t="shared" ref="M20:M21" si="4">J20*K20</f>
        <v>5560231.9310152503</v>
      </c>
      <c r="N20" s="2">
        <f>+IFERROR(VLOOKUP($N$17,Sheet1!J3:L3,3,0),0)</f>
        <v>0</v>
      </c>
      <c r="O20" s="2">
        <f>+IFERROR(VLOOKUP($O$17,Sheet1!J3:L3,3,0),0)</f>
        <v>0</v>
      </c>
      <c r="P20" s="2">
        <f>+IFERROR(VLOOKUP($P$17,Sheet1!J3:M3,3,0),0)</f>
        <v>89</v>
      </c>
      <c r="Q20" s="2">
        <f>+IFERROR(VLOOKUP($Q$17,Sheet1!J3:M3,3,0),0)</f>
        <v>0</v>
      </c>
      <c r="R20" s="2">
        <f>+IFERROR(VLOOKUP($R$17,Sheet1!J3:M3,3,0),0)</f>
        <v>0</v>
      </c>
      <c r="S20" s="2">
        <f>+IFERROR(VLOOKUP($S$17,Sheet1!N3:Q3,3,0),0)</f>
        <v>0</v>
      </c>
      <c r="T20" s="2">
        <f>+IFERROR(VLOOKUP($T$17,Sheet1!N3:Q3,3,0),0)</f>
        <v>0</v>
      </c>
      <c r="U20" s="2">
        <f>+IFERROR(VLOOKUP($U$17,Sheet1!F3:I3,3,0),0)</f>
        <v>0</v>
      </c>
      <c r="V20" s="2">
        <f>+IFERROR(VLOOKUP($V$17,Sheet1!F3:I3,3,0),0)</f>
        <v>0</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2">
        <f>+IFERROR(VLOOKUP($AC$17,Sheet1!R3:U3,3,0),0)</f>
        <v>0</v>
      </c>
      <c r="AD20" s="15">
        <f>+IFERROR(VLOOKUP($AD$17,Sheet1!R3:U3,2,0),0)</f>
        <v>0</v>
      </c>
      <c r="AE20" s="2">
        <f>+IFERROR(VLOOKUP($AE$17,Sheet1!V3:Y3,3,0),0)</f>
        <v>0</v>
      </c>
      <c r="AF20" s="15">
        <f>+IFERROR(VLOOKUP($AF$17,Sheet1!V3:Y3,3,0),0)</f>
        <v>0</v>
      </c>
      <c r="AG20" s="15">
        <f>+IFERROR(VLOOKUP($AG$17,Sheet1!V3:Y3,3,0),0)</f>
        <v>0</v>
      </c>
      <c r="AH20" s="15"/>
      <c r="AI20" s="15">
        <v>52</v>
      </c>
      <c r="AJ20" s="15">
        <f>+IFERROR(VLOOKUP($AJ$17,Sheet1!V3:Y3,3,0),0)</f>
        <v>0</v>
      </c>
      <c r="AK20" s="15">
        <f>+IFERROR(VLOOKUP($AK$17,Sheet1!Z3:AB3,3,0),0)</f>
        <v>4</v>
      </c>
      <c r="AL20" s="15">
        <f>+IFERROR(VLOOKUP($AL$17,Sheet1!AD3:AG3,3,0),0)</f>
        <v>0</v>
      </c>
      <c r="AM20" s="15">
        <f>+IFERROR(VLOOKUP($AM$17,Sheet1!AD3:AG3,3,0),0)</f>
        <v>0</v>
      </c>
      <c r="AN20" s="15">
        <f>+IFERROR(VLOOKUP($AN$17,Sheet1!AD3:AG3,3,0),0)</f>
        <v>0</v>
      </c>
      <c r="AO20" s="15">
        <f>+IFERROR(VLOOKUP($AO$17,Sheet1!AD3:AG3,3,0),0)</f>
        <v>0</v>
      </c>
      <c r="AP20" s="15">
        <f>+IFERROR(VLOOKUP($AP$17,Sheet1!AD3:AG3,3,0),0)</f>
        <v>0</v>
      </c>
      <c r="AQ20" s="15">
        <f>+IFERROR(VLOOKUP($AQ$17,Sheet1!AD3:AG3,3,0),0)</f>
        <v>27</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0</v>
      </c>
      <c r="AY20" s="15">
        <f>+IFERROR(VLOOKUP($AY$17,Sheet1!AH3:AK3,3,0),0)</f>
        <v>0</v>
      </c>
      <c r="AZ20" s="15">
        <f>+IFERROR(VLOOKUP($AZ$17,Sheet1!AH3:AK3,3,0),0)</f>
        <v>0</v>
      </c>
      <c r="BA20" s="15">
        <f>+IFERROR(VLOOKUP($BA$17,Sheet1!AH3:AK3,3,0),0)</f>
        <v>0</v>
      </c>
      <c r="BB20" s="15">
        <f>+IFERROR(VLOOKUP($BB$17,Sheet1!AH3:AK3,3,0),0)</f>
        <v>0</v>
      </c>
      <c r="BC20" s="15">
        <f>+IFERROR(VLOOKUP($BC$17,Sheet1!AL3:AO3,3,0),0)</f>
        <v>0</v>
      </c>
      <c r="BD20" s="15">
        <f>+IFERROR(VLOOKUP($BD$17,Sheet1!AL3:AO3,3,0),0)</f>
        <v>109</v>
      </c>
      <c r="BE20" s="15">
        <f>+IFERROR(VLOOKUP($BE$17,Sheet1!AL3:AO3,3,0),0)</f>
        <v>0</v>
      </c>
      <c r="BF20" s="15">
        <f>+IFERROR(VLOOKUP($BF$17,Sheet1!AL3:AO3,3,0),0)</f>
        <v>0</v>
      </c>
      <c r="BG20" s="15">
        <f>+IFERROR(VLOOKUP($BG$17,Sheet1!AL3:AO3,3,0),0)</f>
        <v>0</v>
      </c>
      <c r="BH20" s="15">
        <f>+IFERROR(VLOOKUP($BH$17,Sheet1!AL3:AO3,3,0),0)</f>
        <v>0</v>
      </c>
      <c r="BI20" s="15">
        <f>+IFERROR(VLOOKUP($BI$17,Sheet1!AL3:AO3,3,0),0)</f>
        <v>0</v>
      </c>
      <c r="BJ20" s="15">
        <f>+IFERROR(VLOOKUP($BJ$17,Sheet1!AL3:AO3,3,0),0)</f>
        <v>0</v>
      </c>
      <c r="BK20" s="15">
        <f>+IFERROR(VLOOKUP($BK$17,Sheet1!AL3:AO3,3,0),0)</f>
        <v>0</v>
      </c>
      <c r="BL20" s="15">
        <f>+IFERROR(VLOOKUP($BL$17,Sheet1!AL3:AO3,3,0),0)</f>
        <v>0</v>
      </c>
      <c r="BM20" s="15">
        <f>+IFERROR(VLOOKUP($BM$17,Sheet1!AP3:AS3,3,0),0)</f>
        <v>0</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15">
        <f>+IFERROR(VLOOKUP($BU$17,Sheet1!BV3:BY3,3,0),0)</f>
        <v>0</v>
      </c>
      <c r="BV20" s="15" t="str">
        <f>Sheet1!E3</f>
        <v>WOOD</v>
      </c>
      <c r="BW20" s="15" t="str">
        <f>Sheet1!CV3</f>
        <v>MD0100003</v>
      </c>
      <c r="BX20" s="15" t="str">
        <f>Sheet1!CW3</f>
        <v>DRUM - 28 X 14 X 23 X 2</v>
      </c>
      <c r="BY20" s="15">
        <v>500</v>
      </c>
      <c r="BZ20" s="3">
        <f>Sheet1!BZ3</f>
        <v>4260</v>
      </c>
      <c r="CA20" s="3">
        <f>SUMPRODUCT($N$18:$BU$18,N20:BU20)+BZ20</f>
        <v>101339</v>
      </c>
      <c r="CB20" s="27">
        <f>Sheet1!CB3</f>
        <v>0</v>
      </c>
      <c r="CC20" s="3">
        <f t="shared" ref="CC20:CC21" si="5">CA20*CB20</f>
        <v>0</v>
      </c>
      <c r="CD20" s="48">
        <v>0.25</v>
      </c>
      <c r="CE20" s="3">
        <f t="shared" ref="CE20:CE21" si="6">CA20*CD20</f>
        <v>25334.75</v>
      </c>
      <c r="CF20" s="48">
        <v>0</v>
      </c>
      <c r="CG20" s="3">
        <f t="shared" ref="CG20:CG21" si="7">CA20*CF20</f>
        <v>0</v>
      </c>
      <c r="CH20" s="3">
        <f t="shared" ref="CH20:CH21" si="8">CA20+CC20+CE20+CG20</f>
        <v>126673.75</v>
      </c>
      <c r="CI20" s="48">
        <v>0.02</v>
      </c>
      <c r="CJ20" s="1">
        <f t="shared" ref="CJ20:CJ21" si="9">CH20*CI20</f>
        <v>2533.4749999999999</v>
      </c>
      <c r="CK20" s="48">
        <v>0.01</v>
      </c>
      <c r="CL20" s="1">
        <f t="shared" ref="CL20:CL21" si="10">CH20*CK20</f>
        <v>1266.7375</v>
      </c>
    </row>
    <row r="21" spans="1:90" ht="30" x14ac:dyDescent="0.25">
      <c r="A21" s="1" t="str">
        <f>Sheet1!A4</f>
        <v>ENQ-15423-22-23</v>
      </c>
      <c r="B21" s="51">
        <v>45691</v>
      </c>
      <c r="C21" s="1" t="str">
        <f>Sheet1!C4</f>
        <v>FA0300009</v>
      </c>
      <c r="D21" s="1" t="str">
        <f>Sheet1!D4</f>
        <v>7 CORE X 2.5 SQ. MM. CU/UNARD ( PVC )</v>
      </c>
      <c r="E21" s="3">
        <f>CH21+CJ21+CL21</f>
        <v>212028.07499999998</v>
      </c>
      <c r="F21" s="64">
        <f t="shared" si="0"/>
        <v>1788</v>
      </c>
      <c r="G21" s="9">
        <f t="shared" si="1"/>
        <v>213816.07499999998</v>
      </c>
      <c r="H21" s="7">
        <f>Sheet1!CP4</f>
        <v>0.18</v>
      </c>
      <c r="I21" s="9">
        <f t="shared" si="2"/>
        <v>38486.893499999998</v>
      </c>
      <c r="J21" s="9">
        <f t="shared" si="3"/>
        <v>252302.96849999999</v>
      </c>
      <c r="K21" s="1">
        <f>Sheet1!CS4</f>
        <v>40.28</v>
      </c>
      <c r="L21" s="1" t="str">
        <f>Sheet1!CT4</f>
        <v>KMS</v>
      </c>
      <c r="M21" s="3">
        <f t="shared" si="4"/>
        <v>10162763.571179999</v>
      </c>
      <c r="N21" s="2">
        <f>+IFERROR(VLOOKUP($N$17,Sheet1!J4:L4,3,0),0)</f>
        <v>0</v>
      </c>
      <c r="O21" s="2">
        <f>+IFERROR(VLOOKUP($O$17,Sheet1!J4:L4,3,0),0)</f>
        <v>0</v>
      </c>
      <c r="P21" s="2">
        <f>+IFERROR(VLOOKUP($P$17,Sheet1!J4:M4,3,0),0)</f>
        <v>155</v>
      </c>
      <c r="Q21" s="2">
        <f>+IFERROR(VLOOKUP($Q$17,Sheet1!J4:M4,3,0),0)</f>
        <v>0</v>
      </c>
      <c r="R21" s="2">
        <f>+IFERROR(VLOOKUP($R$17,Sheet1!J4:M4,3,0),0)</f>
        <v>0</v>
      </c>
      <c r="S21" s="2">
        <f>+IFERROR(VLOOKUP($S$17,Sheet1!N4:Q4,3,0),0)</f>
        <v>0</v>
      </c>
      <c r="T21" s="2">
        <f>+IFERROR(VLOOKUP($T$17,Sheet1!N4:Q4,3,0),0)</f>
        <v>0</v>
      </c>
      <c r="U21" s="2">
        <f>+IFERROR(VLOOKUP($U$17,Sheet1!F4:I4,3,0),0)</f>
        <v>0</v>
      </c>
      <c r="V21" s="2">
        <f>+IFERROR(VLOOKUP($V$17,Sheet1!F4:I4,3,0),0)</f>
        <v>0</v>
      </c>
      <c r="W21" s="2">
        <f>+IFERROR(VLOOKUP($W$17,Sheet1!F4:I4,3,0),0)</f>
        <v>0</v>
      </c>
      <c r="X21" s="2">
        <f>+IFERROR(VLOOKUP($X$17,Sheet1!F4:I4,3,0),0)</f>
        <v>0</v>
      </c>
      <c r="Y21" s="2">
        <f>+IFERROR(VLOOKUP($Y$17,Sheet1!F4:I4,3,0),0)</f>
        <v>0</v>
      </c>
      <c r="Z21" s="2">
        <f>+IFERROR(VLOOKUP($Z$17,Sheet1!F4:I4,3,0),0)</f>
        <v>0</v>
      </c>
      <c r="AA21" s="2">
        <f>+IFERROR(VLOOKUP($AA$17,Sheet1!F4:I4,3,0),0)</f>
        <v>0</v>
      </c>
      <c r="AB21" s="2">
        <f>+IFERROR(VLOOKUP($AB$17,Sheet1!F4:I4,3,0),0)</f>
        <v>0</v>
      </c>
      <c r="AC21" s="2">
        <f>+IFERROR(VLOOKUP($AC$17,Sheet1!R4:U4,3,0),0)</f>
        <v>0</v>
      </c>
      <c r="AD21" s="15">
        <f>+IFERROR(VLOOKUP($AD$17,Sheet1!R4:U4,2,0),0)</f>
        <v>0</v>
      </c>
      <c r="AE21" s="2">
        <f>+IFERROR(VLOOKUP($AE$17,Sheet1!V4:Y4,3,0),0)</f>
        <v>0</v>
      </c>
      <c r="AF21" s="15">
        <f>+IFERROR(VLOOKUP($AF$17,Sheet1!V4:Y4,3,0),0)</f>
        <v>0</v>
      </c>
      <c r="AG21" s="15">
        <f>+IFERROR(VLOOKUP($AG$17,Sheet1!V4:Y4,3,0),0)</f>
        <v>0</v>
      </c>
      <c r="AH21" s="15"/>
      <c r="AI21" s="15">
        <v>91</v>
      </c>
      <c r="AJ21" s="15">
        <f>+IFERROR(VLOOKUP($AJ$17,Sheet1!V4:Y4,3,0),0)</f>
        <v>0</v>
      </c>
      <c r="AK21" s="15">
        <f>+IFERROR(VLOOKUP($AK$17,Sheet1!Z4:AB4,3,0),0)</f>
        <v>4</v>
      </c>
      <c r="AL21" s="15">
        <f>+IFERROR(VLOOKUP($AL$17,Sheet1!AD4:AG4,3,0),0)</f>
        <v>0</v>
      </c>
      <c r="AM21" s="15">
        <f>+IFERROR(VLOOKUP($AM$17,Sheet1!AD4:AG4,3,0),0)</f>
        <v>0</v>
      </c>
      <c r="AN21" s="15">
        <f>+IFERROR(VLOOKUP($AN$17,Sheet1!AD4:AG4,3,0),0)</f>
        <v>0</v>
      </c>
      <c r="AO21" s="15">
        <f>+IFERROR(VLOOKUP($AO$17,Sheet1!AD4:AG4,3,0),0)</f>
        <v>0</v>
      </c>
      <c r="AP21" s="15">
        <f>+IFERROR(VLOOKUP($AP$17,Sheet1!AD4:AG4,3,0),0)</f>
        <v>0</v>
      </c>
      <c r="AQ21" s="15">
        <f>+IFERROR(VLOOKUP($AQ$17,Sheet1!AD4:AG4,3,0),0)</f>
        <v>27</v>
      </c>
      <c r="AR21" s="15">
        <f>+IFERROR(VLOOKUP($AR$17,Sheet1!AD4:AG4,3,0),0)</f>
        <v>0</v>
      </c>
      <c r="AS21" s="15">
        <f>+IFERROR(VLOOKUP($AS$17,Sheet1!AH4:AK4,3,0),0)</f>
        <v>0</v>
      </c>
      <c r="AT21" s="15">
        <f>+IFERROR(VLOOKUP($AT$17,Sheet1!AH4:AK4,3,0),0)</f>
        <v>0</v>
      </c>
      <c r="AU21" s="15">
        <f>+IFERROR(VLOOKUP($AU$17,Sheet1!AH4:AK4,3,0),0)</f>
        <v>0</v>
      </c>
      <c r="AV21" s="15">
        <f>+IFERROR(VLOOKUP($AV$17,Sheet1!AH4:AK4,3,0),0)</f>
        <v>0</v>
      </c>
      <c r="AW21" s="15">
        <f>+IFERROR(VLOOKUP($AW$17,Sheet1!AH4:AK4,3,0),0)</f>
        <v>0</v>
      </c>
      <c r="AX21" s="15">
        <f>+IFERROR(VLOOKUP($AX$17,Sheet1!AH4:AK4,3,0),0)</f>
        <v>0</v>
      </c>
      <c r="AY21" s="15">
        <f>+IFERROR(VLOOKUP($AY$17,Sheet1!AH4:AK4,3,0),0)</f>
        <v>0</v>
      </c>
      <c r="AZ21" s="15">
        <f>+IFERROR(VLOOKUP($AZ$17,Sheet1!AH4:AK4,3,0),0)</f>
        <v>0</v>
      </c>
      <c r="BA21" s="15">
        <f>+IFERROR(VLOOKUP($BA$17,Sheet1!AH4:AK4,3,0),0)</f>
        <v>0</v>
      </c>
      <c r="BB21" s="15">
        <f>+IFERROR(VLOOKUP($BB$17,Sheet1!AH4:AK4,3,0),0)</f>
        <v>0</v>
      </c>
      <c r="BC21" s="15">
        <f>+IFERROR(VLOOKUP($BC$17,Sheet1!AL4:AO4,3,0),0)</f>
        <v>0</v>
      </c>
      <c r="BD21" s="15">
        <f>+IFERROR(VLOOKUP($BD$17,Sheet1!AL4:AO4,3,0),0)</f>
        <v>117</v>
      </c>
      <c r="BE21" s="15">
        <f>+IFERROR(VLOOKUP($BE$17,Sheet1!AL4:AO4,3,0),0)</f>
        <v>0</v>
      </c>
      <c r="BF21" s="15">
        <f>+IFERROR(VLOOKUP($BF$17,Sheet1!AL4:AO4,3,0),0)</f>
        <v>0</v>
      </c>
      <c r="BG21" s="15">
        <f>+IFERROR(VLOOKUP($BG$17,Sheet1!AL4:AO4,3,0),0)</f>
        <v>0</v>
      </c>
      <c r="BH21" s="15">
        <f>+IFERROR(VLOOKUP($BH$17,Sheet1!AL4:AO4,3,0),0)</f>
        <v>0</v>
      </c>
      <c r="BI21" s="15">
        <f>+IFERROR(VLOOKUP($BI$17,Sheet1!AL4:AO4,3,0),0)</f>
        <v>0</v>
      </c>
      <c r="BJ21" s="15">
        <f>+IFERROR(VLOOKUP($BJ$17,Sheet1!AL4:AO4,3,0),0)</f>
        <v>0</v>
      </c>
      <c r="BK21" s="15">
        <f>+IFERROR(VLOOKUP($BK$17,Sheet1!AL4:AO4,3,0),0)</f>
        <v>0</v>
      </c>
      <c r="BL21" s="15">
        <f>+IFERROR(VLOOKUP($BL$17,Sheet1!AL4:AO4,3,0),0)</f>
        <v>0</v>
      </c>
      <c r="BM21" s="15">
        <f>+IFERROR(VLOOKUP($BM$17,Sheet1!AP4:AS4,3,0),0)</f>
        <v>0</v>
      </c>
      <c r="BN21" s="15">
        <f>+IFERROR(VLOOKUP($BN$17,Sheet1!AT4:AW4,3,0),0)</f>
        <v>0</v>
      </c>
      <c r="BO21" s="15">
        <f>+IFERROR(VLOOKUP($BO$17,Sheet1!AX4:BA4,3,0),0)</f>
        <v>0</v>
      </c>
      <c r="BP21" s="15">
        <f>+IFERROR(VLOOKUP($BP$17,Sheet1!BB4:BE4,3,0),0)</f>
        <v>0</v>
      </c>
      <c r="BQ21" s="15">
        <f>+IFERROR(VLOOKUP($BQ$17,Sheet1!BF4:BI4,3,0),0)</f>
        <v>0</v>
      </c>
      <c r="BR21" s="15">
        <f>+IFERROR(VLOOKUP($BR$17,Sheet1!BJ4:BM4,3,0),0)</f>
        <v>0</v>
      </c>
      <c r="BS21" s="15">
        <f>+IFERROR(VLOOKUP($BS$17,Sheet1!BN4:BQ4,3,0),0)</f>
        <v>0</v>
      </c>
      <c r="BT21" s="15">
        <f>+IFERROR(VLOOKUP($BT$17,Sheet1!BR4:BU4,3,0),0)</f>
        <v>0</v>
      </c>
      <c r="BU21" s="15">
        <f>+IFERROR(VLOOKUP($BU$17,Sheet1!BV4:BY4,3,0),0)</f>
        <v>0</v>
      </c>
      <c r="BV21" s="15" t="str">
        <f>Sheet1!E4</f>
        <v>WOOD</v>
      </c>
      <c r="BW21" s="15" t="str">
        <f>Sheet1!CV4</f>
        <v>MD0100005</v>
      </c>
      <c r="BX21" s="15" t="str">
        <f>Sheet1!CW4</f>
        <v>DRUM - 36 X 14 X 23 X 2</v>
      </c>
      <c r="BY21" s="15">
        <v>500</v>
      </c>
      <c r="BZ21" s="3">
        <f>Sheet1!BZ4</f>
        <v>5170</v>
      </c>
      <c r="CA21" s="3">
        <f>SUMPRODUCT($N$18:$BU$18,N21:BU21)+BZ21</f>
        <v>164682</v>
      </c>
      <c r="CB21" s="27">
        <f>Sheet1!CB4</f>
        <v>0</v>
      </c>
      <c r="CC21" s="3">
        <f t="shared" si="5"/>
        <v>0</v>
      </c>
      <c r="CD21" s="48">
        <v>0.25</v>
      </c>
      <c r="CE21" s="3">
        <f t="shared" si="6"/>
        <v>41170.5</v>
      </c>
      <c r="CF21" s="48">
        <v>0</v>
      </c>
      <c r="CG21" s="3">
        <f t="shared" si="7"/>
        <v>0</v>
      </c>
      <c r="CH21" s="3">
        <f t="shared" si="8"/>
        <v>205852.5</v>
      </c>
      <c r="CI21" s="48">
        <v>0.02</v>
      </c>
      <c r="CJ21" s="1">
        <f t="shared" si="9"/>
        <v>4117.05</v>
      </c>
      <c r="CK21" s="48">
        <v>0.01</v>
      </c>
      <c r="CL21" s="1">
        <f t="shared" si="10"/>
        <v>2058.5250000000001</v>
      </c>
    </row>
    <row r="22" spans="1:90" x14ac:dyDescent="0.25">
      <c r="M22" s="141">
        <f>SUM(M19:M21)</f>
        <v>17460202.23951675</v>
      </c>
    </row>
    <row r="24" spans="1:90" ht="60" x14ac:dyDescent="0.25">
      <c r="E24" s="2" t="s">
        <v>204</v>
      </c>
      <c r="F24" s="2" t="s">
        <v>205</v>
      </c>
      <c r="G24" s="59" t="s">
        <v>206</v>
      </c>
      <c r="H24" s="2" t="s">
        <v>207</v>
      </c>
      <c r="I24" s="2" t="s">
        <v>208</v>
      </c>
      <c r="J24" s="2" t="s">
        <v>209</v>
      </c>
      <c r="K24" s="2" t="s">
        <v>210</v>
      </c>
      <c r="L24" s="2" t="s">
        <v>211</v>
      </c>
      <c r="M24" s="60" t="s">
        <v>212</v>
      </c>
      <c r="AI24" s="30" t="s">
        <v>215</v>
      </c>
      <c r="AK24" s="30" t="s">
        <v>216</v>
      </c>
      <c r="AQ24" s="30" t="s">
        <v>217</v>
      </c>
      <c r="BD24" s="30" t="s">
        <v>218</v>
      </c>
    </row>
    <row r="25" spans="1:90" ht="30" x14ac:dyDescent="0.25">
      <c r="D25" s="30" t="str">
        <f>D19</f>
        <v>2 CORE X 2.5 SQ. MM. CU/UNARD.(PVC)</v>
      </c>
      <c r="E25" s="59">
        <f>K19</f>
        <v>19.013999999999999</v>
      </c>
      <c r="F25" s="61">
        <f>BY19/1000</f>
        <v>0.5</v>
      </c>
      <c r="G25" s="59" t="s">
        <v>213</v>
      </c>
      <c r="H25" s="62">
        <v>24000</v>
      </c>
      <c r="I25" s="61">
        <v>48</v>
      </c>
      <c r="J25" s="59">
        <f>F25*I25</f>
        <v>24</v>
      </c>
      <c r="K25" s="59">
        <f>ROUNDUP((E25/J25),0)</f>
        <v>1</v>
      </c>
      <c r="L25" s="59">
        <f>M25*E25</f>
        <v>24000</v>
      </c>
      <c r="M25" s="63">
        <f>(H25*K25)/E25</f>
        <v>1262.2278321236984</v>
      </c>
      <c r="AI25" s="30">
        <f>SUM(P19:BD19)</f>
        <v>212</v>
      </c>
      <c r="AK25" s="30">
        <f>60+15</f>
        <v>75</v>
      </c>
      <c r="AQ25" s="30">
        <f>((F25*AI25)+AK25)</f>
        <v>181</v>
      </c>
      <c r="BD25" s="30">
        <f>AQ25*I25</f>
        <v>8688</v>
      </c>
    </row>
    <row r="26" spans="1:90" ht="30" x14ac:dyDescent="0.25">
      <c r="D26" s="30" t="str">
        <f>D20</f>
        <v>4 CORE X 2.5 SQ. MM. CU/UNARD.(PVC)</v>
      </c>
      <c r="E26" s="59">
        <f>K20</f>
        <v>35.747</v>
      </c>
      <c r="F26" s="61">
        <f>BY20/1000</f>
        <v>0.5</v>
      </c>
      <c r="G26" s="59" t="s">
        <v>213</v>
      </c>
      <c r="H26" s="62">
        <v>24000</v>
      </c>
      <c r="I26" s="61">
        <v>48</v>
      </c>
      <c r="J26" s="59">
        <f t="shared" ref="J26:J27" si="11">F26*I26</f>
        <v>24</v>
      </c>
      <c r="K26" s="59">
        <f t="shared" ref="K26:K27" si="12">ROUNDUP((E26/J26),0)</f>
        <v>2</v>
      </c>
      <c r="L26" s="59">
        <f t="shared" ref="L26:L27" si="13">M26*E26</f>
        <v>48000</v>
      </c>
      <c r="M26" s="63">
        <f t="shared" ref="M26:M27" si="14">(H26*K26)/E26</f>
        <v>1342.7700226592442</v>
      </c>
      <c r="AI26" s="30">
        <f>SUM(P20:BD20)</f>
        <v>281</v>
      </c>
      <c r="AK26" s="30">
        <f>60+15</f>
        <v>75</v>
      </c>
      <c r="AQ26" s="30">
        <f t="shared" ref="AQ26:AQ27" si="15">((F26*AI26)+AK26)</f>
        <v>215.5</v>
      </c>
      <c r="BD26" s="30">
        <f t="shared" ref="BD26:BD27" si="16">AQ26*I26</f>
        <v>10344</v>
      </c>
    </row>
    <row r="27" spans="1:90" ht="30" x14ac:dyDescent="0.25">
      <c r="D27" s="30" t="str">
        <f>D21</f>
        <v>7 CORE X 2.5 SQ. MM. CU/UNARD ( PVC )</v>
      </c>
      <c r="E27" s="59">
        <f>K21</f>
        <v>40.28</v>
      </c>
      <c r="F27" s="61">
        <f>BY21/1000</f>
        <v>0.5</v>
      </c>
      <c r="G27" s="59" t="s">
        <v>213</v>
      </c>
      <c r="H27" s="62">
        <v>24000</v>
      </c>
      <c r="I27" s="61">
        <v>36</v>
      </c>
      <c r="J27" s="59">
        <f t="shared" si="11"/>
        <v>18</v>
      </c>
      <c r="K27" s="59">
        <f t="shared" si="12"/>
        <v>3</v>
      </c>
      <c r="L27" s="59">
        <f t="shared" si="13"/>
        <v>72000</v>
      </c>
      <c r="M27" s="63">
        <f t="shared" si="14"/>
        <v>1787.4875868917577</v>
      </c>
      <c r="AI27" s="30">
        <f>SUM(P21:BD21)</f>
        <v>394</v>
      </c>
      <c r="AK27" s="30">
        <f>65+20</f>
        <v>85</v>
      </c>
      <c r="AQ27" s="30">
        <f t="shared" si="15"/>
        <v>282</v>
      </c>
      <c r="BD27" s="30">
        <f t="shared" si="16"/>
        <v>10152</v>
      </c>
    </row>
    <row r="29" spans="1:90" ht="30" x14ac:dyDescent="0.25">
      <c r="E29" s="142" t="s">
        <v>260</v>
      </c>
      <c r="F29" s="143" t="s">
        <v>261</v>
      </c>
      <c r="G29" s="143" t="s">
        <v>262</v>
      </c>
      <c r="H29" s="144"/>
    </row>
    <row r="30" spans="1:90" x14ac:dyDescent="0.25">
      <c r="E30" s="145">
        <v>17545009.359999999</v>
      </c>
      <c r="F30" s="141">
        <f>M22</f>
        <v>17460202.23951675</v>
      </c>
      <c r="G30" s="146">
        <f>((F30-E30)/F30)*100</f>
        <v>-0.48571671347145096</v>
      </c>
      <c r="H30" s="144" t="s">
        <v>263</v>
      </c>
    </row>
    <row r="31" spans="1:90" x14ac:dyDescent="0.25">
      <c r="E31" s="145">
        <v>17545009.359999999</v>
      </c>
      <c r="F31" s="141">
        <f>SUMPRODUCT(G19:G21,K19:K21)</f>
        <v>14796781.558912501</v>
      </c>
      <c r="G31" s="146">
        <f>((F31-E31)/F31)*100</f>
        <v>-18.573145721896307</v>
      </c>
      <c r="H31" s="144" t="s">
        <v>264</v>
      </c>
    </row>
  </sheetData>
  <mergeCells count="19">
    <mergeCell ref="B8:R8"/>
    <mergeCell ref="B9:R9"/>
    <mergeCell ref="B10:R10"/>
    <mergeCell ref="A2:R2"/>
    <mergeCell ref="AL16:AR16"/>
    <mergeCell ref="B11:R11"/>
    <mergeCell ref="B12:R12"/>
    <mergeCell ref="B13:R13"/>
    <mergeCell ref="B14:R14"/>
    <mergeCell ref="B4:R4"/>
    <mergeCell ref="B5:R5"/>
    <mergeCell ref="B6:R6"/>
    <mergeCell ref="B7:R7"/>
    <mergeCell ref="AS16:BB16"/>
    <mergeCell ref="N16:R16"/>
    <mergeCell ref="S16:T16"/>
    <mergeCell ref="U16:AB16"/>
    <mergeCell ref="AC16:AD16"/>
    <mergeCell ref="AE16:AJ16"/>
  </mergeCells>
  <dataValidations count="1">
    <dataValidation type="list" allowBlank="1" showInputMessage="1" showErrorMessage="1" sqref="G25:G27" xr:uid="{A55B54FB-FD39-474F-83A4-CD8FB3AA163E}">
      <formula1>$Q$4:$Q$6</formula1>
    </dataValidation>
  </dataValidations>
  <pageMargins left="0.21" right="0.17" top="0.75" bottom="0.75" header="0.3" footer="0.3"/>
  <pageSetup scale="37" fitToHeight="0"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3BA5-3F27-4A76-A4B6-E5F1AAC68489}">
  <sheetPr>
    <tabColor rgb="FFFF0000"/>
  </sheetPr>
  <dimension ref="A1:AR19"/>
  <sheetViews>
    <sheetView showZeros="0" topLeftCell="A10" zoomScaleNormal="100" workbookViewId="0">
      <selection activeCell="I13" sqref="I13"/>
    </sheetView>
  </sheetViews>
  <sheetFormatPr defaultRowHeight="12.75" x14ac:dyDescent="0.2"/>
  <cols>
    <col min="1" max="1" width="41" style="68" customWidth="1"/>
    <col min="2" max="2" width="13.140625" style="68" customWidth="1"/>
    <col min="3" max="3" width="12.7109375" style="68" customWidth="1"/>
    <col min="4" max="4" width="10.42578125" style="68" bestFit="1" customWidth="1"/>
    <col min="5" max="5" width="9.42578125" style="68" bestFit="1" customWidth="1"/>
    <col min="6" max="6" width="9.42578125" style="68" customWidth="1"/>
    <col min="7" max="7" width="9.42578125" style="68" bestFit="1" customWidth="1"/>
    <col min="8" max="8" width="10.42578125" style="68" bestFit="1" customWidth="1"/>
    <col min="9" max="9" width="9.42578125" style="68" bestFit="1" customWidth="1"/>
    <col min="10" max="10" width="10.140625" style="68" bestFit="1" customWidth="1"/>
    <col min="11" max="11" width="9.140625" style="68"/>
    <col min="12" max="13" width="8.42578125" style="68" bestFit="1" customWidth="1"/>
    <col min="14" max="14" width="7.42578125" style="68" customWidth="1"/>
    <col min="15" max="15" width="10.42578125" style="68" bestFit="1" customWidth="1"/>
    <col min="16" max="18" width="12" style="68" bestFit="1" customWidth="1"/>
    <col min="19" max="19" width="10.42578125" style="68" bestFit="1" customWidth="1"/>
    <col min="20" max="20" width="12.28515625" style="68" customWidth="1"/>
    <col min="21" max="21" width="14.42578125" style="68" bestFit="1" customWidth="1"/>
    <col min="22" max="22" width="9.7109375" style="68" bestFit="1" customWidth="1"/>
    <col min="23" max="23" width="9.7109375" style="68" customWidth="1"/>
    <col min="24" max="24" width="7.5703125" style="68" bestFit="1" customWidth="1"/>
    <col min="25" max="25" width="7.28515625" style="68" bestFit="1" customWidth="1"/>
    <col min="26" max="26" width="10.5703125" style="68" customWidth="1"/>
    <col min="27" max="27" width="10.42578125" style="68" bestFit="1" customWidth="1"/>
    <col min="28" max="28" width="9.5703125" style="68" bestFit="1" customWidth="1"/>
    <col min="29" max="29" width="10.5703125" style="68" bestFit="1" customWidth="1"/>
    <col min="30" max="30" width="9.5703125" style="68" bestFit="1" customWidth="1"/>
    <col min="31" max="31" width="7.85546875" style="68" customWidth="1"/>
    <col min="32" max="32" width="6.28515625" style="68" bestFit="1" customWidth="1"/>
    <col min="33" max="33" width="5.28515625" style="68" bestFit="1" customWidth="1"/>
    <col min="34" max="34" width="5" style="68" bestFit="1" customWidth="1"/>
    <col min="35" max="35" width="9.140625" style="68"/>
    <col min="36" max="36" width="10.5703125" style="68" bestFit="1" customWidth="1"/>
    <col min="37" max="37" width="9.140625" style="68"/>
    <col min="38" max="38" width="10.5703125" style="68" bestFit="1" customWidth="1"/>
    <col min="39" max="39" width="11.140625" style="68" bestFit="1" customWidth="1"/>
    <col min="40" max="250" width="9.140625" style="68"/>
    <col min="251" max="251" width="41" style="68" customWidth="1"/>
    <col min="252" max="252" width="13.140625" style="68" customWidth="1"/>
    <col min="253" max="253" width="10.140625" style="68" customWidth="1"/>
    <col min="254" max="254" width="10.42578125" style="68" bestFit="1" customWidth="1"/>
    <col min="255" max="256" width="9.42578125" style="68" bestFit="1" customWidth="1"/>
    <col min="257" max="257" width="10.140625" style="68" bestFit="1" customWidth="1"/>
    <col min="258" max="259" width="9.140625" style="68"/>
    <col min="260" max="260" width="7.28515625" style="68" customWidth="1"/>
    <col min="261" max="261" width="7.42578125" style="68" customWidth="1"/>
    <col min="262" max="262" width="9.42578125" style="68" bestFit="1" customWidth="1"/>
    <col min="263" max="263" width="12" style="68" bestFit="1" customWidth="1"/>
    <col min="264" max="265" width="10" style="68" bestFit="1" customWidth="1"/>
    <col min="266" max="266" width="14.42578125" style="68" bestFit="1" customWidth="1"/>
    <col min="267" max="277" width="0" style="68" hidden="1" customWidth="1"/>
    <col min="278" max="506" width="9.140625" style="68"/>
    <col min="507" max="507" width="41" style="68" customWidth="1"/>
    <col min="508" max="508" width="13.140625" style="68" customWidth="1"/>
    <col min="509" max="509" width="10.140625" style="68" customWidth="1"/>
    <col min="510" max="510" width="10.42578125" style="68" bestFit="1" customWidth="1"/>
    <col min="511" max="512" width="9.42578125" style="68" bestFit="1" customWidth="1"/>
    <col min="513" max="513" width="10.140625" style="68" bestFit="1" customWidth="1"/>
    <col min="514" max="515" width="9.140625" style="68"/>
    <col min="516" max="516" width="7.28515625" style="68" customWidth="1"/>
    <col min="517" max="517" width="7.42578125" style="68" customWidth="1"/>
    <col min="518" max="518" width="9.42578125" style="68" bestFit="1" customWidth="1"/>
    <col min="519" max="519" width="12" style="68" bestFit="1" customWidth="1"/>
    <col min="520" max="521" width="10" style="68" bestFit="1" customWidth="1"/>
    <col min="522" max="522" width="14.42578125" style="68" bestFit="1" customWidth="1"/>
    <col min="523" max="533" width="0" style="68" hidden="1" customWidth="1"/>
    <col min="534" max="762" width="9.140625" style="68"/>
    <col min="763" max="763" width="41" style="68" customWidth="1"/>
    <col min="764" max="764" width="13.140625" style="68" customWidth="1"/>
    <col min="765" max="765" width="10.140625" style="68" customWidth="1"/>
    <col min="766" max="766" width="10.42578125" style="68" bestFit="1" customWidth="1"/>
    <col min="767" max="768" width="9.42578125" style="68" bestFit="1" customWidth="1"/>
    <col min="769" max="769" width="10.140625" style="68" bestFit="1" customWidth="1"/>
    <col min="770" max="771" width="9.140625" style="68"/>
    <col min="772" max="772" width="7.28515625" style="68" customWidth="1"/>
    <col min="773" max="773" width="7.42578125" style="68" customWidth="1"/>
    <col min="774" max="774" width="9.42578125" style="68" bestFit="1" customWidth="1"/>
    <col min="775" max="775" width="12" style="68" bestFit="1" customWidth="1"/>
    <col min="776" max="777" width="10" style="68" bestFit="1" customWidth="1"/>
    <col min="778" max="778" width="14.42578125" style="68" bestFit="1" customWidth="1"/>
    <col min="779" max="789" width="0" style="68" hidden="1" customWidth="1"/>
    <col min="790" max="1018" width="9.140625" style="68"/>
    <col min="1019" max="1019" width="41" style="68" customWidth="1"/>
    <col min="1020" max="1020" width="13.140625" style="68" customWidth="1"/>
    <col min="1021" max="1021" width="10.140625" style="68" customWidth="1"/>
    <col min="1022" max="1022" width="10.42578125" style="68" bestFit="1" customWidth="1"/>
    <col min="1023" max="1024" width="9.42578125" style="68" bestFit="1" customWidth="1"/>
    <col min="1025" max="1025" width="10.140625" style="68" bestFit="1" customWidth="1"/>
    <col min="1026" max="1027" width="9.140625" style="68"/>
    <col min="1028" max="1028" width="7.28515625" style="68" customWidth="1"/>
    <col min="1029" max="1029" width="7.42578125" style="68" customWidth="1"/>
    <col min="1030" max="1030" width="9.42578125" style="68" bestFit="1" customWidth="1"/>
    <col min="1031" max="1031" width="12" style="68" bestFit="1" customWidth="1"/>
    <col min="1032" max="1033" width="10" style="68" bestFit="1" customWidth="1"/>
    <col min="1034" max="1034" width="14.42578125" style="68" bestFit="1" customWidth="1"/>
    <col min="1035" max="1045" width="0" style="68" hidden="1" customWidth="1"/>
    <col min="1046" max="1274" width="9.140625" style="68"/>
    <col min="1275" max="1275" width="41" style="68" customWidth="1"/>
    <col min="1276" max="1276" width="13.140625" style="68" customWidth="1"/>
    <col min="1277" max="1277" width="10.140625" style="68" customWidth="1"/>
    <col min="1278" max="1278" width="10.42578125" style="68" bestFit="1" customWidth="1"/>
    <col min="1279" max="1280" width="9.42578125" style="68" bestFit="1" customWidth="1"/>
    <col min="1281" max="1281" width="10.140625" style="68" bestFit="1" customWidth="1"/>
    <col min="1282" max="1283" width="9.140625" style="68"/>
    <col min="1284" max="1284" width="7.28515625" style="68" customWidth="1"/>
    <col min="1285" max="1285" width="7.42578125" style="68" customWidth="1"/>
    <col min="1286" max="1286" width="9.42578125" style="68" bestFit="1" customWidth="1"/>
    <col min="1287" max="1287" width="12" style="68" bestFit="1" customWidth="1"/>
    <col min="1288" max="1289" width="10" style="68" bestFit="1" customWidth="1"/>
    <col min="1290" max="1290" width="14.42578125" style="68" bestFit="1" customWidth="1"/>
    <col min="1291" max="1301" width="0" style="68" hidden="1" customWidth="1"/>
    <col min="1302" max="1530" width="9.140625" style="68"/>
    <col min="1531" max="1531" width="41" style="68" customWidth="1"/>
    <col min="1532" max="1532" width="13.140625" style="68" customWidth="1"/>
    <col min="1533" max="1533" width="10.140625" style="68" customWidth="1"/>
    <col min="1534" max="1534" width="10.42578125" style="68" bestFit="1" customWidth="1"/>
    <col min="1535" max="1536" width="9.42578125" style="68" bestFit="1" customWidth="1"/>
    <col min="1537" max="1537" width="10.140625" style="68" bestFit="1" customWidth="1"/>
    <col min="1538" max="1539" width="9.140625" style="68"/>
    <col min="1540" max="1540" width="7.28515625" style="68" customWidth="1"/>
    <col min="1541" max="1541" width="7.42578125" style="68" customWidth="1"/>
    <col min="1542" max="1542" width="9.42578125" style="68" bestFit="1" customWidth="1"/>
    <col min="1543" max="1543" width="12" style="68" bestFit="1" customWidth="1"/>
    <col min="1544" max="1545" width="10" style="68" bestFit="1" customWidth="1"/>
    <col min="1546" max="1546" width="14.42578125" style="68" bestFit="1" customWidth="1"/>
    <col min="1547" max="1557" width="0" style="68" hidden="1" customWidth="1"/>
    <col min="1558" max="1786" width="9.140625" style="68"/>
    <col min="1787" max="1787" width="41" style="68" customWidth="1"/>
    <col min="1788" max="1788" width="13.140625" style="68" customWidth="1"/>
    <col min="1789" max="1789" width="10.140625" style="68" customWidth="1"/>
    <col min="1790" max="1790" width="10.42578125" style="68" bestFit="1" customWidth="1"/>
    <col min="1791" max="1792" width="9.42578125" style="68" bestFit="1" customWidth="1"/>
    <col min="1793" max="1793" width="10.140625" style="68" bestFit="1" customWidth="1"/>
    <col min="1794" max="1795" width="9.140625" style="68"/>
    <col min="1796" max="1796" width="7.28515625" style="68" customWidth="1"/>
    <col min="1797" max="1797" width="7.42578125" style="68" customWidth="1"/>
    <col min="1798" max="1798" width="9.42578125" style="68" bestFit="1" customWidth="1"/>
    <col min="1799" max="1799" width="12" style="68" bestFit="1" customWidth="1"/>
    <col min="1800" max="1801" width="10" style="68" bestFit="1" customWidth="1"/>
    <col min="1802" max="1802" width="14.42578125" style="68" bestFit="1" customWidth="1"/>
    <col min="1803" max="1813" width="0" style="68" hidden="1" customWidth="1"/>
    <col min="1814" max="2042" width="9.140625" style="68"/>
    <col min="2043" max="2043" width="41" style="68" customWidth="1"/>
    <col min="2044" max="2044" width="13.140625" style="68" customWidth="1"/>
    <col min="2045" max="2045" width="10.140625" style="68" customWidth="1"/>
    <col min="2046" max="2046" width="10.42578125" style="68" bestFit="1" customWidth="1"/>
    <col min="2047" max="2048" width="9.42578125" style="68" bestFit="1" customWidth="1"/>
    <col min="2049" max="2049" width="10.140625" style="68" bestFit="1" customWidth="1"/>
    <col min="2050" max="2051" width="9.140625" style="68"/>
    <col min="2052" max="2052" width="7.28515625" style="68" customWidth="1"/>
    <col min="2053" max="2053" width="7.42578125" style="68" customWidth="1"/>
    <col min="2054" max="2054" width="9.42578125" style="68" bestFit="1" customWidth="1"/>
    <col min="2055" max="2055" width="12" style="68" bestFit="1" customWidth="1"/>
    <col min="2056" max="2057" width="10" style="68" bestFit="1" customWidth="1"/>
    <col min="2058" max="2058" width="14.42578125" style="68" bestFit="1" customWidth="1"/>
    <col min="2059" max="2069" width="0" style="68" hidden="1" customWidth="1"/>
    <col min="2070" max="2298" width="9.140625" style="68"/>
    <col min="2299" max="2299" width="41" style="68" customWidth="1"/>
    <col min="2300" max="2300" width="13.140625" style="68" customWidth="1"/>
    <col min="2301" max="2301" width="10.140625" style="68" customWidth="1"/>
    <col min="2302" max="2302" width="10.42578125" style="68" bestFit="1" customWidth="1"/>
    <col min="2303" max="2304" width="9.42578125" style="68" bestFit="1" customWidth="1"/>
    <col min="2305" max="2305" width="10.140625" style="68" bestFit="1" customWidth="1"/>
    <col min="2306" max="2307" width="9.140625" style="68"/>
    <col min="2308" max="2308" width="7.28515625" style="68" customWidth="1"/>
    <col min="2309" max="2309" width="7.42578125" style="68" customWidth="1"/>
    <col min="2310" max="2310" width="9.42578125" style="68" bestFit="1" customWidth="1"/>
    <col min="2311" max="2311" width="12" style="68" bestFit="1" customWidth="1"/>
    <col min="2312" max="2313" width="10" style="68" bestFit="1" customWidth="1"/>
    <col min="2314" max="2314" width="14.42578125" style="68" bestFit="1" customWidth="1"/>
    <col min="2315" max="2325" width="0" style="68" hidden="1" customWidth="1"/>
    <col min="2326" max="2554" width="9.140625" style="68"/>
    <col min="2555" max="2555" width="41" style="68" customWidth="1"/>
    <col min="2556" max="2556" width="13.140625" style="68" customWidth="1"/>
    <col min="2557" max="2557" width="10.140625" style="68" customWidth="1"/>
    <col min="2558" max="2558" width="10.42578125" style="68" bestFit="1" customWidth="1"/>
    <col min="2559" max="2560" width="9.42578125" style="68" bestFit="1" customWidth="1"/>
    <col min="2561" max="2561" width="10.140625" style="68" bestFit="1" customWidth="1"/>
    <col min="2562" max="2563" width="9.140625" style="68"/>
    <col min="2564" max="2564" width="7.28515625" style="68" customWidth="1"/>
    <col min="2565" max="2565" width="7.42578125" style="68" customWidth="1"/>
    <col min="2566" max="2566" width="9.42578125" style="68" bestFit="1" customWidth="1"/>
    <col min="2567" max="2567" width="12" style="68" bestFit="1" customWidth="1"/>
    <col min="2568" max="2569" width="10" style="68" bestFit="1" customWidth="1"/>
    <col min="2570" max="2570" width="14.42578125" style="68" bestFit="1" customWidth="1"/>
    <col min="2571" max="2581" width="0" style="68" hidden="1" customWidth="1"/>
    <col min="2582" max="2810" width="9.140625" style="68"/>
    <col min="2811" max="2811" width="41" style="68" customWidth="1"/>
    <col min="2812" max="2812" width="13.140625" style="68" customWidth="1"/>
    <col min="2813" max="2813" width="10.140625" style="68" customWidth="1"/>
    <col min="2814" max="2814" width="10.42578125" style="68" bestFit="1" customWidth="1"/>
    <col min="2815" max="2816" width="9.42578125" style="68" bestFit="1" customWidth="1"/>
    <col min="2817" max="2817" width="10.140625" style="68" bestFit="1" customWidth="1"/>
    <col min="2818" max="2819" width="9.140625" style="68"/>
    <col min="2820" max="2820" width="7.28515625" style="68" customWidth="1"/>
    <col min="2821" max="2821" width="7.42578125" style="68" customWidth="1"/>
    <col min="2822" max="2822" width="9.42578125" style="68" bestFit="1" customWidth="1"/>
    <col min="2823" max="2823" width="12" style="68" bestFit="1" customWidth="1"/>
    <col min="2824" max="2825" width="10" style="68" bestFit="1" customWidth="1"/>
    <col min="2826" max="2826" width="14.42578125" style="68" bestFit="1" customWidth="1"/>
    <col min="2827" max="2837" width="0" style="68" hidden="1" customWidth="1"/>
    <col min="2838" max="3066" width="9.140625" style="68"/>
    <col min="3067" max="3067" width="41" style="68" customWidth="1"/>
    <col min="3068" max="3068" width="13.140625" style="68" customWidth="1"/>
    <col min="3069" max="3069" width="10.140625" style="68" customWidth="1"/>
    <col min="3070" max="3070" width="10.42578125" style="68" bestFit="1" customWidth="1"/>
    <col min="3071" max="3072" width="9.42578125" style="68" bestFit="1" customWidth="1"/>
    <col min="3073" max="3073" width="10.140625" style="68" bestFit="1" customWidth="1"/>
    <col min="3074" max="3075" width="9.140625" style="68"/>
    <col min="3076" max="3076" width="7.28515625" style="68" customWidth="1"/>
    <col min="3077" max="3077" width="7.42578125" style="68" customWidth="1"/>
    <col min="3078" max="3078" width="9.42578125" style="68" bestFit="1" customWidth="1"/>
    <col min="3079" max="3079" width="12" style="68" bestFit="1" customWidth="1"/>
    <col min="3080" max="3081" width="10" style="68" bestFit="1" customWidth="1"/>
    <col min="3082" max="3082" width="14.42578125" style="68" bestFit="1" customWidth="1"/>
    <col min="3083" max="3093" width="0" style="68" hidden="1" customWidth="1"/>
    <col min="3094" max="3322" width="9.140625" style="68"/>
    <col min="3323" max="3323" width="41" style="68" customWidth="1"/>
    <col min="3324" max="3324" width="13.140625" style="68" customWidth="1"/>
    <col min="3325" max="3325" width="10.140625" style="68" customWidth="1"/>
    <col min="3326" max="3326" width="10.42578125" style="68" bestFit="1" customWidth="1"/>
    <col min="3327" max="3328" width="9.42578125" style="68" bestFit="1" customWidth="1"/>
    <col min="3329" max="3329" width="10.140625" style="68" bestFit="1" customWidth="1"/>
    <col min="3330" max="3331" width="9.140625" style="68"/>
    <col min="3332" max="3332" width="7.28515625" style="68" customWidth="1"/>
    <col min="3333" max="3333" width="7.42578125" style="68" customWidth="1"/>
    <col min="3334" max="3334" width="9.42578125" style="68" bestFit="1" customWidth="1"/>
    <col min="3335" max="3335" width="12" style="68" bestFit="1" customWidth="1"/>
    <col min="3336" max="3337" width="10" style="68" bestFit="1" customWidth="1"/>
    <col min="3338" max="3338" width="14.42578125" style="68" bestFit="1" customWidth="1"/>
    <col min="3339" max="3349" width="0" style="68" hidden="1" customWidth="1"/>
    <col min="3350" max="3578" width="9.140625" style="68"/>
    <col min="3579" max="3579" width="41" style="68" customWidth="1"/>
    <col min="3580" max="3580" width="13.140625" style="68" customWidth="1"/>
    <col min="3581" max="3581" width="10.140625" style="68" customWidth="1"/>
    <col min="3582" max="3582" width="10.42578125" style="68" bestFit="1" customWidth="1"/>
    <col min="3583" max="3584" width="9.42578125" style="68" bestFit="1" customWidth="1"/>
    <col min="3585" max="3585" width="10.140625" style="68" bestFit="1" customWidth="1"/>
    <col min="3586" max="3587" width="9.140625" style="68"/>
    <col min="3588" max="3588" width="7.28515625" style="68" customWidth="1"/>
    <col min="3589" max="3589" width="7.42578125" style="68" customWidth="1"/>
    <col min="3590" max="3590" width="9.42578125" style="68" bestFit="1" customWidth="1"/>
    <col min="3591" max="3591" width="12" style="68" bestFit="1" customWidth="1"/>
    <col min="3592" max="3593" width="10" style="68" bestFit="1" customWidth="1"/>
    <col min="3594" max="3594" width="14.42578125" style="68" bestFit="1" customWidth="1"/>
    <col min="3595" max="3605" width="0" style="68" hidden="1" customWidth="1"/>
    <col min="3606" max="3834" width="9.140625" style="68"/>
    <col min="3835" max="3835" width="41" style="68" customWidth="1"/>
    <col min="3836" max="3836" width="13.140625" style="68" customWidth="1"/>
    <col min="3837" max="3837" width="10.140625" style="68" customWidth="1"/>
    <col min="3838" max="3838" width="10.42578125" style="68" bestFit="1" customWidth="1"/>
    <col min="3839" max="3840" width="9.42578125" style="68" bestFit="1" customWidth="1"/>
    <col min="3841" max="3841" width="10.140625" style="68" bestFit="1" customWidth="1"/>
    <col min="3842" max="3843" width="9.140625" style="68"/>
    <col min="3844" max="3844" width="7.28515625" style="68" customWidth="1"/>
    <col min="3845" max="3845" width="7.42578125" style="68" customWidth="1"/>
    <col min="3846" max="3846" width="9.42578125" style="68" bestFit="1" customWidth="1"/>
    <col min="3847" max="3847" width="12" style="68" bestFit="1" customWidth="1"/>
    <col min="3848" max="3849" width="10" style="68" bestFit="1" customWidth="1"/>
    <col min="3850" max="3850" width="14.42578125" style="68" bestFit="1" customWidth="1"/>
    <col min="3851" max="3861" width="0" style="68" hidden="1" customWidth="1"/>
    <col min="3862" max="4090" width="9.140625" style="68"/>
    <col min="4091" max="4091" width="41" style="68" customWidth="1"/>
    <col min="4092" max="4092" width="13.140625" style="68" customWidth="1"/>
    <col min="4093" max="4093" width="10.140625" style="68" customWidth="1"/>
    <col min="4094" max="4094" width="10.42578125" style="68" bestFit="1" customWidth="1"/>
    <col min="4095" max="4096" width="9.42578125" style="68" bestFit="1" customWidth="1"/>
    <col min="4097" max="4097" width="10.140625" style="68" bestFit="1" customWidth="1"/>
    <col min="4098" max="4099" width="9.140625" style="68"/>
    <col min="4100" max="4100" width="7.28515625" style="68" customWidth="1"/>
    <col min="4101" max="4101" width="7.42578125" style="68" customWidth="1"/>
    <col min="4102" max="4102" width="9.42578125" style="68" bestFit="1" customWidth="1"/>
    <col min="4103" max="4103" width="12" style="68" bestFit="1" customWidth="1"/>
    <col min="4104" max="4105" width="10" style="68" bestFit="1" customWidth="1"/>
    <col min="4106" max="4106" width="14.42578125" style="68" bestFit="1" customWidth="1"/>
    <col min="4107" max="4117" width="0" style="68" hidden="1" customWidth="1"/>
    <col min="4118" max="4346" width="9.140625" style="68"/>
    <col min="4347" max="4347" width="41" style="68" customWidth="1"/>
    <col min="4348" max="4348" width="13.140625" style="68" customWidth="1"/>
    <col min="4349" max="4349" width="10.140625" style="68" customWidth="1"/>
    <col min="4350" max="4350" width="10.42578125" style="68" bestFit="1" customWidth="1"/>
    <col min="4351" max="4352" width="9.42578125" style="68" bestFit="1" customWidth="1"/>
    <col min="4353" max="4353" width="10.140625" style="68" bestFit="1" customWidth="1"/>
    <col min="4354" max="4355" width="9.140625" style="68"/>
    <col min="4356" max="4356" width="7.28515625" style="68" customWidth="1"/>
    <col min="4357" max="4357" width="7.42578125" style="68" customWidth="1"/>
    <col min="4358" max="4358" width="9.42578125" style="68" bestFit="1" customWidth="1"/>
    <col min="4359" max="4359" width="12" style="68" bestFit="1" customWidth="1"/>
    <col min="4360" max="4361" width="10" style="68" bestFit="1" customWidth="1"/>
    <col min="4362" max="4362" width="14.42578125" style="68" bestFit="1" customWidth="1"/>
    <col min="4363" max="4373" width="0" style="68" hidden="1" customWidth="1"/>
    <col min="4374" max="4602" width="9.140625" style="68"/>
    <col min="4603" max="4603" width="41" style="68" customWidth="1"/>
    <col min="4604" max="4604" width="13.140625" style="68" customWidth="1"/>
    <col min="4605" max="4605" width="10.140625" style="68" customWidth="1"/>
    <col min="4606" max="4606" width="10.42578125" style="68" bestFit="1" customWidth="1"/>
    <col min="4607" max="4608" width="9.42578125" style="68" bestFit="1" customWidth="1"/>
    <col min="4609" max="4609" width="10.140625" style="68" bestFit="1" customWidth="1"/>
    <col min="4610" max="4611" width="9.140625" style="68"/>
    <col min="4612" max="4612" width="7.28515625" style="68" customWidth="1"/>
    <col min="4613" max="4613" width="7.42578125" style="68" customWidth="1"/>
    <col min="4614" max="4614" width="9.42578125" style="68" bestFit="1" customWidth="1"/>
    <col min="4615" max="4615" width="12" style="68" bestFit="1" customWidth="1"/>
    <col min="4616" max="4617" width="10" style="68" bestFit="1" customWidth="1"/>
    <col min="4618" max="4618" width="14.42578125" style="68" bestFit="1" customWidth="1"/>
    <col min="4619" max="4629" width="0" style="68" hidden="1" customWidth="1"/>
    <col min="4630" max="4858" width="9.140625" style="68"/>
    <col min="4859" max="4859" width="41" style="68" customWidth="1"/>
    <col min="4860" max="4860" width="13.140625" style="68" customWidth="1"/>
    <col min="4861" max="4861" width="10.140625" style="68" customWidth="1"/>
    <col min="4862" max="4862" width="10.42578125" style="68" bestFit="1" customWidth="1"/>
    <col min="4863" max="4864" width="9.42578125" style="68" bestFit="1" customWidth="1"/>
    <col min="4865" max="4865" width="10.140625" style="68" bestFit="1" customWidth="1"/>
    <col min="4866" max="4867" width="9.140625" style="68"/>
    <col min="4868" max="4868" width="7.28515625" style="68" customWidth="1"/>
    <col min="4869" max="4869" width="7.42578125" style="68" customWidth="1"/>
    <col min="4870" max="4870" width="9.42578125" style="68" bestFit="1" customWidth="1"/>
    <col min="4871" max="4871" width="12" style="68" bestFit="1" customWidth="1"/>
    <col min="4872" max="4873" width="10" style="68" bestFit="1" customWidth="1"/>
    <col min="4874" max="4874" width="14.42578125" style="68" bestFit="1" customWidth="1"/>
    <col min="4875" max="4885" width="0" style="68" hidden="1" customWidth="1"/>
    <col min="4886" max="5114" width="9.140625" style="68"/>
    <col min="5115" max="5115" width="41" style="68" customWidth="1"/>
    <col min="5116" max="5116" width="13.140625" style="68" customWidth="1"/>
    <col min="5117" max="5117" width="10.140625" style="68" customWidth="1"/>
    <col min="5118" max="5118" width="10.42578125" style="68" bestFit="1" customWidth="1"/>
    <col min="5119" max="5120" width="9.42578125" style="68" bestFit="1" customWidth="1"/>
    <col min="5121" max="5121" width="10.140625" style="68" bestFit="1" customWidth="1"/>
    <col min="5122" max="5123" width="9.140625" style="68"/>
    <col min="5124" max="5124" width="7.28515625" style="68" customWidth="1"/>
    <col min="5125" max="5125" width="7.42578125" style="68" customWidth="1"/>
    <col min="5126" max="5126" width="9.42578125" style="68" bestFit="1" customWidth="1"/>
    <col min="5127" max="5127" width="12" style="68" bestFit="1" customWidth="1"/>
    <col min="5128" max="5129" width="10" style="68" bestFit="1" customWidth="1"/>
    <col min="5130" max="5130" width="14.42578125" style="68" bestFit="1" customWidth="1"/>
    <col min="5131" max="5141" width="0" style="68" hidden="1" customWidth="1"/>
    <col min="5142" max="5370" width="9.140625" style="68"/>
    <col min="5371" max="5371" width="41" style="68" customWidth="1"/>
    <col min="5372" max="5372" width="13.140625" style="68" customWidth="1"/>
    <col min="5373" max="5373" width="10.140625" style="68" customWidth="1"/>
    <col min="5374" max="5374" width="10.42578125" style="68" bestFit="1" customWidth="1"/>
    <col min="5375" max="5376" width="9.42578125" style="68" bestFit="1" customWidth="1"/>
    <col min="5377" max="5377" width="10.140625" style="68" bestFit="1" customWidth="1"/>
    <col min="5378" max="5379" width="9.140625" style="68"/>
    <col min="5380" max="5380" width="7.28515625" style="68" customWidth="1"/>
    <col min="5381" max="5381" width="7.42578125" style="68" customWidth="1"/>
    <col min="5382" max="5382" width="9.42578125" style="68" bestFit="1" customWidth="1"/>
    <col min="5383" max="5383" width="12" style="68" bestFit="1" customWidth="1"/>
    <col min="5384" max="5385" width="10" style="68" bestFit="1" customWidth="1"/>
    <col min="5386" max="5386" width="14.42578125" style="68" bestFit="1" customWidth="1"/>
    <col min="5387" max="5397" width="0" style="68" hidden="1" customWidth="1"/>
    <col min="5398" max="5626" width="9.140625" style="68"/>
    <col min="5627" max="5627" width="41" style="68" customWidth="1"/>
    <col min="5628" max="5628" width="13.140625" style="68" customWidth="1"/>
    <col min="5629" max="5629" width="10.140625" style="68" customWidth="1"/>
    <col min="5630" max="5630" width="10.42578125" style="68" bestFit="1" customWidth="1"/>
    <col min="5631" max="5632" width="9.42578125" style="68" bestFit="1" customWidth="1"/>
    <col min="5633" max="5633" width="10.140625" style="68" bestFit="1" customWidth="1"/>
    <col min="5634" max="5635" width="9.140625" style="68"/>
    <col min="5636" max="5636" width="7.28515625" style="68" customWidth="1"/>
    <col min="5637" max="5637" width="7.42578125" style="68" customWidth="1"/>
    <col min="5638" max="5638" width="9.42578125" style="68" bestFit="1" customWidth="1"/>
    <col min="5639" max="5639" width="12" style="68" bestFit="1" customWidth="1"/>
    <col min="5640" max="5641" width="10" style="68" bestFit="1" customWidth="1"/>
    <col min="5642" max="5642" width="14.42578125" style="68" bestFit="1" customWidth="1"/>
    <col min="5643" max="5653" width="0" style="68" hidden="1" customWidth="1"/>
    <col min="5654" max="5882" width="9.140625" style="68"/>
    <col min="5883" max="5883" width="41" style="68" customWidth="1"/>
    <col min="5884" max="5884" width="13.140625" style="68" customWidth="1"/>
    <col min="5885" max="5885" width="10.140625" style="68" customWidth="1"/>
    <col min="5886" max="5886" width="10.42578125" style="68" bestFit="1" customWidth="1"/>
    <col min="5887" max="5888" width="9.42578125" style="68" bestFit="1" customWidth="1"/>
    <col min="5889" max="5889" width="10.140625" style="68" bestFit="1" customWidth="1"/>
    <col min="5890" max="5891" width="9.140625" style="68"/>
    <col min="5892" max="5892" width="7.28515625" style="68" customWidth="1"/>
    <col min="5893" max="5893" width="7.42578125" style="68" customWidth="1"/>
    <col min="5894" max="5894" width="9.42578125" style="68" bestFit="1" customWidth="1"/>
    <col min="5895" max="5895" width="12" style="68" bestFit="1" customWidth="1"/>
    <col min="5896" max="5897" width="10" style="68" bestFit="1" customWidth="1"/>
    <col min="5898" max="5898" width="14.42578125" style="68" bestFit="1" customWidth="1"/>
    <col min="5899" max="5909" width="0" style="68" hidden="1" customWidth="1"/>
    <col min="5910" max="6138" width="9.140625" style="68"/>
    <col min="6139" max="6139" width="41" style="68" customWidth="1"/>
    <col min="6140" max="6140" width="13.140625" style="68" customWidth="1"/>
    <col min="6141" max="6141" width="10.140625" style="68" customWidth="1"/>
    <col min="6142" max="6142" width="10.42578125" style="68" bestFit="1" customWidth="1"/>
    <col min="6143" max="6144" width="9.42578125" style="68" bestFit="1" customWidth="1"/>
    <col min="6145" max="6145" width="10.140625" style="68" bestFit="1" customWidth="1"/>
    <col min="6146" max="6147" width="9.140625" style="68"/>
    <col min="6148" max="6148" width="7.28515625" style="68" customWidth="1"/>
    <col min="6149" max="6149" width="7.42578125" style="68" customWidth="1"/>
    <col min="6150" max="6150" width="9.42578125" style="68" bestFit="1" customWidth="1"/>
    <col min="6151" max="6151" width="12" style="68" bestFit="1" customWidth="1"/>
    <col min="6152" max="6153" width="10" style="68" bestFit="1" customWidth="1"/>
    <col min="6154" max="6154" width="14.42578125" style="68" bestFit="1" customWidth="1"/>
    <col min="6155" max="6165" width="0" style="68" hidden="1" customWidth="1"/>
    <col min="6166" max="6394" width="9.140625" style="68"/>
    <col min="6395" max="6395" width="41" style="68" customWidth="1"/>
    <col min="6396" max="6396" width="13.140625" style="68" customWidth="1"/>
    <col min="6397" max="6397" width="10.140625" style="68" customWidth="1"/>
    <col min="6398" max="6398" width="10.42578125" style="68" bestFit="1" customWidth="1"/>
    <col min="6399" max="6400" width="9.42578125" style="68" bestFit="1" customWidth="1"/>
    <col min="6401" max="6401" width="10.140625" style="68" bestFit="1" customWidth="1"/>
    <col min="6402" max="6403" width="9.140625" style="68"/>
    <col min="6404" max="6404" width="7.28515625" style="68" customWidth="1"/>
    <col min="6405" max="6405" width="7.42578125" style="68" customWidth="1"/>
    <col min="6406" max="6406" width="9.42578125" style="68" bestFit="1" customWidth="1"/>
    <col min="6407" max="6407" width="12" style="68" bestFit="1" customWidth="1"/>
    <col min="6408" max="6409" width="10" style="68" bestFit="1" customWidth="1"/>
    <col min="6410" max="6410" width="14.42578125" style="68" bestFit="1" customWidth="1"/>
    <col min="6411" max="6421" width="0" style="68" hidden="1" customWidth="1"/>
    <col min="6422" max="6650" width="9.140625" style="68"/>
    <col min="6651" max="6651" width="41" style="68" customWidth="1"/>
    <col min="6652" max="6652" width="13.140625" style="68" customWidth="1"/>
    <col min="6653" max="6653" width="10.140625" style="68" customWidth="1"/>
    <col min="6654" max="6654" width="10.42578125" style="68" bestFit="1" customWidth="1"/>
    <col min="6655" max="6656" width="9.42578125" style="68" bestFit="1" customWidth="1"/>
    <col min="6657" max="6657" width="10.140625" style="68" bestFit="1" customWidth="1"/>
    <col min="6658" max="6659" width="9.140625" style="68"/>
    <col min="6660" max="6660" width="7.28515625" style="68" customWidth="1"/>
    <col min="6661" max="6661" width="7.42578125" style="68" customWidth="1"/>
    <col min="6662" max="6662" width="9.42578125" style="68" bestFit="1" customWidth="1"/>
    <col min="6663" max="6663" width="12" style="68" bestFit="1" customWidth="1"/>
    <col min="6664" max="6665" width="10" style="68" bestFit="1" customWidth="1"/>
    <col min="6666" max="6666" width="14.42578125" style="68" bestFit="1" customWidth="1"/>
    <col min="6667" max="6677" width="0" style="68" hidden="1" customWidth="1"/>
    <col min="6678" max="6906" width="9.140625" style="68"/>
    <col min="6907" max="6907" width="41" style="68" customWidth="1"/>
    <col min="6908" max="6908" width="13.140625" style="68" customWidth="1"/>
    <col min="6909" max="6909" width="10.140625" style="68" customWidth="1"/>
    <col min="6910" max="6910" width="10.42578125" style="68" bestFit="1" customWidth="1"/>
    <col min="6911" max="6912" width="9.42578125" style="68" bestFit="1" customWidth="1"/>
    <col min="6913" max="6913" width="10.140625" style="68" bestFit="1" customWidth="1"/>
    <col min="6914" max="6915" width="9.140625" style="68"/>
    <col min="6916" max="6916" width="7.28515625" style="68" customWidth="1"/>
    <col min="6917" max="6917" width="7.42578125" style="68" customWidth="1"/>
    <col min="6918" max="6918" width="9.42578125" style="68" bestFit="1" customWidth="1"/>
    <col min="6919" max="6919" width="12" style="68" bestFit="1" customWidth="1"/>
    <col min="6920" max="6921" width="10" style="68" bestFit="1" customWidth="1"/>
    <col min="6922" max="6922" width="14.42578125" style="68" bestFit="1" customWidth="1"/>
    <col min="6923" max="6933" width="0" style="68" hidden="1" customWidth="1"/>
    <col min="6934" max="7162" width="9.140625" style="68"/>
    <col min="7163" max="7163" width="41" style="68" customWidth="1"/>
    <col min="7164" max="7164" width="13.140625" style="68" customWidth="1"/>
    <col min="7165" max="7165" width="10.140625" style="68" customWidth="1"/>
    <col min="7166" max="7166" width="10.42578125" style="68" bestFit="1" customWidth="1"/>
    <col min="7167" max="7168" width="9.42578125" style="68" bestFit="1" customWidth="1"/>
    <col min="7169" max="7169" width="10.140625" style="68" bestFit="1" customWidth="1"/>
    <col min="7170" max="7171" width="9.140625" style="68"/>
    <col min="7172" max="7172" width="7.28515625" style="68" customWidth="1"/>
    <col min="7173" max="7173" width="7.42578125" style="68" customWidth="1"/>
    <col min="7174" max="7174" width="9.42578125" style="68" bestFit="1" customWidth="1"/>
    <col min="7175" max="7175" width="12" style="68" bestFit="1" customWidth="1"/>
    <col min="7176" max="7177" width="10" style="68" bestFit="1" customWidth="1"/>
    <col min="7178" max="7178" width="14.42578125" style="68" bestFit="1" customWidth="1"/>
    <col min="7179" max="7189" width="0" style="68" hidden="1" customWidth="1"/>
    <col min="7190" max="7418" width="9.140625" style="68"/>
    <col min="7419" max="7419" width="41" style="68" customWidth="1"/>
    <col min="7420" max="7420" width="13.140625" style="68" customWidth="1"/>
    <col min="7421" max="7421" width="10.140625" style="68" customWidth="1"/>
    <col min="7422" max="7422" width="10.42578125" style="68" bestFit="1" customWidth="1"/>
    <col min="7423" max="7424" width="9.42578125" style="68" bestFit="1" customWidth="1"/>
    <col min="7425" max="7425" width="10.140625" style="68" bestFit="1" customWidth="1"/>
    <col min="7426" max="7427" width="9.140625" style="68"/>
    <col min="7428" max="7428" width="7.28515625" style="68" customWidth="1"/>
    <col min="7429" max="7429" width="7.42578125" style="68" customWidth="1"/>
    <col min="7430" max="7430" width="9.42578125" style="68" bestFit="1" customWidth="1"/>
    <col min="7431" max="7431" width="12" style="68" bestFit="1" customWidth="1"/>
    <col min="7432" max="7433" width="10" style="68" bestFit="1" customWidth="1"/>
    <col min="7434" max="7434" width="14.42578125" style="68" bestFit="1" customWidth="1"/>
    <col min="7435" max="7445" width="0" style="68" hidden="1" customWidth="1"/>
    <col min="7446" max="7674" width="9.140625" style="68"/>
    <col min="7675" max="7675" width="41" style="68" customWidth="1"/>
    <col min="7676" max="7676" width="13.140625" style="68" customWidth="1"/>
    <col min="7677" max="7677" width="10.140625" style="68" customWidth="1"/>
    <col min="7678" max="7678" width="10.42578125" style="68" bestFit="1" customWidth="1"/>
    <col min="7679" max="7680" width="9.42578125" style="68" bestFit="1" customWidth="1"/>
    <col min="7681" max="7681" width="10.140625" style="68" bestFit="1" customWidth="1"/>
    <col min="7682" max="7683" width="9.140625" style="68"/>
    <col min="7684" max="7684" width="7.28515625" style="68" customWidth="1"/>
    <col min="7685" max="7685" width="7.42578125" style="68" customWidth="1"/>
    <col min="7686" max="7686" width="9.42578125" style="68" bestFit="1" customWidth="1"/>
    <col min="7687" max="7687" width="12" style="68" bestFit="1" customWidth="1"/>
    <col min="7688" max="7689" width="10" style="68" bestFit="1" customWidth="1"/>
    <col min="7690" max="7690" width="14.42578125" style="68" bestFit="1" customWidth="1"/>
    <col min="7691" max="7701" width="0" style="68" hidden="1" customWidth="1"/>
    <col min="7702" max="7930" width="9.140625" style="68"/>
    <col min="7931" max="7931" width="41" style="68" customWidth="1"/>
    <col min="7932" max="7932" width="13.140625" style="68" customWidth="1"/>
    <col min="7933" max="7933" width="10.140625" style="68" customWidth="1"/>
    <col min="7934" max="7934" width="10.42578125" style="68" bestFit="1" customWidth="1"/>
    <col min="7935" max="7936" width="9.42578125" style="68" bestFit="1" customWidth="1"/>
    <col min="7937" max="7937" width="10.140625" style="68" bestFit="1" customWidth="1"/>
    <col min="7938" max="7939" width="9.140625" style="68"/>
    <col min="7940" max="7940" width="7.28515625" style="68" customWidth="1"/>
    <col min="7941" max="7941" width="7.42578125" style="68" customWidth="1"/>
    <col min="7942" max="7942" width="9.42578125" style="68" bestFit="1" customWidth="1"/>
    <col min="7943" max="7943" width="12" style="68" bestFit="1" customWidth="1"/>
    <col min="7944" max="7945" width="10" style="68" bestFit="1" customWidth="1"/>
    <col min="7946" max="7946" width="14.42578125" style="68" bestFit="1" customWidth="1"/>
    <col min="7947" max="7957" width="0" style="68" hidden="1" customWidth="1"/>
    <col min="7958" max="8186" width="9.140625" style="68"/>
    <col min="8187" max="8187" width="41" style="68" customWidth="1"/>
    <col min="8188" max="8188" width="13.140625" style="68" customWidth="1"/>
    <col min="8189" max="8189" width="10.140625" style="68" customWidth="1"/>
    <col min="8190" max="8190" width="10.42578125" style="68" bestFit="1" customWidth="1"/>
    <col min="8191" max="8192" width="9.42578125" style="68" bestFit="1" customWidth="1"/>
    <col min="8193" max="8193" width="10.140625" style="68" bestFit="1" customWidth="1"/>
    <col min="8194" max="8195" width="9.140625" style="68"/>
    <col min="8196" max="8196" width="7.28515625" style="68" customWidth="1"/>
    <col min="8197" max="8197" width="7.42578125" style="68" customWidth="1"/>
    <col min="8198" max="8198" width="9.42578125" style="68" bestFit="1" customWidth="1"/>
    <col min="8199" max="8199" width="12" style="68" bestFit="1" customWidth="1"/>
    <col min="8200" max="8201" width="10" style="68" bestFit="1" customWidth="1"/>
    <col min="8202" max="8202" width="14.42578125" style="68" bestFit="1" customWidth="1"/>
    <col min="8203" max="8213" width="0" style="68" hidden="1" customWidth="1"/>
    <col min="8214" max="8442" width="9.140625" style="68"/>
    <col min="8443" max="8443" width="41" style="68" customWidth="1"/>
    <col min="8444" max="8444" width="13.140625" style="68" customWidth="1"/>
    <col min="8445" max="8445" width="10.140625" style="68" customWidth="1"/>
    <col min="8446" max="8446" width="10.42578125" style="68" bestFit="1" customWidth="1"/>
    <col min="8447" max="8448" width="9.42578125" style="68" bestFit="1" customWidth="1"/>
    <col min="8449" max="8449" width="10.140625" style="68" bestFit="1" customWidth="1"/>
    <col min="8450" max="8451" width="9.140625" style="68"/>
    <col min="8452" max="8452" width="7.28515625" style="68" customWidth="1"/>
    <col min="8453" max="8453" width="7.42578125" style="68" customWidth="1"/>
    <col min="8454" max="8454" width="9.42578125" style="68" bestFit="1" customWidth="1"/>
    <col min="8455" max="8455" width="12" style="68" bestFit="1" customWidth="1"/>
    <col min="8456" max="8457" width="10" style="68" bestFit="1" customWidth="1"/>
    <col min="8458" max="8458" width="14.42578125" style="68" bestFit="1" customWidth="1"/>
    <col min="8459" max="8469" width="0" style="68" hidden="1" customWidth="1"/>
    <col min="8470" max="8698" width="9.140625" style="68"/>
    <col min="8699" max="8699" width="41" style="68" customWidth="1"/>
    <col min="8700" max="8700" width="13.140625" style="68" customWidth="1"/>
    <col min="8701" max="8701" width="10.140625" style="68" customWidth="1"/>
    <col min="8702" max="8702" width="10.42578125" style="68" bestFit="1" customWidth="1"/>
    <col min="8703" max="8704" width="9.42578125" style="68" bestFit="1" customWidth="1"/>
    <col min="8705" max="8705" width="10.140625" style="68" bestFit="1" customWidth="1"/>
    <col min="8706" max="8707" width="9.140625" style="68"/>
    <col min="8708" max="8708" width="7.28515625" style="68" customWidth="1"/>
    <col min="8709" max="8709" width="7.42578125" style="68" customWidth="1"/>
    <col min="8710" max="8710" width="9.42578125" style="68" bestFit="1" customWidth="1"/>
    <col min="8711" max="8711" width="12" style="68" bestFit="1" customWidth="1"/>
    <col min="8712" max="8713" width="10" style="68" bestFit="1" customWidth="1"/>
    <col min="8714" max="8714" width="14.42578125" style="68" bestFit="1" customWidth="1"/>
    <col min="8715" max="8725" width="0" style="68" hidden="1" customWidth="1"/>
    <col min="8726" max="8954" width="9.140625" style="68"/>
    <col min="8955" max="8955" width="41" style="68" customWidth="1"/>
    <col min="8956" max="8956" width="13.140625" style="68" customWidth="1"/>
    <col min="8957" max="8957" width="10.140625" style="68" customWidth="1"/>
    <col min="8958" max="8958" width="10.42578125" style="68" bestFit="1" customWidth="1"/>
    <col min="8959" max="8960" width="9.42578125" style="68" bestFit="1" customWidth="1"/>
    <col min="8961" max="8961" width="10.140625" style="68" bestFit="1" customWidth="1"/>
    <col min="8962" max="8963" width="9.140625" style="68"/>
    <col min="8964" max="8964" width="7.28515625" style="68" customWidth="1"/>
    <col min="8965" max="8965" width="7.42578125" style="68" customWidth="1"/>
    <col min="8966" max="8966" width="9.42578125" style="68" bestFit="1" customWidth="1"/>
    <col min="8967" max="8967" width="12" style="68" bestFit="1" customWidth="1"/>
    <col min="8968" max="8969" width="10" style="68" bestFit="1" customWidth="1"/>
    <col min="8970" max="8970" width="14.42578125" style="68" bestFit="1" customWidth="1"/>
    <col min="8971" max="8981" width="0" style="68" hidden="1" customWidth="1"/>
    <col min="8982" max="9210" width="9.140625" style="68"/>
    <col min="9211" max="9211" width="41" style="68" customWidth="1"/>
    <col min="9212" max="9212" width="13.140625" style="68" customWidth="1"/>
    <col min="9213" max="9213" width="10.140625" style="68" customWidth="1"/>
    <col min="9214" max="9214" width="10.42578125" style="68" bestFit="1" customWidth="1"/>
    <col min="9215" max="9216" width="9.42578125" style="68" bestFit="1" customWidth="1"/>
    <col min="9217" max="9217" width="10.140625" style="68" bestFit="1" customWidth="1"/>
    <col min="9218" max="9219" width="9.140625" style="68"/>
    <col min="9220" max="9220" width="7.28515625" style="68" customWidth="1"/>
    <col min="9221" max="9221" width="7.42578125" style="68" customWidth="1"/>
    <col min="9222" max="9222" width="9.42578125" style="68" bestFit="1" customWidth="1"/>
    <col min="9223" max="9223" width="12" style="68" bestFit="1" customWidth="1"/>
    <col min="9224" max="9225" width="10" style="68" bestFit="1" customWidth="1"/>
    <col min="9226" max="9226" width="14.42578125" style="68" bestFit="1" customWidth="1"/>
    <col min="9227" max="9237" width="0" style="68" hidden="1" customWidth="1"/>
    <col min="9238" max="9466" width="9.140625" style="68"/>
    <col min="9467" max="9467" width="41" style="68" customWidth="1"/>
    <col min="9468" max="9468" width="13.140625" style="68" customWidth="1"/>
    <col min="9469" max="9469" width="10.140625" style="68" customWidth="1"/>
    <col min="9470" max="9470" width="10.42578125" style="68" bestFit="1" customWidth="1"/>
    <col min="9471" max="9472" width="9.42578125" style="68" bestFit="1" customWidth="1"/>
    <col min="9473" max="9473" width="10.140625" style="68" bestFit="1" customWidth="1"/>
    <col min="9474" max="9475" width="9.140625" style="68"/>
    <col min="9476" max="9476" width="7.28515625" style="68" customWidth="1"/>
    <col min="9477" max="9477" width="7.42578125" style="68" customWidth="1"/>
    <col min="9478" max="9478" width="9.42578125" style="68" bestFit="1" customWidth="1"/>
    <col min="9479" max="9479" width="12" style="68" bestFit="1" customWidth="1"/>
    <col min="9480" max="9481" width="10" style="68" bestFit="1" customWidth="1"/>
    <col min="9482" max="9482" width="14.42578125" style="68" bestFit="1" customWidth="1"/>
    <col min="9483" max="9493" width="0" style="68" hidden="1" customWidth="1"/>
    <col min="9494" max="9722" width="9.140625" style="68"/>
    <col min="9723" max="9723" width="41" style="68" customWidth="1"/>
    <col min="9724" max="9724" width="13.140625" style="68" customWidth="1"/>
    <col min="9725" max="9725" width="10.140625" style="68" customWidth="1"/>
    <col min="9726" max="9726" width="10.42578125" style="68" bestFit="1" customWidth="1"/>
    <col min="9727" max="9728" width="9.42578125" style="68" bestFit="1" customWidth="1"/>
    <col min="9729" max="9729" width="10.140625" style="68" bestFit="1" customWidth="1"/>
    <col min="9730" max="9731" width="9.140625" style="68"/>
    <col min="9732" max="9732" width="7.28515625" style="68" customWidth="1"/>
    <col min="9733" max="9733" width="7.42578125" style="68" customWidth="1"/>
    <col min="9734" max="9734" width="9.42578125" style="68" bestFit="1" customWidth="1"/>
    <col min="9735" max="9735" width="12" style="68" bestFit="1" customWidth="1"/>
    <col min="9736" max="9737" width="10" style="68" bestFit="1" customWidth="1"/>
    <col min="9738" max="9738" width="14.42578125" style="68" bestFit="1" customWidth="1"/>
    <col min="9739" max="9749" width="0" style="68" hidden="1" customWidth="1"/>
    <col min="9750" max="9978" width="9.140625" style="68"/>
    <col min="9979" max="9979" width="41" style="68" customWidth="1"/>
    <col min="9980" max="9980" width="13.140625" style="68" customWidth="1"/>
    <col min="9981" max="9981" width="10.140625" style="68" customWidth="1"/>
    <col min="9982" max="9982" width="10.42578125" style="68" bestFit="1" customWidth="1"/>
    <col min="9983" max="9984" width="9.42578125" style="68" bestFit="1" customWidth="1"/>
    <col min="9985" max="9985" width="10.140625" style="68" bestFit="1" customWidth="1"/>
    <col min="9986" max="9987" width="9.140625" style="68"/>
    <col min="9988" max="9988" width="7.28515625" style="68" customWidth="1"/>
    <col min="9989" max="9989" width="7.42578125" style="68" customWidth="1"/>
    <col min="9990" max="9990" width="9.42578125" style="68" bestFit="1" customWidth="1"/>
    <col min="9991" max="9991" width="12" style="68" bestFit="1" customWidth="1"/>
    <col min="9992" max="9993" width="10" style="68" bestFit="1" customWidth="1"/>
    <col min="9994" max="9994" width="14.42578125" style="68" bestFit="1" customWidth="1"/>
    <col min="9995" max="10005" width="0" style="68" hidden="1" customWidth="1"/>
    <col min="10006" max="10234" width="9.140625" style="68"/>
    <col min="10235" max="10235" width="41" style="68" customWidth="1"/>
    <col min="10236" max="10236" width="13.140625" style="68" customWidth="1"/>
    <col min="10237" max="10237" width="10.140625" style="68" customWidth="1"/>
    <col min="10238" max="10238" width="10.42578125" style="68" bestFit="1" customWidth="1"/>
    <col min="10239" max="10240" width="9.42578125" style="68" bestFit="1" customWidth="1"/>
    <col min="10241" max="10241" width="10.140625" style="68" bestFit="1" customWidth="1"/>
    <col min="10242" max="10243" width="9.140625" style="68"/>
    <col min="10244" max="10244" width="7.28515625" style="68" customWidth="1"/>
    <col min="10245" max="10245" width="7.42578125" style="68" customWidth="1"/>
    <col min="10246" max="10246" width="9.42578125" style="68" bestFit="1" customWidth="1"/>
    <col min="10247" max="10247" width="12" style="68" bestFit="1" customWidth="1"/>
    <col min="10248" max="10249" width="10" style="68" bestFit="1" customWidth="1"/>
    <col min="10250" max="10250" width="14.42578125" style="68" bestFit="1" customWidth="1"/>
    <col min="10251" max="10261" width="0" style="68" hidden="1" customWidth="1"/>
    <col min="10262" max="10490" width="9.140625" style="68"/>
    <col min="10491" max="10491" width="41" style="68" customWidth="1"/>
    <col min="10492" max="10492" width="13.140625" style="68" customWidth="1"/>
    <col min="10493" max="10493" width="10.140625" style="68" customWidth="1"/>
    <col min="10494" max="10494" width="10.42578125" style="68" bestFit="1" customWidth="1"/>
    <col min="10495" max="10496" width="9.42578125" style="68" bestFit="1" customWidth="1"/>
    <col min="10497" max="10497" width="10.140625" style="68" bestFit="1" customWidth="1"/>
    <col min="10498" max="10499" width="9.140625" style="68"/>
    <col min="10500" max="10500" width="7.28515625" style="68" customWidth="1"/>
    <col min="10501" max="10501" width="7.42578125" style="68" customWidth="1"/>
    <col min="10502" max="10502" width="9.42578125" style="68" bestFit="1" customWidth="1"/>
    <col min="10503" max="10503" width="12" style="68" bestFit="1" customWidth="1"/>
    <col min="10504" max="10505" width="10" style="68" bestFit="1" customWidth="1"/>
    <col min="10506" max="10506" width="14.42578125" style="68" bestFit="1" customWidth="1"/>
    <col min="10507" max="10517" width="0" style="68" hidden="1" customWidth="1"/>
    <col min="10518" max="10746" width="9.140625" style="68"/>
    <col min="10747" max="10747" width="41" style="68" customWidth="1"/>
    <col min="10748" max="10748" width="13.140625" style="68" customWidth="1"/>
    <col min="10749" max="10749" width="10.140625" style="68" customWidth="1"/>
    <col min="10750" max="10750" width="10.42578125" style="68" bestFit="1" customWidth="1"/>
    <col min="10751" max="10752" width="9.42578125" style="68" bestFit="1" customWidth="1"/>
    <col min="10753" max="10753" width="10.140625" style="68" bestFit="1" customWidth="1"/>
    <col min="10754" max="10755" width="9.140625" style="68"/>
    <col min="10756" max="10756" width="7.28515625" style="68" customWidth="1"/>
    <col min="10757" max="10757" width="7.42578125" style="68" customWidth="1"/>
    <col min="10758" max="10758" width="9.42578125" style="68" bestFit="1" customWidth="1"/>
    <col min="10759" max="10759" width="12" style="68" bestFit="1" customWidth="1"/>
    <col min="10760" max="10761" width="10" style="68" bestFit="1" customWidth="1"/>
    <col min="10762" max="10762" width="14.42578125" style="68" bestFit="1" customWidth="1"/>
    <col min="10763" max="10773" width="0" style="68" hidden="1" customWidth="1"/>
    <col min="10774" max="11002" width="9.140625" style="68"/>
    <col min="11003" max="11003" width="41" style="68" customWidth="1"/>
    <col min="11004" max="11004" width="13.140625" style="68" customWidth="1"/>
    <col min="11005" max="11005" width="10.140625" style="68" customWidth="1"/>
    <col min="11006" max="11006" width="10.42578125" style="68" bestFit="1" customWidth="1"/>
    <col min="11007" max="11008" width="9.42578125" style="68" bestFit="1" customWidth="1"/>
    <col min="11009" max="11009" width="10.140625" style="68" bestFit="1" customWidth="1"/>
    <col min="11010" max="11011" width="9.140625" style="68"/>
    <col min="11012" max="11012" width="7.28515625" style="68" customWidth="1"/>
    <col min="11013" max="11013" width="7.42578125" style="68" customWidth="1"/>
    <col min="11014" max="11014" width="9.42578125" style="68" bestFit="1" customWidth="1"/>
    <col min="11015" max="11015" width="12" style="68" bestFit="1" customWidth="1"/>
    <col min="11016" max="11017" width="10" style="68" bestFit="1" customWidth="1"/>
    <col min="11018" max="11018" width="14.42578125" style="68" bestFit="1" customWidth="1"/>
    <col min="11019" max="11029" width="0" style="68" hidden="1" customWidth="1"/>
    <col min="11030" max="11258" width="9.140625" style="68"/>
    <col min="11259" max="11259" width="41" style="68" customWidth="1"/>
    <col min="11260" max="11260" width="13.140625" style="68" customWidth="1"/>
    <col min="11261" max="11261" width="10.140625" style="68" customWidth="1"/>
    <col min="11262" max="11262" width="10.42578125" style="68" bestFit="1" customWidth="1"/>
    <col min="11263" max="11264" width="9.42578125" style="68" bestFit="1" customWidth="1"/>
    <col min="11265" max="11265" width="10.140625" style="68" bestFit="1" customWidth="1"/>
    <col min="11266" max="11267" width="9.140625" style="68"/>
    <col min="11268" max="11268" width="7.28515625" style="68" customWidth="1"/>
    <col min="11269" max="11269" width="7.42578125" style="68" customWidth="1"/>
    <col min="11270" max="11270" width="9.42578125" style="68" bestFit="1" customWidth="1"/>
    <col min="11271" max="11271" width="12" style="68" bestFit="1" customWidth="1"/>
    <col min="11272" max="11273" width="10" style="68" bestFit="1" customWidth="1"/>
    <col min="11274" max="11274" width="14.42578125" style="68" bestFit="1" customWidth="1"/>
    <col min="11275" max="11285" width="0" style="68" hidden="1" customWidth="1"/>
    <col min="11286" max="11514" width="9.140625" style="68"/>
    <col min="11515" max="11515" width="41" style="68" customWidth="1"/>
    <col min="11516" max="11516" width="13.140625" style="68" customWidth="1"/>
    <col min="11517" max="11517" width="10.140625" style="68" customWidth="1"/>
    <col min="11518" max="11518" width="10.42578125" style="68" bestFit="1" customWidth="1"/>
    <col min="11519" max="11520" width="9.42578125" style="68" bestFit="1" customWidth="1"/>
    <col min="11521" max="11521" width="10.140625" style="68" bestFit="1" customWidth="1"/>
    <col min="11522" max="11523" width="9.140625" style="68"/>
    <col min="11524" max="11524" width="7.28515625" style="68" customWidth="1"/>
    <col min="11525" max="11525" width="7.42578125" style="68" customWidth="1"/>
    <col min="11526" max="11526" width="9.42578125" style="68" bestFit="1" customWidth="1"/>
    <col min="11527" max="11527" width="12" style="68" bestFit="1" customWidth="1"/>
    <col min="11528" max="11529" width="10" style="68" bestFit="1" customWidth="1"/>
    <col min="11530" max="11530" width="14.42578125" style="68" bestFit="1" customWidth="1"/>
    <col min="11531" max="11541" width="0" style="68" hidden="1" customWidth="1"/>
    <col min="11542" max="11770" width="9.140625" style="68"/>
    <col min="11771" max="11771" width="41" style="68" customWidth="1"/>
    <col min="11772" max="11772" width="13.140625" style="68" customWidth="1"/>
    <col min="11773" max="11773" width="10.140625" style="68" customWidth="1"/>
    <col min="11774" max="11774" width="10.42578125" style="68" bestFit="1" customWidth="1"/>
    <col min="11775" max="11776" width="9.42578125" style="68" bestFit="1" customWidth="1"/>
    <col min="11777" max="11777" width="10.140625" style="68" bestFit="1" customWidth="1"/>
    <col min="11778" max="11779" width="9.140625" style="68"/>
    <col min="11780" max="11780" width="7.28515625" style="68" customWidth="1"/>
    <col min="11781" max="11781" width="7.42578125" style="68" customWidth="1"/>
    <col min="11782" max="11782" width="9.42578125" style="68" bestFit="1" customWidth="1"/>
    <col min="11783" max="11783" width="12" style="68" bestFit="1" customWidth="1"/>
    <col min="11784" max="11785" width="10" style="68" bestFit="1" customWidth="1"/>
    <col min="11786" max="11786" width="14.42578125" style="68" bestFit="1" customWidth="1"/>
    <col min="11787" max="11797" width="0" style="68" hidden="1" customWidth="1"/>
    <col min="11798" max="12026" width="9.140625" style="68"/>
    <col min="12027" max="12027" width="41" style="68" customWidth="1"/>
    <col min="12028" max="12028" width="13.140625" style="68" customWidth="1"/>
    <col min="12029" max="12029" width="10.140625" style="68" customWidth="1"/>
    <col min="12030" max="12030" width="10.42578125" style="68" bestFit="1" customWidth="1"/>
    <col min="12031" max="12032" width="9.42578125" style="68" bestFit="1" customWidth="1"/>
    <col min="12033" max="12033" width="10.140625" style="68" bestFit="1" customWidth="1"/>
    <col min="12034" max="12035" width="9.140625" style="68"/>
    <col min="12036" max="12036" width="7.28515625" style="68" customWidth="1"/>
    <col min="12037" max="12037" width="7.42578125" style="68" customWidth="1"/>
    <col min="12038" max="12038" width="9.42578125" style="68" bestFit="1" customWidth="1"/>
    <col min="12039" max="12039" width="12" style="68" bestFit="1" customWidth="1"/>
    <col min="12040" max="12041" width="10" style="68" bestFit="1" customWidth="1"/>
    <col min="12042" max="12042" width="14.42578125" style="68" bestFit="1" customWidth="1"/>
    <col min="12043" max="12053" width="0" style="68" hidden="1" customWidth="1"/>
    <col min="12054" max="12282" width="9.140625" style="68"/>
    <col min="12283" max="12283" width="41" style="68" customWidth="1"/>
    <col min="12284" max="12284" width="13.140625" style="68" customWidth="1"/>
    <col min="12285" max="12285" width="10.140625" style="68" customWidth="1"/>
    <col min="12286" max="12286" width="10.42578125" style="68" bestFit="1" customWidth="1"/>
    <col min="12287" max="12288" width="9.42578125" style="68" bestFit="1" customWidth="1"/>
    <col min="12289" max="12289" width="10.140625" style="68" bestFit="1" customWidth="1"/>
    <col min="12290" max="12291" width="9.140625" style="68"/>
    <col min="12292" max="12292" width="7.28515625" style="68" customWidth="1"/>
    <col min="12293" max="12293" width="7.42578125" style="68" customWidth="1"/>
    <col min="12294" max="12294" width="9.42578125" style="68" bestFit="1" customWidth="1"/>
    <col min="12295" max="12295" width="12" style="68" bestFit="1" customWidth="1"/>
    <col min="12296" max="12297" width="10" style="68" bestFit="1" customWidth="1"/>
    <col min="12298" max="12298" width="14.42578125" style="68" bestFit="1" customWidth="1"/>
    <col min="12299" max="12309" width="0" style="68" hidden="1" customWidth="1"/>
    <col min="12310" max="12538" width="9.140625" style="68"/>
    <col min="12539" max="12539" width="41" style="68" customWidth="1"/>
    <col min="12540" max="12540" width="13.140625" style="68" customWidth="1"/>
    <col min="12541" max="12541" width="10.140625" style="68" customWidth="1"/>
    <col min="12542" max="12542" width="10.42578125" style="68" bestFit="1" customWidth="1"/>
    <col min="12543" max="12544" width="9.42578125" style="68" bestFit="1" customWidth="1"/>
    <col min="12545" max="12545" width="10.140625" style="68" bestFit="1" customWidth="1"/>
    <col min="12546" max="12547" width="9.140625" style="68"/>
    <col min="12548" max="12548" width="7.28515625" style="68" customWidth="1"/>
    <col min="12549" max="12549" width="7.42578125" style="68" customWidth="1"/>
    <col min="12550" max="12550" width="9.42578125" style="68" bestFit="1" customWidth="1"/>
    <col min="12551" max="12551" width="12" style="68" bestFit="1" customWidth="1"/>
    <col min="12552" max="12553" width="10" style="68" bestFit="1" customWidth="1"/>
    <col min="12554" max="12554" width="14.42578125" style="68" bestFit="1" customWidth="1"/>
    <col min="12555" max="12565" width="0" style="68" hidden="1" customWidth="1"/>
    <col min="12566" max="12794" width="9.140625" style="68"/>
    <col min="12795" max="12795" width="41" style="68" customWidth="1"/>
    <col min="12796" max="12796" width="13.140625" style="68" customWidth="1"/>
    <col min="12797" max="12797" width="10.140625" style="68" customWidth="1"/>
    <col min="12798" max="12798" width="10.42578125" style="68" bestFit="1" customWidth="1"/>
    <col min="12799" max="12800" width="9.42578125" style="68" bestFit="1" customWidth="1"/>
    <col min="12801" max="12801" width="10.140625" style="68" bestFit="1" customWidth="1"/>
    <col min="12802" max="12803" width="9.140625" style="68"/>
    <col min="12804" max="12804" width="7.28515625" style="68" customWidth="1"/>
    <col min="12805" max="12805" width="7.42578125" style="68" customWidth="1"/>
    <col min="12806" max="12806" width="9.42578125" style="68" bestFit="1" customWidth="1"/>
    <col min="12807" max="12807" width="12" style="68" bestFit="1" customWidth="1"/>
    <col min="12808" max="12809" width="10" style="68" bestFit="1" customWidth="1"/>
    <col min="12810" max="12810" width="14.42578125" style="68" bestFit="1" customWidth="1"/>
    <col min="12811" max="12821" width="0" style="68" hidden="1" customWidth="1"/>
    <col min="12822" max="13050" width="9.140625" style="68"/>
    <col min="13051" max="13051" width="41" style="68" customWidth="1"/>
    <col min="13052" max="13052" width="13.140625" style="68" customWidth="1"/>
    <col min="13053" max="13053" width="10.140625" style="68" customWidth="1"/>
    <col min="13054" max="13054" width="10.42578125" style="68" bestFit="1" customWidth="1"/>
    <col min="13055" max="13056" width="9.42578125" style="68" bestFit="1" customWidth="1"/>
    <col min="13057" max="13057" width="10.140625" style="68" bestFit="1" customWidth="1"/>
    <col min="13058" max="13059" width="9.140625" style="68"/>
    <col min="13060" max="13060" width="7.28515625" style="68" customWidth="1"/>
    <col min="13061" max="13061" width="7.42578125" style="68" customWidth="1"/>
    <col min="13062" max="13062" width="9.42578125" style="68" bestFit="1" customWidth="1"/>
    <col min="13063" max="13063" width="12" style="68" bestFit="1" customWidth="1"/>
    <col min="13064" max="13065" width="10" style="68" bestFit="1" customWidth="1"/>
    <col min="13066" max="13066" width="14.42578125" style="68" bestFit="1" customWidth="1"/>
    <col min="13067" max="13077" width="0" style="68" hidden="1" customWidth="1"/>
    <col min="13078" max="13306" width="9.140625" style="68"/>
    <col min="13307" max="13307" width="41" style="68" customWidth="1"/>
    <col min="13308" max="13308" width="13.140625" style="68" customWidth="1"/>
    <col min="13309" max="13309" width="10.140625" style="68" customWidth="1"/>
    <col min="13310" max="13310" width="10.42578125" style="68" bestFit="1" customWidth="1"/>
    <col min="13311" max="13312" width="9.42578125" style="68" bestFit="1" customWidth="1"/>
    <col min="13313" max="13313" width="10.140625" style="68" bestFit="1" customWidth="1"/>
    <col min="13314" max="13315" width="9.140625" style="68"/>
    <col min="13316" max="13316" width="7.28515625" style="68" customWidth="1"/>
    <col min="13317" max="13317" width="7.42578125" style="68" customWidth="1"/>
    <col min="13318" max="13318" width="9.42578125" style="68" bestFit="1" customWidth="1"/>
    <col min="13319" max="13319" width="12" style="68" bestFit="1" customWidth="1"/>
    <col min="13320" max="13321" width="10" style="68" bestFit="1" customWidth="1"/>
    <col min="13322" max="13322" width="14.42578125" style="68" bestFit="1" customWidth="1"/>
    <col min="13323" max="13333" width="0" style="68" hidden="1" customWidth="1"/>
    <col min="13334" max="13562" width="9.140625" style="68"/>
    <col min="13563" max="13563" width="41" style="68" customWidth="1"/>
    <col min="13564" max="13564" width="13.140625" style="68" customWidth="1"/>
    <col min="13565" max="13565" width="10.140625" style="68" customWidth="1"/>
    <col min="13566" max="13566" width="10.42578125" style="68" bestFit="1" customWidth="1"/>
    <col min="13567" max="13568" width="9.42578125" style="68" bestFit="1" customWidth="1"/>
    <col min="13569" max="13569" width="10.140625" style="68" bestFit="1" customWidth="1"/>
    <col min="13570" max="13571" width="9.140625" style="68"/>
    <col min="13572" max="13572" width="7.28515625" style="68" customWidth="1"/>
    <col min="13573" max="13573" width="7.42578125" style="68" customWidth="1"/>
    <col min="13574" max="13574" width="9.42578125" style="68" bestFit="1" customWidth="1"/>
    <col min="13575" max="13575" width="12" style="68" bestFit="1" customWidth="1"/>
    <col min="13576" max="13577" width="10" style="68" bestFit="1" customWidth="1"/>
    <col min="13578" max="13578" width="14.42578125" style="68" bestFit="1" customWidth="1"/>
    <col min="13579" max="13589" width="0" style="68" hidden="1" customWidth="1"/>
    <col min="13590" max="13818" width="9.140625" style="68"/>
    <col min="13819" max="13819" width="41" style="68" customWidth="1"/>
    <col min="13820" max="13820" width="13.140625" style="68" customWidth="1"/>
    <col min="13821" max="13821" width="10.140625" style="68" customWidth="1"/>
    <col min="13822" max="13822" width="10.42578125" style="68" bestFit="1" customWidth="1"/>
    <col min="13823" max="13824" width="9.42578125" style="68" bestFit="1" customWidth="1"/>
    <col min="13825" max="13825" width="10.140625" style="68" bestFit="1" customWidth="1"/>
    <col min="13826" max="13827" width="9.140625" style="68"/>
    <col min="13828" max="13828" width="7.28515625" style="68" customWidth="1"/>
    <col min="13829" max="13829" width="7.42578125" style="68" customWidth="1"/>
    <col min="13830" max="13830" width="9.42578125" style="68" bestFit="1" customWidth="1"/>
    <col min="13831" max="13831" width="12" style="68" bestFit="1" customWidth="1"/>
    <col min="13832" max="13833" width="10" style="68" bestFit="1" customWidth="1"/>
    <col min="13834" max="13834" width="14.42578125" style="68" bestFit="1" customWidth="1"/>
    <col min="13835" max="13845" width="0" style="68" hidden="1" customWidth="1"/>
    <col min="13846" max="14074" width="9.140625" style="68"/>
    <col min="14075" max="14075" width="41" style="68" customWidth="1"/>
    <col min="14076" max="14076" width="13.140625" style="68" customWidth="1"/>
    <col min="14077" max="14077" width="10.140625" style="68" customWidth="1"/>
    <col min="14078" max="14078" width="10.42578125" style="68" bestFit="1" customWidth="1"/>
    <col min="14079" max="14080" width="9.42578125" style="68" bestFit="1" customWidth="1"/>
    <col min="14081" max="14081" width="10.140625" style="68" bestFit="1" customWidth="1"/>
    <col min="14082" max="14083" width="9.140625" style="68"/>
    <col min="14084" max="14084" width="7.28515625" style="68" customWidth="1"/>
    <col min="14085" max="14085" width="7.42578125" style="68" customWidth="1"/>
    <col min="14086" max="14086" width="9.42578125" style="68" bestFit="1" customWidth="1"/>
    <col min="14087" max="14087" width="12" style="68" bestFit="1" customWidth="1"/>
    <col min="14088" max="14089" width="10" style="68" bestFit="1" customWidth="1"/>
    <col min="14090" max="14090" width="14.42578125" style="68" bestFit="1" customWidth="1"/>
    <col min="14091" max="14101" width="0" style="68" hidden="1" customWidth="1"/>
    <col min="14102" max="14330" width="9.140625" style="68"/>
    <col min="14331" max="14331" width="41" style="68" customWidth="1"/>
    <col min="14332" max="14332" width="13.140625" style="68" customWidth="1"/>
    <col min="14333" max="14333" width="10.140625" style="68" customWidth="1"/>
    <col min="14334" max="14334" width="10.42578125" style="68" bestFit="1" customWidth="1"/>
    <col min="14335" max="14336" width="9.42578125" style="68" bestFit="1" customWidth="1"/>
    <col min="14337" max="14337" width="10.140625" style="68" bestFit="1" customWidth="1"/>
    <col min="14338" max="14339" width="9.140625" style="68"/>
    <col min="14340" max="14340" width="7.28515625" style="68" customWidth="1"/>
    <col min="14341" max="14341" width="7.42578125" style="68" customWidth="1"/>
    <col min="14342" max="14342" width="9.42578125" style="68" bestFit="1" customWidth="1"/>
    <col min="14343" max="14343" width="12" style="68" bestFit="1" customWidth="1"/>
    <col min="14344" max="14345" width="10" style="68" bestFit="1" customWidth="1"/>
    <col min="14346" max="14346" width="14.42578125" style="68" bestFit="1" customWidth="1"/>
    <col min="14347" max="14357" width="0" style="68" hidden="1" customWidth="1"/>
    <col min="14358" max="14586" width="9.140625" style="68"/>
    <col min="14587" max="14587" width="41" style="68" customWidth="1"/>
    <col min="14588" max="14588" width="13.140625" style="68" customWidth="1"/>
    <col min="14589" max="14589" width="10.140625" style="68" customWidth="1"/>
    <col min="14590" max="14590" width="10.42578125" style="68" bestFit="1" customWidth="1"/>
    <col min="14591" max="14592" width="9.42578125" style="68" bestFit="1" customWidth="1"/>
    <col min="14593" max="14593" width="10.140625" style="68" bestFit="1" customWidth="1"/>
    <col min="14594" max="14595" width="9.140625" style="68"/>
    <col min="14596" max="14596" width="7.28515625" style="68" customWidth="1"/>
    <col min="14597" max="14597" width="7.42578125" style="68" customWidth="1"/>
    <col min="14598" max="14598" width="9.42578125" style="68" bestFit="1" customWidth="1"/>
    <col min="14599" max="14599" width="12" style="68" bestFit="1" customWidth="1"/>
    <col min="14600" max="14601" width="10" style="68" bestFit="1" customWidth="1"/>
    <col min="14602" max="14602" width="14.42578125" style="68" bestFit="1" customWidth="1"/>
    <col min="14603" max="14613" width="0" style="68" hidden="1" customWidth="1"/>
    <col min="14614" max="14842" width="9.140625" style="68"/>
    <col min="14843" max="14843" width="41" style="68" customWidth="1"/>
    <col min="14844" max="14844" width="13.140625" style="68" customWidth="1"/>
    <col min="14845" max="14845" width="10.140625" style="68" customWidth="1"/>
    <col min="14846" max="14846" width="10.42578125" style="68" bestFit="1" customWidth="1"/>
    <col min="14847" max="14848" width="9.42578125" style="68" bestFit="1" customWidth="1"/>
    <col min="14849" max="14849" width="10.140625" style="68" bestFit="1" customWidth="1"/>
    <col min="14850" max="14851" width="9.140625" style="68"/>
    <col min="14852" max="14852" width="7.28515625" style="68" customWidth="1"/>
    <col min="14853" max="14853" width="7.42578125" style="68" customWidth="1"/>
    <col min="14854" max="14854" width="9.42578125" style="68" bestFit="1" customWidth="1"/>
    <col min="14855" max="14855" width="12" style="68" bestFit="1" customWidth="1"/>
    <col min="14856" max="14857" width="10" style="68" bestFit="1" customWidth="1"/>
    <col min="14858" max="14858" width="14.42578125" style="68" bestFit="1" customWidth="1"/>
    <col min="14859" max="14869" width="0" style="68" hidden="1" customWidth="1"/>
    <col min="14870" max="15098" width="9.140625" style="68"/>
    <col min="15099" max="15099" width="41" style="68" customWidth="1"/>
    <col min="15100" max="15100" width="13.140625" style="68" customWidth="1"/>
    <col min="15101" max="15101" width="10.140625" style="68" customWidth="1"/>
    <col min="15102" max="15102" width="10.42578125" style="68" bestFit="1" customWidth="1"/>
    <col min="15103" max="15104" width="9.42578125" style="68" bestFit="1" customWidth="1"/>
    <col min="15105" max="15105" width="10.140625" style="68" bestFit="1" customWidth="1"/>
    <col min="15106" max="15107" width="9.140625" style="68"/>
    <col min="15108" max="15108" width="7.28515625" style="68" customWidth="1"/>
    <col min="15109" max="15109" width="7.42578125" style="68" customWidth="1"/>
    <col min="15110" max="15110" width="9.42578125" style="68" bestFit="1" customWidth="1"/>
    <col min="15111" max="15111" width="12" style="68" bestFit="1" customWidth="1"/>
    <col min="15112" max="15113" width="10" style="68" bestFit="1" customWidth="1"/>
    <col min="15114" max="15114" width="14.42578125" style="68" bestFit="1" customWidth="1"/>
    <col min="15115" max="15125" width="0" style="68" hidden="1" customWidth="1"/>
    <col min="15126" max="15354" width="9.140625" style="68"/>
    <col min="15355" max="15355" width="41" style="68" customWidth="1"/>
    <col min="15356" max="15356" width="13.140625" style="68" customWidth="1"/>
    <col min="15357" max="15357" width="10.140625" style="68" customWidth="1"/>
    <col min="15358" max="15358" width="10.42578125" style="68" bestFit="1" customWidth="1"/>
    <col min="15359" max="15360" width="9.42578125" style="68" bestFit="1" customWidth="1"/>
    <col min="15361" max="15361" width="10.140625" style="68" bestFit="1" customWidth="1"/>
    <col min="15362" max="15363" width="9.140625" style="68"/>
    <col min="15364" max="15364" width="7.28515625" style="68" customWidth="1"/>
    <col min="15365" max="15365" width="7.42578125" style="68" customWidth="1"/>
    <col min="15366" max="15366" width="9.42578125" style="68" bestFit="1" customWidth="1"/>
    <col min="15367" max="15367" width="12" style="68" bestFit="1" customWidth="1"/>
    <col min="15368" max="15369" width="10" style="68" bestFit="1" customWidth="1"/>
    <col min="15370" max="15370" width="14.42578125" style="68" bestFit="1" customWidth="1"/>
    <col min="15371" max="15381" width="0" style="68" hidden="1" customWidth="1"/>
    <col min="15382" max="15610" width="9.140625" style="68"/>
    <col min="15611" max="15611" width="41" style="68" customWidth="1"/>
    <col min="15612" max="15612" width="13.140625" style="68" customWidth="1"/>
    <col min="15613" max="15613" width="10.140625" style="68" customWidth="1"/>
    <col min="15614" max="15614" width="10.42578125" style="68" bestFit="1" customWidth="1"/>
    <col min="15615" max="15616" width="9.42578125" style="68" bestFit="1" customWidth="1"/>
    <col min="15617" max="15617" width="10.140625" style="68" bestFit="1" customWidth="1"/>
    <col min="15618" max="15619" width="9.140625" style="68"/>
    <col min="15620" max="15620" width="7.28515625" style="68" customWidth="1"/>
    <col min="15621" max="15621" width="7.42578125" style="68" customWidth="1"/>
    <col min="15622" max="15622" width="9.42578125" style="68" bestFit="1" customWidth="1"/>
    <col min="15623" max="15623" width="12" style="68" bestFit="1" customWidth="1"/>
    <col min="15624" max="15625" width="10" style="68" bestFit="1" customWidth="1"/>
    <col min="15626" max="15626" width="14.42578125" style="68" bestFit="1" customWidth="1"/>
    <col min="15627" max="15637" width="0" style="68" hidden="1" customWidth="1"/>
    <col min="15638" max="15866" width="9.140625" style="68"/>
    <col min="15867" max="15867" width="41" style="68" customWidth="1"/>
    <col min="15868" max="15868" width="13.140625" style="68" customWidth="1"/>
    <col min="15869" max="15869" width="10.140625" style="68" customWidth="1"/>
    <col min="15870" max="15870" width="10.42578125" style="68" bestFit="1" customWidth="1"/>
    <col min="15871" max="15872" width="9.42578125" style="68" bestFit="1" customWidth="1"/>
    <col min="15873" max="15873" width="10.140625" style="68" bestFit="1" customWidth="1"/>
    <col min="15874" max="15875" width="9.140625" style="68"/>
    <col min="15876" max="15876" width="7.28515625" style="68" customWidth="1"/>
    <col min="15877" max="15877" width="7.42578125" style="68" customWidth="1"/>
    <col min="15878" max="15878" width="9.42578125" style="68" bestFit="1" customWidth="1"/>
    <col min="15879" max="15879" width="12" style="68" bestFit="1" customWidth="1"/>
    <col min="15880" max="15881" width="10" style="68" bestFit="1" customWidth="1"/>
    <col min="15882" max="15882" width="14.42578125" style="68" bestFit="1" customWidth="1"/>
    <col min="15883" max="15893" width="0" style="68" hidden="1" customWidth="1"/>
    <col min="15894" max="16122" width="9.140625" style="68"/>
    <col min="16123" max="16123" width="41" style="68" customWidth="1"/>
    <col min="16124" max="16124" width="13.140625" style="68" customWidth="1"/>
    <col min="16125" max="16125" width="10.140625" style="68" customWidth="1"/>
    <col min="16126" max="16126" width="10.42578125" style="68" bestFit="1" customWidth="1"/>
    <col min="16127" max="16128" width="9.42578125" style="68" bestFit="1" customWidth="1"/>
    <col min="16129" max="16129" width="10.140625" style="68" bestFit="1" customWidth="1"/>
    <col min="16130" max="16131" width="9.140625" style="68"/>
    <col min="16132" max="16132" width="7.28515625" style="68" customWidth="1"/>
    <col min="16133" max="16133" width="7.42578125" style="68" customWidth="1"/>
    <col min="16134" max="16134" width="9.42578125" style="68" bestFit="1" customWidth="1"/>
    <col min="16135" max="16135" width="12" style="68" bestFit="1" customWidth="1"/>
    <col min="16136" max="16137" width="10" style="68" bestFit="1" customWidth="1"/>
    <col min="16138" max="16138" width="14.42578125" style="68" bestFit="1" customWidth="1"/>
    <col min="16139" max="16149" width="0" style="68" hidden="1" customWidth="1"/>
    <col min="16150" max="16384" width="9.140625" style="68"/>
  </cols>
  <sheetData>
    <row r="1" spans="1:44" ht="25.5" customHeight="1" thickBot="1" x14ac:dyDescent="0.25">
      <c r="A1" s="184" t="s">
        <v>101</v>
      </c>
      <c r="B1" s="185"/>
      <c r="C1" s="185"/>
      <c r="D1" s="185"/>
      <c r="E1" s="185"/>
      <c r="F1" s="185"/>
      <c r="G1" s="185"/>
      <c r="H1" s="185"/>
      <c r="I1" s="185"/>
      <c r="J1" s="185"/>
      <c r="K1" s="186"/>
      <c r="L1" s="66"/>
      <c r="M1" s="66"/>
      <c r="N1" s="66"/>
      <c r="O1" s="66"/>
      <c r="P1" s="66"/>
      <c r="Q1" s="66"/>
      <c r="R1" s="66"/>
      <c r="S1" s="67"/>
      <c r="T1" s="67"/>
      <c r="U1" s="67"/>
    </row>
    <row r="2" spans="1:44" ht="15" x14ac:dyDescent="0.25">
      <c r="A2"/>
      <c r="C2" s="69"/>
      <c r="D2" s="69"/>
      <c r="E2" s="69"/>
      <c r="F2" s="69"/>
      <c r="G2" s="69"/>
      <c r="H2" s="69"/>
      <c r="I2" s="69"/>
      <c r="J2" s="69"/>
      <c r="K2" s="69"/>
      <c r="L2" s="69"/>
      <c r="M2" s="69"/>
      <c r="N2" s="69"/>
      <c r="O2" s="69"/>
      <c r="P2" s="69"/>
      <c r="Q2" s="69"/>
      <c r="R2" s="69"/>
      <c r="S2" s="67"/>
      <c r="T2" s="67"/>
      <c r="U2" s="67"/>
    </row>
    <row r="3" spans="1:44" ht="29.25" customHeight="1" x14ac:dyDescent="0.2">
      <c r="A3" s="70" t="s">
        <v>98</v>
      </c>
      <c r="B3" s="187">
        <v>45691</v>
      </c>
      <c r="C3" s="188"/>
      <c r="D3" s="188"/>
      <c r="E3" s="188"/>
      <c r="F3" s="188"/>
      <c r="G3" s="188"/>
      <c r="H3" s="188"/>
      <c r="I3" s="188"/>
      <c r="J3" s="188"/>
      <c r="K3" s="189"/>
      <c r="L3" s="69"/>
      <c r="M3" s="69"/>
      <c r="N3" s="69"/>
      <c r="O3" s="69"/>
      <c r="P3" s="69"/>
      <c r="Q3" s="69"/>
      <c r="R3" s="69"/>
      <c r="S3" s="67"/>
      <c r="T3" s="67"/>
      <c r="U3" s="67"/>
    </row>
    <row r="4" spans="1:44" ht="87.75" customHeight="1" x14ac:dyDescent="0.2">
      <c r="A4" s="133" t="s">
        <v>257</v>
      </c>
      <c r="B4" s="206" t="s">
        <v>258</v>
      </c>
      <c r="C4" s="207"/>
      <c r="D4" s="207"/>
      <c r="E4" s="207"/>
      <c r="F4" s="207"/>
      <c r="G4" s="207"/>
      <c r="H4" s="207"/>
      <c r="I4" s="207"/>
      <c r="J4" s="207"/>
      <c r="K4" s="208"/>
      <c r="L4" s="69"/>
      <c r="M4" s="69"/>
      <c r="N4" s="69"/>
      <c r="O4" s="69"/>
      <c r="P4" s="69"/>
      <c r="Q4" s="69"/>
      <c r="R4" s="69"/>
      <c r="S4" s="67"/>
      <c r="T4" s="67"/>
      <c r="U4" s="67"/>
    </row>
    <row r="5" spans="1:44" ht="29.25" customHeight="1" x14ac:dyDescent="0.2">
      <c r="A5" s="133"/>
      <c r="B5" s="71"/>
      <c r="C5" s="72"/>
      <c r="D5" s="72"/>
      <c r="E5" s="72"/>
      <c r="F5" s="72"/>
      <c r="G5" s="72"/>
      <c r="H5" s="72"/>
      <c r="I5" s="72"/>
      <c r="J5" s="72"/>
      <c r="K5" s="73"/>
      <c r="L5" s="69"/>
      <c r="M5" s="69"/>
      <c r="N5" s="69"/>
      <c r="O5" s="69"/>
      <c r="P5" s="69"/>
      <c r="Q5" s="69"/>
      <c r="R5" s="69"/>
      <c r="S5" s="67"/>
      <c r="T5" s="67"/>
      <c r="U5" s="67"/>
    </row>
    <row r="6" spans="1:44" ht="26.25" customHeight="1" x14ac:dyDescent="0.2">
      <c r="A6" s="74" t="s">
        <v>219</v>
      </c>
      <c r="B6" s="190" t="s">
        <v>220</v>
      </c>
      <c r="C6" s="190"/>
      <c r="D6" s="190"/>
      <c r="E6" s="190"/>
      <c r="F6" s="190"/>
      <c r="G6" s="190"/>
      <c r="H6" s="190"/>
      <c r="I6" s="190"/>
      <c r="J6" s="190"/>
      <c r="K6" s="190"/>
      <c r="L6" s="75"/>
      <c r="M6" s="75"/>
      <c r="N6" s="75"/>
      <c r="O6" s="75"/>
      <c r="P6" s="75"/>
      <c r="Q6" s="75"/>
      <c r="R6" s="75"/>
      <c r="S6" s="76"/>
      <c r="T6" s="76"/>
      <c r="U6" s="76"/>
    </row>
    <row r="7" spans="1:44" ht="30.75" customHeight="1" x14ac:dyDescent="0.2">
      <c r="A7" s="191" t="s">
        <v>221</v>
      </c>
      <c r="B7" s="192"/>
      <c r="C7" s="74"/>
      <c r="D7" s="74"/>
      <c r="E7" s="74"/>
      <c r="F7" s="74"/>
      <c r="G7" s="74"/>
      <c r="H7" s="74"/>
      <c r="I7" s="74"/>
      <c r="J7" s="74"/>
      <c r="K7" s="74"/>
      <c r="L7" s="75"/>
      <c r="M7" s="75"/>
      <c r="N7" s="75"/>
      <c r="O7" s="75"/>
      <c r="P7" s="77"/>
      <c r="Q7" s="75"/>
      <c r="R7" s="75"/>
      <c r="S7" s="76"/>
      <c r="T7" s="76"/>
      <c r="U7" s="76"/>
    </row>
    <row r="8" spans="1:44" ht="13.5" thickBot="1" x14ac:dyDescent="0.25">
      <c r="C8" s="69"/>
      <c r="D8" s="78"/>
      <c r="E8" s="75"/>
      <c r="F8" s="75"/>
      <c r="G8" s="75"/>
      <c r="H8" s="75"/>
      <c r="I8" s="75"/>
      <c r="J8" s="75"/>
      <c r="K8" s="75"/>
      <c r="L8" s="75"/>
      <c r="M8" s="75"/>
      <c r="N8" s="75"/>
      <c r="O8" s="75"/>
      <c r="P8" s="75"/>
      <c r="Q8" s="75"/>
      <c r="R8" s="75"/>
      <c r="S8" s="67"/>
      <c r="T8" s="67"/>
      <c r="U8" s="67"/>
    </row>
    <row r="9" spans="1:44" ht="12.75" customHeight="1" thickBot="1" x14ac:dyDescent="0.25">
      <c r="A9" s="193" t="s">
        <v>222</v>
      </c>
      <c r="B9" s="196" t="s">
        <v>223</v>
      </c>
      <c r="C9" s="199" t="s">
        <v>224</v>
      </c>
      <c r="D9" s="202" t="s">
        <v>225</v>
      </c>
      <c r="E9" s="203"/>
      <c r="F9" s="204"/>
      <c r="G9" s="204"/>
      <c r="H9" s="205" t="s">
        <v>226</v>
      </c>
      <c r="I9" s="179"/>
      <c r="J9" s="179"/>
      <c r="K9" s="180"/>
      <c r="L9" s="178" t="s">
        <v>227</v>
      </c>
      <c r="M9" s="179"/>
      <c r="N9" s="180"/>
      <c r="O9" s="178" t="s">
        <v>228</v>
      </c>
      <c r="P9" s="162" t="s">
        <v>229</v>
      </c>
      <c r="Q9" s="162" t="s">
        <v>230</v>
      </c>
      <c r="R9" s="162" t="s">
        <v>231</v>
      </c>
      <c r="S9" s="162" t="s">
        <v>232</v>
      </c>
      <c r="T9" s="162" t="s">
        <v>259</v>
      </c>
      <c r="U9" s="164" t="s">
        <v>233</v>
      </c>
      <c r="V9" s="167" t="s">
        <v>234</v>
      </c>
      <c r="W9" s="167"/>
      <c r="X9" s="167"/>
      <c r="Y9" s="167"/>
      <c r="Z9" s="167"/>
      <c r="AA9" s="167"/>
      <c r="AB9" s="167"/>
      <c r="AC9" s="167"/>
      <c r="AD9" s="167"/>
      <c r="AE9" s="167"/>
      <c r="AF9" s="167"/>
      <c r="AG9" s="167"/>
      <c r="AH9" s="167"/>
      <c r="AI9" s="168"/>
      <c r="AJ9" s="79"/>
      <c r="AK9" s="79"/>
      <c r="AL9" s="79"/>
      <c r="AM9" s="79"/>
      <c r="AN9" s="79"/>
      <c r="AO9" s="79"/>
      <c r="AP9" s="79"/>
      <c r="AQ9" s="79"/>
      <c r="AR9" s="79"/>
    </row>
    <row r="10" spans="1:44" ht="15.75" customHeight="1" thickBot="1" x14ac:dyDescent="0.25">
      <c r="A10" s="194"/>
      <c r="B10" s="197"/>
      <c r="C10" s="200"/>
      <c r="D10" s="171" t="s">
        <v>235</v>
      </c>
      <c r="E10" s="162" t="s">
        <v>236</v>
      </c>
      <c r="F10" s="173" t="s">
        <v>237</v>
      </c>
      <c r="G10" s="173" t="s">
        <v>238</v>
      </c>
      <c r="H10" s="175" t="s">
        <v>235</v>
      </c>
      <c r="I10" s="163" t="s">
        <v>239</v>
      </c>
      <c r="J10" s="174" t="s">
        <v>240</v>
      </c>
      <c r="K10" s="177" t="s">
        <v>241</v>
      </c>
      <c r="L10" s="181"/>
      <c r="M10" s="182"/>
      <c r="N10" s="183"/>
      <c r="O10" s="181"/>
      <c r="P10" s="163"/>
      <c r="Q10" s="163"/>
      <c r="R10" s="163"/>
      <c r="S10" s="163"/>
      <c r="T10" s="163"/>
      <c r="U10" s="165"/>
      <c r="V10" s="169"/>
      <c r="W10" s="169"/>
      <c r="X10" s="169"/>
      <c r="Y10" s="169"/>
      <c r="Z10" s="169"/>
      <c r="AA10" s="169"/>
      <c r="AB10" s="169"/>
      <c r="AC10" s="169"/>
      <c r="AD10" s="169"/>
      <c r="AE10" s="169"/>
      <c r="AF10" s="169"/>
      <c r="AG10" s="169"/>
      <c r="AH10" s="169"/>
      <c r="AI10" s="170"/>
      <c r="AJ10" s="79"/>
      <c r="AK10" s="79"/>
      <c r="AL10" s="79"/>
      <c r="AM10" s="79"/>
      <c r="AN10" s="79"/>
      <c r="AO10" s="79"/>
      <c r="AP10" s="79"/>
      <c r="AQ10" s="79"/>
      <c r="AR10" s="79"/>
    </row>
    <row r="11" spans="1:44" ht="45" customHeight="1" x14ac:dyDescent="0.2">
      <c r="A11" s="195"/>
      <c r="B11" s="198"/>
      <c r="C11" s="201"/>
      <c r="D11" s="172"/>
      <c r="E11" s="163"/>
      <c r="F11" s="174"/>
      <c r="G11" s="174"/>
      <c r="H11" s="176"/>
      <c r="I11" s="163"/>
      <c r="J11" s="174"/>
      <c r="K11" s="177"/>
      <c r="L11" s="82" t="s">
        <v>242</v>
      </c>
      <c r="M11" s="80" t="s">
        <v>243</v>
      </c>
      <c r="N11" s="81" t="s">
        <v>244</v>
      </c>
      <c r="O11" s="181"/>
      <c r="P11" s="163"/>
      <c r="Q11" s="163"/>
      <c r="R11" s="163"/>
      <c r="S11" s="163"/>
      <c r="T11" s="163"/>
      <c r="U11" s="166"/>
      <c r="V11" s="83" t="str">
        <f>'AUTO CALCULATION SHEET (2)'!P17</f>
        <v>Copper</v>
      </c>
      <c r="W11" s="83" t="str">
        <f>'AUTO CALCULATION SHEET (2)'!AI17</f>
        <v>Type C PVC (HR)</v>
      </c>
      <c r="X11" s="84" t="str">
        <f>'AUTO CALCULATION SHEET (2)'!AK17</f>
        <v>POLY TAPE</v>
      </c>
      <c r="Y11" s="84" t="str">
        <f>'AUTO CALCULATION SHEET (2)'!AQ17</f>
        <v>PVC Type ST-2</v>
      </c>
      <c r="Z11" s="84" t="s">
        <v>255</v>
      </c>
      <c r="AA11" s="85" t="s">
        <v>245</v>
      </c>
      <c r="AB11" s="85" t="s">
        <v>246</v>
      </c>
      <c r="AC11" s="85" t="s">
        <v>247</v>
      </c>
      <c r="AD11" s="85" t="s">
        <v>248</v>
      </c>
      <c r="AE11" s="85" t="s">
        <v>249</v>
      </c>
      <c r="AF11" s="85" t="s">
        <v>250</v>
      </c>
      <c r="AG11" s="85" t="s">
        <v>251</v>
      </c>
      <c r="AH11" s="85" t="s">
        <v>252</v>
      </c>
      <c r="AI11" s="86" t="s">
        <v>253</v>
      </c>
    </row>
    <row r="12" spans="1:44" ht="18.75" customHeight="1" x14ac:dyDescent="0.2">
      <c r="A12" s="87"/>
      <c r="B12" s="88"/>
      <c r="C12" s="89"/>
      <c r="D12" s="90"/>
      <c r="E12" s="91"/>
      <c r="F12" s="92"/>
      <c r="G12" s="92"/>
      <c r="H12" s="93"/>
      <c r="I12" s="94"/>
      <c r="J12" s="95"/>
      <c r="K12" s="96"/>
      <c r="L12" s="97"/>
      <c r="M12" s="98"/>
      <c r="N12" s="99"/>
      <c r="O12" s="97"/>
      <c r="P12" s="100"/>
      <c r="Q12" s="100"/>
      <c r="R12" s="134"/>
      <c r="S12" s="137"/>
      <c r="T12" s="139">
        <v>0.2</v>
      </c>
      <c r="U12" s="101"/>
      <c r="V12" s="102">
        <v>907</v>
      </c>
      <c r="W12" s="102">
        <v>102</v>
      </c>
      <c r="X12" s="103">
        <v>117</v>
      </c>
      <c r="Y12" s="103">
        <v>71</v>
      </c>
      <c r="Z12" s="103">
        <f>86+20</f>
        <v>106</v>
      </c>
      <c r="AA12" s="104"/>
      <c r="AB12" s="104"/>
      <c r="AC12" s="104"/>
      <c r="AD12" s="104"/>
      <c r="AE12" s="104"/>
      <c r="AF12" s="104"/>
      <c r="AG12" s="105"/>
      <c r="AH12" s="104"/>
      <c r="AI12" s="106"/>
    </row>
    <row r="13" spans="1:44" s="124" customFormat="1" ht="24" customHeight="1" x14ac:dyDescent="0.2">
      <c r="A13" s="107" t="str">
        <f>'AUTO CALCULATION SHEET (2)'!D19</f>
        <v>2 CORE X 2.5 SQ. MM. CU/UNARD.(PVC)</v>
      </c>
      <c r="B13" s="108"/>
      <c r="C13" s="109" t="s">
        <v>254</v>
      </c>
      <c r="D13" s="110">
        <v>45733</v>
      </c>
      <c r="E13" s="111">
        <v>871736.9</v>
      </c>
      <c r="F13" s="112">
        <v>158825</v>
      </c>
      <c r="G13" s="113"/>
      <c r="H13" s="114">
        <f t="shared" ref="H13:H15" si="0">$B$3</f>
        <v>45691</v>
      </c>
      <c r="I13" s="112">
        <v>879199</v>
      </c>
      <c r="J13" s="112">
        <v>158825</v>
      </c>
      <c r="K13" s="113"/>
      <c r="L13" s="115">
        <v>4.7E-2</v>
      </c>
      <c r="M13" s="116">
        <v>0.125</v>
      </c>
      <c r="N13" s="117"/>
      <c r="O13" s="97">
        <f>'AUTO CALCULATION SHEET (2)'!E19</f>
        <v>76164.637499999997</v>
      </c>
      <c r="P13" s="118">
        <f t="shared" ref="P13:R15" si="1">(L13*(E13-I13))</f>
        <v>-350.71869999999893</v>
      </c>
      <c r="Q13" s="118">
        <f t="shared" si="1"/>
        <v>0</v>
      </c>
      <c r="R13" s="118">
        <f t="shared" si="1"/>
        <v>0</v>
      </c>
      <c r="S13" s="138">
        <f>P13+Q13+R13</f>
        <v>-350.71869999999893</v>
      </c>
      <c r="T13" s="135">
        <f>O13*$T$12</f>
        <v>15232.9275</v>
      </c>
      <c r="U13" s="119">
        <f>IF(S13&gt;T13,O13+T13,O13+S13)</f>
        <v>75813.918799999999</v>
      </c>
      <c r="V13" s="120">
        <f>'AUTO CALCULATION SHEET (2)'!P19</f>
        <v>44</v>
      </c>
      <c r="W13" s="120">
        <f>'AUTO CALCULATION SHEET (2)'!AI19</f>
        <v>26</v>
      </c>
      <c r="X13" s="121">
        <f>'AUTO CALCULATION SHEET (2)'!AK19</f>
        <v>3</v>
      </c>
      <c r="Y13" s="121">
        <f>'AUTO CALCULATION SHEET (2)'!AQ19</f>
        <v>39</v>
      </c>
      <c r="Z13" s="121">
        <f>'AUTO CALCULATION SHEET (2)'!BD19</f>
        <v>100</v>
      </c>
      <c r="AA13" s="122">
        <f>SUMPRODUCT(V13:Z13,$V$12:$Z$12)</f>
        <v>56280</v>
      </c>
      <c r="AB13" s="121">
        <f>'AUTO CALCULATION SHEET (2)'!BZ19</f>
        <v>4260</v>
      </c>
      <c r="AC13" s="122">
        <f>AA13+AB13</f>
        <v>60540</v>
      </c>
      <c r="AD13" s="121">
        <f>U13-AC13</f>
        <v>15273.918799999999</v>
      </c>
      <c r="AE13" s="122">
        <f>ROUND((AD13/AC13)*100,2)</f>
        <v>25.23</v>
      </c>
      <c r="AF13" s="121">
        <v>0</v>
      </c>
      <c r="AG13" s="121">
        <v>2</v>
      </c>
      <c r="AH13" s="121">
        <v>1</v>
      </c>
      <c r="AI13" s="123">
        <f t="shared" ref="AI13:AI15" si="2">AE13-AF13-AG13-AH13</f>
        <v>22.23</v>
      </c>
    </row>
    <row r="14" spans="1:44" ht="24" customHeight="1" x14ac:dyDescent="0.2">
      <c r="A14" s="107" t="str">
        <f>'AUTO CALCULATION SHEET (2)'!D20</f>
        <v>4 CORE X 2.5 SQ. MM. CU/UNARD.(PVC)</v>
      </c>
      <c r="B14" s="108"/>
      <c r="C14" s="109" t="s">
        <v>254</v>
      </c>
      <c r="D14" s="110">
        <v>45733</v>
      </c>
      <c r="E14" s="111">
        <v>871736.9</v>
      </c>
      <c r="F14" s="112">
        <v>158825</v>
      </c>
      <c r="G14" s="113"/>
      <c r="H14" s="114">
        <f t="shared" si="0"/>
        <v>45691</v>
      </c>
      <c r="I14" s="112">
        <v>879199</v>
      </c>
      <c r="J14" s="112">
        <v>158825</v>
      </c>
      <c r="K14" s="113"/>
      <c r="L14" s="115">
        <v>9.4E-2</v>
      </c>
      <c r="M14" s="116">
        <v>0.161</v>
      </c>
      <c r="N14" s="117"/>
      <c r="O14" s="97">
        <f>'AUTO CALCULATION SHEET (2)'!E20</f>
        <v>130473.96250000001</v>
      </c>
      <c r="P14" s="118">
        <f t="shared" si="1"/>
        <v>-701.43739999999787</v>
      </c>
      <c r="Q14" s="118">
        <f t="shared" si="1"/>
        <v>0</v>
      </c>
      <c r="R14" s="118">
        <f t="shared" si="1"/>
        <v>0</v>
      </c>
      <c r="S14" s="138">
        <f>P14+Q14+R14</f>
        <v>-701.43739999999787</v>
      </c>
      <c r="T14" s="135">
        <f>O14*$T$12</f>
        <v>26094.792500000003</v>
      </c>
      <c r="U14" s="119">
        <f>IF(S14&gt;T14,O14+T14,O14+S14)</f>
        <v>129772.52510000001</v>
      </c>
      <c r="V14" s="120">
        <f>'AUTO CALCULATION SHEET (2)'!P20</f>
        <v>89</v>
      </c>
      <c r="W14" s="120">
        <f>'AUTO CALCULATION SHEET (2)'!AI20</f>
        <v>52</v>
      </c>
      <c r="X14" s="121">
        <f>'AUTO CALCULATION SHEET (2)'!AK20</f>
        <v>4</v>
      </c>
      <c r="Y14" s="121">
        <f>'AUTO CALCULATION SHEET (2)'!AQ20</f>
        <v>27</v>
      </c>
      <c r="Z14" s="121">
        <f>'AUTO CALCULATION SHEET (2)'!BD20</f>
        <v>109</v>
      </c>
      <c r="AA14" s="122">
        <f>SUMPRODUCT(V14:Z14,$V$12:$Z$12)</f>
        <v>99966</v>
      </c>
      <c r="AB14" s="121">
        <f>'AUTO CALCULATION SHEET (2)'!BZ20</f>
        <v>4260</v>
      </c>
      <c r="AC14" s="122">
        <f>AA14+AB14</f>
        <v>104226</v>
      </c>
      <c r="AD14" s="121">
        <f>U14-AC14</f>
        <v>25546.525100000013</v>
      </c>
      <c r="AE14" s="122">
        <f>ROUND((AD14/AC14)*100,2)</f>
        <v>24.51</v>
      </c>
      <c r="AF14" s="121">
        <v>0</v>
      </c>
      <c r="AG14" s="121">
        <v>2</v>
      </c>
      <c r="AH14" s="121">
        <v>1</v>
      </c>
      <c r="AI14" s="123">
        <f t="shared" si="2"/>
        <v>21.51</v>
      </c>
    </row>
    <row r="15" spans="1:44" ht="24" customHeight="1" x14ac:dyDescent="0.2">
      <c r="A15" s="107" t="str">
        <f>'AUTO CALCULATION SHEET (2)'!D21</f>
        <v>7 CORE X 2.5 SQ. MM. CU/UNARD ( PVC )</v>
      </c>
      <c r="B15" s="108"/>
      <c r="C15" s="109" t="s">
        <v>254</v>
      </c>
      <c r="D15" s="110">
        <v>45733</v>
      </c>
      <c r="E15" s="111">
        <v>871736.9</v>
      </c>
      <c r="F15" s="112">
        <v>158825</v>
      </c>
      <c r="G15" s="113"/>
      <c r="H15" s="114">
        <f t="shared" si="0"/>
        <v>45691</v>
      </c>
      <c r="I15" s="112">
        <v>879199</v>
      </c>
      <c r="J15" s="112">
        <v>158825</v>
      </c>
      <c r="K15" s="113"/>
      <c r="L15" s="115">
        <v>0.16400000000000001</v>
      </c>
      <c r="M15" s="116">
        <v>0.23400000000000001</v>
      </c>
      <c r="N15" s="117"/>
      <c r="O15" s="97">
        <f>'AUTO CALCULATION SHEET (2)'!E21</f>
        <v>212028.07499999998</v>
      </c>
      <c r="P15" s="118">
        <f t="shared" si="1"/>
        <v>-1223.7843999999961</v>
      </c>
      <c r="Q15" s="118">
        <f t="shared" si="1"/>
        <v>0</v>
      </c>
      <c r="R15" s="118">
        <f t="shared" si="1"/>
        <v>0</v>
      </c>
      <c r="S15" s="138">
        <f>P15+Q15+R15</f>
        <v>-1223.7843999999961</v>
      </c>
      <c r="T15" s="135">
        <f>O15*$T$12</f>
        <v>42405.614999999998</v>
      </c>
      <c r="U15" s="119">
        <f>IF(S15&gt;T15,O15+T15,O15+S15)</f>
        <v>210804.29059999998</v>
      </c>
      <c r="V15" s="120">
        <f>'AUTO CALCULATION SHEET (2)'!P21</f>
        <v>155</v>
      </c>
      <c r="W15" s="120">
        <f>'AUTO CALCULATION SHEET (2)'!AI21</f>
        <v>91</v>
      </c>
      <c r="X15" s="121">
        <f>'AUTO CALCULATION SHEET (2)'!AK21</f>
        <v>4</v>
      </c>
      <c r="Y15" s="121">
        <f>'AUTO CALCULATION SHEET (2)'!AQ21</f>
        <v>27</v>
      </c>
      <c r="Z15" s="121">
        <f>'AUTO CALCULATION SHEET (2)'!BD21</f>
        <v>117</v>
      </c>
      <c r="AA15" s="122">
        <f>SUMPRODUCT(V15:Z15,$V$12:$Z$12)</f>
        <v>164654</v>
      </c>
      <c r="AB15" s="121">
        <f>'AUTO CALCULATION SHEET (2)'!BZ21</f>
        <v>5170</v>
      </c>
      <c r="AC15" s="122">
        <f>AA15+AB15</f>
        <v>169824</v>
      </c>
      <c r="AD15" s="121">
        <f>U15-AC15</f>
        <v>40980.290599999978</v>
      </c>
      <c r="AE15" s="122">
        <f>ROUND((AD15/AC15)*100,2)</f>
        <v>24.13</v>
      </c>
      <c r="AF15" s="121">
        <v>0</v>
      </c>
      <c r="AG15" s="121">
        <v>2</v>
      </c>
      <c r="AH15" s="121">
        <v>1</v>
      </c>
      <c r="AI15" s="123">
        <f t="shared" si="2"/>
        <v>21.13</v>
      </c>
      <c r="AJ15" s="124"/>
    </row>
    <row r="16" spans="1:44" ht="13.5" thickBot="1" x14ac:dyDescent="0.25">
      <c r="A16" s="125"/>
      <c r="B16" s="126"/>
      <c r="C16" s="127"/>
      <c r="D16" s="128"/>
      <c r="E16" s="129"/>
      <c r="F16" s="129"/>
      <c r="G16" s="130"/>
      <c r="H16" s="131"/>
      <c r="I16" s="129"/>
      <c r="J16" s="129"/>
      <c r="K16" s="132"/>
      <c r="L16" s="131"/>
      <c r="M16" s="129"/>
      <c r="N16" s="132"/>
      <c r="O16" s="131"/>
      <c r="P16" s="129"/>
      <c r="Q16" s="129"/>
      <c r="R16" s="129"/>
      <c r="S16" s="129"/>
      <c r="T16" s="136"/>
      <c r="U16" s="126"/>
      <c r="V16" s="128"/>
      <c r="W16" s="128"/>
      <c r="X16" s="129"/>
      <c r="Y16" s="129"/>
      <c r="Z16" s="129"/>
      <c r="AA16" s="129"/>
      <c r="AB16" s="129"/>
      <c r="AC16" s="129"/>
      <c r="AD16" s="129"/>
      <c r="AE16" s="129"/>
      <c r="AF16" s="129"/>
      <c r="AG16" s="129"/>
      <c r="AH16" s="129"/>
      <c r="AI16" s="132"/>
    </row>
    <row r="19" spans="20:20" x14ac:dyDescent="0.2">
      <c r="T19" s="140"/>
    </row>
  </sheetData>
  <mergeCells count="27">
    <mergeCell ref="S9:S11"/>
    <mergeCell ref="A1:K1"/>
    <mergeCell ref="B3:K3"/>
    <mergeCell ref="B6:K6"/>
    <mergeCell ref="A7:B7"/>
    <mergeCell ref="A9:A11"/>
    <mergeCell ref="B9:B11"/>
    <mergeCell ref="C9:C11"/>
    <mergeCell ref="D9:G9"/>
    <mergeCell ref="H9:K9"/>
    <mergeCell ref="B4:K4"/>
    <mergeCell ref="T9:T11"/>
    <mergeCell ref="U9:U11"/>
    <mergeCell ref="V9:AI10"/>
    <mergeCell ref="D10:D11"/>
    <mergeCell ref="E10:E11"/>
    <mergeCell ref="F10:F11"/>
    <mergeCell ref="G10:G11"/>
    <mergeCell ref="H10:H11"/>
    <mergeCell ref="I10:I11"/>
    <mergeCell ref="J10:J11"/>
    <mergeCell ref="K10:K11"/>
    <mergeCell ref="L9:N10"/>
    <mergeCell ref="O9:O11"/>
    <mergeCell ref="P9:P11"/>
    <mergeCell ref="Q9:Q11"/>
    <mergeCell ref="R9:R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Cable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2025-03-18T06:45:33Z</cp:lastPrinted>
  <dcterms:created xsi:type="dcterms:W3CDTF">2021-04-03T12:13:55Z</dcterms:created>
  <dcterms:modified xsi:type="dcterms:W3CDTF">2025-03-18T12:39:01Z</dcterms:modified>
</cp:coreProperties>
</file>