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ing\2024-25\09_SEPTEMBER 2024\NBPDCL_30_11KVABC-13991\"/>
    </mc:Choice>
  </mc:AlternateContent>
  <xr:revisionPtr revIDLastSave="0" documentId="13_ncr:1_{629CCA16-123D-4A42-AAA6-CCEAF61CD2CF}" xr6:coauthVersionLast="47" xr6:coauthVersionMax="47" xr10:uidLastSave="{00000000-0000-0000-0000-000000000000}"/>
  <bookViews>
    <workbookView xWindow="-45" yWindow="8055" windowWidth="28800" windowHeight="7605" firstSheet="1" activeTab="1" xr2:uid="{00000000-000D-0000-FFFF-FFFF00000000}"/>
  </bookViews>
  <sheets>
    <sheet name="Sheet1" sheetId="1" state="hidden" r:id="rId1"/>
    <sheet name="AUTO CALCULATION SHEET (2)" sheetId="4" r:id="rId2"/>
    <sheet name="PV HTABC" sheetId="6" r:id="rId3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2" i="6" l="1"/>
  <c r="AC12" i="6"/>
  <c r="AA12" i="6"/>
  <c r="Z12" i="6"/>
  <c r="Y12" i="6"/>
  <c r="X12" i="6"/>
  <c r="W12" i="6"/>
  <c r="V12" i="6"/>
  <c r="D26" i="4"/>
  <c r="AE22" i="4"/>
  <c r="AC22" i="4"/>
  <c r="Y22" i="4"/>
  <c r="T22" i="4"/>
  <c r="AK12" i="6" l="1"/>
  <c r="AE10" i="6"/>
  <c r="AI12" i="6"/>
  <c r="AH12" i="6"/>
  <c r="AG12" i="6"/>
  <c r="AF12" i="6"/>
  <c r="AE12" i="6"/>
  <c r="AD12" i="6"/>
  <c r="AI9" i="6"/>
  <c r="AH9" i="6"/>
  <c r="AG9" i="6"/>
  <c r="AF9" i="6"/>
  <c r="AE9" i="6"/>
  <c r="AD9" i="6"/>
  <c r="A6" i="6"/>
  <c r="A12" i="6" s="1"/>
  <c r="I12" i="6"/>
  <c r="AL12" i="6" l="1"/>
  <c r="AB12" i="6"/>
  <c r="T18" i="4" l="1"/>
  <c r="F22" i="4"/>
  <c r="J22" i="4" s="1"/>
  <c r="E22" i="4"/>
  <c r="K22" i="4" l="1"/>
  <c r="M22" i="4" s="1"/>
  <c r="BY19" i="4"/>
  <c r="BY17" i="4"/>
  <c r="L22" i="4" l="1"/>
  <c r="F19" i="4"/>
  <c r="B19" i="4"/>
  <c r="BX19" i="4" l="1"/>
  <c r="BW19" i="4"/>
  <c r="BX17" i="4"/>
  <c r="BW17" i="4"/>
  <c r="BV19" i="4"/>
  <c r="BV17" i="4"/>
  <c r="B17" i="4"/>
  <c r="S18" i="4" l="1"/>
  <c r="AB19" i="4" l="1"/>
  <c r="AA19" i="4"/>
  <c r="Z19" i="4"/>
  <c r="X19" i="4"/>
  <c r="W19" i="4"/>
  <c r="V19" i="4"/>
  <c r="U19" i="4"/>
  <c r="S19" i="4"/>
  <c r="BU19" i="4"/>
  <c r="BT19" i="4"/>
  <c r="BS19" i="4"/>
  <c r="BR19" i="4"/>
  <c r="BQ19" i="4"/>
  <c r="BP19" i="4"/>
  <c r="BO19" i="4"/>
  <c r="BN19" i="4"/>
  <c r="BS18" i="4"/>
  <c r="BT18" i="4"/>
  <c r="BU18" i="4"/>
  <c r="BR18" i="4"/>
  <c r="BQ18" i="4"/>
  <c r="BP18" i="4"/>
  <c r="BN18" i="4"/>
  <c r="BO18" i="4"/>
  <c r="BM18" i="4"/>
  <c r="BM19" i="4"/>
  <c r="BL19" i="4"/>
  <c r="BK19" i="4"/>
  <c r="BJ19" i="4"/>
  <c r="BI19" i="4"/>
  <c r="BG19" i="4"/>
  <c r="BF19" i="4"/>
  <c r="BE19" i="4"/>
  <c r="BD19" i="4"/>
  <c r="BC19" i="4"/>
  <c r="BL18" i="4"/>
  <c r="BK18" i="4"/>
  <c r="BJ18" i="4"/>
  <c r="BI18" i="4"/>
  <c r="BH18" i="4"/>
  <c r="BG18" i="4"/>
  <c r="BF18" i="4"/>
  <c r="BE18" i="4"/>
  <c r="BD18" i="4"/>
  <c r="BC18" i="4"/>
  <c r="BB19" i="4"/>
  <c r="BA19" i="4"/>
  <c r="AZ19" i="4"/>
  <c r="AY19" i="4"/>
  <c r="AX19" i="4"/>
  <c r="AW19" i="4"/>
  <c r="AV19" i="4"/>
  <c r="AU19" i="4"/>
  <c r="AT19" i="4"/>
  <c r="AS19" i="4"/>
  <c r="BB18" i="4"/>
  <c r="BA18" i="4"/>
  <c r="AZ18" i="4"/>
  <c r="AY18" i="4"/>
  <c r="AX18" i="4"/>
  <c r="AW18" i="4"/>
  <c r="AV18" i="4"/>
  <c r="AU18" i="4"/>
  <c r="AT18" i="4"/>
  <c r="AS18" i="4"/>
  <c r="AR18" i="4"/>
  <c r="AR19" i="4"/>
  <c r="AQ19" i="4"/>
  <c r="AP19" i="4"/>
  <c r="AO19" i="4"/>
  <c r="AN19" i="4"/>
  <c r="AM19" i="4"/>
  <c r="AL19" i="4"/>
  <c r="AQ18" i="4"/>
  <c r="AP18" i="4"/>
  <c r="AO18" i="4"/>
  <c r="AN18" i="4"/>
  <c r="AM18" i="4"/>
  <c r="AL18" i="4"/>
  <c r="AK18" i="4"/>
  <c r="AK19" i="4"/>
  <c r="AJ19" i="4"/>
  <c r="AI19" i="4"/>
  <c r="AH19" i="4"/>
  <c r="AG19" i="4"/>
  <c r="AF19" i="4"/>
  <c r="AJ18" i="4"/>
  <c r="AI18" i="4"/>
  <c r="AH18" i="4"/>
  <c r="AG18" i="4"/>
  <c r="AF18" i="4"/>
  <c r="AD18" i="4"/>
  <c r="AD19" i="4"/>
  <c r="AB18" i="4" l="1"/>
  <c r="AA18" i="4"/>
  <c r="Z18" i="4"/>
  <c r="X18" i="4"/>
  <c r="W18" i="4"/>
  <c r="V18" i="4"/>
  <c r="U18" i="4"/>
  <c r="R18" i="4" l="1"/>
  <c r="Q18" i="4"/>
  <c r="P18" i="4"/>
  <c r="O18" i="4"/>
  <c r="R19" i="4"/>
  <c r="Q19" i="4"/>
  <c r="P19" i="4"/>
  <c r="O19" i="4"/>
  <c r="N16" i="4"/>
  <c r="L19" i="4"/>
  <c r="K19" i="4"/>
  <c r="H19" i="4"/>
  <c r="CB19" i="4"/>
  <c r="BZ19" i="4"/>
  <c r="D19" i="4"/>
  <c r="C19" i="4"/>
  <c r="A19" i="4"/>
  <c r="CA19" i="4" l="1"/>
  <c r="CC19" i="4" l="1"/>
  <c r="CE19" i="4"/>
  <c r="CG19" i="4"/>
  <c r="CH19" i="4" l="1"/>
  <c r="CJ19" i="4" l="1"/>
  <c r="CL19" i="4"/>
  <c r="E19" i="4" l="1"/>
  <c r="B6" i="6" s="1"/>
  <c r="U12" i="6" s="1"/>
  <c r="AM12" i="6" s="1"/>
  <c r="AN12" i="6" s="1"/>
  <c r="AR12" i="6" s="1"/>
  <c r="G19" i="4" l="1"/>
  <c r="I19" i="4" s="1"/>
  <c r="J19" i="4" s="1"/>
  <c r="M19" i="4" s="1"/>
  <c r="F26" i="4" s="1"/>
  <c r="G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1" authorId="0" shapeId="0" xr:uid="{218F16E2-8664-4FDD-82E4-EFDC786B37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<sst xmlns="http://schemas.openxmlformats.org/spreadsheetml/2006/main" count="311" uniqueCount="264">
  <si>
    <t>DOCKET NO.</t>
  </si>
  <si>
    <t>ITEM CODE</t>
  </si>
  <si>
    <t>PROPOSE ERP ITEM NAME</t>
  </si>
  <si>
    <t>Insulation Screening (Metallic)</t>
  </si>
  <si>
    <t>Weight (Insulation Screening (Metallic))</t>
  </si>
  <si>
    <t>Conductor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</si>
  <si>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</si>
  <si>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</si>
  <si>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</si>
  <si>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</si>
  <si>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</si>
  <si>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</si>
  <si>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</si>
  <si>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</si>
  <si>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</si>
  <si>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</si>
  <si>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</si>
  <si>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</si>
  <si>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</si>
  <si>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</si>
  <si>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</si>
  <si>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</si>
  <si>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</si>
  <si>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</si>
  <si>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FIRM %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</si>
  <si>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</si>
  <si>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</si>
  <si>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</si>
  <si>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</si>
  <si>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</si>
  <si>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</si>
  <si>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</si>
  <si>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</si>
  <si>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</si>
  <si>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</si>
  <si>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</si>
  <si>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</si>
  <si>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</si>
  <si>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</si>
  <si>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</si>
  <si>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</si>
  <si>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</si>
  <si>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</si>
  <si>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</si>
  <si>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</si>
  <si>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</si>
  <si>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</si>
  <si>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</si>
  <si>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</si>
  <si>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</si>
  <si>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</si>
  <si>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</si>
  <si>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</si>
  <si>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</si>
  <si>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</si>
  <si>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</si>
  <si>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</si>
  <si>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</si>
  <si>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</si>
  <si>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</si>
  <si>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</si>
  <si>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</si>
  <si>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</si>
  <si>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</si>
  <si>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</si>
  <si>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</si>
  <si>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</si>
  <si>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</si>
  <si>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</si>
  <si>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</si>
  <si>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</si>
  <si>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</si>
  <si>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</si>
  <si>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</si>
  <si>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PE, ST-3</t>
  </si>
  <si>
    <t>XLPE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</si>
  <si>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</si>
  <si>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</si>
  <si>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</si>
  <si>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</si>
  <si>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</si>
  <si>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</si>
  <si>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</si>
  <si>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</si>
  <si>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</si>
  <si>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</si>
  <si>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</si>
  <si>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REVERSE AUCTION</t>
  </si>
  <si>
    <t>TENDER SPECIFICATION NO ()</t>
  </si>
  <si>
    <t>TENDER DESCRIPTION  ()</t>
  </si>
  <si>
    <t>Last Date &amp; Time of Submission ()</t>
  </si>
  <si>
    <t>Price ()</t>
  </si>
  <si>
    <t>Validity  ()</t>
  </si>
  <si>
    <t>Delivery Period  ()</t>
  </si>
  <si>
    <t>Payment Terms ()</t>
  </si>
  <si>
    <t>Standard length ()</t>
  </si>
  <si>
    <t>Packing  ()</t>
  </si>
  <si>
    <t>Technical Specification</t>
  </si>
  <si>
    <t>Base Date</t>
  </si>
  <si>
    <t>DRUM CODE</t>
  </si>
  <si>
    <t>DRUM SIZE (FxbXtx Ft)</t>
  </si>
  <si>
    <t>NORTH BIHAR POWER DISTRIBUTION CO. LTD, PATNA</t>
  </si>
  <si>
    <t>11 kV AB Cable [3CX185 Sq mm+1Cx150Sq mm]</t>
  </si>
  <si>
    <t>NIT NO-30/PR/NBPDCL/2024</t>
  </si>
  <si>
    <t xml:space="preserve">Price Variation for AB Cable shall be applicable as per current IEEMA circulars and indices for respective items as applicable on the final date of submission of bid. </t>
  </si>
  <si>
    <t>10.09.2024 up to 18:00 Hrs</t>
  </si>
  <si>
    <t>Not Mention.</t>
  </si>
  <si>
    <t>The tenderers should specify the validity period of their offer which should be for a minimum period of 180 days from the last date of submission of bid.</t>
  </si>
  <si>
    <t>The material are required to be delivered within 04 (Four) months from the date of issue of Purchase Order as per the following delivery schedule. 
Within 2 (two) months 	- 	at least 30 % of the ordered quantity
During 3rd(Third) month	-	at least 35 % of the ordered quantity
During 4th(Fourth) month	-	at least 35 % of the ordered quantity</t>
  </si>
  <si>
    <t>75% payment along with full amount of taxes, duties and freight keeping 10% retention money &amp; 15% against type test report, on submission of triplicate copy of bills with all relevant documents (Sample check list) enclosed in annexure by the vendor after receipt of the material / equipment in good condition. After successful completion of delivery of entire order or modified quantity as decided during its delivery schedule, 10 % retention money may be released after deduction of penalty.</t>
  </si>
  <si>
    <t>Standard lengths for each size of power and control cables shall be 500/1000 meters. The cable length per drum shall be subject to a tolerance of plus or minus 5% of the standard drum length.</t>
  </si>
  <si>
    <t xml:space="preserve">The Cables shall be wound on a drum ( Ref. IS : 10418-1972 and its amendments) of suitable size and packed . The ends of cable shall be sealed by means of non-hygroscopic sealing material. The Cables shall be packed in non-returnable wooden drums. The wooden drums should be bearing distinguishing number with following information duly stenciled on the outer side of one flange. </t>
  </si>
  <si>
    <t>Propose Drum Type</t>
  </si>
  <si>
    <t>Insulation Screening(Metallic)</t>
  </si>
  <si>
    <t>RM Rate(Insulation Screening(Metallic))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</si>
  <si>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</si>
  <si>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</si>
  <si>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</si>
  <si>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</si>
  <si>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</si>
  <si>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</si>
  <si>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</si>
  <si>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</si>
  <si>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</si>
  <si>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</si>
  <si>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</si>
  <si>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</si>
  <si>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</si>
  <si>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</si>
  <si>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</si>
  <si>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</si>
  <si>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</si>
  <si>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</si>
  <si>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</si>
  <si>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</si>
  <si>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</si>
  <si>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</si>
  <si>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</si>
  <si>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</si>
  <si>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</si>
  <si>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</si>
  <si>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</si>
  <si>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</si>
  <si>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</si>
  <si>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</si>
  <si>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</si>
  <si>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</si>
  <si>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</si>
  <si>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</si>
  <si>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</si>
  <si>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</si>
  <si>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</si>
  <si>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</si>
  <si>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</si>
  <si>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</si>
  <si>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</si>
  <si>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</si>
  <si>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</si>
  <si>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</si>
  <si>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</si>
  <si>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</si>
  <si>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</si>
  <si>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</si>
  <si>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</si>
  <si>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</si>
  <si>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</si>
  <si>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</si>
  <si>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</si>
  <si>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</si>
  <si>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</si>
  <si>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</si>
  <si>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</si>
  <si>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</si>
  <si>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</si>
  <si>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</si>
  <si>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</si>
  <si>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</si>
  <si>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</si>
  <si>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Value</t>
  </si>
  <si>
    <t>MFG Value</t>
  </si>
  <si>
    <t>Profit Value</t>
  </si>
  <si>
    <t>1st EX-Works</t>
  </si>
  <si>
    <t>Intt Value</t>
  </si>
  <si>
    <t>Insp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</si>
  <si>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</si>
  <si>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</si>
  <si>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</si>
  <si>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</si>
  <si>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</si>
  <si>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</si>
  <si>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Standard Length(MTR)</t>
  </si>
  <si>
    <t>ENQ-13991-22-23</t>
  </si>
  <si>
    <t>FA0400002</t>
  </si>
  <si>
    <t>3 CORE X 185 SQ MM + 1 CORE X 150 SQ MM (AB CABLES) (BARE) - 11 KV</t>
  </si>
  <si>
    <t>WOOD</t>
  </si>
  <si>
    <t>Alumimium Alloy</t>
  </si>
  <si>
    <t>Extruded Semiconductive</t>
  </si>
  <si>
    <t>PE-ST-7</t>
  </si>
  <si>
    <t>KMS</t>
  </si>
  <si>
    <t>MD0100029</t>
  </si>
  <si>
    <t>DRUM - 80 X 35 X 39 X 3"+ EXTRA SEGMENT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</si>
  <si>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</si>
  <si>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</si>
  <si>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</si>
  <si>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</si>
  <si>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</si>
  <si>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</si>
  <si>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</si>
  <si>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</si>
  <si>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</si>
  <si>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16 MT</t>
  </si>
  <si>
    <t>PV Terms(Price Variation Formula)</t>
  </si>
  <si>
    <t>Item</t>
  </si>
  <si>
    <t>Ex-Work</t>
  </si>
  <si>
    <t>VALUE ADDITION CALCULATION</t>
  </si>
  <si>
    <t>Calculation part</t>
  </si>
  <si>
    <t>Date of Inspection</t>
  </si>
  <si>
    <t>Applicable Date</t>
  </si>
  <si>
    <t>BASE DATE</t>
  </si>
  <si>
    <t>FACTORS</t>
  </si>
  <si>
    <t>Ex-Work
Po</t>
  </si>
  <si>
    <t>PVC of al (PHASE)</t>
  </si>
  <si>
    <t>PVC of al (MESSENGER)</t>
  </si>
  <si>
    <t>PVC of CU tape</t>
  </si>
  <si>
    <t>PVC of XLPE (PHASE)</t>
  </si>
  <si>
    <t>PVC of PVC (PHASE)</t>
  </si>
  <si>
    <t xml:space="preserve">PVC of XLPE (MESSENGER) </t>
  </si>
  <si>
    <t>PV/PKM</t>
  </si>
  <si>
    <t>Billing Price/PKM</t>
  </si>
  <si>
    <t>RMC</t>
  </si>
  <si>
    <t>Drum</t>
  </si>
  <si>
    <t>RMC+Drum</t>
  </si>
  <si>
    <t>VA</t>
  </si>
  <si>
    <t>Groos VA%</t>
  </si>
  <si>
    <t>Mfg %</t>
  </si>
  <si>
    <t>Int %</t>
  </si>
  <si>
    <t>Ins%</t>
  </si>
  <si>
    <t>Net VA</t>
  </si>
  <si>
    <t>Date</t>
  </si>
  <si>
    <t>Al</t>
  </si>
  <si>
    <t>Cc</t>
  </si>
  <si>
    <t>CU</t>
  </si>
  <si>
    <t>Alo</t>
  </si>
  <si>
    <t>Cco</t>
  </si>
  <si>
    <t>Cuo</t>
  </si>
  <si>
    <t>n</t>
  </si>
  <si>
    <t>Alph</t>
  </si>
  <si>
    <t>Alm</t>
  </si>
  <si>
    <t>CUFtph</t>
  </si>
  <si>
    <t>CCF1Alph</t>
  </si>
  <si>
    <t>CCF2Alph</t>
  </si>
  <si>
    <t xml:space="preserve"> CCFAlm</t>
  </si>
  <si>
    <t>Kg/Km</t>
  </si>
  <si>
    <t>PROVISIONAL</t>
  </si>
  <si>
    <t>PVCco (PE ST 7)</t>
  </si>
  <si>
    <t>PVCc (PE ST 7)</t>
  </si>
  <si>
    <t>CABLE WEIGHT KG/KM</t>
  </si>
  <si>
    <t>DRUM WEIGHT</t>
  </si>
  <si>
    <t>CABLE+DRUM WEIGHT</t>
  </si>
  <si>
    <t>TRUCK WEIGHT</t>
  </si>
  <si>
    <t>ESTIMATE COST</t>
  </si>
  <si>
    <t>OUR COST</t>
  </si>
  <si>
    <t>DIFF % FROM OUR PRICE</t>
  </si>
  <si>
    <t>INCLUDING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</si>
</sst>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0.0000"/>
    <numFmt numFmtId="167" formatCode="&quot;Rs. &quot;#,##0.00"/>
    <numFmt numFmtId="168" formatCode="&quot;Rs.&quot;#,##0"/>
    <numFmt numFmtId="169" formatCode="0.0"/>
    <numFmt numFmtId="170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Verdana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1" fillId="0" borderId="0"/>
    <xf numFmtId="0" fontId="12" fillId="0" borderId="0"/>
    <xf numFmtId="0" fontId="12" fillId="0" borderId="0"/>
    <xf numFmtId="43" fontId="1" fillId="0" borderId="0" applyFont="0" applyFill="0" applyBorder="0" applyAlignment="0" applyProtection="0"/>
  </cellStyleXfs>
  <cellXfs count="173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1" applyFont="1" applyBorder="1" applyAlignment="1">
      <alignment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1" xfId="2" applyFont="1" applyBorder="1" applyAlignment="1">
      <alignment wrapText="1"/>
    </xf>
    <xf numFmtId="9" fontId="0" fillId="0" borderId="0" xfId="2" applyFont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wrapText="1"/>
    </xf>
    <xf numFmtId="3" fontId="0" fillId="0" borderId="1" xfId="0" applyNumberForma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1" xfId="2" applyNumberFormat="1" applyFont="1" applyBorder="1" applyAlignment="1">
      <alignment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2" fillId="5" borderId="5" xfId="0" applyFont="1" applyFill="1" applyBorder="1" applyAlignment="1">
      <alignment vertical="top" wrapText="1"/>
    </xf>
    <xf numFmtId="0" fontId="2" fillId="5" borderId="6" xfId="0" applyFont="1" applyFill="1" applyBorder="1" applyAlignment="1">
      <alignment vertical="top" wrapText="1"/>
    </xf>
    <xf numFmtId="0" fontId="9" fillId="0" borderId="0" xfId="0" applyFont="1"/>
    <xf numFmtId="10" fontId="2" fillId="0" borderId="1" xfId="2" applyNumberFormat="1" applyFont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164" fontId="8" fillId="0" borderId="0" xfId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43" fontId="2" fillId="0" borderId="1" xfId="7" applyFont="1" applyFill="1" applyBorder="1" applyAlignment="1">
      <alignment horizontal="center" vertical="center"/>
    </xf>
    <xf numFmtId="43" fontId="2" fillId="6" borderId="1" xfId="7" applyFont="1" applyFill="1" applyBorder="1" applyAlignment="1">
      <alignment horizontal="center" vertical="center"/>
    </xf>
    <xf numFmtId="43" fontId="0" fillId="0" borderId="1" xfId="0" applyNumberFormat="1" applyBorder="1" applyAlignment="1">
      <alignment wrapText="1"/>
    </xf>
    <xf numFmtId="0" fontId="11" fillId="0" borderId="1" xfId="4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1" fillId="0" borderId="0" xfId="4" applyAlignment="1">
      <alignment horizontal="center" vertical="center"/>
    </xf>
    <xf numFmtId="0" fontId="16" fillId="0" borderId="2" xfId="4" applyFont="1" applyBorder="1" applyAlignment="1">
      <alignment vertical="center" wrapText="1"/>
    </xf>
    <xf numFmtId="0" fontId="11" fillId="0" borderId="0" xfId="4" applyAlignment="1">
      <alignment horizontal="left"/>
    </xf>
    <xf numFmtId="0" fontId="17" fillId="0" borderId="0" xfId="4" applyFont="1" applyAlignment="1">
      <alignment horizontal="center"/>
    </xf>
    <xf numFmtId="0" fontId="17" fillId="0" borderId="0" xfId="5" applyFont="1"/>
    <xf numFmtId="0" fontId="11" fillId="0" borderId="0" xfId="4"/>
    <xf numFmtId="0" fontId="16" fillId="0" borderId="1" xfId="4" applyFont="1" applyBorder="1" applyAlignment="1">
      <alignment horizontal="center" vertical="center"/>
    </xf>
    <xf numFmtId="0" fontId="16" fillId="0" borderId="0" xfId="4" applyFont="1" applyAlignment="1">
      <alignment vertical="center"/>
    </xf>
    <xf numFmtId="166" fontId="16" fillId="0" borderId="0" xfId="4" applyNumberFormat="1" applyFont="1" applyAlignment="1">
      <alignment vertical="center"/>
    </xf>
    <xf numFmtId="0" fontId="11" fillId="0" borderId="0" xfId="4" applyAlignment="1">
      <alignment horizontal="center"/>
    </xf>
    <xf numFmtId="0" fontId="15" fillId="0" borderId="1" xfId="4" applyFont="1" applyBorder="1" applyAlignment="1">
      <alignment horizontal="center"/>
    </xf>
    <xf numFmtId="0" fontId="19" fillId="0" borderId="1" xfId="0" applyFont="1" applyBorder="1"/>
    <xf numFmtId="167" fontId="16" fillId="0" borderId="1" xfId="4" applyNumberFormat="1" applyFont="1" applyBorder="1" applyAlignment="1">
      <alignment vertical="center"/>
    </xf>
    <xf numFmtId="14" fontId="17" fillId="0" borderId="0" xfId="4" applyNumberFormat="1" applyFont="1" applyAlignment="1">
      <alignment horizontal="center"/>
    </xf>
    <xf numFmtId="0" fontId="15" fillId="0" borderId="0" xfId="4" applyFont="1"/>
    <xf numFmtId="0" fontId="11" fillId="0" borderId="0" xfId="4" applyAlignment="1">
      <alignment wrapText="1"/>
    </xf>
    <xf numFmtId="0" fontId="20" fillId="0" borderId="6" xfId="5" applyFont="1" applyBorder="1" applyAlignment="1">
      <alignment horizontal="center" vertical="center" wrapText="1"/>
    </xf>
    <xf numFmtId="0" fontId="20" fillId="0" borderId="1" xfId="5" applyFont="1" applyBorder="1" applyAlignment="1">
      <alignment horizontal="center" vertical="center" wrapText="1"/>
    </xf>
    <xf numFmtId="168" fontId="20" fillId="0" borderId="6" xfId="5" applyNumberFormat="1" applyFont="1" applyBorder="1" applyAlignment="1">
      <alignment horizontal="center" vertical="center" wrapText="1"/>
    </xf>
    <xf numFmtId="168" fontId="20" fillId="0" borderId="1" xfId="5" applyNumberFormat="1" applyFont="1" applyBorder="1" applyAlignment="1">
      <alignment horizontal="center"/>
    </xf>
    <xf numFmtId="0" fontId="15" fillId="0" borderId="6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17" xfId="4" applyFont="1" applyBorder="1" applyAlignment="1">
      <alignment horizontal="center" vertical="center"/>
    </xf>
    <xf numFmtId="168" fontId="20" fillId="0" borderId="1" xfId="5" applyNumberFormat="1" applyFont="1" applyBorder="1" applyAlignment="1">
      <alignment horizontal="center" vertical="center" wrapText="1"/>
    </xf>
    <xf numFmtId="1" fontId="20" fillId="0" borderId="1" xfId="5" applyNumberFormat="1" applyFont="1" applyBorder="1" applyAlignment="1">
      <alignment horizontal="center"/>
    </xf>
    <xf numFmtId="0" fontId="11" fillId="0" borderId="19" xfId="4" applyBorder="1" applyAlignment="1">
      <alignment horizontal="left" vertical="center" wrapText="1"/>
    </xf>
    <xf numFmtId="0" fontId="11" fillId="0" borderId="19" xfId="4" applyBorder="1"/>
    <xf numFmtId="14" fontId="17" fillId="0" borderId="19" xfId="5" applyNumberFormat="1" applyFont="1" applyBorder="1" applyAlignment="1">
      <alignment horizontal="center" vertical="center" wrapText="1"/>
    </xf>
    <xf numFmtId="169" fontId="21" fillId="0" borderId="1" xfId="6" applyNumberFormat="1" applyFont="1" applyBorder="1" applyAlignment="1">
      <alignment horizontal="center" vertical="center" wrapText="1"/>
    </xf>
    <xf numFmtId="169" fontId="17" fillId="0" borderId="1" xfId="6" applyNumberFormat="1" applyFont="1" applyBorder="1" applyAlignment="1">
      <alignment horizontal="center" vertical="center" wrapText="1"/>
    </xf>
    <xf numFmtId="169" fontId="21" fillId="0" borderId="17" xfId="6" applyNumberFormat="1" applyFont="1" applyBorder="1" applyAlignment="1">
      <alignment horizontal="center" vertical="center" wrapText="1"/>
    </xf>
    <xf numFmtId="14" fontId="17" fillId="9" borderId="6" xfId="6" applyNumberFormat="1" applyFont="1" applyFill="1" applyBorder="1" applyAlignment="1">
      <alignment horizontal="center" vertical="center" wrapText="1"/>
    </xf>
    <xf numFmtId="169" fontId="17" fillId="0" borderId="17" xfId="6" applyNumberFormat="1" applyFont="1" applyBorder="1" applyAlignment="1">
      <alignment horizontal="center" vertical="center" wrapText="1"/>
    </xf>
    <xf numFmtId="1" fontId="17" fillId="0" borderId="6" xfId="5" applyNumberFormat="1" applyFont="1" applyBorder="1" applyAlignment="1">
      <alignment horizontal="center" vertical="center" wrapText="1"/>
    </xf>
    <xf numFmtId="170" fontId="17" fillId="0" borderId="1" xfId="5" applyNumberFormat="1" applyFont="1" applyBorder="1" applyAlignment="1">
      <alignment horizontal="center" vertical="center" wrapText="1"/>
    </xf>
    <xf numFmtId="170" fontId="17" fillId="0" borderId="17" xfId="5" applyNumberFormat="1" applyFont="1" applyBorder="1" applyAlignment="1">
      <alignment horizontal="center" vertical="center" wrapText="1"/>
    </xf>
    <xf numFmtId="2" fontId="16" fillId="0" borderId="19" xfId="5" applyNumberFormat="1" applyFont="1" applyBorder="1" applyAlignment="1">
      <alignment horizontal="center" vertical="center" wrapText="1"/>
    </xf>
    <xf numFmtId="2" fontId="17" fillId="0" borderId="6" xfId="5" applyNumberFormat="1" applyFont="1" applyBorder="1" applyAlignment="1">
      <alignment horizontal="center" vertical="center" wrapText="1"/>
    </xf>
    <xf numFmtId="2" fontId="17" fillId="0" borderId="1" xfId="5" applyNumberFormat="1" applyFont="1" applyBorder="1" applyAlignment="1">
      <alignment horizontal="center" vertical="center" wrapText="1"/>
    </xf>
    <xf numFmtId="2" fontId="11" fillId="0" borderId="17" xfId="4" applyNumberFormat="1" applyBorder="1" applyAlignment="1">
      <alignment horizontal="center" vertical="center"/>
    </xf>
    <xf numFmtId="2" fontId="11" fillId="8" borderId="19" xfId="4" applyNumberFormat="1" applyFill="1" applyBorder="1" applyAlignment="1">
      <alignment horizontal="center" vertical="center"/>
    </xf>
    <xf numFmtId="170" fontId="12" fillId="0" borderId="6" xfId="5" applyNumberFormat="1" applyBorder="1" applyAlignment="1">
      <alignment vertical="center"/>
    </xf>
    <xf numFmtId="170" fontId="12" fillId="0" borderId="1" xfId="5" applyNumberFormat="1" applyBorder="1" applyAlignment="1">
      <alignment vertical="center"/>
    </xf>
    <xf numFmtId="2" fontId="20" fillId="0" borderId="1" xfId="5" applyNumberFormat="1" applyFont="1" applyBorder="1" applyAlignment="1">
      <alignment vertical="center"/>
    </xf>
    <xf numFmtId="2" fontId="12" fillId="0" borderId="1" xfId="5" applyNumberFormat="1" applyBorder="1" applyAlignment="1">
      <alignment vertical="center"/>
    </xf>
    <xf numFmtId="2" fontId="20" fillId="0" borderId="17" xfId="5" applyNumberFormat="1" applyFont="1" applyBorder="1" applyAlignment="1">
      <alignment vertical="center"/>
    </xf>
    <xf numFmtId="0" fontId="11" fillId="0" borderId="20" xfId="4" applyBorder="1"/>
    <xf numFmtId="0" fontId="11" fillId="0" borderId="21" xfId="4" applyBorder="1"/>
    <xf numFmtId="0" fontId="11" fillId="0" borderId="22" xfId="4" applyBorder="1"/>
    <xf numFmtId="0" fontId="11" fillId="0" borderId="23" xfId="4" applyBorder="1"/>
    <xf numFmtId="14" fontId="17" fillId="9" borderId="6" xfId="5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justify" vertical="top" wrapText="1"/>
    </xf>
    <xf numFmtId="0" fontId="10" fillId="0" borderId="3" xfId="0" applyFont="1" applyBorder="1" applyAlignment="1">
      <alignment horizontal="justify" vertical="top" wrapText="1"/>
    </xf>
    <xf numFmtId="0" fontId="10" fillId="0" borderId="4" xfId="0" applyFont="1" applyBorder="1" applyAlignment="1">
      <alignment horizontal="justify" vertical="top" wrapText="1"/>
    </xf>
    <xf numFmtId="0" fontId="0" fillId="0" borderId="1" xfId="0" applyBorder="1" applyAlignment="1">
      <alignment vertical="center" wrapText="1"/>
    </xf>
    <xf numFmtId="0" fontId="16" fillId="0" borderId="1" xfId="5" applyFont="1" applyBorder="1" applyAlignment="1">
      <alignment horizontal="center" vertical="center" wrapText="1"/>
    </xf>
    <xf numFmtId="0" fontId="16" fillId="0" borderId="17" xfId="5" applyFont="1" applyBorder="1" applyAlignment="1">
      <alignment horizontal="center" vertical="center" wrapText="1"/>
    </xf>
    <xf numFmtId="0" fontId="16" fillId="0" borderId="6" xfId="5" applyFont="1" applyBorder="1" applyAlignment="1">
      <alignment horizontal="center" vertical="center" wrapText="1"/>
    </xf>
    <xf numFmtId="0" fontId="20" fillId="0" borderId="1" xfId="5" applyFont="1" applyBorder="1" applyAlignment="1">
      <alignment horizontal="center" vertical="center" wrapText="1"/>
    </xf>
    <xf numFmtId="0" fontId="20" fillId="0" borderId="17" xfId="5" applyFont="1" applyBorder="1" applyAlignment="1">
      <alignment horizontal="center" vertical="center" wrapText="1"/>
    </xf>
    <xf numFmtId="0" fontId="16" fillId="0" borderId="15" xfId="5" applyFont="1" applyBorder="1" applyAlignment="1">
      <alignment horizontal="center" vertical="center" wrapText="1"/>
    </xf>
    <xf numFmtId="0" fontId="16" fillId="0" borderId="16" xfId="5" applyFont="1" applyBorder="1" applyAlignment="1">
      <alignment horizontal="center" vertical="center" wrapText="1"/>
    </xf>
    <xf numFmtId="0" fontId="16" fillId="8" borderId="18" xfId="5" applyFont="1" applyFill="1" applyBorder="1" applyAlignment="1">
      <alignment horizontal="center" vertical="center" wrapText="1"/>
    </xf>
    <xf numFmtId="0" fontId="16" fillId="8" borderId="19" xfId="5" applyFont="1" applyFill="1" applyBorder="1" applyAlignment="1">
      <alignment horizontal="center" vertical="center" wrapText="1"/>
    </xf>
    <xf numFmtId="0" fontId="16" fillId="0" borderId="18" xfId="5" applyFont="1" applyBorder="1" applyAlignment="1">
      <alignment horizontal="center" vertical="center" wrapText="1"/>
    </xf>
    <xf numFmtId="0" fontId="16" fillId="0" borderId="19" xfId="5" applyFont="1" applyBorder="1" applyAlignment="1">
      <alignment horizontal="center" vertical="center" wrapText="1"/>
    </xf>
    <xf numFmtId="0" fontId="16" fillId="0" borderId="5" xfId="5" applyFont="1" applyBorder="1" applyAlignment="1">
      <alignment horizontal="center" vertical="center" wrapText="1"/>
    </xf>
    <xf numFmtId="14" fontId="15" fillId="5" borderId="10" xfId="4" applyNumberFormat="1" applyFont="1" applyFill="1" applyBorder="1" applyAlignment="1">
      <alignment horizontal="center" vertical="center"/>
    </xf>
    <xf numFmtId="0" fontId="15" fillId="5" borderId="11" xfId="4" applyFont="1" applyFill="1" applyBorder="1" applyAlignment="1">
      <alignment horizontal="center" vertical="center"/>
    </xf>
    <xf numFmtId="0" fontId="15" fillId="5" borderId="12" xfId="4" applyFont="1" applyFill="1" applyBorder="1" applyAlignment="1">
      <alignment horizontal="center" vertical="center"/>
    </xf>
    <xf numFmtId="0" fontId="18" fillId="0" borderId="7" xfId="4" applyFont="1" applyBorder="1" applyAlignment="1">
      <alignment vertical="center" wrapText="1"/>
    </xf>
    <xf numFmtId="0" fontId="16" fillId="0" borderId="8" xfId="4" applyFont="1" applyBorder="1" applyAlignment="1">
      <alignment vertical="center" wrapText="1"/>
    </xf>
    <xf numFmtId="0" fontId="16" fillId="0" borderId="9" xfId="4" applyFont="1" applyBorder="1" applyAlignment="1">
      <alignment vertical="center" wrapText="1"/>
    </xf>
    <xf numFmtId="0" fontId="16" fillId="0" borderId="1" xfId="4" applyFont="1" applyBorder="1" applyAlignment="1">
      <alignment horizontal="center" vertical="center"/>
    </xf>
    <xf numFmtId="0" fontId="16" fillId="0" borderId="13" xfId="4" applyFont="1" applyBorder="1" applyAlignment="1">
      <alignment horizontal="center" vertical="center"/>
    </xf>
    <xf numFmtId="0" fontId="16" fillId="0" borderId="14" xfId="4" applyFont="1" applyBorder="1" applyAlignment="1">
      <alignment horizontal="center" vertical="center"/>
    </xf>
    <xf numFmtId="0" fontId="20" fillId="0" borderId="5" xfId="5" applyFont="1" applyBorder="1" applyAlignment="1">
      <alignment horizontal="center" vertical="center"/>
    </xf>
    <xf numFmtId="0" fontId="20" fillId="0" borderId="15" xfId="5" applyFont="1" applyBorder="1" applyAlignment="1">
      <alignment horizontal="center" vertical="center"/>
    </xf>
    <xf numFmtId="0" fontId="20" fillId="0" borderId="16" xfId="5" applyFont="1" applyBorder="1" applyAlignment="1">
      <alignment horizontal="center" vertical="center"/>
    </xf>
    <xf numFmtId="0" fontId="20" fillId="0" borderId="6" xfId="5" applyFont="1" applyBorder="1" applyAlignment="1">
      <alignment horizontal="center" vertical="center"/>
    </xf>
    <xf numFmtId="0" fontId="20" fillId="0" borderId="1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0" fontId="15" fillId="0" borderId="18" xfId="4" applyFont="1" applyBorder="1" applyAlignment="1">
      <alignment horizontal="center" vertical="center"/>
    </xf>
    <xf numFmtId="0" fontId="15" fillId="0" borderId="19" xfId="4" applyFont="1" applyBorder="1" applyAlignment="1">
      <alignment horizontal="center" vertical="center"/>
    </xf>
    <xf numFmtId="0" fontId="15" fillId="0" borderId="18" xfId="4" applyFont="1" applyBorder="1" applyAlignment="1">
      <alignment horizontal="center" vertical="center" wrapText="1"/>
    </xf>
    <xf numFmtId="0" fontId="15" fillId="0" borderId="19" xfId="4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1" applyFont="1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horizontal="center" vertical="top"/>
    </xf>
    <xf numFmtId="164" fontId="0" fillId="0" borderId="0" xfId="1" applyFont="1" applyAlignment="1">
      <alignment wrapText="1"/>
    </xf>
    <xf numFmtId="9" fontId="0" fillId="0" borderId="0" xfId="2" applyFont="1" applyAlignment="1">
      <alignment vertical="top"/>
    </xf>
  </cellXfs>
  <cellStyles count="8">
    <cellStyle name="Comma" xfId="1" builtinId="3"/>
    <cellStyle name="Comma 3" xfId="7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2 2 2" xfId="6" xr:uid="{00000000-0005-0000-0000-000005000000}"/>
    <cellStyle name="Normal 6 2" xfId="4" xr:uid="{00000000-0005-0000-0000-000006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0"/>
  <sheetViews>
    <sheetView topLeftCell="U1" workbookViewId="0">
      <selection activeCell="AL2" sqref="AL2"/>
    </sheetView>
  </sheetViews>
  <sheetFormatPr defaultRowHeight="15" x14ac:dyDescent="0.25"/>
  <cols>
    <col min="1" max="2" width="16" customWidth="1"/>
    <col min="3" max="3" width="16.140625" customWidth="1"/>
    <col min="4" max="5" width="69.7109375" customWidth="1"/>
    <col min="6" max="17" width="8.85546875" customWidth="1"/>
    <col min="18" max="18" width="37.85546875" bestFit="1" customWidth="1"/>
    <col min="19" max="19" width="8.85546875" customWidth="1"/>
    <col min="20" max="20" width="47" bestFit="1" customWidth="1"/>
    <col min="21" max="78" width="8.85546875" customWidth="1"/>
    <col min="79" max="79" width="9.5703125" customWidth="1"/>
    <col min="80" max="82" width="8.85546875" customWidth="1"/>
    <col min="83" max="83" width="10.5703125" customWidth="1"/>
    <col min="84" max="84" width="8.85546875" customWidth="1"/>
    <col min="85" max="85" width="10.5703125" customWidth="1"/>
    <col min="86" max="86" width="11.5703125" customWidth="1"/>
    <col min="87" max="87" width="8.85546875" customWidth="1"/>
    <col min="88" max="88" width="11.5703125" customWidth="1"/>
    <col min="89" max="90" width="8.85546875" customWidth="1"/>
    <col min="91" max="91" width="11.5703125" style="4" bestFit="1" customWidth="1"/>
    <col min="92" max="92" width="8.85546875" customWidth="1"/>
    <col min="93" max="93" width="11.5703125" customWidth="1"/>
    <col min="94" max="94" width="8.85546875" customWidth="1"/>
    <col min="95" max="96" width="11.5703125" customWidth="1"/>
    <col min="99" max="99" width="11.5703125" bestFit="1" customWidth="1"/>
  </cols>
  <sheetData>
    <row r="1" spans="1:102" s="18" customFormat="1" x14ac:dyDescent="0.25">
      <c r="A1" t="s">
        <v>0</v>
      </c>
      <c r="B1" t="s">
        <v>98</v>
      </c>
      <c r="C1" t="s">
        <v>1</v>
      </c>
      <c r="D1" t="s">
        <v>2</v>
      </c>
      <c r="E1" t="s">
        <v>112</v>
      </c>
      <c r="F1" t="s">
        <v>113</v>
      </c>
      <c r="G1" t="s">
        <v>114</v>
      </c>
      <c r="H1" t="s">
        <v>4</v>
      </c>
      <c r="I1" t="s">
        <v>115</v>
      </c>
      <c r="J1" t="s">
        <v>5</v>
      </c>
      <c r="K1" t="s">
        <v>116</v>
      </c>
      <c r="L1" t="s">
        <v>117</v>
      </c>
      <c r="M1" t="s">
        <v>118</v>
      </c>
      <c r="N1" t="s">
        <v>6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8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10</v>
      </c>
      <c r="AE1" t="s">
        <v>133</v>
      </c>
      <c r="AF1" t="s">
        <v>134</v>
      </c>
      <c r="AG1" t="s">
        <v>135</v>
      </c>
      <c r="AH1" t="s">
        <v>11</v>
      </c>
      <c r="AI1" t="s">
        <v>136</v>
      </c>
      <c r="AJ1" t="s">
        <v>137</v>
      </c>
      <c r="AK1" t="s">
        <v>138</v>
      </c>
      <c r="AL1" t="s">
        <v>12</v>
      </c>
      <c r="AM1" t="s">
        <v>139</v>
      </c>
      <c r="AN1" t="s">
        <v>140</v>
      </c>
      <c r="AO1" t="s">
        <v>141</v>
      </c>
      <c r="AP1" t="s">
        <v>142</v>
      </c>
      <c r="AQ1" t="s">
        <v>143</v>
      </c>
      <c r="AR1" t="s">
        <v>144</v>
      </c>
      <c r="AS1" t="s">
        <v>145</v>
      </c>
      <c r="AT1" t="s">
        <v>53</v>
      </c>
      <c r="AU1" t="s">
        <v>146</v>
      </c>
      <c r="AV1" t="s">
        <v>147</v>
      </c>
      <c r="AW1" t="s">
        <v>148</v>
      </c>
      <c r="AX1" t="s">
        <v>149</v>
      </c>
      <c r="AY1" t="s">
        <v>150</v>
      </c>
      <c r="AZ1" t="s">
        <v>151</v>
      </c>
      <c r="BA1" t="s">
        <v>152</v>
      </c>
      <c r="BB1" t="s">
        <v>153</v>
      </c>
      <c r="BC1" t="s">
        <v>154</v>
      </c>
      <c r="BD1" t="s">
        <v>155</v>
      </c>
      <c r="BE1" t="s">
        <v>156</v>
      </c>
      <c r="BF1" t="s">
        <v>157</v>
      </c>
      <c r="BG1" t="s">
        <v>158</v>
      </c>
      <c r="BH1" t="s">
        <v>159</v>
      </c>
      <c r="BI1" t="s">
        <v>160</v>
      </c>
      <c r="BJ1" t="s">
        <v>161</v>
      </c>
      <c r="BK1" t="s">
        <v>162</v>
      </c>
      <c r="BL1" t="s">
        <v>163</v>
      </c>
      <c r="BM1" t="s">
        <v>164</v>
      </c>
      <c r="BN1" t="s">
        <v>165</v>
      </c>
      <c r="BO1" t="s">
        <v>166</v>
      </c>
      <c r="BP1" t="s">
        <v>167</v>
      </c>
      <c r="BQ1" t="s">
        <v>168</v>
      </c>
      <c r="BR1" t="s">
        <v>169</v>
      </c>
      <c r="BS1" t="s">
        <v>170</v>
      </c>
      <c r="BT1" t="s">
        <v>171</v>
      </c>
      <c r="BU1" t="s">
        <v>172</v>
      </c>
      <c r="BV1" t="s">
        <v>21</v>
      </c>
      <c r="BW1" t="s">
        <v>173</v>
      </c>
      <c r="BX1" t="s">
        <v>174</v>
      </c>
      <c r="BY1" t="s">
        <v>175</v>
      </c>
      <c r="BZ1" t="s">
        <v>176</v>
      </c>
      <c r="CA1" t="s">
        <v>177</v>
      </c>
      <c r="CB1" t="s">
        <v>24</v>
      </c>
      <c r="CC1" t="s">
        <v>178</v>
      </c>
      <c r="CD1" t="s">
        <v>25</v>
      </c>
      <c r="CE1" t="s">
        <v>179</v>
      </c>
      <c r="CF1" t="s">
        <v>27</v>
      </c>
      <c r="CG1" t="s">
        <v>180</v>
      </c>
      <c r="CH1" t="s">
        <v>181</v>
      </c>
      <c r="CI1" t="s">
        <v>30</v>
      </c>
      <c r="CJ1" t="s">
        <v>182</v>
      </c>
      <c r="CK1" t="s">
        <v>32</v>
      </c>
      <c r="CL1" t="s">
        <v>183</v>
      </c>
      <c r="CM1" t="s">
        <v>184</v>
      </c>
      <c r="CN1" t="s">
        <v>185</v>
      </c>
      <c r="CO1" t="s">
        <v>186</v>
      </c>
      <c r="CP1" t="s">
        <v>37</v>
      </c>
      <c r="CQ1" t="s">
        <v>187</v>
      </c>
      <c r="CR1" t="s">
        <v>188</v>
      </c>
      <c r="CS1" t="s">
        <v>40</v>
      </c>
      <c r="CT1" t="s">
        <v>41</v>
      </c>
      <c r="CU1" t="s">
        <v>189</v>
      </c>
      <c r="CV1" t="s">
        <v>99</v>
      </c>
      <c r="CW1" t="s">
        <v>100</v>
      </c>
      <c r="CX1" t="s">
        <v>190</v>
      </c>
    </row>
    <row r="2" spans="1:102" x14ac:dyDescent="0.25">
      <c r="A2" t="s">
        <v>191</v>
      </c>
      <c r="B2" s="55">
        <v>45505</v>
      </c>
      <c r="C2" t="s">
        <v>192</v>
      </c>
      <c r="D2" t="s">
        <v>193</v>
      </c>
      <c r="E2" t="s">
        <v>194</v>
      </c>
      <c r="F2" t="s">
        <v>72</v>
      </c>
      <c r="G2">
        <v>914.72</v>
      </c>
      <c r="H2">
        <v>105</v>
      </c>
      <c r="I2">
        <v>96045.6</v>
      </c>
      <c r="J2" t="s">
        <v>44</v>
      </c>
      <c r="K2">
        <v>242</v>
      </c>
      <c r="L2">
        <v>1504</v>
      </c>
      <c r="M2">
        <v>363968</v>
      </c>
      <c r="N2" t="s">
        <v>195</v>
      </c>
      <c r="O2">
        <v>249</v>
      </c>
      <c r="P2">
        <v>406</v>
      </c>
      <c r="Q2" s="56">
        <v>101094</v>
      </c>
      <c r="R2" t="s">
        <v>196</v>
      </c>
      <c r="S2">
        <v>189</v>
      </c>
      <c r="T2">
        <v>226</v>
      </c>
      <c r="U2" s="56">
        <v>42714</v>
      </c>
      <c r="V2" t="s">
        <v>54</v>
      </c>
      <c r="W2">
        <v>140</v>
      </c>
      <c r="X2">
        <v>677</v>
      </c>
      <c r="Y2" s="56">
        <v>94780</v>
      </c>
      <c r="AB2">
        <v>35</v>
      </c>
      <c r="AF2">
        <v>0</v>
      </c>
      <c r="AJ2">
        <v>0</v>
      </c>
      <c r="AL2" t="s">
        <v>197</v>
      </c>
      <c r="AM2">
        <v>106</v>
      </c>
      <c r="AN2">
        <v>796</v>
      </c>
      <c r="AO2">
        <v>84376</v>
      </c>
      <c r="AR2">
        <v>0</v>
      </c>
      <c r="AV2">
        <v>0</v>
      </c>
      <c r="AZ2">
        <v>0</v>
      </c>
      <c r="BD2">
        <v>0</v>
      </c>
      <c r="BH2">
        <v>0</v>
      </c>
      <c r="BL2">
        <v>0</v>
      </c>
      <c r="BP2">
        <v>0</v>
      </c>
      <c r="BT2">
        <v>0</v>
      </c>
      <c r="BX2">
        <v>0</v>
      </c>
      <c r="BZ2">
        <v>34312</v>
      </c>
      <c r="CA2">
        <v>817289.6</v>
      </c>
      <c r="CH2">
        <v>817289.6</v>
      </c>
      <c r="CM2">
        <v>817289.6</v>
      </c>
      <c r="CO2">
        <v>817289.6</v>
      </c>
      <c r="CP2" s="57">
        <v>0.18</v>
      </c>
      <c r="CQ2">
        <v>147112.13</v>
      </c>
      <c r="CR2">
        <v>964401.73</v>
      </c>
      <c r="CS2">
        <v>20</v>
      </c>
      <c r="CT2" t="s">
        <v>198</v>
      </c>
      <c r="CU2" s="58">
        <v>19288035</v>
      </c>
      <c r="CV2" t="s">
        <v>199</v>
      </c>
      <c r="CW2" t="s">
        <v>200</v>
      </c>
      <c r="CX2">
        <v>500</v>
      </c>
    </row>
    <row r="3" spans="1:102" x14ac:dyDescent="0.25">
      <c r="A3" s="2"/>
      <c r="B3" s="51"/>
      <c r="C3" s="2"/>
      <c r="D3" s="2"/>
      <c r="E3" s="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24"/>
      <c r="AI3" s="10"/>
      <c r="AJ3" s="10"/>
      <c r="AK3" s="10"/>
      <c r="AL3" s="24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1"/>
      <c r="CC3" s="10"/>
      <c r="CD3" s="11"/>
      <c r="CE3" s="10"/>
      <c r="CF3" s="11"/>
      <c r="CG3" s="10"/>
      <c r="CH3" s="10"/>
      <c r="CI3" s="11"/>
      <c r="CJ3" s="10"/>
      <c r="CK3" s="11"/>
      <c r="CL3" s="10"/>
      <c r="CM3" s="10"/>
      <c r="CN3" s="10"/>
      <c r="CO3" s="10"/>
      <c r="CP3" s="11"/>
      <c r="CQ3" s="10"/>
      <c r="CR3" s="10"/>
      <c r="CS3" s="10"/>
      <c r="CT3" s="10"/>
      <c r="CU3" s="12"/>
    </row>
    <row r="4" spans="1:102" x14ac:dyDescent="0.25">
      <c r="A4" s="2"/>
      <c r="B4" s="51"/>
      <c r="C4" s="2"/>
      <c r="D4" s="2"/>
      <c r="E4" s="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24"/>
      <c r="AI4" s="10"/>
      <c r="AJ4" s="10"/>
      <c r="AK4" s="10"/>
      <c r="AL4" s="24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1"/>
      <c r="CC4" s="10"/>
      <c r="CD4" s="11"/>
      <c r="CE4" s="10"/>
      <c r="CF4" s="11"/>
      <c r="CG4" s="10"/>
      <c r="CH4" s="10"/>
      <c r="CI4" s="11"/>
      <c r="CJ4" s="10"/>
      <c r="CK4" s="11"/>
      <c r="CL4" s="10"/>
      <c r="CM4" s="10"/>
      <c r="CN4" s="10"/>
      <c r="CO4" s="10"/>
      <c r="CP4" s="11"/>
      <c r="CQ4" s="10"/>
      <c r="CR4" s="10"/>
      <c r="CS4" s="10"/>
      <c r="CT4" s="10"/>
      <c r="CU4" s="12"/>
    </row>
    <row r="5" spans="1:102" x14ac:dyDescent="0.25">
      <c r="A5" s="2"/>
      <c r="B5" s="2"/>
      <c r="C5" s="2"/>
      <c r="D5" s="2"/>
      <c r="E5" s="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24"/>
      <c r="AI5" s="10"/>
      <c r="AJ5" s="10"/>
      <c r="AK5" s="10"/>
      <c r="AL5" s="24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1"/>
      <c r="CC5" s="10"/>
      <c r="CD5" s="11"/>
      <c r="CE5" s="10"/>
      <c r="CF5" s="11"/>
      <c r="CG5" s="10"/>
      <c r="CH5" s="10"/>
      <c r="CI5" s="11"/>
      <c r="CJ5" s="10"/>
      <c r="CK5" s="11"/>
      <c r="CL5" s="10"/>
      <c r="CM5" s="10"/>
      <c r="CN5" s="10"/>
      <c r="CO5" s="10"/>
      <c r="CP5" s="11"/>
      <c r="CQ5" s="10"/>
      <c r="CR5" s="10"/>
      <c r="CS5" s="10"/>
      <c r="CT5" s="10"/>
      <c r="CU5" s="12"/>
    </row>
    <row r="6" spans="1:102" x14ac:dyDescent="0.25">
      <c r="A6" s="2"/>
      <c r="B6" s="2"/>
      <c r="C6" s="2"/>
      <c r="D6" s="2"/>
      <c r="E6" s="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4"/>
      <c r="AI6" s="10"/>
      <c r="AJ6" s="10"/>
      <c r="AK6" s="10"/>
      <c r="AL6" s="24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1"/>
      <c r="CC6" s="10"/>
      <c r="CD6" s="11"/>
      <c r="CE6" s="10"/>
      <c r="CF6" s="11"/>
      <c r="CG6" s="10"/>
      <c r="CH6" s="10"/>
      <c r="CI6" s="11"/>
      <c r="CJ6" s="10"/>
      <c r="CK6" s="11"/>
      <c r="CL6" s="10"/>
      <c r="CM6" s="10"/>
      <c r="CN6" s="10"/>
      <c r="CO6" s="10"/>
      <c r="CP6" s="11"/>
      <c r="CQ6" s="10"/>
      <c r="CR6" s="10"/>
      <c r="CS6" s="10"/>
      <c r="CT6" s="10"/>
      <c r="CU6" s="12"/>
    </row>
    <row r="7" spans="1:102" x14ac:dyDescent="0.25">
      <c r="A7" s="2"/>
      <c r="B7" s="2"/>
      <c r="C7" s="2"/>
      <c r="D7" s="2"/>
      <c r="E7" s="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4"/>
      <c r="AI7" s="10"/>
      <c r="AJ7" s="10"/>
      <c r="AK7" s="10"/>
      <c r="AL7" s="24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1"/>
      <c r="CC7" s="10"/>
      <c r="CD7" s="11"/>
      <c r="CE7" s="10"/>
      <c r="CF7" s="11"/>
      <c r="CG7" s="10"/>
      <c r="CH7" s="10"/>
      <c r="CI7" s="11"/>
      <c r="CJ7" s="10"/>
      <c r="CK7" s="11"/>
      <c r="CL7" s="10"/>
      <c r="CM7" s="10"/>
      <c r="CN7" s="10"/>
      <c r="CO7" s="10"/>
      <c r="CP7" s="11"/>
      <c r="CQ7" s="10"/>
      <c r="CR7" s="10"/>
      <c r="CS7" s="10"/>
      <c r="CT7" s="10"/>
      <c r="CU7" s="12"/>
    </row>
    <row r="8" spans="1:102" x14ac:dyDescent="0.25">
      <c r="A8" s="2"/>
      <c r="B8" s="2"/>
      <c r="C8" s="2"/>
      <c r="D8" s="2"/>
      <c r="E8" s="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4"/>
      <c r="AI8" s="10"/>
      <c r="AJ8" s="10"/>
      <c r="AK8" s="10"/>
      <c r="AL8" s="24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1"/>
      <c r="CC8" s="10"/>
      <c r="CD8" s="11"/>
      <c r="CE8" s="10"/>
      <c r="CF8" s="11"/>
      <c r="CG8" s="10"/>
      <c r="CH8" s="10"/>
      <c r="CI8" s="11"/>
      <c r="CJ8" s="10"/>
      <c r="CK8" s="11"/>
      <c r="CL8" s="10"/>
      <c r="CM8" s="10"/>
      <c r="CN8" s="10"/>
      <c r="CO8" s="10"/>
      <c r="CP8" s="11"/>
      <c r="CQ8" s="10"/>
      <c r="CR8" s="10"/>
      <c r="CS8" s="10"/>
      <c r="CT8" s="10"/>
      <c r="CU8" s="12"/>
    </row>
    <row r="9" spans="1:102" x14ac:dyDescent="0.25">
      <c r="A9" s="2"/>
      <c r="B9" s="2"/>
      <c r="C9" s="2"/>
      <c r="D9" s="2"/>
      <c r="E9" s="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4"/>
      <c r="AI9" s="10"/>
      <c r="AJ9" s="10"/>
      <c r="AK9" s="10"/>
      <c r="AL9" s="24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1"/>
      <c r="CC9" s="10"/>
      <c r="CD9" s="11"/>
      <c r="CE9" s="10"/>
      <c r="CF9" s="11"/>
      <c r="CG9" s="10"/>
      <c r="CH9" s="10"/>
      <c r="CI9" s="11"/>
      <c r="CJ9" s="10"/>
      <c r="CK9" s="11"/>
      <c r="CL9" s="10"/>
      <c r="CM9" s="10"/>
      <c r="CN9" s="10"/>
      <c r="CO9" s="10"/>
      <c r="CP9" s="11"/>
      <c r="CQ9" s="10"/>
      <c r="CR9" s="10"/>
      <c r="CS9" s="10"/>
      <c r="CT9" s="10"/>
      <c r="CU9" s="12"/>
    </row>
    <row r="10" spans="1:102" x14ac:dyDescent="0.25">
      <c r="A10" s="2"/>
      <c r="B10" s="2"/>
      <c r="C10" s="2"/>
      <c r="D10" s="2"/>
      <c r="E10" s="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4"/>
      <c r="AI10" s="10"/>
      <c r="AJ10" s="10"/>
      <c r="AK10" s="10"/>
      <c r="AL10" s="24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1"/>
      <c r="CC10" s="10"/>
      <c r="CD10" s="11"/>
      <c r="CE10" s="10"/>
      <c r="CF10" s="11"/>
      <c r="CG10" s="10"/>
      <c r="CH10" s="10"/>
      <c r="CI10" s="11"/>
      <c r="CJ10" s="10"/>
      <c r="CK10" s="11"/>
      <c r="CL10" s="10"/>
      <c r="CM10" s="10"/>
      <c r="CN10" s="10"/>
      <c r="CO10" s="10"/>
      <c r="CP10" s="11"/>
      <c r="CQ10" s="10"/>
      <c r="CR10" s="10"/>
      <c r="CS10" s="10"/>
      <c r="CT10" s="10"/>
      <c r="CU10" s="12"/>
    </row>
    <row r="11" spans="1:10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"/>
      <c r="AQ11" s="10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6"/>
      <c r="CC11" s="1"/>
      <c r="CD11" s="16"/>
      <c r="CE11" s="1"/>
      <c r="CF11" s="16"/>
      <c r="CG11" s="1"/>
      <c r="CH11" s="1"/>
      <c r="CI11" s="16"/>
      <c r="CJ11" s="1"/>
      <c r="CK11" s="16"/>
      <c r="CL11" s="1"/>
      <c r="CM11" s="3"/>
      <c r="CN11" s="1"/>
      <c r="CO11" s="1"/>
      <c r="CP11" s="16"/>
      <c r="CQ11" s="1"/>
      <c r="CR11" s="1"/>
      <c r="CS11" s="1"/>
      <c r="CT11" s="1"/>
      <c r="CU11" s="17"/>
    </row>
    <row r="12" spans="1:10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0"/>
      <c r="AE12" s="10"/>
      <c r="AF12" s="10"/>
      <c r="AG12" s="10"/>
      <c r="AH12" s="1"/>
      <c r="AI12" s="1"/>
      <c r="AJ12" s="1"/>
      <c r="AK12" s="1"/>
      <c r="AL12" s="1"/>
      <c r="AM12" s="1"/>
      <c r="AN12" s="1"/>
      <c r="AO12" s="1"/>
      <c r="AP12" s="10"/>
      <c r="AQ12" s="10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6"/>
      <c r="CC12" s="1"/>
      <c r="CD12" s="16"/>
      <c r="CE12" s="1"/>
      <c r="CF12" s="16"/>
      <c r="CG12" s="1"/>
      <c r="CH12" s="1"/>
      <c r="CI12" s="16"/>
      <c r="CJ12" s="1"/>
      <c r="CK12" s="16"/>
      <c r="CL12" s="1"/>
      <c r="CM12" s="3"/>
      <c r="CN12" s="1"/>
      <c r="CO12" s="1"/>
      <c r="CP12" s="16"/>
      <c r="CQ12" s="1"/>
      <c r="CR12" s="1"/>
      <c r="CS12" s="1"/>
      <c r="CT12" s="1"/>
      <c r="CU12" s="17"/>
    </row>
    <row r="13" spans="1:10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0"/>
      <c r="AE13" s="10"/>
      <c r="AF13" s="10"/>
      <c r="AG13" s="10"/>
      <c r="AH13" s="1"/>
      <c r="AI13" s="1"/>
      <c r="AJ13" s="1"/>
      <c r="AK13" s="1"/>
      <c r="AL13" s="1"/>
      <c r="AM13" s="1"/>
      <c r="AN13" s="1"/>
      <c r="AO13" s="1"/>
      <c r="AP13" s="10"/>
      <c r="AQ13" s="10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6"/>
      <c r="CC13" s="1"/>
      <c r="CD13" s="16"/>
      <c r="CE13" s="1"/>
      <c r="CF13" s="16"/>
      <c r="CG13" s="1"/>
      <c r="CH13" s="1"/>
      <c r="CI13" s="16"/>
      <c r="CJ13" s="1"/>
      <c r="CK13" s="16"/>
      <c r="CL13" s="1"/>
      <c r="CM13" s="3"/>
      <c r="CN13" s="1"/>
      <c r="CO13" s="1"/>
      <c r="CP13" s="16"/>
      <c r="CQ13" s="1"/>
      <c r="CR13" s="1"/>
      <c r="CS13" s="1"/>
      <c r="CT13" s="1"/>
      <c r="CU13" s="17"/>
    </row>
    <row r="14" spans="1:10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4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"/>
      <c r="AQ14" s="10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6"/>
      <c r="CC14" s="1"/>
      <c r="CD14" s="16"/>
      <c r="CE14" s="1"/>
      <c r="CF14" s="16"/>
      <c r="CG14" s="1"/>
      <c r="CH14" s="1"/>
      <c r="CI14" s="16"/>
      <c r="CJ14" s="1"/>
      <c r="CK14" s="16"/>
      <c r="CL14" s="1"/>
      <c r="CM14" s="3"/>
      <c r="CN14" s="1"/>
      <c r="CO14" s="1"/>
      <c r="CP14" s="16"/>
      <c r="CQ14" s="1"/>
      <c r="CR14" s="1"/>
      <c r="CS14" s="1"/>
      <c r="CT14" s="1"/>
      <c r="CU14" s="17"/>
    </row>
    <row r="15" spans="1:10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"/>
      <c r="AQ15" s="10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6"/>
      <c r="CC15" s="1"/>
      <c r="CD15" s="16"/>
      <c r="CE15" s="1"/>
      <c r="CF15" s="16"/>
      <c r="CG15" s="1"/>
      <c r="CH15" s="1"/>
      <c r="CI15" s="16"/>
      <c r="CJ15" s="1"/>
      <c r="CK15" s="16"/>
      <c r="CL15" s="1"/>
      <c r="CM15" s="3"/>
      <c r="CN15" s="1"/>
      <c r="CO15" s="1"/>
      <c r="CP15" s="16"/>
      <c r="CQ15" s="1"/>
      <c r="CR15" s="1"/>
      <c r="CS15" s="1"/>
      <c r="CT15" s="1"/>
      <c r="CU15" s="17"/>
    </row>
    <row r="16" spans="1:10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0"/>
      <c r="AQ16" s="10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6"/>
      <c r="CC16" s="1"/>
      <c r="CD16" s="16"/>
      <c r="CE16" s="1"/>
      <c r="CF16" s="16"/>
      <c r="CG16" s="1"/>
      <c r="CH16" s="1"/>
      <c r="CI16" s="16"/>
      <c r="CJ16" s="1"/>
      <c r="CK16" s="16"/>
      <c r="CL16" s="1"/>
      <c r="CM16" s="3"/>
      <c r="CN16" s="1"/>
      <c r="CO16" s="1"/>
      <c r="CP16" s="16"/>
      <c r="CQ16" s="1"/>
      <c r="CR16" s="1"/>
      <c r="CS16" s="1"/>
      <c r="CT16" s="1"/>
      <c r="CU16" s="17"/>
    </row>
    <row r="17" spans="1:9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0"/>
      <c r="AQ17" s="10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6"/>
      <c r="CC17" s="1"/>
      <c r="CD17" s="16"/>
      <c r="CE17" s="1"/>
      <c r="CF17" s="16"/>
      <c r="CG17" s="1"/>
      <c r="CH17" s="1"/>
      <c r="CI17" s="16"/>
      <c r="CJ17" s="1"/>
      <c r="CK17" s="16"/>
      <c r="CL17" s="1"/>
      <c r="CM17" s="3"/>
      <c r="CN17" s="1"/>
      <c r="CO17" s="1"/>
      <c r="CP17" s="16"/>
      <c r="CQ17" s="1"/>
      <c r="CR17" s="1"/>
      <c r="CS17" s="1"/>
      <c r="CT17" s="1"/>
      <c r="CU17" s="17"/>
    </row>
    <row r="18" spans="1:9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"/>
      <c r="AQ18" s="10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6"/>
      <c r="CC18" s="1"/>
      <c r="CD18" s="16"/>
      <c r="CE18" s="1"/>
      <c r="CF18" s="16"/>
      <c r="CG18" s="1"/>
      <c r="CH18" s="1"/>
      <c r="CI18" s="16"/>
      <c r="CJ18" s="1"/>
      <c r="CK18" s="16"/>
      <c r="CL18" s="1"/>
      <c r="CM18" s="3"/>
      <c r="CN18" s="1"/>
      <c r="CO18" s="1"/>
      <c r="CP18" s="16"/>
      <c r="CQ18" s="1"/>
      <c r="CR18" s="1"/>
      <c r="CS18" s="1"/>
      <c r="CT18" s="1"/>
      <c r="CU18" s="17"/>
    </row>
    <row r="19" spans="1:9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6"/>
      <c r="CE19" s="1"/>
      <c r="CF19" s="16"/>
      <c r="CG19" s="1"/>
      <c r="CH19" s="1"/>
      <c r="CI19" s="16"/>
      <c r="CJ19" s="1"/>
      <c r="CK19" s="16"/>
      <c r="CL19" s="1"/>
      <c r="CM19" s="3"/>
      <c r="CN19" s="1"/>
      <c r="CO19" s="1"/>
      <c r="CP19" s="16"/>
      <c r="CQ19" s="1"/>
      <c r="CR19" s="1"/>
      <c r="CS19" s="1"/>
      <c r="CT19" s="1"/>
      <c r="CU19" s="17"/>
    </row>
    <row r="20" spans="1:9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6"/>
      <c r="CE20" s="1"/>
      <c r="CF20" s="16"/>
      <c r="CG20" s="1"/>
      <c r="CH20" s="1"/>
      <c r="CI20" s="16"/>
      <c r="CJ20" s="1"/>
      <c r="CK20" s="16"/>
      <c r="CL20" s="1"/>
      <c r="CM20" s="3"/>
      <c r="CN20" s="1"/>
      <c r="CO20" s="1"/>
      <c r="CP20" s="16"/>
      <c r="CQ20" s="1"/>
      <c r="CR20" s="1"/>
      <c r="CS20" s="1"/>
      <c r="CT20" s="1"/>
      <c r="CU20" s="17"/>
    </row>
  </sheetData>
  <autoFilter ref="A1:CU1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26"/>
  <sheetViews>
    <sheetView tabSelected="1" topLeftCell="A17" workbookViewId="0">
      <selection activeCell="D17" sqref="D17"/>
    </sheetView>
  </sheetViews>
  <sheetFormatPr defaultRowHeight="15" x14ac:dyDescent="0.25"/>
  <cols>
    <col min="1" max="1" width="15.140625" bestFit="1" customWidth="1"/>
    <col min="2" max="2" width="10.42578125" bestFit="1" customWidth="1"/>
    <col min="3" max="3" width="10.28515625" bestFit="1" customWidth="1"/>
    <col min="4" max="4" width="29.5703125" customWidth="1"/>
    <col min="5" max="5" width="14.28515625" style="4" bestFit="1" customWidth="1"/>
    <col min="6" max="6" width="14.28515625" bestFit="1" customWidth="1"/>
    <col min="7" max="7" width="13.85546875" bestFit="1" customWidth="1"/>
    <col min="8" max="8" width="10.5703125" style="8" bestFit="1" customWidth="1"/>
    <col min="9" max="9" width="12.28515625" bestFit="1" customWidth="1"/>
    <col min="10" max="10" width="13.85546875" bestFit="1" customWidth="1"/>
    <col min="13" max="13" width="14.28515625" bestFit="1" customWidth="1"/>
    <col min="14" max="14" width="7.85546875" style="30" customWidth="1"/>
    <col min="15" max="19" width="7.85546875" style="30" hidden="1" customWidth="1"/>
    <col min="20" max="20" width="7.85546875" style="30" customWidth="1"/>
    <col min="21" max="24" width="7.85546875" style="30" hidden="1" customWidth="1"/>
    <col min="25" max="25" width="7.85546875" style="30" customWidth="1"/>
    <col min="26" max="28" width="7.85546875" style="30" hidden="1" customWidth="1"/>
    <col min="29" max="29" width="7.85546875" style="30" customWidth="1"/>
    <col min="30" max="30" width="7.85546875" style="30" hidden="1" customWidth="1"/>
    <col min="31" max="31" width="7.85546875" style="30" customWidth="1"/>
    <col min="32" max="59" width="7.85546875" style="30" hidden="1" customWidth="1"/>
    <col min="60" max="60" width="7.85546875" style="30" customWidth="1"/>
    <col min="61" max="73" width="7.85546875" style="30" hidden="1" customWidth="1"/>
    <col min="74" max="74" width="7.85546875" style="30" customWidth="1"/>
    <col min="75" max="75" width="11" style="30" customWidth="1"/>
    <col min="76" max="76" width="19.7109375" style="30" customWidth="1"/>
    <col min="77" max="77" width="11.28515625" style="30" customWidth="1"/>
    <col min="78" max="78" width="9.85546875" style="4" bestFit="1" customWidth="1"/>
    <col min="79" max="79" width="13.85546875" style="4" bestFit="1" customWidth="1"/>
    <col min="80" max="80" width="9.140625" style="28" hidden="1" customWidth="1"/>
    <col min="81" max="81" width="9.140625" style="4" hidden="1" customWidth="1"/>
    <col min="82" max="82" width="9.140625" style="14" customWidth="1"/>
    <col min="83" max="83" width="12" style="4" bestFit="1" customWidth="1"/>
    <col min="84" max="84" width="9.140625" style="8" customWidth="1"/>
    <col min="85" max="85" width="12.28515625" style="4" bestFit="1" customWidth="1"/>
    <col min="86" max="86" width="13.85546875" style="4" bestFit="1" customWidth="1"/>
    <col min="87" max="87" width="9.140625" style="8" customWidth="1"/>
    <col min="88" max="88" width="11.5703125" customWidth="1"/>
    <col min="89" max="89" width="9.140625" style="8" customWidth="1"/>
    <col min="90" max="90" width="9.140625" customWidth="1"/>
  </cols>
  <sheetData>
    <row r="1" spans="1:89" s="44" customFormat="1" ht="15.75" thickBot="1" x14ac:dyDescent="0.3"/>
    <row r="2" spans="1:89" s="44" customFormat="1" ht="23.25" thickBot="1" x14ac:dyDescent="0.5">
      <c r="A2" s="124" t="s">
        <v>101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/>
      <c r="S2" s="47"/>
      <c r="T2" s="47"/>
    </row>
    <row r="3" spans="1:89" s="44" customFormat="1" ht="15.75" thickBo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89" s="44" customFormat="1" ht="51.75" customHeight="1" thickBot="1" x14ac:dyDescent="0.3">
      <c r="A4" s="45" t="s">
        <v>88</v>
      </c>
      <c r="B4" s="120" t="s">
        <v>103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/>
    </row>
    <row r="5" spans="1:89" s="44" customFormat="1" ht="34.5" customHeight="1" x14ac:dyDescent="0.25">
      <c r="A5" s="45" t="s">
        <v>89</v>
      </c>
      <c r="B5" s="120" t="s">
        <v>102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/>
    </row>
    <row r="6" spans="1:89" s="44" customFormat="1" ht="48" customHeight="1" x14ac:dyDescent="0.25">
      <c r="A6" s="46" t="s">
        <v>90</v>
      </c>
      <c r="B6" s="119" t="s">
        <v>105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/>
    </row>
    <row r="7" spans="1:89" s="44" customFormat="1" ht="30" x14ac:dyDescent="0.25">
      <c r="A7" s="46" t="s">
        <v>87</v>
      </c>
      <c r="B7" s="119" t="s">
        <v>106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/>
    </row>
    <row r="8" spans="1:89" s="44" customFormat="1" ht="28.5" customHeight="1" x14ac:dyDescent="0.25">
      <c r="A8" s="46" t="s">
        <v>91</v>
      </c>
      <c r="B8" s="119" t="s">
        <v>104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/>
    </row>
    <row r="9" spans="1:89" s="44" customFormat="1" ht="29.25" customHeight="1" x14ac:dyDescent="0.25">
      <c r="A9" s="46" t="s">
        <v>92</v>
      </c>
      <c r="B9" s="121" t="s">
        <v>107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3"/>
    </row>
    <row r="10" spans="1:89" s="44" customFormat="1" ht="64.5" customHeight="1" x14ac:dyDescent="0.25">
      <c r="A10" s="46" t="s">
        <v>93</v>
      </c>
      <c r="B10" s="119" t="s">
        <v>108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/>
    </row>
    <row r="11" spans="1:89" s="44" customFormat="1" ht="48" customHeight="1" x14ac:dyDescent="0.25">
      <c r="A11" s="46" t="s">
        <v>94</v>
      </c>
      <c r="B11" s="130" t="s">
        <v>109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2"/>
      <c r="S11"/>
    </row>
    <row r="12" spans="1:89" s="44" customFormat="1" ht="30" x14ac:dyDescent="0.25">
      <c r="A12" s="49" t="s">
        <v>95</v>
      </c>
      <c r="B12" s="133" t="s">
        <v>110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</row>
    <row r="13" spans="1:89" s="44" customFormat="1" ht="46.5" customHeight="1" x14ac:dyDescent="0.25">
      <c r="A13" s="49" t="s">
        <v>96</v>
      </c>
      <c r="B13" s="133" t="s">
        <v>111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</row>
    <row r="14" spans="1:89" s="44" customFormat="1" ht="30" x14ac:dyDescent="0.25">
      <c r="A14" s="50" t="s">
        <v>97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</row>
    <row r="16" spans="1:89" s="37" customFormat="1" ht="28.9" customHeight="1" x14ac:dyDescent="0.25">
      <c r="E16" s="42"/>
      <c r="H16" s="43"/>
      <c r="N16" s="129" t="str">
        <f>Sheet1!J1</f>
        <v>Conductor</v>
      </c>
      <c r="O16" s="129"/>
      <c r="P16" s="129"/>
      <c r="Q16" s="129"/>
      <c r="R16" s="129"/>
      <c r="S16" s="129" t="s">
        <v>6</v>
      </c>
      <c r="T16" s="129"/>
      <c r="U16" s="129" t="s">
        <v>3</v>
      </c>
      <c r="V16" s="129"/>
      <c r="W16" s="129"/>
      <c r="X16" s="129"/>
      <c r="Y16" s="129"/>
      <c r="Z16" s="129"/>
      <c r="AA16" s="129"/>
      <c r="AB16" s="129"/>
      <c r="AC16" s="129" t="s">
        <v>7</v>
      </c>
      <c r="AD16" s="129"/>
      <c r="AE16" s="129" t="s">
        <v>8</v>
      </c>
      <c r="AF16" s="129"/>
      <c r="AG16" s="129"/>
      <c r="AH16" s="129"/>
      <c r="AI16" s="129"/>
      <c r="AJ16" s="129"/>
      <c r="AK16" s="10" t="s">
        <v>9</v>
      </c>
      <c r="AL16" s="127" t="s">
        <v>10</v>
      </c>
      <c r="AM16" s="128"/>
      <c r="AN16" s="128"/>
      <c r="AO16" s="128"/>
      <c r="AP16" s="128"/>
      <c r="AQ16" s="128"/>
      <c r="AR16" s="128"/>
      <c r="AS16" s="129" t="s">
        <v>11</v>
      </c>
      <c r="AT16" s="129"/>
      <c r="AU16" s="129"/>
      <c r="AV16" s="129"/>
      <c r="AW16" s="129"/>
      <c r="AX16" s="129"/>
      <c r="AY16" s="129"/>
      <c r="AZ16" s="129"/>
      <c r="BA16" s="129"/>
      <c r="BB16" s="129"/>
      <c r="BC16" s="129" t="s">
        <v>12</v>
      </c>
      <c r="BD16" s="129"/>
      <c r="BE16" s="129"/>
      <c r="BF16" s="129"/>
      <c r="BG16" s="129"/>
      <c r="BH16" s="129"/>
      <c r="BI16" s="129"/>
      <c r="BJ16" s="129"/>
      <c r="BK16" s="129"/>
      <c r="BL16" s="129"/>
      <c r="BM16" s="38" t="s">
        <v>13</v>
      </c>
      <c r="BN16" s="10" t="s">
        <v>14</v>
      </c>
      <c r="BO16" s="10" t="s">
        <v>15</v>
      </c>
      <c r="BP16" s="10" t="s">
        <v>16</v>
      </c>
      <c r="BQ16" s="10" t="s">
        <v>17</v>
      </c>
      <c r="BR16" s="10" t="s">
        <v>18</v>
      </c>
      <c r="BS16" s="10" t="s">
        <v>19</v>
      </c>
      <c r="BT16" s="10" t="s">
        <v>20</v>
      </c>
      <c r="BU16" s="10" t="s">
        <v>21</v>
      </c>
      <c r="BV16" s="10"/>
      <c r="BW16" s="10"/>
      <c r="BX16" s="10"/>
      <c r="BY16" s="10"/>
      <c r="BZ16" s="39" t="s">
        <v>22</v>
      </c>
      <c r="CA16" s="39" t="s">
        <v>23</v>
      </c>
      <c r="CB16" s="40" t="s">
        <v>43</v>
      </c>
      <c r="CC16" s="39" t="s">
        <v>86</v>
      </c>
      <c r="CD16" s="41"/>
      <c r="CE16" s="42"/>
      <c r="CF16" s="43"/>
      <c r="CG16" s="42"/>
      <c r="CH16" s="42"/>
      <c r="CI16" s="43"/>
      <c r="CK16" s="43"/>
    </row>
    <row r="17" spans="1:90" s="19" customFormat="1" ht="89.25" x14ac:dyDescent="0.25">
      <c r="A17" s="22" t="s">
        <v>0</v>
      </c>
      <c r="B17" s="22" t="str">
        <f>Sheet1!B1</f>
        <v>Base Date</v>
      </c>
      <c r="C17" s="22" t="s">
        <v>1</v>
      </c>
      <c r="D17" s="22" t="s">
        <v>2</v>
      </c>
      <c r="E17" s="5" t="s">
        <v>34</v>
      </c>
      <c r="F17" s="15" t="s">
        <v>35</v>
      </c>
      <c r="G17" s="15" t="s">
        <v>36</v>
      </c>
      <c r="H17" s="6" t="s">
        <v>37</v>
      </c>
      <c r="I17" s="15" t="s">
        <v>38</v>
      </c>
      <c r="J17" s="15" t="s">
        <v>39</v>
      </c>
      <c r="K17" s="15" t="s">
        <v>40</v>
      </c>
      <c r="L17" s="15" t="s">
        <v>41</v>
      </c>
      <c r="M17" s="15" t="s">
        <v>42</v>
      </c>
      <c r="N17" s="23" t="s">
        <v>44</v>
      </c>
      <c r="O17" s="23" t="s">
        <v>49</v>
      </c>
      <c r="P17" s="23" t="s">
        <v>46</v>
      </c>
      <c r="Q17" s="23" t="s">
        <v>47</v>
      </c>
      <c r="R17" s="23" t="s">
        <v>48</v>
      </c>
      <c r="S17" s="23" t="s">
        <v>44</v>
      </c>
      <c r="T17" s="23" t="s">
        <v>49</v>
      </c>
      <c r="U17" s="24" t="s">
        <v>56</v>
      </c>
      <c r="V17" s="24" t="s">
        <v>60</v>
      </c>
      <c r="W17" s="24" t="s">
        <v>63</v>
      </c>
      <c r="X17" s="24" t="s">
        <v>68</v>
      </c>
      <c r="Y17" s="24" t="s">
        <v>72</v>
      </c>
      <c r="Z17" s="24" t="s">
        <v>76</v>
      </c>
      <c r="AA17" s="24" t="s">
        <v>78</v>
      </c>
      <c r="AB17" s="24" t="s">
        <v>80</v>
      </c>
      <c r="AC17" s="24" t="s">
        <v>55</v>
      </c>
      <c r="AD17" s="24" t="s">
        <v>59</v>
      </c>
      <c r="AE17" s="24" t="s">
        <v>54</v>
      </c>
      <c r="AF17" s="24" t="s">
        <v>50</v>
      </c>
      <c r="AG17" s="24" t="s">
        <v>62</v>
      </c>
      <c r="AH17" s="24" t="s">
        <v>67</v>
      </c>
      <c r="AI17" s="24" t="s">
        <v>71</v>
      </c>
      <c r="AJ17" s="24" t="s">
        <v>75</v>
      </c>
      <c r="AK17" s="20" t="s">
        <v>9</v>
      </c>
      <c r="AL17" s="24" t="s">
        <v>57</v>
      </c>
      <c r="AM17" s="24" t="s">
        <v>61</v>
      </c>
      <c r="AN17" s="24" t="s">
        <v>64</v>
      </c>
      <c r="AO17" s="24" t="s">
        <v>69</v>
      </c>
      <c r="AP17" s="24" t="s">
        <v>73</v>
      </c>
      <c r="AQ17" s="24" t="s">
        <v>51</v>
      </c>
      <c r="AR17" s="24" t="s">
        <v>79</v>
      </c>
      <c r="AS17" s="24" t="s">
        <v>58</v>
      </c>
      <c r="AT17" s="24" t="s">
        <v>45</v>
      </c>
      <c r="AU17" s="24" t="s">
        <v>65</v>
      </c>
      <c r="AV17" s="24" t="s">
        <v>70</v>
      </c>
      <c r="AW17" s="24" t="s">
        <v>77</v>
      </c>
      <c r="AX17" s="24" t="s">
        <v>52</v>
      </c>
      <c r="AY17" s="24" t="s">
        <v>81</v>
      </c>
      <c r="AZ17" s="24" t="s">
        <v>82</v>
      </c>
      <c r="BA17" s="24" t="s">
        <v>83</v>
      </c>
      <c r="BB17" s="24" t="s">
        <v>85</v>
      </c>
      <c r="BC17" s="24" t="s">
        <v>57</v>
      </c>
      <c r="BD17" s="24" t="s">
        <v>61</v>
      </c>
      <c r="BE17" s="24" t="s">
        <v>66</v>
      </c>
      <c r="BF17" s="24" t="s">
        <v>64</v>
      </c>
      <c r="BG17" s="24" t="s">
        <v>74</v>
      </c>
      <c r="BH17" s="24" t="s">
        <v>197</v>
      </c>
      <c r="BI17" s="24" t="s">
        <v>69</v>
      </c>
      <c r="BJ17" s="24" t="s">
        <v>51</v>
      </c>
      <c r="BK17" s="24" t="s">
        <v>79</v>
      </c>
      <c r="BL17" s="24" t="s">
        <v>84</v>
      </c>
      <c r="BM17" s="20" t="s">
        <v>13</v>
      </c>
      <c r="BN17" s="20" t="s">
        <v>53</v>
      </c>
      <c r="BO17" s="21" t="s">
        <v>15</v>
      </c>
      <c r="BP17" s="25" t="s">
        <v>16</v>
      </c>
      <c r="BQ17" s="21" t="s">
        <v>17</v>
      </c>
      <c r="BR17" s="21" t="s">
        <v>18</v>
      </c>
      <c r="BS17" s="21" t="s">
        <v>19</v>
      </c>
      <c r="BT17" s="25" t="s">
        <v>20</v>
      </c>
      <c r="BU17" s="21" t="s">
        <v>21</v>
      </c>
      <c r="BV17" s="21" t="str">
        <f>Sheet1!E1</f>
        <v>Propose Drum Type</v>
      </c>
      <c r="BW17" s="54" t="str">
        <f>Sheet1!CV1</f>
        <v>DRUM CODE</v>
      </c>
      <c r="BX17" s="54" t="str">
        <f>Sheet1!CW1</f>
        <v>DRUM SIZE (FxbXtx Ft)</v>
      </c>
      <c r="BY17" s="54" t="str">
        <f>Sheet1!CX1</f>
        <v>Party Standard Length(MTR)</v>
      </c>
      <c r="BZ17" s="29"/>
      <c r="CA17" s="29"/>
      <c r="CB17" s="26"/>
      <c r="CC17" s="29"/>
      <c r="CD17" s="13" t="s">
        <v>25</v>
      </c>
      <c r="CE17" s="5" t="s">
        <v>26</v>
      </c>
      <c r="CF17" s="6" t="s">
        <v>27</v>
      </c>
      <c r="CG17" s="5" t="s">
        <v>28</v>
      </c>
      <c r="CH17" s="5" t="s">
        <v>29</v>
      </c>
      <c r="CI17" s="6" t="s">
        <v>30</v>
      </c>
      <c r="CJ17" s="15" t="s">
        <v>31</v>
      </c>
      <c r="CK17" s="6" t="s">
        <v>32</v>
      </c>
      <c r="CL17" s="15" t="s">
        <v>33</v>
      </c>
    </row>
    <row r="18" spans="1:90" s="29" customFormat="1" x14ac:dyDescent="0.25">
      <c r="A18" s="31"/>
      <c r="B18" s="31"/>
      <c r="C18" s="31"/>
      <c r="D18" s="31"/>
      <c r="E18" s="5"/>
      <c r="F18" s="5"/>
      <c r="G18" s="5"/>
      <c r="H18" s="5"/>
      <c r="I18" s="5"/>
      <c r="J18" s="5"/>
      <c r="K18" s="5"/>
      <c r="L18" s="5"/>
      <c r="M18" s="5"/>
      <c r="N18" s="32">
        <v>232</v>
      </c>
      <c r="O18" s="32">
        <f>+IFERROR(VLOOKUP($O$17,Sheet1!J:L,2,0),0)</f>
        <v>0</v>
      </c>
      <c r="P18" s="32">
        <f>+IFERROR(VLOOKUP($P$17,Sheet1!J:M,2,0),0)</f>
        <v>0</v>
      </c>
      <c r="Q18" s="32">
        <f>+IFERROR(VLOOKUP($Q$17,Sheet1!J:M,2,0),0)</f>
        <v>0</v>
      </c>
      <c r="R18" s="32">
        <f>+IFERROR(VLOOKUP($R$17,Sheet1!J:M,2,0),0)</f>
        <v>0</v>
      </c>
      <c r="S18" s="32">
        <f>+IFERROR(VLOOKUP($S$17,Sheet1!N:Q,2,0),0)</f>
        <v>0</v>
      </c>
      <c r="T18" s="32">
        <f>N18+7</f>
        <v>239</v>
      </c>
      <c r="U18" s="33">
        <f>+IFERROR(VLOOKUP($U$17,Sheet1!F:I,2,0),0)</f>
        <v>0</v>
      </c>
      <c r="V18" s="33">
        <f>+IFERROR(VLOOKUP($V$17,Sheet1!F:I,2,0),0)</f>
        <v>0</v>
      </c>
      <c r="W18" s="33">
        <f>+IFERROR(VLOOKUP($W$17,Sheet1!F:I,2,0),0)</f>
        <v>0</v>
      </c>
      <c r="X18" s="33">
        <f>+IFERROR(VLOOKUP($X$17,Sheet1!F:I,2,0),0)</f>
        <v>0</v>
      </c>
      <c r="Y18" s="33">
        <v>921</v>
      </c>
      <c r="Z18" s="33">
        <f>+IFERROR(VLOOKUP($Z$17,Sheet1!F:I,2,0),0)</f>
        <v>0</v>
      </c>
      <c r="AA18" s="33">
        <f>+IFERROR(VLOOKUP($AA$17,Sheet1!F:I,2,0),0)</f>
        <v>0</v>
      </c>
      <c r="AB18" s="33">
        <f>+IFERROR(VLOOKUP($AB$17,Sheet1!F:I,2,0),0)</f>
        <v>0</v>
      </c>
      <c r="AC18" s="33">
        <v>194</v>
      </c>
      <c r="AD18" s="33">
        <f>+IFERROR(VLOOKUP($AD$17,Sheet1!R:U,2,0),0)</f>
        <v>0</v>
      </c>
      <c r="AE18" s="33">
        <v>135</v>
      </c>
      <c r="AF18" s="33">
        <f>+IFERROR(VLOOKUP($AF$17,Sheet1!V:Y,2,0),0)</f>
        <v>0</v>
      </c>
      <c r="AG18" s="33">
        <f>+IFERROR(VLOOKUP($AG$17,Sheet1!V:Y,2,0),0)</f>
        <v>0</v>
      </c>
      <c r="AH18" s="33">
        <f>+IFERROR(VLOOKUP($AH$17,Sheet1!V:Y,2,0),0)</f>
        <v>0</v>
      </c>
      <c r="AI18" s="33">
        <f>+IFERROR(VLOOKUP($AI$17,Sheet1!V:Y,2,0),0)</f>
        <v>0</v>
      </c>
      <c r="AJ18" s="33">
        <f>+IFERROR(VLOOKUP($AJ$17,Sheet1!V:Y,2,0),0)</f>
        <v>0</v>
      </c>
      <c r="AK18" s="34">
        <f>+IFERROR(VLOOKUP($AK$17,Sheet1!Z2:AA840,2,0),0)</f>
        <v>0</v>
      </c>
      <c r="AL18" s="33">
        <f>+IFERROR(VLOOKUP($AL$17,Sheet1!AD2:AG840,2,0),0)</f>
        <v>0</v>
      </c>
      <c r="AM18" s="33">
        <f>+IFERROR(VLOOKUP($AM$17,Sheet1!AD2:AG840,2,0),0)</f>
        <v>0</v>
      </c>
      <c r="AN18" s="33">
        <f>+IFERROR(VLOOKUP($AN$17,Sheet1!AD2:AG840,2,0),0)</f>
        <v>0</v>
      </c>
      <c r="AO18" s="33">
        <f>+IFERROR(VLOOKUP($AO$17,Sheet1!AD2:AG840,2,0),0)</f>
        <v>0</v>
      </c>
      <c r="AP18" s="33">
        <f>+IFERROR(VLOOKUP($AP$17,Sheet1!AD2:AG840,2,0),0)</f>
        <v>0</v>
      </c>
      <c r="AQ18" s="33">
        <f>+IFERROR(VLOOKUP($AQ$17,Sheet1!AD2:AG840,2,0),0)</f>
        <v>0</v>
      </c>
      <c r="AR18" s="33">
        <f>+IFERROR(VLOOKUP($AR$17,Sheet1!AD2:AG840,2,0),0)</f>
        <v>0</v>
      </c>
      <c r="AS18" s="33">
        <f>+IFERROR(VLOOKUP($AS$17,Sheet1!AH2:AK840,2,0),0)</f>
        <v>0</v>
      </c>
      <c r="AT18" s="33">
        <f>+IFERROR(VLOOKUP($AT$17,Sheet1!AH2:AK840,2,0),0)</f>
        <v>0</v>
      </c>
      <c r="AU18" s="33">
        <f>+IFERROR(VLOOKUP($AU$17,Sheet1!AH2:AK840,2,0),0)</f>
        <v>0</v>
      </c>
      <c r="AV18" s="33">
        <f>+IFERROR(VLOOKUP($AV$17,Sheet1!AH2:AK840,2,0),0)</f>
        <v>0</v>
      </c>
      <c r="AW18" s="33">
        <f>+IFERROR(VLOOKUP($AW$17,Sheet1!AH2:AK840,2,0),0)</f>
        <v>0</v>
      </c>
      <c r="AX18" s="33">
        <f>+IFERROR(VLOOKUP($AX$17,Sheet1!AH2:AK840,2,0),0)</f>
        <v>0</v>
      </c>
      <c r="AY18" s="33">
        <f>+IFERROR(VLOOKUP($AY$17,Sheet1!AH2:AK840,2,0),0)</f>
        <v>0</v>
      </c>
      <c r="AZ18" s="33">
        <f>+IFERROR(VLOOKUP($AZ$17,Sheet1!AH2:AK840,2,0),0)</f>
        <v>0</v>
      </c>
      <c r="BA18" s="33">
        <f>+IFERROR(VLOOKUP($BA$17,Sheet1!AH2:AK840,2,0),0)</f>
        <v>0</v>
      </c>
      <c r="BB18" s="33">
        <f>+IFERROR(VLOOKUP($BB$17,Sheet1!AH2:AK840,2,0),0)</f>
        <v>0</v>
      </c>
      <c r="BC18" s="33">
        <f>+IFERROR(VLOOKUP($BC$17,Sheet1!AL2:AO840,2,0),0)</f>
        <v>0</v>
      </c>
      <c r="BD18" s="33">
        <f>+IFERROR(VLOOKUP($BD$17,Sheet1!AL2:AO840,2,0),0)</f>
        <v>0</v>
      </c>
      <c r="BE18" s="33">
        <f>+IFERROR(VLOOKUP($BE$17,Sheet1!AL2:AO840,2,0),0)</f>
        <v>0</v>
      </c>
      <c r="BF18" s="33">
        <f>+IFERROR(VLOOKUP($BF$17,Sheet1!AL2:AO840,2,0),0)</f>
        <v>0</v>
      </c>
      <c r="BG18" s="33">
        <f>+IFERROR(VLOOKUP($BG$17,Sheet1!AL2:AO840,2,0),0)</f>
        <v>0</v>
      </c>
      <c r="BH18" s="33">
        <f>+IFERROR(VLOOKUP($BH$17,Sheet1!AL2:AO840,2,0),0)</f>
        <v>106</v>
      </c>
      <c r="BI18" s="33">
        <f>+IFERROR(VLOOKUP($BI$17,Sheet1!AL2:AO840,2,0),0)</f>
        <v>0</v>
      </c>
      <c r="BJ18" s="33">
        <f>+IFERROR(VLOOKUP($BJ$17,Sheet1!AL2:AO840,2,0),0)</f>
        <v>0</v>
      </c>
      <c r="BK18" s="33">
        <f>+IFERROR(VLOOKUP($BK$17,Sheet1!AL2:AO840,2,0),0)</f>
        <v>0</v>
      </c>
      <c r="BL18" s="33">
        <f>+IFERROR(VLOOKUP($BL$17,Sheet1!AL2:AO840,2,0),0)</f>
        <v>0</v>
      </c>
      <c r="BM18" s="34">
        <f>+IFERROR(VLOOKUP($BM$17,Sheet1!AP2:AS840,2,0),0)</f>
        <v>0</v>
      </c>
      <c r="BN18" s="34">
        <f>+IFERROR(VLOOKUP($BN$17,Sheet1!AT2:AW840,2,0),0)</f>
        <v>0</v>
      </c>
      <c r="BO18" s="35">
        <f>+IFERROR(VLOOKUP($BO$17,Sheet1!AX2:BA840,2,0),0)</f>
        <v>0</v>
      </c>
      <c r="BP18" s="36">
        <f>+IFERROR(VLOOKUP($BP$17,Sheet1!BB2:BE840,2,0),0)</f>
        <v>0</v>
      </c>
      <c r="BQ18" s="35">
        <f>+IFERROR(VLOOKUP($BQ$17,Sheet1!BF2:BI840,2,0),0)</f>
        <v>0</v>
      </c>
      <c r="BR18" s="35">
        <f>+IFERROR(VLOOKUP($BR$17,Sheet1!BJ2:BM840,2,0),0)</f>
        <v>0</v>
      </c>
      <c r="BS18" s="35">
        <f>+IFERROR(VLOOKUP($BS$17,Sheet1!BN2:BQ840,2,0),0)</f>
        <v>0</v>
      </c>
      <c r="BT18" s="36">
        <f>+IFERROR(VLOOKUP($BT$17,Sheet1!BR2:BU840,2,0),0)</f>
        <v>0</v>
      </c>
      <c r="BU18" s="35">
        <f>+IFERROR(VLOOKUP($BU$17,Sheet1!BV2:BY840,2,0),0)</f>
        <v>0</v>
      </c>
      <c r="BV18" s="53"/>
      <c r="BW18" s="53"/>
      <c r="BX18" s="53"/>
      <c r="BY18" s="53"/>
      <c r="CD18" s="5"/>
      <c r="CE18" s="5"/>
      <c r="CF18" s="5"/>
      <c r="CG18" s="5"/>
      <c r="CH18" s="5"/>
      <c r="CI18" s="5"/>
      <c r="CJ18" s="5"/>
      <c r="CK18" s="5"/>
      <c r="CL18" s="5"/>
    </row>
    <row r="19" spans="1:90" ht="45" x14ac:dyDescent="0.25">
      <c r="A19" s="1" t="str">
        <f>Sheet1!A2</f>
        <v>ENQ-13991-22-23</v>
      </c>
      <c r="B19" s="52">
        <f>Sheet1!B2</f>
        <v>45505</v>
      </c>
      <c r="C19" s="1" t="str">
        <f>Sheet1!C2</f>
        <v>FA0400002</v>
      </c>
      <c r="D19" s="1" t="str">
        <f>Sheet1!D2</f>
        <v>3 CORE X 185 SQ MM + 1 CORE X 150 SQ MM (AB CABLES) (BARE) - 11 KV</v>
      </c>
      <c r="E19" s="3">
        <f>CH19+CJ19+CL19</f>
        <v>1393936.08</v>
      </c>
      <c r="F19" s="64">
        <f>ROUNDUP(M22,0)</f>
        <v>14700</v>
      </c>
      <c r="G19" s="9">
        <f>E19+F19</f>
        <v>1408636.08</v>
      </c>
      <c r="H19" s="7">
        <f>Sheet1!CP2</f>
        <v>0.18</v>
      </c>
      <c r="I19" s="9">
        <f>G19*H19</f>
        <v>253554.4944</v>
      </c>
      <c r="J19" s="9">
        <f>G19+I19</f>
        <v>1662190.5744</v>
      </c>
      <c r="K19" s="1">
        <f>Sheet1!CS2</f>
        <v>20</v>
      </c>
      <c r="L19" s="1" t="str">
        <f>Sheet1!CT2</f>
        <v>KMS</v>
      </c>
      <c r="M19" s="3">
        <f>J19*K19</f>
        <v>33243811.488000002</v>
      </c>
      <c r="N19" s="165">
        <v>1500</v>
      </c>
      <c r="O19" s="2">
        <f>+IFERROR(VLOOKUP($O$17,Sheet1!J2:L2,3,0),0)</f>
        <v>0</v>
      </c>
      <c r="P19" s="2">
        <f>+IFERROR(VLOOKUP($P$17,Sheet1!J2:M2,3,0),0)</f>
        <v>0</v>
      </c>
      <c r="Q19" s="2">
        <f>+IFERROR(VLOOKUP($Q$17,Sheet1!J2:M2,3,0),0)</f>
        <v>0</v>
      </c>
      <c r="R19" s="2">
        <f>+IFERROR(VLOOKUP($R$17,Sheet1!J2:M2,3,0),0)</f>
        <v>0</v>
      </c>
      <c r="S19" s="2">
        <f>+IFERROR(VLOOKUP($S$17,Sheet1!N2:Q2,3,0),0)</f>
        <v>0</v>
      </c>
      <c r="T19" s="165">
        <v>413</v>
      </c>
      <c r="U19" s="2">
        <f>+IFERROR(VLOOKUP($U$17,Sheet1!F2:I2,3,0),0)</f>
        <v>0</v>
      </c>
      <c r="V19" s="2">
        <f>+IFERROR(VLOOKUP($V$17,Sheet1!F2:I2,3,0),0)</f>
        <v>0</v>
      </c>
      <c r="W19" s="2">
        <f>+IFERROR(VLOOKUP($W$17,Sheet1!F2:I2,3,0),0)</f>
        <v>0</v>
      </c>
      <c r="X19" s="2">
        <f>+IFERROR(VLOOKUP($X$17,Sheet1!F2:I2,3,0),0)</f>
        <v>0</v>
      </c>
      <c r="Y19" s="165">
        <v>148</v>
      </c>
      <c r="Z19" s="2">
        <f>+IFERROR(VLOOKUP($Z$17,Sheet1!F2:I2,3,0),0)</f>
        <v>0</v>
      </c>
      <c r="AA19" s="2">
        <f>+IFERROR(VLOOKUP($AA$17,Sheet1!F2:I2,3,0),0)</f>
        <v>0</v>
      </c>
      <c r="AB19" s="2">
        <f>+IFERROR(VLOOKUP($AB$17,Sheet1!F2:I2,3,0),0)</f>
        <v>0</v>
      </c>
      <c r="AC19" s="165">
        <v>392</v>
      </c>
      <c r="AD19" s="15">
        <f>+IFERROR(VLOOKUP($AD$17,Sheet1!R2:U2,2,0),0)</f>
        <v>0</v>
      </c>
      <c r="AE19" s="165">
        <v>670</v>
      </c>
      <c r="AF19" s="15">
        <f>+IFERROR(VLOOKUP($AF$17,Sheet1!V2:Y2,3,0),0)</f>
        <v>0</v>
      </c>
      <c r="AG19" s="15">
        <f>+IFERROR(VLOOKUP($AG$17,Sheet1!V2:Y2,3,0),0)</f>
        <v>0</v>
      </c>
      <c r="AH19" s="15">
        <f>+IFERROR(VLOOKUP($AH$17,Sheet1!V2:Y2,3,0),0)</f>
        <v>0</v>
      </c>
      <c r="AI19" s="15">
        <f>+IFERROR(VLOOKUP($AI$17,Sheet1!V2:Y2,3,0),0)</f>
        <v>0</v>
      </c>
      <c r="AJ19" s="15">
        <f>+IFERROR(VLOOKUP($AJ$17,Sheet1!V2:Y2,3,0),0)</f>
        <v>0</v>
      </c>
      <c r="AK19" s="15">
        <f>+IFERROR(VLOOKUP($AK$17,Sheet1!Z2:AB2,3,0),0)</f>
        <v>0</v>
      </c>
      <c r="AL19" s="15">
        <f>+IFERROR(VLOOKUP($AL$17,Sheet1!AD2:AG2,3,0),0)</f>
        <v>0</v>
      </c>
      <c r="AM19" s="15">
        <f>+IFERROR(VLOOKUP($AM$17,Sheet1!AD2:AG2,3,0),0)</f>
        <v>0</v>
      </c>
      <c r="AN19" s="15">
        <f>+IFERROR(VLOOKUP($AN$17,Sheet1!AD2:AG2,3,0),0)</f>
        <v>0</v>
      </c>
      <c r="AO19" s="15">
        <f>+IFERROR(VLOOKUP($AO$17,Sheet1!AD2:AG2,3,0),0)</f>
        <v>0</v>
      </c>
      <c r="AP19" s="15">
        <f>+IFERROR(VLOOKUP($AP$17,Sheet1!AD2:AG2,3,0),0)</f>
        <v>0</v>
      </c>
      <c r="AQ19" s="15">
        <f>+IFERROR(VLOOKUP($AQ$17,Sheet1!AD2:AG2,3,0),0)</f>
        <v>0</v>
      </c>
      <c r="AR19" s="15">
        <f>+IFERROR(VLOOKUP($AR$17,Sheet1!AD2:AG2,3,0),0)</f>
        <v>0</v>
      </c>
      <c r="AS19" s="15">
        <f>+IFERROR(VLOOKUP($AS$17,Sheet1!AH2:AK2,3,0),0)</f>
        <v>0</v>
      </c>
      <c r="AT19" s="15">
        <f>+IFERROR(VLOOKUP($AT$17,Sheet1!AH2:AK2,3,0),0)</f>
        <v>0</v>
      </c>
      <c r="AU19" s="15">
        <f>+IFERROR(VLOOKUP($AU$17,Sheet1!AH2:AK2,3,0),0)</f>
        <v>0</v>
      </c>
      <c r="AV19" s="15">
        <f>+IFERROR(VLOOKUP($AV$17,Sheet1!AH2:AK2,3,0),0)</f>
        <v>0</v>
      </c>
      <c r="AW19" s="15">
        <f>+IFERROR(VLOOKUP($AW$17,Sheet1!AH2:AK2,3,0),0)</f>
        <v>0</v>
      </c>
      <c r="AX19" s="15">
        <f>+IFERROR(VLOOKUP($AX$17,Sheet1!AH2:AK2,3,0),0)</f>
        <v>0</v>
      </c>
      <c r="AY19" s="15">
        <f>+IFERROR(VLOOKUP($AY$17,Sheet1!AH2:AK2,3,0),0)</f>
        <v>0</v>
      </c>
      <c r="AZ19" s="15">
        <f>+IFERROR(VLOOKUP($AZ$17,Sheet1!AH2:AK2,3,0),0)</f>
        <v>0</v>
      </c>
      <c r="BA19" s="15">
        <f>+IFERROR(VLOOKUP($BA$17,Sheet1!AH2:AK2,3,0),0)</f>
        <v>0</v>
      </c>
      <c r="BB19" s="15">
        <f>+IFERROR(VLOOKUP($BB$17,Sheet1!AH2:AK2,3,0),0)</f>
        <v>0</v>
      </c>
      <c r="BC19" s="15">
        <f>+IFERROR(VLOOKUP($BC$17,Sheet1!AL2:AO2,3,0),0)</f>
        <v>0</v>
      </c>
      <c r="BD19" s="15">
        <f>+IFERROR(VLOOKUP($BD$17,Sheet1!AL2:AO2,3,0),0)</f>
        <v>0</v>
      </c>
      <c r="BE19" s="15">
        <f>+IFERROR(VLOOKUP($BE$17,Sheet1!AL2:AO2,3,0),0)</f>
        <v>0</v>
      </c>
      <c r="BF19" s="15">
        <f>+IFERROR(VLOOKUP($BF$17,Sheet1!AL2:AO2,3,0),0)</f>
        <v>0</v>
      </c>
      <c r="BG19" s="15">
        <f>+IFERROR(VLOOKUP($BG$17,Sheet1!AL2:AO2,3,0),0)</f>
        <v>0</v>
      </c>
      <c r="BH19" s="166">
        <v>585</v>
      </c>
      <c r="BI19" s="15">
        <f>+IFERROR(VLOOKUP($BI$17,Sheet1!AL2:AO2,3,0),0)</f>
        <v>0</v>
      </c>
      <c r="BJ19" s="15">
        <f>+IFERROR(VLOOKUP($BJ$17,Sheet1!AL2:AO2,3,0),0)</f>
        <v>0</v>
      </c>
      <c r="BK19" s="15">
        <f>+IFERROR(VLOOKUP($BK$17,Sheet1!AL2:AO2,3,0),0)</f>
        <v>0</v>
      </c>
      <c r="BL19" s="15">
        <f>+IFERROR(VLOOKUP($BL$17,Sheet1!AL2:AO2,3,0),0)</f>
        <v>0</v>
      </c>
      <c r="BM19" s="15">
        <f>+IFERROR(VLOOKUP($BM$17,Sheet1!AP2:AS2,3,0),0)</f>
        <v>0</v>
      </c>
      <c r="BN19" s="15">
        <f>+IFERROR(VLOOKUP($BN$17,Sheet1!AT2:AW2,3,0),0)</f>
        <v>0</v>
      </c>
      <c r="BO19" s="15">
        <f>+IFERROR(VLOOKUP($BO$17,Sheet1!AX2:BA2,3,0),0)</f>
        <v>0</v>
      </c>
      <c r="BP19" s="15">
        <f>+IFERROR(VLOOKUP($BP$17,Sheet1!BB2:BE2,3,0),0)</f>
        <v>0</v>
      </c>
      <c r="BQ19" s="15">
        <f>+IFERROR(VLOOKUP($BQ$17,Sheet1!BF2:BI2,3,0),0)</f>
        <v>0</v>
      </c>
      <c r="BR19" s="15">
        <f>+IFERROR(VLOOKUP($BR$17,Sheet1!BJ2:BM2,3,0),0)</f>
        <v>0</v>
      </c>
      <c r="BS19" s="15">
        <f>+IFERROR(VLOOKUP($BS$17,Sheet1!BN2:BQ2,3,0),0)</f>
        <v>0</v>
      </c>
      <c r="BT19" s="15">
        <f>+IFERROR(VLOOKUP($BT$17,Sheet1!BR2:BU2,3,0),0)</f>
        <v>0</v>
      </c>
      <c r="BU19" s="15">
        <f>+IFERROR(VLOOKUP($BU$17,Sheet1!BV2:BY2,3,0),0)</f>
        <v>0</v>
      </c>
      <c r="BV19" s="15" t="str">
        <f>Sheet1!E2</f>
        <v>WOOD</v>
      </c>
      <c r="BW19" s="15" t="str">
        <f>Sheet1!CV2</f>
        <v>MD0100029</v>
      </c>
      <c r="BX19" s="15" t="str">
        <f>Sheet1!CW2</f>
        <v>DRUM - 80 X 35 X 39 X 3"+ EXTRA SEGMENT</v>
      </c>
      <c r="BY19" s="15">
        <f>Sheet1!CX2</f>
        <v>500</v>
      </c>
      <c r="BZ19" s="3">
        <f>Sheet1!BZ2</f>
        <v>34312</v>
      </c>
      <c r="CA19" s="3">
        <f>SUMPRODUCT($N$18:$BU$18,N19:BU19)+BZ19</f>
        <v>845835</v>
      </c>
      <c r="CB19" s="27">
        <f>Sheet1!CB2</f>
        <v>0</v>
      </c>
      <c r="CC19" s="3">
        <f>CA19*CB19</f>
        <v>0</v>
      </c>
      <c r="CD19" s="48">
        <v>0.6</v>
      </c>
      <c r="CE19" s="3">
        <f>CA19*CD19</f>
        <v>507501</v>
      </c>
      <c r="CF19" s="48">
        <v>0</v>
      </c>
      <c r="CG19" s="3">
        <f>CA19*CF19</f>
        <v>0</v>
      </c>
      <c r="CH19" s="3">
        <f>CA19+CC19+CE19+CG19</f>
        <v>1353336</v>
      </c>
      <c r="CI19" s="48">
        <v>0.02</v>
      </c>
      <c r="CJ19" s="1">
        <f>CH19*CI19</f>
        <v>27066.720000000001</v>
      </c>
      <c r="CK19" s="48">
        <v>0.01</v>
      </c>
      <c r="CL19" s="1">
        <f>CH19*CK19</f>
        <v>13533.36</v>
      </c>
    </row>
    <row r="21" spans="1:90" ht="60" x14ac:dyDescent="0.25">
      <c r="E21" s="2" t="s">
        <v>201</v>
      </c>
      <c r="F21" s="2" t="s">
        <v>202</v>
      </c>
      <c r="G21" s="59" t="s">
        <v>203</v>
      </c>
      <c r="H21" s="2" t="s">
        <v>204</v>
      </c>
      <c r="I21" s="2" t="s">
        <v>205</v>
      </c>
      <c r="J21" s="2" t="s">
        <v>206</v>
      </c>
      <c r="K21" s="2" t="s">
        <v>207</v>
      </c>
      <c r="L21" s="2" t="s">
        <v>208</v>
      </c>
      <c r="M21" s="60" t="s">
        <v>209</v>
      </c>
      <c r="T21" s="30" t="s">
        <v>256</v>
      </c>
      <c r="Y21" s="30" t="s">
        <v>257</v>
      </c>
      <c r="AC21" s="30" t="s">
        <v>258</v>
      </c>
      <c r="AE21" s="30" t="s">
        <v>259</v>
      </c>
    </row>
    <row r="22" spans="1:90" x14ac:dyDescent="0.25">
      <c r="E22" s="59">
        <f>K19</f>
        <v>20</v>
      </c>
      <c r="F22" s="61">
        <f>BY19/1000</f>
        <v>0.5</v>
      </c>
      <c r="G22" s="59" t="s">
        <v>210</v>
      </c>
      <c r="H22" s="62">
        <v>42000</v>
      </c>
      <c r="I22" s="61">
        <v>6</v>
      </c>
      <c r="J22" s="59">
        <f>F22*I22</f>
        <v>3</v>
      </c>
      <c r="K22" s="59">
        <f>ROUNDUP((E22/J22),0)</f>
        <v>7</v>
      </c>
      <c r="L22" s="59">
        <f>M22*E22</f>
        <v>294000</v>
      </c>
      <c r="M22" s="63">
        <f>(H22*K22)/E22</f>
        <v>14700</v>
      </c>
      <c r="T22" s="30">
        <f>SUM(N19:BH19)</f>
        <v>3708</v>
      </c>
      <c r="Y22" s="30">
        <f>450+80</f>
        <v>530</v>
      </c>
      <c r="AC22" s="30">
        <f>((T22*F22)+Y22)</f>
        <v>2384</v>
      </c>
      <c r="AE22" s="30">
        <f>I22*AC22</f>
        <v>14304</v>
      </c>
    </row>
    <row r="25" spans="1:90" ht="30" x14ac:dyDescent="0.25">
      <c r="E25" s="171" t="s">
        <v>260</v>
      </c>
      <c r="F25" s="30" t="s">
        <v>261</v>
      </c>
      <c r="G25" s="30" t="s">
        <v>262</v>
      </c>
    </row>
    <row r="26" spans="1:90" ht="45" x14ac:dyDescent="0.25">
      <c r="D26" s="167" t="str">
        <f>D19</f>
        <v>3 CORE X 185 SQ MM + 1 CORE X 150 SQ MM (AB CABLES) (BARE) - 11 KV</v>
      </c>
      <c r="E26" s="168">
        <v>28408606.399999999</v>
      </c>
      <c r="F26" s="169">
        <f>M19</f>
        <v>33243811.488000002</v>
      </c>
      <c r="G26" s="170">
        <f>((F26-E26)/F26)*100</f>
        <v>14.544677254427832</v>
      </c>
      <c r="H26" s="172" t="s">
        <v>263</v>
      </c>
    </row>
  </sheetData>
  <mergeCells count="20">
    <mergeCell ref="B11:R11"/>
    <mergeCell ref="B12:R12"/>
    <mergeCell ref="B13:R13"/>
    <mergeCell ref="B14:R14"/>
    <mergeCell ref="B4:R4"/>
    <mergeCell ref="B5:R5"/>
    <mergeCell ref="B6:R6"/>
    <mergeCell ref="AL16:AR16"/>
    <mergeCell ref="AS16:BB16"/>
    <mergeCell ref="BC16:BL16"/>
    <mergeCell ref="N16:R16"/>
    <mergeCell ref="S16:T16"/>
    <mergeCell ref="U16:AB16"/>
    <mergeCell ref="AC16:AD16"/>
    <mergeCell ref="AE16:AJ16"/>
    <mergeCell ref="B7:R7"/>
    <mergeCell ref="B8:R8"/>
    <mergeCell ref="B9:R9"/>
    <mergeCell ref="B10:R10"/>
    <mergeCell ref="A2:R2"/>
  </mergeCells>
  <dataValidations count="1">
    <dataValidation type="list" allowBlank="1" showInputMessage="1" showErrorMessage="1" sqref="G22" xr:uid="{2062760E-8FC8-4377-8AD6-ED4229D5EF4B}">
      <formula1>$Q$4:$Q$6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A85F-A39A-47E0-8B14-8F85100A28AF}">
  <sheetPr>
    <tabColor rgb="FFFF0000"/>
  </sheetPr>
  <dimension ref="A1:AR13"/>
  <sheetViews>
    <sheetView topLeftCell="A7" zoomScaleNormal="100" workbookViewId="0">
      <selection activeCell="A12" sqref="A12"/>
    </sheetView>
  </sheetViews>
  <sheetFormatPr defaultRowHeight="12.75" x14ac:dyDescent="0.2"/>
  <cols>
    <col min="1" max="1" width="69.7109375" style="73" customWidth="1"/>
    <col min="2" max="2" width="14.7109375" style="73" customWidth="1"/>
    <col min="3" max="3" width="14.28515625" style="73" customWidth="1"/>
    <col min="4" max="4" width="10.42578125" style="73" bestFit="1" customWidth="1"/>
    <col min="5" max="5" width="9.42578125" style="73" bestFit="1" customWidth="1"/>
    <col min="6" max="7" width="10.42578125" style="73" bestFit="1" customWidth="1"/>
    <col min="8" max="8" width="9.42578125" style="73" customWidth="1"/>
    <col min="9" max="9" width="10.42578125" style="73" bestFit="1" customWidth="1"/>
    <col min="10" max="10" width="8.42578125" style="73" bestFit="1" customWidth="1"/>
    <col min="11" max="11" width="9.140625" style="73" customWidth="1"/>
    <col min="12" max="12" width="9.140625" style="73"/>
    <col min="13" max="13" width="8.42578125" style="73" bestFit="1" customWidth="1"/>
    <col min="14" max="14" width="6.42578125" style="73" bestFit="1" customWidth="1"/>
    <col min="15" max="15" width="5.7109375" style="73" bestFit="1" customWidth="1"/>
    <col min="16" max="16" width="8.85546875" style="73" bestFit="1" customWidth="1"/>
    <col min="17" max="18" width="11.28515625" style="73" bestFit="1" customWidth="1"/>
    <col min="19" max="19" width="12.28515625" style="73" customWidth="1"/>
    <col min="20" max="20" width="11" style="73" bestFit="1" customWidth="1"/>
    <col min="21" max="21" width="11.42578125" style="73" bestFit="1" customWidth="1"/>
    <col min="22" max="22" width="11" style="73" customWidth="1"/>
    <col min="23" max="23" width="11" style="73" bestFit="1" customWidth="1"/>
    <col min="24" max="24" width="9.42578125" style="73" customWidth="1"/>
    <col min="25" max="25" width="11.5703125" style="73" customWidth="1"/>
    <col min="26" max="26" width="8.7109375" style="73" customWidth="1"/>
    <col min="27" max="27" width="10.85546875" style="73" customWidth="1"/>
    <col min="28" max="28" width="11.85546875" style="73" bestFit="1" customWidth="1"/>
    <col min="29" max="29" width="14.42578125" style="73" bestFit="1" customWidth="1"/>
    <col min="30" max="30" width="9.5703125" style="73" customWidth="1"/>
    <col min="31" max="31" width="8.85546875" style="73" customWidth="1"/>
    <col min="32" max="33" width="9.28515625" style="73" customWidth="1"/>
    <col min="34" max="34" width="9.5703125" style="73" customWidth="1"/>
    <col min="35" max="35" width="10.85546875" style="73" bestFit="1" customWidth="1"/>
    <col min="36" max="36" width="9.5703125" style="73" bestFit="1" customWidth="1"/>
    <col min="37" max="37" width="9.140625" style="73"/>
    <col min="38" max="39" width="9.5703125" style="73" bestFit="1" customWidth="1"/>
    <col min="40" max="254" width="9.140625" style="73"/>
    <col min="255" max="255" width="54.140625" style="73" bestFit="1" customWidth="1"/>
    <col min="256" max="256" width="14.7109375" style="73" customWidth="1"/>
    <col min="257" max="257" width="10.140625" style="73" customWidth="1"/>
    <col min="258" max="258" width="10.42578125" style="73" bestFit="1" customWidth="1"/>
    <col min="259" max="260" width="9.42578125" style="73" bestFit="1" customWidth="1"/>
    <col min="261" max="262" width="9.42578125" style="73" customWidth="1"/>
    <col min="263" max="263" width="10.140625" style="73" bestFit="1" customWidth="1"/>
    <col min="264" max="267" width="9.140625" style="73"/>
    <col min="268" max="268" width="7.28515625" style="73" customWidth="1"/>
    <col min="269" max="271" width="7.42578125" style="73" customWidth="1"/>
    <col min="272" max="272" width="10.42578125" style="73" bestFit="1" customWidth="1"/>
    <col min="273" max="273" width="12" style="73" bestFit="1" customWidth="1"/>
    <col min="274" max="274" width="11" style="73" bestFit="1" customWidth="1"/>
    <col min="275" max="276" width="11" style="73" customWidth="1"/>
    <col min="277" max="277" width="10" style="73" bestFit="1" customWidth="1"/>
    <col min="278" max="278" width="14.42578125" style="73" bestFit="1" customWidth="1"/>
    <col min="279" max="289" width="0" style="73" hidden="1" customWidth="1"/>
    <col min="290" max="510" width="9.140625" style="73"/>
    <col min="511" max="511" width="54.140625" style="73" bestFit="1" customWidth="1"/>
    <col min="512" max="512" width="14.7109375" style="73" customWidth="1"/>
    <col min="513" max="513" width="10.140625" style="73" customWidth="1"/>
    <col min="514" max="514" width="10.42578125" style="73" bestFit="1" customWidth="1"/>
    <col min="515" max="516" width="9.42578125" style="73" bestFit="1" customWidth="1"/>
    <col min="517" max="518" width="9.42578125" style="73" customWidth="1"/>
    <col min="519" max="519" width="10.140625" style="73" bestFit="1" customWidth="1"/>
    <col min="520" max="523" width="9.140625" style="73"/>
    <col min="524" max="524" width="7.28515625" style="73" customWidth="1"/>
    <col min="525" max="527" width="7.42578125" style="73" customWidth="1"/>
    <col min="528" max="528" width="10.42578125" style="73" bestFit="1" customWidth="1"/>
    <col min="529" max="529" width="12" style="73" bestFit="1" customWidth="1"/>
    <col min="530" max="530" width="11" style="73" bestFit="1" customWidth="1"/>
    <col min="531" max="532" width="11" style="73" customWidth="1"/>
    <col min="533" max="533" width="10" style="73" bestFit="1" customWidth="1"/>
    <col min="534" max="534" width="14.42578125" style="73" bestFit="1" customWidth="1"/>
    <col min="535" max="545" width="0" style="73" hidden="1" customWidth="1"/>
    <col min="546" max="766" width="9.140625" style="73"/>
    <col min="767" max="767" width="54.140625" style="73" bestFit="1" customWidth="1"/>
    <col min="768" max="768" width="14.7109375" style="73" customWidth="1"/>
    <col min="769" max="769" width="10.140625" style="73" customWidth="1"/>
    <col min="770" max="770" width="10.42578125" style="73" bestFit="1" customWidth="1"/>
    <col min="771" max="772" width="9.42578125" style="73" bestFit="1" customWidth="1"/>
    <col min="773" max="774" width="9.42578125" style="73" customWidth="1"/>
    <col min="775" max="775" width="10.140625" style="73" bestFit="1" customWidth="1"/>
    <col min="776" max="779" width="9.140625" style="73"/>
    <col min="780" max="780" width="7.28515625" style="73" customWidth="1"/>
    <col min="781" max="783" width="7.42578125" style="73" customWidth="1"/>
    <col min="784" max="784" width="10.42578125" style="73" bestFit="1" customWidth="1"/>
    <col min="785" max="785" width="12" style="73" bestFit="1" customWidth="1"/>
    <col min="786" max="786" width="11" style="73" bestFit="1" customWidth="1"/>
    <col min="787" max="788" width="11" style="73" customWidth="1"/>
    <col min="789" max="789" width="10" style="73" bestFit="1" customWidth="1"/>
    <col min="790" max="790" width="14.42578125" style="73" bestFit="1" customWidth="1"/>
    <col min="791" max="801" width="0" style="73" hidden="1" customWidth="1"/>
    <col min="802" max="1022" width="9.140625" style="73"/>
    <col min="1023" max="1023" width="54.140625" style="73" bestFit="1" customWidth="1"/>
    <col min="1024" max="1024" width="14.7109375" style="73" customWidth="1"/>
    <col min="1025" max="1025" width="10.140625" style="73" customWidth="1"/>
    <col min="1026" max="1026" width="10.42578125" style="73" bestFit="1" customWidth="1"/>
    <col min="1027" max="1028" width="9.42578125" style="73" bestFit="1" customWidth="1"/>
    <col min="1029" max="1030" width="9.42578125" style="73" customWidth="1"/>
    <col min="1031" max="1031" width="10.140625" style="73" bestFit="1" customWidth="1"/>
    <col min="1032" max="1035" width="9.140625" style="73"/>
    <col min="1036" max="1036" width="7.28515625" style="73" customWidth="1"/>
    <col min="1037" max="1039" width="7.42578125" style="73" customWidth="1"/>
    <col min="1040" max="1040" width="10.42578125" style="73" bestFit="1" customWidth="1"/>
    <col min="1041" max="1041" width="12" style="73" bestFit="1" customWidth="1"/>
    <col min="1042" max="1042" width="11" style="73" bestFit="1" customWidth="1"/>
    <col min="1043" max="1044" width="11" style="73" customWidth="1"/>
    <col min="1045" max="1045" width="10" style="73" bestFit="1" customWidth="1"/>
    <col min="1046" max="1046" width="14.42578125" style="73" bestFit="1" customWidth="1"/>
    <col min="1047" max="1057" width="0" style="73" hidden="1" customWidth="1"/>
    <col min="1058" max="1278" width="9.140625" style="73"/>
    <col min="1279" max="1279" width="54.140625" style="73" bestFit="1" customWidth="1"/>
    <col min="1280" max="1280" width="14.7109375" style="73" customWidth="1"/>
    <col min="1281" max="1281" width="10.140625" style="73" customWidth="1"/>
    <col min="1282" max="1282" width="10.42578125" style="73" bestFit="1" customWidth="1"/>
    <col min="1283" max="1284" width="9.42578125" style="73" bestFit="1" customWidth="1"/>
    <col min="1285" max="1286" width="9.42578125" style="73" customWidth="1"/>
    <col min="1287" max="1287" width="10.140625" style="73" bestFit="1" customWidth="1"/>
    <col min="1288" max="1291" width="9.140625" style="73"/>
    <col min="1292" max="1292" width="7.28515625" style="73" customWidth="1"/>
    <col min="1293" max="1295" width="7.42578125" style="73" customWidth="1"/>
    <col min="1296" max="1296" width="10.42578125" style="73" bestFit="1" customWidth="1"/>
    <col min="1297" max="1297" width="12" style="73" bestFit="1" customWidth="1"/>
    <col min="1298" max="1298" width="11" style="73" bestFit="1" customWidth="1"/>
    <col min="1299" max="1300" width="11" style="73" customWidth="1"/>
    <col min="1301" max="1301" width="10" style="73" bestFit="1" customWidth="1"/>
    <col min="1302" max="1302" width="14.42578125" style="73" bestFit="1" customWidth="1"/>
    <col min="1303" max="1313" width="0" style="73" hidden="1" customWidth="1"/>
    <col min="1314" max="1534" width="9.140625" style="73"/>
    <col min="1535" max="1535" width="54.140625" style="73" bestFit="1" customWidth="1"/>
    <col min="1536" max="1536" width="14.7109375" style="73" customWidth="1"/>
    <col min="1537" max="1537" width="10.140625" style="73" customWidth="1"/>
    <col min="1538" max="1538" width="10.42578125" style="73" bestFit="1" customWidth="1"/>
    <col min="1539" max="1540" width="9.42578125" style="73" bestFit="1" customWidth="1"/>
    <col min="1541" max="1542" width="9.42578125" style="73" customWidth="1"/>
    <col min="1543" max="1543" width="10.140625" style="73" bestFit="1" customWidth="1"/>
    <col min="1544" max="1547" width="9.140625" style="73"/>
    <col min="1548" max="1548" width="7.28515625" style="73" customWidth="1"/>
    <col min="1549" max="1551" width="7.42578125" style="73" customWidth="1"/>
    <col min="1552" max="1552" width="10.42578125" style="73" bestFit="1" customWidth="1"/>
    <col min="1553" max="1553" width="12" style="73" bestFit="1" customWidth="1"/>
    <col min="1554" max="1554" width="11" style="73" bestFit="1" customWidth="1"/>
    <col min="1555" max="1556" width="11" style="73" customWidth="1"/>
    <col min="1557" max="1557" width="10" style="73" bestFit="1" customWidth="1"/>
    <col min="1558" max="1558" width="14.42578125" style="73" bestFit="1" customWidth="1"/>
    <col min="1559" max="1569" width="0" style="73" hidden="1" customWidth="1"/>
    <col min="1570" max="1790" width="9.140625" style="73"/>
    <col min="1791" max="1791" width="54.140625" style="73" bestFit="1" customWidth="1"/>
    <col min="1792" max="1792" width="14.7109375" style="73" customWidth="1"/>
    <col min="1793" max="1793" width="10.140625" style="73" customWidth="1"/>
    <col min="1794" max="1794" width="10.42578125" style="73" bestFit="1" customWidth="1"/>
    <col min="1795" max="1796" width="9.42578125" style="73" bestFit="1" customWidth="1"/>
    <col min="1797" max="1798" width="9.42578125" style="73" customWidth="1"/>
    <col min="1799" max="1799" width="10.140625" style="73" bestFit="1" customWidth="1"/>
    <col min="1800" max="1803" width="9.140625" style="73"/>
    <col min="1804" max="1804" width="7.28515625" style="73" customWidth="1"/>
    <col min="1805" max="1807" width="7.42578125" style="73" customWidth="1"/>
    <col min="1808" max="1808" width="10.42578125" style="73" bestFit="1" customWidth="1"/>
    <col min="1809" max="1809" width="12" style="73" bestFit="1" customWidth="1"/>
    <col min="1810" max="1810" width="11" style="73" bestFit="1" customWidth="1"/>
    <col min="1811" max="1812" width="11" style="73" customWidth="1"/>
    <col min="1813" max="1813" width="10" style="73" bestFit="1" customWidth="1"/>
    <col min="1814" max="1814" width="14.42578125" style="73" bestFit="1" customWidth="1"/>
    <col min="1815" max="1825" width="0" style="73" hidden="1" customWidth="1"/>
    <col min="1826" max="2046" width="9.140625" style="73"/>
    <col min="2047" max="2047" width="54.140625" style="73" bestFit="1" customWidth="1"/>
    <col min="2048" max="2048" width="14.7109375" style="73" customWidth="1"/>
    <col min="2049" max="2049" width="10.140625" style="73" customWidth="1"/>
    <col min="2050" max="2050" width="10.42578125" style="73" bestFit="1" customWidth="1"/>
    <col min="2051" max="2052" width="9.42578125" style="73" bestFit="1" customWidth="1"/>
    <col min="2053" max="2054" width="9.42578125" style="73" customWidth="1"/>
    <col min="2055" max="2055" width="10.140625" style="73" bestFit="1" customWidth="1"/>
    <col min="2056" max="2059" width="9.140625" style="73"/>
    <col min="2060" max="2060" width="7.28515625" style="73" customWidth="1"/>
    <col min="2061" max="2063" width="7.42578125" style="73" customWidth="1"/>
    <col min="2064" max="2064" width="10.42578125" style="73" bestFit="1" customWidth="1"/>
    <col min="2065" max="2065" width="12" style="73" bestFit="1" customWidth="1"/>
    <col min="2066" max="2066" width="11" style="73" bestFit="1" customWidth="1"/>
    <col min="2067" max="2068" width="11" style="73" customWidth="1"/>
    <col min="2069" max="2069" width="10" style="73" bestFit="1" customWidth="1"/>
    <col min="2070" max="2070" width="14.42578125" style="73" bestFit="1" customWidth="1"/>
    <col min="2071" max="2081" width="0" style="73" hidden="1" customWidth="1"/>
    <col min="2082" max="2302" width="9.140625" style="73"/>
    <col min="2303" max="2303" width="54.140625" style="73" bestFit="1" customWidth="1"/>
    <col min="2304" max="2304" width="14.7109375" style="73" customWidth="1"/>
    <col min="2305" max="2305" width="10.140625" style="73" customWidth="1"/>
    <col min="2306" max="2306" width="10.42578125" style="73" bestFit="1" customWidth="1"/>
    <col min="2307" max="2308" width="9.42578125" style="73" bestFit="1" customWidth="1"/>
    <col min="2309" max="2310" width="9.42578125" style="73" customWidth="1"/>
    <col min="2311" max="2311" width="10.140625" style="73" bestFit="1" customWidth="1"/>
    <col min="2312" max="2315" width="9.140625" style="73"/>
    <col min="2316" max="2316" width="7.28515625" style="73" customWidth="1"/>
    <col min="2317" max="2319" width="7.42578125" style="73" customWidth="1"/>
    <col min="2320" max="2320" width="10.42578125" style="73" bestFit="1" customWidth="1"/>
    <col min="2321" max="2321" width="12" style="73" bestFit="1" customWidth="1"/>
    <col min="2322" max="2322" width="11" style="73" bestFit="1" customWidth="1"/>
    <col min="2323" max="2324" width="11" style="73" customWidth="1"/>
    <col min="2325" max="2325" width="10" style="73" bestFit="1" customWidth="1"/>
    <col min="2326" max="2326" width="14.42578125" style="73" bestFit="1" customWidth="1"/>
    <col min="2327" max="2337" width="0" style="73" hidden="1" customWidth="1"/>
    <col min="2338" max="2558" width="9.140625" style="73"/>
    <col min="2559" max="2559" width="54.140625" style="73" bestFit="1" customWidth="1"/>
    <col min="2560" max="2560" width="14.7109375" style="73" customWidth="1"/>
    <col min="2561" max="2561" width="10.140625" style="73" customWidth="1"/>
    <col min="2562" max="2562" width="10.42578125" style="73" bestFit="1" customWidth="1"/>
    <col min="2563" max="2564" width="9.42578125" style="73" bestFit="1" customWidth="1"/>
    <col min="2565" max="2566" width="9.42578125" style="73" customWidth="1"/>
    <col min="2567" max="2567" width="10.140625" style="73" bestFit="1" customWidth="1"/>
    <col min="2568" max="2571" width="9.140625" style="73"/>
    <col min="2572" max="2572" width="7.28515625" style="73" customWidth="1"/>
    <col min="2573" max="2575" width="7.42578125" style="73" customWidth="1"/>
    <col min="2576" max="2576" width="10.42578125" style="73" bestFit="1" customWidth="1"/>
    <col min="2577" max="2577" width="12" style="73" bestFit="1" customWidth="1"/>
    <col min="2578" max="2578" width="11" style="73" bestFit="1" customWidth="1"/>
    <col min="2579" max="2580" width="11" style="73" customWidth="1"/>
    <col min="2581" max="2581" width="10" style="73" bestFit="1" customWidth="1"/>
    <col min="2582" max="2582" width="14.42578125" style="73" bestFit="1" customWidth="1"/>
    <col min="2583" max="2593" width="0" style="73" hidden="1" customWidth="1"/>
    <col min="2594" max="2814" width="9.140625" style="73"/>
    <col min="2815" max="2815" width="54.140625" style="73" bestFit="1" customWidth="1"/>
    <col min="2816" max="2816" width="14.7109375" style="73" customWidth="1"/>
    <col min="2817" max="2817" width="10.140625" style="73" customWidth="1"/>
    <col min="2818" max="2818" width="10.42578125" style="73" bestFit="1" customWidth="1"/>
    <col min="2819" max="2820" width="9.42578125" style="73" bestFit="1" customWidth="1"/>
    <col min="2821" max="2822" width="9.42578125" style="73" customWidth="1"/>
    <col min="2823" max="2823" width="10.140625" style="73" bestFit="1" customWidth="1"/>
    <col min="2824" max="2827" width="9.140625" style="73"/>
    <col min="2828" max="2828" width="7.28515625" style="73" customWidth="1"/>
    <col min="2829" max="2831" width="7.42578125" style="73" customWidth="1"/>
    <col min="2832" max="2832" width="10.42578125" style="73" bestFit="1" customWidth="1"/>
    <col min="2833" max="2833" width="12" style="73" bestFit="1" customWidth="1"/>
    <col min="2834" max="2834" width="11" style="73" bestFit="1" customWidth="1"/>
    <col min="2835" max="2836" width="11" style="73" customWidth="1"/>
    <col min="2837" max="2837" width="10" style="73" bestFit="1" customWidth="1"/>
    <col min="2838" max="2838" width="14.42578125" style="73" bestFit="1" customWidth="1"/>
    <col min="2839" max="2849" width="0" style="73" hidden="1" customWidth="1"/>
    <col min="2850" max="3070" width="9.140625" style="73"/>
    <col min="3071" max="3071" width="54.140625" style="73" bestFit="1" customWidth="1"/>
    <col min="3072" max="3072" width="14.7109375" style="73" customWidth="1"/>
    <col min="3073" max="3073" width="10.140625" style="73" customWidth="1"/>
    <col min="3074" max="3074" width="10.42578125" style="73" bestFit="1" customWidth="1"/>
    <col min="3075" max="3076" width="9.42578125" style="73" bestFit="1" customWidth="1"/>
    <col min="3077" max="3078" width="9.42578125" style="73" customWidth="1"/>
    <col min="3079" max="3079" width="10.140625" style="73" bestFit="1" customWidth="1"/>
    <col min="3080" max="3083" width="9.140625" style="73"/>
    <col min="3084" max="3084" width="7.28515625" style="73" customWidth="1"/>
    <col min="3085" max="3087" width="7.42578125" style="73" customWidth="1"/>
    <col min="3088" max="3088" width="10.42578125" style="73" bestFit="1" customWidth="1"/>
    <col min="3089" max="3089" width="12" style="73" bestFit="1" customWidth="1"/>
    <col min="3090" max="3090" width="11" style="73" bestFit="1" customWidth="1"/>
    <col min="3091" max="3092" width="11" style="73" customWidth="1"/>
    <col min="3093" max="3093" width="10" style="73" bestFit="1" customWidth="1"/>
    <col min="3094" max="3094" width="14.42578125" style="73" bestFit="1" customWidth="1"/>
    <col min="3095" max="3105" width="0" style="73" hidden="1" customWidth="1"/>
    <col min="3106" max="3326" width="9.140625" style="73"/>
    <col min="3327" max="3327" width="54.140625" style="73" bestFit="1" customWidth="1"/>
    <col min="3328" max="3328" width="14.7109375" style="73" customWidth="1"/>
    <col min="3329" max="3329" width="10.140625" style="73" customWidth="1"/>
    <col min="3330" max="3330" width="10.42578125" style="73" bestFit="1" customWidth="1"/>
    <col min="3331" max="3332" width="9.42578125" style="73" bestFit="1" customWidth="1"/>
    <col min="3333" max="3334" width="9.42578125" style="73" customWidth="1"/>
    <col min="3335" max="3335" width="10.140625" style="73" bestFit="1" customWidth="1"/>
    <col min="3336" max="3339" width="9.140625" style="73"/>
    <col min="3340" max="3340" width="7.28515625" style="73" customWidth="1"/>
    <col min="3341" max="3343" width="7.42578125" style="73" customWidth="1"/>
    <col min="3344" max="3344" width="10.42578125" style="73" bestFit="1" customWidth="1"/>
    <col min="3345" max="3345" width="12" style="73" bestFit="1" customWidth="1"/>
    <col min="3346" max="3346" width="11" style="73" bestFit="1" customWidth="1"/>
    <col min="3347" max="3348" width="11" style="73" customWidth="1"/>
    <col min="3349" max="3349" width="10" style="73" bestFit="1" customWidth="1"/>
    <col min="3350" max="3350" width="14.42578125" style="73" bestFit="1" customWidth="1"/>
    <col min="3351" max="3361" width="0" style="73" hidden="1" customWidth="1"/>
    <col min="3362" max="3582" width="9.140625" style="73"/>
    <col min="3583" max="3583" width="54.140625" style="73" bestFit="1" customWidth="1"/>
    <col min="3584" max="3584" width="14.7109375" style="73" customWidth="1"/>
    <col min="3585" max="3585" width="10.140625" style="73" customWidth="1"/>
    <col min="3586" max="3586" width="10.42578125" style="73" bestFit="1" customWidth="1"/>
    <col min="3587" max="3588" width="9.42578125" style="73" bestFit="1" customWidth="1"/>
    <col min="3589" max="3590" width="9.42578125" style="73" customWidth="1"/>
    <col min="3591" max="3591" width="10.140625" style="73" bestFit="1" customWidth="1"/>
    <col min="3592" max="3595" width="9.140625" style="73"/>
    <col min="3596" max="3596" width="7.28515625" style="73" customWidth="1"/>
    <col min="3597" max="3599" width="7.42578125" style="73" customWidth="1"/>
    <col min="3600" max="3600" width="10.42578125" style="73" bestFit="1" customWidth="1"/>
    <col min="3601" max="3601" width="12" style="73" bestFit="1" customWidth="1"/>
    <col min="3602" max="3602" width="11" style="73" bestFit="1" customWidth="1"/>
    <col min="3603" max="3604" width="11" style="73" customWidth="1"/>
    <col min="3605" max="3605" width="10" style="73" bestFit="1" customWidth="1"/>
    <col min="3606" max="3606" width="14.42578125" style="73" bestFit="1" customWidth="1"/>
    <col min="3607" max="3617" width="0" style="73" hidden="1" customWidth="1"/>
    <col min="3618" max="3838" width="9.140625" style="73"/>
    <col min="3839" max="3839" width="54.140625" style="73" bestFit="1" customWidth="1"/>
    <col min="3840" max="3840" width="14.7109375" style="73" customWidth="1"/>
    <col min="3841" max="3841" width="10.140625" style="73" customWidth="1"/>
    <col min="3842" max="3842" width="10.42578125" style="73" bestFit="1" customWidth="1"/>
    <col min="3843" max="3844" width="9.42578125" style="73" bestFit="1" customWidth="1"/>
    <col min="3845" max="3846" width="9.42578125" style="73" customWidth="1"/>
    <col min="3847" max="3847" width="10.140625" style="73" bestFit="1" customWidth="1"/>
    <col min="3848" max="3851" width="9.140625" style="73"/>
    <col min="3852" max="3852" width="7.28515625" style="73" customWidth="1"/>
    <col min="3853" max="3855" width="7.42578125" style="73" customWidth="1"/>
    <col min="3856" max="3856" width="10.42578125" style="73" bestFit="1" customWidth="1"/>
    <col min="3857" max="3857" width="12" style="73" bestFit="1" customWidth="1"/>
    <col min="3858" max="3858" width="11" style="73" bestFit="1" customWidth="1"/>
    <col min="3859" max="3860" width="11" style="73" customWidth="1"/>
    <col min="3861" max="3861" width="10" style="73" bestFit="1" customWidth="1"/>
    <col min="3862" max="3862" width="14.42578125" style="73" bestFit="1" customWidth="1"/>
    <col min="3863" max="3873" width="0" style="73" hidden="1" customWidth="1"/>
    <col min="3874" max="4094" width="9.140625" style="73"/>
    <col min="4095" max="4095" width="54.140625" style="73" bestFit="1" customWidth="1"/>
    <col min="4096" max="4096" width="14.7109375" style="73" customWidth="1"/>
    <col min="4097" max="4097" width="10.140625" style="73" customWidth="1"/>
    <col min="4098" max="4098" width="10.42578125" style="73" bestFit="1" customWidth="1"/>
    <col min="4099" max="4100" width="9.42578125" style="73" bestFit="1" customWidth="1"/>
    <col min="4101" max="4102" width="9.42578125" style="73" customWidth="1"/>
    <col min="4103" max="4103" width="10.140625" style="73" bestFit="1" customWidth="1"/>
    <col min="4104" max="4107" width="9.140625" style="73"/>
    <col min="4108" max="4108" width="7.28515625" style="73" customWidth="1"/>
    <col min="4109" max="4111" width="7.42578125" style="73" customWidth="1"/>
    <col min="4112" max="4112" width="10.42578125" style="73" bestFit="1" customWidth="1"/>
    <col min="4113" max="4113" width="12" style="73" bestFit="1" customWidth="1"/>
    <col min="4114" max="4114" width="11" style="73" bestFit="1" customWidth="1"/>
    <col min="4115" max="4116" width="11" style="73" customWidth="1"/>
    <col min="4117" max="4117" width="10" style="73" bestFit="1" customWidth="1"/>
    <col min="4118" max="4118" width="14.42578125" style="73" bestFit="1" customWidth="1"/>
    <col min="4119" max="4129" width="0" style="73" hidden="1" customWidth="1"/>
    <col min="4130" max="4350" width="9.140625" style="73"/>
    <col min="4351" max="4351" width="54.140625" style="73" bestFit="1" customWidth="1"/>
    <col min="4352" max="4352" width="14.7109375" style="73" customWidth="1"/>
    <col min="4353" max="4353" width="10.140625" style="73" customWidth="1"/>
    <col min="4354" max="4354" width="10.42578125" style="73" bestFit="1" customWidth="1"/>
    <col min="4355" max="4356" width="9.42578125" style="73" bestFit="1" customWidth="1"/>
    <col min="4357" max="4358" width="9.42578125" style="73" customWidth="1"/>
    <col min="4359" max="4359" width="10.140625" style="73" bestFit="1" customWidth="1"/>
    <col min="4360" max="4363" width="9.140625" style="73"/>
    <col min="4364" max="4364" width="7.28515625" style="73" customWidth="1"/>
    <col min="4365" max="4367" width="7.42578125" style="73" customWidth="1"/>
    <col min="4368" max="4368" width="10.42578125" style="73" bestFit="1" customWidth="1"/>
    <col min="4369" max="4369" width="12" style="73" bestFit="1" customWidth="1"/>
    <col min="4370" max="4370" width="11" style="73" bestFit="1" customWidth="1"/>
    <col min="4371" max="4372" width="11" style="73" customWidth="1"/>
    <col min="4373" max="4373" width="10" style="73" bestFit="1" customWidth="1"/>
    <col min="4374" max="4374" width="14.42578125" style="73" bestFit="1" customWidth="1"/>
    <col min="4375" max="4385" width="0" style="73" hidden="1" customWidth="1"/>
    <col min="4386" max="4606" width="9.140625" style="73"/>
    <col min="4607" max="4607" width="54.140625" style="73" bestFit="1" customWidth="1"/>
    <col min="4608" max="4608" width="14.7109375" style="73" customWidth="1"/>
    <col min="4609" max="4609" width="10.140625" style="73" customWidth="1"/>
    <col min="4610" max="4610" width="10.42578125" style="73" bestFit="1" customWidth="1"/>
    <col min="4611" max="4612" width="9.42578125" style="73" bestFit="1" customWidth="1"/>
    <col min="4613" max="4614" width="9.42578125" style="73" customWidth="1"/>
    <col min="4615" max="4615" width="10.140625" style="73" bestFit="1" customWidth="1"/>
    <col min="4616" max="4619" width="9.140625" style="73"/>
    <col min="4620" max="4620" width="7.28515625" style="73" customWidth="1"/>
    <col min="4621" max="4623" width="7.42578125" style="73" customWidth="1"/>
    <col min="4624" max="4624" width="10.42578125" style="73" bestFit="1" customWidth="1"/>
    <col min="4625" max="4625" width="12" style="73" bestFit="1" customWidth="1"/>
    <col min="4626" max="4626" width="11" style="73" bestFit="1" customWidth="1"/>
    <col min="4627" max="4628" width="11" style="73" customWidth="1"/>
    <col min="4629" max="4629" width="10" style="73" bestFit="1" customWidth="1"/>
    <col min="4630" max="4630" width="14.42578125" style="73" bestFit="1" customWidth="1"/>
    <col min="4631" max="4641" width="0" style="73" hidden="1" customWidth="1"/>
    <col min="4642" max="4862" width="9.140625" style="73"/>
    <col min="4863" max="4863" width="54.140625" style="73" bestFit="1" customWidth="1"/>
    <col min="4864" max="4864" width="14.7109375" style="73" customWidth="1"/>
    <col min="4865" max="4865" width="10.140625" style="73" customWidth="1"/>
    <col min="4866" max="4866" width="10.42578125" style="73" bestFit="1" customWidth="1"/>
    <col min="4867" max="4868" width="9.42578125" style="73" bestFit="1" customWidth="1"/>
    <col min="4869" max="4870" width="9.42578125" style="73" customWidth="1"/>
    <col min="4871" max="4871" width="10.140625" style="73" bestFit="1" customWidth="1"/>
    <col min="4872" max="4875" width="9.140625" style="73"/>
    <col min="4876" max="4876" width="7.28515625" style="73" customWidth="1"/>
    <col min="4877" max="4879" width="7.42578125" style="73" customWidth="1"/>
    <col min="4880" max="4880" width="10.42578125" style="73" bestFit="1" customWidth="1"/>
    <col min="4881" max="4881" width="12" style="73" bestFit="1" customWidth="1"/>
    <col min="4882" max="4882" width="11" style="73" bestFit="1" customWidth="1"/>
    <col min="4883" max="4884" width="11" style="73" customWidth="1"/>
    <col min="4885" max="4885" width="10" style="73" bestFit="1" customWidth="1"/>
    <col min="4886" max="4886" width="14.42578125" style="73" bestFit="1" customWidth="1"/>
    <col min="4887" max="4897" width="0" style="73" hidden="1" customWidth="1"/>
    <col min="4898" max="5118" width="9.140625" style="73"/>
    <col min="5119" max="5119" width="54.140625" style="73" bestFit="1" customWidth="1"/>
    <col min="5120" max="5120" width="14.7109375" style="73" customWidth="1"/>
    <col min="5121" max="5121" width="10.140625" style="73" customWidth="1"/>
    <col min="5122" max="5122" width="10.42578125" style="73" bestFit="1" customWidth="1"/>
    <col min="5123" max="5124" width="9.42578125" style="73" bestFit="1" customWidth="1"/>
    <col min="5125" max="5126" width="9.42578125" style="73" customWidth="1"/>
    <col min="5127" max="5127" width="10.140625" style="73" bestFit="1" customWidth="1"/>
    <col min="5128" max="5131" width="9.140625" style="73"/>
    <col min="5132" max="5132" width="7.28515625" style="73" customWidth="1"/>
    <col min="5133" max="5135" width="7.42578125" style="73" customWidth="1"/>
    <col min="5136" max="5136" width="10.42578125" style="73" bestFit="1" customWidth="1"/>
    <col min="5137" max="5137" width="12" style="73" bestFit="1" customWidth="1"/>
    <col min="5138" max="5138" width="11" style="73" bestFit="1" customWidth="1"/>
    <col min="5139" max="5140" width="11" style="73" customWidth="1"/>
    <col min="5141" max="5141" width="10" style="73" bestFit="1" customWidth="1"/>
    <col min="5142" max="5142" width="14.42578125" style="73" bestFit="1" customWidth="1"/>
    <col min="5143" max="5153" width="0" style="73" hidden="1" customWidth="1"/>
    <col min="5154" max="5374" width="9.140625" style="73"/>
    <col min="5375" max="5375" width="54.140625" style="73" bestFit="1" customWidth="1"/>
    <col min="5376" max="5376" width="14.7109375" style="73" customWidth="1"/>
    <col min="5377" max="5377" width="10.140625" style="73" customWidth="1"/>
    <col min="5378" max="5378" width="10.42578125" style="73" bestFit="1" customWidth="1"/>
    <col min="5379" max="5380" width="9.42578125" style="73" bestFit="1" customWidth="1"/>
    <col min="5381" max="5382" width="9.42578125" style="73" customWidth="1"/>
    <col min="5383" max="5383" width="10.140625" style="73" bestFit="1" customWidth="1"/>
    <col min="5384" max="5387" width="9.140625" style="73"/>
    <col min="5388" max="5388" width="7.28515625" style="73" customWidth="1"/>
    <col min="5389" max="5391" width="7.42578125" style="73" customWidth="1"/>
    <col min="5392" max="5392" width="10.42578125" style="73" bestFit="1" customWidth="1"/>
    <col min="5393" max="5393" width="12" style="73" bestFit="1" customWidth="1"/>
    <col min="5394" max="5394" width="11" style="73" bestFit="1" customWidth="1"/>
    <col min="5395" max="5396" width="11" style="73" customWidth="1"/>
    <col min="5397" max="5397" width="10" style="73" bestFit="1" customWidth="1"/>
    <col min="5398" max="5398" width="14.42578125" style="73" bestFit="1" customWidth="1"/>
    <col min="5399" max="5409" width="0" style="73" hidden="1" customWidth="1"/>
    <col min="5410" max="5630" width="9.140625" style="73"/>
    <col min="5631" max="5631" width="54.140625" style="73" bestFit="1" customWidth="1"/>
    <col min="5632" max="5632" width="14.7109375" style="73" customWidth="1"/>
    <col min="5633" max="5633" width="10.140625" style="73" customWidth="1"/>
    <col min="5634" max="5634" width="10.42578125" style="73" bestFit="1" customWidth="1"/>
    <col min="5635" max="5636" width="9.42578125" style="73" bestFit="1" customWidth="1"/>
    <col min="5637" max="5638" width="9.42578125" style="73" customWidth="1"/>
    <col min="5639" max="5639" width="10.140625" style="73" bestFit="1" customWidth="1"/>
    <col min="5640" max="5643" width="9.140625" style="73"/>
    <col min="5644" max="5644" width="7.28515625" style="73" customWidth="1"/>
    <col min="5645" max="5647" width="7.42578125" style="73" customWidth="1"/>
    <col min="5648" max="5648" width="10.42578125" style="73" bestFit="1" customWidth="1"/>
    <col min="5649" max="5649" width="12" style="73" bestFit="1" customWidth="1"/>
    <col min="5650" max="5650" width="11" style="73" bestFit="1" customWidth="1"/>
    <col min="5651" max="5652" width="11" style="73" customWidth="1"/>
    <col min="5653" max="5653" width="10" style="73" bestFit="1" customWidth="1"/>
    <col min="5654" max="5654" width="14.42578125" style="73" bestFit="1" customWidth="1"/>
    <col min="5655" max="5665" width="0" style="73" hidden="1" customWidth="1"/>
    <col min="5666" max="5886" width="9.140625" style="73"/>
    <col min="5887" max="5887" width="54.140625" style="73" bestFit="1" customWidth="1"/>
    <col min="5888" max="5888" width="14.7109375" style="73" customWidth="1"/>
    <col min="5889" max="5889" width="10.140625" style="73" customWidth="1"/>
    <col min="5890" max="5890" width="10.42578125" style="73" bestFit="1" customWidth="1"/>
    <col min="5891" max="5892" width="9.42578125" style="73" bestFit="1" customWidth="1"/>
    <col min="5893" max="5894" width="9.42578125" style="73" customWidth="1"/>
    <col min="5895" max="5895" width="10.140625" style="73" bestFit="1" customWidth="1"/>
    <col min="5896" max="5899" width="9.140625" style="73"/>
    <col min="5900" max="5900" width="7.28515625" style="73" customWidth="1"/>
    <col min="5901" max="5903" width="7.42578125" style="73" customWidth="1"/>
    <col min="5904" max="5904" width="10.42578125" style="73" bestFit="1" customWidth="1"/>
    <col min="5905" max="5905" width="12" style="73" bestFit="1" customWidth="1"/>
    <col min="5906" max="5906" width="11" style="73" bestFit="1" customWidth="1"/>
    <col min="5907" max="5908" width="11" style="73" customWidth="1"/>
    <col min="5909" max="5909" width="10" style="73" bestFit="1" customWidth="1"/>
    <col min="5910" max="5910" width="14.42578125" style="73" bestFit="1" customWidth="1"/>
    <col min="5911" max="5921" width="0" style="73" hidden="1" customWidth="1"/>
    <col min="5922" max="6142" width="9.140625" style="73"/>
    <col min="6143" max="6143" width="54.140625" style="73" bestFit="1" customWidth="1"/>
    <col min="6144" max="6144" width="14.7109375" style="73" customWidth="1"/>
    <col min="6145" max="6145" width="10.140625" style="73" customWidth="1"/>
    <col min="6146" max="6146" width="10.42578125" style="73" bestFit="1" customWidth="1"/>
    <col min="6147" max="6148" width="9.42578125" style="73" bestFit="1" customWidth="1"/>
    <col min="6149" max="6150" width="9.42578125" style="73" customWidth="1"/>
    <col min="6151" max="6151" width="10.140625" style="73" bestFit="1" customWidth="1"/>
    <col min="6152" max="6155" width="9.140625" style="73"/>
    <col min="6156" max="6156" width="7.28515625" style="73" customWidth="1"/>
    <col min="6157" max="6159" width="7.42578125" style="73" customWidth="1"/>
    <col min="6160" max="6160" width="10.42578125" style="73" bestFit="1" customWidth="1"/>
    <col min="6161" max="6161" width="12" style="73" bestFit="1" customWidth="1"/>
    <col min="6162" max="6162" width="11" style="73" bestFit="1" customWidth="1"/>
    <col min="6163" max="6164" width="11" style="73" customWidth="1"/>
    <col min="6165" max="6165" width="10" style="73" bestFit="1" customWidth="1"/>
    <col min="6166" max="6166" width="14.42578125" style="73" bestFit="1" customWidth="1"/>
    <col min="6167" max="6177" width="0" style="73" hidden="1" customWidth="1"/>
    <col min="6178" max="6398" width="9.140625" style="73"/>
    <col min="6399" max="6399" width="54.140625" style="73" bestFit="1" customWidth="1"/>
    <col min="6400" max="6400" width="14.7109375" style="73" customWidth="1"/>
    <col min="6401" max="6401" width="10.140625" style="73" customWidth="1"/>
    <col min="6402" max="6402" width="10.42578125" style="73" bestFit="1" customWidth="1"/>
    <col min="6403" max="6404" width="9.42578125" style="73" bestFit="1" customWidth="1"/>
    <col min="6405" max="6406" width="9.42578125" style="73" customWidth="1"/>
    <col min="6407" max="6407" width="10.140625" style="73" bestFit="1" customWidth="1"/>
    <col min="6408" max="6411" width="9.140625" style="73"/>
    <col min="6412" max="6412" width="7.28515625" style="73" customWidth="1"/>
    <col min="6413" max="6415" width="7.42578125" style="73" customWidth="1"/>
    <col min="6416" max="6416" width="10.42578125" style="73" bestFit="1" customWidth="1"/>
    <col min="6417" max="6417" width="12" style="73" bestFit="1" customWidth="1"/>
    <col min="6418" max="6418" width="11" style="73" bestFit="1" customWidth="1"/>
    <col min="6419" max="6420" width="11" style="73" customWidth="1"/>
    <col min="6421" max="6421" width="10" style="73" bestFit="1" customWidth="1"/>
    <col min="6422" max="6422" width="14.42578125" style="73" bestFit="1" customWidth="1"/>
    <col min="6423" max="6433" width="0" style="73" hidden="1" customWidth="1"/>
    <col min="6434" max="6654" width="9.140625" style="73"/>
    <col min="6655" max="6655" width="54.140625" style="73" bestFit="1" customWidth="1"/>
    <col min="6656" max="6656" width="14.7109375" style="73" customWidth="1"/>
    <col min="6657" max="6657" width="10.140625" style="73" customWidth="1"/>
    <col min="6658" max="6658" width="10.42578125" style="73" bestFit="1" customWidth="1"/>
    <col min="6659" max="6660" width="9.42578125" style="73" bestFit="1" customWidth="1"/>
    <col min="6661" max="6662" width="9.42578125" style="73" customWidth="1"/>
    <col min="6663" max="6663" width="10.140625" style="73" bestFit="1" customWidth="1"/>
    <col min="6664" max="6667" width="9.140625" style="73"/>
    <col min="6668" max="6668" width="7.28515625" style="73" customWidth="1"/>
    <col min="6669" max="6671" width="7.42578125" style="73" customWidth="1"/>
    <col min="6672" max="6672" width="10.42578125" style="73" bestFit="1" customWidth="1"/>
    <col min="6673" max="6673" width="12" style="73" bestFit="1" customWidth="1"/>
    <col min="6674" max="6674" width="11" style="73" bestFit="1" customWidth="1"/>
    <col min="6675" max="6676" width="11" style="73" customWidth="1"/>
    <col min="6677" max="6677" width="10" style="73" bestFit="1" customWidth="1"/>
    <col min="6678" max="6678" width="14.42578125" style="73" bestFit="1" customWidth="1"/>
    <col min="6679" max="6689" width="0" style="73" hidden="1" customWidth="1"/>
    <col min="6690" max="6910" width="9.140625" style="73"/>
    <col min="6911" max="6911" width="54.140625" style="73" bestFit="1" customWidth="1"/>
    <col min="6912" max="6912" width="14.7109375" style="73" customWidth="1"/>
    <col min="6913" max="6913" width="10.140625" style="73" customWidth="1"/>
    <col min="6914" max="6914" width="10.42578125" style="73" bestFit="1" customWidth="1"/>
    <col min="6915" max="6916" width="9.42578125" style="73" bestFit="1" customWidth="1"/>
    <col min="6917" max="6918" width="9.42578125" style="73" customWidth="1"/>
    <col min="6919" max="6919" width="10.140625" style="73" bestFit="1" customWidth="1"/>
    <col min="6920" max="6923" width="9.140625" style="73"/>
    <col min="6924" max="6924" width="7.28515625" style="73" customWidth="1"/>
    <col min="6925" max="6927" width="7.42578125" style="73" customWidth="1"/>
    <col min="6928" max="6928" width="10.42578125" style="73" bestFit="1" customWidth="1"/>
    <col min="6929" max="6929" width="12" style="73" bestFit="1" customWidth="1"/>
    <col min="6930" max="6930" width="11" style="73" bestFit="1" customWidth="1"/>
    <col min="6931" max="6932" width="11" style="73" customWidth="1"/>
    <col min="6933" max="6933" width="10" style="73" bestFit="1" customWidth="1"/>
    <col min="6934" max="6934" width="14.42578125" style="73" bestFit="1" customWidth="1"/>
    <col min="6935" max="6945" width="0" style="73" hidden="1" customWidth="1"/>
    <col min="6946" max="7166" width="9.140625" style="73"/>
    <col min="7167" max="7167" width="54.140625" style="73" bestFit="1" customWidth="1"/>
    <col min="7168" max="7168" width="14.7109375" style="73" customWidth="1"/>
    <col min="7169" max="7169" width="10.140625" style="73" customWidth="1"/>
    <col min="7170" max="7170" width="10.42578125" style="73" bestFit="1" customWidth="1"/>
    <col min="7171" max="7172" width="9.42578125" style="73" bestFit="1" customWidth="1"/>
    <col min="7173" max="7174" width="9.42578125" style="73" customWidth="1"/>
    <col min="7175" max="7175" width="10.140625" style="73" bestFit="1" customWidth="1"/>
    <col min="7176" max="7179" width="9.140625" style="73"/>
    <col min="7180" max="7180" width="7.28515625" style="73" customWidth="1"/>
    <col min="7181" max="7183" width="7.42578125" style="73" customWidth="1"/>
    <col min="7184" max="7184" width="10.42578125" style="73" bestFit="1" customWidth="1"/>
    <col min="7185" max="7185" width="12" style="73" bestFit="1" customWidth="1"/>
    <col min="7186" max="7186" width="11" style="73" bestFit="1" customWidth="1"/>
    <col min="7187" max="7188" width="11" style="73" customWidth="1"/>
    <col min="7189" max="7189" width="10" style="73" bestFit="1" customWidth="1"/>
    <col min="7190" max="7190" width="14.42578125" style="73" bestFit="1" customWidth="1"/>
    <col min="7191" max="7201" width="0" style="73" hidden="1" customWidth="1"/>
    <col min="7202" max="7422" width="9.140625" style="73"/>
    <col min="7423" max="7423" width="54.140625" style="73" bestFit="1" customWidth="1"/>
    <col min="7424" max="7424" width="14.7109375" style="73" customWidth="1"/>
    <col min="7425" max="7425" width="10.140625" style="73" customWidth="1"/>
    <col min="7426" max="7426" width="10.42578125" style="73" bestFit="1" customWidth="1"/>
    <col min="7427" max="7428" width="9.42578125" style="73" bestFit="1" customWidth="1"/>
    <col min="7429" max="7430" width="9.42578125" style="73" customWidth="1"/>
    <col min="7431" max="7431" width="10.140625" style="73" bestFit="1" customWidth="1"/>
    <col min="7432" max="7435" width="9.140625" style="73"/>
    <col min="7436" max="7436" width="7.28515625" style="73" customWidth="1"/>
    <col min="7437" max="7439" width="7.42578125" style="73" customWidth="1"/>
    <col min="7440" max="7440" width="10.42578125" style="73" bestFit="1" customWidth="1"/>
    <col min="7441" max="7441" width="12" style="73" bestFit="1" customWidth="1"/>
    <col min="7442" max="7442" width="11" style="73" bestFit="1" customWidth="1"/>
    <col min="7443" max="7444" width="11" style="73" customWidth="1"/>
    <col min="7445" max="7445" width="10" style="73" bestFit="1" customWidth="1"/>
    <col min="7446" max="7446" width="14.42578125" style="73" bestFit="1" customWidth="1"/>
    <col min="7447" max="7457" width="0" style="73" hidden="1" customWidth="1"/>
    <col min="7458" max="7678" width="9.140625" style="73"/>
    <col min="7679" max="7679" width="54.140625" style="73" bestFit="1" customWidth="1"/>
    <col min="7680" max="7680" width="14.7109375" style="73" customWidth="1"/>
    <col min="7681" max="7681" width="10.140625" style="73" customWidth="1"/>
    <col min="7682" max="7682" width="10.42578125" style="73" bestFit="1" customWidth="1"/>
    <col min="7683" max="7684" width="9.42578125" style="73" bestFit="1" customWidth="1"/>
    <col min="7685" max="7686" width="9.42578125" style="73" customWidth="1"/>
    <col min="7687" max="7687" width="10.140625" style="73" bestFit="1" customWidth="1"/>
    <col min="7688" max="7691" width="9.140625" style="73"/>
    <col min="7692" max="7692" width="7.28515625" style="73" customWidth="1"/>
    <col min="7693" max="7695" width="7.42578125" style="73" customWidth="1"/>
    <col min="7696" max="7696" width="10.42578125" style="73" bestFit="1" customWidth="1"/>
    <col min="7697" max="7697" width="12" style="73" bestFit="1" customWidth="1"/>
    <col min="7698" max="7698" width="11" style="73" bestFit="1" customWidth="1"/>
    <col min="7699" max="7700" width="11" style="73" customWidth="1"/>
    <col min="7701" max="7701" width="10" style="73" bestFit="1" customWidth="1"/>
    <col min="7702" max="7702" width="14.42578125" style="73" bestFit="1" customWidth="1"/>
    <col min="7703" max="7713" width="0" style="73" hidden="1" customWidth="1"/>
    <col min="7714" max="7934" width="9.140625" style="73"/>
    <col min="7935" max="7935" width="54.140625" style="73" bestFit="1" customWidth="1"/>
    <col min="7936" max="7936" width="14.7109375" style="73" customWidth="1"/>
    <col min="7937" max="7937" width="10.140625" style="73" customWidth="1"/>
    <col min="7938" max="7938" width="10.42578125" style="73" bestFit="1" customWidth="1"/>
    <col min="7939" max="7940" width="9.42578125" style="73" bestFit="1" customWidth="1"/>
    <col min="7941" max="7942" width="9.42578125" style="73" customWidth="1"/>
    <col min="7943" max="7943" width="10.140625" style="73" bestFit="1" customWidth="1"/>
    <col min="7944" max="7947" width="9.140625" style="73"/>
    <col min="7948" max="7948" width="7.28515625" style="73" customWidth="1"/>
    <col min="7949" max="7951" width="7.42578125" style="73" customWidth="1"/>
    <col min="7952" max="7952" width="10.42578125" style="73" bestFit="1" customWidth="1"/>
    <col min="7953" max="7953" width="12" style="73" bestFit="1" customWidth="1"/>
    <col min="7954" max="7954" width="11" style="73" bestFit="1" customWidth="1"/>
    <col min="7955" max="7956" width="11" style="73" customWidth="1"/>
    <col min="7957" max="7957" width="10" style="73" bestFit="1" customWidth="1"/>
    <col min="7958" max="7958" width="14.42578125" style="73" bestFit="1" customWidth="1"/>
    <col min="7959" max="7969" width="0" style="73" hidden="1" customWidth="1"/>
    <col min="7970" max="8190" width="9.140625" style="73"/>
    <col min="8191" max="8191" width="54.140625" style="73" bestFit="1" customWidth="1"/>
    <col min="8192" max="8192" width="14.7109375" style="73" customWidth="1"/>
    <col min="8193" max="8193" width="10.140625" style="73" customWidth="1"/>
    <col min="8194" max="8194" width="10.42578125" style="73" bestFit="1" customWidth="1"/>
    <col min="8195" max="8196" width="9.42578125" style="73" bestFit="1" customWidth="1"/>
    <col min="8197" max="8198" width="9.42578125" style="73" customWidth="1"/>
    <col min="8199" max="8199" width="10.140625" style="73" bestFit="1" customWidth="1"/>
    <col min="8200" max="8203" width="9.140625" style="73"/>
    <col min="8204" max="8204" width="7.28515625" style="73" customWidth="1"/>
    <col min="8205" max="8207" width="7.42578125" style="73" customWidth="1"/>
    <col min="8208" max="8208" width="10.42578125" style="73" bestFit="1" customWidth="1"/>
    <col min="8209" max="8209" width="12" style="73" bestFit="1" customWidth="1"/>
    <col min="8210" max="8210" width="11" style="73" bestFit="1" customWidth="1"/>
    <col min="8211" max="8212" width="11" style="73" customWidth="1"/>
    <col min="8213" max="8213" width="10" style="73" bestFit="1" customWidth="1"/>
    <col min="8214" max="8214" width="14.42578125" style="73" bestFit="1" customWidth="1"/>
    <col min="8215" max="8225" width="0" style="73" hidden="1" customWidth="1"/>
    <col min="8226" max="8446" width="9.140625" style="73"/>
    <col min="8447" max="8447" width="54.140625" style="73" bestFit="1" customWidth="1"/>
    <col min="8448" max="8448" width="14.7109375" style="73" customWidth="1"/>
    <col min="8449" max="8449" width="10.140625" style="73" customWidth="1"/>
    <col min="8450" max="8450" width="10.42578125" style="73" bestFit="1" customWidth="1"/>
    <col min="8451" max="8452" width="9.42578125" style="73" bestFit="1" customWidth="1"/>
    <col min="8453" max="8454" width="9.42578125" style="73" customWidth="1"/>
    <col min="8455" max="8455" width="10.140625" style="73" bestFit="1" customWidth="1"/>
    <col min="8456" max="8459" width="9.140625" style="73"/>
    <col min="8460" max="8460" width="7.28515625" style="73" customWidth="1"/>
    <col min="8461" max="8463" width="7.42578125" style="73" customWidth="1"/>
    <col min="8464" max="8464" width="10.42578125" style="73" bestFit="1" customWidth="1"/>
    <col min="8465" max="8465" width="12" style="73" bestFit="1" customWidth="1"/>
    <col min="8466" max="8466" width="11" style="73" bestFit="1" customWidth="1"/>
    <col min="8467" max="8468" width="11" style="73" customWidth="1"/>
    <col min="8469" max="8469" width="10" style="73" bestFit="1" customWidth="1"/>
    <col min="8470" max="8470" width="14.42578125" style="73" bestFit="1" customWidth="1"/>
    <col min="8471" max="8481" width="0" style="73" hidden="1" customWidth="1"/>
    <col min="8482" max="8702" width="9.140625" style="73"/>
    <col min="8703" max="8703" width="54.140625" style="73" bestFit="1" customWidth="1"/>
    <col min="8704" max="8704" width="14.7109375" style="73" customWidth="1"/>
    <col min="8705" max="8705" width="10.140625" style="73" customWidth="1"/>
    <col min="8706" max="8706" width="10.42578125" style="73" bestFit="1" customWidth="1"/>
    <col min="8707" max="8708" width="9.42578125" style="73" bestFit="1" customWidth="1"/>
    <col min="8709" max="8710" width="9.42578125" style="73" customWidth="1"/>
    <col min="8711" max="8711" width="10.140625" style="73" bestFit="1" customWidth="1"/>
    <col min="8712" max="8715" width="9.140625" style="73"/>
    <col min="8716" max="8716" width="7.28515625" style="73" customWidth="1"/>
    <col min="8717" max="8719" width="7.42578125" style="73" customWidth="1"/>
    <col min="8720" max="8720" width="10.42578125" style="73" bestFit="1" customWidth="1"/>
    <col min="8721" max="8721" width="12" style="73" bestFit="1" customWidth="1"/>
    <col min="8722" max="8722" width="11" style="73" bestFit="1" customWidth="1"/>
    <col min="8723" max="8724" width="11" style="73" customWidth="1"/>
    <col min="8725" max="8725" width="10" style="73" bestFit="1" customWidth="1"/>
    <col min="8726" max="8726" width="14.42578125" style="73" bestFit="1" customWidth="1"/>
    <col min="8727" max="8737" width="0" style="73" hidden="1" customWidth="1"/>
    <col min="8738" max="8958" width="9.140625" style="73"/>
    <col min="8959" max="8959" width="54.140625" style="73" bestFit="1" customWidth="1"/>
    <col min="8960" max="8960" width="14.7109375" style="73" customWidth="1"/>
    <col min="8961" max="8961" width="10.140625" style="73" customWidth="1"/>
    <col min="8962" max="8962" width="10.42578125" style="73" bestFit="1" customWidth="1"/>
    <col min="8963" max="8964" width="9.42578125" style="73" bestFit="1" customWidth="1"/>
    <col min="8965" max="8966" width="9.42578125" style="73" customWidth="1"/>
    <col min="8967" max="8967" width="10.140625" style="73" bestFit="1" customWidth="1"/>
    <col min="8968" max="8971" width="9.140625" style="73"/>
    <col min="8972" max="8972" width="7.28515625" style="73" customWidth="1"/>
    <col min="8973" max="8975" width="7.42578125" style="73" customWidth="1"/>
    <col min="8976" max="8976" width="10.42578125" style="73" bestFit="1" customWidth="1"/>
    <col min="8977" max="8977" width="12" style="73" bestFit="1" customWidth="1"/>
    <col min="8978" max="8978" width="11" style="73" bestFit="1" customWidth="1"/>
    <col min="8979" max="8980" width="11" style="73" customWidth="1"/>
    <col min="8981" max="8981" width="10" style="73" bestFit="1" customWidth="1"/>
    <col min="8982" max="8982" width="14.42578125" style="73" bestFit="1" customWidth="1"/>
    <col min="8983" max="8993" width="0" style="73" hidden="1" customWidth="1"/>
    <col min="8994" max="9214" width="9.140625" style="73"/>
    <col min="9215" max="9215" width="54.140625" style="73" bestFit="1" customWidth="1"/>
    <col min="9216" max="9216" width="14.7109375" style="73" customWidth="1"/>
    <col min="9217" max="9217" width="10.140625" style="73" customWidth="1"/>
    <col min="9218" max="9218" width="10.42578125" style="73" bestFit="1" customWidth="1"/>
    <col min="9219" max="9220" width="9.42578125" style="73" bestFit="1" customWidth="1"/>
    <col min="9221" max="9222" width="9.42578125" style="73" customWidth="1"/>
    <col min="9223" max="9223" width="10.140625" style="73" bestFit="1" customWidth="1"/>
    <col min="9224" max="9227" width="9.140625" style="73"/>
    <col min="9228" max="9228" width="7.28515625" style="73" customWidth="1"/>
    <col min="9229" max="9231" width="7.42578125" style="73" customWidth="1"/>
    <col min="9232" max="9232" width="10.42578125" style="73" bestFit="1" customWidth="1"/>
    <col min="9233" max="9233" width="12" style="73" bestFit="1" customWidth="1"/>
    <col min="9234" max="9234" width="11" style="73" bestFit="1" customWidth="1"/>
    <col min="9235" max="9236" width="11" style="73" customWidth="1"/>
    <col min="9237" max="9237" width="10" style="73" bestFit="1" customWidth="1"/>
    <col min="9238" max="9238" width="14.42578125" style="73" bestFit="1" customWidth="1"/>
    <col min="9239" max="9249" width="0" style="73" hidden="1" customWidth="1"/>
    <col min="9250" max="9470" width="9.140625" style="73"/>
    <col min="9471" max="9471" width="54.140625" style="73" bestFit="1" customWidth="1"/>
    <col min="9472" max="9472" width="14.7109375" style="73" customWidth="1"/>
    <col min="9473" max="9473" width="10.140625" style="73" customWidth="1"/>
    <col min="9474" max="9474" width="10.42578125" style="73" bestFit="1" customWidth="1"/>
    <col min="9475" max="9476" width="9.42578125" style="73" bestFit="1" customWidth="1"/>
    <col min="9477" max="9478" width="9.42578125" style="73" customWidth="1"/>
    <col min="9479" max="9479" width="10.140625" style="73" bestFit="1" customWidth="1"/>
    <col min="9480" max="9483" width="9.140625" style="73"/>
    <col min="9484" max="9484" width="7.28515625" style="73" customWidth="1"/>
    <col min="9485" max="9487" width="7.42578125" style="73" customWidth="1"/>
    <col min="9488" max="9488" width="10.42578125" style="73" bestFit="1" customWidth="1"/>
    <col min="9489" max="9489" width="12" style="73" bestFit="1" customWidth="1"/>
    <col min="9490" max="9490" width="11" style="73" bestFit="1" customWidth="1"/>
    <col min="9491" max="9492" width="11" style="73" customWidth="1"/>
    <col min="9493" max="9493" width="10" style="73" bestFit="1" customWidth="1"/>
    <col min="9494" max="9494" width="14.42578125" style="73" bestFit="1" customWidth="1"/>
    <col min="9495" max="9505" width="0" style="73" hidden="1" customWidth="1"/>
    <col min="9506" max="9726" width="9.140625" style="73"/>
    <col min="9727" max="9727" width="54.140625" style="73" bestFit="1" customWidth="1"/>
    <col min="9728" max="9728" width="14.7109375" style="73" customWidth="1"/>
    <col min="9729" max="9729" width="10.140625" style="73" customWidth="1"/>
    <col min="9730" max="9730" width="10.42578125" style="73" bestFit="1" customWidth="1"/>
    <col min="9731" max="9732" width="9.42578125" style="73" bestFit="1" customWidth="1"/>
    <col min="9733" max="9734" width="9.42578125" style="73" customWidth="1"/>
    <col min="9735" max="9735" width="10.140625" style="73" bestFit="1" customWidth="1"/>
    <col min="9736" max="9739" width="9.140625" style="73"/>
    <col min="9740" max="9740" width="7.28515625" style="73" customWidth="1"/>
    <col min="9741" max="9743" width="7.42578125" style="73" customWidth="1"/>
    <col min="9744" max="9744" width="10.42578125" style="73" bestFit="1" customWidth="1"/>
    <col min="9745" max="9745" width="12" style="73" bestFit="1" customWidth="1"/>
    <col min="9746" max="9746" width="11" style="73" bestFit="1" customWidth="1"/>
    <col min="9747" max="9748" width="11" style="73" customWidth="1"/>
    <col min="9749" max="9749" width="10" style="73" bestFit="1" customWidth="1"/>
    <col min="9750" max="9750" width="14.42578125" style="73" bestFit="1" customWidth="1"/>
    <col min="9751" max="9761" width="0" style="73" hidden="1" customWidth="1"/>
    <col min="9762" max="9982" width="9.140625" style="73"/>
    <col min="9983" max="9983" width="54.140625" style="73" bestFit="1" customWidth="1"/>
    <col min="9984" max="9984" width="14.7109375" style="73" customWidth="1"/>
    <col min="9985" max="9985" width="10.140625" style="73" customWidth="1"/>
    <col min="9986" max="9986" width="10.42578125" style="73" bestFit="1" customWidth="1"/>
    <col min="9987" max="9988" width="9.42578125" style="73" bestFit="1" customWidth="1"/>
    <col min="9989" max="9990" width="9.42578125" style="73" customWidth="1"/>
    <col min="9991" max="9991" width="10.140625" style="73" bestFit="1" customWidth="1"/>
    <col min="9992" max="9995" width="9.140625" style="73"/>
    <col min="9996" max="9996" width="7.28515625" style="73" customWidth="1"/>
    <col min="9997" max="9999" width="7.42578125" style="73" customWidth="1"/>
    <col min="10000" max="10000" width="10.42578125" style="73" bestFit="1" customWidth="1"/>
    <col min="10001" max="10001" width="12" style="73" bestFit="1" customWidth="1"/>
    <col min="10002" max="10002" width="11" style="73" bestFit="1" customWidth="1"/>
    <col min="10003" max="10004" width="11" style="73" customWidth="1"/>
    <col min="10005" max="10005" width="10" style="73" bestFit="1" customWidth="1"/>
    <col min="10006" max="10006" width="14.42578125" style="73" bestFit="1" customWidth="1"/>
    <col min="10007" max="10017" width="0" style="73" hidden="1" customWidth="1"/>
    <col min="10018" max="10238" width="9.140625" style="73"/>
    <col min="10239" max="10239" width="54.140625" style="73" bestFit="1" customWidth="1"/>
    <col min="10240" max="10240" width="14.7109375" style="73" customWidth="1"/>
    <col min="10241" max="10241" width="10.140625" style="73" customWidth="1"/>
    <col min="10242" max="10242" width="10.42578125" style="73" bestFit="1" customWidth="1"/>
    <col min="10243" max="10244" width="9.42578125" style="73" bestFit="1" customWidth="1"/>
    <col min="10245" max="10246" width="9.42578125" style="73" customWidth="1"/>
    <col min="10247" max="10247" width="10.140625" style="73" bestFit="1" customWidth="1"/>
    <col min="10248" max="10251" width="9.140625" style="73"/>
    <col min="10252" max="10252" width="7.28515625" style="73" customWidth="1"/>
    <col min="10253" max="10255" width="7.42578125" style="73" customWidth="1"/>
    <col min="10256" max="10256" width="10.42578125" style="73" bestFit="1" customWidth="1"/>
    <col min="10257" max="10257" width="12" style="73" bestFit="1" customWidth="1"/>
    <col min="10258" max="10258" width="11" style="73" bestFit="1" customWidth="1"/>
    <col min="10259" max="10260" width="11" style="73" customWidth="1"/>
    <col min="10261" max="10261" width="10" style="73" bestFit="1" customWidth="1"/>
    <col min="10262" max="10262" width="14.42578125" style="73" bestFit="1" customWidth="1"/>
    <col min="10263" max="10273" width="0" style="73" hidden="1" customWidth="1"/>
    <col min="10274" max="10494" width="9.140625" style="73"/>
    <col min="10495" max="10495" width="54.140625" style="73" bestFit="1" customWidth="1"/>
    <col min="10496" max="10496" width="14.7109375" style="73" customWidth="1"/>
    <col min="10497" max="10497" width="10.140625" style="73" customWidth="1"/>
    <col min="10498" max="10498" width="10.42578125" style="73" bestFit="1" customWidth="1"/>
    <col min="10499" max="10500" width="9.42578125" style="73" bestFit="1" customWidth="1"/>
    <col min="10501" max="10502" width="9.42578125" style="73" customWidth="1"/>
    <col min="10503" max="10503" width="10.140625" style="73" bestFit="1" customWidth="1"/>
    <col min="10504" max="10507" width="9.140625" style="73"/>
    <col min="10508" max="10508" width="7.28515625" style="73" customWidth="1"/>
    <col min="10509" max="10511" width="7.42578125" style="73" customWidth="1"/>
    <col min="10512" max="10512" width="10.42578125" style="73" bestFit="1" customWidth="1"/>
    <col min="10513" max="10513" width="12" style="73" bestFit="1" customWidth="1"/>
    <col min="10514" max="10514" width="11" style="73" bestFit="1" customWidth="1"/>
    <col min="10515" max="10516" width="11" style="73" customWidth="1"/>
    <col min="10517" max="10517" width="10" style="73" bestFit="1" customWidth="1"/>
    <col min="10518" max="10518" width="14.42578125" style="73" bestFit="1" customWidth="1"/>
    <col min="10519" max="10529" width="0" style="73" hidden="1" customWidth="1"/>
    <col min="10530" max="10750" width="9.140625" style="73"/>
    <col min="10751" max="10751" width="54.140625" style="73" bestFit="1" customWidth="1"/>
    <col min="10752" max="10752" width="14.7109375" style="73" customWidth="1"/>
    <col min="10753" max="10753" width="10.140625" style="73" customWidth="1"/>
    <col min="10754" max="10754" width="10.42578125" style="73" bestFit="1" customWidth="1"/>
    <col min="10755" max="10756" width="9.42578125" style="73" bestFit="1" customWidth="1"/>
    <col min="10757" max="10758" width="9.42578125" style="73" customWidth="1"/>
    <col min="10759" max="10759" width="10.140625" style="73" bestFit="1" customWidth="1"/>
    <col min="10760" max="10763" width="9.140625" style="73"/>
    <col min="10764" max="10764" width="7.28515625" style="73" customWidth="1"/>
    <col min="10765" max="10767" width="7.42578125" style="73" customWidth="1"/>
    <col min="10768" max="10768" width="10.42578125" style="73" bestFit="1" customWidth="1"/>
    <col min="10769" max="10769" width="12" style="73" bestFit="1" customWidth="1"/>
    <col min="10770" max="10770" width="11" style="73" bestFit="1" customWidth="1"/>
    <col min="10771" max="10772" width="11" style="73" customWidth="1"/>
    <col min="10773" max="10773" width="10" style="73" bestFit="1" customWidth="1"/>
    <col min="10774" max="10774" width="14.42578125" style="73" bestFit="1" customWidth="1"/>
    <col min="10775" max="10785" width="0" style="73" hidden="1" customWidth="1"/>
    <col min="10786" max="11006" width="9.140625" style="73"/>
    <col min="11007" max="11007" width="54.140625" style="73" bestFit="1" customWidth="1"/>
    <col min="11008" max="11008" width="14.7109375" style="73" customWidth="1"/>
    <col min="11009" max="11009" width="10.140625" style="73" customWidth="1"/>
    <col min="11010" max="11010" width="10.42578125" style="73" bestFit="1" customWidth="1"/>
    <col min="11011" max="11012" width="9.42578125" style="73" bestFit="1" customWidth="1"/>
    <col min="11013" max="11014" width="9.42578125" style="73" customWidth="1"/>
    <col min="11015" max="11015" width="10.140625" style="73" bestFit="1" customWidth="1"/>
    <col min="11016" max="11019" width="9.140625" style="73"/>
    <col min="11020" max="11020" width="7.28515625" style="73" customWidth="1"/>
    <col min="11021" max="11023" width="7.42578125" style="73" customWidth="1"/>
    <col min="11024" max="11024" width="10.42578125" style="73" bestFit="1" customWidth="1"/>
    <col min="11025" max="11025" width="12" style="73" bestFit="1" customWidth="1"/>
    <col min="11026" max="11026" width="11" style="73" bestFit="1" customWidth="1"/>
    <col min="11027" max="11028" width="11" style="73" customWidth="1"/>
    <col min="11029" max="11029" width="10" style="73" bestFit="1" customWidth="1"/>
    <col min="11030" max="11030" width="14.42578125" style="73" bestFit="1" customWidth="1"/>
    <col min="11031" max="11041" width="0" style="73" hidden="1" customWidth="1"/>
    <col min="11042" max="11262" width="9.140625" style="73"/>
    <col min="11263" max="11263" width="54.140625" style="73" bestFit="1" customWidth="1"/>
    <col min="11264" max="11264" width="14.7109375" style="73" customWidth="1"/>
    <col min="11265" max="11265" width="10.140625" style="73" customWidth="1"/>
    <col min="11266" max="11266" width="10.42578125" style="73" bestFit="1" customWidth="1"/>
    <col min="11267" max="11268" width="9.42578125" style="73" bestFit="1" customWidth="1"/>
    <col min="11269" max="11270" width="9.42578125" style="73" customWidth="1"/>
    <col min="11271" max="11271" width="10.140625" style="73" bestFit="1" customWidth="1"/>
    <col min="11272" max="11275" width="9.140625" style="73"/>
    <col min="11276" max="11276" width="7.28515625" style="73" customWidth="1"/>
    <col min="11277" max="11279" width="7.42578125" style="73" customWidth="1"/>
    <col min="11280" max="11280" width="10.42578125" style="73" bestFit="1" customWidth="1"/>
    <col min="11281" max="11281" width="12" style="73" bestFit="1" customWidth="1"/>
    <col min="11282" max="11282" width="11" style="73" bestFit="1" customWidth="1"/>
    <col min="11283" max="11284" width="11" style="73" customWidth="1"/>
    <col min="11285" max="11285" width="10" style="73" bestFit="1" customWidth="1"/>
    <col min="11286" max="11286" width="14.42578125" style="73" bestFit="1" customWidth="1"/>
    <col min="11287" max="11297" width="0" style="73" hidden="1" customWidth="1"/>
    <col min="11298" max="11518" width="9.140625" style="73"/>
    <col min="11519" max="11519" width="54.140625" style="73" bestFit="1" customWidth="1"/>
    <col min="11520" max="11520" width="14.7109375" style="73" customWidth="1"/>
    <col min="11521" max="11521" width="10.140625" style="73" customWidth="1"/>
    <col min="11522" max="11522" width="10.42578125" style="73" bestFit="1" customWidth="1"/>
    <col min="11523" max="11524" width="9.42578125" style="73" bestFit="1" customWidth="1"/>
    <col min="11525" max="11526" width="9.42578125" style="73" customWidth="1"/>
    <col min="11527" max="11527" width="10.140625" style="73" bestFit="1" customWidth="1"/>
    <col min="11528" max="11531" width="9.140625" style="73"/>
    <col min="11532" max="11532" width="7.28515625" style="73" customWidth="1"/>
    <col min="11533" max="11535" width="7.42578125" style="73" customWidth="1"/>
    <col min="11536" max="11536" width="10.42578125" style="73" bestFit="1" customWidth="1"/>
    <col min="11537" max="11537" width="12" style="73" bestFit="1" customWidth="1"/>
    <col min="11538" max="11538" width="11" style="73" bestFit="1" customWidth="1"/>
    <col min="11539" max="11540" width="11" style="73" customWidth="1"/>
    <col min="11541" max="11541" width="10" style="73" bestFit="1" customWidth="1"/>
    <col min="11542" max="11542" width="14.42578125" style="73" bestFit="1" customWidth="1"/>
    <col min="11543" max="11553" width="0" style="73" hidden="1" customWidth="1"/>
    <col min="11554" max="11774" width="9.140625" style="73"/>
    <col min="11775" max="11775" width="54.140625" style="73" bestFit="1" customWidth="1"/>
    <col min="11776" max="11776" width="14.7109375" style="73" customWidth="1"/>
    <col min="11777" max="11777" width="10.140625" style="73" customWidth="1"/>
    <col min="11778" max="11778" width="10.42578125" style="73" bestFit="1" customWidth="1"/>
    <col min="11779" max="11780" width="9.42578125" style="73" bestFit="1" customWidth="1"/>
    <col min="11781" max="11782" width="9.42578125" style="73" customWidth="1"/>
    <col min="11783" max="11783" width="10.140625" style="73" bestFit="1" customWidth="1"/>
    <col min="11784" max="11787" width="9.140625" style="73"/>
    <col min="11788" max="11788" width="7.28515625" style="73" customWidth="1"/>
    <col min="11789" max="11791" width="7.42578125" style="73" customWidth="1"/>
    <col min="11792" max="11792" width="10.42578125" style="73" bestFit="1" customWidth="1"/>
    <col min="11793" max="11793" width="12" style="73" bestFit="1" customWidth="1"/>
    <col min="11794" max="11794" width="11" style="73" bestFit="1" customWidth="1"/>
    <col min="11795" max="11796" width="11" style="73" customWidth="1"/>
    <col min="11797" max="11797" width="10" style="73" bestFit="1" customWidth="1"/>
    <col min="11798" max="11798" width="14.42578125" style="73" bestFit="1" customWidth="1"/>
    <col min="11799" max="11809" width="0" style="73" hidden="1" customWidth="1"/>
    <col min="11810" max="12030" width="9.140625" style="73"/>
    <col min="12031" max="12031" width="54.140625" style="73" bestFit="1" customWidth="1"/>
    <col min="12032" max="12032" width="14.7109375" style="73" customWidth="1"/>
    <col min="12033" max="12033" width="10.140625" style="73" customWidth="1"/>
    <col min="12034" max="12034" width="10.42578125" style="73" bestFit="1" customWidth="1"/>
    <col min="12035" max="12036" width="9.42578125" style="73" bestFit="1" customWidth="1"/>
    <col min="12037" max="12038" width="9.42578125" style="73" customWidth="1"/>
    <col min="12039" max="12039" width="10.140625" style="73" bestFit="1" customWidth="1"/>
    <col min="12040" max="12043" width="9.140625" style="73"/>
    <col min="12044" max="12044" width="7.28515625" style="73" customWidth="1"/>
    <col min="12045" max="12047" width="7.42578125" style="73" customWidth="1"/>
    <col min="12048" max="12048" width="10.42578125" style="73" bestFit="1" customWidth="1"/>
    <col min="12049" max="12049" width="12" style="73" bestFit="1" customWidth="1"/>
    <col min="12050" max="12050" width="11" style="73" bestFit="1" customWidth="1"/>
    <col min="12051" max="12052" width="11" style="73" customWidth="1"/>
    <col min="12053" max="12053" width="10" style="73" bestFit="1" customWidth="1"/>
    <col min="12054" max="12054" width="14.42578125" style="73" bestFit="1" customWidth="1"/>
    <col min="12055" max="12065" width="0" style="73" hidden="1" customWidth="1"/>
    <col min="12066" max="12286" width="9.140625" style="73"/>
    <col min="12287" max="12287" width="54.140625" style="73" bestFit="1" customWidth="1"/>
    <col min="12288" max="12288" width="14.7109375" style="73" customWidth="1"/>
    <col min="12289" max="12289" width="10.140625" style="73" customWidth="1"/>
    <col min="12290" max="12290" width="10.42578125" style="73" bestFit="1" customWidth="1"/>
    <col min="12291" max="12292" width="9.42578125" style="73" bestFit="1" customWidth="1"/>
    <col min="12293" max="12294" width="9.42578125" style="73" customWidth="1"/>
    <col min="12295" max="12295" width="10.140625" style="73" bestFit="1" customWidth="1"/>
    <col min="12296" max="12299" width="9.140625" style="73"/>
    <col min="12300" max="12300" width="7.28515625" style="73" customWidth="1"/>
    <col min="12301" max="12303" width="7.42578125" style="73" customWidth="1"/>
    <col min="12304" max="12304" width="10.42578125" style="73" bestFit="1" customWidth="1"/>
    <col min="12305" max="12305" width="12" style="73" bestFit="1" customWidth="1"/>
    <col min="12306" max="12306" width="11" style="73" bestFit="1" customWidth="1"/>
    <col min="12307" max="12308" width="11" style="73" customWidth="1"/>
    <col min="12309" max="12309" width="10" style="73" bestFit="1" customWidth="1"/>
    <col min="12310" max="12310" width="14.42578125" style="73" bestFit="1" customWidth="1"/>
    <col min="12311" max="12321" width="0" style="73" hidden="1" customWidth="1"/>
    <col min="12322" max="12542" width="9.140625" style="73"/>
    <col min="12543" max="12543" width="54.140625" style="73" bestFit="1" customWidth="1"/>
    <col min="12544" max="12544" width="14.7109375" style="73" customWidth="1"/>
    <col min="12545" max="12545" width="10.140625" style="73" customWidth="1"/>
    <col min="12546" max="12546" width="10.42578125" style="73" bestFit="1" customWidth="1"/>
    <col min="12547" max="12548" width="9.42578125" style="73" bestFit="1" customWidth="1"/>
    <col min="12549" max="12550" width="9.42578125" style="73" customWidth="1"/>
    <col min="12551" max="12551" width="10.140625" style="73" bestFit="1" customWidth="1"/>
    <col min="12552" max="12555" width="9.140625" style="73"/>
    <col min="12556" max="12556" width="7.28515625" style="73" customWidth="1"/>
    <col min="12557" max="12559" width="7.42578125" style="73" customWidth="1"/>
    <col min="12560" max="12560" width="10.42578125" style="73" bestFit="1" customWidth="1"/>
    <col min="12561" max="12561" width="12" style="73" bestFit="1" customWidth="1"/>
    <col min="12562" max="12562" width="11" style="73" bestFit="1" customWidth="1"/>
    <col min="12563" max="12564" width="11" style="73" customWidth="1"/>
    <col min="12565" max="12565" width="10" style="73" bestFit="1" customWidth="1"/>
    <col min="12566" max="12566" width="14.42578125" style="73" bestFit="1" customWidth="1"/>
    <col min="12567" max="12577" width="0" style="73" hidden="1" customWidth="1"/>
    <col min="12578" max="12798" width="9.140625" style="73"/>
    <col min="12799" max="12799" width="54.140625" style="73" bestFit="1" customWidth="1"/>
    <col min="12800" max="12800" width="14.7109375" style="73" customWidth="1"/>
    <col min="12801" max="12801" width="10.140625" style="73" customWidth="1"/>
    <col min="12802" max="12802" width="10.42578125" style="73" bestFit="1" customWidth="1"/>
    <col min="12803" max="12804" width="9.42578125" style="73" bestFit="1" customWidth="1"/>
    <col min="12805" max="12806" width="9.42578125" style="73" customWidth="1"/>
    <col min="12807" max="12807" width="10.140625" style="73" bestFit="1" customWidth="1"/>
    <col min="12808" max="12811" width="9.140625" style="73"/>
    <col min="12812" max="12812" width="7.28515625" style="73" customWidth="1"/>
    <col min="12813" max="12815" width="7.42578125" style="73" customWidth="1"/>
    <col min="12816" max="12816" width="10.42578125" style="73" bestFit="1" customWidth="1"/>
    <col min="12817" max="12817" width="12" style="73" bestFit="1" customWidth="1"/>
    <col min="12818" max="12818" width="11" style="73" bestFit="1" customWidth="1"/>
    <col min="12819" max="12820" width="11" style="73" customWidth="1"/>
    <col min="12821" max="12821" width="10" style="73" bestFit="1" customWidth="1"/>
    <col min="12822" max="12822" width="14.42578125" style="73" bestFit="1" customWidth="1"/>
    <col min="12823" max="12833" width="0" style="73" hidden="1" customWidth="1"/>
    <col min="12834" max="13054" width="9.140625" style="73"/>
    <col min="13055" max="13055" width="54.140625" style="73" bestFit="1" customWidth="1"/>
    <col min="13056" max="13056" width="14.7109375" style="73" customWidth="1"/>
    <col min="13057" max="13057" width="10.140625" style="73" customWidth="1"/>
    <col min="13058" max="13058" width="10.42578125" style="73" bestFit="1" customWidth="1"/>
    <col min="13059" max="13060" width="9.42578125" style="73" bestFit="1" customWidth="1"/>
    <col min="13061" max="13062" width="9.42578125" style="73" customWidth="1"/>
    <col min="13063" max="13063" width="10.140625" style="73" bestFit="1" customWidth="1"/>
    <col min="13064" max="13067" width="9.140625" style="73"/>
    <col min="13068" max="13068" width="7.28515625" style="73" customWidth="1"/>
    <col min="13069" max="13071" width="7.42578125" style="73" customWidth="1"/>
    <col min="13072" max="13072" width="10.42578125" style="73" bestFit="1" customWidth="1"/>
    <col min="13073" max="13073" width="12" style="73" bestFit="1" customWidth="1"/>
    <col min="13074" max="13074" width="11" style="73" bestFit="1" customWidth="1"/>
    <col min="13075" max="13076" width="11" style="73" customWidth="1"/>
    <col min="13077" max="13077" width="10" style="73" bestFit="1" customWidth="1"/>
    <col min="13078" max="13078" width="14.42578125" style="73" bestFit="1" customWidth="1"/>
    <col min="13079" max="13089" width="0" style="73" hidden="1" customWidth="1"/>
    <col min="13090" max="13310" width="9.140625" style="73"/>
    <col min="13311" max="13311" width="54.140625" style="73" bestFit="1" customWidth="1"/>
    <col min="13312" max="13312" width="14.7109375" style="73" customWidth="1"/>
    <col min="13313" max="13313" width="10.140625" style="73" customWidth="1"/>
    <col min="13314" max="13314" width="10.42578125" style="73" bestFit="1" customWidth="1"/>
    <col min="13315" max="13316" width="9.42578125" style="73" bestFit="1" customWidth="1"/>
    <col min="13317" max="13318" width="9.42578125" style="73" customWidth="1"/>
    <col min="13319" max="13319" width="10.140625" style="73" bestFit="1" customWidth="1"/>
    <col min="13320" max="13323" width="9.140625" style="73"/>
    <col min="13324" max="13324" width="7.28515625" style="73" customWidth="1"/>
    <col min="13325" max="13327" width="7.42578125" style="73" customWidth="1"/>
    <col min="13328" max="13328" width="10.42578125" style="73" bestFit="1" customWidth="1"/>
    <col min="13329" max="13329" width="12" style="73" bestFit="1" customWidth="1"/>
    <col min="13330" max="13330" width="11" style="73" bestFit="1" customWidth="1"/>
    <col min="13331" max="13332" width="11" style="73" customWidth="1"/>
    <col min="13333" max="13333" width="10" style="73" bestFit="1" customWidth="1"/>
    <col min="13334" max="13334" width="14.42578125" style="73" bestFit="1" customWidth="1"/>
    <col min="13335" max="13345" width="0" style="73" hidden="1" customWidth="1"/>
    <col min="13346" max="13566" width="9.140625" style="73"/>
    <col min="13567" max="13567" width="54.140625" style="73" bestFit="1" customWidth="1"/>
    <col min="13568" max="13568" width="14.7109375" style="73" customWidth="1"/>
    <col min="13569" max="13569" width="10.140625" style="73" customWidth="1"/>
    <col min="13570" max="13570" width="10.42578125" style="73" bestFit="1" customWidth="1"/>
    <col min="13571" max="13572" width="9.42578125" style="73" bestFit="1" customWidth="1"/>
    <col min="13573" max="13574" width="9.42578125" style="73" customWidth="1"/>
    <col min="13575" max="13575" width="10.140625" style="73" bestFit="1" customWidth="1"/>
    <col min="13576" max="13579" width="9.140625" style="73"/>
    <col min="13580" max="13580" width="7.28515625" style="73" customWidth="1"/>
    <col min="13581" max="13583" width="7.42578125" style="73" customWidth="1"/>
    <col min="13584" max="13584" width="10.42578125" style="73" bestFit="1" customWidth="1"/>
    <col min="13585" max="13585" width="12" style="73" bestFit="1" customWidth="1"/>
    <col min="13586" max="13586" width="11" style="73" bestFit="1" customWidth="1"/>
    <col min="13587" max="13588" width="11" style="73" customWidth="1"/>
    <col min="13589" max="13589" width="10" style="73" bestFit="1" customWidth="1"/>
    <col min="13590" max="13590" width="14.42578125" style="73" bestFit="1" customWidth="1"/>
    <col min="13591" max="13601" width="0" style="73" hidden="1" customWidth="1"/>
    <col min="13602" max="13822" width="9.140625" style="73"/>
    <col min="13823" max="13823" width="54.140625" style="73" bestFit="1" customWidth="1"/>
    <col min="13824" max="13824" width="14.7109375" style="73" customWidth="1"/>
    <col min="13825" max="13825" width="10.140625" style="73" customWidth="1"/>
    <col min="13826" max="13826" width="10.42578125" style="73" bestFit="1" customWidth="1"/>
    <col min="13827" max="13828" width="9.42578125" style="73" bestFit="1" customWidth="1"/>
    <col min="13829" max="13830" width="9.42578125" style="73" customWidth="1"/>
    <col min="13831" max="13831" width="10.140625" style="73" bestFit="1" customWidth="1"/>
    <col min="13832" max="13835" width="9.140625" style="73"/>
    <col min="13836" max="13836" width="7.28515625" style="73" customWidth="1"/>
    <col min="13837" max="13839" width="7.42578125" style="73" customWidth="1"/>
    <col min="13840" max="13840" width="10.42578125" style="73" bestFit="1" customWidth="1"/>
    <col min="13841" max="13841" width="12" style="73" bestFit="1" customWidth="1"/>
    <col min="13842" max="13842" width="11" style="73" bestFit="1" customWidth="1"/>
    <col min="13843" max="13844" width="11" style="73" customWidth="1"/>
    <col min="13845" max="13845" width="10" style="73" bestFit="1" customWidth="1"/>
    <col min="13846" max="13846" width="14.42578125" style="73" bestFit="1" customWidth="1"/>
    <col min="13847" max="13857" width="0" style="73" hidden="1" customWidth="1"/>
    <col min="13858" max="14078" width="9.140625" style="73"/>
    <col min="14079" max="14079" width="54.140625" style="73" bestFit="1" customWidth="1"/>
    <col min="14080" max="14080" width="14.7109375" style="73" customWidth="1"/>
    <col min="14081" max="14081" width="10.140625" style="73" customWidth="1"/>
    <col min="14082" max="14082" width="10.42578125" style="73" bestFit="1" customWidth="1"/>
    <col min="14083" max="14084" width="9.42578125" style="73" bestFit="1" customWidth="1"/>
    <col min="14085" max="14086" width="9.42578125" style="73" customWidth="1"/>
    <col min="14087" max="14087" width="10.140625" style="73" bestFit="1" customWidth="1"/>
    <col min="14088" max="14091" width="9.140625" style="73"/>
    <col min="14092" max="14092" width="7.28515625" style="73" customWidth="1"/>
    <col min="14093" max="14095" width="7.42578125" style="73" customWidth="1"/>
    <col min="14096" max="14096" width="10.42578125" style="73" bestFit="1" customWidth="1"/>
    <col min="14097" max="14097" width="12" style="73" bestFit="1" customWidth="1"/>
    <col min="14098" max="14098" width="11" style="73" bestFit="1" customWidth="1"/>
    <col min="14099" max="14100" width="11" style="73" customWidth="1"/>
    <col min="14101" max="14101" width="10" style="73" bestFit="1" customWidth="1"/>
    <col min="14102" max="14102" width="14.42578125" style="73" bestFit="1" customWidth="1"/>
    <col min="14103" max="14113" width="0" style="73" hidden="1" customWidth="1"/>
    <col min="14114" max="14334" width="9.140625" style="73"/>
    <col min="14335" max="14335" width="54.140625" style="73" bestFit="1" customWidth="1"/>
    <col min="14336" max="14336" width="14.7109375" style="73" customWidth="1"/>
    <col min="14337" max="14337" width="10.140625" style="73" customWidth="1"/>
    <col min="14338" max="14338" width="10.42578125" style="73" bestFit="1" customWidth="1"/>
    <col min="14339" max="14340" width="9.42578125" style="73" bestFit="1" customWidth="1"/>
    <col min="14341" max="14342" width="9.42578125" style="73" customWidth="1"/>
    <col min="14343" max="14343" width="10.140625" style="73" bestFit="1" customWidth="1"/>
    <col min="14344" max="14347" width="9.140625" style="73"/>
    <col min="14348" max="14348" width="7.28515625" style="73" customWidth="1"/>
    <col min="14349" max="14351" width="7.42578125" style="73" customWidth="1"/>
    <col min="14352" max="14352" width="10.42578125" style="73" bestFit="1" customWidth="1"/>
    <col min="14353" max="14353" width="12" style="73" bestFit="1" customWidth="1"/>
    <col min="14354" max="14354" width="11" style="73" bestFit="1" customWidth="1"/>
    <col min="14355" max="14356" width="11" style="73" customWidth="1"/>
    <col min="14357" max="14357" width="10" style="73" bestFit="1" customWidth="1"/>
    <col min="14358" max="14358" width="14.42578125" style="73" bestFit="1" customWidth="1"/>
    <col min="14359" max="14369" width="0" style="73" hidden="1" customWidth="1"/>
    <col min="14370" max="14590" width="9.140625" style="73"/>
    <col min="14591" max="14591" width="54.140625" style="73" bestFit="1" customWidth="1"/>
    <col min="14592" max="14592" width="14.7109375" style="73" customWidth="1"/>
    <col min="14593" max="14593" width="10.140625" style="73" customWidth="1"/>
    <col min="14594" max="14594" width="10.42578125" style="73" bestFit="1" customWidth="1"/>
    <col min="14595" max="14596" width="9.42578125" style="73" bestFit="1" customWidth="1"/>
    <col min="14597" max="14598" width="9.42578125" style="73" customWidth="1"/>
    <col min="14599" max="14599" width="10.140625" style="73" bestFit="1" customWidth="1"/>
    <col min="14600" max="14603" width="9.140625" style="73"/>
    <col min="14604" max="14604" width="7.28515625" style="73" customWidth="1"/>
    <col min="14605" max="14607" width="7.42578125" style="73" customWidth="1"/>
    <col min="14608" max="14608" width="10.42578125" style="73" bestFit="1" customWidth="1"/>
    <col min="14609" max="14609" width="12" style="73" bestFit="1" customWidth="1"/>
    <col min="14610" max="14610" width="11" style="73" bestFit="1" customWidth="1"/>
    <col min="14611" max="14612" width="11" style="73" customWidth="1"/>
    <col min="14613" max="14613" width="10" style="73" bestFit="1" customWidth="1"/>
    <col min="14614" max="14614" width="14.42578125" style="73" bestFit="1" customWidth="1"/>
    <col min="14615" max="14625" width="0" style="73" hidden="1" customWidth="1"/>
    <col min="14626" max="14846" width="9.140625" style="73"/>
    <col min="14847" max="14847" width="54.140625" style="73" bestFit="1" customWidth="1"/>
    <col min="14848" max="14848" width="14.7109375" style="73" customWidth="1"/>
    <col min="14849" max="14849" width="10.140625" style="73" customWidth="1"/>
    <col min="14850" max="14850" width="10.42578125" style="73" bestFit="1" customWidth="1"/>
    <col min="14851" max="14852" width="9.42578125" style="73" bestFit="1" customWidth="1"/>
    <col min="14853" max="14854" width="9.42578125" style="73" customWidth="1"/>
    <col min="14855" max="14855" width="10.140625" style="73" bestFit="1" customWidth="1"/>
    <col min="14856" max="14859" width="9.140625" style="73"/>
    <col min="14860" max="14860" width="7.28515625" style="73" customWidth="1"/>
    <col min="14861" max="14863" width="7.42578125" style="73" customWidth="1"/>
    <col min="14864" max="14864" width="10.42578125" style="73" bestFit="1" customWidth="1"/>
    <col min="14865" max="14865" width="12" style="73" bestFit="1" customWidth="1"/>
    <col min="14866" max="14866" width="11" style="73" bestFit="1" customWidth="1"/>
    <col min="14867" max="14868" width="11" style="73" customWidth="1"/>
    <col min="14869" max="14869" width="10" style="73" bestFit="1" customWidth="1"/>
    <col min="14870" max="14870" width="14.42578125" style="73" bestFit="1" customWidth="1"/>
    <col min="14871" max="14881" width="0" style="73" hidden="1" customWidth="1"/>
    <col min="14882" max="15102" width="9.140625" style="73"/>
    <col min="15103" max="15103" width="54.140625" style="73" bestFit="1" customWidth="1"/>
    <col min="15104" max="15104" width="14.7109375" style="73" customWidth="1"/>
    <col min="15105" max="15105" width="10.140625" style="73" customWidth="1"/>
    <col min="15106" max="15106" width="10.42578125" style="73" bestFit="1" customWidth="1"/>
    <col min="15107" max="15108" width="9.42578125" style="73" bestFit="1" customWidth="1"/>
    <col min="15109" max="15110" width="9.42578125" style="73" customWidth="1"/>
    <col min="15111" max="15111" width="10.140625" style="73" bestFit="1" customWidth="1"/>
    <col min="15112" max="15115" width="9.140625" style="73"/>
    <col min="15116" max="15116" width="7.28515625" style="73" customWidth="1"/>
    <col min="15117" max="15119" width="7.42578125" style="73" customWidth="1"/>
    <col min="15120" max="15120" width="10.42578125" style="73" bestFit="1" customWidth="1"/>
    <col min="15121" max="15121" width="12" style="73" bestFit="1" customWidth="1"/>
    <col min="15122" max="15122" width="11" style="73" bestFit="1" customWidth="1"/>
    <col min="15123" max="15124" width="11" style="73" customWidth="1"/>
    <col min="15125" max="15125" width="10" style="73" bestFit="1" customWidth="1"/>
    <col min="15126" max="15126" width="14.42578125" style="73" bestFit="1" customWidth="1"/>
    <col min="15127" max="15137" width="0" style="73" hidden="1" customWidth="1"/>
    <col min="15138" max="15358" width="9.140625" style="73"/>
    <col min="15359" max="15359" width="54.140625" style="73" bestFit="1" customWidth="1"/>
    <col min="15360" max="15360" width="14.7109375" style="73" customWidth="1"/>
    <col min="15361" max="15361" width="10.140625" style="73" customWidth="1"/>
    <col min="15362" max="15362" width="10.42578125" style="73" bestFit="1" customWidth="1"/>
    <col min="15363" max="15364" width="9.42578125" style="73" bestFit="1" customWidth="1"/>
    <col min="15365" max="15366" width="9.42578125" style="73" customWidth="1"/>
    <col min="15367" max="15367" width="10.140625" style="73" bestFit="1" customWidth="1"/>
    <col min="15368" max="15371" width="9.140625" style="73"/>
    <col min="15372" max="15372" width="7.28515625" style="73" customWidth="1"/>
    <col min="15373" max="15375" width="7.42578125" style="73" customWidth="1"/>
    <col min="15376" max="15376" width="10.42578125" style="73" bestFit="1" customWidth="1"/>
    <col min="15377" max="15377" width="12" style="73" bestFit="1" customWidth="1"/>
    <col min="15378" max="15378" width="11" style="73" bestFit="1" customWidth="1"/>
    <col min="15379" max="15380" width="11" style="73" customWidth="1"/>
    <col min="15381" max="15381" width="10" style="73" bestFit="1" customWidth="1"/>
    <col min="15382" max="15382" width="14.42578125" style="73" bestFit="1" customWidth="1"/>
    <col min="15383" max="15393" width="0" style="73" hidden="1" customWidth="1"/>
    <col min="15394" max="15614" width="9.140625" style="73"/>
    <col min="15615" max="15615" width="54.140625" style="73" bestFit="1" customWidth="1"/>
    <col min="15616" max="15616" width="14.7109375" style="73" customWidth="1"/>
    <col min="15617" max="15617" width="10.140625" style="73" customWidth="1"/>
    <col min="15618" max="15618" width="10.42578125" style="73" bestFit="1" customWidth="1"/>
    <col min="15619" max="15620" width="9.42578125" style="73" bestFit="1" customWidth="1"/>
    <col min="15621" max="15622" width="9.42578125" style="73" customWidth="1"/>
    <col min="15623" max="15623" width="10.140625" style="73" bestFit="1" customWidth="1"/>
    <col min="15624" max="15627" width="9.140625" style="73"/>
    <col min="15628" max="15628" width="7.28515625" style="73" customWidth="1"/>
    <col min="15629" max="15631" width="7.42578125" style="73" customWidth="1"/>
    <col min="15632" max="15632" width="10.42578125" style="73" bestFit="1" customWidth="1"/>
    <col min="15633" max="15633" width="12" style="73" bestFit="1" customWidth="1"/>
    <col min="15634" max="15634" width="11" style="73" bestFit="1" customWidth="1"/>
    <col min="15635" max="15636" width="11" style="73" customWidth="1"/>
    <col min="15637" max="15637" width="10" style="73" bestFit="1" customWidth="1"/>
    <col min="15638" max="15638" width="14.42578125" style="73" bestFit="1" customWidth="1"/>
    <col min="15639" max="15649" width="0" style="73" hidden="1" customWidth="1"/>
    <col min="15650" max="15870" width="9.140625" style="73"/>
    <col min="15871" max="15871" width="54.140625" style="73" bestFit="1" customWidth="1"/>
    <col min="15872" max="15872" width="14.7109375" style="73" customWidth="1"/>
    <col min="15873" max="15873" width="10.140625" style="73" customWidth="1"/>
    <col min="15874" max="15874" width="10.42578125" style="73" bestFit="1" customWidth="1"/>
    <col min="15875" max="15876" width="9.42578125" style="73" bestFit="1" customWidth="1"/>
    <col min="15877" max="15878" width="9.42578125" style="73" customWidth="1"/>
    <col min="15879" max="15879" width="10.140625" style="73" bestFit="1" customWidth="1"/>
    <col min="15880" max="15883" width="9.140625" style="73"/>
    <col min="15884" max="15884" width="7.28515625" style="73" customWidth="1"/>
    <col min="15885" max="15887" width="7.42578125" style="73" customWidth="1"/>
    <col min="15888" max="15888" width="10.42578125" style="73" bestFit="1" customWidth="1"/>
    <col min="15889" max="15889" width="12" style="73" bestFit="1" customWidth="1"/>
    <col min="15890" max="15890" width="11" style="73" bestFit="1" customWidth="1"/>
    <col min="15891" max="15892" width="11" style="73" customWidth="1"/>
    <col min="15893" max="15893" width="10" style="73" bestFit="1" customWidth="1"/>
    <col min="15894" max="15894" width="14.42578125" style="73" bestFit="1" customWidth="1"/>
    <col min="15895" max="15905" width="0" style="73" hidden="1" customWidth="1"/>
    <col min="15906" max="16126" width="9.140625" style="73"/>
    <col min="16127" max="16127" width="54.140625" style="73" bestFit="1" customWidth="1"/>
    <col min="16128" max="16128" width="14.7109375" style="73" customWidth="1"/>
    <col min="16129" max="16129" width="10.140625" style="73" customWidth="1"/>
    <col min="16130" max="16130" width="10.42578125" style="73" bestFit="1" customWidth="1"/>
    <col min="16131" max="16132" width="9.42578125" style="73" bestFit="1" customWidth="1"/>
    <col min="16133" max="16134" width="9.42578125" style="73" customWidth="1"/>
    <col min="16135" max="16135" width="10.140625" style="73" bestFit="1" customWidth="1"/>
    <col min="16136" max="16139" width="9.140625" style="73"/>
    <col min="16140" max="16140" width="7.28515625" style="73" customWidth="1"/>
    <col min="16141" max="16143" width="7.42578125" style="73" customWidth="1"/>
    <col min="16144" max="16144" width="10.42578125" style="73" bestFit="1" customWidth="1"/>
    <col min="16145" max="16145" width="12" style="73" bestFit="1" customWidth="1"/>
    <col min="16146" max="16146" width="11" style="73" bestFit="1" customWidth="1"/>
    <col min="16147" max="16148" width="11" style="73" customWidth="1"/>
    <col min="16149" max="16149" width="10" style="73" bestFit="1" customWidth="1"/>
    <col min="16150" max="16150" width="14.42578125" style="73" bestFit="1" customWidth="1"/>
    <col min="16151" max="16161" width="0" style="73" hidden="1" customWidth="1"/>
    <col min="16162" max="16384" width="9.140625" style="73"/>
  </cols>
  <sheetData>
    <row r="1" spans="1:44" s="68" customFormat="1" ht="31.5" customHeight="1" thickBot="1" x14ac:dyDescent="0.3">
      <c r="A1" s="65" t="s">
        <v>98</v>
      </c>
      <c r="B1" s="146">
        <v>45505</v>
      </c>
      <c r="C1" s="147"/>
      <c r="D1" s="147"/>
      <c r="E1" s="147"/>
      <c r="F1" s="147"/>
      <c r="G1" s="147"/>
      <c r="H1" s="147"/>
      <c r="I1" s="147"/>
      <c r="J1" s="147"/>
      <c r="K1" s="148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7"/>
      <c r="X1" s="67"/>
    </row>
    <row r="2" spans="1:44" ht="73.5" customHeight="1" thickBot="1" x14ac:dyDescent="0.25">
      <c r="A2" s="69" t="s">
        <v>211</v>
      </c>
      <c r="B2" s="149" t="s">
        <v>104</v>
      </c>
      <c r="C2" s="150"/>
      <c r="D2" s="150"/>
      <c r="E2" s="150"/>
      <c r="F2" s="150"/>
      <c r="G2" s="150"/>
      <c r="H2" s="150"/>
      <c r="I2" s="150"/>
      <c r="J2" s="150"/>
      <c r="K2" s="151"/>
      <c r="L2" s="70"/>
      <c r="M2" s="70"/>
      <c r="N2" s="71"/>
      <c r="O2" s="71"/>
      <c r="P2" s="71"/>
      <c r="Q2" s="71"/>
      <c r="R2" s="71"/>
      <c r="S2" s="71"/>
      <c r="T2" s="71"/>
      <c r="U2" s="71"/>
      <c r="V2" s="71"/>
      <c r="W2" s="72"/>
      <c r="X2" s="72"/>
    </row>
    <row r="3" spans="1:44" ht="21.75" customHeight="1" x14ac:dyDescent="0.2">
      <c r="A3" s="152"/>
      <c r="B3" s="153"/>
      <c r="C3" s="153"/>
      <c r="D3" s="153"/>
      <c r="E3" s="153"/>
      <c r="F3" s="153"/>
      <c r="G3" s="153"/>
      <c r="H3" s="153"/>
      <c r="I3" s="153"/>
      <c r="J3" s="153"/>
      <c r="K3" s="154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2"/>
      <c r="X3" s="72"/>
    </row>
    <row r="4" spans="1:44" ht="18" customHeight="1" x14ac:dyDescent="0.2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75"/>
      <c r="O4" s="75"/>
      <c r="P4" s="75"/>
      <c r="Q4" s="75"/>
      <c r="R4" s="75"/>
      <c r="S4" s="76"/>
      <c r="T4" s="75"/>
      <c r="U4" s="75"/>
      <c r="V4" s="75"/>
      <c r="W4" s="77"/>
      <c r="X4" s="77"/>
    </row>
    <row r="5" spans="1:44" x14ac:dyDescent="0.2">
      <c r="A5" s="78" t="s">
        <v>212</v>
      </c>
      <c r="B5" s="74" t="s">
        <v>213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75"/>
      <c r="O5" s="75"/>
      <c r="P5" s="75"/>
      <c r="Q5" s="75"/>
      <c r="R5" s="75"/>
      <c r="S5" s="75"/>
      <c r="T5" s="75"/>
      <c r="U5" s="75"/>
      <c r="V5" s="75"/>
      <c r="W5" s="77"/>
      <c r="X5" s="77"/>
    </row>
    <row r="6" spans="1:44" ht="24.75" customHeight="1" thickBot="1" x14ac:dyDescent="0.25">
      <c r="A6" s="79" t="str">
        <f>'AUTO CALCULATION SHEET (2)'!D19</f>
        <v>3 CORE X 185 SQ MM + 1 CORE X 150 SQ MM (AB CABLES) (BARE) - 11 KV</v>
      </c>
      <c r="B6" s="80">
        <f>'AUTO CALCULATION SHEET (2)'!E19</f>
        <v>1393936.08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75"/>
      <c r="O6" s="75"/>
      <c r="P6" s="75"/>
      <c r="Q6" s="75"/>
      <c r="R6" s="75"/>
      <c r="S6" s="75"/>
      <c r="T6" s="75"/>
      <c r="U6" s="75"/>
      <c r="V6" s="75"/>
      <c r="W6" s="77"/>
      <c r="X6" s="77"/>
    </row>
    <row r="7" spans="1:44" x14ac:dyDescent="0.2">
      <c r="C7" s="71"/>
      <c r="D7" s="81"/>
      <c r="E7" s="75"/>
      <c r="F7" s="75"/>
      <c r="G7" s="75"/>
      <c r="H7" s="75"/>
      <c r="I7" s="75"/>
      <c r="J7" s="75"/>
      <c r="K7" s="75"/>
      <c r="L7" s="66"/>
      <c r="M7" s="66"/>
      <c r="N7" s="75"/>
      <c r="O7" s="75"/>
      <c r="P7" s="75"/>
      <c r="Q7" s="75"/>
      <c r="R7" s="75"/>
      <c r="S7" s="75"/>
      <c r="T7" s="75"/>
      <c r="U7" s="75"/>
      <c r="V7" s="75"/>
      <c r="W7" s="77"/>
      <c r="X7" s="77"/>
      <c r="AD7" s="155" t="s">
        <v>214</v>
      </c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7"/>
    </row>
    <row r="8" spans="1:44" s="83" customFormat="1" ht="13.5" thickBot="1" x14ac:dyDescent="0.25">
      <c r="A8" s="73"/>
      <c r="B8" s="73"/>
      <c r="C8" s="73"/>
      <c r="D8" s="73"/>
      <c r="E8" s="82"/>
      <c r="F8" s="73"/>
      <c r="G8" s="73"/>
      <c r="H8" s="73"/>
      <c r="I8" s="73"/>
      <c r="J8" s="73"/>
      <c r="K8" s="73"/>
      <c r="AD8" s="158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60"/>
    </row>
    <row r="9" spans="1:44" ht="42" customHeight="1" x14ac:dyDescent="0.2">
      <c r="A9" s="161" t="s">
        <v>212</v>
      </c>
      <c r="B9" s="163" t="s">
        <v>215</v>
      </c>
      <c r="C9" s="143" t="s">
        <v>216</v>
      </c>
      <c r="D9" s="145" t="s">
        <v>217</v>
      </c>
      <c r="E9" s="139"/>
      <c r="F9" s="139"/>
      <c r="G9" s="139"/>
      <c r="H9" s="140"/>
      <c r="I9" s="145" t="s">
        <v>218</v>
      </c>
      <c r="J9" s="139"/>
      <c r="K9" s="139"/>
      <c r="L9" s="139"/>
      <c r="M9" s="140"/>
      <c r="N9" s="145" t="s">
        <v>219</v>
      </c>
      <c r="O9" s="139"/>
      <c r="P9" s="139"/>
      <c r="Q9" s="139"/>
      <c r="R9" s="139"/>
      <c r="S9" s="139"/>
      <c r="T9" s="140"/>
      <c r="U9" s="143" t="s">
        <v>220</v>
      </c>
      <c r="V9" s="145" t="s">
        <v>221</v>
      </c>
      <c r="W9" s="139" t="s">
        <v>222</v>
      </c>
      <c r="X9" s="139" t="s">
        <v>223</v>
      </c>
      <c r="Y9" s="139" t="s">
        <v>224</v>
      </c>
      <c r="Z9" s="139" t="s">
        <v>225</v>
      </c>
      <c r="AA9" s="139" t="s">
        <v>226</v>
      </c>
      <c r="AB9" s="140" t="s">
        <v>227</v>
      </c>
      <c r="AC9" s="141" t="s">
        <v>228</v>
      </c>
      <c r="AD9" s="84" t="str">
        <f>'AUTO CALCULATION SHEET (2)'!N17</f>
        <v>Alumimium</v>
      </c>
      <c r="AE9" s="85" t="str">
        <f>'AUTO CALCULATION SHEET (2)'!T17</f>
        <v>Alumimium ALLOY</v>
      </c>
      <c r="AF9" s="85" t="str">
        <f>'AUTO CALCULATION SHEET (2)'!Y17</f>
        <v>Copper Tape - 0.045 mm</v>
      </c>
      <c r="AG9" s="85" t="str">
        <f>'AUTO CALCULATION SHEET (2)'!AC17</f>
        <v>Extruded semiconductive</v>
      </c>
      <c r="AH9" s="85" t="str">
        <f>'AUTO CALCULATION SHEET (2)'!AE17</f>
        <v>HT-XLPE</v>
      </c>
      <c r="AI9" s="85" t="str">
        <f>'AUTO CALCULATION SHEET (2)'!BH17</f>
        <v>PE-ST-7</v>
      </c>
      <c r="AJ9" s="137" t="s">
        <v>229</v>
      </c>
      <c r="AK9" s="137" t="s">
        <v>230</v>
      </c>
      <c r="AL9" s="137" t="s">
        <v>231</v>
      </c>
      <c r="AM9" s="137" t="s">
        <v>232</v>
      </c>
      <c r="AN9" s="137" t="s">
        <v>233</v>
      </c>
      <c r="AO9" s="137" t="s">
        <v>234</v>
      </c>
      <c r="AP9" s="137" t="s">
        <v>235</v>
      </c>
      <c r="AQ9" s="137" t="s">
        <v>236</v>
      </c>
      <c r="AR9" s="138" t="s">
        <v>237</v>
      </c>
    </row>
    <row r="10" spans="1:44" x14ac:dyDescent="0.2">
      <c r="A10" s="162"/>
      <c r="B10" s="164"/>
      <c r="C10" s="144"/>
      <c r="D10" s="136" t="s">
        <v>238</v>
      </c>
      <c r="E10" s="134" t="s">
        <v>239</v>
      </c>
      <c r="F10" s="134" t="s">
        <v>240</v>
      </c>
      <c r="G10" s="134" t="s">
        <v>255</v>
      </c>
      <c r="H10" s="135" t="s">
        <v>241</v>
      </c>
      <c r="I10" s="136" t="s">
        <v>238</v>
      </c>
      <c r="J10" s="134" t="s">
        <v>242</v>
      </c>
      <c r="K10" s="134" t="s">
        <v>243</v>
      </c>
      <c r="L10" s="134" t="s">
        <v>254</v>
      </c>
      <c r="M10" s="135" t="s">
        <v>244</v>
      </c>
      <c r="N10" s="136"/>
      <c r="O10" s="134"/>
      <c r="P10" s="134"/>
      <c r="Q10" s="134"/>
      <c r="R10" s="134"/>
      <c r="S10" s="134"/>
      <c r="T10" s="135"/>
      <c r="U10" s="144"/>
      <c r="V10" s="136"/>
      <c r="W10" s="134"/>
      <c r="X10" s="134"/>
      <c r="Y10" s="134"/>
      <c r="Z10" s="134"/>
      <c r="AA10" s="134"/>
      <c r="AB10" s="135"/>
      <c r="AC10" s="142"/>
      <c r="AD10" s="86">
        <v>239</v>
      </c>
      <c r="AE10" s="87">
        <f>AD10+7</f>
        <v>246</v>
      </c>
      <c r="AF10" s="87">
        <v>910</v>
      </c>
      <c r="AG10" s="87">
        <v>197</v>
      </c>
      <c r="AH10" s="87">
        <v>130</v>
      </c>
      <c r="AI10" s="87">
        <v>105</v>
      </c>
      <c r="AJ10" s="137"/>
      <c r="AK10" s="137"/>
      <c r="AL10" s="137"/>
      <c r="AM10" s="137"/>
      <c r="AN10" s="137"/>
      <c r="AO10" s="137"/>
      <c r="AP10" s="137"/>
      <c r="AQ10" s="137"/>
      <c r="AR10" s="138"/>
    </row>
    <row r="11" spans="1:44" ht="22.5" customHeight="1" x14ac:dyDescent="0.2">
      <c r="A11" s="162"/>
      <c r="B11" s="164"/>
      <c r="C11" s="144"/>
      <c r="D11" s="136"/>
      <c r="E11" s="134"/>
      <c r="F11" s="134"/>
      <c r="G11" s="134"/>
      <c r="H11" s="135"/>
      <c r="I11" s="136"/>
      <c r="J11" s="134"/>
      <c r="K11" s="134"/>
      <c r="L11" s="134"/>
      <c r="M11" s="135"/>
      <c r="N11" s="88" t="s">
        <v>245</v>
      </c>
      <c r="O11" s="89" t="s">
        <v>246</v>
      </c>
      <c r="P11" s="89" t="s">
        <v>247</v>
      </c>
      <c r="Q11" s="89" t="s">
        <v>248</v>
      </c>
      <c r="R11" s="89" t="s">
        <v>249</v>
      </c>
      <c r="S11" s="89" t="s">
        <v>250</v>
      </c>
      <c r="T11" s="90" t="s">
        <v>251</v>
      </c>
      <c r="U11" s="144"/>
      <c r="V11" s="136"/>
      <c r="W11" s="134"/>
      <c r="X11" s="134"/>
      <c r="Y11" s="134"/>
      <c r="Z11" s="134"/>
      <c r="AA11" s="134"/>
      <c r="AB11" s="135"/>
      <c r="AC11" s="142"/>
      <c r="AD11" s="86" t="s">
        <v>252</v>
      </c>
      <c r="AE11" s="91" t="s">
        <v>252</v>
      </c>
      <c r="AF11" s="91" t="s">
        <v>252</v>
      </c>
      <c r="AG11" s="91" t="s">
        <v>252</v>
      </c>
      <c r="AH11" s="91" t="s">
        <v>252</v>
      </c>
      <c r="AI11" s="91" t="s">
        <v>252</v>
      </c>
      <c r="AJ11" s="137"/>
      <c r="AK11" s="137"/>
      <c r="AL11" s="137"/>
      <c r="AM11" s="137"/>
      <c r="AN11" s="137"/>
      <c r="AO11" s="137"/>
      <c r="AP11" s="92"/>
      <c r="AQ11" s="137"/>
      <c r="AR11" s="138"/>
    </row>
    <row r="12" spans="1:44" ht="25.5" x14ac:dyDescent="0.2">
      <c r="A12" s="93" t="str">
        <f>A6</f>
        <v>3 CORE X 185 SQ MM + 1 CORE X 150 SQ MM (AB CABLES) (BARE) - 11 KV</v>
      </c>
      <c r="B12" s="94"/>
      <c r="C12" s="95" t="s">
        <v>253</v>
      </c>
      <c r="D12" s="118">
        <v>45541</v>
      </c>
      <c r="E12" s="96">
        <v>228435.55</v>
      </c>
      <c r="F12" s="97">
        <v>174080</v>
      </c>
      <c r="G12" s="97">
        <v>142250</v>
      </c>
      <c r="H12" s="98">
        <v>817299.76</v>
      </c>
      <c r="I12" s="99">
        <f>B1</f>
        <v>45505</v>
      </c>
      <c r="J12" s="97">
        <v>230985</v>
      </c>
      <c r="K12" s="97">
        <v>174080</v>
      </c>
      <c r="L12" s="97">
        <v>142250</v>
      </c>
      <c r="M12" s="100">
        <v>814140</v>
      </c>
      <c r="N12" s="101">
        <v>3</v>
      </c>
      <c r="O12" s="102">
        <v>0.53300000000000003</v>
      </c>
      <c r="P12" s="102">
        <v>0.42499999999999999</v>
      </c>
      <c r="Q12" s="102">
        <v>4.2000000000000003E-2</v>
      </c>
      <c r="R12" s="102">
        <v>0.28499999999999998</v>
      </c>
      <c r="S12" s="102">
        <v>0.214</v>
      </c>
      <c r="T12" s="103"/>
      <c r="U12" s="104">
        <f>B6</f>
        <v>1393936.08</v>
      </c>
      <c r="V12" s="105">
        <f>O12*N12*(E12-J12)</f>
        <v>-4076.570550000019</v>
      </c>
      <c r="W12" s="106">
        <f>P12*(E12-J12)</f>
        <v>-1083.5162500000049</v>
      </c>
      <c r="X12" s="106">
        <f>Q12*N12*(H12-M12)</f>
        <v>398.12976000000117</v>
      </c>
      <c r="Y12" s="65">
        <f>R12*N12*(F12-K12)</f>
        <v>0</v>
      </c>
      <c r="Z12" s="65">
        <f>S12*N12*(G12-L12)</f>
        <v>0</v>
      </c>
      <c r="AA12" s="65">
        <f>T12*(F12-K12)</f>
        <v>0</v>
      </c>
      <c r="AB12" s="107">
        <f>V12+W12+X12+Y12+Z12+AA12</f>
        <v>-4761.957040000023</v>
      </c>
      <c r="AC12" s="108">
        <f>U12+AB12</f>
        <v>1389174.1229600001</v>
      </c>
      <c r="AD12" s="109">
        <f>'AUTO CALCULATION SHEET (2)'!N19</f>
        <v>1500</v>
      </c>
      <c r="AE12" s="110">
        <f>'AUTO CALCULATION SHEET (2)'!T19</f>
        <v>413</v>
      </c>
      <c r="AF12" s="110">
        <f>'AUTO CALCULATION SHEET (2)'!Y19</f>
        <v>148</v>
      </c>
      <c r="AG12" s="110">
        <f>'AUTO CALCULATION SHEET (2)'!AC19</f>
        <v>392</v>
      </c>
      <c r="AH12" s="110">
        <f>'AUTO CALCULATION SHEET (2)'!AE19</f>
        <v>670</v>
      </c>
      <c r="AI12" s="110">
        <f>'AUTO CALCULATION SHEET (2)'!BH19</f>
        <v>585</v>
      </c>
      <c r="AJ12" s="111">
        <f>SUMPRODUCT(AD12:AI12,$AD$10:$AI$10)</f>
        <v>820527</v>
      </c>
      <c r="AK12" s="112">
        <f>'AUTO CALCULATION SHEET (2)'!BZ19</f>
        <v>34312</v>
      </c>
      <c r="AL12" s="111">
        <f>AJ12+AK12</f>
        <v>854839</v>
      </c>
      <c r="AM12" s="112">
        <f>AC12-AL12</f>
        <v>534335.12296000007</v>
      </c>
      <c r="AN12" s="111">
        <f>ROUND((AM12/AL12)*100,2)</f>
        <v>62.51</v>
      </c>
      <c r="AO12" s="112">
        <v>0</v>
      </c>
      <c r="AP12" s="112">
        <v>2</v>
      </c>
      <c r="AQ12" s="112">
        <v>1</v>
      </c>
      <c r="AR12" s="113">
        <f>AN12-AO12-AP12-AQ12</f>
        <v>59.51</v>
      </c>
    </row>
    <row r="13" spans="1:44" ht="13.5" thickBot="1" x14ac:dyDescent="0.25">
      <c r="A13" s="114"/>
      <c r="B13" s="114"/>
      <c r="C13" s="114"/>
      <c r="D13" s="115"/>
      <c r="E13" s="116"/>
      <c r="F13" s="116"/>
      <c r="G13" s="116"/>
      <c r="H13" s="117"/>
      <c r="I13" s="115"/>
      <c r="J13" s="116"/>
      <c r="K13" s="116"/>
      <c r="L13" s="116"/>
      <c r="M13" s="117"/>
      <c r="N13" s="115"/>
      <c r="O13" s="116"/>
      <c r="P13" s="116"/>
      <c r="Q13" s="116"/>
      <c r="R13" s="116"/>
      <c r="S13" s="116"/>
      <c r="T13" s="117"/>
      <c r="U13" s="114"/>
      <c r="V13" s="115"/>
      <c r="W13" s="116"/>
      <c r="X13" s="116"/>
      <c r="Y13" s="116"/>
      <c r="Z13" s="116"/>
      <c r="AA13" s="116"/>
      <c r="AB13" s="117"/>
      <c r="AC13" s="114"/>
      <c r="AD13" s="115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7"/>
    </row>
  </sheetData>
  <mergeCells count="38">
    <mergeCell ref="Z9:Z11"/>
    <mergeCell ref="B1:K1"/>
    <mergeCell ref="B2:K2"/>
    <mergeCell ref="A3:K3"/>
    <mergeCell ref="AD7:AR8"/>
    <mergeCell ref="A9:A11"/>
    <mergeCell ref="B9:B11"/>
    <mergeCell ref="C9:C11"/>
    <mergeCell ref="D9:H9"/>
    <mergeCell ref="I9:M9"/>
    <mergeCell ref="N9:T10"/>
    <mergeCell ref="U9:U11"/>
    <mergeCell ref="V9:V11"/>
    <mergeCell ref="W9:W11"/>
    <mergeCell ref="X9:X11"/>
    <mergeCell ref="Y9:Y11"/>
    <mergeCell ref="AR9:AR11"/>
    <mergeCell ref="AA9:AA11"/>
    <mergeCell ref="AB9:AB11"/>
    <mergeCell ref="AC9:AC11"/>
    <mergeCell ref="AJ9:AJ11"/>
    <mergeCell ref="AK9:AK11"/>
    <mergeCell ref="AL9:AL11"/>
    <mergeCell ref="AM9:AM11"/>
    <mergeCell ref="AN9:AN11"/>
    <mergeCell ref="AO9:AO11"/>
    <mergeCell ref="AP9:AP10"/>
    <mergeCell ref="AQ9:AQ11"/>
    <mergeCell ref="J10:J11"/>
    <mergeCell ref="K10:K11"/>
    <mergeCell ref="L10:L11"/>
    <mergeCell ref="M10:M11"/>
    <mergeCell ref="D10:D11"/>
    <mergeCell ref="E10:E11"/>
    <mergeCell ref="F10:F11"/>
    <mergeCell ref="G10:G11"/>
    <mergeCell ref="H10:H11"/>
    <mergeCell ref="I10:I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AUTO CALCULATION SHEET (2)</vt:lpstr>
      <vt:lpstr>PV HTABC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2024-09-06T12:34:43Z</dcterms:modified>
</cp:coreProperties>
</file>