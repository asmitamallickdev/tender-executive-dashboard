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9_SEPTEMBER 2023\WBPDCL-PC-11226\"/>
    </mc:Choice>
  </mc:AlternateContent>
  <bookViews>
    <workbookView xWindow="0" yWindow="0" windowWidth="20055" windowHeight="9510" activeTab="1"/>
  </bookViews>
  <sheets>
    <sheet name="Sheet1" sheetId="1" r:id="rId1"/>
    <sheet name="AUTO CALCULATION SHEET (2)" sheetId="4" r:id="rId2"/>
  </sheets>
  <definedNames>
    <definedName name="_xlnm._FilterDatabase" localSheetId="0" hidden="1">Sheet1!$A$1:$CU$7</definedName>
  </definedNames>
  <calcPr calcId="162913"/>
</workbook>
</file>

<file path=xl/calcChain.xml><?xml version="1.0" encoding="utf-8"?>
<calcChain xmlns="http://schemas.openxmlformats.org/spreadsheetml/2006/main">
  <c r="K43" i="4" l="1"/>
  <c r="H38" i="4"/>
  <c r="H39" i="4"/>
  <c r="H40" i="4"/>
  <c r="H41" i="4"/>
  <c r="H42" i="4"/>
  <c r="H43" i="4"/>
  <c r="H37" i="4"/>
  <c r="A43" i="4"/>
  <c r="B43" i="4"/>
  <c r="C43" i="4"/>
  <c r="D43" i="4"/>
  <c r="CB23" i="4"/>
  <c r="BZ23" i="4"/>
  <c r="BX23" i="4"/>
  <c r="BW23" i="4"/>
  <c r="BV23" i="4"/>
  <c r="BU23" i="4"/>
  <c r="BT23" i="4"/>
  <c r="BS23" i="4"/>
  <c r="BR23" i="4"/>
  <c r="BQ23" i="4"/>
  <c r="BP23" i="4"/>
  <c r="BO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F28" i="4" l="1"/>
  <c r="J28" i="4" s="1"/>
  <c r="F29" i="4"/>
  <c r="J29" i="4" s="1"/>
  <c r="F30" i="4"/>
  <c r="J30" i="4" s="1"/>
  <c r="F31" i="4"/>
  <c r="J31" i="4" s="1"/>
  <c r="F32" i="4"/>
  <c r="J32" i="4" s="1"/>
  <c r="F27" i="4"/>
  <c r="J27" i="4" s="1"/>
  <c r="BY15" i="4" l="1"/>
  <c r="A20" i="4" l="1"/>
  <c r="A40" i="4" s="1"/>
  <c r="B20" i="4"/>
  <c r="B40" i="4" s="1"/>
  <c r="C20" i="4"/>
  <c r="C40" i="4" s="1"/>
  <c r="D20" i="4"/>
  <c r="K20" i="4"/>
  <c r="L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G20" i="4"/>
  <c r="BH20" i="4"/>
  <c r="BI20" i="4"/>
  <c r="BJ20" i="4"/>
  <c r="BK20" i="4"/>
  <c r="BL20" i="4"/>
  <c r="BM20" i="4"/>
  <c r="BN20" i="4"/>
  <c r="BO20" i="4"/>
  <c r="BP20" i="4"/>
  <c r="BQ20" i="4"/>
  <c r="BR20" i="4"/>
  <c r="BS20" i="4"/>
  <c r="BT20" i="4"/>
  <c r="BU20" i="4"/>
  <c r="BV20" i="4"/>
  <c r="BW20" i="4"/>
  <c r="BX20" i="4"/>
  <c r="BZ20" i="4"/>
  <c r="CB20" i="4"/>
  <c r="A18" i="4"/>
  <c r="A38" i="4" s="1"/>
  <c r="B18" i="4"/>
  <c r="B38" i="4" s="1"/>
  <c r="C18" i="4"/>
  <c r="C38" i="4" s="1"/>
  <c r="D18" i="4"/>
  <c r="K18" i="4"/>
  <c r="L18" i="4"/>
  <c r="N18" i="4"/>
  <c r="O18" i="4"/>
  <c r="P18" i="4"/>
  <c r="Q18" i="4"/>
  <c r="R18" i="4"/>
  <c r="S18" i="4"/>
  <c r="T18" i="4"/>
  <c r="U18" i="4"/>
  <c r="V18" i="4"/>
  <c r="W18" i="4"/>
  <c r="X18" i="4"/>
  <c r="Y18" i="4"/>
  <c r="Z18" i="4"/>
  <c r="AA18" i="4"/>
  <c r="AB18" i="4"/>
  <c r="AC18" i="4"/>
  <c r="AD18" i="4"/>
  <c r="AE18" i="4"/>
  <c r="AF18" i="4"/>
  <c r="AG18" i="4"/>
  <c r="AH18" i="4"/>
  <c r="AI18" i="4"/>
  <c r="AJ18" i="4"/>
  <c r="AK18" i="4"/>
  <c r="AL18" i="4"/>
  <c r="AM18" i="4"/>
  <c r="AN18" i="4"/>
  <c r="AO18" i="4"/>
  <c r="AP18" i="4"/>
  <c r="AQ18" i="4"/>
  <c r="AR18" i="4"/>
  <c r="AS18" i="4"/>
  <c r="AT18" i="4"/>
  <c r="AU18" i="4"/>
  <c r="AV18" i="4"/>
  <c r="AW18" i="4"/>
  <c r="AX18" i="4"/>
  <c r="AY18" i="4"/>
  <c r="AZ18" i="4"/>
  <c r="BA18" i="4"/>
  <c r="BB18" i="4"/>
  <c r="BC18" i="4"/>
  <c r="BD18" i="4"/>
  <c r="BE18" i="4"/>
  <c r="BF18" i="4"/>
  <c r="BG18" i="4"/>
  <c r="BH18" i="4"/>
  <c r="BI18" i="4"/>
  <c r="BJ18" i="4"/>
  <c r="BK18" i="4"/>
  <c r="BL18" i="4"/>
  <c r="BM18" i="4"/>
  <c r="BN18" i="4"/>
  <c r="BO18" i="4"/>
  <c r="BP18" i="4"/>
  <c r="BQ18" i="4"/>
  <c r="BR18" i="4"/>
  <c r="BS18" i="4"/>
  <c r="BT18" i="4"/>
  <c r="BU18" i="4"/>
  <c r="BV18" i="4"/>
  <c r="BW18" i="4"/>
  <c r="BX18" i="4"/>
  <c r="BZ18" i="4"/>
  <c r="CB18" i="4"/>
  <c r="A21" i="4"/>
  <c r="A41" i="4" s="1"/>
  <c r="B21" i="4"/>
  <c r="B41" i="4" s="1"/>
  <c r="C21" i="4"/>
  <c r="C41" i="4" s="1"/>
  <c r="D21" i="4"/>
  <c r="K21" i="4"/>
  <c r="L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BW21" i="4"/>
  <c r="BX21" i="4"/>
  <c r="BZ21" i="4"/>
  <c r="CB21" i="4"/>
  <c r="A19" i="4"/>
  <c r="A39" i="4" s="1"/>
  <c r="B19" i="4"/>
  <c r="B39" i="4" s="1"/>
  <c r="C19" i="4"/>
  <c r="C39" i="4" s="1"/>
  <c r="D19" i="4"/>
  <c r="K19" i="4"/>
  <c r="L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BW19" i="4"/>
  <c r="BX19" i="4"/>
  <c r="BZ19" i="4"/>
  <c r="CB19" i="4"/>
  <c r="A22" i="4"/>
  <c r="A42" i="4" s="1"/>
  <c r="B22" i="4"/>
  <c r="B42" i="4" s="1"/>
  <c r="C22" i="4"/>
  <c r="C42" i="4" s="1"/>
  <c r="D22" i="4"/>
  <c r="K22" i="4"/>
  <c r="L22" i="4"/>
  <c r="N22" i="4"/>
  <c r="O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L22" i="4"/>
  <c r="BM22" i="4"/>
  <c r="BN22" i="4"/>
  <c r="BO22" i="4"/>
  <c r="BP22" i="4"/>
  <c r="BQ22" i="4"/>
  <c r="BR22" i="4"/>
  <c r="BS22" i="4"/>
  <c r="BT22" i="4"/>
  <c r="BU22" i="4"/>
  <c r="BV22" i="4"/>
  <c r="BW22" i="4"/>
  <c r="BX22" i="4"/>
  <c r="BZ22" i="4"/>
  <c r="CB22" i="4"/>
  <c r="E32" i="4" l="1"/>
  <c r="K42" i="4"/>
  <c r="D29" i="4"/>
  <c r="D39" i="4"/>
  <c r="E31" i="4"/>
  <c r="K31" i="4" s="1"/>
  <c r="M31" i="4" s="1"/>
  <c r="L31" i="4" s="1"/>
  <c r="K41" i="4"/>
  <c r="D28" i="4"/>
  <c r="D38" i="4"/>
  <c r="D32" i="4"/>
  <c r="D42" i="4"/>
  <c r="E29" i="4"/>
  <c r="K39" i="4"/>
  <c r="D31" i="4"/>
  <c r="D41" i="4"/>
  <c r="E28" i="4"/>
  <c r="K28" i="4" s="1"/>
  <c r="M28" i="4" s="1"/>
  <c r="L28" i="4" s="1"/>
  <c r="K38" i="4"/>
  <c r="D30" i="4"/>
  <c r="D40" i="4"/>
  <c r="E30" i="4"/>
  <c r="K40" i="4"/>
  <c r="K29" i="4"/>
  <c r="M29" i="4" s="1"/>
  <c r="L29" i="4" s="1"/>
  <c r="K32" i="4"/>
  <c r="M32" i="4" s="1"/>
  <c r="L32" i="4" s="1"/>
  <c r="K30" i="4"/>
  <c r="M30" i="4" s="1"/>
  <c r="L30" i="4" s="1"/>
  <c r="B17" i="4"/>
  <c r="B37" i="4" s="1"/>
  <c r="BX17" i="4" l="1"/>
  <c r="BW17" i="4"/>
  <c r="BX15" i="4"/>
  <c r="BW15" i="4"/>
  <c r="BV17" i="4"/>
  <c r="BV15" i="4"/>
  <c r="B15" i="4"/>
  <c r="T16" i="4" l="1"/>
  <c r="S16" i="4"/>
  <c r="AB17" i="4" l="1"/>
  <c r="AA17" i="4"/>
  <c r="Z17" i="4"/>
  <c r="Y17" i="4"/>
  <c r="X17" i="4"/>
  <c r="W17" i="4"/>
  <c r="V17" i="4"/>
  <c r="U17" i="4"/>
  <c r="T17" i="4"/>
  <c r="S17" i="4"/>
  <c r="BU17" i="4"/>
  <c r="BT17" i="4"/>
  <c r="BS17" i="4"/>
  <c r="BR17" i="4"/>
  <c r="BQ17" i="4"/>
  <c r="BP17" i="4"/>
  <c r="BO17" i="4"/>
  <c r="BN17" i="4"/>
  <c r="BS16" i="4"/>
  <c r="BT16" i="4"/>
  <c r="BU16" i="4"/>
  <c r="BR16" i="4"/>
  <c r="BQ16" i="4"/>
  <c r="BP16" i="4"/>
  <c r="BN16" i="4"/>
  <c r="BO16" i="4"/>
  <c r="BM16" i="4"/>
  <c r="BM17" i="4"/>
  <c r="BL17" i="4"/>
  <c r="BK17" i="4"/>
  <c r="BJ17" i="4"/>
  <c r="BI17" i="4"/>
  <c r="BH17" i="4"/>
  <c r="BG17" i="4"/>
  <c r="BF17" i="4"/>
  <c r="BE17" i="4"/>
  <c r="BD17" i="4"/>
  <c r="BC17" i="4"/>
  <c r="BL16" i="4"/>
  <c r="BK16" i="4"/>
  <c r="BJ16" i="4"/>
  <c r="BI16" i="4"/>
  <c r="BH16" i="4"/>
  <c r="BG16" i="4"/>
  <c r="BE16" i="4"/>
  <c r="BD16" i="4"/>
  <c r="BC16" i="4"/>
  <c r="BB17" i="4"/>
  <c r="BA17" i="4"/>
  <c r="AZ17" i="4"/>
  <c r="AY17" i="4"/>
  <c r="AX17" i="4"/>
  <c r="AW17" i="4"/>
  <c r="AV17" i="4"/>
  <c r="AU17" i="4"/>
  <c r="AT17" i="4"/>
  <c r="AS17" i="4"/>
  <c r="BB16" i="4"/>
  <c r="BA16" i="4"/>
  <c r="AZ16" i="4"/>
  <c r="AY16" i="4"/>
  <c r="AW16" i="4"/>
  <c r="AV16" i="4"/>
  <c r="AU16" i="4"/>
  <c r="AT16" i="4"/>
  <c r="AS16" i="4"/>
  <c r="AR16" i="4"/>
  <c r="AR17" i="4"/>
  <c r="AQ17" i="4"/>
  <c r="AP17" i="4"/>
  <c r="AO17" i="4"/>
  <c r="AN17" i="4"/>
  <c r="AM17" i="4"/>
  <c r="AL17" i="4"/>
  <c r="AP16" i="4"/>
  <c r="AO16" i="4"/>
  <c r="AN16" i="4"/>
  <c r="AM16" i="4"/>
  <c r="AL16" i="4"/>
  <c r="AK16" i="4"/>
  <c r="AK17" i="4"/>
  <c r="AJ17" i="4"/>
  <c r="AI17" i="4"/>
  <c r="AH17" i="4"/>
  <c r="AG17" i="4"/>
  <c r="AF17" i="4"/>
  <c r="AE17" i="4"/>
  <c r="AJ16" i="4"/>
  <c r="AI16" i="4"/>
  <c r="AH16" i="4"/>
  <c r="AE16" i="4"/>
  <c r="AG16" i="4"/>
  <c r="AF16" i="4"/>
  <c r="AD16" i="4"/>
  <c r="AD17" i="4"/>
  <c r="AC17" i="4"/>
  <c r="AC16" i="4"/>
  <c r="AB16" i="4" l="1"/>
  <c r="AA16" i="4"/>
  <c r="Z16" i="4"/>
  <c r="Y16" i="4"/>
  <c r="X16" i="4"/>
  <c r="W16" i="4"/>
  <c r="V16" i="4"/>
  <c r="U16" i="4"/>
  <c r="R16" i="4" l="1"/>
  <c r="Q16" i="4"/>
  <c r="P16" i="4"/>
  <c r="O16" i="4"/>
  <c r="N17" i="4"/>
  <c r="R17" i="4"/>
  <c r="Q17" i="4"/>
  <c r="P17" i="4"/>
  <c r="O17" i="4"/>
  <c r="N14" i="4"/>
  <c r="L17" i="4"/>
  <c r="K17" i="4"/>
  <c r="CB17" i="4"/>
  <c r="BZ17" i="4"/>
  <c r="D17" i="4"/>
  <c r="C17" i="4"/>
  <c r="C37" i="4" s="1"/>
  <c r="A17" i="4"/>
  <c r="A37" i="4" s="1"/>
  <c r="CA23" i="4" l="1"/>
  <c r="E27" i="4"/>
  <c r="K27" i="4" s="1"/>
  <c r="M27" i="4" s="1"/>
  <c r="K37" i="4"/>
  <c r="D27" i="4"/>
  <c r="D37" i="4"/>
  <c r="CG23" i="4"/>
  <c r="CE23" i="4"/>
  <c r="CC23" i="4"/>
  <c r="CA21" i="4"/>
  <c r="CA22" i="4"/>
  <c r="CA19" i="4"/>
  <c r="CA18" i="4"/>
  <c r="CA20" i="4"/>
  <c r="CA17" i="4"/>
  <c r="CH23" i="4" l="1"/>
  <c r="L27" i="4"/>
  <c r="CE20" i="4"/>
  <c r="CG20" i="4"/>
  <c r="CC20" i="4"/>
  <c r="CC18" i="4"/>
  <c r="CG18" i="4"/>
  <c r="CE18" i="4"/>
  <c r="CE22" i="4"/>
  <c r="CC22" i="4"/>
  <c r="CG22" i="4"/>
  <c r="CC19" i="4"/>
  <c r="CG19" i="4"/>
  <c r="CE19" i="4"/>
  <c r="CC21" i="4"/>
  <c r="CG21" i="4"/>
  <c r="CE21" i="4"/>
  <c r="CC17" i="4"/>
  <c r="CE17" i="4"/>
  <c r="CG17" i="4"/>
  <c r="CL23" i="4" l="1"/>
  <c r="CJ23" i="4"/>
  <c r="E23" i="4" s="1"/>
  <c r="CH20" i="4"/>
  <c r="CL20" i="4" s="1"/>
  <c r="CH19" i="4"/>
  <c r="CH21" i="4"/>
  <c r="CJ20" i="4"/>
  <c r="CH22" i="4"/>
  <c r="CH18" i="4"/>
  <c r="CH17" i="4"/>
  <c r="F23" i="4" l="1"/>
  <c r="E43" i="4"/>
  <c r="E20" i="4"/>
  <c r="E40" i="4" s="1"/>
  <c r="CJ18" i="4"/>
  <c r="CL18" i="4"/>
  <c r="CL22" i="4"/>
  <c r="CJ22" i="4"/>
  <c r="CL19" i="4"/>
  <c r="CJ19" i="4"/>
  <c r="CJ21" i="4"/>
  <c r="CL21" i="4"/>
  <c r="CJ17" i="4"/>
  <c r="CL17" i="4"/>
  <c r="G23" i="4" l="1"/>
  <c r="I23" i="4" s="1"/>
  <c r="J23" i="4" s="1"/>
  <c r="M23" i="4" s="1"/>
  <c r="F43" i="4"/>
  <c r="G43" i="4" s="1"/>
  <c r="F20" i="4"/>
  <c r="E22" i="4"/>
  <c r="E42" i="4" s="1"/>
  <c r="E18" i="4"/>
  <c r="E38" i="4" s="1"/>
  <c r="E19" i="4"/>
  <c r="E39" i="4" s="1"/>
  <c r="E21" i="4"/>
  <c r="E41" i="4" s="1"/>
  <c r="E17" i="4"/>
  <c r="E37" i="4" s="1"/>
  <c r="I43" i="4" l="1"/>
  <c r="J43" i="4" s="1"/>
  <c r="M43" i="4" s="1"/>
  <c r="G20" i="4"/>
  <c r="I20" i="4" s="1"/>
  <c r="J20" i="4" s="1"/>
  <c r="M20" i="4" s="1"/>
  <c r="F40" i="4"/>
  <c r="G40" i="4" s="1"/>
  <c r="F21" i="4"/>
  <c r="F18" i="4"/>
  <c r="F17" i="4"/>
  <c r="F37" i="4" s="1"/>
  <c r="G37" i="4" s="1"/>
  <c r="F19" i="4"/>
  <c r="F22" i="4"/>
  <c r="I37" i="4" l="1"/>
  <c r="J37" i="4" s="1"/>
  <c r="M37" i="4" s="1"/>
  <c r="G22" i="4"/>
  <c r="I22" i="4" s="1"/>
  <c r="J22" i="4" s="1"/>
  <c r="M22" i="4" s="1"/>
  <c r="F42" i="4"/>
  <c r="G42" i="4" s="1"/>
  <c r="G21" i="4"/>
  <c r="I21" i="4" s="1"/>
  <c r="J21" i="4" s="1"/>
  <c r="M21" i="4" s="1"/>
  <c r="F41" i="4"/>
  <c r="G41" i="4" s="1"/>
  <c r="G19" i="4"/>
  <c r="I19" i="4" s="1"/>
  <c r="J19" i="4" s="1"/>
  <c r="M19" i="4" s="1"/>
  <c r="F39" i="4"/>
  <c r="G39" i="4" s="1"/>
  <c r="G18" i="4"/>
  <c r="I18" i="4" s="1"/>
  <c r="J18" i="4" s="1"/>
  <c r="M18" i="4" s="1"/>
  <c r="F38" i="4"/>
  <c r="G38" i="4" s="1"/>
  <c r="I40" i="4"/>
  <c r="J40" i="4" s="1"/>
  <c r="M40" i="4" s="1"/>
  <c r="G17" i="4"/>
  <c r="I17" i="4" s="1"/>
  <c r="J17" i="4" s="1"/>
  <c r="M17" i="4" s="1"/>
  <c r="F24" i="4"/>
  <c r="I38" i="4" l="1"/>
  <c r="J38" i="4" s="1"/>
  <c r="M38" i="4" s="1"/>
  <c r="I39" i="4"/>
  <c r="J39" i="4" s="1"/>
  <c r="M39" i="4" s="1"/>
  <c r="I41" i="4"/>
  <c r="J41" i="4" s="1"/>
  <c r="M41" i="4" s="1"/>
  <c r="I42" i="4"/>
  <c r="J42" i="4" s="1"/>
  <c r="M42" i="4" s="1"/>
  <c r="M44" i="4" l="1"/>
</calcChain>
</file>

<file path=xl/comments1.xml><?xml version="1.0" encoding="utf-8"?>
<comments xmlns="http://schemas.openxmlformats.org/spreadsheetml/2006/main">
  <authors>
    <author>Author</author>
  </authors>
  <commentList>
    <comment ref="I26"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<sst xmlns="http://schemas.openxmlformats.org/spreadsheetml/2006/main" count="327" uniqueCount="202">
  <si>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</si>
  <si>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</si>
  <si>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</si>
  <si>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</si>
  <si>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</si>
  <si>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</si>
  <si>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</si>
  <si>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</si>
  <si>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</si>
  <si>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</si>
  <si>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</si>
  <si>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</si>
  <si>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</si>
  <si>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</si>
  <si>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</si>
  <si>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</si>
  <si>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</si>
  <si>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</si>
  <si>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</si>
  <si>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</si>
  <si>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</si>
  <si>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</si>
  <si>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</si>
  <si>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</si>
  <si>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</si>
  <si>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</si>
  <si>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</si>
  <si>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</si>
  <si>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</si>
  <si>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</si>
  <si>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</si>
  <si>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</si>
  <si>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</si>
  <si>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</si>
  <si>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</si>
  <si>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</si>
  <si>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</si>
  <si>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</si>
  <si>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</si>
  <si>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</si>
  <si>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</si>
  <si>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</si>
  <si>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</si>
  <si>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</si>
  <si>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</si>
  <si>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</si>
  <si>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</si>
  <si>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</si>
  <si>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</si>
  <si>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</si>
  <si>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</si>
  <si>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</si>
  <si>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</si>
  <si>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</si>
  <si>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</si>
  <si>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</si>
  <si>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</si>
  <si>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</si>
  <si>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</si>
  <si>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</si>
  <si>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</si>
  <si>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</si>
  <si>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</si>
  <si>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</si>
  <si>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</si>
  <si>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</si>
  <si>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</si>
  <si>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</si>
  <si>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</si>
  <si>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</si>
  <si>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</si>
  <si>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</si>
  <si>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</si>
  <si>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</si>
  <si>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</si>
  <si>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</si>
  <si>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</si>
  <si>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</si>
  <si>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</si>
  <si>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</si>
  <si>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</si>
  <si>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</si>
  <si>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</si>
  <si>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</si>
  <si>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</si>
  <si>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</si>
  <si>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</si>
  <si>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</si>
  <si>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</si>
  <si>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</si>
  <si>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</si>
  <si>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</si>
  <si>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</si>
  <si>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</si>
  <si>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</si>
  <si>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</si>
  <si>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</si>
  <si>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</si>
  <si>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</si>
  <si>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</si>
  <si>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</si>
  <si>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</si>
  <si>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</si>
  <si>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</si>
  <si>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</si>
  <si>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</si>
  <si>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</si>
  <si>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</si>
  <si>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</si>
  <si>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</si>
  <si>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</si>
  <si>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</si>
  <si>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</si>
  <si>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</si>
  <si>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</si>
  <si>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</si>
  <si>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</si>
  <si>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</si>
  <si>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</si>
  <si>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</si>
  <si>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</si>
  <si>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</si>
  <si>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</si>
  <si>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</si>
  <si>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</si>
  <si>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</si>
  <si>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</si>
  <si>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</si>
  <si>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</si>
  <si>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</si>
  <si>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</si>
  <si>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</si>
  <si>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Technical Specification</t>
  </si>
  <si>
    <t>Base Date</t>
  </si>
  <si>
    <t>PROPOSE DRUM TYPE</t>
  </si>
  <si>
    <t>DRUM CODE</t>
  </si>
  <si>
    <t>DRUM SIZE (FxbXtx Ft)</t>
  </si>
  <si>
    <t>THE WEST BENGAL POWER DEVELOPMENT CORPORATION LIMITED</t>
  </si>
  <si>
    <t>WBPDCL/SGTPP/NIT/E2518/23-24</t>
  </si>
  <si>
    <t>Procurement of 1.1 KV Grade Power Cable for CHP-EM Department for one (1) year, SGTPP / WBPDCL</t>
  </si>
  <si>
    <t>90% payment along with all applicable taxes and duties will be made within 45 days against SRV (Store Receipt Voucher). SRV will be issued by SgTPP Store after successful delivery of the materials. Balance 10% payment will be retained as security deposit and will be released after successful completion of the Guarantee/Warranty period (as mentioned in NIT) duly certified by the controlling officer, SgTPP or, his authorized representative.
The balance 10% payment as a security deposit may be released subject to submission of Performance Bank Guarantee (PBG) @10% of order value valid for 18 months with additional claim period of 03 months on any bank as mentioned below.</t>
  </si>
  <si>
    <t>Rates should remain firm till the final execution of the purchase order.In case of variation of any Govt. Taxes &amp; Duties will occur, the same is acceptable to WBPDCL. GST will be applicable as per Government rules &amp; regulations.</t>
  </si>
  <si>
    <t>The Bid should be valid for at least 180 days from the date of opening of the bid.</t>
  </si>
  <si>
    <t xml:space="preserve">Earliest Delivery schedule is to be mentioned in the offer by the bidder and must be maintained. 
However, maximum delivery period will be within 120 days from the date of placement of confirmed purchase order.
</t>
  </si>
  <si>
    <t>Not Mention.</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</si>
  <si>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</si>
  <si>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</si>
  <si>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</si>
  <si>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</si>
  <si>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</si>
  <si>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</si>
  <si>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</si>
  <si>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</si>
  <si>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</si>
  <si>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</si>
  <si>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</si>
  <si>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</si>
  <si>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</si>
  <si>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</si>
  <si>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</si>
  <si>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</si>
  <si>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</si>
  <si>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</si>
  <si>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</si>
  <si>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ENQ-11226-22-23</t>
  </si>
  <si>
    <t>FA0900018</t>
  </si>
  <si>
    <t>4 CORE X 35 SQ. MM. AL/ARD - STRIP (XLPE)</t>
  </si>
  <si>
    <t>WOOD</t>
  </si>
  <si>
    <t>KMS</t>
  </si>
  <si>
    <t>MD0100015</t>
  </si>
  <si>
    <t>DRUM - 48 X 20 X 28 X 2.25 - RDSO</t>
  </si>
  <si>
    <t>FA1000014</t>
  </si>
  <si>
    <t>4 CORE X 16 SQ. MM. ALU/UNARD (XLPE)</t>
  </si>
  <si>
    <t>MD0100066</t>
  </si>
  <si>
    <t>DRUM - 40 X 15 X 23 X 2</t>
  </si>
  <si>
    <t>FA1000016</t>
  </si>
  <si>
    <t>4 CORE X 35 SQ. MM. AL/UNARD.(XLPE)</t>
  </si>
  <si>
    <t>FA1000048</t>
  </si>
  <si>
    <t>4 CORE X 10 SQ. MM. AL/UNARD (XLPE)</t>
  </si>
  <si>
    <t>MD0100005</t>
  </si>
  <si>
    <t>DRUM - 36 X 14 X 23 X 2</t>
  </si>
  <si>
    <t>FA0900013</t>
  </si>
  <si>
    <t>4 CORE X 16 SQ. MM. ALU/ARD - STRIP (XLPE)</t>
  </si>
  <si>
    <t>FA1000026</t>
  </si>
  <si>
    <t>4 CORE X 6 SQ. MM. AL/UNARD.(XLPE)</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</si>
  <si>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</si>
  <si>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</si>
  <si>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</si>
  <si>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</si>
  <si>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</si>
  <si>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</si>
  <si>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</si>
  <si>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</si>
  <si>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</si>
  <si>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</si>
  <si>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PENDENT CABLE 12 CORE,1.5 MM2 # ( Trailing Cable, 12C X 1.5 Sq.mm Rubber Insulated, flexible Cu, FRLS, 1.1kv grade,conform to IS : 9968 (Pt-1)/88 )</t>
  </si>
  <si>
    <t>SOMBHU SIR CONFIRM ALL ITEMS CAN STUFF IN ONE 16MT LORRY</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</si>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</sst>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0.000%"/>
    <numFmt numFmtId="165" formatCode="_(* #,##0.00_);_(* \(#,##0.00\);_(*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102">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0" borderId="0" xfId="0" applyFont="1" applyFill="1" applyBorder="1" applyAlignment="1">
      <alignment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3" fillId="8" borderId="1" xfId="0" applyFont="1" applyFill="1" applyBorder="1" applyAlignment="1">
      <alignment horizontal="center" vertical="center" wrapText="1"/>
    </xf>
    <xf numFmtId="10" fontId="3" fillId="0" borderId="1" xfId="1" applyNumberFormat="1" applyFont="1" applyBorder="1" applyAlignment="1">
      <alignment horizontal="center" vertical="center" wrapText="1"/>
    </xf>
    <xf numFmtId="0" fontId="0" fillId="0" borderId="0" xfId="0" applyBorder="1" applyAlignment="1">
      <alignment wrapText="1"/>
    </xf>
    <xf numFmtId="14" fontId="0" fillId="0" borderId="0" xfId="0" applyNumberFormat="1" applyBorder="1" applyAlignment="1">
      <alignment wrapText="1"/>
    </xf>
    <xf numFmtId="165" fontId="0" fillId="0" borderId="10" xfId="0" applyNumberFormat="1" applyFill="1" applyBorder="1" applyAlignment="1">
      <alignment wrapText="1"/>
    </xf>
    <xf numFmtId="165" fontId="2" fillId="0" borderId="0" xfId="7" applyFont="1" applyFill="1" applyBorder="1" applyAlignment="1">
      <alignment horizontal="center" vertical="center"/>
    </xf>
    <xf numFmtId="0" fontId="0" fillId="0" borderId="1" xfId="0" applyBorder="1" applyAlignment="1">
      <alignment vertical="center" wrapText="1"/>
    </xf>
    <xf numFmtId="14" fontId="0" fillId="0" borderId="1" xfId="0" applyNumberFormat="1" applyBorder="1" applyAlignment="1">
      <alignment vertical="center" wrapText="1"/>
    </xf>
    <xf numFmtId="43" fontId="0" fillId="0" borderId="1" xfId="1" applyFont="1" applyBorder="1" applyAlignment="1">
      <alignment vertical="center" wrapText="1"/>
    </xf>
    <xf numFmtId="165" fontId="0" fillId="0" borderId="1" xfId="0" applyNumberFormat="1" applyBorder="1" applyAlignment="1">
      <alignment vertical="center" wrapText="1"/>
    </xf>
    <xf numFmtId="43" fontId="0" fillId="0" borderId="1" xfId="0" applyNumberFormat="1" applyBorder="1" applyAlignment="1">
      <alignment vertical="center" wrapText="1"/>
    </xf>
    <xf numFmtId="9" fontId="0" fillId="0" borderId="1" xfId="2" applyFont="1" applyBorder="1" applyAlignment="1">
      <alignment vertical="center" wrapText="1"/>
    </xf>
    <xf numFmtId="0" fontId="0" fillId="0" borderId="0" xfId="0" applyAlignment="1">
      <alignment vertical="center" wrapText="1"/>
    </xf>
    <xf numFmtId="43" fontId="0" fillId="0" borderId="0" xfId="1" applyFont="1" applyAlignment="1">
      <alignment vertical="center"/>
    </xf>
    <xf numFmtId="10" fontId="0" fillId="0" borderId="0" xfId="2" applyNumberFormat="1" applyFont="1" applyAlignment="1">
      <alignment vertical="center"/>
    </xf>
    <xf numFmtId="164" fontId="0" fillId="0" borderId="0" xfId="2" applyNumberFormat="1" applyFont="1" applyAlignment="1">
      <alignment vertical="center"/>
    </xf>
    <xf numFmtId="9" fontId="0" fillId="0" borderId="0" xfId="2" applyFont="1" applyAlignment="1">
      <alignment vertical="center"/>
    </xf>
    <xf numFmtId="43" fontId="0" fillId="0" borderId="0" xfId="0" applyNumberFormat="1"/>
    <xf numFmtId="0" fontId="3" fillId="0"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10" fillId="0" borderId="1" xfId="0" applyFont="1" applyFill="1" applyBorder="1" applyAlignment="1">
      <alignment horizontal="left" vertical="top"/>
    </xf>
    <xf numFmtId="14" fontId="10" fillId="0" borderId="1" xfId="0" applyNumberFormat="1" applyFont="1" applyFill="1" applyBorder="1" applyAlignment="1">
      <alignment horizontal="left" vertical="top" wrapText="1"/>
    </xf>
    <xf numFmtId="0" fontId="10" fillId="0" borderId="1"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Y20"/>
  <sheetViews>
    <sheetView topLeftCell="L1" workbookViewId="0">
      <selection activeCell="X8" sqref="X8"/>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37" width="8.85546875" customWidth="1"/>
    <col min="38" max="38" width="15" bestFit="1" customWidth="1"/>
    <col min="39"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133</v>
      </c>
      <c r="C1" t="s">
        <v>1</v>
      </c>
      <c r="D1" t="s">
        <v>2</v>
      </c>
      <c r="E1" t="s">
        <v>134</v>
      </c>
      <c r="F1" t="s">
        <v>3</v>
      </c>
      <c r="G1" t="s">
        <v>145</v>
      </c>
      <c r="H1" t="s">
        <v>4</v>
      </c>
      <c r="I1" t="s">
        <v>5</v>
      </c>
      <c r="J1" t="s">
        <v>6</v>
      </c>
      <c r="K1" t="s">
        <v>146</v>
      </c>
      <c r="L1" t="s">
        <v>7</v>
      </c>
      <c r="M1" t="s">
        <v>8</v>
      </c>
      <c r="N1" t="s">
        <v>9</v>
      </c>
      <c r="O1" t="s">
        <v>147</v>
      </c>
      <c r="P1" t="s">
        <v>10</v>
      </c>
      <c r="Q1" t="s">
        <v>11</v>
      </c>
      <c r="R1" t="s">
        <v>12</v>
      </c>
      <c r="S1" t="s">
        <v>148</v>
      </c>
      <c r="T1" t="s">
        <v>13</v>
      </c>
      <c r="U1" t="s">
        <v>14</v>
      </c>
      <c r="V1" t="s">
        <v>15</v>
      </c>
      <c r="W1" t="s">
        <v>149</v>
      </c>
      <c r="X1" t="s">
        <v>16</v>
      </c>
      <c r="Y1" t="s">
        <v>17</v>
      </c>
      <c r="Z1" t="s">
        <v>18</v>
      </c>
      <c r="AA1" t="s">
        <v>150</v>
      </c>
      <c r="AB1" t="s">
        <v>19</v>
      </c>
      <c r="AC1" t="s">
        <v>20</v>
      </c>
      <c r="AD1" t="s">
        <v>21</v>
      </c>
      <c r="AE1" t="s">
        <v>151</v>
      </c>
      <c r="AF1" t="s">
        <v>22</v>
      </c>
      <c r="AG1" t="s">
        <v>23</v>
      </c>
      <c r="AH1" t="s">
        <v>24</v>
      </c>
      <c r="AI1" t="s">
        <v>152</v>
      </c>
      <c r="AJ1" t="s">
        <v>25</v>
      </c>
      <c r="AK1" t="s">
        <v>26</v>
      </c>
      <c r="AL1" t="s">
        <v>27</v>
      </c>
      <c r="AM1" t="s">
        <v>153</v>
      </c>
      <c r="AN1" t="s">
        <v>28</v>
      </c>
      <c r="AO1" t="s">
        <v>29</v>
      </c>
      <c r="AP1" t="s">
        <v>30</v>
      </c>
      <c r="AQ1" t="s">
        <v>154</v>
      </c>
      <c r="AR1" t="s">
        <v>31</v>
      </c>
      <c r="AS1" t="s">
        <v>32</v>
      </c>
      <c r="AT1" t="s">
        <v>33</v>
      </c>
      <c r="AU1" t="s">
        <v>155</v>
      </c>
      <c r="AV1" t="s">
        <v>34</v>
      </c>
      <c r="AW1" t="s">
        <v>35</v>
      </c>
      <c r="AX1" t="s">
        <v>36</v>
      </c>
      <c r="AY1" t="s">
        <v>156</v>
      </c>
      <c r="AZ1" t="s">
        <v>37</v>
      </c>
      <c r="BA1" t="s">
        <v>38</v>
      </c>
      <c r="BB1" t="s">
        <v>39</v>
      </c>
      <c r="BC1" t="s">
        <v>157</v>
      </c>
      <c r="BD1" t="s">
        <v>40</v>
      </c>
      <c r="BE1" t="s">
        <v>41</v>
      </c>
      <c r="BF1" t="s">
        <v>42</v>
      </c>
      <c r="BG1" t="s">
        <v>158</v>
      </c>
      <c r="BH1" t="s">
        <v>43</v>
      </c>
      <c r="BI1" t="s">
        <v>44</v>
      </c>
      <c r="BJ1" t="s">
        <v>45</v>
      </c>
      <c r="BK1" t="s">
        <v>159</v>
      </c>
      <c r="BL1" t="s">
        <v>46</v>
      </c>
      <c r="BM1" t="s">
        <v>47</v>
      </c>
      <c r="BN1" t="s">
        <v>48</v>
      </c>
      <c r="BO1" t="s">
        <v>160</v>
      </c>
      <c r="BP1" t="s">
        <v>49</v>
      </c>
      <c r="BQ1" t="s">
        <v>50</v>
      </c>
      <c r="BR1" t="s">
        <v>51</v>
      </c>
      <c r="BS1" t="s">
        <v>161</v>
      </c>
      <c r="BT1" t="s">
        <v>52</v>
      </c>
      <c r="BU1" t="s">
        <v>53</v>
      </c>
      <c r="BV1" t="s">
        <v>54</v>
      </c>
      <c r="BW1" t="s">
        <v>162</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135</v>
      </c>
      <c r="CW1" t="s">
        <v>136</v>
      </c>
      <c r="CX1" t="s">
        <v>163</v>
      </c>
      <c r="CY1"/>
    </row>
    <row r="2" spans="1:103" ht="25.5" hidden="1" x14ac:dyDescent="0.25">
      <c r="A2" t="s">
        <v>164</v>
      </c>
      <c r="B2" s="58">
        <v>45194</v>
      </c>
      <c r="C2" t="s">
        <v>165</v>
      </c>
      <c r="D2" t="s">
        <v>166</v>
      </c>
      <c r="E2" t="s">
        <v>167</v>
      </c>
      <c r="J2" t="s">
        <v>80</v>
      </c>
      <c r="K2">
        <v>216</v>
      </c>
      <c r="L2">
        <v>378</v>
      </c>
      <c r="M2">
        <v>81648</v>
      </c>
      <c r="P2">
        <v>0</v>
      </c>
      <c r="T2">
        <v>0</v>
      </c>
      <c r="V2" t="s">
        <v>86</v>
      </c>
      <c r="W2">
        <v>116</v>
      </c>
      <c r="X2">
        <v>109</v>
      </c>
      <c r="Y2">
        <v>12644</v>
      </c>
      <c r="AB2">
        <v>0</v>
      </c>
      <c r="AD2" t="s">
        <v>87</v>
      </c>
      <c r="AE2">
        <v>62.87</v>
      </c>
      <c r="AF2">
        <v>51</v>
      </c>
      <c r="AG2">
        <v>3206.37</v>
      </c>
      <c r="AH2" t="s">
        <v>88</v>
      </c>
      <c r="AI2">
        <v>76.25</v>
      </c>
      <c r="AJ2">
        <v>407</v>
      </c>
      <c r="AK2">
        <v>31033.75</v>
      </c>
      <c r="AL2" s="24" t="s">
        <v>100</v>
      </c>
      <c r="AM2">
        <v>107</v>
      </c>
      <c r="AN2">
        <v>191</v>
      </c>
      <c r="AO2">
        <v>12008.17</v>
      </c>
      <c r="AR2">
        <v>0</v>
      </c>
      <c r="AV2">
        <v>0</v>
      </c>
      <c r="AZ2">
        <v>0</v>
      </c>
      <c r="BD2">
        <v>0</v>
      </c>
      <c r="BH2">
        <v>0</v>
      </c>
      <c r="BL2">
        <v>0</v>
      </c>
      <c r="BP2">
        <v>0</v>
      </c>
      <c r="BT2">
        <v>0</v>
      </c>
      <c r="BX2">
        <v>0</v>
      </c>
      <c r="BZ2">
        <v>7317.08</v>
      </c>
      <c r="CA2">
        <v>147857.37</v>
      </c>
      <c r="CH2">
        <v>147857.37</v>
      </c>
      <c r="CM2">
        <v>147857.37</v>
      </c>
      <c r="CO2">
        <v>147857.37</v>
      </c>
      <c r="CR2">
        <v>147857.37</v>
      </c>
      <c r="CS2">
        <v>0.5</v>
      </c>
      <c r="CT2" t="s">
        <v>168</v>
      </c>
      <c r="CU2" s="59">
        <v>73929</v>
      </c>
      <c r="CV2" t="s">
        <v>169</v>
      </c>
      <c r="CW2" t="s">
        <v>170</v>
      </c>
    </row>
    <row r="3" spans="1:103" ht="25.5" x14ac:dyDescent="0.25">
      <c r="A3" t="s">
        <v>164</v>
      </c>
      <c r="B3" s="58">
        <v>45194</v>
      </c>
      <c r="C3" t="s">
        <v>171</v>
      </c>
      <c r="D3" t="s">
        <v>172</v>
      </c>
      <c r="E3" t="s">
        <v>167</v>
      </c>
      <c r="J3" t="s">
        <v>80</v>
      </c>
      <c r="K3">
        <v>216</v>
      </c>
      <c r="L3">
        <v>172.8</v>
      </c>
      <c r="M3">
        <v>37324.800000000003</v>
      </c>
      <c r="P3">
        <v>0</v>
      </c>
      <c r="T3">
        <v>0</v>
      </c>
      <c r="V3" t="s">
        <v>86</v>
      </c>
      <c r="W3">
        <v>116</v>
      </c>
      <c r="X3">
        <v>63</v>
      </c>
      <c r="Y3">
        <v>8700</v>
      </c>
      <c r="AB3">
        <v>0</v>
      </c>
      <c r="AD3" t="s">
        <v>87</v>
      </c>
      <c r="AE3">
        <v>62.87</v>
      </c>
      <c r="AF3">
        <v>40</v>
      </c>
      <c r="AG3">
        <v>2514.8000000000002</v>
      </c>
      <c r="AJ3">
        <v>0</v>
      </c>
      <c r="AL3" s="24" t="s">
        <v>100</v>
      </c>
      <c r="AM3">
        <v>107</v>
      </c>
      <c r="AN3">
        <v>182</v>
      </c>
      <c r="AO3">
        <v>11442.34</v>
      </c>
      <c r="AR3">
        <v>0</v>
      </c>
      <c r="AV3">
        <v>0</v>
      </c>
      <c r="AZ3">
        <v>0</v>
      </c>
      <c r="BD3">
        <v>0</v>
      </c>
      <c r="BH3">
        <v>0</v>
      </c>
      <c r="BL3">
        <v>0</v>
      </c>
      <c r="BP3">
        <v>0</v>
      </c>
      <c r="BT3">
        <v>0</v>
      </c>
      <c r="BX3">
        <v>0</v>
      </c>
      <c r="BZ3">
        <v>5151.4799999999996</v>
      </c>
      <c r="CA3">
        <v>65133.42</v>
      </c>
      <c r="CH3">
        <v>65133.42</v>
      </c>
      <c r="CM3">
        <v>65133.42</v>
      </c>
      <c r="CO3">
        <v>65133.42</v>
      </c>
      <c r="CR3">
        <v>65133.42</v>
      </c>
      <c r="CS3">
        <v>0.5</v>
      </c>
      <c r="CT3" t="s">
        <v>168</v>
      </c>
      <c r="CU3" s="59">
        <v>32567</v>
      </c>
      <c r="CV3" t="s">
        <v>173</v>
      </c>
      <c r="CW3" t="s">
        <v>174</v>
      </c>
    </row>
    <row r="4" spans="1:103" ht="25.5" hidden="1" x14ac:dyDescent="0.25">
      <c r="A4" t="s">
        <v>164</v>
      </c>
      <c r="B4" s="58">
        <v>45194</v>
      </c>
      <c r="C4" t="s">
        <v>175</v>
      </c>
      <c r="D4" t="s">
        <v>176</v>
      </c>
      <c r="E4" t="s">
        <v>167</v>
      </c>
      <c r="J4" t="s">
        <v>80</v>
      </c>
      <c r="K4">
        <v>216</v>
      </c>
      <c r="L4">
        <v>378</v>
      </c>
      <c r="M4">
        <v>81648</v>
      </c>
      <c r="P4">
        <v>0</v>
      </c>
      <c r="T4">
        <v>0</v>
      </c>
      <c r="V4" t="s">
        <v>86</v>
      </c>
      <c r="W4">
        <v>116</v>
      </c>
      <c r="X4">
        <v>109</v>
      </c>
      <c r="Y4">
        <v>12644</v>
      </c>
      <c r="AB4">
        <v>0</v>
      </c>
      <c r="AD4" t="s">
        <v>87</v>
      </c>
      <c r="AE4">
        <v>62.87</v>
      </c>
      <c r="AF4">
        <v>51</v>
      </c>
      <c r="AG4">
        <v>3206.37</v>
      </c>
      <c r="AJ4">
        <v>0</v>
      </c>
      <c r="AL4" s="24" t="s">
        <v>100</v>
      </c>
      <c r="AM4">
        <v>107</v>
      </c>
      <c r="AN4">
        <v>228</v>
      </c>
      <c r="AO4">
        <v>14334.36</v>
      </c>
      <c r="AR4">
        <v>0</v>
      </c>
      <c r="AV4">
        <v>0</v>
      </c>
      <c r="AZ4">
        <v>0</v>
      </c>
      <c r="BD4">
        <v>0</v>
      </c>
      <c r="BH4">
        <v>0</v>
      </c>
      <c r="BL4">
        <v>0</v>
      </c>
      <c r="BP4">
        <v>0</v>
      </c>
      <c r="BT4">
        <v>0</v>
      </c>
      <c r="BX4">
        <v>0</v>
      </c>
      <c r="BZ4">
        <v>7317.08</v>
      </c>
      <c r="CA4">
        <v>119149.81</v>
      </c>
      <c r="CH4">
        <v>119149.81</v>
      </c>
      <c r="CM4">
        <v>119149.81</v>
      </c>
      <c r="CO4">
        <v>119149.81</v>
      </c>
      <c r="CR4">
        <v>119149.81</v>
      </c>
      <c r="CS4">
        <v>0.5</v>
      </c>
      <c r="CT4" t="s">
        <v>168</v>
      </c>
      <c r="CU4" s="59">
        <v>59575</v>
      </c>
      <c r="CV4" t="s">
        <v>169</v>
      </c>
      <c r="CW4" t="s">
        <v>170</v>
      </c>
    </row>
    <row r="5" spans="1:103" ht="25.5" hidden="1" x14ac:dyDescent="0.25">
      <c r="A5" t="s">
        <v>164</v>
      </c>
      <c r="B5" s="58">
        <v>45194</v>
      </c>
      <c r="C5" t="s">
        <v>177</v>
      </c>
      <c r="D5" t="s">
        <v>178</v>
      </c>
      <c r="E5" t="s">
        <v>167</v>
      </c>
      <c r="J5" t="s">
        <v>80</v>
      </c>
      <c r="K5">
        <v>216</v>
      </c>
      <c r="L5">
        <v>108</v>
      </c>
      <c r="M5">
        <v>23328</v>
      </c>
      <c r="P5">
        <v>0</v>
      </c>
      <c r="T5">
        <v>0</v>
      </c>
      <c r="V5" t="s">
        <v>86</v>
      </c>
      <c r="W5">
        <v>116</v>
      </c>
      <c r="X5">
        <v>64</v>
      </c>
      <c r="Y5">
        <v>7424</v>
      </c>
      <c r="AB5">
        <v>0</v>
      </c>
      <c r="AD5" t="s">
        <v>87</v>
      </c>
      <c r="AE5">
        <v>62.87</v>
      </c>
      <c r="AF5">
        <v>35</v>
      </c>
      <c r="AG5">
        <v>2200.4499999999998</v>
      </c>
      <c r="AJ5">
        <v>0</v>
      </c>
      <c r="AL5" s="24" t="s">
        <v>100</v>
      </c>
      <c r="AM5">
        <v>107</v>
      </c>
      <c r="AN5">
        <v>145</v>
      </c>
      <c r="AO5">
        <v>9116.15</v>
      </c>
      <c r="AR5">
        <v>0</v>
      </c>
      <c r="AV5">
        <v>0</v>
      </c>
      <c r="AZ5">
        <v>0</v>
      </c>
      <c r="BD5">
        <v>0</v>
      </c>
      <c r="BH5">
        <v>0</v>
      </c>
      <c r="BL5">
        <v>0</v>
      </c>
      <c r="BP5">
        <v>0</v>
      </c>
      <c r="BT5">
        <v>0</v>
      </c>
      <c r="BX5">
        <v>0</v>
      </c>
      <c r="BZ5">
        <v>4610.79</v>
      </c>
      <c r="CA5">
        <v>46679.39</v>
      </c>
      <c r="CH5">
        <v>46679.39</v>
      </c>
      <c r="CM5">
        <v>46679.39</v>
      </c>
      <c r="CO5">
        <v>46679.39</v>
      </c>
      <c r="CR5">
        <v>46679.39</v>
      </c>
      <c r="CS5">
        <v>1</v>
      </c>
      <c r="CT5" t="s">
        <v>168</v>
      </c>
      <c r="CU5" s="59">
        <v>46679</v>
      </c>
      <c r="CV5" t="s">
        <v>179</v>
      </c>
      <c r="CW5" t="s">
        <v>180</v>
      </c>
    </row>
    <row r="6" spans="1:103" ht="25.5" x14ac:dyDescent="0.25">
      <c r="A6" t="s">
        <v>164</v>
      </c>
      <c r="B6" s="58">
        <v>45194</v>
      </c>
      <c r="C6" t="s">
        <v>181</v>
      </c>
      <c r="D6" t="s">
        <v>182</v>
      </c>
      <c r="E6" t="s">
        <v>167</v>
      </c>
      <c r="J6" t="s">
        <v>80</v>
      </c>
      <c r="K6">
        <v>216</v>
      </c>
      <c r="L6">
        <v>172.8</v>
      </c>
      <c r="M6">
        <v>37324.800000000003</v>
      </c>
      <c r="P6">
        <v>0</v>
      </c>
      <c r="T6">
        <v>0</v>
      </c>
      <c r="V6" t="s">
        <v>86</v>
      </c>
      <c r="W6">
        <v>116</v>
      </c>
      <c r="X6">
        <v>63</v>
      </c>
      <c r="Y6">
        <v>7308</v>
      </c>
      <c r="AB6">
        <v>0</v>
      </c>
      <c r="AD6" t="s">
        <v>87</v>
      </c>
      <c r="AE6">
        <v>62.87</v>
      </c>
      <c r="AF6">
        <v>40</v>
      </c>
      <c r="AG6">
        <v>2514.8000000000002</v>
      </c>
      <c r="AH6" t="s">
        <v>88</v>
      </c>
      <c r="AI6">
        <v>76.25</v>
      </c>
      <c r="AJ6">
        <v>300</v>
      </c>
      <c r="AK6">
        <v>22875</v>
      </c>
      <c r="AL6" s="24" t="s">
        <v>100</v>
      </c>
      <c r="AM6">
        <v>107</v>
      </c>
      <c r="AN6">
        <v>146</v>
      </c>
      <c r="AO6">
        <v>9179.02</v>
      </c>
      <c r="AR6">
        <v>0</v>
      </c>
      <c r="AV6">
        <v>0</v>
      </c>
      <c r="AZ6">
        <v>0</v>
      </c>
      <c r="BD6">
        <v>0</v>
      </c>
      <c r="BH6">
        <v>0</v>
      </c>
      <c r="BL6">
        <v>0</v>
      </c>
      <c r="BP6">
        <v>0</v>
      </c>
      <c r="BT6">
        <v>0</v>
      </c>
      <c r="BX6">
        <v>0</v>
      </c>
      <c r="BZ6">
        <v>5151.4799999999996</v>
      </c>
      <c r="CA6">
        <v>84353.1</v>
      </c>
      <c r="CH6">
        <v>84353.1</v>
      </c>
      <c r="CM6">
        <v>84353.1</v>
      </c>
      <c r="CO6">
        <v>84353.1</v>
      </c>
      <c r="CR6">
        <v>84353.1</v>
      </c>
      <c r="CS6">
        <v>2</v>
      </c>
      <c r="CT6" t="s">
        <v>168</v>
      </c>
      <c r="CU6" s="59">
        <v>168706</v>
      </c>
      <c r="CV6" t="s">
        <v>173</v>
      </c>
      <c r="CW6" t="s">
        <v>174</v>
      </c>
    </row>
    <row r="7" spans="1:103" ht="25.5" hidden="1" x14ac:dyDescent="0.25">
      <c r="A7" t="s">
        <v>164</v>
      </c>
      <c r="B7" s="58">
        <v>45194</v>
      </c>
      <c r="C7" t="s">
        <v>183</v>
      </c>
      <c r="D7" t="s">
        <v>184</v>
      </c>
      <c r="E7" t="s">
        <v>167</v>
      </c>
      <c r="J7" t="s">
        <v>80</v>
      </c>
      <c r="K7">
        <v>216</v>
      </c>
      <c r="L7">
        <v>64.8</v>
      </c>
      <c r="M7">
        <v>13996.8</v>
      </c>
      <c r="P7">
        <v>0</v>
      </c>
      <c r="T7">
        <v>0</v>
      </c>
      <c r="V7" t="s">
        <v>86</v>
      </c>
      <c r="W7">
        <v>116</v>
      </c>
      <c r="X7">
        <v>53</v>
      </c>
      <c r="Y7">
        <v>6148</v>
      </c>
      <c r="AB7">
        <v>0</v>
      </c>
      <c r="AD7" t="s">
        <v>87</v>
      </c>
      <c r="AE7">
        <v>62.87</v>
      </c>
      <c r="AF7">
        <v>30</v>
      </c>
      <c r="AG7">
        <v>1886.1</v>
      </c>
      <c r="AJ7">
        <v>0</v>
      </c>
      <c r="AL7" s="24" t="s">
        <v>100</v>
      </c>
      <c r="AM7">
        <v>107</v>
      </c>
      <c r="AN7">
        <v>127</v>
      </c>
      <c r="AO7">
        <v>7984.49</v>
      </c>
      <c r="AR7">
        <v>0</v>
      </c>
      <c r="AV7">
        <v>0</v>
      </c>
      <c r="AZ7">
        <v>0</v>
      </c>
      <c r="BD7">
        <v>0</v>
      </c>
      <c r="BH7">
        <v>0</v>
      </c>
      <c r="BL7">
        <v>0</v>
      </c>
      <c r="BP7">
        <v>0</v>
      </c>
      <c r="BT7">
        <v>0</v>
      </c>
      <c r="BX7">
        <v>0</v>
      </c>
      <c r="BZ7">
        <v>4610.79</v>
      </c>
      <c r="CA7">
        <v>34626.18</v>
      </c>
      <c r="CH7">
        <v>34626.18</v>
      </c>
      <c r="CM7">
        <v>34626.18</v>
      </c>
      <c r="CO7">
        <v>34626.18</v>
      </c>
      <c r="CR7">
        <v>34626.18</v>
      </c>
      <c r="CS7">
        <v>2</v>
      </c>
      <c r="CT7" t="s">
        <v>168</v>
      </c>
      <c r="CU7" s="59">
        <v>69252</v>
      </c>
      <c r="CV7" t="s">
        <v>179</v>
      </c>
      <c r="CW7" t="s">
        <v>180</v>
      </c>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7">
    <filterColumn colId="3">
      <filters>
        <filter val="4 CORE X 16 SQ. MM. ALU/ARD - STRIP (XLPE)"/>
        <filter val="4 CORE X 16 SQ. MM. ALU/UNARD (XLPE)"/>
      </filters>
    </filterColumn>
  </autoFilter>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44"/>
  <sheetViews>
    <sheetView tabSelected="1" topLeftCell="A14" workbookViewId="0">
      <selection activeCell="BF40" sqref="BF40"/>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31" width="7.85546875" style="30" hidden="1" customWidth="1"/>
    <col min="32" max="32" width="7.85546875" style="30" customWidth="1"/>
    <col min="33" max="42" width="7.85546875" style="30" hidden="1" customWidth="1"/>
    <col min="43" max="43" width="7.85546875" style="30" customWidth="1"/>
    <col min="44" max="49" width="7.85546875" style="30" hidden="1" customWidth="1"/>
    <col min="50" max="50" width="7.85546875" style="30" customWidth="1"/>
    <col min="51" max="57" width="7.85546875" style="30" hidden="1" customWidth="1"/>
    <col min="58" max="58" width="7.85546875" style="30" customWidth="1"/>
    <col min="59" max="73" width="7.85546875" style="30" hidden="1" customWidth="1"/>
    <col min="74" max="74" width="7.85546875" style="30" customWidth="1"/>
    <col min="75" max="75" width="10.7109375" style="30" bestFit="1" customWidth="1"/>
    <col min="76" max="76" width="14.4257812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6" customFormat="1" ht="15.75" thickBot="1" x14ac:dyDescent="0.3"/>
    <row r="2" spans="1:90" s="46" customFormat="1" ht="23.25" thickBot="1" x14ac:dyDescent="0.5">
      <c r="A2" s="86" t="s">
        <v>137</v>
      </c>
      <c r="B2" s="87"/>
      <c r="C2" s="87"/>
      <c r="D2" s="87"/>
      <c r="E2" s="87"/>
      <c r="F2" s="87"/>
      <c r="G2" s="87"/>
      <c r="H2" s="87"/>
      <c r="I2" s="87"/>
      <c r="J2" s="87"/>
      <c r="K2" s="87"/>
      <c r="L2" s="87"/>
      <c r="M2" s="87"/>
      <c r="N2" s="87"/>
      <c r="O2" s="87"/>
      <c r="P2" s="87"/>
      <c r="Q2" s="87"/>
      <c r="R2" s="88"/>
      <c r="S2" s="52"/>
      <c r="T2" s="49"/>
    </row>
    <row r="3" spans="1:90" s="46" customFormat="1" ht="15.75" thickBot="1" x14ac:dyDescent="0.3">
      <c r="A3"/>
      <c r="B3"/>
      <c r="C3"/>
      <c r="D3"/>
      <c r="E3"/>
      <c r="F3"/>
      <c r="G3"/>
      <c r="H3"/>
      <c r="I3"/>
      <c r="J3"/>
      <c r="K3"/>
      <c r="L3"/>
      <c r="M3"/>
      <c r="N3"/>
      <c r="O3"/>
      <c r="P3"/>
      <c r="Q3"/>
      <c r="R3"/>
      <c r="S3"/>
    </row>
    <row r="4" spans="1:90" s="46" customFormat="1" ht="51.75" customHeight="1" thickBot="1" x14ac:dyDescent="0.3">
      <c r="A4" s="47" t="s">
        <v>125</v>
      </c>
      <c r="B4" s="96" t="s">
        <v>138</v>
      </c>
      <c r="C4" s="96"/>
      <c r="D4" s="96"/>
      <c r="E4" s="96"/>
      <c r="F4" s="96"/>
      <c r="G4" s="96"/>
      <c r="H4" s="96"/>
      <c r="I4" s="96"/>
      <c r="J4" s="96"/>
      <c r="K4" s="96"/>
      <c r="L4" s="96"/>
      <c r="M4" s="96"/>
      <c r="N4" s="96"/>
      <c r="O4" s="96"/>
      <c r="P4" s="96"/>
      <c r="Q4" s="96"/>
      <c r="R4" s="96"/>
      <c r="S4"/>
    </row>
    <row r="5" spans="1:90" s="46" customFormat="1" ht="34.5" customHeight="1" x14ac:dyDescent="0.25">
      <c r="A5" s="47" t="s">
        <v>126</v>
      </c>
      <c r="B5" s="96" t="s">
        <v>139</v>
      </c>
      <c r="C5" s="96"/>
      <c r="D5" s="96"/>
      <c r="E5" s="96"/>
      <c r="F5" s="96"/>
      <c r="G5" s="96"/>
      <c r="H5" s="96"/>
      <c r="I5" s="96"/>
      <c r="J5" s="96"/>
      <c r="K5" s="96"/>
      <c r="L5" s="96"/>
      <c r="M5" s="96"/>
      <c r="N5" s="96"/>
      <c r="O5" s="96"/>
      <c r="P5" s="96"/>
      <c r="Q5" s="96"/>
      <c r="R5" s="96"/>
      <c r="S5"/>
    </row>
    <row r="6" spans="1:90" s="46" customFormat="1" ht="48" customHeight="1" x14ac:dyDescent="0.25">
      <c r="A6" s="48" t="s">
        <v>127</v>
      </c>
      <c r="B6" s="97">
        <v>45196</v>
      </c>
      <c r="C6" s="96"/>
      <c r="D6" s="96"/>
      <c r="E6" s="96"/>
      <c r="F6" s="96"/>
      <c r="G6" s="96"/>
      <c r="H6" s="96"/>
      <c r="I6" s="96"/>
      <c r="J6" s="96"/>
      <c r="K6" s="96"/>
      <c r="L6" s="96"/>
      <c r="M6" s="96"/>
      <c r="N6" s="96"/>
      <c r="O6" s="96"/>
      <c r="P6" s="96"/>
      <c r="Q6" s="96"/>
      <c r="R6" s="96"/>
      <c r="S6"/>
    </row>
    <row r="7" spans="1:90" s="46" customFormat="1" ht="30" x14ac:dyDescent="0.25">
      <c r="A7" s="48" t="s">
        <v>124</v>
      </c>
      <c r="B7" s="98" t="s">
        <v>144</v>
      </c>
      <c r="C7" s="96"/>
      <c r="D7" s="96"/>
      <c r="E7" s="96"/>
      <c r="F7" s="96"/>
      <c r="G7" s="96"/>
      <c r="H7" s="96"/>
      <c r="I7" s="96"/>
      <c r="J7" s="96"/>
      <c r="K7" s="96"/>
      <c r="L7" s="96"/>
      <c r="M7" s="96"/>
      <c r="N7" s="96"/>
      <c r="O7" s="96"/>
      <c r="P7" s="96"/>
      <c r="Q7" s="96"/>
      <c r="R7" s="96"/>
      <c r="S7"/>
    </row>
    <row r="8" spans="1:90" s="46" customFormat="1" ht="28.5" customHeight="1" x14ac:dyDescent="0.25">
      <c r="A8" s="48" t="s">
        <v>128</v>
      </c>
      <c r="B8" s="98" t="s">
        <v>141</v>
      </c>
      <c r="C8" s="98"/>
      <c r="D8" s="98"/>
      <c r="E8" s="98"/>
      <c r="F8" s="98"/>
      <c r="G8" s="98"/>
      <c r="H8" s="98"/>
      <c r="I8" s="98"/>
      <c r="J8" s="98"/>
      <c r="K8" s="98"/>
      <c r="L8" s="98"/>
      <c r="M8" s="98"/>
      <c r="N8" s="98"/>
      <c r="O8" s="98"/>
      <c r="P8" s="98"/>
      <c r="Q8" s="98"/>
      <c r="R8" s="98"/>
      <c r="S8"/>
    </row>
    <row r="9" spans="1:90" s="46" customFormat="1" ht="39.75" customHeight="1" x14ac:dyDescent="0.25">
      <c r="A9" s="48" t="s">
        <v>129</v>
      </c>
      <c r="B9" s="99" t="s">
        <v>142</v>
      </c>
      <c r="C9" s="100"/>
      <c r="D9" s="100"/>
      <c r="E9" s="100"/>
      <c r="F9" s="100"/>
      <c r="G9" s="100"/>
      <c r="H9" s="100"/>
      <c r="I9" s="100"/>
      <c r="J9" s="100"/>
      <c r="K9" s="100"/>
      <c r="L9" s="100"/>
      <c r="M9" s="100"/>
      <c r="N9" s="100"/>
      <c r="O9" s="100"/>
      <c r="P9" s="100"/>
      <c r="Q9" s="100"/>
      <c r="R9" s="101"/>
    </row>
    <row r="10" spans="1:90" s="46" customFormat="1" ht="37.5" customHeight="1" x14ac:dyDescent="0.25">
      <c r="A10" s="48" t="s">
        <v>130</v>
      </c>
      <c r="B10" s="98" t="s">
        <v>143</v>
      </c>
      <c r="C10" s="98"/>
      <c r="D10" s="98"/>
      <c r="E10" s="98"/>
      <c r="F10" s="98"/>
      <c r="G10" s="98"/>
      <c r="H10" s="98"/>
      <c r="I10" s="98"/>
      <c r="J10" s="98"/>
      <c r="K10" s="98"/>
      <c r="L10" s="98"/>
      <c r="M10" s="98"/>
      <c r="N10" s="98"/>
      <c r="O10" s="98"/>
      <c r="P10" s="98"/>
      <c r="Q10" s="98"/>
      <c r="R10" s="98"/>
      <c r="S10"/>
    </row>
    <row r="11" spans="1:90" s="46" customFormat="1" ht="68.25" customHeight="1" x14ac:dyDescent="0.25">
      <c r="A11" s="48" t="s">
        <v>131</v>
      </c>
      <c r="B11" s="92" t="s">
        <v>140</v>
      </c>
      <c r="C11" s="93"/>
      <c r="D11" s="93"/>
      <c r="E11" s="93"/>
      <c r="F11" s="93"/>
      <c r="G11" s="93"/>
      <c r="H11" s="93"/>
      <c r="I11" s="93"/>
      <c r="J11" s="93"/>
      <c r="K11" s="93"/>
      <c r="L11" s="93"/>
      <c r="M11" s="93"/>
      <c r="N11" s="93"/>
      <c r="O11" s="93"/>
      <c r="P11" s="93"/>
      <c r="Q11" s="93"/>
      <c r="R11" s="94"/>
      <c r="S11"/>
    </row>
    <row r="12" spans="1:90" s="46" customFormat="1" ht="30" x14ac:dyDescent="0.25">
      <c r="A12" s="53" t="s">
        <v>132</v>
      </c>
      <c r="B12" s="95"/>
      <c r="C12" s="95"/>
      <c r="D12" s="95"/>
      <c r="E12" s="95"/>
      <c r="F12" s="95"/>
      <c r="G12" s="95"/>
      <c r="H12" s="95"/>
      <c r="I12" s="95"/>
      <c r="J12" s="95"/>
      <c r="K12" s="95"/>
      <c r="L12" s="95"/>
      <c r="M12" s="95"/>
      <c r="N12" s="95"/>
      <c r="O12" s="95"/>
      <c r="P12" s="95"/>
      <c r="Q12" s="95"/>
      <c r="R12" s="95"/>
    </row>
    <row r="14" spans="1:90" s="37" customFormat="1" ht="28.9" customHeight="1" x14ac:dyDescent="0.25">
      <c r="E14" s="43"/>
      <c r="H14" s="44"/>
      <c r="N14" s="91" t="str">
        <f>Sheet1!J1</f>
        <v>Conductor</v>
      </c>
      <c r="O14" s="91"/>
      <c r="P14" s="91"/>
      <c r="Q14" s="91"/>
      <c r="R14" s="91"/>
      <c r="S14" s="91" t="s">
        <v>9</v>
      </c>
      <c r="T14" s="91"/>
      <c r="U14" s="91" t="s">
        <v>3</v>
      </c>
      <c r="V14" s="91"/>
      <c r="W14" s="91"/>
      <c r="X14" s="91"/>
      <c r="Y14" s="91"/>
      <c r="Z14" s="91"/>
      <c r="AA14" s="91"/>
      <c r="AB14" s="91"/>
      <c r="AC14" s="91" t="s">
        <v>12</v>
      </c>
      <c r="AD14" s="91"/>
      <c r="AE14" s="91" t="s">
        <v>15</v>
      </c>
      <c r="AF14" s="91"/>
      <c r="AG14" s="91"/>
      <c r="AH14" s="91"/>
      <c r="AI14" s="91"/>
      <c r="AJ14" s="91"/>
      <c r="AK14" s="38" t="s">
        <v>18</v>
      </c>
      <c r="AL14" s="89" t="s">
        <v>21</v>
      </c>
      <c r="AM14" s="90"/>
      <c r="AN14" s="90"/>
      <c r="AO14" s="90"/>
      <c r="AP14" s="90"/>
      <c r="AQ14" s="90"/>
      <c r="AR14" s="90"/>
      <c r="AS14" s="91" t="s">
        <v>24</v>
      </c>
      <c r="AT14" s="91"/>
      <c r="AU14" s="91"/>
      <c r="AV14" s="91"/>
      <c r="AW14" s="91"/>
      <c r="AX14" s="91"/>
      <c r="AY14" s="91"/>
      <c r="AZ14" s="91"/>
      <c r="BA14" s="91"/>
      <c r="BB14" s="91"/>
      <c r="BC14" s="91" t="s">
        <v>27</v>
      </c>
      <c r="BD14" s="91"/>
      <c r="BE14" s="91"/>
      <c r="BF14" s="91"/>
      <c r="BG14" s="91"/>
      <c r="BH14" s="91"/>
      <c r="BI14" s="91"/>
      <c r="BJ14" s="91"/>
      <c r="BK14" s="91"/>
      <c r="BL14" s="91"/>
      <c r="BM14" s="39" t="s">
        <v>30</v>
      </c>
      <c r="BN14" s="38" t="s">
        <v>33</v>
      </c>
      <c r="BO14" s="38" t="s">
        <v>36</v>
      </c>
      <c r="BP14" s="38" t="s">
        <v>39</v>
      </c>
      <c r="BQ14" s="38" t="s">
        <v>42</v>
      </c>
      <c r="BR14" s="38" t="s">
        <v>45</v>
      </c>
      <c r="BS14" s="38" t="s">
        <v>48</v>
      </c>
      <c r="BT14" s="38" t="s">
        <v>51</v>
      </c>
      <c r="BU14" s="38" t="s">
        <v>54</v>
      </c>
      <c r="BV14" s="50"/>
      <c r="BW14" s="50"/>
      <c r="BX14" s="50"/>
      <c r="BY14" s="57"/>
      <c r="BZ14" s="40" t="s">
        <v>57</v>
      </c>
      <c r="CA14" s="40" t="s">
        <v>58</v>
      </c>
      <c r="CB14" s="41" t="s">
        <v>79</v>
      </c>
      <c r="CC14" s="40" t="s">
        <v>123</v>
      </c>
      <c r="CD14" s="42"/>
      <c r="CE14" s="43"/>
      <c r="CF14" s="44"/>
      <c r="CG14" s="43"/>
      <c r="CH14" s="43"/>
      <c r="CI14" s="44"/>
      <c r="CK14" s="44"/>
    </row>
    <row r="15" spans="1:90" s="19" customFormat="1" ht="89.25" x14ac:dyDescent="0.25">
      <c r="A15" s="22" t="s">
        <v>0</v>
      </c>
      <c r="B15" s="22" t="str">
        <f>Sheet1!B1</f>
        <v>Base Date</v>
      </c>
      <c r="C15" s="22" t="s">
        <v>1</v>
      </c>
      <c r="D15" s="22" t="s">
        <v>2</v>
      </c>
      <c r="E15" s="5" t="s">
        <v>70</v>
      </c>
      <c r="F15" s="15" t="s">
        <v>71</v>
      </c>
      <c r="G15" s="15" t="s">
        <v>72</v>
      </c>
      <c r="H15" s="6" t="s">
        <v>73</v>
      </c>
      <c r="I15" s="15" t="s">
        <v>74</v>
      </c>
      <c r="J15" s="15" t="s">
        <v>75</v>
      </c>
      <c r="K15" s="15" t="s">
        <v>76</v>
      </c>
      <c r="L15" s="15" t="s">
        <v>77</v>
      </c>
      <c r="M15" s="15" t="s">
        <v>78</v>
      </c>
      <c r="N15" s="23" t="s">
        <v>80</v>
      </c>
      <c r="O15" s="23" t="s">
        <v>85</v>
      </c>
      <c r="P15" s="23" t="s">
        <v>82</v>
      </c>
      <c r="Q15" s="23" t="s">
        <v>83</v>
      </c>
      <c r="R15" s="23" t="s">
        <v>84</v>
      </c>
      <c r="S15" s="23" t="s">
        <v>80</v>
      </c>
      <c r="T15" s="23" t="s">
        <v>85</v>
      </c>
      <c r="U15" s="24" t="s">
        <v>92</v>
      </c>
      <c r="V15" s="24" t="s">
        <v>96</v>
      </c>
      <c r="W15" s="24" t="s">
        <v>99</v>
      </c>
      <c r="X15" s="24" t="s">
        <v>104</v>
      </c>
      <c r="Y15" s="24" t="s">
        <v>108</v>
      </c>
      <c r="Z15" s="24" t="s">
        <v>112</v>
      </c>
      <c r="AA15" s="24" t="s">
        <v>115</v>
      </c>
      <c r="AB15" s="24" t="s">
        <v>117</v>
      </c>
      <c r="AC15" s="24" t="s">
        <v>91</v>
      </c>
      <c r="AD15" s="24" t="s">
        <v>95</v>
      </c>
      <c r="AE15" s="24" t="s">
        <v>90</v>
      </c>
      <c r="AF15" s="24" t="s">
        <v>86</v>
      </c>
      <c r="AG15" s="24" t="s">
        <v>98</v>
      </c>
      <c r="AH15" s="24" t="s">
        <v>103</v>
      </c>
      <c r="AI15" s="24" t="s">
        <v>107</v>
      </c>
      <c r="AJ15" s="24" t="s">
        <v>111</v>
      </c>
      <c r="AK15" s="20" t="s">
        <v>18</v>
      </c>
      <c r="AL15" s="24" t="s">
        <v>93</v>
      </c>
      <c r="AM15" s="24" t="s">
        <v>97</v>
      </c>
      <c r="AN15" s="24" t="s">
        <v>100</v>
      </c>
      <c r="AO15" s="24" t="s">
        <v>105</v>
      </c>
      <c r="AP15" s="24" t="s">
        <v>109</v>
      </c>
      <c r="AQ15" s="24" t="s">
        <v>87</v>
      </c>
      <c r="AR15" s="24" t="s">
        <v>116</v>
      </c>
      <c r="AS15" s="24" t="s">
        <v>94</v>
      </c>
      <c r="AT15" s="24" t="s">
        <v>81</v>
      </c>
      <c r="AU15" s="24" t="s">
        <v>101</v>
      </c>
      <c r="AV15" s="24" t="s">
        <v>106</v>
      </c>
      <c r="AW15" s="24" t="s">
        <v>113</v>
      </c>
      <c r="AX15" s="24" t="s">
        <v>88</v>
      </c>
      <c r="AY15" s="24" t="s">
        <v>118</v>
      </c>
      <c r="AZ15" s="24" t="s">
        <v>119</v>
      </c>
      <c r="BA15" s="24" t="s">
        <v>120</v>
      </c>
      <c r="BB15" s="24" t="s">
        <v>122</v>
      </c>
      <c r="BC15" s="24" t="s">
        <v>93</v>
      </c>
      <c r="BD15" s="24" t="s">
        <v>97</v>
      </c>
      <c r="BE15" s="24" t="s">
        <v>102</v>
      </c>
      <c r="BF15" s="24" t="s">
        <v>100</v>
      </c>
      <c r="BG15" s="24" t="s">
        <v>110</v>
      </c>
      <c r="BH15" s="24" t="s">
        <v>114</v>
      </c>
      <c r="BI15" s="24" t="s">
        <v>105</v>
      </c>
      <c r="BJ15" s="24" t="s">
        <v>87</v>
      </c>
      <c r="BK15" s="24" t="s">
        <v>116</v>
      </c>
      <c r="BL15" s="24" t="s">
        <v>121</v>
      </c>
      <c r="BM15" s="20" t="s">
        <v>30</v>
      </c>
      <c r="BN15" s="20" t="s">
        <v>89</v>
      </c>
      <c r="BO15" s="21" t="s">
        <v>36</v>
      </c>
      <c r="BP15" s="25" t="s">
        <v>39</v>
      </c>
      <c r="BQ15" s="21" t="s">
        <v>42</v>
      </c>
      <c r="BR15" s="21" t="s">
        <v>45</v>
      </c>
      <c r="BS15" s="21" t="s">
        <v>48</v>
      </c>
      <c r="BT15" s="25" t="s">
        <v>51</v>
      </c>
      <c r="BU15" s="21" t="s">
        <v>54</v>
      </c>
      <c r="BV15" s="21" t="str">
        <f>Sheet1!E1</f>
        <v>PROPOSE DRUM TYPE</v>
      </c>
      <c r="BW15" s="56" t="str">
        <f>Sheet1!CV1</f>
        <v>DRUM CODE</v>
      </c>
      <c r="BX15" s="56" t="str">
        <f>Sheet1!CW1</f>
        <v>DRUM SIZE (FxbXtx Ft)</v>
      </c>
      <c r="BY15" s="56" t="str">
        <f>Sheet1!CX1</f>
        <v xml:space="preserve">PARTY STANDARD LENGTH (MTR) </v>
      </c>
      <c r="BZ15" s="29"/>
      <c r="CA15" s="29"/>
      <c r="CB15" s="26"/>
      <c r="CC15" s="29"/>
      <c r="CD15" s="13" t="s">
        <v>61</v>
      </c>
      <c r="CE15" s="5" t="s">
        <v>62</v>
      </c>
      <c r="CF15" s="6" t="s">
        <v>63</v>
      </c>
      <c r="CG15" s="5" t="s">
        <v>64</v>
      </c>
      <c r="CH15" s="5" t="s">
        <v>65</v>
      </c>
      <c r="CI15" s="6" t="s">
        <v>66</v>
      </c>
      <c r="CJ15" s="15" t="s">
        <v>67</v>
      </c>
      <c r="CK15" s="6" t="s">
        <v>68</v>
      </c>
      <c r="CL15" s="15" t="s">
        <v>69</v>
      </c>
    </row>
    <row r="16" spans="1:90" s="29" customFormat="1" x14ac:dyDescent="0.25">
      <c r="A16" s="31"/>
      <c r="B16" s="31"/>
      <c r="C16" s="31"/>
      <c r="D16" s="31"/>
      <c r="E16" s="5"/>
      <c r="F16" s="67">
        <v>3.5000000000000003E-2</v>
      </c>
      <c r="G16" s="5"/>
      <c r="H16" s="5"/>
      <c r="I16" s="5"/>
      <c r="J16" s="5"/>
      <c r="K16" s="5"/>
      <c r="L16" s="5"/>
      <c r="M16" s="5"/>
      <c r="N16" s="32">
        <v>215</v>
      </c>
      <c r="O16" s="32">
        <f>+IFERROR(VLOOKUP($O$15,Sheet1!J:L,2,0),0)</f>
        <v>0</v>
      </c>
      <c r="P16" s="32">
        <f>+IFERROR(VLOOKUP($P$15,Sheet1!J:M,2,0),0)</f>
        <v>0</v>
      </c>
      <c r="Q16" s="32">
        <f>+IFERROR(VLOOKUP($Q$15,Sheet1!J:M,2,0),0)</f>
        <v>0</v>
      </c>
      <c r="R16" s="32">
        <f>+IFERROR(VLOOKUP($R$15,Sheet1!J:M,2,0),0)</f>
        <v>0</v>
      </c>
      <c r="S16" s="32">
        <f>+IFERROR(VLOOKUP($S$15,Sheet1!N:Q,2,0),0)</f>
        <v>0</v>
      </c>
      <c r="T16" s="32">
        <f>+IFERROR(VLOOKUP($T$15,Sheet1!N:O,2,0),0)</f>
        <v>0</v>
      </c>
      <c r="U16" s="33">
        <f>+IFERROR(VLOOKUP($U$15,Sheet1!F:I,2,0),0)</f>
        <v>0</v>
      </c>
      <c r="V16" s="33">
        <f>+IFERROR(VLOOKUP($V$15,Sheet1!F:I,2,0),0)</f>
        <v>0</v>
      </c>
      <c r="W16" s="33">
        <f>+IFERROR(VLOOKUP($W$15,Sheet1!F:I,2,0),0)</f>
        <v>0</v>
      </c>
      <c r="X16" s="33">
        <f>+IFERROR(VLOOKUP($X$15,Sheet1!F:I,2,0),0)</f>
        <v>0</v>
      </c>
      <c r="Y16" s="33">
        <f>+IFERROR(VLOOKUP($Y$15,Sheet1!F:I,2,0),0)</f>
        <v>0</v>
      </c>
      <c r="Z16" s="33">
        <f>+IFERROR(VLOOKUP($Z$15,Sheet1!F:I,2,0),0)</f>
        <v>0</v>
      </c>
      <c r="AA16" s="33">
        <f>+IFERROR(VLOOKUP($AA$15,Sheet1!F:I,2,0),0)</f>
        <v>0</v>
      </c>
      <c r="AB16" s="33">
        <f>+IFERROR(VLOOKUP($AB$15,Sheet1!F:I,2,0),0)</f>
        <v>0</v>
      </c>
      <c r="AC16" s="33">
        <f>+IFERROR(VLOOKUP($AC$15,Sheet1!R:U,2,0),0)</f>
        <v>0</v>
      </c>
      <c r="AD16" s="33">
        <f>+IFERROR(VLOOKUP($AD$15,Sheet1!R:U,2,0),0)</f>
        <v>0</v>
      </c>
      <c r="AE16" s="33">
        <f>+IFERROR(VLOOKUP($AE$15,Sheet1!V:Y,2,0),0)</f>
        <v>0</v>
      </c>
      <c r="AF16" s="33">
        <f>+IFERROR(VLOOKUP($AF$15,Sheet1!V:Y,2,0),0)</f>
        <v>116</v>
      </c>
      <c r="AG16" s="33">
        <f>+IFERROR(VLOOKUP($AG$15,Sheet1!V:Y,2,0),0)</f>
        <v>0</v>
      </c>
      <c r="AH16" s="33">
        <f>+IFERROR(VLOOKUP($AH$15,Sheet1!V:Y,2,0),0)</f>
        <v>0</v>
      </c>
      <c r="AI16" s="33">
        <f>+IFERROR(VLOOKUP($AI$15,Sheet1!V:Y,2,0),0)</f>
        <v>0</v>
      </c>
      <c r="AJ16" s="33">
        <f>+IFERROR(VLOOKUP($AJ$15,Sheet1!V:Y,2,0),0)</f>
        <v>0</v>
      </c>
      <c r="AK16" s="34">
        <f>+IFERROR(VLOOKUP($AK$15,Sheet1!Z2:AA840,2,0),0)</f>
        <v>0</v>
      </c>
      <c r="AL16" s="33">
        <f>+IFERROR(VLOOKUP($AL$15,Sheet1!AD2:AG840,2,0),0)</f>
        <v>0</v>
      </c>
      <c r="AM16" s="33">
        <f>+IFERROR(VLOOKUP($AM$15,Sheet1!AD2:AG840,2,0),0)</f>
        <v>0</v>
      </c>
      <c r="AN16" s="33">
        <f>+IFERROR(VLOOKUP($AN$15,Sheet1!AD2:AG840,2,0),0)</f>
        <v>0</v>
      </c>
      <c r="AO16" s="33">
        <f>+IFERROR(VLOOKUP($AO$15,Sheet1!AD2:AG840,2,0),0)</f>
        <v>0</v>
      </c>
      <c r="AP16" s="33">
        <f>+IFERROR(VLOOKUP($AP$15,Sheet1!AD2:AG840,2,0),0)</f>
        <v>0</v>
      </c>
      <c r="AQ16" s="33">
        <v>63</v>
      </c>
      <c r="AR16" s="33">
        <f>+IFERROR(VLOOKUP($AR$15,Sheet1!AD2:AG840,2,0),0)</f>
        <v>0</v>
      </c>
      <c r="AS16" s="33">
        <f>+IFERROR(VLOOKUP($AS$15,Sheet1!AH2:AK840,2,0),0)</f>
        <v>0</v>
      </c>
      <c r="AT16" s="33">
        <f>+IFERROR(VLOOKUP($AT$15,Sheet1!AH2:AK840,2,0),0)</f>
        <v>0</v>
      </c>
      <c r="AU16" s="33">
        <f>+IFERROR(VLOOKUP($AU$15,Sheet1!AH2:AK840,2,0),0)</f>
        <v>0</v>
      </c>
      <c r="AV16" s="33">
        <f>+IFERROR(VLOOKUP($AV$15,Sheet1!AH2:AK840,2,0),0)</f>
        <v>0</v>
      </c>
      <c r="AW16" s="33">
        <f>+IFERROR(VLOOKUP($AW$15,Sheet1!AH2:AK840,2,0),0)</f>
        <v>0</v>
      </c>
      <c r="AX16" s="33">
        <v>79</v>
      </c>
      <c r="AY16" s="33">
        <f>+IFERROR(VLOOKUP($AY$15,Sheet1!AH2:AK840,2,0),0)</f>
        <v>0</v>
      </c>
      <c r="AZ16" s="33">
        <f>+IFERROR(VLOOKUP($AZ$15,Sheet1!AH2:AK840,2,0),0)</f>
        <v>0</v>
      </c>
      <c r="BA16" s="33">
        <f>+IFERROR(VLOOKUP($BA$15,Sheet1!AH2:AK840,2,0),0)</f>
        <v>0</v>
      </c>
      <c r="BB16" s="33">
        <f>+IFERROR(VLOOKUP($BB$15,Sheet1!AH2:AK840,2,0),0)</f>
        <v>0</v>
      </c>
      <c r="BC16" s="33">
        <f>+IFERROR(VLOOKUP($BC$15,Sheet1!AL2:AO840,2,0),0)</f>
        <v>0</v>
      </c>
      <c r="BD16" s="33">
        <f>+IFERROR(VLOOKUP($BD$15,Sheet1!AL2:AO840,2,0),0)</f>
        <v>0</v>
      </c>
      <c r="BE16" s="33">
        <f>+IFERROR(VLOOKUP($BE$15,Sheet1!AL2:AO840,2,0),0)</f>
        <v>0</v>
      </c>
      <c r="BF16" s="33">
        <v>95</v>
      </c>
      <c r="BG16" s="33">
        <f>+IFERROR(VLOOKUP($BG$15,Sheet1!AL2:AO840,2,0),0)</f>
        <v>0</v>
      </c>
      <c r="BH16" s="33">
        <f>+IFERROR(VLOOKUP($BH$15,Sheet1!AL2:AO840,2,0),0)</f>
        <v>0</v>
      </c>
      <c r="BI16" s="33">
        <f>+IFERROR(VLOOKUP($BI$15,Sheet1!AL2:AO840,2,0),0)</f>
        <v>0</v>
      </c>
      <c r="BJ16" s="33">
        <f>+IFERROR(VLOOKUP($BJ$15,Sheet1!AL2:AO840,2,0),0)</f>
        <v>0</v>
      </c>
      <c r="BK16" s="33">
        <f>+IFERROR(VLOOKUP($BK$15,Sheet1!AL2:AO840,2,0),0)</f>
        <v>0</v>
      </c>
      <c r="BL16" s="33">
        <f>+IFERROR(VLOOKUP($BL$15,Sheet1!AL2:AO840,2,0),0)</f>
        <v>0</v>
      </c>
      <c r="BM16" s="34">
        <f>+IFERROR(VLOOKUP($BM$15,Sheet1!AP2:AS840,2,0),0)</f>
        <v>0</v>
      </c>
      <c r="BN16" s="34">
        <f>+IFERROR(VLOOKUP($BN$15,Sheet1!AT2:AW840,2,0),0)</f>
        <v>0</v>
      </c>
      <c r="BO16" s="35">
        <f>+IFERROR(VLOOKUP($BO$15,Sheet1!AX2:BA840,2,0),0)</f>
        <v>0</v>
      </c>
      <c r="BP16" s="36">
        <f>+IFERROR(VLOOKUP($BP$15,Sheet1!BB2:BE840,2,0),0)</f>
        <v>0</v>
      </c>
      <c r="BQ16" s="35">
        <f>+IFERROR(VLOOKUP($BQ$15,Sheet1!BF2:BI840,2,0),0)</f>
        <v>0</v>
      </c>
      <c r="BR16" s="35">
        <f>+IFERROR(VLOOKUP($BR$15,Sheet1!BJ2:BM840,2,0),0)</f>
        <v>0</v>
      </c>
      <c r="BS16" s="35">
        <f>+IFERROR(VLOOKUP($BS$15,Sheet1!BN2:BQ840,2,0),0)</f>
        <v>0</v>
      </c>
      <c r="BT16" s="36">
        <f>+IFERROR(VLOOKUP($BT$15,Sheet1!BR2:BU840,2,0),0)</f>
        <v>0</v>
      </c>
      <c r="BU16" s="35">
        <f>+IFERROR(VLOOKUP($BU$15,Sheet1!BV2:BY840,2,0),0)</f>
        <v>0</v>
      </c>
      <c r="BV16" s="55"/>
      <c r="BW16" s="55"/>
      <c r="BX16" s="55"/>
      <c r="BY16" s="55"/>
      <c r="CD16" s="5"/>
      <c r="CE16" s="5"/>
      <c r="CF16" s="5"/>
      <c r="CG16" s="5"/>
      <c r="CH16" s="5"/>
      <c r="CI16" s="5"/>
      <c r="CJ16" s="5"/>
      <c r="CK16" s="5"/>
      <c r="CL16" s="5"/>
    </row>
    <row r="17" spans="1:90" ht="38.25" x14ac:dyDescent="0.25">
      <c r="A17" s="1" t="str">
        <f>Sheet1!A2</f>
        <v>ENQ-11226-22-23</v>
      </c>
      <c r="B17" s="54">
        <f>Sheet1!B2</f>
        <v>45194</v>
      </c>
      <c r="C17" s="1" t="str">
        <f>Sheet1!C2</f>
        <v>FA0900018</v>
      </c>
      <c r="D17" s="1" t="str">
        <f>Sheet1!D2</f>
        <v>4 CORE X 35 SQ. MM. AL/ARD - STRIP (XLPE)</v>
      </c>
      <c r="E17" s="3">
        <f t="shared" ref="E17:E22" si="0">CH17+CJ17+CL17</f>
        <v>215168.86223999999</v>
      </c>
      <c r="F17" s="65">
        <f t="shared" ref="F17:F23" si="1">ROUND(E17*$F$16,2)</f>
        <v>7530.91</v>
      </c>
      <c r="G17" s="9">
        <f t="shared" ref="G17:G22" si="2">E17+F17</f>
        <v>222699.77223999999</v>
      </c>
      <c r="H17" s="7">
        <v>0.18</v>
      </c>
      <c r="I17" s="9">
        <f t="shared" ref="I17:I22" si="3">G17*H17</f>
        <v>40085.959003199998</v>
      </c>
      <c r="J17" s="9">
        <f t="shared" ref="J17:J22" si="4">G17+I17</f>
        <v>262785.73124320002</v>
      </c>
      <c r="K17" s="1">
        <f>Sheet1!CS2</f>
        <v>0.5</v>
      </c>
      <c r="L17" s="1" t="str">
        <f>Sheet1!CT2</f>
        <v>KMS</v>
      </c>
      <c r="M17" s="3">
        <f t="shared" ref="M17:M22" si="5">J17*K17</f>
        <v>131392.86562160001</v>
      </c>
      <c r="N17" s="2">
        <f>+IFERROR(VLOOKUP($N$15,Sheet1!J2:L2,3,0),0)</f>
        <v>378</v>
      </c>
      <c r="O17" s="2">
        <f>+IFERROR(VLOOKUP($O$15,Sheet1!J2:L2,3,0),0)</f>
        <v>0</v>
      </c>
      <c r="P17" s="2">
        <f>+IFERROR(VLOOKUP($P$15,Sheet1!J2:M2,3,0),0)</f>
        <v>0</v>
      </c>
      <c r="Q17" s="2">
        <f>+IFERROR(VLOOKUP($Q$15,Sheet1!J2:M2,3,0),0)</f>
        <v>0</v>
      </c>
      <c r="R17" s="2">
        <f>+IFERROR(VLOOKUP($R$15,Sheet1!J2:M2,3,0),0)</f>
        <v>0</v>
      </c>
      <c r="S17" s="2">
        <f>+IFERROR(VLOOKUP($S$15,Sheet1!N2:Q2,3,0),0)</f>
        <v>0</v>
      </c>
      <c r="T17" s="2">
        <f>+IFERROR(VLOOKUP($T$15,Sheet1!N2:Q2,3,0),0)</f>
        <v>0</v>
      </c>
      <c r="U17" s="2">
        <f>+IFERROR(VLOOKUP($U$15,Sheet1!F2:I2,3,0),0)</f>
        <v>0</v>
      </c>
      <c r="V17" s="2">
        <f>+IFERROR(VLOOKUP($V$15,Sheet1!F2:I2,3,0),0)</f>
        <v>0</v>
      </c>
      <c r="W17" s="2">
        <f>+IFERROR(VLOOKUP($W$15,Sheet1!F2:I2,3,0),0)</f>
        <v>0</v>
      </c>
      <c r="X17" s="2">
        <f>+IFERROR(VLOOKUP($X$15,Sheet1!F2:I2,3,0),0)</f>
        <v>0</v>
      </c>
      <c r="Y17" s="2">
        <f>+IFERROR(VLOOKUP($Y$15,Sheet1!F2:I2,3,0),0)</f>
        <v>0</v>
      </c>
      <c r="Z17" s="2">
        <f>+IFERROR(VLOOKUP($Z$15,Sheet1!F2:I2,3,0),0)</f>
        <v>0</v>
      </c>
      <c r="AA17" s="2">
        <f>+IFERROR(VLOOKUP($AA$15,Sheet1!F2:I2,3,0),0)</f>
        <v>0</v>
      </c>
      <c r="AB17" s="2">
        <f>+IFERROR(VLOOKUP($AB$15,Sheet1!F2:I2,3,0),0)</f>
        <v>0</v>
      </c>
      <c r="AC17" s="2">
        <f>+IFERROR(VLOOKUP($AC$15,Sheet1!R2:U2,3,0),0)</f>
        <v>0</v>
      </c>
      <c r="AD17" s="15">
        <f>+IFERROR(VLOOKUP($AD$15,Sheet1!R2:U2,2,0),0)</f>
        <v>0</v>
      </c>
      <c r="AE17" s="2">
        <f>+IFERROR(VLOOKUP($AE$15,Sheet1!V2:Y2,3,0),0)</f>
        <v>0</v>
      </c>
      <c r="AF17" s="15">
        <f>+IFERROR(VLOOKUP($AF$15,Sheet1!V2:Y2,3,0),0)</f>
        <v>109</v>
      </c>
      <c r="AG17" s="15">
        <f>+IFERROR(VLOOKUP($AG$15,Sheet1!V2:Y2,3,0),0)</f>
        <v>0</v>
      </c>
      <c r="AH17" s="15">
        <f>+IFERROR(VLOOKUP($AH$15,Sheet1!V2:Y2,3,0),0)</f>
        <v>0</v>
      </c>
      <c r="AI17" s="15">
        <f>+IFERROR(VLOOKUP($AI$15,Sheet1!V2:Y2,3,0),0)</f>
        <v>0</v>
      </c>
      <c r="AJ17" s="15">
        <f>+IFERROR(VLOOKUP($AJ$15,Sheet1!V2:Y2,3,0),0)</f>
        <v>0</v>
      </c>
      <c r="AK17" s="15">
        <f>+IFERROR(VLOOKUP($AK$15,Sheet1!Z2:AB2,3,0),0)</f>
        <v>0</v>
      </c>
      <c r="AL17" s="15">
        <f>+IFERROR(VLOOKUP($AL$15,Sheet1!AD2:AG2,3,0),0)</f>
        <v>0</v>
      </c>
      <c r="AM17" s="15">
        <f>+IFERROR(VLOOKUP($AM$15,Sheet1!AD2:AG2,3,0),0)</f>
        <v>0</v>
      </c>
      <c r="AN17" s="15">
        <f>+IFERROR(VLOOKUP($AN$15,Sheet1!AD2:AG2,3,0),0)</f>
        <v>0</v>
      </c>
      <c r="AO17" s="15">
        <f>+IFERROR(VLOOKUP($AO$15,Sheet1!AD2:AG2,3,0),0)</f>
        <v>0</v>
      </c>
      <c r="AP17" s="15">
        <f>+IFERROR(VLOOKUP($AP$15,Sheet1!AD2:AG2,3,0),0)</f>
        <v>0</v>
      </c>
      <c r="AQ17" s="15">
        <f>+IFERROR(VLOOKUP($AQ$15,Sheet1!AD2:AG2,3,0),0)</f>
        <v>51</v>
      </c>
      <c r="AR17" s="15">
        <f>+IFERROR(VLOOKUP($AR$15,Sheet1!AD2:AG2,3,0),0)</f>
        <v>0</v>
      </c>
      <c r="AS17" s="15">
        <f>+IFERROR(VLOOKUP($AS$15,Sheet1!AH2:AK2,3,0),0)</f>
        <v>0</v>
      </c>
      <c r="AT17" s="15">
        <f>+IFERROR(VLOOKUP($AT$15,Sheet1!AH2:AK2,3,0),0)</f>
        <v>0</v>
      </c>
      <c r="AU17" s="15">
        <f>+IFERROR(VLOOKUP($AU$15,Sheet1!AH2:AK2,3,0),0)</f>
        <v>0</v>
      </c>
      <c r="AV17" s="15">
        <f>+IFERROR(VLOOKUP($AV$15,Sheet1!AH2:AK2,3,0),0)</f>
        <v>0</v>
      </c>
      <c r="AW17" s="15">
        <f>+IFERROR(VLOOKUP($AW$15,Sheet1!AH2:AK2,3,0),0)</f>
        <v>0</v>
      </c>
      <c r="AX17" s="15">
        <f>+IFERROR(VLOOKUP($AX$15,Sheet1!AH2:AK2,3,0),0)</f>
        <v>407</v>
      </c>
      <c r="AY17" s="15">
        <f>+IFERROR(VLOOKUP($AY$15,Sheet1!AH2:AK2,3,0),0)</f>
        <v>0</v>
      </c>
      <c r="AZ17" s="15">
        <f>+IFERROR(VLOOKUP($AZ$15,Sheet1!AH2:AK2,3,0),0)</f>
        <v>0</v>
      </c>
      <c r="BA17" s="15">
        <f>+IFERROR(VLOOKUP($BA$15,Sheet1!AH2:AK2,3,0),0)</f>
        <v>0</v>
      </c>
      <c r="BB17" s="15">
        <f>+IFERROR(VLOOKUP($BB$15,Sheet1!AH2:AK2,3,0),0)</f>
        <v>0</v>
      </c>
      <c r="BC17" s="15">
        <f>+IFERROR(VLOOKUP($BC$15,Sheet1!AL2:AO2,3,0),0)</f>
        <v>0</v>
      </c>
      <c r="BD17" s="15">
        <f>+IFERROR(VLOOKUP($BD$15,Sheet1!AL2:AO2,3,0),0)</f>
        <v>0</v>
      </c>
      <c r="BE17" s="15">
        <f>+IFERROR(VLOOKUP($BE$15,Sheet1!AL2:AO2,3,0),0)</f>
        <v>0</v>
      </c>
      <c r="BF17" s="15">
        <f>+IFERROR(VLOOKUP($BF$15,Sheet1!AL2:AO2,3,0),0)</f>
        <v>191</v>
      </c>
      <c r="BG17" s="15">
        <f>+IFERROR(VLOOKUP($BG$15,Sheet1!AL2:AO2,3,0),0)</f>
        <v>0</v>
      </c>
      <c r="BH17" s="15">
        <f>+IFERROR(VLOOKUP($BH$15,Sheet1!AL2:AO2,3,0),0)</f>
        <v>0</v>
      </c>
      <c r="BI17" s="15">
        <f>+IFERROR(VLOOKUP($BI$15,Sheet1!AL2:AO2,3,0),0)</f>
        <v>0</v>
      </c>
      <c r="BJ17" s="15">
        <f>+IFERROR(VLOOKUP($BJ$15,Sheet1!AL2:AO2,3,0),0)</f>
        <v>0</v>
      </c>
      <c r="BK17" s="15">
        <f>+IFERROR(VLOOKUP($BK$15,Sheet1!AL2:AO2,3,0),0)</f>
        <v>0</v>
      </c>
      <c r="BL17" s="15">
        <f>+IFERROR(VLOOKUP($BL$15,Sheet1!AL2:AO2,3,0),0)</f>
        <v>0</v>
      </c>
      <c r="BM17" s="15">
        <f>+IFERROR(VLOOKUP($BM$15,Sheet1!AP2:AS2,3,0),0)</f>
        <v>0</v>
      </c>
      <c r="BN17" s="15">
        <f>+IFERROR(VLOOKUP($BN$15,Sheet1!AT2:AW2,3,0),0)</f>
        <v>0</v>
      </c>
      <c r="BO17" s="15">
        <f>+IFERROR(VLOOKUP($BO$15,Sheet1!AX2:BA2,3,0),0)</f>
        <v>0</v>
      </c>
      <c r="BP17" s="15">
        <f>+IFERROR(VLOOKUP($BP$15,Sheet1!BB2:BE2,3,0),0)</f>
        <v>0</v>
      </c>
      <c r="BQ17" s="15">
        <f>+IFERROR(VLOOKUP($BQ$15,Sheet1!BF2:BI2,3,0),0)</f>
        <v>0</v>
      </c>
      <c r="BR17" s="15">
        <f>+IFERROR(VLOOKUP($BR$15,Sheet1!BJ2:BM2,3,0),0)</f>
        <v>0</v>
      </c>
      <c r="BS17" s="15">
        <f>+IFERROR(VLOOKUP($BS$15,Sheet1!BN2:BQ2,3,0),0)</f>
        <v>0</v>
      </c>
      <c r="BT17" s="15">
        <f>+IFERROR(VLOOKUP($BT$15,Sheet1!BR2:BU2,3,0),0)</f>
        <v>0</v>
      </c>
      <c r="BU17" s="15">
        <f>+IFERROR(VLOOKUP($BU$15,Sheet1!BV2:BY2,3,0),0)</f>
        <v>0</v>
      </c>
      <c r="BV17" s="15" t="str">
        <f>Sheet1!E2</f>
        <v>WOOD</v>
      </c>
      <c r="BW17" s="15" t="str">
        <f>Sheet1!CV2</f>
        <v>MD0100015</v>
      </c>
      <c r="BX17" s="15" t="str">
        <f>Sheet1!CW2</f>
        <v>DRUM - 48 X 20 X 28 X 2.25 - RDSO</v>
      </c>
      <c r="BY17" s="15">
        <v>500</v>
      </c>
      <c r="BZ17" s="3">
        <f>Sheet1!BZ2</f>
        <v>7317.08</v>
      </c>
      <c r="CA17" s="3">
        <f t="shared" ref="CA17:CA22" si="6">SUMPRODUCT($N$16:$BU$16,N17:BU17)+BZ17</f>
        <v>154742.07999999999</v>
      </c>
      <c r="CB17" s="27">
        <f>Sheet1!CB2</f>
        <v>0</v>
      </c>
      <c r="CC17" s="3">
        <f t="shared" ref="CC17:CC22" si="7">CA17*CB17</f>
        <v>0</v>
      </c>
      <c r="CD17" s="51">
        <v>0.35</v>
      </c>
      <c r="CE17" s="3">
        <f t="shared" ref="CE17:CE22" si="8">CA17*CD17</f>
        <v>54159.727999999996</v>
      </c>
      <c r="CF17" s="51">
        <v>0</v>
      </c>
      <c r="CG17" s="3">
        <f t="shared" ref="CG17:CG22" si="9">CA17*CF17</f>
        <v>0</v>
      </c>
      <c r="CH17" s="3">
        <f t="shared" ref="CH17:CH22" si="10">CA17+CC17+CE17+CG17</f>
        <v>208901.80799999999</v>
      </c>
      <c r="CI17" s="51">
        <v>0.02</v>
      </c>
      <c r="CJ17" s="1">
        <f t="shared" ref="CJ17:CJ22" si="11">CH17*CI17</f>
        <v>4178.0361599999997</v>
      </c>
      <c r="CK17" s="51">
        <v>0.01</v>
      </c>
      <c r="CL17" s="1">
        <f t="shared" ref="CL17:CL22" si="12">CH17*CK17</f>
        <v>2089.0180799999998</v>
      </c>
    </row>
    <row r="18" spans="1:90" ht="38.25" x14ac:dyDescent="0.25">
      <c r="A18" s="1" t="str">
        <f>Sheet1!A4</f>
        <v>ENQ-11226-22-23</v>
      </c>
      <c r="B18" s="54">
        <f>Sheet1!B4</f>
        <v>45194</v>
      </c>
      <c r="C18" s="1" t="str">
        <f>Sheet1!C4</f>
        <v>FA1000016</v>
      </c>
      <c r="D18" s="1" t="str">
        <f>Sheet1!D4</f>
        <v>4 CORE X 35 SQ. MM. AL/UNARD.(XLPE)</v>
      </c>
      <c r="E18" s="3">
        <f t="shared" si="0"/>
        <v>175347.72323999999</v>
      </c>
      <c r="F18" s="65">
        <f t="shared" si="1"/>
        <v>6137.17</v>
      </c>
      <c r="G18" s="9">
        <f t="shared" si="2"/>
        <v>181484.89324</v>
      </c>
      <c r="H18" s="7">
        <v>0.18</v>
      </c>
      <c r="I18" s="9">
        <f t="shared" si="3"/>
        <v>32667.2807832</v>
      </c>
      <c r="J18" s="9">
        <f t="shared" si="4"/>
        <v>214152.1740232</v>
      </c>
      <c r="K18" s="1">
        <f>Sheet1!CS4</f>
        <v>0.5</v>
      </c>
      <c r="L18" s="1" t="str">
        <f>Sheet1!CT4</f>
        <v>KMS</v>
      </c>
      <c r="M18" s="3">
        <f t="shared" si="5"/>
        <v>107076.0870116</v>
      </c>
      <c r="N18" s="2">
        <f>+IFERROR(VLOOKUP($N$15,Sheet1!J4:L4,3,0),0)</f>
        <v>378</v>
      </c>
      <c r="O18" s="2">
        <f>+IFERROR(VLOOKUP($O$15,Sheet1!J4:L4,3,0),0)</f>
        <v>0</v>
      </c>
      <c r="P18" s="2">
        <f>+IFERROR(VLOOKUP($P$15,Sheet1!J4:M4,3,0),0)</f>
        <v>0</v>
      </c>
      <c r="Q18" s="2">
        <f>+IFERROR(VLOOKUP($Q$15,Sheet1!J4:M4,3,0),0)</f>
        <v>0</v>
      </c>
      <c r="R18" s="2">
        <f>+IFERROR(VLOOKUP($R$15,Sheet1!J4:M4,3,0),0)</f>
        <v>0</v>
      </c>
      <c r="S18" s="2">
        <f>+IFERROR(VLOOKUP($S$15,Sheet1!N4:Q4,3,0),0)</f>
        <v>0</v>
      </c>
      <c r="T18" s="2">
        <f>+IFERROR(VLOOKUP($T$15,Sheet1!N4:Q4,3,0),0)</f>
        <v>0</v>
      </c>
      <c r="U18" s="2">
        <f>+IFERROR(VLOOKUP($U$15,Sheet1!F4:I4,3,0),0)</f>
        <v>0</v>
      </c>
      <c r="V18" s="2">
        <f>+IFERROR(VLOOKUP($V$15,Sheet1!F4:I4,3,0),0)</f>
        <v>0</v>
      </c>
      <c r="W18" s="2">
        <f>+IFERROR(VLOOKUP($W$15,Sheet1!F4:I4,3,0),0)</f>
        <v>0</v>
      </c>
      <c r="X18" s="2">
        <f>+IFERROR(VLOOKUP($X$15,Sheet1!F4:I4,3,0),0)</f>
        <v>0</v>
      </c>
      <c r="Y18" s="2">
        <f>+IFERROR(VLOOKUP($Y$15,Sheet1!F4:I4,3,0),0)</f>
        <v>0</v>
      </c>
      <c r="Z18" s="2">
        <f>+IFERROR(VLOOKUP($Z$15,Sheet1!F4:I4,3,0),0)</f>
        <v>0</v>
      </c>
      <c r="AA18" s="2">
        <f>+IFERROR(VLOOKUP($AA$15,Sheet1!F4:I4,3,0),0)</f>
        <v>0</v>
      </c>
      <c r="AB18" s="2">
        <f>+IFERROR(VLOOKUP($AB$15,Sheet1!F4:I4,3,0),0)</f>
        <v>0</v>
      </c>
      <c r="AC18" s="2">
        <f>+IFERROR(VLOOKUP($AC$15,Sheet1!R4:U4,3,0),0)</f>
        <v>0</v>
      </c>
      <c r="AD18" s="15">
        <f>+IFERROR(VLOOKUP($AD$15,Sheet1!R4:U4,2,0),0)</f>
        <v>0</v>
      </c>
      <c r="AE18" s="2">
        <f>+IFERROR(VLOOKUP($AE$15,Sheet1!V4:Y4,3,0),0)</f>
        <v>0</v>
      </c>
      <c r="AF18" s="15">
        <f>+IFERROR(VLOOKUP($AF$15,Sheet1!V4:Y4,3,0),0)</f>
        <v>109</v>
      </c>
      <c r="AG18" s="15">
        <f>+IFERROR(VLOOKUP($AG$15,Sheet1!V4:Y4,3,0),0)</f>
        <v>0</v>
      </c>
      <c r="AH18" s="15">
        <f>+IFERROR(VLOOKUP($AH$15,Sheet1!V4:Y4,3,0),0)</f>
        <v>0</v>
      </c>
      <c r="AI18" s="15">
        <f>+IFERROR(VLOOKUP($AI$15,Sheet1!V4:Y4,3,0),0)</f>
        <v>0</v>
      </c>
      <c r="AJ18" s="15">
        <f>+IFERROR(VLOOKUP($AJ$15,Sheet1!V4:Y4,3,0),0)</f>
        <v>0</v>
      </c>
      <c r="AK18" s="15">
        <f>+IFERROR(VLOOKUP($AK$15,Sheet1!Z4:AB4,3,0),0)</f>
        <v>0</v>
      </c>
      <c r="AL18" s="15">
        <f>+IFERROR(VLOOKUP($AL$15,Sheet1!AD4:AG4,3,0),0)</f>
        <v>0</v>
      </c>
      <c r="AM18" s="15">
        <f>+IFERROR(VLOOKUP($AM$15,Sheet1!AD4:AG4,3,0),0)</f>
        <v>0</v>
      </c>
      <c r="AN18" s="15">
        <f>+IFERROR(VLOOKUP($AN$15,Sheet1!AD4:AG4,3,0),0)</f>
        <v>0</v>
      </c>
      <c r="AO18" s="15">
        <f>+IFERROR(VLOOKUP($AO$15,Sheet1!AD4:AG4,3,0),0)</f>
        <v>0</v>
      </c>
      <c r="AP18" s="15">
        <f>+IFERROR(VLOOKUP($AP$15,Sheet1!AD4:AG4,3,0),0)</f>
        <v>0</v>
      </c>
      <c r="AQ18" s="15">
        <f>+IFERROR(VLOOKUP($AQ$15,Sheet1!AD4:AG4,3,0),0)</f>
        <v>51</v>
      </c>
      <c r="AR18" s="15">
        <f>+IFERROR(VLOOKUP($AR$15,Sheet1!AD4:AG4,3,0),0)</f>
        <v>0</v>
      </c>
      <c r="AS18" s="15">
        <f>+IFERROR(VLOOKUP($AS$15,Sheet1!AH4:AK4,3,0),0)</f>
        <v>0</v>
      </c>
      <c r="AT18" s="15">
        <f>+IFERROR(VLOOKUP($AT$15,Sheet1!AH4:AK4,3,0),0)</f>
        <v>0</v>
      </c>
      <c r="AU18" s="15">
        <f>+IFERROR(VLOOKUP($AU$15,Sheet1!AH4:AK4,3,0),0)</f>
        <v>0</v>
      </c>
      <c r="AV18" s="15">
        <f>+IFERROR(VLOOKUP($AV$15,Sheet1!AH4:AK4,3,0),0)</f>
        <v>0</v>
      </c>
      <c r="AW18" s="15">
        <f>+IFERROR(VLOOKUP($AW$15,Sheet1!AH4:AK4,3,0),0)</f>
        <v>0</v>
      </c>
      <c r="AX18" s="15">
        <f>+IFERROR(VLOOKUP($AX$15,Sheet1!AH4:AK4,3,0),0)</f>
        <v>0</v>
      </c>
      <c r="AY18" s="15">
        <f>+IFERROR(VLOOKUP($AY$15,Sheet1!AH4:AK4,3,0),0)</f>
        <v>0</v>
      </c>
      <c r="AZ18" s="15">
        <f>+IFERROR(VLOOKUP($AZ$15,Sheet1!AH4:AK4,3,0),0)</f>
        <v>0</v>
      </c>
      <c r="BA18" s="15">
        <f>+IFERROR(VLOOKUP($BA$15,Sheet1!AH4:AK4,3,0),0)</f>
        <v>0</v>
      </c>
      <c r="BB18" s="15">
        <f>+IFERROR(VLOOKUP($BB$15,Sheet1!AH4:AK4,3,0),0)</f>
        <v>0</v>
      </c>
      <c r="BC18" s="15">
        <f>+IFERROR(VLOOKUP($BC$15,Sheet1!AL4:AO4,3,0),0)</f>
        <v>0</v>
      </c>
      <c r="BD18" s="15">
        <f>+IFERROR(VLOOKUP($BD$15,Sheet1!AL4:AO4,3,0),0)</f>
        <v>0</v>
      </c>
      <c r="BE18" s="15">
        <f>+IFERROR(VLOOKUP($BE$15,Sheet1!AL4:AO4,3,0),0)</f>
        <v>0</v>
      </c>
      <c r="BF18" s="15">
        <f>+IFERROR(VLOOKUP($BF$15,Sheet1!AL4:AO4,3,0),0)</f>
        <v>228</v>
      </c>
      <c r="BG18" s="15">
        <f>+IFERROR(VLOOKUP($BG$15,Sheet1!AL4:AO4,3,0),0)</f>
        <v>0</v>
      </c>
      <c r="BH18" s="15">
        <f>+IFERROR(VLOOKUP($BH$15,Sheet1!AL4:AO4,3,0),0)</f>
        <v>0</v>
      </c>
      <c r="BI18" s="15">
        <f>+IFERROR(VLOOKUP($BI$15,Sheet1!AL4:AO4,3,0),0)</f>
        <v>0</v>
      </c>
      <c r="BJ18" s="15">
        <f>+IFERROR(VLOOKUP($BJ$15,Sheet1!AL4:AO4,3,0),0)</f>
        <v>0</v>
      </c>
      <c r="BK18" s="15">
        <f>+IFERROR(VLOOKUP($BK$15,Sheet1!AL4:AO4,3,0),0)</f>
        <v>0</v>
      </c>
      <c r="BL18" s="15">
        <f>+IFERROR(VLOOKUP($BL$15,Sheet1!AL4:AO4,3,0),0)</f>
        <v>0</v>
      </c>
      <c r="BM18" s="15">
        <f>+IFERROR(VLOOKUP($BM$15,Sheet1!AP4:AS4,3,0),0)</f>
        <v>0</v>
      </c>
      <c r="BN18" s="15">
        <f>+IFERROR(VLOOKUP($BN$15,Sheet1!AT4:AW4,3,0),0)</f>
        <v>0</v>
      </c>
      <c r="BO18" s="15">
        <f>+IFERROR(VLOOKUP($BO$15,Sheet1!AX4:BA4,3,0),0)</f>
        <v>0</v>
      </c>
      <c r="BP18" s="15">
        <f>+IFERROR(VLOOKUP($BP$15,Sheet1!BB4:BE4,3,0),0)</f>
        <v>0</v>
      </c>
      <c r="BQ18" s="15">
        <f>+IFERROR(VLOOKUP($BQ$15,Sheet1!BF4:BI4,3,0),0)</f>
        <v>0</v>
      </c>
      <c r="BR18" s="15">
        <f>+IFERROR(VLOOKUP($BR$15,Sheet1!BJ4:BM4,3,0),0)</f>
        <v>0</v>
      </c>
      <c r="BS18" s="15">
        <f>+IFERROR(VLOOKUP($BS$15,Sheet1!BN4:BQ4,3,0),0)</f>
        <v>0</v>
      </c>
      <c r="BT18" s="15">
        <f>+IFERROR(VLOOKUP($BT$15,Sheet1!BR4:BU4,3,0),0)</f>
        <v>0</v>
      </c>
      <c r="BU18" s="15">
        <f>+IFERROR(VLOOKUP($BU$15,Sheet1!BV4:BY4,3,0),0)</f>
        <v>0</v>
      </c>
      <c r="BV18" s="15" t="str">
        <f>Sheet1!E4</f>
        <v>WOOD</v>
      </c>
      <c r="BW18" s="15" t="str">
        <f>Sheet1!CV4</f>
        <v>MD0100015</v>
      </c>
      <c r="BX18" s="15" t="str">
        <f>Sheet1!CW4</f>
        <v>DRUM - 48 X 20 X 28 X 2.25 - RDSO</v>
      </c>
      <c r="BY18" s="15">
        <v>500</v>
      </c>
      <c r="BZ18" s="3">
        <f>Sheet1!BZ4</f>
        <v>7317.08</v>
      </c>
      <c r="CA18" s="3">
        <f t="shared" si="6"/>
        <v>126104.08</v>
      </c>
      <c r="CB18" s="27">
        <f>Sheet1!CB4</f>
        <v>0</v>
      </c>
      <c r="CC18" s="3">
        <f t="shared" si="7"/>
        <v>0</v>
      </c>
      <c r="CD18" s="51">
        <v>0.35</v>
      </c>
      <c r="CE18" s="3">
        <f t="shared" si="8"/>
        <v>44136.428</v>
      </c>
      <c r="CF18" s="51">
        <v>0</v>
      </c>
      <c r="CG18" s="3">
        <f t="shared" si="9"/>
        <v>0</v>
      </c>
      <c r="CH18" s="3">
        <f t="shared" si="10"/>
        <v>170240.508</v>
      </c>
      <c r="CI18" s="51">
        <v>0.02</v>
      </c>
      <c r="CJ18" s="1">
        <f t="shared" si="11"/>
        <v>3404.81016</v>
      </c>
      <c r="CK18" s="51">
        <v>0.01</v>
      </c>
      <c r="CL18" s="1">
        <f t="shared" si="12"/>
        <v>1702.40508</v>
      </c>
    </row>
    <row r="19" spans="1:90" ht="30" x14ac:dyDescent="0.25">
      <c r="A19" s="1" t="str">
        <f>Sheet1!A6</f>
        <v>ENQ-11226-22-23</v>
      </c>
      <c r="B19" s="54">
        <f>Sheet1!B6</f>
        <v>45194</v>
      </c>
      <c r="C19" s="1" t="str">
        <f>Sheet1!C6</f>
        <v>FA0900013</v>
      </c>
      <c r="D19" s="1" t="str">
        <f>Sheet1!D6</f>
        <v>4 CORE X 16 SQ. MM. ALU/ARD - STRIP (XLPE)</v>
      </c>
      <c r="E19" s="3">
        <f t="shared" si="0"/>
        <v>124789.69944</v>
      </c>
      <c r="F19" s="65">
        <f t="shared" si="1"/>
        <v>4367.6400000000003</v>
      </c>
      <c r="G19" s="9">
        <f t="shared" si="2"/>
        <v>129157.33944</v>
      </c>
      <c r="H19" s="7">
        <v>0.18</v>
      </c>
      <c r="I19" s="9">
        <f t="shared" si="3"/>
        <v>23248.321099199999</v>
      </c>
      <c r="J19" s="9">
        <f t="shared" si="4"/>
        <v>152405.66053920001</v>
      </c>
      <c r="K19" s="1">
        <f>Sheet1!CS6</f>
        <v>2</v>
      </c>
      <c r="L19" s="1" t="str">
        <f>Sheet1!CT6</f>
        <v>KMS</v>
      </c>
      <c r="M19" s="3">
        <f t="shared" si="5"/>
        <v>304811.32107840001</v>
      </c>
      <c r="N19" s="2">
        <v>173</v>
      </c>
      <c r="O19" s="2">
        <f>+IFERROR(VLOOKUP($O$15,Sheet1!J6:L6,3,0),0)</f>
        <v>0</v>
      </c>
      <c r="P19" s="2">
        <f>+IFERROR(VLOOKUP($P$15,Sheet1!J6:M6,3,0),0)</f>
        <v>0</v>
      </c>
      <c r="Q19" s="2">
        <f>+IFERROR(VLOOKUP($Q$15,Sheet1!J6:M6,3,0),0)</f>
        <v>0</v>
      </c>
      <c r="R19" s="2">
        <f>+IFERROR(VLOOKUP($R$15,Sheet1!J6:M6,3,0),0)</f>
        <v>0</v>
      </c>
      <c r="S19" s="2">
        <f>+IFERROR(VLOOKUP($S$15,Sheet1!N6:Q6,3,0),0)</f>
        <v>0</v>
      </c>
      <c r="T19" s="2">
        <f>+IFERROR(VLOOKUP($T$15,Sheet1!N6:Q6,3,0),0)</f>
        <v>0</v>
      </c>
      <c r="U19" s="2">
        <f>+IFERROR(VLOOKUP($U$15,Sheet1!F6:I6,3,0),0)</f>
        <v>0</v>
      </c>
      <c r="V19" s="2">
        <f>+IFERROR(VLOOKUP($V$15,Sheet1!F6:I6,3,0),0)</f>
        <v>0</v>
      </c>
      <c r="W19" s="2">
        <f>+IFERROR(VLOOKUP($W$15,Sheet1!F6:I6,3,0),0)</f>
        <v>0</v>
      </c>
      <c r="X19" s="2">
        <f>+IFERROR(VLOOKUP($X$15,Sheet1!F6:I6,3,0),0)</f>
        <v>0</v>
      </c>
      <c r="Y19" s="2">
        <f>+IFERROR(VLOOKUP($Y$15,Sheet1!F6:I6,3,0),0)</f>
        <v>0</v>
      </c>
      <c r="Z19" s="2">
        <f>+IFERROR(VLOOKUP($Z$15,Sheet1!F6:I6,3,0),0)</f>
        <v>0</v>
      </c>
      <c r="AA19" s="2">
        <f>+IFERROR(VLOOKUP($AA$15,Sheet1!F6:I6,3,0),0)</f>
        <v>0</v>
      </c>
      <c r="AB19" s="2">
        <f>+IFERROR(VLOOKUP($AB$15,Sheet1!F6:I6,3,0),0)</f>
        <v>0</v>
      </c>
      <c r="AC19" s="2">
        <f>+IFERROR(VLOOKUP($AC$15,Sheet1!R6:U6,3,0),0)</f>
        <v>0</v>
      </c>
      <c r="AD19" s="15">
        <f>+IFERROR(VLOOKUP($AD$15,Sheet1!R6:U6,2,0),0)</f>
        <v>0</v>
      </c>
      <c r="AE19" s="2">
        <f>+IFERROR(VLOOKUP($AE$15,Sheet1!V6:Y6,3,0),0)</f>
        <v>0</v>
      </c>
      <c r="AF19" s="84">
        <f>+IFERROR(VLOOKUP($AF$15,Sheet1!V6:Y6,3,0),0)</f>
        <v>63</v>
      </c>
      <c r="AG19" s="15">
        <f>+IFERROR(VLOOKUP($AG$15,Sheet1!V6:Y6,3,0),0)</f>
        <v>0</v>
      </c>
      <c r="AH19" s="15">
        <f>+IFERROR(VLOOKUP($AH$15,Sheet1!V6:Y6,3,0),0)</f>
        <v>0</v>
      </c>
      <c r="AI19" s="15">
        <f>+IFERROR(VLOOKUP($AI$15,Sheet1!V6:Y6,3,0),0)</f>
        <v>0</v>
      </c>
      <c r="AJ19" s="15">
        <f>+IFERROR(VLOOKUP($AJ$15,Sheet1!V6:Y6,3,0),0)</f>
        <v>0</v>
      </c>
      <c r="AK19" s="15">
        <f>+IFERROR(VLOOKUP($AK$15,Sheet1!Z6:AB6,3,0),0)</f>
        <v>0</v>
      </c>
      <c r="AL19" s="15">
        <f>+IFERROR(VLOOKUP($AL$15,Sheet1!AD6:AG6,3,0),0)</f>
        <v>0</v>
      </c>
      <c r="AM19" s="15">
        <f>+IFERROR(VLOOKUP($AM$15,Sheet1!AD6:AG6,3,0),0)</f>
        <v>0</v>
      </c>
      <c r="AN19" s="15">
        <f>+IFERROR(VLOOKUP($AN$15,Sheet1!AD6:AG6,3,0),0)</f>
        <v>0</v>
      </c>
      <c r="AO19" s="15">
        <f>+IFERROR(VLOOKUP($AO$15,Sheet1!AD6:AG6,3,0),0)</f>
        <v>0</v>
      </c>
      <c r="AP19" s="15">
        <f>+IFERROR(VLOOKUP($AP$15,Sheet1!AD6:AG6,3,0),0)</f>
        <v>0</v>
      </c>
      <c r="AQ19" s="15">
        <f>+IFERROR(VLOOKUP($AQ$15,Sheet1!AD6:AG6,3,0),0)</f>
        <v>40</v>
      </c>
      <c r="AR19" s="15">
        <f>+IFERROR(VLOOKUP($AR$15,Sheet1!AD6:AG6,3,0),0)</f>
        <v>0</v>
      </c>
      <c r="AS19" s="15">
        <f>+IFERROR(VLOOKUP($AS$15,Sheet1!AH6:AK6,3,0),0)</f>
        <v>0</v>
      </c>
      <c r="AT19" s="15">
        <f>+IFERROR(VLOOKUP($AT$15,Sheet1!AH6:AK6,3,0),0)</f>
        <v>0</v>
      </c>
      <c r="AU19" s="15">
        <f>+IFERROR(VLOOKUP($AU$15,Sheet1!AH6:AK6,3,0),0)</f>
        <v>0</v>
      </c>
      <c r="AV19" s="15">
        <f>+IFERROR(VLOOKUP($AV$15,Sheet1!AH6:AK6,3,0),0)</f>
        <v>0</v>
      </c>
      <c r="AW19" s="15">
        <f>+IFERROR(VLOOKUP($AW$15,Sheet1!AH6:AK6,3,0),0)</f>
        <v>0</v>
      </c>
      <c r="AX19" s="15">
        <f>+IFERROR(VLOOKUP($AX$15,Sheet1!AH6:AK6,3,0),0)</f>
        <v>300</v>
      </c>
      <c r="AY19" s="15">
        <f>+IFERROR(VLOOKUP($AY$15,Sheet1!AH6:AK6,3,0),0)</f>
        <v>0</v>
      </c>
      <c r="AZ19" s="15">
        <f>+IFERROR(VLOOKUP($AZ$15,Sheet1!AH6:AK6,3,0),0)</f>
        <v>0</v>
      </c>
      <c r="BA19" s="15">
        <f>+IFERROR(VLOOKUP($BA$15,Sheet1!AH6:AK6,3,0),0)</f>
        <v>0</v>
      </c>
      <c r="BB19" s="15">
        <f>+IFERROR(VLOOKUP($BB$15,Sheet1!AH6:AK6,3,0),0)</f>
        <v>0</v>
      </c>
      <c r="BC19" s="15">
        <f>+IFERROR(VLOOKUP($BC$15,Sheet1!AL6:AO6,3,0),0)</f>
        <v>0</v>
      </c>
      <c r="BD19" s="15">
        <f>+IFERROR(VLOOKUP($BD$15,Sheet1!AL6:AO6,3,0),0)</f>
        <v>0</v>
      </c>
      <c r="BE19" s="15">
        <f>+IFERROR(VLOOKUP($BE$15,Sheet1!AL6:AO6,3,0),0)</f>
        <v>0</v>
      </c>
      <c r="BF19" s="15">
        <f>+IFERROR(VLOOKUP($BF$15,Sheet1!AL6:AO6,3,0),0)</f>
        <v>146</v>
      </c>
      <c r="BG19" s="15">
        <f>+IFERROR(VLOOKUP($BG$15,Sheet1!AL6:AO6,3,0),0)</f>
        <v>0</v>
      </c>
      <c r="BH19" s="15">
        <f>+IFERROR(VLOOKUP($BH$15,Sheet1!AL6:AO6,3,0),0)</f>
        <v>0</v>
      </c>
      <c r="BI19" s="15">
        <f>+IFERROR(VLOOKUP($BI$15,Sheet1!AL6:AO6,3,0),0)</f>
        <v>0</v>
      </c>
      <c r="BJ19" s="15">
        <f>+IFERROR(VLOOKUP($BJ$15,Sheet1!AL6:AO6,3,0),0)</f>
        <v>0</v>
      </c>
      <c r="BK19" s="15">
        <f>+IFERROR(VLOOKUP($BK$15,Sheet1!AL6:AO6,3,0),0)</f>
        <v>0</v>
      </c>
      <c r="BL19" s="15">
        <f>+IFERROR(VLOOKUP($BL$15,Sheet1!AL6:AO6,3,0),0)</f>
        <v>0</v>
      </c>
      <c r="BM19" s="15">
        <f>+IFERROR(VLOOKUP($BM$15,Sheet1!AP6:AS6,3,0),0)</f>
        <v>0</v>
      </c>
      <c r="BN19" s="15">
        <f>+IFERROR(VLOOKUP($BN$15,Sheet1!AT6:AW6,3,0),0)</f>
        <v>0</v>
      </c>
      <c r="BO19" s="15">
        <f>+IFERROR(VLOOKUP($BO$15,Sheet1!AX6:BA6,3,0),0)</f>
        <v>0</v>
      </c>
      <c r="BP19" s="15">
        <f>+IFERROR(VLOOKUP($BP$15,Sheet1!BB6:BE6,3,0),0)</f>
        <v>0</v>
      </c>
      <c r="BQ19" s="15">
        <f>+IFERROR(VLOOKUP($BQ$15,Sheet1!BF6:BI6,3,0),0)</f>
        <v>0</v>
      </c>
      <c r="BR19" s="15">
        <f>+IFERROR(VLOOKUP($BR$15,Sheet1!BJ6:BM6,3,0),0)</f>
        <v>0</v>
      </c>
      <c r="BS19" s="15">
        <f>+IFERROR(VLOOKUP($BS$15,Sheet1!BN6:BQ6,3,0),0)</f>
        <v>0</v>
      </c>
      <c r="BT19" s="15">
        <f>+IFERROR(VLOOKUP($BT$15,Sheet1!BR6:BU6,3,0),0)</f>
        <v>0</v>
      </c>
      <c r="BU19" s="15">
        <f>+IFERROR(VLOOKUP($BU$15,Sheet1!BV6:BY6,3,0),0)</f>
        <v>0</v>
      </c>
      <c r="BV19" s="15" t="str">
        <f>Sheet1!E6</f>
        <v>WOOD</v>
      </c>
      <c r="BW19" s="15" t="str">
        <f>Sheet1!CV6</f>
        <v>MD0100066</v>
      </c>
      <c r="BX19" s="15" t="str">
        <f>Sheet1!CW6</f>
        <v>DRUM - 40 X 15 X 23 X 2</v>
      </c>
      <c r="BY19" s="15">
        <v>500</v>
      </c>
      <c r="BZ19" s="3">
        <f>Sheet1!BZ6</f>
        <v>5151.4799999999996</v>
      </c>
      <c r="CA19" s="3">
        <f t="shared" si="6"/>
        <v>89744.48</v>
      </c>
      <c r="CB19" s="27">
        <f>Sheet1!CB6</f>
        <v>0</v>
      </c>
      <c r="CC19" s="3">
        <f t="shared" si="7"/>
        <v>0</v>
      </c>
      <c r="CD19" s="51">
        <v>0.35</v>
      </c>
      <c r="CE19" s="3">
        <f t="shared" si="8"/>
        <v>31410.567999999996</v>
      </c>
      <c r="CF19" s="51">
        <v>0</v>
      </c>
      <c r="CG19" s="3">
        <f t="shared" si="9"/>
        <v>0</v>
      </c>
      <c r="CH19" s="3">
        <f t="shared" si="10"/>
        <v>121155.048</v>
      </c>
      <c r="CI19" s="51">
        <v>0.02</v>
      </c>
      <c r="CJ19" s="1">
        <f t="shared" si="11"/>
        <v>2423.1009599999998</v>
      </c>
      <c r="CK19" s="51">
        <v>0.01</v>
      </c>
      <c r="CL19" s="1">
        <f t="shared" si="12"/>
        <v>1211.5504799999999</v>
      </c>
    </row>
    <row r="20" spans="1:90" ht="30" x14ac:dyDescent="0.25">
      <c r="A20" s="1" t="str">
        <f>Sheet1!A3</f>
        <v>ENQ-11226-22-23</v>
      </c>
      <c r="B20" s="54">
        <f>Sheet1!B3</f>
        <v>45194</v>
      </c>
      <c r="C20" s="1" t="str">
        <f>Sheet1!C3</f>
        <v>FA1000014</v>
      </c>
      <c r="D20" s="1" t="str">
        <f>Sheet1!D3</f>
        <v>4 CORE X 16 SQ. MM. ALU/UNARD (XLPE)</v>
      </c>
      <c r="E20" s="3">
        <f t="shared" si="0"/>
        <v>93420.019439999989</v>
      </c>
      <c r="F20" s="65">
        <f t="shared" si="1"/>
        <v>3269.7</v>
      </c>
      <c r="G20" s="9">
        <f t="shared" si="2"/>
        <v>96689.719439999986</v>
      </c>
      <c r="H20" s="7">
        <v>0.18</v>
      </c>
      <c r="I20" s="9">
        <f t="shared" si="3"/>
        <v>17404.149499199997</v>
      </c>
      <c r="J20" s="9">
        <f t="shared" si="4"/>
        <v>114093.86893919998</v>
      </c>
      <c r="K20" s="1">
        <f>Sheet1!CS3</f>
        <v>0.5</v>
      </c>
      <c r="L20" s="1" t="str">
        <f>Sheet1!CT3</f>
        <v>KMS</v>
      </c>
      <c r="M20" s="3">
        <f t="shared" si="5"/>
        <v>57046.93446959999</v>
      </c>
      <c r="N20" s="85">
        <v>173</v>
      </c>
      <c r="O20" s="2">
        <f>+IFERROR(VLOOKUP($O$15,Sheet1!J3:L3,3,0),0)</f>
        <v>0</v>
      </c>
      <c r="P20" s="2">
        <f>+IFERROR(VLOOKUP($P$15,Sheet1!J3:M3,3,0),0)</f>
        <v>0</v>
      </c>
      <c r="Q20" s="2">
        <f>+IFERROR(VLOOKUP($Q$15,Sheet1!J3:M3,3,0),0)</f>
        <v>0</v>
      </c>
      <c r="R20" s="2">
        <f>+IFERROR(VLOOKUP($R$15,Sheet1!J3:M3,3,0),0)</f>
        <v>0</v>
      </c>
      <c r="S20" s="2">
        <f>+IFERROR(VLOOKUP($S$15,Sheet1!N3:Q3,3,0),0)</f>
        <v>0</v>
      </c>
      <c r="T20" s="2">
        <f>+IFERROR(VLOOKUP($T$15,Sheet1!N3:Q3,3,0),0)</f>
        <v>0</v>
      </c>
      <c r="U20" s="2">
        <f>+IFERROR(VLOOKUP($U$15,Sheet1!F3:I3,3,0),0)</f>
        <v>0</v>
      </c>
      <c r="V20" s="2">
        <f>+IFERROR(VLOOKUP($V$15,Sheet1!F3:I3,3,0),0)</f>
        <v>0</v>
      </c>
      <c r="W20" s="2">
        <f>+IFERROR(VLOOKUP($W$15,Sheet1!F3:I3,3,0),0)</f>
        <v>0</v>
      </c>
      <c r="X20" s="2">
        <f>+IFERROR(VLOOKUP($X$15,Sheet1!F3:I3,3,0),0)</f>
        <v>0</v>
      </c>
      <c r="Y20" s="2">
        <f>+IFERROR(VLOOKUP($Y$15,Sheet1!F3:I3,3,0),0)</f>
        <v>0</v>
      </c>
      <c r="Z20" s="2">
        <f>+IFERROR(VLOOKUP($Z$15,Sheet1!F3:I3,3,0),0)</f>
        <v>0</v>
      </c>
      <c r="AA20" s="2">
        <f>+IFERROR(VLOOKUP($AA$15,Sheet1!F3:I3,3,0),0)</f>
        <v>0</v>
      </c>
      <c r="AB20" s="2">
        <f>+IFERROR(VLOOKUP($AB$15,Sheet1!F3:I3,3,0),0)</f>
        <v>0</v>
      </c>
      <c r="AC20" s="2">
        <f>+IFERROR(VLOOKUP($AC$15,Sheet1!R3:U3,3,0),0)</f>
        <v>0</v>
      </c>
      <c r="AD20" s="15">
        <f>+IFERROR(VLOOKUP($AD$15,Sheet1!R3:U3,2,0),0)</f>
        <v>0</v>
      </c>
      <c r="AE20" s="2">
        <f>+IFERROR(VLOOKUP($AE$15,Sheet1!V3:Y3,3,0),0)</f>
        <v>0</v>
      </c>
      <c r="AF20" s="66">
        <f>+IFERROR(VLOOKUP($AF$15,Sheet1!V3:Y3,3,0),0)</f>
        <v>63</v>
      </c>
      <c r="AG20" s="15">
        <f>+IFERROR(VLOOKUP($AG$15,Sheet1!V3:Y3,3,0),0)</f>
        <v>0</v>
      </c>
      <c r="AH20" s="15">
        <f>+IFERROR(VLOOKUP($AH$15,Sheet1!V3:Y3,3,0),0)</f>
        <v>0</v>
      </c>
      <c r="AI20" s="15">
        <f>+IFERROR(VLOOKUP($AI$15,Sheet1!V3:Y3,3,0),0)</f>
        <v>0</v>
      </c>
      <c r="AJ20" s="15">
        <f>+IFERROR(VLOOKUP($AJ$15,Sheet1!V3:Y3,3,0),0)</f>
        <v>0</v>
      </c>
      <c r="AK20" s="15">
        <f>+IFERROR(VLOOKUP($AK$15,Sheet1!Z3:AB3,3,0),0)</f>
        <v>0</v>
      </c>
      <c r="AL20" s="15">
        <f>+IFERROR(VLOOKUP($AL$15,Sheet1!AD3:AG3,3,0),0)</f>
        <v>0</v>
      </c>
      <c r="AM20" s="15">
        <f>+IFERROR(VLOOKUP($AM$15,Sheet1!AD3:AG3,3,0),0)</f>
        <v>0</v>
      </c>
      <c r="AN20" s="15">
        <f>+IFERROR(VLOOKUP($AN$15,Sheet1!AD3:AG3,3,0),0)</f>
        <v>0</v>
      </c>
      <c r="AO20" s="15">
        <f>+IFERROR(VLOOKUP($AO$15,Sheet1!AD3:AG3,3,0),0)</f>
        <v>0</v>
      </c>
      <c r="AP20" s="15">
        <f>+IFERROR(VLOOKUP($AP$15,Sheet1!AD3:AG3,3,0),0)</f>
        <v>0</v>
      </c>
      <c r="AQ20" s="66">
        <f>+IFERROR(VLOOKUP($AQ$15,Sheet1!AD3:AG3,3,0),0)</f>
        <v>40</v>
      </c>
      <c r="AR20" s="15">
        <f>+IFERROR(VLOOKUP($AR$15,Sheet1!AD3:AG3,3,0),0)</f>
        <v>0</v>
      </c>
      <c r="AS20" s="15">
        <f>+IFERROR(VLOOKUP($AS$15,Sheet1!AH3:AK3,3,0),0)</f>
        <v>0</v>
      </c>
      <c r="AT20" s="15">
        <f>+IFERROR(VLOOKUP($AT$15,Sheet1!AH3:AK3,3,0),0)</f>
        <v>0</v>
      </c>
      <c r="AU20" s="15">
        <f>+IFERROR(VLOOKUP($AU$15,Sheet1!AH3:AK3,3,0),0)</f>
        <v>0</v>
      </c>
      <c r="AV20" s="15">
        <f>+IFERROR(VLOOKUP($AV$15,Sheet1!AH3:AK3,3,0),0)</f>
        <v>0</v>
      </c>
      <c r="AW20" s="15">
        <f>+IFERROR(VLOOKUP($AW$15,Sheet1!AH3:AK3,3,0),0)</f>
        <v>0</v>
      </c>
      <c r="AX20" s="15">
        <f>+IFERROR(VLOOKUP($AX$15,Sheet1!AH3:AK3,3,0),0)</f>
        <v>0</v>
      </c>
      <c r="AY20" s="15">
        <f>+IFERROR(VLOOKUP($AY$15,Sheet1!AH3:AK3,3,0),0)</f>
        <v>0</v>
      </c>
      <c r="AZ20" s="15">
        <f>+IFERROR(VLOOKUP($AZ$15,Sheet1!AH3:AK3,3,0),0)</f>
        <v>0</v>
      </c>
      <c r="BA20" s="15">
        <f>+IFERROR(VLOOKUP($BA$15,Sheet1!AH3:AK3,3,0),0)</f>
        <v>0</v>
      </c>
      <c r="BB20" s="15">
        <f>+IFERROR(VLOOKUP($BB$15,Sheet1!AH3:AK3,3,0),0)</f>
        <v>0</v>
      </c>
      <c r="BC20" s="15">
        <f>+IFERROR(VLOOKUP($BC$15,Sheet1!AL3:AO3,3,0),0)</f>
        <v>0</v>
      </c>
      <c r="BD20" s="15">
        <f>+IFERROR(VLOOKUP($BD$15,Sheet1!AL3:AO3,3,0),0)</f>
        <v>0</v>
      </c>
      <c r="BE20" s="15">
        <f>+IFERROR(VLOOKUP($BE$15,Sheet1!AL3:AO3,3,0),0)</f>
        <v>0</v>
      </c>
      <c r="BF20" s="66">
        <v>158</v>
      </c>
      <c r="BG20" s="15">
        <f>+IFERROR(VLOOKUP($BG$15,Sheet1!AL3:AO3,3,0),0)</f>
        <v>0</v>
      </c>
      <c r="BH20" s="15">
        <f>+IFERROR(VLOOKUP($BH$15,Sheet1!AL3:AO3,3,0),0)</f>
        <v>0</v>
      </c>
      <c r="BI20" s="15">
        <f>+IFERROR(VLOOKUP($BI$15,Sheet1!AL3:AO3,3,0),0)</f>
        <v>0</v>
      </c>
      <c r="BJ20" s="15">
        <f>+IFERROR(VLOOKUP($BJ$15,Sheet1!AL3:AO3,3,0),0)</f>
        <v>0</v>
      </c>
      <c r="BK20" s="15">
        <f>+IFERROR(VLOOKUP($BK$15,Sheet1!AL3:AO3,3,0),0)</f>
        <v>0</v>
      </c>
      <c r="BL20" s="15">
        <f>+IFERROR(VLOOKUP($BL$15,Sheet1!AL3:AO3,3,0),0)</f>
        <v>0</v>
      </c>
      <c r="BM20" s="15">
        <f>+IFERROR(VLOOKUP($BM$15,Sheet1!AP3:AS3,3,0),0)</f>
        <v>0</v>
      </c>
      <c r="BN20" s="15">
        <f>+IFERROR(VLOOKUP($BN$15,Sheet1!AT3:AW3,3,0),0)</f>
        <v>0</v>
      </c>
      <c r="BO20" s="15">
        <f>+IFERROR(VLOOKUP($BO$15,Sheet1!AX3:BA3,3,0),0)</f>
        <v>0</v>
      </c>
      <c r="BP20" s="15">
        <f>+IFERROR(VLOOKUP($BP$15,Sheet1!BB3:BE3,3,0),0)</f>
        <v>0</v>
      </c>
      <c r="BQ20" s="15">
        <f>+IFERROR(VLOOKUP($BQ$15,Sheet1!BF3:BI3,3,0),0)</f>
        <v>0</v>
      </c>
      <c r="BR20" s="15">
        <f>+IFERROR(VLOOKUP($BR$15,Sheet1!BJ3:BM3,3,0),0)</f>
        <v>0</v>
      </c>
      <c r="BS20" s="15">
        <f>+IFERROR(VLOOKUP($BS$15,Sheet1!BN3:BQ3,3,0),0)</f>
        <v>0</v>
      </c>
      <c r="BT20" s="15">
        <f>+IFERROR(VLOOKUP($BT$15,Sheet1!BR3:BU3,3,0),0)</f>
        <v>0</v>
      </c>
      <c r="BU20" s="15">
        <f>+IFERROR(VLOOKUP($BU$15,Sheet1!BV3:BY3,3,0),0)</f>
        <v>0</v>
      </c>
      <c r="BV20" s="15" t="str">
        <f>Sheet1!E3</f>
        <v>WOOD</v>
      </c>
      <c r="BW20" s="15" t="str">
        <f>Sheet1!CV3</f>
        <v>MD0100066</v>
      </c>
      <c r="BX20" s="15" t="str">
        <f>Sheet1!CW3</f>
        <v>DRUM - 40 X 15 X 23 X 2</v>
      </c>
      <c r="BY20" s="15">
        <v>500</v>
      </c>
      <c r="BZ20" s="3">
        <f>Sheet1!BZ3</f>
        <v>5151.4799999999996</v>
      </c>
      <c r="CA20" s="3">
        <f t="shared" si="6"/>
        <v>67184.479999999996</v>
      </c>
      <c r="CB20" s="27">
        <f>Sheet1!CB3</f>
        <v>0</v>
      </c>
      <c r="CC20" s="3">
        <f t="shared" si="7"/>
        <v>0</v>
      </c>
      <c r="CD20" s="51">
        <v>0.35</v>
      </c>
      <c r="CE20" s="3">
        <f t="shared" si="8"/>
        <v>23514.567999999996</v>
      </c>
      <c r="CF20" s="51">
        <v>0</v>
      </c>
      <c r="CG20" s="3">
        <f t="shared" si="9"/>
        <v>0</v>
      </c>
      <c r="CH20" s="3">
        <f t="shared" si="10"/>
        <v>90699.047999999995</v>
      </c>
      <c r="CI20" s="51">
        <v>0.02</v>
      </c>
      <c r="CJ20" s="1">
        <f t="shared" si="11"/>
        <v>1813.9809599999999</v>
      </c>
      <c r="CK20" s="51">
        <v>0.01</v>
      </c>
      <c r="CL20" s="1">
        <f t="shared" si="12"/>
        <v>906.99047999999993</v>
      </c>
    </row>
    <row r="21" spans="1:90" ht="30" x14ac:dyDescent="0.25">
      <c r="A21" s="1" t="str">
        <f>Sheet1!A5</f>
        <v>ENQ-11226-22-23</v>
      </c>
      <c r="B21" s="54">
        <f>Sheet1!B5</f>
        <v>45194</v>
      </c>
      <c r="C21" s="1" t="str">
        <f>Sheet1!C5</f>
        <v>FA1000048</v>
      </c>
      <c r="D21" s="1" t="str">
        <f>Sheet1!D5</f>
        <v>4 CORE X 10 SQ. MM. AL/UNARD (XLPE)</v>
      </c>
      <c r="E21" s="3">
        <f t="shared" si="0"/>
        <v>71241.975494999991</v>
      </c>
      <c r="F21" s="65">
        <f t="shared" si="1"/>
        <v>2493.4699999999998</v>
      </c>
      <c r="G21" s="9">
        <f t="shared" si="2"/>
        <v>73735.445494999993</v>
      </c>
      <c r="H21" s="7">
        <v>0.18</v>
      </c>
      <c r="I21" s="9">
        <f t="shared" si="3"/>
        <v>13272.380189099998</v>
      </c>
      <c r="J21" s="9">
        <f t="shared" si="4"/>
        <v>87007.825684099997</v>
      </c>
      <c r="K21" s="1">
        <f>Sheet1!CS5</f>
        <v>1</v>
      </c>
      <c r="L21" s="1" t="str">
        <f>Sheet1!CT5</f>
        <v>KMS</v>
      </c>
      <c r="M21" s="3">
        <f t="shared" si="5"/>
        <v>87007.825684099997</v>
      </c>
      <c r="N21" s="2">
        <f>+IFERROR(VLOOKUP($N$15,Sheet1!J5:L5,3,0),0)</f>
        <v>108</v>
      </c>
      <c r="O21" s="2">
        <f>+IFERROR(VLOOKUP($O$15,Sheet1!J5:L5,3,0),0)</f>
        <v>0</v>
      </c>
      <c r="P21" s="2">
        <f>+IFERROR(VLOOKUP($P$15,Sheet1!J5:M5,3,0),0)</f>
        <v>0</v>
      </c>
      <c r="Q21" s="2">
        <f>+IFERROR(VLOOKUP($Q$15,Sheet1!J5:M5,3,0),0)</f>
        <v>0</v>
      </c>
      <c r="R21" s="2">
        <f>+IFERROR(VLOOKUP($R$15,Sheet1!J5:M5,3,0),0)</f>
        <v>0</v>
      </c>
      <c r="S21" s="2">
        <f>+IFERROR(VLOOKUP($S$15,Sheet1!N5:Q5,3,0),0)</f>
        <v>0</v>
      </c>
      <c r="T21" s="2">
        <f>+IFERROR(VLOOKUP($T$15,Sheet1!N5:Q5,3,0),0)</f>
        <v>0</v>
      </c>
      <c r="U21" s="2">
        <f>+IFERROR(VLOOKUP($U$15,Sheet1!F5:I5,3,0),0)</f>
        <v>0</v>
      </c>
      <c r="V21" s="2">
        <f>+IFERROR(VLOOKUP($V$15,Sheet1!F5:I5,3,0),0)</f>
        <v>0</v>
      </c>
      <c r="W21" s="2">
        <f>+IFERROR(VLOOKUP($W$15,Sheet1!F5:I5,3,0),0)</f>
        <v>0</v>
      </c>
      <c r="X21" s="2">
        <f>+IFERROR(VLOOKUP($X$15,Sheet1!F5:I5,3,0),0)</f>
        <v>0</v>
      </c>
      <c r="Y21" s="2">
        <f>+IFERROR(VLOOKUP($Y$15,Sheet1!F5:I5,3,0),0)</f>
        <v>0</v>
      </c>
      <c r="Z21" s="2">
        <f>+IFERROR(VLOOKUP($Z$15,Sheet1!F5:I5,3,0),0)</f>
        <v>0</v>
      </c>
      <c r="AA21" s="2">
        <f>+IFERROR(VLOOKUP($AA$15,Sheet1!F5:I5,3,0),0)</f>
        <v>0</v>
      </c>
      <c r="AB21" s="2">
        <f>+IFERROR(VLOOKUP($AB$15,Sheet1!F5:I5,3,0),0)</f>
        <v>0</v>
      </c>
      <c r="AC21" s="2">
        <f>+IFERROR(VLOOKUP($AC$15,Sheet1!R5:U5,3,0),0)</f>
        <v>0</v>
      </c>
      <c r="AD21" s="15">
        <f>+IFERROR(VLOOKUP($AD$15,Sheet1!R5:U5,2,0),0)</f>
        <v>0</v>
      </c>
      <c r="AE21" s="2">
        <f>+IFERROR(VLOOKUP($AE$15,Sheet1!V5:Y5,3,0),0)</f>
        <v>0</v>
      </c>
      <c r="AF21" s="15">
        <f>+IFERROR(VLOOKUP($AF$15,Sheet1!V5:Y5,3,0),0)</f>
        <v>64</v>
      </c>
      <c r="AG21" s="15">
        <f>+IFERROR(VLOOKUP($AG$15,Sheet1!V5:Y5,3,0),0)</f>
        <v>0</v>
      </c>
      <c r="AH21" s="15">
        <f>+IFERROR(VLOOKUP($AH$15,Sheet1!V5:Y5,3,0),0)</f>
        <v>0</v>
      </c>
      <c r="AI21" s="15">
        <f>+IFERROR(VLOOKUP($AI$15,Sheet1!V5:Y5,3,0),0)</f>
        <v>0</v>
      </c>
      <c r="AJ21" s="15">
        <f>+IFERROR(VLOOKUP($AJ$15,Sheet1!V5:Y5,3,0),0)</f>
        <v>0</v>
      </c>
      <c r="AK21" s="15">
        <f>+IFERROR(VLOOKUP($AK$15,Sheet1!Z5:AB5,3,0),0)</f>
        <v>0</v>
      </c>
      <c r="AL21" s="15">
        <f>+IFERROR(VLOOKUP($AL$15,Sheet1!AD5:AG5,3,0),0)</f>
        <v>0</v>
      </c>
      <c r="AM21" s="15">
        <f>+IFERROR(VLOOKUP($AM$15,Sheet1!AD5:AG5,3,0),0)</f>
        <v>0</v>
      </c>
      <c r="AN21" s="15">
        <f>+IFERROR(VLOOKUP($AN$15,Sheet1!AD5:AG5,3,0),0)</f>
        <v>0</v>
      </c>
      <c r="AO21" s="15">
        <f>+IFERROR(VLOOKUP($AO$15,Sheet1!AD5:AG5,3,0),0)</f>
        <v>0</v>
      </c>
      <c r="AP21" s="15">
        <f>+IFERROR(VLOOKUP($AP$15,Sheet1!AD5:AG5,3,0),0)</f>
        <v>0</v>
      </c>
      <c r="AQ21" s="15">
        <f>+IFERROR(VLOOKUP($AQ$15,Sheet1!AD5:AG5,3,0),0)</f>
        <v>35</v>
      </c>
      <c r="AR21" s="15">
        <f>+IFERROR(VLOOKUP($AR$15,Sheet1!AD5:AG5,3,0),0)</f>
        <v>0</v>
      </c>
      <c r="AS21" s="15">
        <f>+IFERROR(VLOOKUP($AS$15,Sheet1!AH5:AK5,3,0),0)</f>
        <v>0</v>
      </c>
      <c r="AT21" s="15">
        <f>+IFERROR(VLOOKUP($AT$15,Sheet1!AH5:AK5,3,0),0)</f>
        <v>0</v>
      </c>
      <c r="AU21" s="15">
        <f>+IFERROR(VLOOKUP($AU$15,Sheet1!AH5:AK5,3,0),0)</f>
        <v>0</v>
      </c>
      <c r="AV21" s="15">
        <f>+IFERROR(VLOOKUP($AV$15,Sheet1!AH5:AK5,3,0),0)</f>
        <v>0</v>
      </c>
      <c r="AW21" s="15">
        <f>+IFERROR(VLOOKUP($AW$15,Sheet1!AH5:AK5,3,0),0)</f>
        <v>0</v>
      </c>
      <c r="AX21" s="15">
        <f>+IFERROR(VLOOKUP($AX$15,Sheet1!AH5:AK5,3,0),0)</f>
        <v>0</v>
      </c>
      <c r="AY21" s="15">
        <f>+IFERROR(VLOOKUP($AY$15,Sheet1!AH5:AK5,3,0),0)</f>
        <v>0</v>
      </c>
      <c r="AZ21" s="15">
        <f>+IFERROR(VLOOKUP($AZ$15,Sheet1!AH5:AK5,3,0),0)</f>
        <v>0</v>
      </c>
      <c r="BA21" s="15">
        <f>+IFERROR(VLOOKUP($BA$15,Sheet1!AH5:AK5,3,0),0)</f>
        <v>0</v>
      </c>
      <c r="BB21" s="15">
        <f>+IFERROR(VLOOKUP($BB$15,Sheet1!AH5:AK5,3,0),0)</f>
        <v>0</v>
      </c>
      <c r="BC21" s="15">
        <f>+IFERROR(VLOOKUP($BC$15,Sheet1!AL5:AO5,3,0),0)</f>
        <v>0</v>
      </c>
      <c r="BD21" s="15">
        <f>+IFERROR(VLOOKUP($BD$15,Sheet1!AL5:AO5,3,0),0)</f>
        <v>0</v>
      </c>
      <c r="BE21" s="15">
        <f>+IFERROR(VLOOKUP($BE$15,Sheet1!AL5:AO5,3,0),0)</f>
        <v>0</v>
      </c>
      <c r="BF21" s="15">
        <f>+IFERROR(VLOOKUP($BF$15,Sheet1!AL5:AO5,3,0),0)</f>
        <v>145</v>
      </c>
      <c r="BG21" s="15">
        <f>+IFERROR(VLOOKUP($BG$15,Sheet1!AL5:AO5,3,0),0)</f>
        <v>0</v>
      </c>
      <c r="BH21" s="15">
        <f>+IFERROR(VLOOKUP($BH$15,Sheet1!AL5:AO5,3,0),0)</f>
        <v>0</v>
      </c>
      <c r="BI21" s="15">
        <f>+IFERROR(VLOOKUP($BI$15,Sheet1!AL5:AO5,3,0),0)</f>
        <v>0</v>
      </c>
      <c r="BJ21" s="15">
        <f>+IFERROR(VLOOKUP($BJ$15,Sheet1!AL5:AO5,3,0),0)</f>
        <v>0</v>
      </c>
      <c r="BK21" s="15">
        <f>+IFERROR(VLOOKUP($BK$15,Sheet1!AL5:AO5,3,0),0)</f>
        <v>0</v>
      </c>
      <c r="BL21" s="15">
        <f>+IFERROR(VLOOKUP($BL$15,Sheet1!AL5:AO5,3,0),0)</f>
        <v>0</v>
      </c>
      <c r="BM21" s="15">
        <f>+IFERROR(VLOOKUP($BM$15,Sheet1!AP5:AS5,3,0),0)</f>
        <v>0</v>
      </c>
      <c r="BN21" s="15">
        <f>+IFERROR(VLOOKUP($BN$15,Sheet1!AT5:AW5,3,0),0)</f>
        <v>0</v>
      </c>
      <c r="BO21" s="15">
        <f>+IFERROR(VLOOKUP($BO$15,Sheet1!AX5:BA5,3,0),0)</f>
        <v>0</v>
      </c>
      <c r="BP21" s="15">
        <f>+IFERROR(VLOOKUP($BP$15,Sheet1!BB5:BE5,3,0),0)</f>
        <v>0</v>
      </c>
      <c r="BQ21" s="15">
        <f>+IFERROR(VLOOKUP($BQ$15,Sheet1!BF5:BI5,3,0),0)</f>
        <v>0</v>
      </c>
      <c r="BR21" s="15">
        <f>+IFERROR(VLOOKUP($BR$15,Sheet1!BJ5:BM5,3,0),0)</f>
        <v>0</v>
      </c>
      <c r="BS21" s="15">
        <f>+IFERROR(VLOOKUP($BS$15,Sheet1!BN5:BQ5,3,0),0)</f>
        <v>0</v>
      </c>
      <c r="BT21" s="15">
        <f>+IFERROR(VLOOKUP($BT$15,Sheet1!BR5:BU5,3,0),0)</f>
        <v>0</v>
      </c>
      <c r="BU21" s="15">
        <f>+IFERROR(VLOOKUP($BU$15,Sheet1!BV5:BY5,3,0),0)</f>
        <v>0</v>
      </c>
      <c r="BV21" s="15" t="str">
        <f>Sheet1!E5</f>
        <v>WOOD</v>
      </c>
      <c r="BW21" s="15" t="str">
        <f>Sheet1!CV5</f>
        <v>MD0100005</v>
      </c>
      <c r="BX21" s="15" t="str">
        <f>Sheet1!CW5</f>
        <v>DRUM - 36 X 14 X 23 X 2</v>
      </c>
      <c r="BY21" s="15">
        <v>500</v>
      </c>
      <c r="BZ21" s="3">
        <f>Sheet1!BZ5</f>
        <v>4610.79</v>
      </c>
      <c r="CA21" s="3">
        <f t="shared" si="6"/>
        <v>51234.79</v>
      </c>
      <c r="CB21" s="27">
        <f>Sheet1!CB5</f>
        <v>0</v>
      </c>
      <c r="CC21" s="3">
        <f t="shared" si="7"/>
        <v>0</v>
      </c>
      <c r="CD21" s="51">
        <v>0.35</v>
      </c>
      <c r="CE21" s="3">
        <f t="shared" si="8"/>
        <v>17932.176499999998</v>
      </c>
      <c r="CF21" s="51">
        <v>0</v>
      </c>
      <c r="CG21" s="3">
        <f t="shared" si="9"/>
        <v>0</v>
      </c>
      <c r="CH21" s="3">
        <f t="shared" si="10"/>
        <v>69166.966499999995</v>
      </c>
      <c r="CI21" s="51">
        <v>0.02</v>
      </c>
      <c r="CJ21" s="1">
        <f t="shared" si="11"/>
        <v>1383.33933</v>
      </c>
      <c r="CK21" s="51">
        <v>0.01</v>
      </c>
      <c r="CL21" s="1">
        <f t="shared" si="12"/>
        <v>691.66966500000001</v>
      </c>
    </row>
    <row r="22" spans="1:90" ht="30" x14ac:dyDescent="0.25">
      <c r="A22" s="1" t="str">
        <f>Sheet1!A7</f>
        <v>ENQ-11226-22-23</v>
      </c>
      <c r="B22" s="54">
        <f>Sheet1!B7</f>
        <v>45194</v>
      </c>
      <c r="C22" s="1" t="str">
        <f>Sheet1!C7</f>
        <v>FA1000026</v>
      </c>
      <c r="D22" s="1" t="str">
        <f>Sheet1!D7</f>
        <v>4 CORE X 6 SQ. MM. AL/UNARD.(XLPE)</v>
      </c>
      <c r="E22" s="3">
        <f t="shared" si="0"/>
        <v>53736.970994999996</v>
      </c>
      <c r="F22" s="65">
        <f t="shared" si="1"/>
        <v>1880.79</v>
      </c>
      <c r="G22" s="9">
        <f t="shared" si="2"/>
        <v>55617.760994999997</v>
      </c>
      <c r="H22" s="7">
        <v>0.18</v>
      </c>
      <c r="I22" s="9">
        <f t="shared" si="3"/>
        <v>10011.196979099999</v>
      </c>
      <c r="J22" s="9">
        <f t="shared" si="4"/>
        <v>65628.957974099991</v>
      </c>
      <c r="K22" s="1">
        <f>Sheet1!CS7</f>
        <v>2</v>
      </c>
      <c r="L22" s="1" t="str">
        <f>Sheet1!CT7</f>
        <v>KMS</v>
      </c>
      <c r="M22" s="3">
        <f t="shared" si="5"/>
        <v>131257.91594819998</v>
      </c>
      <c r="N22" s="2">
        <f>+IFERROR(VLOOKUP($N$15,Sheet1!J7:L7,3,0),0)</f>
        <v>64.8</v>
      </c>
      <c r="O22" s="2">
        <f>+IFERROR(VLOOKUP($O$15,Sheet1!J7:L7,3,0),0)</f>
        <v>0</v>
      </c>
      <c r="P22" s="2">
        <f>+IFERROR(VLOOKUP($P$15,Sheet1!J7:M7,3,0),0)</f>
        <v>0</v>
      </c>
      <c r="Q22" s="2">
        <f>+IFERROR(VLOOKUP($Q$15,Sheet1!J7:M7,3,0),0)</f>
        <v>0</v>
      </c>
      <c r="R22" s="2">
        <f>+IFERROR(VLOOKUP($R$15,Sheet1!J7:M7,3,0),0)</f>
        <v>0</v>
      </c>
      <c r="S22" s="2">
        <f>+IFERROR(VLOOKUP($S$15,Sheet1!N7:Q7,3,0),0)</f>
        <v>0</v>
      </c>
      <c r="T22" s="2">
        <f>+IFERROR(VLOOKUP($T$15,Sheet1!N7:Q7,3,0),0)</f>
        <v>0</v>
      </c>
      <c r="U22" s="2">
        <f>+IFERROR(VLOOKUP($U$15,Sheet1!F7:I7,3,0),0)</f>
        <v>0</v>
      </c>
      <c r="V22" s="2">
        <f>+IFERROR(VLOOKUP($V$15,Sheet1!F7:I7,3,0),0)</f>
        <v>0</v>
      </c>
      <c r="W22" s="2">
        <f>+IFERROR(VLOOKUP($W$15,Sheet1!F7:I7,3,0),0)</f>
        <v>0</v>
      </c>
      <c r="X22" s="2">
        <f>+IFERROR(VLOOKUP($X$15,Sheet1!F7:I7,3,0),0)</f>
        <v>0</v>
      </c>
      <c r="Y22" s="2">
        <f>+IFERROR(VLOOKUP($Y$15,Sheet1!F7:I7,3,0),0)</f>
        <v>0</v>
      </c>
      <c r="Z22" s="2">
        <f>+IFERROR(VLOOKUP($Z$15,Sheet1!F7:I7,3,0),0)</f>
        <v>0</v>
      </c>
      <c r="AA22" s="2">
        <f>+IFERROR(VLOOKUP($AA$15,Sheet1!F7:I7,3,0),0)</f>
        <v>0</v>
      </c>
      <c r="AB22" s="2">
        <f>+IFERROR(VLOOKUP($AB$15,Sheet1!F7:I7,3,0),0)</f>
        <v>0</v>
      </c>
      <c r="AC22" s="2">
        <f>+IFERROR(VLOOKUP($AC$15,Sheet1!R7:U7,3,0),0)</f>
        <v>0</v>
      </c>
      <c r="AD22" s="15">
        <f>+IFERROR(VLOOKUP($AD$15,Sheet1!R7:U7,2,0),0)</f>
        <v>0</v>
      </c>
      <c r="AE22" s="2">
        <f>+IFERROR(VLOOKUP($AE$15,Sheet1!V7:Y7,3,0),0)</f>
        <v>0</v>
      </c>
      <c r="AF22" s="15">
        <f>+IFERROR(VLOOKUP($AF$15,Sheet1!V7:Y7,3,0),0)</f>
        <v>53</v>
      </c>
      <c r="AG22" s="15">
        <f>+IFERROR(VLOOKUP($AG$15,Sheet1!V7:Y7,3,0),0)</f>
        <v>0</v>
      </c>
      <c r="AH22" s="15">
        <f>+IFERROR(VLOOKUP($AH$15,Sheet1!V7:Y7,3,0),0)</f>
        <v>0</v>
      </c>
      <c r="AI22" s="15">
        <f>+IFERROR(VLOOKUP($AI$15,Sheet1!V7:Y7,3,0),0)</f>
        <v>0</v>
      </c>
      <c r="AJ22" s="15">
        <f>+IFERROR(VLOOKUP($AJ$15,Sheet1!V7:Y7,3,0),0)</f>
        <v>0</v>
      </c>
      <c r="AK22" s="15">
        <f>+IFERROR(VLOOKUP($AK$15,Sheet1!Z7:AB7,3,0),0)</f>
        <v>0</v>
      </c>
      <c r="AL22" s="15">
        <f>+IFERROR(VLOOKUP($AL$15,Sheet1!AD7:AG7,3,0),0)</f>
        <v>0</v>
      </c>
      <c r="AM22" s="15">
        <f>+IFERROR(VLOOKUP($AM$15,Sheet1!AD7:AG7,3,0),0)</f>
        <v>0</v>
      </c>
      <c r="AN22" s="15">
        <f>+IFERROR(VLOOKUP($AN$15,Sheet1!AD7:AG7,3,0),0)</f>
        <v>0</v>
      </c>
      <c r="AO22" s="15">
        <f>+IFERROR(VLOOKUP($AO$15,Sheet1!AD7:AG7,3,0),0)</f>
        <v>0</v>
      </c>
      <c r="AP22" s="15">
        <f>+IFERROR(VLOOKUP($AP$15,Sheet1!AD7:AG7,3,0),0)</f>
        <v>0</v>
      </c>
      <c r="AQ22" s="15">
        <f>+IFERROR(VLOOKUP($AQ$15,Sheet1!AD7:AG7,3,0),0)</f>
        <v>30</v>
      </c>
      <c r="AR22" s="15">
        <f>+IFERROR(VLOOKUP($AR$15,Sheet1!AD7:AG7,3,0),0)</f>
        <v>0</v>
      </c>
      <c r="AS22" s="15">
        <f>+IFERROR(VLOOKUP($AS$15,Sheet1!AH7:AK7,3,0),0)</f>
        <v>0</v>
      </c>
      <c r="AT22" s="15">
        <f>+IFERROR(VLOOKUP($AT$15,Sheet1!AH7:AK7,3,0),0)</f>
        <v>0</v>
      </c>
      <c r="AU22" s="15">
        <f>+IFERROR(VLOOKUP($AU$15,Sheet1!AH7:AK7,3,0),0)</f>
        <v>0</v>
      </c>
      <c r="AV22" s="15">
        <f>+IFERROR(VLOOKUP($AV$15,Sheet1!AH7:AK7,3,0),0)</f>
        <v>0</v>
      </c>
      <c r="AW22" s="15">
        <f>+IFERROR(VLOOKUP($AW$15,Sheet1!AH7:AK7,3,0),0)</f>
        <v>0</v>
      </c>
      <c r="AX22" s="15">
        <f>+IFERROR(VLOOKUP($AX$15,Sheet1!AH7:AK7,3,0),0)</f>
        <v>0</v>
      </c>
      <c r="AY22" s="15">
        <f>+IFERROR(VLOOKUP($AY$15,Sheet1!AH7:AK7,3,0),0)</f>
        <v>0</v>
      </c>
      <c r="AZ22" s="15">
        <f>+IFERROR(VLOOKUP($AZ$15,Sheet1!AH7:AK7,3,0),0)</f>
        <v>0</v>
      </c>
      <c r="BA22" s="15">
        <f>+IFERROR(VLOOKUP($BA$15,Sheet1!AH7:AK7,3,0),0)</f>
        <v>0</v>
      </c>
      <c r="BB22" s="15">
        <f>+IFERROR(VLOOKUP($BB$15,Sheet1!AH7:AK7,3,0),0)</f>
        <v>0</v>
      </c>
      <c r="BC22" s="15">
        <f>+IFERROR(VLOOKUP($BC$15,Sheet1!AL7:AO7,3,0),0)</f>
        <v>0</v>
      </c>
      <c r="BD22" s="15">
        <f>+IFERROR(VLOOKUP($BD$15,Sheet1!AL7:AO7,3,0),0)</f>
        <v>0</v>
      </c>
      <c r="BE22" s="15">
        <f>+IFERROR(VLOOKUP($BE$15,Sheet1!AL7:AO7,3,0),0)</f>
        <v>0</v>
      </c>
      <c r="BF22" s="15">
        <f>+IFERROR(VLOOKUP($BF$15,Sheet1!AL7:AO7,3,0),0)</f>
        <v>127</v>
      </c>
      <c r="BG22" s="15">
        <f>+IFERROR(VLOOKUP($BG$15,Sheet1!AL7:AO7,3,0),0)</f>
        <v>0</v>
      </c>
      <c r="BH22" s="15">
        <f>+IFERROR(VLOOKUP($BH$15,Sheet1!AL7:AO7,3,0),0)</f>
        <v>0</v>
      </c>
      <c r="BI22" s="15">
        <f>+IFERROR(VLOOKUP($BI$15,Sheet1!AL7:AO7,3,0),0)</f>
        <v>0</v>
      </c>
      <c r="BJ22" s="15">
        <f>+IFERROR(VLOOKUP($BJ$15,Sheet1!AL7:AO7,3,0),0)</f>
        <v>0</v>
      </c>
      <c r="BK22" s="15">
        <f>+IFERROR(VLOOKUP($BK$15,Sheet1!AL7:AO7,3,0),0)</f>
        <v>0</v>
      </c>
      <c r="BL22" s="15">
        <f>+IFERROR(VLOOKUP($BL$15,Sheet1!AL7:AO7,3,0),0)</f>
        <v>0</v>
      </c>
      <c r="BM22" s="15">
        <f>+IFERROR(VLOOKUP($BM$15,Sheet1!AP7:AS7,3,0),0)</f>
        <v>0</v>
      </c>
      <c r="BN22" s="15">
        <f>+IFERROR(VLOOKUP($BN$15,Sheet1!AT7:AW7,3,0),0)</f>
        <v>0</v>
      </c>
      <c r="BO22" s="15">
        <f>+IFERROR(VLOOKUP($BO$15,Sheet1!AX7:BA7,3,0),0)</f>
        <v>0</v>
      </c>
      <c r="BP22" s="15">
        <f>+IFERROR(VLOOKUP($BP$15,Sheet1!BB7:BE7,3,0),0)</f>
        <v>0</v>
      </c>
      <c r="BQ22" s="15">
        <f>+IFERROR(VLOOKUP($BQ$15,Sheet1!BF7:BI7,3,0),0)</f>
        <v>0</v>
      </c>
      <c r="BR22" s="15">
        <f>+IFERROR(VLOOKUP($BR$15,Sheet1!BJ7:BM7,3,0),0)</f>
        <v>0</v>
      </c>
      <c r="BS22" s="15">
        <f>+IFERROR(VLOOKUP($BS$15,Sheet1!BN7:BQ7,3,0),0)</f>
        <v>0</v>
      </c>
      <c r="BT22" s="15">
        <f>+IFERROR(VLOOKUP($BT$15,Sheet1!BR7:BU7,3,0),0)</f>
        <v>0</v>
      </c>
      <c r="BU22" s="15">
        <f>+IFERROR(VLOOKUP($BU$15,Sheet1!BV7:BY7,3,0),0)</f>
        <v>0</v>
      </c>
      <c r="BV22" s="15" t="str">
        <f>Sheet1!E7</f>
        <v>WOOD</v>
      </c>
      <c r="BW22" s="15" t="str">
        <f>Sheet1!CV7</f>
        <v>MD0100005</v>
      </c>
      <c r="BX22" s="15" t="str">
        <f>Sheet1!CW7</f>
        <v>DRUM - 36 X 14 X 23 X 2</v>
      </c>
      <c r="BY22" s="15">
        <v>500</v>
      </c>
      <c r="BZ22" s="3">
        <f>Sheet1!BZ7</f>
        <v>4610.79</v>
      </c>
      <c r="CA22" s="3">
        <f t="shared" si="6"/>
        <v>38645.79</v>
      </c>
      <c r="CB22" s="27">
        <f>Sheet1!CB7</f>
        <v>0</v>
      </c>
      <c r="CC22" s="3">
        <f t="shared" si="7"/>
        <v>0</v>
      </c>
      <c r="CD22" s="51">
        <v>0.35</v>
      </c>
      <c r="CE22" s="3">
        <f t="shared" si="8"/>
        <v>13526.0265</v>
      </c>
      <c r="CF22" s="51">
        <v>0</v>
      </c>
      <c r="CG22" s="3">
        <f t="shared" si="9"/>
        <v>0</v>
      </c>
      <c r="CH22" s="3">
        <f t="shared" si="10"/>
        <v>52171.816500000001</v>
      </c>
      <c r="CI22" s="51">
        <v>0.02</v>
      </c>
      <c r="CJ22" s="1">
        <f t="shared" si="11"/>
        <v>1043.43633</v>
      </c>
      <c r="CK22" s="51">
        <v>0.01</v>
      </c>
      <c r="CL22" s="1">
        <f t="shared" si="12"/>
        <v>521.718165</v>
      </c>
    </row>
    <row r="23" spans="1:90" ht="45" customHeight="1" x14ac:dyDescent="0.25">
      <c r="A23" s="68"/>
      <c r="B23" s="69"/>
      <c r="C23" s="68"/>
      <c r="D23" s="68" t="s">
        <v>195</v>
      </c>
      <c r="E23" s="3">
        <f t="shared" ref="E23" si="13">CH23+CJ23+CL23</f>
        <v>0</v>
      </c>
      <c r="F23" s="65">
        <f t="shared" si="1"/>
        <v>0</v>
      </c>
      <c r="G23" s="9">
        <f t="shared" ref="G23" si="14">E23+F23</f>
        <v>0</v>
      </c>
      <c r="H23" s="7">
        <v>0.18</v>
      </c>
      <c r="I23" s="9">
        <f t="shared" ref="I23" si="15">G23*H23</f>
        <v>0</v>
      </c>
      <c r="J23" s="9">
        <f t="shared" ref="J23" si="16">G23+I23</f>
        <v>0</v>
      </c>
      <c r="K23" s="1">
        <v>0.2</v>
      </c>
      <c r="L23" s="1" t="s">
        <v>168</v>
      </c>
      <c r="M23" s="3">
        <f t="shared" ref="M23" si="17">J23*K23</f>
        <v>0</v>
      </c>
      <c r="N23" s="2">
        <f>+IFERROR(VLOOKUP($N$15,Sheet1!J8:L8,3,0),0)</f>
        <v>0</v>
      </c>
      <c r="O23" s="2">
        <f>+IFERROR(VLOOKUP($O$15,Sheet1!J8:L8,3,0),0)</f>
        <v>0</v>
      </c>
      <c r="P23" s="2">
        <f>+IFERROR(VLOOKUP($P$15,Sheet1!J8:M8,3,0),0)</f>
        <v>0</v>
      </c>
      <c r="Q23" s="2">
        <f>+IFERROR(VLOOKUP($Q$15,Sheet1!J8:M8,3,0),0)</f>
        <v>0</v>
      </c>
      <c r="R23" s="2">
        <f>+IFERROR(VLOOKUP($R$15,Sheet1!J8:M8,3,0),0)</f>
        <v>0</v>
      </c>
      <c r="S23" s="2">
        <f>+IFERROR(VLOOKUP($S$15,Sheet1!N8:Q8,3,0),0)</f>
        <v>0</v>
      </c>
      <c r="T23" s="2">
        <f>+IFERROR(VLOOKUP($T$15,Sheet1!N8:Q8,3,0),0)</f>
        <v>0</v>
      </c>
      <c r="U23" s="2">
        <f>+IFERROR(VLOOKUP($U$15,Sheet1!F8:I8,3,0),0)</f>
        <v>0</v>
      </c>
      <c r="V23" s="2">
        <f>+IFERROR(VLOOKUP($V$15,Sheet1!F8:I8,3,0),0)</f>
        <v>0</v>
      </c>
      <c r="W23" s="2">
        <f>+IFERROR(VLOOKUP($W$15,Sheet1!F8:I8,3,0),0)</f>
        <v>0</v>
      </c>
      <c r="X23" s="2">
        <f>+IFERROR(VLOOKUP($X$15,Sheet1!F8:I8,3,0),0)</f>
        <v>0</v>
      </c>
      <c r="Y23" s="2">
        <f>+IFERROR(VLOOKUP($Y$15,Sheet1!F8:I8,3,0),0)</f>
        <v>0</v>
      </c>
      <c r="Z23" s="2">
        <f>+IFERROR(VLOOKUP($Z$15,Sheet1!F8:I8,3,0),0)</f>
        <v>0</v>
      </c>
      <c r="AA23" s="2">
        <f>+IFERROR(VLOOKUP($AA$15,Sheet1!F8:I8,3,0),0)</f>
        <v>0</v>
      </c>
      <c r="AB23" s="2">
        <f>+IFERROR(VLOOKUP($AB$15,Sheet1!F8:I8,3,0),0)</f>
        <v>0</v>
      </c>
      <c r="AC23" s="2">
        <f>+IFERROR(VLOOKUP($AC$15,Sheet1!R8:U8,3,0),0)</f>
        <v>0</v>
      </c>
      <c r="AD23" s="15">
        <f>+IFERROR(VLOOKUP($AD$15,Sheet1!R8:U8,2,0),0)</f>
        <v>0</v>
      </c>
      <c r="AE23" s="2">
        <f>+IFERROR(VLOOKUP($AE$15,Sheet1!V8:Y8,3,0),0)</f>
        <v>0</v>
      </c>
      <c r="AF23" s="15">
        <f>+IFERROR(VLOOKUP($AF$15,Sheet1!V8:Y8,3,0),0)</f>
        <v>0</v>
      </c>
      <c r="AG23" s="15">
        <f>+IFERROR(VLOOKUP($AG$15,Sheet1!V8:Y8,3,0),0)</f>
        <v>0</v>
      </c>
      <c r="AH23" s="15">
        <f>+IFERROR(VLOOKUP($AH$15,Sheet1!V8:Y8,3,0),0)</f>
        <v>0</v>
      </c>
      <c r="AI23" s="15">
        <f>+IFERROR(VLOOKUP($AI$15,Sheet1!V8:Y8,3,0),0)</f>
        <v>0</v>
      </c>
      <c r="AJ23" s="15">
        <f>+IFERROR(VLOOKUP($AJ$15,Sheet1!V8:Y8,3,0),0)</f>
        <v>0</v>
      </c>
      <c r="AK23" s="15">
        <f>+IFERROR(VLOOKUP($AK$15,Sheet1!Z8:AB8,3,0),0)</f>
        <v>0</v>
      </c>
      <c r="AL23" s="15">
        <f>+IFERROR(VLOOKUP($AL$15,Sheet1!AD8:AG8,3,0),0)</f>
        <v>0</v>
      </c>
      <c r="AM23" s="15">
        <f>+IFERROR(VLOOKUP($AM$15,Sheet1!AD8:AG8,3,0),0)</f>
        <v>0</v>
      </c>
      <c r="AN23" s="15">
        <f>+IFERROR(VLOOKUP($AN$15,Sheet1!AD8:AG8,3,0),0)</f>
        <v>0</v>
      </c>
      <c r="AO23" s="15">
        <f>+IFERROR(VLOOKUP($AO$15,Sheet1!AD8:AG8,3,0),0)</f>
        <v>0</v>
      </c>
      <c r="AP23" s="15">
        <f>+IFERROR(VLOOKUP($AP$15,Sheet1!AD8:AG8,3,0),0)</f>
        <v>0</v>
      </c>
      <c r="AQ23" s="15">
        <f>+IFERROR(VLOOKUP($AQ$15,Sheet1!AD8:AG8,3,0),0)</f>
        <v>0</v>
      </c>
      <c r="AR23" s="15">
        <f>+IFERROR(VLOOKUP($AR$15,Sheet1!AD8:AG8,3,0),0)</f>
        <v>0</v>
      </c>
      <c r="AS23" s="15">
        <f>+IFERROR(VLOOKUP($AS$15,Sheet1!AH8:AK8,3,0),0)</f>
        <v>0</v>
      </c>
      <c r="AT23" s="15">
        <f>+IFERROR(VLOOKUP($AT$15,Sheet1!AH8:AK8,3,0),0)</f>
        <v>0</v>
      </c>
      <c r="AU23" s="15">
        <f>+IFERROR(VLOOKUP($AU$15,Sheet1!AH8:AK8,3,0),0)</f>
        <v>0</v>
      </c>
      <c r="AV23" s="15">
        <f>+IFERROR(VLOOKUP($AV$15,Sheet1!AH8:AK8,3,0),0)</f>
        <v>0</v>
      </c>
      <c r="AW23" s="15">
        <f>+IFERROR(VLOOKUP($AW$15,Sheet1!AH8:AK8,3,0),0)</f>
        <v>0</v>
      </c>
      <c r="AX23" s="15">
        <f>+IFERROR(VLOOKUP($AX$15,Sheet1!AH8:AK8,3,0),0)</f>
        <v>0</v>
      </c>
      <c r="AY23" s="15">
        <f>+IFERROR(VLOOKUP($AY$15,Sheet1!AH8:AK8,3,0),0)</f>
        <v>0</v>
      </c>
      <c r="AZ23" s="15">
        <f>+IFERROR(VLOOKUP($AZ$15,Sheet1!AH8:AK8,3,0),0)</f>
        <v>0</v>
      </c>
      <c r="BA23" s="15">
        <f>+IFERROR(VLOOKUP($BA$15,Sheet1!AH8:AK8,3,0),0)</f>
        <v>0</v>
      </c>
      <c r="BB23" s="15">
        <f>+IFERROR(VLOOKUP($BB$15,Sheet1!AH8:AK8,3,0),0)</f>
        <v>0</v>
      </c>
      <c r="BC23" s="15">
        <f>+IFERROR(VLOOKUP($BC$15,Sheet1!AL8:AO8,3,0),0)</f>
        <v>0</v>
      </c>
      <c r="BD23" s="15">
        <f>+IFERROR(VLOOKUP($BD$15,Sheet1!AL8:AO8,3,0),0)</f>
        <v>0</v>
      </c>
      <c r="BE23" s="15">
        <f>+IFERROR(VLOOKUP($BE$15,Sheet1!AL8:AO8,3,0),0)</f>
        <v>0</v>
      </c>
      <c r="BF23" s="15">
        <f>+IFERROR(VLOOKUP($BF$15,Sheet1!AL8:AO8,3,0),0)</f>
        <v>0</v>
      </c>
      <c r="BG23" s="15">
        <f>+IFERROR(VLOOKUP($BG$15,Sheet1!AL8:AO8,3,0),0)</f>
        <v>0</v>
      </c>
      <c r="BH23" s="15">
        <f>+IFERROR(VLOOKUP($BH$15,Sheet1!AL8:AO8,3,0),0)</f>
        <v>0</v>
      </c>
      <c r="BI23" s="15">
        <f>+IFERROR(VLOOKUP($BI$15,Sheet1!AL8:AO8,3,0),0)</f>
        <v>0</v>
      </c>
      <c r="BJ23" s="15">
        <f>+IFERROR(VLOOKUP($BJ$15,Sheet1!AL8:AO8,3,0),0)</f>
        <v>0</v>
      </c>
      <c r="BK23" s="15">
        <f>+IFERROR(VLOOKUP($BK$15,Sheet1!AL8:AO8,3,0),0)</f>
        <v>0</v>
      </c>
      <c r="BL23" s="15">
        <f>+IFERROR(VLOOKUP($BL$15,Sheet1!AL8:AO8,3,0),0)</f>
        <v>0</v>
      </c>
      <c r="BM23" s="15">
        <f>+IFERROR(VLOOKUP($BM$15,Sheet1!AP8:AS8,3,0),0)</f>
        <v>0</v>
      </c>
      <c r="BN23" s="15">
        <f>+IFERROR(VLOOKUP($BN$15,Sheet1!AT8:AW8,3,0),0)</f>
        <v>0</v>
      </c>
      <c r="BO23" s="15">
        <f>+IFERROR(VLOOKUP($BO$15,Sheet1!AX8:BA8,3,0),0)</f>
        <v>0</v>
      </c>
      <c r="BP23" s="15">
        <f>+IFERROR(VLOOKUP($BP$15,Sheet1!BB8:BE8,3,0),0)</f>
        <v>0</v>
      </c>
      <c r="BQ23" s="15">
        <f>+IFERROR(VLOOKUP($BQ$15,Sheet1!BF8:BI8,3,0),0)</f>
        <v>0</v>
      </c>
      <c r="BR23" s="15">
        <f>+IFERROR(VLOOKUP($BR$15,Sheet1!BJ8:BM8,3,0),0)</f>
        <v>0</v>
      </c>
      <c r="BS23" s="15">
        <f>+IFERROR(VLOOKUP($BS$15,Sheet1!BN8:BQ8,3,0),0)</f>
        <v>0</v>
      </c>
      <c r="BT23" s="15">
        <f>+IFERROR(VLOOKUP($BT$15,Sheet1!BR8:BU8,3,0),0)</f>
        <v>0</v>
      </c>
      <c r="BU23" s="15">
        <f>+IFERROR(VLOOKUP($BU$15,Sheet1!BV8:BY8,3,0),0)</f>
        <v>0</v>
      </c>
      <c r="BV23" s="15">
        <f>Sheet1!E8</f>
        <v>0</v>
      </c>
      <c r="BW23" s="15">
        <f>Sheet1!CV8</f>
        <v>0</v>
      </c>
      <c r="BX23" s="15">
        <f>Sheet1!CW8</f>
        <v>0</v>
      </c>
      <c r="BY23" s="15"/>
      <c r="BZ23" s="3">
        <f>Sheet1!BZ8</f>
        <v>0</v>
      </c>
      <c r="CA23" s="3">
        <f t="shared" ref="CA23" si="18">SUMPRODUCT($N$16:$BU$16,N23:BU23)+BZ23</f>
        <v>0</v>
      </c>
      <c r="CB23" s="27">
        <f>Sheet1!CB8</f>
        <v>0</v>
      </c>
      <c r="CC23" s="3">
        <f t="shared" ref="CC23" si="19">CA23*CB23</f>
        <v>0</v>
      </c>
      <c r="CD23" s="51"/>
      <c r="CE23" s="3">
        <f t="shared" ref="CE23" si="20">CA23*CD23</f>
        <v>0</v>
      </c>
      <c r="CF23" s="51">
        <v>0</v>
      </c>
      <c r="CG23" s="3">
        <f t="shared" ref="CG23" si="21">CA23*CF23</f>
        <v>0</v>
      </c>
      <c r="CH23" s="3">
        <f t="shared" ref="CH23" si="22">CA23+CC23+CE23+CG23</f>
        <v>0</v>
      </c>
      <c r="CI23" s="51">
        <v>0.02</v>
      </c>
      <c r="CJ23" s="1">
        <f t="shared" ref="CJ23" si="23">CH23*CI23</f>
        <v>0</v>
      </c>
      <c r="CK23" s="51">
        <v>0.01</v>
      </c>
      <c r="CL23" s="1">
        <f t="shared" ref="CL23" si="24">CH23*CK23</f>
        <v>0</v>
      </c>
    </row>
    <row r="24" spans="1:90" x14ac:dyDescent="0.25">
      <c r="F24" s="70">
        <f>SUMPRODUCT(F17:F23,K17:K23)</f>
        <v>23459.22</v>
      </c>
      <c r="G24" t="s">
        <v>196</v>
      </c>
    </row>
    <row r="25" spans="1:90" x14ac:dyDescent="0.25">
      <c r="F25" s="70"/>
    </row>
    <row r="26" spans="1:90" ht="30" hidden="1" x14ac:dyDescent="0.25">
      <c r="E26" s="2" t="s">
        <v>185</v>
      </c>
      <c r="F26" s="2" t="s">
        <v>186</v>
      </c>
      <c r="G26" s="60" t="s">
        <v>187</v>
      </c>
      <c r="H26" s="45" t="s">
        <v>188</v>
      </c>
      <c r="I26" s="2" t="s">
        <v>189</v>
      </c>
      <c r="J26" s="2" t="s">
        <v>190</v>
      </c>
      <c r="K26" s="2" t="s">
        <v>191</v>
      </c>
      <c r="L26" s="2" t="s">
        <v>192</v>
      </c>
      <c r="M26" s="61" t="s">
        <v>193</v>
      </c>
    </row>
    <row r="27" spans="1:90" ht="30" hidden="1" x14ac:dyDescent="0.25">
      <c r="D27" s="30" t="str">
        <f t="shared" ref="D27:D32" si="25">D17</f>
        <v>4 CORE X 35 SQ. MM. AL/ARD - STRIP (XLPE)</v>
      </c>
      <c r="E27" s="60">
        <f t="shared" ref="E27:E32" si="26">K17</f>
        <v>0.5</v>
      </c>
      <c r="F27" s="62">
        <f t="shared" ref="F27:F32" si="27">BY17/1000</f>
        <v>0.5</v>
      </c>
      <c r="G27" s="60" t="s">
        <v>194</v>
      </c>
      <c r="H27" s="63">
        <v>23000</v>
      </c>
      <c r="I27" s="62">
        <v>23</v>
      </c>
      <c r="J27" s="60">
        <f>F27*I27</f>
        <v>11.5</v>
      </c>
      <c r="K27" s="60">
        <f t="shared" ref="K27:K32" si="28">ROUNDUP((E27/J27),1)</f>
        <v>0.1</v>
      </c>
      <c r="L27" s="60">
        <f>M27*E27</f>
        <v>2300</v>
      </c>
      <c r="M27" s="64">
        <f>(H27*K27)/E27</f>
        <v>4600</v>
      </c>
    </row>
    <row r="28" spans="1:90" ht="30" hidden="1" x14ac:dyDescent="0.25">
      <c r="D28" s="30" t="str">
        <f t="shared" si="25"/>
        <v>4 CORE X 35 SQ. MM. AL/UNARD.(XLPE)</v>
      </c>
      <c r="E28" s="60">
        <f t="shared" si="26"/>
        <v>0.5</v>
      </c>
      <c r="F28" s="62">
        <f t="shared" si="27"/>
        <v>0.5</v>
      </c>
      <c r="G28" s="60" t="s">
        <v>194</v>
      </c>
      <c r="H28" s="63">
        <v>23000</v>
      </c>
      <c r="I28" s="62">
        <v>29</v>
      </c>
      <c r="J28" s="60">
        <f t="shared" ref="J28:J32" si="29">F28*I28</f>
        <v>14.5</v>
      </c>
      <c r="K28" s="60">
        <f t="shared" si="28"/>
        <v>0.1</v>
      </c>
      <c r="L28" s="60">
        <f t="shared" ref="L28:L32" si="30">M28*E28</f>
        <v>2300</v>
      </c>
      <c r="M28" s="64">
        <f t="shared" ref="M28:M32" si="31">(H28*K28)/E28</f>
        <v>4600</v>
      </c>
    </row>
    <row r="29" spans="1:90" ht="30" hidden="1" x14ac:dyDescent="0.25">
      <c r="D29" s="30" t="str">
        <f t="shared" si="25"/>
        <v>4 CORE X 16 SQ. MM. ALU/ARD - STRIP (XLPE)</v>
      </c>
      <c r="E29" s="60">
        <f t="shared" si="26"/>
        <v>2</v>
      </c>
      <c r="F29" s="62">
        <f t="shared" si="27"/>
        <v>0.5</v>
      </c>
      <c r="G29" s="60" t="s">
        <v>194</v>
      </c>
      <c r="H29" s="63">
        <v>23000</v>
      </c>
      <c r="I29" s="62">
        <v>37</v>
      </c>
      <c r="J29" s="60">
        <f t="shared" si="29"/>
        <v>18.5</v>
      </c>
      <c r="K29" s="60">
        <f t="shared" si="28"/>
        <v>0.2</v>
      </c>
      <c r="L29" s="60">
        <f t="shared" si="30"/>
        <v>4600</v>
      </c>
      <c r="M29" s="64">
        <f t="shared" si="31"/>
        <v>2300</v>
      </c>
    </row>
    <row r="30" spans="1:90" ht="30" hidden="1" x14ac:dyDescent="0.25">
      <c r="D30" s="30" t="str">
        <f t="shared" si="25"/>
        <v>4 CORE X 16 SQ. MM. ALU/UNARD (XLPE)</v>
      </c>
      <c r="E30" s="60">
        <f t="shared" si="26"/>
        <v>0.5</v>
      </c>
      <c r="F30" s="62">
        <f t="shared" si="27"/>
        <v>0.5</v>
      </c>
      <c r="G30" s="60" t="s">
        <v>194</v>
      </c>
      <c r="H30" s="63">
        <v>23000</v>
      </c>
      <c r="I30" s="62">
        <v>42</v>
      </c>
      <c r="J30" s="60">
        <f t="shared" si="29"/>
        <v>21</v>
      </c>
      <c r="K30" s="60">
        <f t="shared" si="28"/>
        <v>0.1</v>
      </c>
      <c r="L30" s="60">
        <f t="shared" si="30"/>
        <v>2300</v>
      </c>
      <c r="M30" s="64">
        <f t="shared" si="31"/>
        <v>4600</v>
      </c>
    </row>
    <row r="31" spans="1:90" ht="30" hidden="1" x14ac:dyDescent="0.25">
      <c r="D31" s="30" t="str">
        <f t="shared" si="25"/>
        <v>4 CORE X 10 SQ. MM. AL/UNARD (XLPE)</v>
      </c>
      <c r="E31" s="60">
        <f t="shared" si="26"/>
        <v>1</v>
      </c>
      <c r="F31" s="62">
        <f t="shared" si="27"/>
        <v>0.5</v>
      </c>
      <c r="G31" s="60" t="s">
        <v>194</v>
      </c>
      <c r="H31" s="63">
        <v>23000</v>
      </c>
      <c r="I31" s="62">
        <v>46</v>
      </c>
      <c r="J31" s="60">
        <f t="shared" si="29"/>
        <v>23</v>
      </c>
      <c r="K31" s="60">
        <f t="shared" si="28"/>
        <v>0.1</v>
      </c>
      <c r="L31" s="60">
        <f t="shared" si="30"/>
        <v>2300</v>
      </c>
      <c r="M31" s="64">
        <f t="shared" si="31"/>
        <v>2300</v>
      </c>
    </row>
    <row r="32" spans="1:90" ht="30" hidden="1" x14ac:dyDescent="0.25">
      <c r="D32" s="30" t="str">
        <f t="shared" si="25"/>
        <v>4 CORE X 6 SQ. MM. AL/UNARD.(XLPE)</v>
      </c>
      <c r="E32" s="60">
        <f t="shared" si="26"/>
        <v>2</v>
      </c>
      <c r="F32" s="62">
        <f t="shared" si="27"/>
        <v>0.5</v>
      </c>
      <c r="G32" s="60" t="s">
        <v>194</v>
      </c>
      <c r="H32" s="63">
        <v>23000</v>
      </c>
      <c r="I32" s="62">
        <v>46</v>
      </c>
      <c r="J32" s="60">
        <f t="shared" si="29"/>
        <v>23</v>
      </c>
      <c r="K32" s="60">
        <f t="shared" si="28"/>
        <v>0.1</v>
      </c>
      <c r="L32" s="60">
        <f t="shared" si="30"/>
        <v>2300</v>
      </c>
      <c r="M32" s="64">
        <f t="shared" si="31"/>
        <v>1150</v>
      </c>
    </row>
    <row r="33" spans="1:89" hidden="1" x14ac:dyDescent="0.25"/>
    <row r="34" spans="1:89" x14ac:dyDescent="0.25">
      <c r="M34" s="71"/>
    </row>
    <row r="35" spans="1:89" ht="51" x14ac:dyDescent="0.25">
      <c r="A35" s="22" t="s">
        <v>0</v>
      </c>
      <c r="B35" s="22" t="s">
        <v>133</v>
      </c>
      <c r="C35" s="22" t="s">
        <v>1</v>
      </c>
      <c r="D35" s="22" t="s">
        <v>2</v>
      </c>
      <c r="E35" s="5" t="s">
        <v>197</v>
      </c>
      <c r="F35" s="15" t="s">
        <v>198</v>
      </c>
      <c r="G35" s="15" t="s">
        <v>199</v>
      </c>
      <c r="H35" s="6" t="s">
        <v>73</v>
      </c>
      <c r="I35" s="15" t="s">
        <v>74</v>
      </c>
      <c r="J35" s="15" t="s">
        <v>200</v>
      </c>
      <c r="K35" s="15" t="s">
        <v>76</v>
      </c>
      <c r="L35" s="15" t="s">
        <v>77</v>
      </c>
      <c r="M35" s="15" t="s">
        <v>78</v>
      </c>
    </row>
    <row r="36" spans="1:89" x14ac:dyDescent="0.25">
      <c r="A36" s="31"/>
      <c r="B36" s="31"/>
      <c r="C36" s="31"/>
      <c r="D36" s="31"/>
      <c r="E36" s="5"/>
      <c r="F36" s="67"/>
      <c r="G36" s="5"/>
      <c r="H36" s="5"/>
      <c r="I36" s="5"/>
      <c r="J36" s="5"/>
      <c r="K36" s="5"/>
      <c r="L36" s="5"/>
      <c r="M36" s="5"/>
    </row>
    <row r="37" spans="1:89" ht="30" x14ac:dyDescent="0.25">
      <c r="A37" s="1" t="str">
        <f>A17</f>
        <v>ENQ-11226-22-23</v>
      </c>
      <c r="B37" s="54">
        <f>B17</f>
        <v>45194</v>
      </c>
      <c r="C37" s="1" t="str">
        <f>C17</f>
        <v>FA0900018</v>
      </c>
      <c r="D37" s="1" t="str">
        <f>D17</f>
        <v>4 CORE X 35 SQ. MM. AL/ARD - STRIP (XLPE)</v>
      </c>
      <c r="E37" s="3">
        <f>ROUNDUP(E17/1000,2)</f>
        <v>215.17</v>
      </c>
      <c r="F37" s="65">
        <f>ROUNDUP(F17/1000,2)</f>
        <v>7.54</v>
      </c>
      <c r="G37" s="9">
        <f t="shared" ref="G37:G43" si="32">E37+F37</f>
        <v>222.70999999999998</v>
      </c>
      <c r="H37" s="7">
        <f>H17</f>
        <v>0.18</v>
      </c>
      <c r="I37" s="9">
        <f t="shared" ref="I37:I43" si="33">G37*H37</f>
        <v>40.087799999999994</v>
      </c>
      <c r="J37" s="9">
        <f t="shared" ref="J37:J43" si="34">G37+I37</f>
        <v>262.7978</v>
      </c>
      <c r="K37" s="1">
        <f>K17*1000</f>
        <v>500</v>
      </c>
      <c r="L37" s="1" t="s">
        <v>201</v>
      </c>
      <c r="M37" s="3">
        <f t="shared" ref="M37:M43" si="35">J37*K37</f>
        <v>131398.9</v>
      </c>
    </row>
    <row r="38" spans="1:89" ht="30" x14ac:dyDescent="0.25">
      <c r="A38" s="1" t="str">
        <f t="shared" ref="A38:D38" si="36">A18</f>
        <v>ENQ-11226-22-23</v>
      </c>
      <c r="B38" s="54">
        <f t="shared" si="36"/>
        <v>45194</v>
      </c>
      <c r="C38" s="1" t="str">
        <f t="shared" si="36"/>
        <v>FA1000016</v>
      </c>
      <c r="D38" s="1" t="str">
        <f t="shared" si="36"/>
        <v>4 CORE X 35 SQ. MM. AL/UNARD.(XLPE)</v>
      </c>
      <c r="E38" s="3">
        <f t="shared" ref="E38:F43" si="37">ROUNDUP(E18/1000,2)</f>
        <v>175.35</v>
      </c>
      <c r="F38" s="65">
        <f t="shared" si="37"/>
        <v>6.14</v>
      </c>
      <c r="G38" s="9">
        <f t="shared" si="32"/>
        <v>181.48999999999998</v>
      </c>
      <c r="H38" s="7">
        <f t="shared" ref="H38:H43" si="38">H18</f>
        <v>0.18</v>
      </c>
      <c r="I38" s="9">
        <f t="shared" si="33"/>
        <v>32.668199999999999</v>
      </c>
      <c r="J38" s="9">
        <f t="shared" si="34"/>
        <v>214.15819999999997</v>
      </c>
      <c r="K38" s="1">
        <f t="shared" ref="K38:K43" si="39">K18*1000</f>
        <v>500</v>
      </c>
      <c r="L38" s="1" t="s">
        <v>201</v>
      </c>
      <c r="M38" s="3">
        <f t="shared" si="35"/>
        <v>107079.09999999998</v>
      </c>
    </row>
    <row r="39" spans="1:89" ht="30" x14ac:dyDescent="0.25">
      <c r="A39" s="1" t="str">
        <f t="shared" ref="A39:D39" si="40">A19</f>
        <v>ENQ-11226-22-23</v>
      </c>
      <c r="B39" s="54">
        <f t="shared" si="40"/>
        <v>45194</v>
      </c>
      <c r="C39" s="1" t="str">
        <f t="shared" si="40"/>
        <v>FA0900013</v>
      </c>
      <c r="D39" s="1" t="str">
        <f t="shared" si="40"/>
        <v>4 CORE X 16 SQ. MM. ALU/ARD - STRIP (XLPE)</v>
      </c>
      <c r="E39" s="3">
        <f t="shared" si="37"/>
        <v>124.79</v>
      </c>
      <c r="F39" s="65">
        <f t="shared" si="37"/>
        <v>4.37</v>
      </c>
      <c r="G39" s="9">
        <f t="shared" si="32"/>
        <v>129.16</v>
      </c>
      <c r="H39" s="7">
        <f t="shared" si="38"/>
        <v>0.18</v>
      </c>
      <c r="I39" s="9">
        <f t="shared" si="33"/>
        <v>23.248799999999999</v>
      </c>
      <c r="J39" s="9">
        <f t="shared" si="34"/>
        <v>152.40879999999999</v>
      </c>
      <c r="K39" s="1">
        <f t="shared" si="39"/>
        <v>2000</v>
      </c>
      <c r="L39" s="1" t="s">
        <v>201</v>
      </c>
      <c r="M39" s="3">
        <f t="shared" si="35"/>
        <v>304817.59999999998</v>
      </c>
    </row>
    <row r="40" spans="1:89" ht="30" x14ac:dyDescent="0.25">
      <c r="A40" s="1" t="str">
        <f t="shared" ref="A40:D40" si="41">A20</f>
        <v>ENQ-11226-22-23</v>
      </c>
      <c r="B40" s="54">
        <f t="shared" si="41"/>
        <v>45194</v>
      </c>
      <c r="C40" s="1" t="str">
        <f t="shared" si="41"/>
        <v>FA1000014</v>
      </c>
      <c r="D40" s="1" t="str">
        <f t="shared" si="41"/>
        <v>4 CORE X 16 SQ. MM. ALU/UNARD (XLPE)</v>
      </c>
      <c r="E40" s="3">
        <f t="shared" si="37"/>
        <v>93.43</v>
      </c>
      <c r="F40" s="65">
        <f t="shared" si="37"/>
        <v>3.2699999999999996</v>
      </c>
      <c r="G40" s="9">
        <f t="shared" si="32"/>
        <v>96.7</v>
      </c>
      <c r="H40" s="7">
        <f t="shared" si="38"/>
        <v>0.18</v>
      </c>
      <c r="I40" s="9">
        <f t="shared" si="33"/>
        <v>17.405999999999999</v>
      </c>
      <c r="J40" s="9">
        <f t="shared" si="34"/>
        <v>114.10599999999999</v>
      </c>
      <c r="K40" s="1">
        <f t="shared" si="39"/>
        <v>500</v>
      </c>
      <c r="L40" s="1" t="s">
        <v>201</v>
      </c>
      <c r="M40" s="3">
        <f t="shared" si="35"/>
        <v>57053</v>
      </c>
    </row>
    <row r="41" spans="1:89" ht="30" x14ac:dyDescent="0.25">
      <c r="A41" s="1" t="str">
        <f t="shared" ref="A41:D41" si="42">A21</f>
        <v>ENQ-11226-22-23</v>
      </c>
      <c r="B41" s="54">
        <f t="shared" si="42"/>
        <v>45194</v>
      </c>
      <c r="C41" s="1" t="str">
        <f t="shared" si="42"/>
        <v>FA1000048</v>
      </c>
      <c r="D41" s="1" t="str">
        <f t="shared" si="42"/>
        <v>4 CORE X 10 SQ. MM. AL/UNARD (XLPE)</v>
      </c>
      <c r="E41" s="3">
        <f t="shared" si="37"/>
        <v>71.25</v>
      </c>
      <c r="F41" s="65">
        <f t="shared" si="37"/>
        <v>2.5</v>
      </c>
      <c r="G41" s="9">
        <f t="shared" si="32"/>
        <v>73.75</v>
      </c>
      <c r="H41" s="7">
        <f t="shared" si="38"/>
        <v>0.18</v>
      </c>
      <c r="I41" s="9">
        <f t="shared" si="33"/>
        <v>13.275</v>
      </c>
      <c r="J41" s="9">
        <f t="shared" si="34"/>
        <v>87.025000000000006</v>
      </c>
      <c r="K41" s="1">
        <f t="shared" si="39"/>
        <v>1000</v>
      </c>
      <c r="L41" s="1" t="s">
        <v>201</v>
      </c>
      <c r="M41" s="3">
        <f t="shared" si="35"/>
        <v>87025</v>
      </c>
    </row>
    <row r="42" spans="1:89" ht="30" x14ac:dyDescent="0.25">
      <c r="A42" s="1" t="str">
        <f t="shared" ref="A42:D42" si="43">A22</f>
        <v>ENQ-11226-22-23</v>
      </c>
      <c r="B42" s="54">
        <f t="shared" si="43"/>
        <v>45194</v>
      </c>
      <c r="C42" s="1" t="str">
        <f t="shared" si="43"/>
        <v>FA1000026</v>
      </c>
      <c r="D42" s="1" t="str">
        <f t="shared" si="43"/>
        <v>4 CORE X 6 SQ. MM. AL/UNARD.(XLPE)</v>
      </c>
      <c r="E42" s="3">
        <f t="shared" si="37"/>
        <v>53.739999999999995</v>
      </c>
      <c r="F42" s="65">
        <f t="shared" si="37"/>
        <v>1.89</v>
      </c>
      <c r="G42" s="9">
        <f t="shared" si="32"/>
        <v>55.629999999999995</v>
      </c>
      <c r="H42" s="7">
        <f t="shared" si="38"/>
        <v>0.18</v>
      </c>
      <c r="I42" s="9">
        <f t="shared" si="33"/>
        <v>10.013399999999999</v>
      </c>
      <c r="J42" s="9">
        <f t="shared" si="34"/>
        <v>65.6434</v>
      </c>
      <c r="K42" s="1">
        <f t="shared" si="39"/>
        <v>2000</v>
      </c>
      <c r="L42" s="1" t="s">
        <v>201</v>
      </c>
      <c r="M42" s="3">
        <f t="shared" si="35"/>
        <v>131286.79999999999</v>
      </c>
    </row>
    <row r="43" spans="1:89" s="46" customFormat="1" ht="90" x14ac:dyDescent="0.25">
      <c r="A43" s="72">
        <f t="shared" ref="A43:D43" si="44">A23</f>
        <v>0</v>
      </c>
      <c r="B43" s="73">
        <f t="shared" si="44"/>
        <v>0</v>
      </c>
      <c r="C43" s="72">
        <f t="shared" si="44"/>
        <v>0</v>
      </c>
      <c r="D43" s="72" t="str">
        <f t="shared" si="44"/>
        <v>PENDENT CABLE 12 CORE,1.5 MM2 # ( Trailing Cable, 12C X 1.5 Sq.mm Rubber Insulated, flexible Cu, FRLS, 1.1kv grade,conform to IS : 9968 (Pt-1)/88 )</v>
      </c>
      <c r="E43" s="74">
        <f t="shared" si="37"/>
        <v>0</v>
      </c>
      <c r="F43" s="75">
        <f t="shared" si="37"/>
        <v>0</v>
      </c>
      <c r="G43" s="76">
        <f t="shared" si="32"/>
        <v>0</v>
      </c>
      <c r="H43" s="77">
        <f t="shared" si="38"/>
        <v>0.18</v>
      </c>
      <c r="I43" s="76">
        <f t="shared" si="33"/>
        <v>0</v>
      </c>
      <c r="J43" s="76">
        <f t="shared" si="34"/>
        <v>0</v>
      </c>
      <c r="K43" s="72">
        <f t="shared" si="39"/>
        <v>200</v>
      </c>
      <c r="L43" s="72" t="s">
        <v>201</v>
      </c>
      <c r="M43" s="74">
        <f t="shared" si="35"/>
        <v>0</v>
      </c>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9"/>
      <c r="CA43" s="79"/>
      <c r="CB43" s="80"/>
      <c r="CC43" s="79"/>
      <c r="CD43" s="81"/>
      <c r="CE43" s="79"/>
      <c r="CF43" s="82"/>
      <c r="CG43" s="79"/>
      <c r="CH43" s="79"/>
      <c r="CI43" s="82"/>
      <c r="CK43" s="82"/>
    </row>
    <row r="44" spans="1:89" x14ac:dyDescent="0.25">
      <c r="M44" s="83">
        <f>SUM(M37:M43)</f>
        <v>818660.39999999991</v>
      </c>
    </row>
  </sheetData>
  <mergeCells count="18">
    <mergeCell ref="B9:R9"/>
    <mergeCell ref="B10:R10"/>
    <mergeCell ref="A2:R2"/>
    <mergeCell ref="AL14:AR14"/>
    <mergeCell ref="AS14:BB14"/>
    <mergeCell ref="BC14:BL14"/>
    <mergeCell ref="N14:R14"/>
    <mergeCell ref="S14:T14"/>
    <mergeCell ref="U14:AB14"/>
    <mergeCell ref="AC14:AD14"/>
    <mergeCell ref="AE14:AJ14"/>
    <mergeCell ref="B11:R11"/>
    <mergeCell ref="B12:R12"/>
    <mergeCell ref="B4:R4"/>
    <mergeCell ref="B5:R5"/>
    <mergeCell ref="B6:R6"/>
    <mergeCell ref="B7:R7"/>
    <mergeCell ref="B8:R8"/>
  </mergeCells>
  <dataValidations disablePrompts="1" count="1">
    <dataValidation type="list" allowBlank="1" showInputMessage="1" showErrorMessage="1" sqref="G27:G32">
      <formula1>$Q$4:$Q$6</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2023-09-26T07:57:08Z</dcterms:modified>
</cp:coreProperties>
</file>