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02_FEBRUARY 2024\TPCODL-531-33KV-12172\"/>
    </mc:Choice>
  </mc:AlternateContent>
  <xr:revisionPtr revIDLastSave="0" documentId="13_ncr:1_{AC8DFDEC-3957-415C-81B3-1D7090BD008D}" xr6:coauthVersionLast="47" xr6:coauthVersionMax="47" xr10:uidLastSave="{00000000-0000-0000-0000-000000000000}"/>
  <bookViews>
    <workbookView xWindow="0" yWindow="2730" windowWidth="28800" windowHeight="7935" firstSheet="1" activeTab="1" xr2:uid="{00000000-000D-0000-FFFF-FFFF00000000}"/>
  </bookViews>
  <sheets>
    <sheet name="Sheet1" sheetId="1" state="hidden" r:id="rId1"/>
    <sheet name="AUTO CALCULATION SHEET (2)" sheetId="4" r:id="rId2"/>
  </sheets>
  <definedNames>
    <definedName name="_xlnm._FilterDatabase" localSheetId="1" hidden="1">'AUTO CALCULATION SHEET (2)'!$A$18:$CM$29</definedName>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8" i="4" l="1"/>
  <c r="K57" i="4"/>
  <c r="K56" i="4"/>
  <c r="K55" i="4"/>
  <c r="K54" i="4"/>
  <c r="K53" i="4"/>
  <c r="K52" i="4"/>
  <c r="K51" i="4"/>
  <c r="K50" i="4"/>
  <c r="K49" i="4"/>
  <c r="K48" i="4"/>
  <c r="A49" i="4"/>
  <c r="B49" i="4"/>
  <c r="C49" i="4"/>
  <c r="D49" i="4"/>
  <c r="A50" i="4"/>
  <c r="B50" i="4"/>
  <c r="C50" i="4"/>
  <c r="D50" i="4"/>
  <c r="A51" i="4"/>
  <c r="B51" i="4"/>
  <c r="C51" i="4"/>
  <c r="D51" i="4"/>
  <c r="A52" i="4"/>
  <c r="B52" i="4"/>
  <c r="C52" i="4"/>
  <c r="D52" i="4"/>
  <c r="A53" i="4"/>
  <c r="B53" i="4"/>
  <c r="C53" i="4"/>
  <c r="D53" i="4"/>
  <c r="A54" i="4"/>
  <c r="B54" i="4"/>
  <c r="C54" i="4"/>
  <c r="D54" i="4"/>
  <c r="A55" i="4"/>
  <c r="B55" i="4"/>
  <c r="C55" i="4"/>
  <c r="D55" i="4"/>
  <c r="A56" i="4"/>
  <c r="B56" i="4"/>
  <c r="C56" i="4"/>
  <c r="D56" i="4"/>
  <c r="A57" i="4"/>
  <c r="B57" i="4"/>
  <c r="C57" i="4"/>
  <c r="D57" i="4"/>
  <c r="A58" i="4"/>
  <c r="B58" i="4"/>
  <c r="C58" i="4"/>
  <c r="D58" i="4"/>
  <c r="D48" i="4"/>
  <c r="C48" i="4"/>
  <c r="B48" i="4"/>
  <c r="A48" i="4"/>
  <c r="C33" i="4" l="1"/>
  <c r="C34" i="4"/>
  <c r="C35" i="4"/>
  <c r="C36" i="4"/>
  <c r="C37" i="4"/>
  <c r="C38" i="4"/>
  <c r="C39" i="4"/>
  <c r="C40" i="4"/>
  <c r="C41" i="4"/>
  <c r="C42" i="4"/>
  <c r="C32" i="4"/>
  <c r="BW20" i="4" l="1"/>
  <c r="BW21" i="4"/>
  <c r="BW22" i="4"/>
  <c r="BW23" i="4"/>
  <c r="BW24" i="4"/>
  <c r="BW25" i="4"/>
  <c r="BW26" i="4"/>
  <c r="BW27" i="4"/>
  <c r="BW28" i="4"/>
  <c r="BW29" i="4"/>
  <c r="BW19" i="4"/>
  <c r="BZ22" i="4" l="1"/>
  <c r="F35" i="4" s="1"/>
  <c r="J35" i="4" s="1"/>
  <c r="BZ24" i="4"/>
  <c r="F37" i="4" s="1"/>
  <c r="J37" i="4" s="1"/>
  <c r="BZ21" i="4"/>
  <c r="F34" i="4" s="1"/>
  <c r="J34" i="4" s="1"/>
  <c r="BZ26" i="4"/>
  <c r="F39" i="4" s="1"/>
  <c r="J39" i="4" s="1"/>
  <c r="BZ29" i="4"/>
  <c r="F42" i="4" s="1"/>
  <c r="J42" i="4" s="1"/>
  <c r="BZ23" i="4"/>
  <c r="F36" i="4" s="1"/>
  <c r="J36" i="4" s="1"/>
  <c r="BZ28" i="4"/>
  <c r="F41" i="4" s="1"/>
  <c r="J41" i="4" s="1"/>
  <c r="BZ20" i="4"/>
  <c r="F33" i="4" s="1"/>
  <c r="J33" i="4" s="1"/>
  <c r="BZ19" i="4"/>
  <c r="F32" i="4" s="1"/>
  <c r="J32" i="4" s="1"/>
  <c r="BZ27" i="4"/>
  <c r="F40" i="4" s="1"/>
  <c r="J40" i="4" s="1"/>
  <c r="BZ25" i="4"/>
  <c r="F38" i="4" s="1"/>
  <c r="J38" i="4" s="1"/>
  <c r="BZ17" i="4"/>
  <c r="A22" i="4"/>
  <c r="C22" i="4"/>
  <c r="D22" i="4"/>
  <c r="D35" i="4" s="1"/>
  <c r="K22" i="4"/>
  <c r="E35" i="4" s="1"/>
  <c r="L22" i="4"/>
  <c r="N22" i="4"/>
  <c r="O22" i="4"/>
  <c r="P22" i="4"/>
  <c r="Q22" i="4"/>
  <c r="R22" i="4"/>
  <c r="S22" i="4"/>
  <c r="T22" i="4"/>
  <c r="U22" i="4"/>
  <c r="V22" i="4"/>
  <c r="W22" i="4"/>
  <c r="X22" i="4"/>
  <c r="Z22" i="4"/>
  <c r="AA22" i="4"/>
  <c r="AB22" i="4"/>
  <c r="AD22" i="4"/>
  <c r="AF22" i="4"/>
  <c r="AG22" i="4"/>
  <c r="AH22" i="4"/>
  <c r="AI22" i="4"/>
  <c r="AJ22" i="4"/>
  <c r="AK22" i="4"/>
  <c r="AL22" i="4"/>
  <c r="AM22" i="4"/>
  <c r="AN22" i="4"/>
  <c r="AO22" i="4"/>
  <c r="AP22" i="4"/>
  <c r="AQ22" i="4"/>
  <c r="AS22" i="4"/>
  <c r="AT22" i="4"/>
  <c r="AU22" i="4"/>
  <c r="AV22" i="4"/>
  <c r="AW22" i="4"/>
  <c r="AX22" i="4"/>
  <c r="AY22" i="4"/>
  <c r="AZ22" i="4"/>
  <c r="BB22" i="4"/>
  <c r="BC22" i="4"/>
  <c r="BD22" i="4"/>
  <c r="BE22" i="4"/>
  <c r="BG22" i="4"/>
  <c r="BH22" i="4"/>
  <c r="BI22" i="4"/>
  <c r="BJ22" i="4"/>
  <c r="BK22" i="4"/>
  <c r="BL22" i="4"/>
  <c r="BN22" i="4"/>
  <c r="BQ22" i="4"/>
  <c r="BR22" i="4"/>
  <c r="BS22" i="4"/>
  <c r="BU22" i="4"/>
  <c r="BV22" i="4"/>
  <c r="CC22" i="4"/>
  <c r="A24" i="4"/>
  <c r="C24" i="4"/>
  <c r="D24" i="4"/>
  <c r="D37" i="4" s="1"/>
  <c r="K24" i="4"/>
  <c r="E37" i="4" s="1"/>
  <c r="L24" i="4"/>
  <c r="N24" i="4"/>
  <c r="O24" i="4"/>
  <c r="P24" i="4"/>
  <c r="Q24" i="4"/>
  <c r="R24" i="4"/>
  <c r="S24" i="4"/>
  <c r="T24" i="4"/>
  <c r="U24" i="4"/>
  <c r="V24" i="4"/>
  <c r="W24" i="4"/>
  <c r="X24" i="4"/>
  <c r="Z24" i="4"/>
  <c r="AA24" i="4"/>
  <c r="AB24" i="4"/>
  <c r="AD24" i="4"/>
  <c r="AF24" i="4"/>
  <c r="AG24" i="4"/>
  <c r="AH24" i="4"/>
  <c r="AI24" i="4"/>
  <c r="AJ24" i="4"/>
  <c r="AK24" i="4"/>
  <c r="AL24" i="4"/>
  <c r="AM24" i="4"/>
  <c r="AN24" i="4"/>
  <c r="AO24" i="4"/>
  <c r="AP24" i="4"/>
  <c r="AQ24" i="4"/>
  <c r="AS24" i="4"/>
  <c r="AT24" i="4"/>
  <c r="AU24" i="4"/>
  <c r="AV24" i="4"/>
  <c r="AW24" i="4"/>
  <c r="AX24" i="4"/>
  <c r="AY24" i="4"/>
  <c r="AZ24" i="4"/>
  <c r="BB24" i="4"/>
  <c r="BC24" i="4"/>
  <c r="BD24" i="4"/>
  <c r="BE24" i="4"/>
  <c r="BG24" i="4"/>
  <c r="BH24" i="4"/>
  <c r="BI24" i="4"/>
  <c r="BJ24" i="4"/>
  <c r="BK24" i="4"/>
  <c r="BL24" i="4"/>
  <c r="BN24" i="4"/>
  <c r="BQ24" i="4"/>
  <c r="BR24" i="4"/>
  <c r="BS24" i="4"/>
  <c r="BU24" i="4"/>
  <c r="BV24" i="4"/>
  <c r="CC24" i="4"/>
  <c r="A21" i="4"/>
  <c r="C21" i="4"/>
  <c r="D21" i="4"/>
  <c r="D34" i="4" s="1"/>
  <c r="K21" i="4"/>
  <c r="E34" i="4" s="1"/>
  <c r="L21" i="4"/>
  <c r="N21" i="4"/>
  <c r="O21" i="4"/>
  <c r="P21" i="4"/>
  <c r="Q21" i="4"/>
  <c r="R21" i="4"/>
  <c r="S21" i="4"/>
  <c r="T21" i="4"/>
  <c r="U21" i="4"/>
  <c r="V21" i="4"/>
  <c r="W21" i="4"/>
  <c r="X21" i="4"/>
  <c r="Z21" i="4"/>
  <c r="AA21" i="4"/>
  <c r="AB21" i="4"/>
  <c r="AD21" i="4"/>
  <c r="AF21" i="4"/>
  <c r="AG21" i="4"/>
  <c r="AH21" i="4"/>
  <c r="AI21" i="4"/>
  <c r="AJ21" i="4"/>
  <c r="AK21" i="4"/>
  <c r="AL21" i="4"/>
  <c r="AM21" i="4"/>
  <c r="AN21" i="4"/>
  <c r="AO21" i="4"/>
  <c r="AP21" i="4"/>
  <c r="AQ21" i="4"/>
  <c r="AS21" i="4"/>
  <c r="AT21" i="4"/>
  <c r="AU21" i="4"/>
  <c r="AV21" i="4"/>
  <c r="AW21" i="4"/>
  <c r="AX21" i="4"/>
  <c r="AY21" i="4"/>
  <c r="AZ21" i="4"/>
  <c r="BB21" i="4"/>
  <c r="BC21" i="4"/>
  <c r="BD21" i="4"/>
  <c r="BE21" i="4"/>
  <c r="BG21" i="4"/>
  <c r="BH21" i="4"/>
  <c r="BI21" i="4"/>
  <c r="BJ21" i="4"/>
  <c r="BK21" i="4"/>
  <c r="BL21" i="4"/>
  <c r="BN21" i="4"/>
  <c r="BQ21" i="4"/>
  <c r="BR21" i="4"/>
  <c r="BS21" i="4"/>
  <c r="BU21" i="4"/>
  <c r="BV21" i="4"/>
  <c r="CC21" i="4"/>
  <c r="A26" i="4"/>
  <c r="C26" i="4"/>
  <c r="D26" i="4"/>
  <c r="D39" i="4" s="1"/>
  <c r="K26" i="4"/>
  <c r="E39" i="4" s="1"/>
  <c r="L26" i="4"/>
  <c r="N26" i="4"/>
  <c r="O26" i="4"/>
  <c r="P26" i="4"/>
  <c r="Q26" i="4"/>
  <c r="R26" i="4"/>
  <c r="S26" i="4"/>
  <c r="T26" i="4"/>
  <c r="U26" i="4"/>
  <c r="V26" i="4"/>
  <c r="W26" i="4"/>
  <c r="X26" i="4"/>
  <c r="Z26" i="4"/>
  <c r="AA26" i="4"/>
  <c r="AB26" i="4"/>
  <c r="AD26" i="4"/>
  <c r="AF26" i="4"/>
  <c r="AG26" i="4"/>
  <c r="AH26" i="4"/>
  <c r="AI26" i="4"/>
  <c r="AJ26" i="4"/>
  <c r="AK26" i="4"/>
  <c r="AL26" i="4"/>
  <c r="AM26" i="4"/>
  <c r="AN26" i="4"/>
  <c r="AO26" i="4"/>
  <c r="AP26" i="4"/>
  <c r="AQ26" i="4"/>
  <c r="AS26" i="4"/>
  <c r="AT26" i="4"/>
  <c r="AU26" i="4"/>
  <c r="AV26" i="4"/>
  <c r="AW26" i="4"/>
  <c r="AX26" i="4"/>
  <c r="AY26" i="4"/>
  <c r="AZ26" i="4"/>
  <c r="BB26" i="4"/>
  <c r="BC26" i="4"/>
  <c r="BD26" i="4"/>
  <c r="BE26" i="4"/>
  <c r="BG26" i="4"/>
  <c r="BH26" i="4"/>
  <c r="BI26" i="4"/>
  <c r="BJ26" i="4"/>
  <c r="BK26" i="4"/>
  <c r="BL26" i="4"/>
  <c r="BN26" i="4"/>
  <c r="BQ26" i="4"/>
  <c r="BR26" i="4"/>
  <c r="BS26" i="4"/>
  <c r="BU26" i="4"/>
  <c r="BV26" i="4"/>
  <c r="CC26" i="4"/>
  <c r="A29" i="4"/>
  <c r="C29" i="4"/>
  <c r="D29" i="4"/>
  <c r="D42" i="4" s="1"/>
  <c r="K29" i="4"/>
  <c r="E42" i="4" s="1"/>
  <c r="L29" i="4"/>
  <c r="N29" i="4"/>
  <c r="O29" i="4"/>
  <c r="P29" i="4"/>
  <c r="Q29" i="4"/>
  <c r="R29" i="4"/>
  <c r="S29" i="4"/>
  <c r="T29" i="4"/>
  <c r="U29" i="4"/>
  <c r="V29" i="4"/>
  <c r="W29" i="4"/>
  <c r="X29" i="4"/>
  <c r="Z29" i="4"/>
  <c r="AA29" i="4"/>
  <c r="AB29" i="4"/>
  <c r="AD29" i="4"/>
  <c r="AF29" i="4"/>
  <c r="AG29" i="4"/>
  <c r="AH29" i="4"/>
  <c r="AI29" i="4"/>
  <c r="AJ29" i="4"/>
  <c r="AL29" i="4"/>
  <c r="AM29" i="4"/>
  <c r="AN29" i="4"/>
  <c r="AO29" i="4"/>
  <c r="AP29" i="4"/>
  <c r="AR29" i="4"/>
  <c r="AS29" i="4"/>
  <c r="AT29" i="4"/>
  <c r="AU29" i="4"/>
  <c r="AW29" i="4"/>
  <c r="AX29" i="4"/>
  <c r="AY29" i="4"/>
  <c r="AZ29" i="4"/>
  <c r="BA29" i="4"/>
  <c r="BB29" i="4"/>
  <c r="BC29" i="4"/>
  <c r="BD29" i="4"/>
  <c r="BE29" i="4"/>
  <c r="BG29" i="4"/>
  <c r="BH29" i="4"/>
  <c r="BI29" i="4"/>
  <c r="BJ29" i="4"/>
  <c r="BK29" i="4"/>
  <c r="BL29" i="4"/>
  <c r="BM29" i="4"/>
  <c r="BN29" i="4"/>
  <c r="BQ29" i="4"/>
  <c r="BR29" i="4"/>
  <c r="BS29" i="4"/>
  <c r="BU29" i="4"/>
  <c r="BV29" i="4"/>
  <c r="CC29" i="4"/>
  <c r="A23" i="4"/>
  <c r="C23" i="4"/>
  <c r="D23" i="4"/>
  <c r="D36" i="4" s="1"/>
  <c r="K23" i="4"/>
  <c r="E36" i="4" s="1"/>
  <c r="L23" i="4"/>
  <c r="N23" i="4"/>
  <c r="O23" i="4"/>
  <c r="P23" i="4"/>
  <c r="Q23" i="4"/>
  <c r="R23" i="4"/>
  <c r="S23" i="4"/>
  <c r="T23" i="4"/>
  <c r="U23" i="4"/>
  <c r="V23" i="4"/>
  <c r="W23" i="4"/>
  <c r="X23" i="4"/>
  <c r="Z23" i="4"/>
  <c r="AA23" i="4"/>
  <c r="AB23" i="4"/>
  <c r="AD23" i="4"/>
  <c r="AF23" i="4"/>
  <c r="AG23" i="4"/>
  <c r="AH23" i="4"/>
  <c r="AI23" i="4"/>
  <c r="AJ23" i="4"/>
  <c r="AK23" i="4"/>
  <c r="AL23" i="4"/>
  <c r="AM23" i="4"/>
  <c r="AN23" i="4"/>
  <c r="AO23" i="4"/>
  <c r="AP23" i="4"/>
  <c r="AQ23" i="4"/>
  <c r="AS23" i="4"/>
  <c r="AT23" i="4"/>
  <c r="AU23" i="4"/>
  <c r="AV23" i="4"/>
  <c r="AW23" i="4"/>
  <c r="AX23" i="4"/>
  <c r="AY23" i="4"/>
  <c r="AZ23" i="4"/>
  <c r="BB23" i="4"/>
  <c r="BC23" i="4"/>
  <c r="BD23" i="4"/>
  <c r="BE23" i="4"/>
  <c r="BG23" i="4"/>
  <c r="BH23" i="4"/>
  <c r="BI23" i="4"/>
  <c r="BJ23" i="4"/>
  <c r="BK23" i="4"/>
  <c r="BL23" i="4"/>
  <c r="BN23" i="4"/>
  <c r="BQ23" i="4"/>
  <c r="BR23" i="4"/>
  <c r="BS23" i="4"/>
  <c r="BU23" i="4"/>
  <c r="BV23" i="4"/>
  <c r="CC23" i="4"/>
  <c r="A28" i="4"/>
  <c r="C28" i="4"/>
  <c r="D28" i="4"/>
  <c r="D41" i="4" s="1"/>
  <c r="K28" i="4"/>
  <c r="E41" i="4" s="1"/>
  <c r="L28" i="4"/>
  <c r="O28" i="4"/>
  <c r="P28" i="4"/>
  <c r="Q28" i="4"/>
  <c r="R28" i="4"/>
  <c r="S28" i="4"/>
  <c r="T28" i="4"/>
  <c r="U28" i="4"/>
  <c r="V28" i="4"/>
  <c r="W28" i="4"/>
  <c r="X28" i="4"/>
  <c r="Z28" i="4"/>
  <c r="AA28" i="4"/>
  <c r="AB28" i="4"/>
  <c r="AD28" i="4"/>
  <c r="AF28" i="4"/>
  <c r="AG28" i="4"/>
  <c r="AH28" i="4"/>
  <c r="AI28" i="4"/>
  <c r="AJ28" i="4"/>
  <c r="AL28" i="4"/>
  <c r="AM28" i="4"/>
  <c r="AN28" i="4"/>
  <c r="AO28" i="4"/>
  <c r="AP28" i="4"/>
  <c r="AR28" i="4"/>
  <c r="AS28" i="4"/>
  <c r="AT28" i="4"/>
  <c r="AU28" i="4"/>
  <c r="AW28" i="4"/>
  <c r="AX28" i="4"/>
  <c r="AY28" i="4"/>
  <c r="AZ28" i="4"/>
  <c r="BA28" i="4"/>
  <c r="BB28" i="4"/>
  <c r="BC28" i="4"/>
  <c r="BD28" i="4"/>
  <c r="BE28" i="4"/>
  <c r="BG28" i="4"/>
  <c r="BH28" i="4"/>
  <c r="BI28" i="4"/>
  <c r="BJ28" i="4"/>
  <c r="BK28" i="4"/>
  <c r="BL28" i="4"/>
  <c r="BM28" i="4"/>
  <c r="BN28" i="4"/>
  <c r="BQ28" i="4"/>
  <c r="BR28" i="4"/>
  <c r="BS28" i="4"/>
  <c r="BU28" i="4"/>
  <c r="BV28" i="4"/>
  <c r="CC28" i="4"/>
  <c r="A20" i="4"/>
  <c r="C20" i="4"/>
  <c r="D20" i="4"/>
  <c r="D33" i="4" s="1"/>
  <c r="K20" i="4"/>
  <c r="E33" i="4" s="1"/>
  <c r="L20" i="4"/>
  <c r="N20" i="4"/>
  <c r="O20" i="4"/>
  <c r="P20" i="4"/>
  <c r="Q20" i="4"/>
  <c r="R20" i="4"/>
  <c r="S20" i="4"/>
  <c r="T20" i="4"/>
  <c r="U20" i="4"/>
  <c r="V20" i="4"/>
  <c r="W20" i="4"/>
  <c r="X20" i="4"/>
  <c r="Z20" i="4"/>
  <c r="AA20" i="4"/>
  <c r="AB20" i="4"/>
  <c r="AD20" i="4"/>
  <c r="AF20" i="4"/>
  <c r="AG20" i="4"/>
  <c r="AH20" i="4"/>
  <c r="AI20" i="4"/>
  <c r="AJ20" i="4"/>
  <c r="AK20" i="4"/>
  <c r="AL20" i="4"/>
  <c r="AM20" i="4"/>
  <c r="AN20" i="4"/>
  <c r="AO20" i="4"/>
  <c r="AP20" i="4"/>
  <c r="AQ20" i="4"/>
  <c r="AS20" i="4"/>
  <c r="AT20" i="4"/>
  <c r="AU20" i="4"/>
  <c r="AV20" i="4"/>
  <c r="AW20" i="4"/>
  <c r="AX20" i="4"/>
  <c r="AY20" i="4"/>
  <c r="AZ20" i="4"/>
  <c r="BB20" i="4"/>
  <c r="BC20" i="4"/>
  <c r="BD20" i="4"/>
  <c r="BE20" i="4"/>
  <c r="BG20" i="4"/>
  <c r="BH20" i="4"/>
  <c r="BI20" i="4"/>
  <c r="BJ20" i="4"/>
  <c r="BK20" i="4"/>
  <c r="BL20" i="4"/>
  <c r="BN20" i="4"/>
  <c r="BQ20" i="4"/>
  <c r="BR20" i="4"/>
  <c r="BS20" i="4"/>
  <c r="BU20" i="4"/>
  <c r="BV20" i="4"/>
  <c r="CC20" i="4"/>
  <c r="A19" i="4"/>
  <c r="C19" i="4"/>
  <c r="D19" i="4"/>
  <c r="D32" i="4" s="1"/>
  <c r="K19" i="4"/>
  <c r="E32" i="4" s="1"/>
  <c r="K32" i="4" s="1"/>
  <c r="M32" i="4" s="1"/>
  <c r="L19" i="4"/>
  <c r="O19" i="4"/>
  <c r="P19" i="4"/>
  <c r="Q19" i="4"/>
  <c r="R19" i="4"/>
  <c r="S19" i="4"/>
  <c r="T19" i="4"/>
  <c r="U19" i="4"/>
  <c r="V19" i="4"/>
  <c r="W19" i="4"/>
  <c r="X19" i="4"/>
  <c r="Z19" i="4"/>
  <c r="AA19" i="4"/>
  <c r="AB19" i="4"/>
  <c r="AD19" i="4"/>
  <c r="AF19" i="4"/>
  <c r="AG19" i="4"/>
  <c r="AH19" i="4"/>
  <c r="AI19" i="4"/>
  <c r="AJ19" i="4"/>
  <c r="AK19" i="4"/>
  <c r="AL19" i="4"/>
  <c r="AM19" i="4"/>
  <c r="AN19" i="4"/>
  <c r="AO19" i="4"/>
  <c r="AP19" i="4"/>
  <c r="AQ19" i="4"/>
  <c r="AS19" i="4"/>
  <c r="AT19" i="4"/>
  <c r="AU19" i="4"/>
  <c r="AV19" i="4"/>
  <c r="AW19" i="4"/>
  <c r="AX19" i="4"/>
  <c r="AY19" i="4"/>
  <c r="AZ19" i="4"/>
  <c r="BB19" i="4"/>
  <c r="BC19" i="4"/>
  <c r="BD19" i="4"/>
  <c r="BE19" i="4"/>
  <c r="BG19" i="4"/>
  <c r="BH19" i="4"/>
  <c r="BI19" i="4"/>
  <c r="BJ19" i="4"/>
  <c r="BK19" i="4"/>
  <c r="BL19" i="4"/>
  <c r="BN19" i="4"/>
  <c r="BQ19" i="4"/>
  <c r="BR19" i="4"/>
  <c r="BS19" i="4"/>
  <c r="BU19" i="4"/>
  <c r="BV19" i="4"/>
  <c r="CC19" i="4"/>
  <c r="A27" i="4"/>
  <c r="C27" i="4"/>
  <c r="D27" i="4"/>
  <c r="D40" i="4" s="1"/>
  <c r="K27" i="4"/>
  <c r="E40" i="4" s="1"/>
  <c r="L27" i="4"/>
  <c r="N27" i="4"/>
  <c r="O27" i="4"/>
  <c r="P27" i="4"/>
  <c r="Q27" i="4"/>
  <c r="R27" i="4"/>
  <c r="S27" i="4"/>
  <c r="T27" i="4"/>
  <c r="U27" i="4"/>
  <c r="V27" i="4"/>
  <c r="W27" i="4"/>
  <c r="X27" i="4"/>
  <c r="Z27" i="4"/>
  <c r="AA27" i="4"/>
  <c r="AB27" i="4"/>
  <c r="AD27" i="4"/>
  <c r="AF27" i="4"/>
  <c r="AG27" i="4"/>
  <c r="AH27" i="4"/>
  <c r="AI27" i="4"/>
  <c r="AJ27" i="4"/>
  <c r="AL27" i="4"/>
  <c r="AM27" i="4"/>
  <c r="AN27" i="4"/>
  <c r="AO27" i="4"/>
  <c r="AP27" i="4"/>
  <c r="AR27" i="4"/>
  <c r="AS27" i="4"/>
  <c r="AT27" i="4"/>
  <c r="AU27" i="4"/>
  <c r="AW27" i="4"/>
  <c r="AX27" i="4"/>
  <c r="AY27" i="4"/>
  <c r="AZ27" i="4"/>
  <c r="BA27" i="4"/>
  <c r="BB27" i="4"/>
  <c r="BC27" i="4"/>
  <c r="BD27" i="4"/>
  <c r="BE27" i="4"/>
  <c r="BG27" i="4"/>
  <c r="BH27" i="4"/>
  <c r="BI27" i="4"/>
  <c r="BJ27" i="4"/>
  <c r="BK27" i="4"/>
  <c r="BL27" i="4"/>
  <c r="BM27" i="4"/>
  <c r="BN27" i="4"/>
  <c r="BQ27" i="4"/>
  <c r="BR27" i="4"/>
  <c r="BS27" i="4"/>
  <c r="BU27" i="4"/>
  <c r="BV27" i="4"/>
  <c r="CC27" i="4"/>
  <c r="K37" i="4" l="1"/>
  <c r="M37" i="4" s="1"/>
  <c r="L37" i="4" s="1"/>
  <c r="F24" i="4"/>
  <c r="F53" i="4" s="1"/>
  <c r="L32" i="4"/>
  <c r="F19" i="4"/>
  <c r="F48" i="4" s="1"/>
  <c r="K41" i="4"/>
  <c r="M41" i="4" s="1"/>
  <c r="K33" i="4"/>
  <c r="M33" i="4" s="1"/>
  <c r="K42" i="4"/>
  <c r="M42" i="4" s="1"/>
  <c r="K34" i="4"/>
  <c r="M34" i="4" s="1"/>
  <c r="K39" i="4"/>
  <c r="M39" i="4" s="1"/>
  <c r="K35" i="4"/>
  <c r="M35" i="4" s="1"/>
  <c r="K40" i="4"/>
  <c r="M40" i="4" s="1"/>
  <c r="K36" i="4"/>
  <c r="M36" i="4" s="1"/>
  <c r="L36" i="4" l="1"/>
  <c r="F23" i="4"/>
  <c r="F52" i="4" s="1"/>
  <c r="L35" i="4"/>
  <c r="F22" i="4"/>
  <c r="F51" i="4" s="1"/>
  <c r="L33" i="4"/>
  <c r="F20" i="4"/>
  <c r="F49" i="4" s="1"/>
  <c r="L40" i="4"/>
  <c r="F27" i="4"/>
  <c r="F56" i="4" s="1"/>
  <c r="L42" i="4"/>
  <c r="F29" i="4"/>
  <c r="F58" i="4" s="1"/>
  <c r="L41" i="4"/>
  <c r="F28" i="4"/>
  <c r="F57" i="4" s="1"/>
  <c r="L39" i="4"/>
  <c r="F26" i="4"/>
  <c r="F55" i="4" s="1"/>
  <c r="L34" i="4"/>
  <c r="F21" i="4"/>
  <c r="F50" i="4" s="1"/>
  <c r="BY17" i="4"/>
  <c r="BX17" i="4"/>
  <c r="BV25" i="4"/>
  <c r="BV17" i="4"/>
  <c r="B17" i="4"/>
  <c r="T18" i="4" l="1"/>
  <c r="S18" i="4"/>
  <c r="AB25" i="4" l="1"/>
  <c r="AA25" i="4"/>
  <c r="Z25" i="4"/>
  <c r="X25" i="4"/>
  <c r="W25" i="4"/>
  <c r="V25" i="4"/>
  <c r="U25" i="4"/>
  <c r="T25" i="4"/>
  <c r="S25" i="4"/>
  <c r="BU25" i="4"/>
  <c r="BS25" i="4"/>
  <c r="BR25" i="4"/>
  <c r="BQ25" i="4"/>
  <c r="BN25" i="4"/>
  <c r="BU18" i="4"/>
  <c r="BL25" i="4"/>
  <c r="BK25" i="4"/>
  <c r="BJ25" i="4"/>
  <c r="BI25" i="4"/>
  <c r="BH25" i="4"/>
  <c r="BG25" i="4"/>
  <c r="BE25" i="4"/>
  <c r="BD25" i="4"/>
  <c r="BC25" i="4"/>
  <c r="BB25" i="4"/>
  <c r="AZ25" i="4"/>
  <c r="AY25" i="4"/>
  <c r="AX25" i="4"/>
  <c r="AW25" i="4"/>
  <c r="AV25" i="4"/>
  <c r="AU25" i="4"/>
  <c r="AT25" i="4"/>
  <c r="AS25" i="4"/>
  <c r="AQ25" i="4"/>
  <c r="AP25" i="4"/>
  <c r="AO25" i="4"/>
  <c r="AN25" i="4"/>
  <c r="AM25" i="4"/>
  <c r="AL25" i="4"/>
  <c r="AK25" i="4"/>
  <c r="AJ25" i="4"/>
  <c r="AI25" i="4"/>
  <c r="AH25" i="4"/>
  <c r="AG25" i="4"/>
  <c r="AF25" i="4"/>
  <c r="AD25" i="4"/>
  <c r="X18" i="4" l="1"/>
  <c r="W18" i="4"/>
  <c r="V18" i="4"/>
  <c r="U18" i="4"/>
  <c r="R18" i="4" l="1"/>
  <c r="Q18" i="4"/>
  <c r="P18" i="4"/>
  <c r="O18" i="4"/>
  <c r="R25" i="4"/>
  <c r="Q25" i="4"/>
  <c r="P25" i="4"/>
  <c r="O25" i="4"/>
  <c r="N16" i="4"/>
  <c r="L25" i="4"/>
  <c r="K25" i="4"/>
  <c r="E38" i="4" s="1"/>
  <c r="K38" i="4" s="1"/>
  <c r="M38" i="4" s="1"/>
  <c r="CC25" i="4"/>
  <c r="D25" i="4"/>
  <c r="D38" i="4" s="1"/>
  <c r="C25" i="4"/>
  <c r="A25" i="4"/>
  <c r="L38" i="4" l="1"/>
  <c r="F25" i="4"/>
  <c r="F54" i="4" s="1"/>
  <c r="CB21" i="4"/>
  <c r="CB19" i="4"/>
  <c r="CB29" i="4"/>
  <c r="CB23" i="4"/>
  <c r="CB20" i="4"/>
  <c r="CB26" i="4"/>
  <c r="CB28" i="4"/>
  <c r="CB24" i="4"/>
  <c r="CB27" i="4"/>
  <c r="CB22" i="4"/>
  <c r="CB25" i="4"/>
  <c r="CF22" i="4" l="1"/>
  <c r="CH22" i="4"/>
  <c r="CD22" i="4"/>
  <c r="CH23" i="4"/>
  <c r="CF23" i="4"/>
  <c r="CD23" i="4"/>
  <c r="CD27" i="4"/>
  <c r="CH27" i="4"/>
  <c r="CF27" i="4"/>
  <c r="CD24" i="4"/>
  <c r="CH24" i="4"/>
  <c r="CF24" i="4"/>
  <c r="CD28" i="4"/>
  <c r="CF28" i="4"/>
  <c r="CH28" i="4"/>
  <c r="CF29" i="4"/>
  <c r="CD29" i="4"/>
  <c r="CH29" i="4"/>
  <c r="CH19" i="4"/>
  <c r="CD19" i="4"/>
  <c r="CF19" i="4"/>
  <c r="CD26" i="4"/>
  <c r="CH26" i="4"/>
  <c r="CF26" i="4"/>
  <c r="CD21" i="4"/>
  <c r="CH21" i="4"/>
  <c r="CF21" i="4"/>
  <c r="CH20" i="4"/>
  <c r="CF20" i="4"/>
  <c r="CD20" i="4"/>
  <c r="CD25" i="4"/>
  <c r="CF25" i="4"/>
  <c r="CH25" i="4"/>
  <c r="CI22" i="4" l="1"/>
  <c r="CM22" i="4" s="1"/>
  <c r="CI28" i="4"/>
  <c r="CK28" i="4" s="1"/>
  <c r="CI23" i="4"/>
  <c r="CK23" i="4" s="1"/>
  <c r="CI19" i="4"/>
  <c r="CK19" i="4" s="1"/>
  <c r="CI26" i="4"/>
  <c r="CI21" i="4"/>
  <c r="CI20" i="4"/>
  <c r="CI29" i="4"/>
  <c r="CI27" i="4"/>
  <c r="CI24" i="4"/>
  <c r="CI25" i="4"/>
  <c r="CK22" i="4" l="1"/>
  <c r="E22" i="4" s="1"/>
  <c r="CM28" i="4"/>
  <c r="E28" i="4" s="1"/>
  <c r="CM23" i="4"/>
  <c r="E23" i="4" s="1"/>
  <c r="CM19" i="4"/>
  <c r="E19" i="4" s="1"/>
  <c r="CK24" i="4"/>
  <c r="CM24" i="4"/>
  <c r="CK27" i="4"/>
  <c r="CM27" i="4"/>
  <c r="CM29" i="4"/>
  <c r="CK29" i="4"/>
  <c r="CK20" i="4"/>
  <c r="CM20" i="4"/>
  <c r="CM26" i="4"/>
  <c r="CK26" i="4"/>
  <c r="CK21" i="4"/>
  <c r="CM21" i="4"/>
  <c r="CK25" i="4"/>
  <c r="CM25" i="4"/>
  <c r="G19" i="4" l="1"/>
  <c r="I19" i="4" s="1"/>
  <c r="J19" i="4" s="1"/>
  <c r="M19" i="4" s="1"/>
  <c r="E48" i="4"/>
  <c r="G48" i="4" s="1"/>
  <c r="G28" i="4"/>
  <c r="I28" i="4" s="1"/>
  <c r="J28" i="4" s="1"/>
  <c r="M28" i="4" s="1"/>
  <c r="E57" i="4"/>
  <c r="G57" i="4" s="1"/>
  <c r="G23" i="4"/>
  <c r="I23" i="4" s="1"/>
  <c r="J23" i="4" s="1"/>
  <c r="M23" i="4" s="1"/>
  <c r="E52" i="4"/>
  <c r="G52" i="4" s="1"/>
  <c r="G22" i="4"/>
  <c r="I22" i="4" s="1"/>
  <c r="J22" i="4" s="1"/>
  <c r="M22" i="4" s="1"/>
  <c r="E51" i="4"/>
  <c r="G51" i="4" s="1"/>
  <c r="E27" i="4"/>
  <c r="E26" i="4"/>
  <c r="E24" i="4"/>
  <c r="E20" i="4"/>
  <c r="E29" i="4"/>
  <c r="E21" i="4"/>
  <c r="E25" i="4"/>
  <c r="E54" i="4" s="1"/>
  <c r="G54" i="4" s="1"/>
  <c r="G21" i="4" l="1"/>
  <c r="I21" i="4" s="1"/>
  <c r="J21" i="4" s="1"/>
  <c r="M21" i="4" s="1"/>
  <c r="E50" i="4"/>
  <c r="G50" i="4" s="1"/>
  <c r="G20" i="4"/>
  <c r="I20" i="4" s="1"/>
  <c r="J20" i="4" s="1"/>
  <c r="M20" i="4" s="1"/>
  <c r="E49" i="4"/>
  <c r="G49" i="4" s="1"/>
  <c r="G26" i="4"/>
  <c r="I26" i="4" s="1"/>
  <c r="J26" i="4" s="1"/>
  <c r="M26" i="4" s="1"/>
  <c r="E55" i="4"/>
  <c r="G55" i="4" s="1"/>
  <c r="I52" i="4"/>
  <c r="J52" i="4" s="1"/>
  <c r="M52" i="4" s="1"/>
  <c r="I57" i="4"/>
  <c r="J57" i="4" s="1"/>
  <c r="M57" i="4" s="1"/>
  <c r="I48" i="4"/>
  <c r="J48" i="4" s="1"/>
  <c r="M48" i="4" s="1"/>
  <c r="I54" i="4"/>
  <c r="J54" i="4" s="1"/>
  <c r="M54" i="4" s="1"/>
  <c r="G29" i="4"/>
  <c r="I29" i="4" s="1"/>
  <c r="E58" i="4"/>
  <c r="G58" i="4" s="1"/>
  <c r="G27" i="4"/>
  <c r="I27" i="4" s="1"/>
  <c r="J27" i="4" s="1"/>
  <c r="M27" i="4" s="1"/>
  <c r="E56" i="4"/>
  <c r="G56" i="4" s="1"/>
  <c r="G24" i="4"/>
  <c r="I24" i="4" s="1"/>
  <c r="J24" i="4" s="1"/>
  <c r="M24" i="4" s="1"/>
  <c r="E53" i="4"/>
  <c r="G53" i="4" s="1"/>
  <c r="I51" i="4"/>
  <c r="J51" i="4" s="1"/>
  <c r="M51" i="4" s="1"/>
  <c r="G25" i="4"/>
  <c r="I25" i="4" s="1"/>
  <c r="J25" i="4" s="1"/>
  <c r="M25" i="4" s="1"/>
  <c r="J29" i="4" l="1"/>
  <c r="M29" i="4" s="1"/>
  <c r="I56" i="4"/>
  <c r="J56" i="4" s="1"/>
  <c r="M56" i="4" s="1"/>
  <c r="I58" i="4"/>
  <c r="J58" i="4" s="1"/>
  <c r="M58" i="4" s="1"/>
  <c r="I55" i="4"/>
  <c r="J55" i="4" s="1"/>
  <c r="M55" i="4" s="1"/>
  <c r="I49" i="4"/>
  <c r="J49" i="4" s="1"/>
  <c r="M49" i="4" s="1"/>
  <c r="I50" i="4"/>
  <c r="J50" i="4" s="1"/>
  <c r="M50" i="4" s="1"/>
  <c r="I53" i="4"/>
  <c r="J53" i="4" s="1"/>
  <c r="M5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1" authorId="0" shapeId="0" xr:uid="{2EE942BF-A767-46DC-B0A9-4D84290DF759}">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<sst xmlns="http://schemas.openxmlformats.org/spreadsheetml/2006/main" count="487" uniqueCount="233">
  <si>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</si>
  <si>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</si>
  <si>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</si>
  <si>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</si>
  <si>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</si>
  <si>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</si>
  <si>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</si>
  <si>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</si>
  <si>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</si>
  <si>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</si>
  <si>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</si>
  <si>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</si>
  <si>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</si>
  <si>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</si>
  <si>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</si>
  <si>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</si>
  <si>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</si>
  <si>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</si>
  <si>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</si>
  <si>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</si>
  <si>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</si>
  <si>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</si>
  <si>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</si>
  <si>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</si>
  <si>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</si>
  <si>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</si>
  <si>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</si>
  <si>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</si>
  <si>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</si>
  <si>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</si>
  <si>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</si>
  <si>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</si>
  <si>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</si>
  <si>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</si>
  <si>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</si>
  <si>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</si>
  <si>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</si>
  <si>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</si>
  <si>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</si>
  <si>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</si>
  <si>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</si>
  <si>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</si>
  <si>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</si>
  <si>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</si>
  <si>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</si>
  <si>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</si>
  <si>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</si>
  <si>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</si>
  <si>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</si>
  <si>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</si>
  <si>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</si>
  <si>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</si>
  <si>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</si>
  <si>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</si>
  <si>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</si>
  <si>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</si>
  <si>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</si>
  <si>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</si>
  <si>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</si>
  <si>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</si>
  <si>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</si>
  <si>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</si>
  <si>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</si>
  <si>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</si>
  <si>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</si>
  <si>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</si>
  <si>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</si>
  <si>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</si>
  <si>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</si>
  <si>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</si>
  <si>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</si>
  <si>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</si>
  <si>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</si>
  <si>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</si>
  <si>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</si>
  <si>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</si>
  <si>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</si>
  <si>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</si>
  <si>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</si>
  <si>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</si>
  <si>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</si>
  <si>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</si>
  <si>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</si>
  <si>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</si>
  <si>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</si>
  <si>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</si>
  <si>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</si>
  <si>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</si>
  <si>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</si>
  <si>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</si>
  <si>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</si>
  <si>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</si>
  <si>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</si>
  <si>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</si>
  <si>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</si>
  <si>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</si>
  <si>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</si>
  <si>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</si>
  <si>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</si>
  <si>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</si>
  <si>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</si>
  <si>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</si>
  <si>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</si>
  <si>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</si>
  <si>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</si>
  <si>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</si>
  <si>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</si>
  <si>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</si>
  <si>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</si>
  <si>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</si>
  <si>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</si>
  <si>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</si>
  <si>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</si>
  <si>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</si>
  <si>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</si>
  <si>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</si>
  <si>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</si>
  <si>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</si>
  <si>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</si>
  <si>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</si>
  <si>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</si>
  <si>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</si>
  <si>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</si>
  <si>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</si>
  <si>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</si>
  <si>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</si>
  <si>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</si>
  <si>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</si>
  <si>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</si>
  <si>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</si>
  <si>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</si>
  <si>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</si>
  <si>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</si>
  <si>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</si>
  <si>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</si>
  <si>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</si>
  <si>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</si>
  <si>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</si>
  <si>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</si>
  <si>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 xml:space="preserve">Price shall be fixed and firm during the contractual period.  </t>
  </si>
  <si>
    <t xml:space="preserve">TPCODL  TPNODL  TPSODL  TPWODL
 (TATA Power and Odisha Government Joint Venture) </t>
  </si>
  <si>
    <t>TPCODL/CCG/23-24/1000000531</t>
  </si>
  <si>
    <t>06/Feb/2024 [17:00 Hrs.]</t>
  </si>
  <si>
    <t xml:space="preserve">One Year Rate Contract for Supply of 33 kV HT Cable  at TPCODL, TPNODL &amp; TPSODL  </t>
  </si>
  <si>
    <t>CCG reserves the right to conduct the reverse auction for the products/ services being asked for in the tender. The terms and conditions for such reverse auction events shall be as per the Acceptance Form attached as Annexure VI of this document.</t>
  </si>
  <si>
    <t xml:space="preserve">Bids shall remain valid for 180 days from the due date of submission of the bid. Notwithstanding clause above, CCG may solicit the Bidder’s consent to an extension of the Period of Bid Validity. The request and responses thereto shall be made in writing. </t>
  </si>
  <si>
    <t xml:space="preserve">Delivery Period shall be 60 Days from date of receipt of release order / CAT-A issuance, whichever is later.  </t>
  </si>
  <si>
    <t xml:space="preserve">100% payment within 60 days of submission of error-free Invoice complete in all respects. However, for MSME the payment cycle shall be 45 days. </t>
  </si>
  <si>
    <t xml:space="preserve">Cable length on one drum shall be 250 meters max. +/- 5%. As per PO terms </t>
  </si>
  <si>
    <t xml:space="preserve">Steel drums shall be provided. Drum shall be free from sharp edges and visual defect. Stencil plate on one flange side of the drum and laminated paper sheet on other side flange of drum.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</si>
  <si>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</si>
  <si>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</si>
  <si>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</si>
  <si>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</si>
  <si>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</si>
  <si>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</si>
  <si>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</si>
  <si>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</si>
  <si>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</si>
  <si>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</si>
  <si>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</si>
  <si>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</si>
  <si>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</si>
  <si>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</si>
  <si>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</si>
  <si>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</si>
  <si>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</si>
  <si>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</si>
  <si>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</si>
  <si>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ENQ-12172-22-23</t>
  </si>
  <si>
    <t>FA1300022</t>
  </si>
  <si>
    <t>3 CORE X 50 SQ. MM. AL/ARD - WIRE (XLPE) - 33 KV (E)</t>
  </si>
  <si>
    <t>STEEL</t>
  </si>
  <si>
    <t>Extruded Semiconductive</t>
  </si>
  <si>
    <t>Polypropylene Filler</t>
  </si>
  <si>
    <t>KMS</t>
  </si>
  <si>
    <t>SP0400112</t>
  </si>
  <si>
    <t>CORRUGATED DISPATCH STEEL DRUM 2000 X 1000 X 1000 MM</t>
  </si>
  <si>
    <t>FA1300079</t>
  </si>
  <si>
    <t>3 CORE X 185 SQ. MM AL/ARM - WIRE (XLPE) - 33 KV</t>
  </si>
  <si>
    <t>SP0400081</t>
  </si>
  <si>
    <t>CORRUGATED DISPATCH STEEL  DRUM 2500 X 1400 X 1250 MM</t>
  </si>
  <si>
    <t>FA1300120</t>
  </si>
  <si>
    <t>3 CORE X 70 SQ. MM. AL/ARM - WIRE (XLPE) - 33 KV</t>
  </si>
  <si>
    <t>SP0400136</t>
  </si>
  <si>
    <t>CORRUGATED DISPATCH STEEL DRUM 2200 X 1300 X 1200 MM</t>
  </si>
  <si>
    <t>FA1300201</t>
  </si>
  <si>
    <t>3 CORE X 240 SQ. MM. AL/ARM - WIRE (XLPE) - 33 KV</t>
  </si>
  <si>
    <t>FA1300297</t>
  </si>
  <si>
    <t>3 CORE X 35 SQ. MM. AL/ARM - WIRE (XLPE) - 33 KV (E)</t>
  </si>
  <si>
    <t>FA1300019</t>
  </si>
  <si>
    <t>1 CORE X 300 SQ. MM. AL/ARM (XLPE)  - 33 KV</t>
  </si>
  <si>
    <t>SP0400110</t>
  </si>
  <si>
    <t>CORRUGATED DISPATCH STEEL DRUM 1600 X 900 X 1000 MM</t>
  </si>
  <si>
    <t>FA1300200</t>
  </si>
  <si>
    <t>3 CORE X 95 SQ. MM. AL/ARM  WIRE (XLPE) - 33 KV</t>
  </si>
  <si>
    <t>FA1300018</t>
  </si>
  <si>
    <t>1 CORE X 400 SQ. MM. AL/ARM (XLPE) - 33 KV</t>
  </si>
  <si>
    <t>FA1300081</t>
  </si>
  <si>
    <t>3 CORE X 300 SQ. MM. AL/ARM - WIRE (XLPE) - 33 KV</t>
  </si>
  <si>
    <t>SP0400137</t>
  </si>
  <si>
    <t>CORRUGATED DISPATCH STEEL DRUM 2600 X 1600 X 1600</t>
  </si>
  <si>
    <t>FA1300080</t>
  </si>
  <si>
    <t>3 CORE X 400 SQ. MM AL/ARM - WIRE (XLPE) - 33 KV</t>
  </si>
  <si>
    <t>CORRUGATED DISPATCH STEEL DRUM 2600 X 1600 X 1600 MM</t>
  </si>
  <si>
    <t>FA1300027</t>
  </si>
  <si>
    <t>1 CORE X 630 SQ. MM. AL/ARM (XLPE)  - 33 KV</t>
  </si>
  <si>
    <t>SP0400123</t>
  </si>
  <si>
    <t>CORRUGATED DISPATCH STEEL DRUM 2000 X 1000 X 1200 MM</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</si>
  <si>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</si>
  <si>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</si>
  <si>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</si>
  <si>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</si>
  <si>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</si>
  <si>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</si>
  <si>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</si>
  <si>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</si>
  <si>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</si>
  <si>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 xml:space="preserve">28 MT TRAILER </t>
  </si>
  <si>
    <t>NCWBT</t>
  </si>
  <si>
    <t>PP FILLER</t>
  </si>
  <si>
    <t>CORRUGATED DISPATCH STEEL DRUM 2500 X 1500 X 1400</t>
  </si>
  <si>
    <t>SP0400105</t>
  </si>
  <si>
    <t>EX-WORKS (PER MTR)</t>
  </si>
  <si>
    <t>FREIGHT PER MTR</t>
  </si>
  <si>
    <t>PRICE INCLUDING FREIGHT (PER MTR)</t>
  </si>
  <si>
    <t>PRICE INCLUDING GST &amp; FREIGHT (PER MTR)</t>
  </si>
  <si>
    <t>MTR</t>
  </si>
  <si>
    <t>SP0400118</t>
  </si>
  <si>
    <t>CORRUGATED DISPATCH STEEL DRUM 1700 X 1000 X 1200</t>
  </si>
  <si>
    <t>SP0400126</t>
  </si>
  <si>
    <t>CORRUGATED DISPATCH STEEL DRUM 1900 X 830 X 915 MM</t>
  </si>
  <si>
    <t>sombhu sir confirmed overphone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</si>
</sst>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FF00"/>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8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3" fontId="0" fillId="0" borderId="0" xfId="0" applyNumberFormat="1"/>
    <xf numFmtId="4" fontId="0" fillId="0" borderId="0" xfId="0" applyNumberFormat="1"/>
    <xf numFmtId="0" fontId="8" fillId="5" borderId="0" xfId="0" applyFont="1" applyFill="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164" fontId="8" fillId="8" borderId="1" xfId="1" applyFont="1" applyFill="1" applyBorder="1" applyAlignment="1">
      <alignment vertical="center" wrapText="1"/>
    </xf>
    <xf numFmtId="164" fontId="8" fillId="9" borderId="1" xfId="1" applyFont="1" applyFill="1" applyBorder="1" applyAlignment="1">
      <alignment vertical="center" wrapText="1"/>
    </xf>
    <xf numFmtId="43" fontId="0" fillId="0" borderId="1" xfId="0" applyNumberFormat="1" applyBorder="1" applyAlignment="1">
      <alignment wrapText="1"/>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164" fontId="0" fillId="0" borderId="1" xfId="1" applyFont="1" applyFill="1" applyBorder="1" applyAlignment="1">
      <alignment wrapText="1"/>
    </xf>
    <xf numFmtId="0" fontId="9" fillId="0" borderId="7" xfId="0" applyFont="1" applyBorder="1" applyAlignment="1">
      <alignment horizontal="center" wrapText="1"/>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1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6"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row>
    <row r="2" spans="1:102" x14ac:dyDescent="0.25">
      <c r="A2" t="s">
        <v>169</v>
      </c>
      <c r="B2" s="52">
        <v>45315</v>
      </c>
      <c r="C2" t="s">
        <v>170</v>
      </c>
      <c r="D2" t="s">
        <v>171</v>
      </c>
      <c r="E2" t="s">
        <v>172</v>
      </c>
      <c r="F2" t="s">
        <v>108</v>
      </c>
      <c r="G2">
        <v>860</v>
      </c>
      <c r="J2" t="s">
        <v>80</v>
      </c>
      <c r="K2">
        <v>215</v>
      </c>
      <c r="L2">
        <v>567</v>
      </c>
      <c r="M2">
        <v>121905</v>
      </c>
      <c r="P2">
        <v>0</v>
      </c>
      <c r="R2" t="s">
        <v>173</v>
      </c>
      <c r="S2">
        <v>192</v>
      </c>
      <c r="T2">
        <v>250</v>
      </c>
      <c r="U2">
        <v>48000</v>
      </c>
      <c r="V2" t="s">
        <v>90</v>
      </c>
      <c r="W2">
        <v>150</v>
      </c>
      <c r="X2">
        <v>1545</v>
      </c>
      <c r="Y2">
        <v>231750</v>
      </c>
      <c r="AB2">
        <v>0</v>
      </c>
      <c r="AD2" t="s">
        <v>116</v>
      </c>
      <c r="AE2">
        <v>88</v>
      </c>
      <c r="AF2">
        <v>292</v>
      </c>
      <c r="AG2">
        <v>25696</v>
      </c>
      <c r="AH2" t="s">
        <v>120</v>
      </c>
      <c r="AI2">
        <v>82.3</v>
      </c>
      <c r="AJ2">
        <v>3818</v>
      </c>
      <c r="AK2">
        <v>314221.40000000002</v>
      </c>
      <c r="AL2" t="s">
        <v>100</v>
      </c>
      <c r="AM2">
        <v>92</v>
      </c>
      <c r="AN2">
        <v>1125</v>
      </c>
      <c r="AO2">
        <v>103500</v>
      </c>
      <c r="AP2" t="s">
        <v>174</v>
      </c>
      <c r="AR2">
        <v>1300</v>
      </c>
      <c r="AV2">
        <v>0</v>
      </c>
      <c r="AX2" t="s">
        <v>36</v>
      </c>
      <c r="AY2">
        <v>445</v>
      </c>
      <c r="AZ2">
        <v>0</v>
      </c>
      <c r="BA2">
        <v>0</v>
      </c>
      <c r="BB2" t="s">
        <v>39</v>
      </c>
      <c r="BC2">
        <v>460</v>
      </c>
      <c r="BD2">
        <v>0</v>
      </c>
      <c r="BE2">
        <v>0</v>
      </c>
      <c r="BH2">
        <v>0</v>
      </c>
      <c r="BL2">
        <v>0</v>
      </c>
      <c r="BP2">
        <v>0</v>
      </c>
      <c r="BR2" t="s">
        <v>51</v>
      </c>
      <c r="BS2">
        <v>450</v>
      </c>
      <c r="BT2">
        <v>0</v>
      </c>
      <c r="BU2">
        <v>0</v>
      </c>
      <c r="BX2">
        <v>0</v>
      </c>
      <c r="BZ2">
        <v>106400</v>
      </c>
      <c r="CA2">
        <v>951472.4</v>
      </c>
      <c r="CH2">
        <v>951472.4</v>
      </c>
      <c r="CM2">
        <v>951472.4</v>
      </c>
      <c r="CO2">
        <v>951472.4</v>
      </c>
      <c r="CR2">
        <v>951472.4</v>
      </c>
      <c r="CS2">
        <v>1</v>
      </c>
      <c r="CT2" t="s">
        <v>175</v>
      </c>
      <c r="CU2" s="53">
        <v>951472</v>
      </c>
      <c r="CV2" t="s">
        <v>176</v>
      </c>
      <c r="CW2" t="s">
        <v>177</v>
      </c>
      <c r="CX2">
        <v>250</v>
      </c>
    </row>
    <row r="3" spans="1:102" x14ac:dyDescent="0.25">
      <c r="A3" t="s">
        <v>169</v>
      </c>
      <c r="B3" s="52">
        <v>45315</v>
      </c>
      <c r="C3" t="s">
        <v>178</v>
      </c>
      <c r="D3" t="s">
        <v>179</v>
      </c>
      <c r="E3" t="s">
        <v>172</v>
      </c>
      <c r="F3" t="s">
        <v>108</v>
      </c>
      <c r="G3">
        <v>860</v>
      </c>
      <c r="H3">
        <v>148.589</v>
      </c>
      <c r="I3">
        <v>127786.54</v>
      </c>
      <c r="J3" t="s">
        <v>80</v>
      </c>
      <c r="K3">
        <v>215</v>
      </c>
      <c r="L3">
        <v>1499</v>
      </c>
      <c r="M3">
        <v>322285</v>
      </c>
      <c r="P3">
        <v>0</v>
      </c>
      <c r="R3" t="s">
        <v>173</v>
      </c>
      <c r="S3">
        <v>192</v>
      </c>
      <c r="T3">
        <v>326</v>
      </c>
      <c r="U3">
        <v>62592</v>
      </c>
      <c r="V3" t="s">
        <v>90</v>
      </c>
      <c r="W3">
        <v>150</v>
      </c>
      <c r="X3">
        <v>2040</v>
      </c>
      <c r="Y3">
        <v>306000</v>
      </c>
      <c r="AB3">
        <v>0</v>
      </c>
      <c r="AD3" t="s">
        <v>116</v>
      </c>
      <c r="AE3">
        <v>88</v>
      </c>
      <c r="AF3">
        <v>335</v>
      </c>
      <c r="AG3">
        <v>29480</v>
      </c>
      <c r="AH3" t="s">
        <v>120</v>
      </c>
      <c r="AI3">
        <v>82.3</v>
      </c>
      <c r="AJ3">
        <v>5745</v>
      </c>
      <c r="AK3">
        <v>472813.5</v>
      </c>
      <c r="AL3" t="s">
        <v>100</v>
      </c>
      <c r="AM3">
        <v>92</v>
      </c>
      <c r="AN3">
        <v>1411</v>
      </c>
      <c r="AO3">
        <v>129812</v>
      </c>
      <c r="AP3" t="s">
        <v>174</v>
      </c>
      <c r="AR3">
        <v>1838</v>
      </c>
      <c r="AV3">
        <v>0</v>
      </c>
      <c r="AX3" t="s">
        <v>36</v>
      </c>
      <c r="AY3">
        <v>445</v>
      </c>
      <c r="AZ3">
        <v>0</v>
      </c>
      <c r="BA3">
        <v>0</v>
      </c>
      <c r="BB3" t="s">
        <v>39</v>
      </c>
      <c r="BC3">
        <v>460</v>
      </c>
      <c r="BD3">
        <v>0</v>
      </c>
      <c r="BE3">
        <v>0</v>
      </c>
      <c r="BH3">
        <v>0</v>
      </c>
      <c r="BL3">
        <v>0</v>
      </c>
      <c r="BP3">
        <v>0</v>
      </c>
      <c r="BR3" t="s">
        <v>51</v>
      </c>
      <c r="BS3">
        <v>450</v>
      </c>
      <c r="BT3">
        <v>0</v>
      </c>
      <c r="BU3">
        <v>0</v>
      </c>
      <c r="BX3">
        <v>0</v>
      </c>
      <c r="BZ3">
        <v>171000</v>
      </c>
      <c r="CA3">
        <v>1621769.04</v>
      </c>
      <c r="CH3">
        <v>1621769.04</v>
      </c>
      <c r="CM3">
        <v>1621769.04</v>
      </c>
      <c r="CO3">
        <v>1621769.04</v>
      </c>
      <c r="CR3">
        <v>1621769.04</v>
      </c>
      <c r="CS3">
        <v>1</v>
      </c>
      <c r="CT3" t="s">
        <v>175</v>
      </c>
      <c r="CU3" s="53">
        <v>1621769</v>
      </c>
      <c r="CV3" t="s">
        <v>180</v>
      </c>
      <c r="CW3" t="s">
        <v>181</v>
      </c>
      <c r="CX3">
        <v>250</v>
      </c>
    </row>
    <row r="4" spans="1:102" x14ac:dyDescent="0.25">
      <c r="A4" t="s">
        <v>169</v>
      </c>
      <c r="B4" s="52">
        <v>45315</v>
      </c>
      <c r="C4" t="s">
        <v>182</v>
      </c>
      <c r="D4" t="s">
        <v>183</v>
      </c>
      <c r="E4" t="s">
        <v>172</v>
      </c>
      <c r="F4" t="s">
        <v>108</v>
      </c>
      <c r="G4">
        <v>860</v>
      </c>
      <c r="H4">
        <v>123.303</v>
      </c>
      <c r="I4">
        <v>106040.58</v>
      </c>
      <c r="J4" t="s">
        <v>80</v>
      </c>
      <c r="K4">
        <v>215</v>
      </c>
      <c r="L4">
        <v>567</v>
      </c>
      <c r="M4">
        <v>121905</v>
      </c>
      <c r="P4">
        <v>0</v>
      </c>
      <c r="R4" t="s">
        <v>173</v>
      </c>
      <c r="S4">
        <v>192</v>
      </c>
      <c r="T4">
        <v>245</v>
      </c>
      <c r="U4">
        <v>47040</v>
      </c>
      <c r="V4" t="s">
        <v>90</v>
      </c>
      <c r="W4">
        <v>150</v>
      </c>
      <c r="X4">
        <v>1561</v>
      </c>
      <c r="Y4">
        <v>234150</v>
      </c>
      <c r="AB4">
        <v>0</v>
      </c>
      <c r="AD4" t="s">
        <v>116</v>
      </c>
      <c r="AE4">
        <v>88</v>
      </c>
      <c r="AF4">
        <v>280</v>
      </c>
      <c r="AG4">
        <v>24640</v>
      </c>
      <c r="AH4" t="s">
        <v>120</v>
      </c>
      <c r="AI4">
        <v>82.3</v>
      </c>
      <c r="AJ4">
        <v>3818</v>
      </c>
      <c r="AK4">
        <v>314221.40000000002</v>
      </c>
      <c r="AL4" t="s">
        <v>100</v>
      </c>
      <c r="AM4">
        <v>92</v>
      </c>
      <c r="AN4">
        <v>1124</v>
      </c>
      <c r="AO4">
        <v>103408</v>
      </c>
      <c r="AP4" t="s">
        <v>174</v>
      </c>
      <c r="AR4">
        <v>1267</v>
      </c>
      <c r="AV4">
        <v>0</v>
      </c>
      <c r="AX4" t="s">
        <v>36</v>
      </c>
      <c r="AY4">
        <v>445</v>
      </c>
      <c r="AZ4">
        <v>0</v>
      </c>
      <c r="BA4">
        <v>0</v>
      </c>
      <c r="BB4" t="s">
        <v>39</v>
      </c>
      <c r="BC4">
        <v>460</v>
      </c>
      <c r="BD4">
        <v>0</v>
      </c>
      <c r="BE4">
        <v>0</v>
      </c>
      <c r="BH4">
        <v>0</v>
      </c>
      <c r="BL4">
        <v>0</v>
      </c>
      <c r="BP4">
        <v>0</v>
      </c>
      <c r="BR4" t="s">
        <v>51</v>
      </c>
      <c r="BS4">
        <v>450</v>
      </c>
      <c r="BT4">
        <v>0</v>
      </c>
      <c r="BU4">
        <v>0</v>
      </c>
      <c r="BX4">
        <v>0</v>
      </c>
      <c r="BZ4">
        <v>171000</v>
      </c>
      <c r="CA4">
        <v>1122404.98</v>
      </c>
      <c r="CH4">
        <v>1122404.98</v>
      </c>
      <c r="CM4">
        <v>1122404.98</v>
      </c>
      <c r="CO4">
        <v>1122404.98</v>
      </c>
      <c r="CR4">
        <v>1122404.98</v>
      </c>
      <c r="CS4">
        <v>1</v>
      </c>
      <c r="CT4" t="s">
        <v>175</v>
      </c>
      <c r="CU4" s="53">
        <v>1122405</v>
      </c>
      <c r="CV4" t="s">
        <v>184</v>
      </c>
      <c r="CW4" t="s">
        <v>185</v>
      </c>
      <c r="CX4">
        <v>250</v>
      </c>
    </row>
    <row r="5" spans="1:102" x14ac:dyDescent="0.25">
      <c r="A5" t="s">
        <v>169</v>
      </c>
      <c r="B5" s="52">
        <v>45315</v>
      </c>
      <c r="C5" t="s">
        <v>186</v>
      </c>
      <c r="D5" t="s">
        <v>187</v>
      </c>
      <c r="E5" t="s">
        <v>172</v>
      </c>
      <c r="F5" t="s">
        <v>108</v>
      </c>
      <c r="G5">
        <v>860</v>
      </c>
      <c r="H5">
        <v>157.709</v>
      </c>
      <c r="I5">
        <v>135629.74</v>
      </c>
      <c r="J5" t="s">
        <v>80</v>
      </c>
      <c r="K5">
        <v>215</v>
      </c>
      <c r="L5">
        <v>1944</v>
      </c>
      <c r="M5">
        <v>417960</v>
      </c>
      <c r="P5">
        <v>0</v>
      </c>
      <c r="R5" t="s">
        <v>173</v>
      </c>
      <c r="S5">
        <v>192</v>
      </c>
      <c r="T5">
        <v>356</v>
      </c>
      <c r="U5">
        <v>68352</v>
      </c>
      <c r="V5" t="s">
        <v>90</v>
      </c>
      <c r="W5">
        <v>150</v>
      </c>
      <c r="X5">
        <v>2214</v>
      </c>
      <c r="Y5">
        <v>332100</v>
      </c>
      <c r="AB5">
        <v>0</v>
      </c>
      <c r="AD5" t="s">
        <v>116</v>
      </c>
      <c r="AE5">
        <v>88</v>
      </c>
      <c r="AF5">
        <v>355</v>
      </c>
      <c r="AG5">
        <v>31240</v>
      </c>
      <c r="AH5" t="s">
        <v>120</v>
      </c>
      <c r="AI5">
        <v>82.3</v>
      </c>
      <c r="AJ5">
        <v>6155</v>
      </c>
      <c r="AK5">
        <v>506556.5</v>
      </c>
      <c r="AL5" t="s">
        <v>100</v>
      </c>
      <c r="AM5">
        <v>92</v>
      </c>
      <c r="AN5">
        <v>1485</v>
      </c>
      <c r="AO5">
        <v>136620</v>
      </c>
      <c r="AP5" t="s">
        <v>174</v>
      </c>
      <c r="AR5">
        <v>2069</v>
      </c>
      <c r="AV5">
        <v>0</v>
      </c>
      <c r="AX5" t="s">
        <v>36</v>
      </c>
      <c r="AY5">
        <v>445</v>
      </c>
      <c r="AZ5">
        <v>0</v>
      </c>
      <c r="BA5">
        <v>0</v>
      </c>
      <c r="BB5" t="s">
        <v>39</v>
      </c>
      <c r="BC5">
        <v>460</v>
      </c>
      <c r="BD5">
        <v>0</v>
      </c>
      <c r="BE5">
        <v>0</v>
      </c>
      <c r="BH5">
        <v>0</v>
      </c>
      <c r="BL5">
        <v>0</v>
      </c>
      <c r="BP5">
        <v>0</v>
      </c>
      <c r="BR5" t="s">
        <v>51</v>
      </c>
      <c r="BS5">
        <v>450</v>
      </c>
      <c r="BT5">
        <v>0</v>
      </c>
      <c r="BU5">
        <v>0</v>
      </c>
      <c r="BX5">
        <v>0</v>
      </c>
      <c r="CA5">
        <v>1628458.24</v>
      </c>
      <c r="CH5">
        <v>1628458.24</v>
      </c>
      <c r="CM5">
        <v>1628458.24</v>
      </c>
      <c r="CO5">
        <v>1628458.24</v>
      </c>
      <c r="CR5">
        <v>1628458.24</v>
      </c>
      <c r="CS5">
        <v>1</v>
      </c>
      <c r="CT5" t="s">
        <v>175</v>
      </c>
      <c r="CU5" s="53">
        <v>1628458</v>
      </c>
      <c r="CX5">
        <v>250</v>
      </c>
    </row>
    <row r="6" spans="1:102" x14ac:dyDescent="0.25">
      <c r="A6" t="s">
        <v>169</v>
      </c>
      <c r="B6" s="52">
        <v>45315</v>
      </c>
      <c r="C6" t="s">
        <v>188</v>
      </c>
      <c r="D6" t="s">
        <v>189</v>
      </c>
      <c r="E6" t="s">
        <v>172</v>
      </c>
      <c r="F6" t="s">
        <v>108</v>
      </c>
      <c r="G6">
        <v>860</v>
      </c>
      <c r="J6" t="s">
        <v>80</v>
      </c>
      <c r="K6">
        <v>215</v>
      </c>
      <c r="L6">
        <v>405</v>
      </c>
      <c r="M6">
        <v>87075</v>
      </c>
      <c r="P6">
        <v>0</v>
      </c>
      <c r="R6" t="s">
        <v>173</v>
      </c>
      <c r="S6">
        <v>192</v>
      </c>
      <c r="T6">
        <v>228</v>
      </c>
      <c r="U6">
        <v>43776</v>
      </c>
      <c r="V6" t="s">
        <v>90</v>
      </c>
      <c r="W6">
        <v>150</v>
      </c>
      <c r="X6">
        <v>1422</v>
      </c>
      <c r="Y6">
        <v>213300</v>
      </c>
      <c r="AB6">
        <v>0</v>
      </c>
      <c r="AD6" t="s">
        <v>116</v>
      </c>
      <c r="AE6">
        <v>88</v>
      </c>
      <c r="AF6">
        <v>276</v>
      </c>
      <c r="AG6">
        <v>24288</v>
      </c>
      <c r="AH6" t="s">
        <v>120</v>
      </c>
      <c r="AI6">
        <v>82.3</v>
      </c>
      <c r="AJ6">
        <v>3626</v>
      </c>
      <c r="AK6">
        <v>298419.8</v>
      </c>
      <c r="AL6" t="s">
        <v>100</v>
      </c>
      <c r="AM6">
        <v>92</v>
      </c>
      <c r="AN6">
        <v>1038</v>
      </c>
      <c r="AO6">
        <v>95496</v>
      </c>
      <c r="AP6" t="s">
        <v>174</v>
      </c>
      <c r="AR6">
        <v>1160</v>
      </c>
      <c r="AV6">
        <v>0</v>
      </c>
      <c r="AX6" t="s">
        <v>36</v>
      </c>
      <c r="AY6">
        <v>445</v>
      </c>
      <c r="AZ6">
        <v>0</v>
      </c>
      <c r="BA6">
        <v>0</v>
      </c>
      <c r="BB6" t="s">
        <v>39</v>
      </c>
      <c r="BC6">
        <v>460</v>
      </c>
      <c r="BD6">
        <v>0</v>
      </c>
      <c r="BE6">
        <v>0</v>
      </c>
      <c r="BH6">
        <v>0</v>
      </c>
      <c r="BL6">
        <v>0</v>
      </c>
      <c r="BP6">
        <v>0</v>
      </c>
      <c r="BR6" t="s">
        <v>51</v>
      </c>
      <c r="BS6">
        <v>450</v>
      </c>
      <c r="BT6">
        <v>0</v>
      </c>
      <c r="BU6">
        <v>0</v>
      </c>
      <c r="BX6">
        <v>0</v>
      </c>
      <c r="CA6">
        <v>762354.8</v>
      </c>
      <c r="CH6">
        <v>762354.8</v>
      </c>
      <c r="CM6">
        <v>762354.8</v>
      </c>
      <c r="CO6">
        <v>762354.8</v>
      </c>
      <c r="CR6">
        <v>762354.8</v>
      </c>
      <c r="CS6">
        <v>1</v>
      </c>
      <c r="CT6" t="s">
        <v>175</v>
      </c>
      <c r="CU6" s="53">
        <v>762355</v>
      </c>
      <c r="CX6">
        <v>250</v>
      </c>
    </row>
    <row r="7" spans="1:102" x14ac:dyDescent="0.25">
      <c r="A7" t="s">
        <v>169</v>
      </c>
      <c r="B7" s="52">
        <v>45315</v>
      </c>
      <c r="C7" t="s">
        <v>190</v>
      </c>
      <c r="D7" t="s">
        <v>191</v>
      </c>
      <c r="E7" t="s">
        <v>172</v>
      </c>
      <c r="F7" t="s">
        <v>108</v>
      </c>
      <c r="G7">
        <v>860</v>
      </c>
      <c r="H7">
        <v>54.918999999999997</v>
      </c>
      <c r="I7">
        <v>47230.34</v>
      </c>
      <c r="J7" t="s">
        <v>80</v>
      </c>
      <c r="K7">
        <v>215</v>
      </c>
      <c r="L7">
        <v>810</v>
      </c>
      <c r="M7">
        <v>174150</v>
      </c>
      <c r="P7">
        <v>0</v>
      </c>
      <c r="R7" t="s">
        <v>173</v>
      </c>
      <c r="S7">
        <v>192</v>
      </c>
      <c r="T7">
        <v>128</v>
      </c>
      <c r="U7">
        <v>24576</v>
      </c>
      <c r="V7" t="s">
        <v>90</v>
      </c>
      <c r="W7">
        <v>150</v>
      </c>
      <c r="X7">
        <v>792</v>
      </c>
      <c r="Y7">
        <v>118800</v>
      </c>
      <c r="Z7" t="s">
        <v>18</v>
      </c>
      <c r="AA7">
        <v>119.6</v>
      </c>
      <c r="AB7">
        <v>0</v>
      </c>
      <c r="AC7">
        <v>0</v>
      </c>
      <c r="AD7" t="s">
        <v>87</v>
      </c>
      <c r="AE7">
        <v>60.05</v>
      </c>
      <c r="AF7">
        <v>138</v>
      </c>
      <c r="AG7">
        <v>8286.9</v>
      </c>
      <c r="AH7" t="s">
        <v>106</v>
      </c>
      <c r="AI7">
        <v>220</v>
      </c>
      <c r="AJ7">
        <v>648</v>
      </c>
      <c r="AK7">
        <v>142560</v>
      </c>
      <c r="AL7" t="s">
        <v>100</v>
      </c>
      <c r="AM7">
        <v>92</v>
      </c>
      <c r="AN7">
        <v>542</v>
      </c>
      <c r="AO7">
        <v>49864</v>
      </c>
      <c r="AR7">
        <v>0</v>
      </c>
      <c r="AV7">
        <v>0</v>
      </c>
      <c r="AX7" t="s">
        <v>36</v>
      </c>
      <c r="AY7">
        <v>445</v>
      </c>
      <c r="AZ7">
        <v>0</v>
      </c>
      <c r="BA7">
        <v>0</v>
      </c>
      <c r="BB7" t="s">
        <v>39</v>
      </c>
      <c r="BC7">
        <v>460</v>
      </c>
      <c r="BD7">
        <v>0</v>
      </c>
      <c r="BE7">
        <v>0</v>
      </c>
      <c r="BH7">
        <v>0</v>
      </c>
      <c r="BL7">
        <v>0</v>
      </c>
      <c r="BP7">
        <v>0</v>
      </c>
      <c r="BR7" t="s">
        <v>51</v>
      </c>
      <c r="BS7">
        <v>450</v>
      </c>
      <c r="BT7">
        <v>0</v>
      </c>
      <c r="BU7">
        <v>0</v>
      </c>
      <c r="BX7">
        <v>0</v>
      </c>
      <c r="BZ7">
        <v>47500</v>
      </c>
      <c r="CA7">
        <v>612967.24</v>
      </c>
      <c r="CH7">
        <v>612967.24</v>
      </c>
      <c r="CM7">
        <v>612967.24</v>
      </c>
      <c r="CO7">
        <v>612967.24</v>
      </c>
      <c r="CR7">
        <v>612967.24</v>
      </c>
      <c r="CS7">
        <v>3</v>
      </c>
      <c r="CT7" t="s">
        <v>175</v>
      </c>
      <c r="CU7" s="53">
        <v>1838902</v>
      </c>
      <c r="CV7" t="s">
        <v>192</v>
      </c>
      <c r="CW7" t="s">
        <v>193</v>
      </c>
      <c r="CX7">
        <v>500</v>
      </c>
    </row>
    <row r="8" spans="1:102" x14ac:dyDescent="0.25">
      <c r="A8" t="s">
        <v>169</v>
      </c>
      <c r="B8" s="52">
        <v>45315</v>
      </c>
      <c r="C8" t="s">
        <v>194</v>
      </c>
      <c r="D8" t="s">
        <v>195</v>
      </c>
      <c r="E8" t="s">
        <v>172</v>
      </c>
      <c r="F8" t="s">
        <v>108</v>
      </c>
      <c r="G8">
        <v>860</v>
      </c>
      <c r="H8">
        <v>129.10599999999999</v>
      </c>
      <c r="I8">
        <v>111031.16</v>
      </c>
      <c r="J8" t="s">
        <v>80</v>
      </c>
      <c r="K8">
        <v>215</v>
      </c>
      <c r="L8">
        <v>770</v>
      </c>
      <c r="M8">
        <v>165550</v>
      </c>
      <c r="P8">
        <v>0</v>
      </c>
      <c r="R8" t="s">
        <v>173</v>
      </c>
      <c r="S8">
        <v>192</v>
      </c>
      <c r="T8">
        <v>265</v>
      </c>
      <c r="U8">
        <v>50880</v>
      </c>
      <c r="V8" t="s">
        <v>90</v>
      </c>
      <c r="W8">
        <v>150</v>
      </c>
      <c r="X8">
        <v>1670</v>
      </c>
      <c r="Y8">
        <v>250500</v>
      </c>
      <c r="AB8">
        <v>0</v>
      </c>
      <c r="AD8" t="s">
        <v>116</v>
      </c>
      <c r="AE8">
        <v>88</v>
      </c>
      <c r="AF8">
        <v>292</v>
      </c>
      <c r="AG8">
        <v>25696</v>
      </c>
      <c r="AH8" t="s">
        <v>120</v>
      </c>
      <c r="AI8">
        <v>82.3</v>
      </c>
      <c r="AJ8">
        <v>3945</v>
      </c>
      <c r="AK8">
        <v>324673.5</v>
      </c>
      <c r="AL8" t="s">
        <v>100</v>
      </c>
      <c r="AM8">
        <v>92</v>
      </c>
      <c r="AN8">
        <v>1228</v>
      </c>
      <c r="AO8">
        <v>112976</v>
      </c>
      <c r="AP8" t="s">
        <v>174</v>
      </c>
      <c r="AR8">
        <v>1389</v>
      </c>
      <c r="AV8">
        <v>0</v>
      </c>
      <c r="AX8" t="s">
        <v>36</v>
      </c>
      <c r="AY8">
        <v>445</v>
      </c>
      <c r="AZ8">
        <v>0</v>
      </c>
      <c r="BA8">
        <v>0</v>
      </c>
      <c r="BB8" t="s">
        <v>39</v>
      </c>
      <c r="BC8">
        <v>460</v>
      </c>
      <c r="BD8">
        <v>0</v>
      </c>
      <c r="BE8">
        <v>0</v>
      </c>
      <c r="BH8">
        <v>0</v>
      </c>
      <c r="BL8">
        <v>0</v>
      </c>
      <c r="BP8">
        <v>0</v>
      </c>
      <c r="BR8" t="s">
        <v>51</v>
      </c>
      <c r="BS8">
        <v>450</v>
      </c>
      <c r="BT8">
        <v>0</v>
      </c>
      <c r="BU8">
        <v>0</v>
      </c>
      <c r="BX8">
        <v>0</v>
      </c>
      <c r="BZ8">
        <v>147200</v>
      </c>
      <c r="CA8">
        <v>1188506.6599999999</v>
      </c>
      <c r="CH8">
        <v>1188506.6599999999</v>
      </c>
      <c r="CM8">
        <v>1188506.6599999999</v>
      </c>
      <c r="CO8">
        <v>1188506.6599999999</v>
      </c>
      <c r="CR8">
        <v>1188506.6599999999</v>
      </c>
      <c r="CS8">
        <v>3</v>
      </c>
      <c r="CT8" t="s">
        <v>175</v>
      </c>
      <c r="CU8" s="53">
        <v>3565520</v>
      </c>
      <c r="CV8" t="s">
        <v>184</v>
      </c>
      <c r="CW8" t="s">
        <v>185</v>
      </c>
      <c r="CX8">
        <v>250</v>
      </c>
    </row>
    <row r="9" spans="1:102" x14ac:dyDescent="0.25">
      <c r="A9" t="s">
        <v>169</v>
      </c>
      <c r="B9" s="52">
        <v>45315</v>
      </c>
      <c r="C9" t="s">
        <v>196</v>
      </c>
      <c r="D9" t="s">
        <v>197</v>
      </c>
      <c r="E9" t="s">
        <v>172</v>
      </c>
      <c r="F9" t="s">
        <v>108</v>
      </c>
      <c r="G9">
        <v>860</v>
      </c>
      <c r="H9">
        <v>59.755000000000003</v>
      </c>
      <c r="I9">
        <v>51389.3</v>
      </c>
      <c r="J9" t="s">
        <v>80</v>
      </c>
      <c r="K9">
        <v>215</v>
      </c>
      <c r="L9">
        <v>1080</v>
      </c>
      <c r="M9">
        <v>232200</v>
      </c>
      <c r="P9">
        <v>0</v>
      </c>
      <c r="R9" t="s">
        <v>173</v>
      </c>
      <c r="S9">
        <v>192</v>
      </c>
      <c r="T9">
        <v>141</v>
      </c>
      <c r="U9">
        <v>27072</v>
      </c>
      <c r="V9" t="s">
        <v>90</v>
      </c>
      <c r="W9">
        <v>150</v>
      </c>
      <c r="X9">
        <v>870</v>
      </c>
      <c r="Y9">
        <v>130500</v>
      </c>
      <c r="Z9" t="s">
        <v>18</v>
      </c>
      <c r="AA9">
        <v>119.6</v>
      </c>
      <c r="AB9">
        <v>0</v>
      </c>
      <c r="AC9">
        <v>0</v>
      </c>
      <c r="AD9" t="s">
        <v>87</v>
      </c>
      <c r="AE9">
        <v>60.05</v>
      </c>
      <c r="AF9">
        <v>147</v>
      </c>
      <c r="AG9">
        <v>8827.35</v>
      </c>
      <c r="AH9" t="s">
        <v>106</v>
      </c>
      <c r="AI9">
        <v>220</v>
      </c>
      <c r="AJ9">
        <v>702</v>
      </c>
      <c r="AK9">
        <v>154440</v>
      </c>
      <c r="AL9" t="s">
        <v>100</v>
      </c>
      <c r="AM9">
        <v>92</v>
      </c>
      <c r="AN9">
        <v>575</v>
      </c>
      <c r="AO9">
        <v>52900</v>
      </c>
      <c r="AR9">
        <v>0</v>
      </c>
      <c r="AV9">
        <v>0</v>
      </c>
      <c r="AX9" t="s">
        <v>36</v>
      </c>
      <c r="AY9">
        <v>445</v>
      </c>
      <c r="AZ9">
        <v>54</v>
      </c>
      <c r="BA9" s="54">
        <v>24030</v>
      </c>
      <c r="BB9" t="s">
        <v>39</v>
      </c>
      <c r="BC9">
        <v>460</v>
      </c>
      <c r="BD9">
        <v>0</v>
      </c>
      <c r="BE9">
        <v>0</v>
      </c>
      <c r="BH9">
        <v>52</v>
      </c>
      <c r="BL9">
        <v>0</v>
      </c>
      <c r="BP9">
        <v>0</v>
      </c>
      <c r="BR9" t="s">
        <v>51</v>
      </c>
      <c r="BS9">
        <v>450</v>
      </c>
      <c r="BT9">
        <v>0</v>
      </c>
      <c r="BU9">
        <v>0</v>
      </c>
      <c r="BX9">
        <v>0</v>
      </c>
      <c r="BZ9">
        <v>53200</v>
      </c>
      <c r="CA9">
        <v>734558.65</v>
      </c>
      <c r="CH9">
        <v>734558.65</v>
      </c>
      <c r="CM9">
        <v>734558.65</v>
      </c>
      <c r="CO9">
        <v>734558.65</v>
      </c>
      <c r="CR9">
        <v>734558.65</v>
      </c>
      <c r="CS9">
        <v>9.0500000000000007</v>
      </c>
      <c r="CT9" t="s">
        <v>175</v>
      </c>
      <c r="CU9" s="53">
        <v>6647756</v>
      </c>
      <c r="CV9" t="s">
        <v>176</v>
      </c>
      <c r="CW9" t="s">
        <v>177</v>
      </c>
      <c r="CX9">
        <v>500</v>
      </c>
    </row>
    <row r="10" spans="1:102" x14ac:dyDescent="0.25">
      <c r="A10" t="s">
        <v>169</v>
      </c>
      <c r="B10" s="52">
        <v>45315</v>
      </c>
      <c r="C10" t="s">
        <v>198</v>
      </c>
      <c r="D10" t="s">
        <v>199</v>
      </c>
      <c r="E10" t="s">
        <v>172</v>
      </c>
      <c r="F10" t="s">
        <v>108</v>
      </c>
      <c r="G10">
        <v>860</v>
      </c>
      <c r="H10">
        <v>164.756</v>
      </c>
      <c r="I10">
        <v>141690.16</v>
      </c>
      <c r="J10" t="s">
        <v>80</v>
      </c>
      <c r="K10">
        <v>215</v>
      </c>
      <c r="L10">
        <v>2430</v>
      </c>
      <c r="M10">
        <v>522450</v>
      </c>
      <c r="P10">
        <v>0</v>
      </c>
      <c r="R10" t="s">
        <v>173</v>
      </c>
      <c r="S10">
        <v>192</v>
      </c>
      <c r="T10">
        <v>386</v>
      </c>
      <c r="U10">
        <v>74112</v>
      </c>
      <c r="V10" t="s">
        <v>90</v>
      </c>
      <c r="W10">
        <v>150</v>
      </c>
      <c r="X10">
        <v>2385</v>
      </c>
      <c r="Y10">
        <v>357750</v>
      </c>
      <c r="AB10">
        <v>0</v>
      </c>
      <c r="AD10" t="s">
        <v>116</v>
      </c>
      <c r="AE10">
        <v>88</v>
      </c>
      <c r="AF10">
        <v>378</v>
      </c>
      <c r="AG10">
        <v>33264</v>
      </c>
      <c r="AH10" t="s">
        <v>120</v>
      </c>
      <c r="AI10">
        <v>82.3</v>
      </c>
      <c r="AJ10">
        <v>6463</v>
      </c>
      <c r="AK10">
        <v>531904.9</v>
      </c>
      <c r="AL10" t="s">
        <v>100</v>
      </c>
      <c r="AM10">
        <v>92</v>
      </c>
      <c r="AN10">
        <v>1558</v>
      </c>
      <c r="AO10">
        <v>143336</v>
      </c>
      <c r="AP10" t="s">
        <v>174</v>
      </c>
      <c r="AR10">
        <v>2315</v>
      </c>
      <c r="AV10">
        <v>0</v>
      </c>
      <c r="AX10" t="s">
        <v>36</v>
      </c>
      <c r="AY10">
        <v>445</v>
      </c>
      <c r="AZ10">
        <v>0</v>
      </c>
      <c r="BA10">
        <v>0</v>
      </c>
      <c r="BB10" t="s">
        <v>39</v>
      </c>
      <c r="BC10">
        <v>460</v>
      </c>
      <c r="BD10">
        <v>0</v>
      </c>
      <c r="BE10">
        <v>0</v>
      </c>
      <c r="BH10">
        <v>0</v>
      </c>
      <c r="BL10">
        <v>0</v>
      </c>
      <c r="BP10">
        <v>0</v>
      </c>
      <c r="BR10" t="s">
        <v>51</v>
      </c>
      <c r="BS10">
        <v>450</v>
      </c>
      <c r="BT10">
        <v>0</v>
      </c>
      <c r="BU10">
        <v>0</v>
      </c>
      <c r="BX10">
        <v>0</v>
      </c>
      <c r="BZ10">
        <v>190000</v>
      </c>
      <c r="CA10">
        <v>1994507.06</v>
      </c>
      <c r="CH10">
        <v>1994507.06</v>
      </c>
      <c r="CM10">
        <v>1994507.06</v>
      </c>
      <c r="CO10">
        <v>1994507.06</v>
      </c>
      <c r="CR10">
        <v>1994507.06</v>
      </c>
      <c r="CS10">
        <v>16.920000000000002</v>
      </c>
      <c r="CT10" t="s">
        <v>175</v>
      </c>
      <c r="CU10" s="53">
        <v>33747059</v>
      </c>
      <c r="CV10" t="s">
        <v>200</v>
      </c>
      <c r="CW10" t="s">
        <v>201</v>
      </c>
      <c r="CX10">
        <v>250</v>
      </c>
    </row>
    <row r="11" spans="1:102" x14ac:dyDescent="0.25">
      <c r="A11" t="s">
        <v>169</v>
      </c>
      <c r="B11" s="52">
        <v>45315</v>
      </c>
      <c r="C11" t="s">
        <v>202</v>
      </c>
      <c r="D11" t="s">
        <v>203</v>
      </c>
      <c r="E11" t="s">
        <v>172</v>
      </c>
      <c r="F11" t="s">
        <v>108</v>
      </c>
      <c r="G11">
        <v>860</v>
      </c>
      <c r="H11">
        <v>179.26499999999999</v>
      </c>
      <c r="I11">
        <v>154167.9</v>
      </c>
      <c r="J11" t="s">
        <v>80</v>
      </c>
      <c r="K11">
        <v>215</v>
      </c>
      <c r="L11">
        <v>3240</v>
      </c>
      <c r="M11">
        <v>696600</v>
      </c>
      <c r="P11">
        <v>0</v>
      </c>
      <c r="R11" t="s">
        <v>173</v>
      </c>
      <c r="S11">
        <v>192</v>
      </c>
      <c r="T11">
        <v>427</v>
      </c>
      <c r="U11">
        <v>81984</v>
      </c>
      <c r="V11" t="s">
        <v>90</v>
      </c>
      <c r="W11">
        <v>150</v>
      </c>
      <c r="X11">
        <v>2621</v>
      </c>
      <c r="Y11">
        <v>393150</v>
      </c>
      <c r="AB11">
        <v>0</v>
      </c>
      <c r="AD11" t="s">
        <v>116</v>
      </c>
      <c r="AE11">
        <v>88</v>
      </c>
      <c r="AF11">
        <v>405</v>
      </c>
      <c r="AG11">
        <v>35640</v>
      </c>
      <c r="AH11" t="s">
        <v>120</v>
      </c>
      <c r="AI11">
        <v>82.3</v>
      </c>
      <c r="AJ11">
        <v>6975</v>
      </c>
      <c r="AK11">
        <v>574042.5</v>
      </c>
      <c r="AL11" t="s">
        <v>100</v>
      </c>
      <c r="AM11">
        <v>92</v>
      </c>
      <c r="AN11">
        <v>1660</v>
      </c>
      <c r="AO11">
        <v>152720</v>
      </c>
      <c r="AP11" t="s">
        <v>174</v>
      </c>
      <c r="AR11">
        <v>2672</v>
      </c>
      <c r="AV11">
        <v>0</v>
      </c>
      <c r="AX11" t="s">
        <v>36</v>
      </c>
      <c r="AY11">
        <v>445</v>
      </c>
      <c r="AZ11">
        <v>120</v>
      </c>
      <c r="BA11" s="54">
        <v>53400</v>
      </c>
      <c r="BB11" t="s">
        <v>39</v>
      </c>
      <c r="BC11">
        <v>460</v>
      </c>
      <c r="BD11">
        <v>0</v>
      </c>
      <c r="BE11">
        <v>0</v>
      </c>
      <c r="BH11">
        <v>144</v>
      </c>
      <c r="BL11">
        <v>0</v>
      </c>
      <c r="BP11">
        <v>0</v>
      </c>
      <c r="BR11" t="s">
        <v>51</v>
      </c>
      <c r="BS11">
        <v>450</v>
      </c>
      <c r="BT11">
        <v>0</v>
      </c>
      <c r="BU11">
        <v>0</v>
      </c>
      <c r="BX11">
        <v>0</v>
      </c>
      <c r="BZ11">
        <v>190000</v>
      </c>
      <c r="CA11">
        <v>2331704.4</v>
      </c>
      <c r="CH11">
        <v>2331704.4</v>
      </c>
      <c r="CM11">
        <v>2331704.4</v>
      </c>
      <c r="CO11">
        <v>2331704.4</v>
      </c>
      <c r="CR11">
        <v>2331704.4</v>
      </c>
      <c r="CS11">
        <v>77</v>
      </c>
      <c r="CT11" t="s">
        <v>175</v>
      </c>
      <c r="CU11" s="53">
        <v>179541239</v>
      </c>
      <c r="CV11" t="s">
        <v>200</v>
      </c>
      <c r="CW11" t="s">
        <v>204</v>
      </c>
      <c r="CX11">
        <v>250</v>
      </c>
    </row>
    <row r="12" spans="1:102" x14ac:dyDescent="0.25">
      <c r="A12" t="s">
        <v>169</v>
      </c>
      <c r="B12" s="52">
        <v>45315</v>
      </c>
      <c r="C12" t="s">
        <v>205</v>
      </c>
      <c r="D12" t="s">
        <v>206</v>
      </c>
      <c r="E12" t="s">
        <v>172</v>
      </c>
      <c r="F12" t="s">
        <v>108</v>
      </c>
      <c r="G12">
        <v>860</v>
      </c>
      <c r="H12">
        <v>68.736999999999995</v>
      </c>
      <c r="I12">
        <v>59113.82</v>
      </c>
      <c r="J12" t="s">
        <v>80</v>
      </c>
      <c r="K12">
        <v>215</v>
      </c>
      <c r="L12">
        <v>1701</v>
      </c>
      <c r="M12">
        <v>365715</v>
      </c>
      <c r="P12">
        <v>0</v>
      </c>
      <c r="R12" t="s">
        <v>173</v>
      </c>
      <c r="S12">
        <v>192</v>
      </c>
      <c r="T12">
        <v>172</v>
      </c>
      <c r="U12">
        <v>33024</v>
      </c>
      <c r="V12" t="s">
        <v>90</v>
      </c>
      <c r="W12">
        <v>150</v>
      </c>
      <c r="X12">
        <v>1040</v>
      </c>
      <c r="Y12">
        <v>156000</v>
      </c>
      <c r="Z12" t="s">
        <v>18</v>
      </c>
      <c r="AA12">
        <v>119.6</v>
      </c>
      <c r="AB12">
        <v>0</v>
      </c>
      <c r="AC12">
        <v>0</v>
      </c>
      <c r="AD12" t="s">
        <v>87</v>
      </c>
      <c r="AE12">
        <v>60.05</v>
      </c>
      <c r="AF12">
        <v>193</v>
      </c>
      <c r="AG12">
        <v>11589.65</v>
      </c>
      <c r="AH12" t="s">
        <v>106</v>
      </c>
      <c r="AI12">
        <v>220</v>
      </c>
      <c r="AJ12">
        <v>800</v>
      </c>
      <c r="AK12">
        <v>176000</v>
      </c>
      <c r="AL12" t="s">
        <v>100</v>
      </c>
      <c r="AM12">
        <v>92</v>
      </c>
      <c r="AN12">
        <v>738</v>
      </c>
      <c r="AO12">
        <v>67896</v>
      </c>
      <c r="AR12">
        <v>0</v>
      </c>
      <c r="AV12">
        <v>0</v>
      </c>
      <c r="AX12" t="s">
        <v>36</v>
      </c>
      <c r="AY12">
        <v>445</v>
      </c>
      <c r="AZ12">
        <v>0</v>
      </c>
      <c r="BA12">
        <v>0</v>
      </c>
      <c r="BB12" t="s">
        <v>39</v>
      </c>
      <c r="BC12">
        <v>460</v>
      </c>
      <c r="BD12">
        <v>0</v>
      </c>
      <c r="BE12">
        <v>0</v>
      </c>
      <c r="BH12">
        <v>0</v>
      </c>
      <c r="BL12">
        <v>0</v>
      </c>
      <c r="BP12">
        <v>0</v>
      </c>
      <c r="BR12" t="s">
        <v>51</v>
      </c>
      <c r="BS12">
        <v>450</v>
      </c>
      <c r="BT12">
        <v>0</v>
      </c>
      <c r="BU12">
        <v>0</v>
      </c>
      <c r="BX12">
        <v>0</v>
      </c>
      <c r="BZ12">
        <v>53200</v>
      </c>
      <c r="CA12">
        <v>922538.47</v>
      </c>
      <c r="CH12">
        <v>922538.47</v>
      </c>
      <c r="CM12">
        <v>922538.47</v>
      </c>
      <c r="CO12">
        <v>922538.47</v>
      </c>
      <c r="CR12">
        <v>922538.47</v>
      </c>
      <c r="CS12">
        <v>115</v>
      </c>
      <c r="CT12" t="s">
        <v>175</v>
      </c>
      <c r="CU12" s="53">
        <v>106091924</v>
      </c>
      <c r="CV12" t="s">
        <v>207</v>
      </c>
      <c r="CW12" t="s">
        <v>208</v>
      </c>
      <c r="CX12">
        <v>500</v>
      </c>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4"/>
      <c r="CC13" s="1"/>
      <c r="CD13" s="14"/>
      <c r="CE13" s="1"/>
      <c r="CF13" s="14"/>
      <c r="CG13" s="1"/>
      <c r="CH13" s="1"/>
      <c r="CI13" s="14"/>
      <c r="CJ13" s="1"/>
      <c r="CK13" s="14"/>
      <c r="CL13" s="1"/>
      <c r="CM13" s="3"/>
      <c r="CN13" s="1"/>
      <c r="CO13" s="1"/>
      <c r="CP13" s="14"/>
      <c r="CQ13" s="1"/>
      <c r="CR13" s="1"/>
      <c r="CS13" s="1"/>
      <c r="CT13" s="1"/>
      <c r="CU13" s="15"/>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2"/>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4"/>
      <c r="CC14" s="1"/>
      <c r="CD14" s="14"/>
      <c r="CE14" s="1"/>
      <c r="CF14" s="14"/>
      <c r="CG14" s="1"/>
      <c r="CH14" s="1"/>
      <c r="CI14" s="14"/>
      <c r="CJ14" s="1"/>
      <c r="CK14" s="14"/>
      <c r="CL14" s="1"/>
      <c r="CM14" s="3"/>
      <c r="CN14" s="1"/>
      <c r="CO14" s="1"/>
      <c r="CP14" s="14"/>
      <c r="CQ14" s="1"/>
      <c r="CR14" s="1"/>
      <c r="CS14" s="1"/>
      <c r="CT14" s="1"/>
      <c r="CU14" s="15"/>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4"/>
      <c r="CC15" s="1"/>
      <c r="CD15" s="14"/>
      <c r="CE15" s="1"/>
      <c r="CF15" s="14"/>
      <c r="CG15" s="1"/>
      <c r="CH15" s="1"/>
      <c r="CI15" s="14"/>
      <c r="CJ15" s="1"/>
      <c r="CK15" s="14"/>
      <c r="CL15" s="1"/>
      <c r="CM15" s="3"/>
      <c r="CN15" s="1"/>
      <c r="CO15" s="1"/>
      <c r="CP15" s="14"/>
      <c r="CQ15" s="1"/>
      <c r="CR15" s="1"/>
      <c r="CS15" s="1"/>
      <c r="CT15" s="1"/>
      <c r="CU15" s="15"/>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4"/>
      <c r="CC16" s="1"/>
      <c r="CD16" s="14"/>
      <c r="CE16" s="1"/>
      <c r="CF16" s="14"/>
      <c r="CG16" s="1"/>
      <c r="CH16" s="1"/>
      <c r="CI16" s="14"/>
      <c r="CJ16" s="1"/>
      <c r="CK16" s="14"/>
      <c r="CL16" s="1"/>
      <c r="CM16" s="3"/>
      <c r="CN16" s="1"/>
      <c r="CO16" s="1"/>
      <c r="CP16" s="14"/>
      <c r="CQ16" s="1"/>
      <c r="CR16" s="1"/>
      <c r="CS16" s="1"/>
      <c r="CT16" s="1"/>
      <c r="CU16" s="15"/>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4"/>
      <c r="CC17" s="1"/>
      <c r="CD17" s="14"/>
      <c r="CE17" s="1"/>
      <c r="CF17" s="14"/>
      <c r="CG17" s="1"/>
      <c r="CH17" s="1"/>
      <c r="CI17" s="14"/>
      <c r="CJ17" s="1"/>
      <c r="CK17" s="14"/>
      <c r="CL17" s="1"/>
      <c r="CM17" s="3"/>
      <c r="CN17" s="1"/>
      <c r="CO17" s="1"/>
      <c r="CP17" s="14"/>
      <c r="CQ17" s="1"/>
      <c r="CR17" s="1"/>
      <c r="CS17" s="1"/>
      <c r="CT17" s="1"/>
      <c r="CU17" s="15"/>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4"/>
      <c r="CC18" s="1"/>
      <c r="CD18" s="14"/>
      <c r="CE18" s="1"/>
      <c r="CF18" s="14"/>
      <c r="CG18" s="1"/>
      <c r="CH18" s="1"/>
      <c r="CI18" s="14"/>
      <c r="CJ18" s="1"/>
      <c r="CK18" s="14"/>
      <c r="CL18" s="1"/>
      <c r="CM18" s="3"/>
      <c r="CN18" s="1"/>
      <c r="CO18" s="1"/>
      <c r="CP18" s="14"/>
      <c r="CQ18" s="1"/>
      <c r="CR18" s="1"/>
      <c r="CS18" s="1"/>
      <c r="CT18" s="1"/>
      <c r="CU18" s="15"/>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4"/>
      <c r="CE19" s="1"/>
      <c r="CF19" s="14"/>
      <c r="CG19" s="1"/>
      <c r="CH19" s="1"/>
      <c r="CI19" s="14"/>
      <c r="CJ19" s="1"/>
      <c r="CK19" s="14"/>
      <c r="CL19" s="1"/>
      <c r="CM19" s="3"/>
      <c r="CN19" s="1"/>
      <c r="CO19" s="1"/>
      <c r="CP19" s="14"/>
      <c r="CQ19" s="1"/>
      <c r="CR19" s="1"/>
      <c r="CS19" s="1"/>
      <c r="CT19" s="1"/>
      <c r="CU19" s="15"/>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4"/>
      <c r="CE20" s="1"/>
      <c r="CF20" s="14"/>
      <c r="CG20" s="1"/>
      <c r="CH20" s="1"/>
      <c r="CI20" s="14"/>
      <c r="CJ20" s="1"/>
      <c r="CK20" s="14"/>
      <c r="CL20" s="1"/>
      <c r="CM20" s="3"/>
      <c r="CN20" s="1"/>
      <c r="CO20" s="1"/>
      <c r="CP20" s="14"/>
      <c r="CQ20" s="1"/>
      <c r="CR20" s="1"/>
      <c r="CS20" s="1"/>
      <c r="CT20" s="1"/>
      <c r="CU20" s="15"/>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M58"/>
  <sheetViews>
    <sheetView showZeros="0" tabSelected="1" topLeftCell="E16" workbookViewId="0">
      <selection activeCell="BT18" sqref="BT18"/>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customWidth="1"/>
    <col min="6" max="6" width="11.5703125" customWidth="1"/>
    <col min="7" max="7" width="13.85546875" customWidth="1"/>
    <col min="8" max="8" width="10.5703125" style="8" customWidth="1"/>
    <col min="9" max="9" width="12.28515625" customWidth="1"/>
    <col min="10" max="10" width="13.85546875" customWidth="1"/>
    <col min="11" max="12" width="9.140625" customWidth="1"/>
    <col min="13" max="13" width="15.28515625" customWidth="1"/>
    <col min="14" max="14" width="7.85546875" style="28" customWidth="1"/>
    <col min="15" max="24" width="7.85546875" style="28" hidden="1" customWidth="1"/>
    <col min="25" max="25" width="7.85546875" style="28" customWidth="1"/>
    <col min="26" max="28" width="7.85546875" style="28" hidden="1" customWidth="1"/>
    <col min="29" max="29" width="7.85546875" style="28" customWidth="1"/>
    <col min="30" max="30" width="7.85546875" style="28" hidden="1" customWidth="1"/>
    <col min="31" max="31" width="7.85546875" style="28" customWidth="1"/>
    <col min="32" max="36" width="7.85546875" style="28" hidden="1" customWidth="1"/>
    <col min="37" max="37" width="7.85546875" style="28" customWidth="1"/>
    <col min="38" max="42" width="7.85546875" style="28" hidden="1" customWidth="1"/>
    <col min="43" max="44" width="7.85546875" style="28" customWidth="1"/>
    <col min="45" max="47" width="7.85546875" style="28" hidden="1" customWidth="1"/>
    <col min="48" max="48" width="7.85546875" style="28" customWidth="1"/>
    <col min="49" max="52" width="7.85546875" style="28" hidden="1" customWidth="1"/>
    <col min="53" max="53" width="7.85546875" style="28" customWidth="1"/>
    <col min="54" max="57" width="7.85546875" style="28" hidden="1" customWidth="1"/>
    <col min="58" max="58" width="7.85546875" style="28" customWidth="1"/>
    <col min="59" max="64" width="7.85546875" style="28" hidden="1" customWidth="1"/>
    <col min="65" max="65" width="7.85546875" style="28" customWidth="1"/>
    <col min="66" max="66" width="7.85546875" style="28" hidden="1" customWidth="1"/>
    <col min="67" max="68" width="7.85546875" style="28" customWidth="1"/>
    <col min="69" max="71" width="7.85546875" style="28" hidden="1" customWidth="1"/>
    <col min="72" max="72" width="7.85546875" style="28" customWidth="1"/>
    <col min="73" max="73" width="7.85546875" style="28" hidden="1" customWidth="1"/>
    <col min="74" max="75" width="7.85546875" style="28" customWidth="1"/>
    <col min="76" max="76" width="12" style="28" customWidth="1"/>
    <col min="77" max="77" width="29.7109375" style="28" customWidth="1"/>
    <col min="78" max="78" width="11.28515625" style="28" customWidth="1"/>
    <col min="79" max="79" width="13" style="4" customWidth="1"/>
    <col min="80" max="80" width="13.85546875" style="4" bestFit="1" customWidth="1"/>
    <col min="81" max="81" width="9.140625" style="26" hidden="1" customWidth="1"/>
    <col min="82" max="82" width="9.140625" style="4" hidden="1" customWidth="1"/>
    <col min="83" max="83" width="9.140625" style="12" customWidth="1"/>
    <col min="84" max="84" width="12" style="4" bestFit="1" customWidth="1"/>
    <col min="85" max="85" width="9.140625" style="8" customWidth="1"/>
    <col min="86" max="86" width="12.28515625" style="4" bestFit="1" customWidth="1"/>
    <col min="87" max="87" width="13.85546875" style="4" bestFit="1" customWidth="1"/>
    <col min="88" max="88" width="9.140625" style="8" customWidth="1"/>
    <col min="89" max="89" width="11.5703125" customWidth="1"/>
    <col min="90" max="90" width="9.140625" style="8" customWidth="1"/>
    <col min="91" max="91" width="9.140625" customWidth="1"/>
  </cols>
  <sheetData>
    <row r="1" spans="1:90" s="42" customFormat="1" ht="15.75" thickBot="1" x14ac:dyDescent="0.3"/>
    <row r="2" spans="1:90" s="42" customFormat="1" ht="44.25" customHeight="1" thickBot="1" x14ac:dyDescent="0.5">
      <c r="A2" s="69" t="s">
        <v>140</v>
      </c>
      <c r="B2" s="70"/>
      <c r="C2" s="70"/>
      <c r="D2" s="70"/>
      <c r="E2" s="70"/>
      <c r="F2" s="70"/>
      <c r="G2" s="70"/>
      <c r="H2" s="70"/>
      <c r="I2" s="70"/>
      <c r="J2" s="70"/>
      <c r="K2" s="70"/>
      <c r="L2" s="70"/>
      <c r="M2" s="70"/>
      <c r="N2" s="70"/>
      <c r="O2" s="70"/>
      <c r="P2" s="70"/>
      <c r="Q2" s="70"/>
      <c r="R2" s="71"/>
      <c r="S2" s="45"/>
      <c r="T2" s="45"/>
    </row>
    <row r="3" spans="1:90" s="42" customFormat="1" ht="15.75" thickBot="1" x14ac:dyDescent="0.3">
      <c r="A3"/>
      <c r="B3"/>
      <c r="C3"/>
      <c r="D3"/>
      <c r="E3"/>
      <c r="F3"/>
      <c r="G3"/>
      <c r="H3"/>
      <c r="I3"/>
      <c r="J3"/>
      <c r="K3"/>
      <c r="L3"/>
      <c r="M3"/>
      <c r="N3"/>
      <c r="O3"/>
      <c r="P3"/>
      <c r="Q3"/>
      <c r="R3"/>
      <c r="S3"/>
    </row>
    <row r="4" spans="1:90" s="42" customFormat="1" ht="51.75" customHeight="1" thickBot="1" x14ac:dyDescent="0.3">
      <c r="A4" s="43" t="s">
        <v>125</v>
      </c>
      <c r="B4" s="79" t="s">
        <v>141</v>
      </c>
      <c r="C4" s="79"/>
      <c r="D4" s="79"/>
      <c r="E4" s="79"/>
      <c r="F4" s="79"/>
      <c r="G4" s="79"/>
      <c r="H4" s="79"/>
      <c r="I4" s="79"/>
      <c r="J4" s="79"/>
      <c r="K4" s="79"/>
      <c r="L4" s="79"/>
      <c r="M4" s="79"/>
      <c r="N4" s="79"/>
      <c r="O4" s="79"/>
      <c r="P4" s="79"/>
      <c r="Q4" s="79"/>
      <c r="R4" s="79"/>
      <c r="S4"/>
    </row>
    <row r="5" spans="1:90" s="42" customFormat="1" ht="34.5" customHeight="1" x14ac:dyDescent="0.25">
      <c r="A5" s="43" t="s">
        <v>126</v>
      </c>
      <c r="B5" s="79" t="s">
        <v>143</v>
      </c>
      <c r="C5" s="79"/>
      <c r="D5" s="79"/>
      <c r="E5" s="79"/>
      <c r="F5" s="79"/>
      <c r="G5" s="79"/>
      <c r="H5" s="79"/>
      <c r="I5" s="79"/>
      <c r="J5" s="79"/>
      <c r="K5" s="79"/>
      <c r="L5" s="79"/>
      <c r="M5" s="79"/>
      <c r="N5" s="79"/>
      <c r="O5" s="79"/>
      <c r="P5" s="79"/>
      <c r="Q5" s="79"/>
      <c r="R5" s="79"/>
      <c r="S5"/>
    </row>
    <row r="6" spans="1:90" s="42" customFormat="1" ht="48" customHeight="1" x14ac:dyDescent="0.25">
      <c r="A6" s="44" t="s">
        <v>127</v>
      </c>
      <c r="B6" s="80" t="s">
        <v>142</v>
      </c>
      <c r="C6" s="79"/>
      <c r="D6" s="79"/>
      <c r="E6" s="79"/>
      <c r="F6" s="79"/>
      <c r="G6" s="79"/>
      <c r="H6" s="79"/>
      <c r="I6" s="79"/>
      <c r="J6" s="79"/>
      <c r="K6" s="79"/>
      <c r="L6" s="79"/>
      <c r="M6" s="79"/>
      <c r="N6" s="79"/>
      <c r="O6" s="79"/>
      <c r="P6" s="79"/>
      <c r="Q6" s="79"/>
      <c r="R6" s="79"/>
      <c r="S6"/>
    </row>
    <row r="7" spans="1:90" s="42" customFormat="1" ht="30" x14ac:dyDescent="0.25">
      <c r="A7" s="44" t="s">
        <v>124</v>
      </c>
      <c r="B7" s="80" t="s">
        <v>144</v>
      </c>
      <c r="C7" s="79"/>
      <c r="D7" s="79"/>
      <c r="E7" s="79"/>
      <c r="F7" s="79"/>
      <c r="G7" s="79"/>
      <c r="H7" s="79"/>
      <c r="I7" s="79"/>
      <c r="J7" s="79"/>
      <c r="K7" s="79"/>
      <c r="L7" s="79"/>
      <c r="M7" s="79"/>
      <c r="N7" s="79"/>
      <c r="O7" s="79"/>
      <c r="P7" s="79"/>
      <c r="Q7" s="79"/>
      <c r="R7" s="79"/>
      <c r="S7"/>
    </row>
    <row r="8" spans="1:90" s="42" customFormat="1" ht="28.5" customHeight="1" x14ac:dyDescent="0.25">
      <c r="A8" s="44" t="s">
        <v>128</v>
      </c>
      <c r="B8" s="80" t="s">
        <v>139</v>
      </c>
      <c r="C8" s="80"/>
      <c r="D8" s="80"/>
      <c r="E8" s="80"/>
      <c r="F8" s="80"/>
      <c r="G8" s="80"/>
      <c r="H8" s="80"/>
      <c r="I8" s="80"/>
      <c r="J8" s="80"/>
      <c r="K8" s="80"/>
      <c r="L8" s="80"/>
      <c r="M8" s="80"/>
      <c r="N8" s="80"/>
      <c r="O8" s="80"/>
      <c r="P8" s="80"/>
      <c r="Q8" s="80"/>
      <c r="R8" s="80"/>
      <c r="S8"/>
    </row>
    <row r="9" spans="1:90" s="42" customFormat="1" ht="39.75" customHeight="1" x14ac:dyDescent="0.25">
      <c r="A9" s="44" t="s">
        <v>129</v>
      </c>
      <c r="B9" s="81" t="s">
        <v>145</v>
      </c>
      <c r="C9" s="82"/>
      <c r="D9" s="82"/>
      <c r="E9" s="82"/>
      <c r="F9" s="82"/>
      <c r="G9" s="82"/>
      <c r="H9" s="82"/>
      <c r="I9" s="82"/>
      <c r="J9" s="82"/>
      <c r="K9" s="82"/>
      <c r="L9" s="82"/>
      <c r="M9" s="82"/>
      <c r="N9" s="82"/>
      <c r="O9" s="82"/>
      <c r="P9" s="82"/>
      <c r="Q9" s="82"/>
      <c r="R9" s="83"/>
    </row>
    <row r="10" spans="1:90" s="42" customFormat="1" ht="37.5" customHeight="1" x14ac:dyDescent="0.25">
      <c r="A10" s="44" t="s">
        <v>130</v>
      </c>
      <c r="B10" s="80" t="s">
        <v>146</v>
      </c>
      <c r="C10" s="80"/>
      <c r="D10" s="80"/>
      <c r="E10" s="80"/>
      <c r="F10" s="80"/>
      <c r="G10" s="80"/>
      <c r="H10" s="80"/>
      <c r="I10" s="80"/>
      <c r="J10" s="80"/>
      <c r="K10" s="80"/>
      <c r="L10" s="80"/>
      <c r="M10" s="80"/>
      <c r="N10" s="80"/>
      <c r="O10" s="80"/>
      <c r="P10" s="80"/>
      <c r="Q10" s="80"/>
      <c r="R10" s="80"/>
      <c r="S10"/>
    </row>
    <row r="11" spans="1:90" s="42" customFormat="1" ht="31.5" customHeight="1" x14ac:dyDescent="0.25">
      <c r="A11" s="44" t="s">
        <v>131</v>
      </c>
      <c r="B11" s="75" t="s">
        <v>147</v>
      </c>
      <c r="C11" s="76"/>
      <c r="D11" s="76"/>
      <c r="E11" s="76"/>
      <c r="F11" s="76"/>
      <c r="G11" s="76"/>
      <c r="H11" s="76"/>
      <c r="I11" s="76"/>
      <c r="J11" s="76"/>
      <c r="K11" s="76"/>
      <c r="L11" s="76"/>
      <c r="M11" s="76"/>
      <c r="N11" s="76"/>
      <c r="O11" s="76"/>
      <c r="P11" s="76"/>
      <c r="Q11" s="76"/>
      <c r="R11" s="77"/>
      <c r="S11"/>
    </row>
    <row r="12" spans="1:90" s="42" customFormat="1" ht="30" x14ac:dyDescent="0.25">
      <c r="A12" s="47" t="s">
        <v>132</v>
      </c>
      <c r="B12" s="78" t="s">
        <v>148</v>
      </c>
      <c r="C12" s="78"/>
      <c r="D12" s="78"/>
      <c r="E12" s="78"/>
      <c r="F12" s="78"/>
      <c r="G12" s="78"/>
      <c r="H12" s="78"/>
      <c r="I12" s="78"/>
      <c r="J12" s="78"/>
      <c r="K12" s="78"/>
      <c r="L12" s="78"/>
      <c r="M12" s="78"/>
      <c r="N12" s="78"/>
      <c r="O12" s="78"/>
      <c r="P12" s="78"/>
      <c r="Q12" s="78"/>
      <c r="R12" s="78"/>
    </row>
    <row r="13" spans="1:90" s="42" customFormat="1" ht="24.75" customHeight="1" x14ac:dyDescent="0.25">
      <c r="A13" s="47" t="s">
        <v>133</v>
      </c>
      <c r="B13" s="78" t="s">
        <v>149</v>
      </c>
      <c r="C13" s="78"/>
      <c r="D13" s="78"/>
      <c r="E13" s="78"/>
      <c r="F13" s="78"/>
      <c r="G13" s="78"/>
      <c r="H13" s="78"/>
      <c r="I13" s="78"/>
      <c r="J13" s="78"/>
      <c r="K13" s="78"/>
      <c r="L13" s="78"/>
      <c r="M13" s="78"/>
      <c r="N13" s="78"/>
      <c r="O13" s="78"/>
      <c r="P13" s="78"/>
      <c r="Q13" s="78"/>
      <c r="R13" s="78"/>
    </row>
    <row r="14" spans="1:90" s="42" customFormat="1" ht="30" x14ac:dyDescent="0.25">
      <c r="A14" s="48" t="s">
        <v>134</v>
      </c>
      <c r="B14" s="78"/>
      <c r="C14" s="78"/>
      <c r="D14" s="78"/>
      <c r="E14" s="78"/>
      <c r="F14" s="78"/>
      <c r="G14" s="78"/>
      <c r="H14" s="78"/>
      <c r="I14" s="78"/>
      <c r="J14" s="78"/>
      <c r="K14" s="78"/>
      <c r="L14" s="78"/>
      <c r="M14" s="78"/>
      <c r="N14" s="78"/>
      <c r="O14" s="78"/>
      <c r="P14" s="78"/>
      <c r="Q14" s="78"/>
      <c r="R14" s="78"/>
    </row>
    <row r="16" spans="1:90" s="35" customFormat="1" ht="28.9" customHeight="1" x14ac:dyDescent="0.25">
      <c r="E16" s="40"/>
      <c r="H16" s="41"/>
      <c r="N16" s="74" t="str">
        <f>Sheet1!J1</f>
        <v>Conductor</v>
      </c>
      <c r="O16" s="74"/>
      <c r="P16" s="74"/>
      <c r="Q16" s="74"/>
      <c r="R16" s="74"/>
      <c r="S16" s="74" t="s">
        <v>9</v>
      </c>
      <c r="T16" s="74"/>
      <c r="U16" s="74" t="s">
        <v>3</v>
      </c>
      <c r="V16" s="74"/>
      <c r="W16" s="74"/>
      <c r="X16" s="74"/>
      <c r="Y16" s="74"/>
      <c r="Z16" s="74"/>
      <c r="AA16" s="74"/>
      <c r="AB16" s="74"/>
      <c r="AC16" s="74" t="s">
        <v>12</v>
      </c>
      <c r="AD16" s="74"/>
      <c r="AE16" s="74" t="s">
        <v>15</v>
      </c>
      <c r="AF16" s="74"/>
      <c r="AG16" s="74"/>
      <c r="AH16" s="74"/>
      <c r="AI16" s="74"/>
      <c r="AJ16" s="74"/>
      <c r="AK16" s="10" t="s">
        <v>18</v>
      </c>
      <c r="AL16" s="72" t="s">
        <v>21</v>
      </c>
      <c r="AM16" s="73"/>
      <c r="AN16" s="73"/>
      <c r="AO16" s="73"/>
      <c r="AP16" s="73"/>
      <c r="AQ16" s="73"/>
      <c r="AR16" s="73"/>
      <c r="AS16" s="74" t="s">
        <v>24</v>
      </c>
      <c r="AT16" s="74"/>
      <c r="AU16" s="74"/>
      <c r="AV16" s="74"/>
      <c r="AW16" s="74"/>
      <c r="AX16" s="74"/>
      <c r="AY16" s="74"/>
      <c r="AZ16" s="74"/>
      <c r="BA16" s="74"/>
      <c r="BB16" s="74"/>
      <c r="BC16" s="74" t="s">
        <v>27</v>
      </c>
      <c r="BD16" s="74"/>
      <c r="BE16" s="74"/>
      <c r="BF16" s="74"/>
      <c r="BG16" s="74"/>
      <c r="BH16" s="74"/>
      <c r="BI16" s="74"/>
      <c r="BJ16" s="74"/>
      <c r="BK16" s="74"/>
      <c r="BL16" s="74"/>
      <c r="BM16" s="36" t="s">
        <v>30</v>
      </c>
      <c r="BN16" s="10" t="s">
        <v>33</v>
      </c>
      <c r="BO16" s="10" t="s">
        <v>36</v>
      </c>
      <c r="BP16" s="10" t="s">
        <v>39</v>
      </c>
      <c r="BQ16" s="10" t="s">
        <v>42</v>
      </c>
      <c r="BR16" s="10" t="s">
        <v>45</v>
      </c>
      <c r="BS16" s="10" t="s">
        <v>48</v>
      </c>
      <c r="BT16" s="10" t="s">
        <v>51</v>
      </c>
      <c r="BU16" s="10" t="s">
        <v>54</v>
      </c>
      <c r="BV16" s="10"/>
      <c r="BW16" s="10"/>
      <c r="BX16" s="10"/>
      <c r="BY16" s="10"/>
      <c r="BZ16" s="10"/>
      <c r="CA16" s="37" t="s">
        <v>57</v>
      </c>
      <c r="CB16" s="37" t="s">
        <v>58</v>
      </c>
      <c r="CC16" s="38" t="s">
        <v>79</v>
      </c>
      <c r="CD16" s="37" t="s">
        <v>123</v>
      </c>
      <c r="CE16" s="39"/>
      <c r="CF16" s="40"/>
      <c r="CG16" s="41"/>
      <c r="CH16" s="40"/>
      <c r="CI16" s="40"/>
      <c r="CJ16" s="41"/>
      <c r="CL16" s="41"/>
    </row>
    <row r="17" spans="1:91" s="17" customFormat="1" ht="89.25" x14ac:dyDescent="0.25">
      <c r="A17" s="20" t="s">
        <v>0</v>
      </c>
      <c r="B17" s="20" t="str">
        <f>Sheet1!B1</f>
        <v>Base Date</v>
      </c>
      <c r="C17" s="20" t="s">
        <v>1</v>
      </c>
      <c r="D17" s="20" t="s">
        <v>2</v>
      </c>
      <c r="E17" s="5" t="s">
        <v>70</v>
      </c>
      <c r="F17" s="13" t="s">
        <v>71</v>
      </c>
      <c r="G17" s="13" t="s">
        <v>72</v>
      </c>
      <c r="H17" s="6" t="s">
        <v>73</v>
      </c>
      <c r="I17" s="13" t="s">
        <v>74</v>
      </c>
      <c r="J17" s="13" t="s">
        <v>75</v>
      </c>
      <c r="K17" s="13" t="s">
        <v>76</v>
      </c>
      <c r="L17" s="13" t="s">
        <v>77</v>
      </c>
      <c r="M17" s="13" t="s">
        <v>78</v>
      </c>
      <c r="N17" s="21" t="s">
        <v>80</v>
      </c>
      <c r="O17" s="21" t="s">
        <v>85</v>
      </c>
      <c r="P17" s="21" t="s">
        <v>82</v>
      </c>
      <c r="Q17" s="21" t="s">
        <v>83</v>
      </c>
      <c r="R17" s="21" t="s">
        <v>84</v>
      </c>
      <c r="S17" s="21" t="s">
        <v>80</v>
      </c>
      <c r="T17" s="21" t="s">
        <v>85</v>
      </c>
      <c r="U17" s="22" t="s">
        <v>92</v>
      </c>
      <c r="V17" s="22" t="s">
        <v>96</v>
      </c>
      <c r="W17" s="22" t="s">
        <v>99</v>
      </c>
      <c r="X17" s="22" t="s">
        <v>104</v>
      </c>
      <c r="Y17" s="22" t="s">
        <v>108</v>
      </c>
      <c r="Z17" s="22" t="s">
        <v>112</v>
      </c>
      <c r="AA17" s="22" t="s">
        <v>115</v>
      </c>
      <c r="AB17" s="22" t="s">
        <v>117</v>
      </c>
      <c r="AC17" s="22" t="s">
        <v>91</v>
      </c>
      <c r="AD17" s="22" t="s">
        <v>95</v>
      </c>
      <c r="AE17" s="22" t="s">
        <v>90</v>
      </c>
      <c r="AF17" s="22" t="s">
        <v>86</v>
      </c>
      <c r="AG17" s="22" t="s">
        <v>98</v>
      </c>
      <c r="AH17" s="22" t="s">
        <v>103</v>
      </c>
      <c r="AI17" s="22" t="s">
        <v>107</v>
      </c>
      <c r="AJ17" s="22" t="s">
        <v>111</v>
      </c>
      <c r="AK17" s="18" t="s">
        <v>18</v>
      </c>
      <c r="AL17" s="22" t="s">
        <v>93</v>
      </c>
      <c r="AM17" s="22" t="s">
        <v>97</v>
      </c>
      <c r="AN17" s="22" t="s">
        <v>100</v>
      </c>
      <c r="AO17" s="22" t="s">
        <v>105</v>
      </c>
      <c r="AP17" s="22" t="s">
        <v>109</v>
      </c>
      <c r="AQ17" s="22" t="s">
        <v>87</v>
      </c>
      <c r="AR17" s="22" t="s">
        <v>116</v>
      </c>
      <c r="AS17" s="22" t="s">
        <v>94</v>
      </c>
      <c r="AT17" s="22" t="s">
        <v>81</v>
      </c>
      <c r="AU17" s="22" t="s">
        <v>101</v>
      </c>
      <c r="AV17" s="22" t="s">
        <v>106</v>
      </c>
      <c r="AW17" s="22" t="s">
        <v>113</v>
      </c>
      <c r="AX17" s="22" t="s">
        <v>88</v>
      </c>
      <c r="AY17" s="22" t="s">
        <v>118</v>
      </c>
      <c r="AZ17" s="22" t="s">
        <v>119</v>
      </c>
      <c r="BA17" s="22" t="s">
        <v>120</v>
      </c>
      <c r="BB17" s="22" t="s">
        <v>122</v>
      </c>
      <c r="BC17" s="22" t="s">
        <v>93</v>
      </c>
      <c r="BD17" s="22" t="s">
        <v>97</v>
      </c>
      <c r="BE17" s="22" t="s">
        <v>102</v>
      </c>
      <c r="BF17" s="22" t="s">
        <v>100</v>
      </c>
      <c r="BG17" s="22" t="s">
        <v>110</v>
      </c>
      <c r="BH17" s="22" t="s">
        <v>114</v>
      </c>
      <c r="BI17" s="22" t="s">
        <v>105</v>
      </c>
      <c r="BJ17" s="22" t="s">
        <v>87</v>
      </c>
      <c r="BK17" s="22" t="s">
        <v>116</v>
      </c>
      <c r="BL17" s="22" t="s">
        <v>121</v>
      </c>
      <c r="BM17" s="62" t="s">
        <v>220</v>
      </c>
      <c r="BN17" s="18" t="s">
        <v>89</v>
      </c>
      <c r="BO17" s="61" t="s">
        <v>219</v>
      </c>
      <c r="BP17" s="23" t="s">
        <v>39</v>
      </c>
      <c r="BQ17" s="19" t="s">
        <v>42</v>
      </c>
      <c r="BR17" s="19" t="s">
        <v>45</v>
      </c>
      <c r="BS17" s="19" t="s">
        <v>48</v>
      </c>
      <c r="BT17" s="23" t="s">
        <v>51</v>
      </c>
      <c r="BU17" s="19" t="s">
        <v>54</v>
      </c>
      <c r="BV17" s="19" t="str">
        <f>Sheet1!E1</f>
        <v>PROPOSE DRUM TYPE</v>
      </c>
      <c r="BW17" s="19"/>
      <c r="BX17" s="51" t="str">
        <f>Sheet1!CV1</f>
        <v>DRUM CODE</v>
      </c>
      <c r="BY17" s="51" t="str">
        <f>Sheet1!CW1</f>
        <v>DRUM SIZE (FxbXtx Ft)</v>
      </c>
      <c r="BZ17" s="55" t="str">
        <f>Sheet1!CX1</f>
        <v xml:space="preserve">PARTY STANDARD LENGTH (MTR) </v>
      </c>
      <c r="CA17" s="27"/>
      <c r="CB17" s="27"/>
      <c r="CC17" s="24"/>
      <c r="CD17" s="27"/>
      <c r="CE17" s="11" t="s">
        <v>61</v>
      </c>
      <c r="CF17" s="5" t="s">
        <v>62</v>
      </c>
      <c r="CG17" s="6" t="s">
        <v>63</v>
      </c>
      <c r="CH17" s="5" t="s">
        <v>64</v>
      </c>
      <c r="CI17" s="5" t="s">
        <v>65</v>
      </c>
      <c r="CJ17" s="6" t="s">
        <v>66</v>
      </c>
      <c r="CK17" s="13" t="s">
        <v>67</v>
      </c>
      <c r="CL17" s="6" t="s">
        <v>68</v>
      </c>
      <c r="CM17" s="13" t="s">
        <v>69</v>
      </c>
    </row>
    <row r="18" spans="1:91" s="27" customFormat="1" x14ac:dyDescent="0.25">
      <c r="A18" s="29"/>
      <c r="B18" s="29"/>
      <c r="C18" s="29"/>
      <c r="D18" s="29"/>
      <c r="E18" s="5"/>
      <c r="F18" s="5"/>
      <c r="G18" s="5"/>
      <c r="H18" s="5"/>
      <c r="I18" s="5"/>
      <c r="J18" s="5"/>
      <c r="K18" s="5"/>
      <c r="L18" s="5"/>
      <c r="M18" s="5"/>
      <c r="N18" s="30">
        <v>216</v>
      </c>
      <c r="O18" s="30">
        <f>+IFERROR(VLOOKUP($O$17,Sheet1!J:L,2,0),0)</f>
        <v>0</v>
      </c>
      <c r="P18" s="30">
        <f>+IFERROR(VLOOKUP($P$17,Sheet1!J:M,2,0),0)</f>
        <v>0</v>
      </c>
      <c r="Q18" s="30">
        <f>+IFERROR(VLOOKUP($Q$17,Sheet1!J:M,2,0),0)</f>
        <v>0</v>
      </c>
      <c r="R18" s="30">
        <f>+IFERROR(VLOOKUP($R$17,Sheet1!J:M,2,0),0)</f>
        <v>0</v>
      </c>
      <c r="S18" s="30">
        <f>+IFERROR(VLOOKUP($S$17,Sheet1!N:Q,2,0),0)</f>
        <v>0</v>
      </c>
      <c r="T18" s="30">
        <f>+IFERROR(VLOOKUP($T$17,Sheet1!N:O,2,0),0)</f>
        <v>0</v>
      </c>
      <c r="U18" s="31">
        <f>+IFERROR(VLOOKUP($U$17,Sheet1!F:I,2,0),0)</f>
        <v>0</v>
      </c>
      <c r="V18" s="31">
        <f>+IFERROR(VLOOKUP($V$17,Sheet1!F:I,2,0),0)</f>
        <v>0</v>
      </c>
      <c r="W18" s="31">
        <f>+IFERROR(VLOOKUP($W$17,Sheet1!F:I,2,0),0)</f>
        <v>0</v>
      </c>
      <c r="X18" s="31">
        <f>+IFERROR(VLOOKUP($X$17,Sheet1!F:I,2,0),0)</f>
        <v>0</v>
      </c>
      <c r="Y18" s="31">
        <v>859</v>
      </c>
      <c r="Z18" s="31"/>
      <c r="AA18" s="31"/>
      <c r="AB18" s="31"/>
      <c r="AC18" s="31">
        <v>199</v>
      </c>
      <c r="AD18" s="31"/>
      <c r="AE18" s="31">
        <v>145</v>
      </c>
      <c r="AF18" s="31"/>
      <c r="AG18" s="31"/>
      <c r="AH18" s="31"/>
      <c r="AI18" s="31"/>
      <c r="AJ18" s="31"/>
      <c r="AK18" s="32">
        <v>120</v>
      </c>
      <c r="AL18" s="31"/>
      <c r="AM18" s="31"/>
      <c r="AN18" s="31"/>
      <c r="AO18" s="31"/>
      <c r="AP18" s="31"/>
      <c r="AQ18" s="31">
        <v>60</v>
      </c>
      <c r="AR18" s="31">
        <v>88</v>
      </c>
      <c r="AS18" s="31"/>
      <c r="AT18" s="31"/>
      <c r="AU18" s="31"/>
      <c r="AV18" s="31">
        <v>221</v>
      </c>
      <c r="AW18" s="31"/>
      <c r="AX18" s="31"/>
      <c r="AY18" s="31"/>
      <c r="AZ18" s="31"/>
      <c r="BA18" s="31">
        <v>84</v>
      </c>
      <c r="BB18" s="31"/>
      <c r="BC18" s="31"/>
      <c r="BD18" s="31"/>
      <c r="BE18" s="31"/>
      <c r="BF18" s="31">
        <v>92</v>
      </c>
      <c r="BG18" s="31"/>
      <c r="BH18" s="31"/>
      <c r="BI18" s="31"/>
      <c r="BJ18" s="31"/>
      <c r="BK18" s="31"/>
      <c r="BL18" s="31"/>
      <c r="BM18" s="64">
        <v>65</v>
      </c>
      <c r="BN18" s="32"/>
      <c r="BO18" s="63">
        <v>330</v>
      </c>
      <c r="BP18" s="34">
        <v>455</v>
      </c>
      <c r="BQ18" s="33"/>
      <c r="BR18" s="33"/>
      <c r="BS18" s="33"/>
      <c r="BT18" s="34">
        <v>445</v>
      </c>
      <c r="BU18" s="33">
        <f>+IFERROR(VLOOKUP($BU$17,Sheet1!BV2:BY840,2,0),0)</f>
        <v>0</v>
      </c>
      <c r="BV18" s="50"/>
      <c r="BW18" s="50"/>
      <c r="BX18" s="50"/>
      <c r="BY18" s="50"/>
      <c r="BZ18" s="50"/>
      <c r="CE18" s="5"/>
      <c r="CF18" s="5"/>
      <c r="CG18" s="5"/>
      <c r="CH18" s="5"/>
      <c r="CI18" s="5"/>
      <c r="CJ18" s="5"/>
      <c r="CK18" s="5"/>
      <c r="CL18" s="5"/>
      <c r="CM18" s="5"/>
    </row>
    <row r="19" spans="1:91" ht="30" x14ac:dyDescent="0.25">
      <c r="A19" s="1" t="str">
        <f>Sheet1!A11</f>
        <v>ENQ-12172-22-23</v>
      </c>
      <c r="B19" s="49">
        <v>45329</v>
      </c>
      <c r="C19" s="1" t="str">
        <f>Sheet1!C11</f>
        <v>FA1300080</v>
      </c>
      <c r="D19" s="1" t="str">
        <f>Sheet1!D11</f>
        <v>3 CORE X 400 SQ. MM AL/ARM - WIRE (XLPE) - 33 KV</v>
      </c>
      <c r="E19" s="3">
        <f t="shared" ref="E19:E29" si="0">CI19+CK19+CM19</f>
        <v>3395017.2784000002</v>
      </c>
      <c r="F19" s="65">
        <f>ROUNDUP(M32,0)</f>
        <v>48312</v>
      </c>
      <c r="G19" s="9">
        <f t="shared" ref="G19:G29" si="1">E19+F19</f>
        <v>3443329.2784000002</v>
      </c>
      <c r="H19" s="7">
        <v>0.18</v>
      </c>
      <c r="I19" s="9">
        <f t="shared" ref="I19:I29" si="2">G19*H19</f>
        <v>619799.27011200006</v>
      </c>
      <c r="J19" s="9">
        <f t="shared" ref="J19:J29" si="3">G19+I19</f>
        <v>4063128.5485120001</v>
      </c>
      <c r="K19" s="1">
        <f>Sheet1!CS11</f>
        <v>77</v>
      </c>
      <c r="L19" s="1" t="str">
        <f>Sheet1!CT11</f>
        <v>KMS</v>
      </c>
      <c r="M19" s="3">
        <f t="shared" ref="M19:M29" si="4">J19*K19</f>
        <v>312860898.23542398</v>
      </c>
      <c r="N19" s="66">
        <v>3243</v>
      </c>
      <c r="O19" s="2">
        <f>+IFERROR(VLOOKUP($O$17,Sheet1!J11:L11,3,0),0)</f>
        <v>0</v>
      </c>
      <c r="P19" s="2">
        <f>+IFERROR(VLOOKUP($P$17,Sheet1!J11:M11,3,0),0)</f>
        <v>0</v>
      </c>
      <c r="Q19" s="2">
        <f>+IFERROR(VLOOKUP($Q$17,Sheet1!J11:M11,3,0),0)</f>
        <v>0</v>
      </c>
      <c r="R19" s="2">
        <f>+IFERROR(VLOOKUP($R$17,Sheet1!J11:M11,3,0),0)</f>
        <v>0</v>
      </c>
      <c r="S19" s="2">
        <f>+IFERROR(VLOOKUP($S$17,Sheet1!N11:Q11,3,0),0)</f>
        <v>0</v>
      </c>
      <c r="T19" s="2">
        <f>+IFERROR(VLOOKUP($T$17,Sheet1!N11:Q11,3,0),0)</f>
        <v>0</v>
      </c>
      <c r="U19" s="2">
        <f>+IFERROR(VLOOKUP($U$17,Sheet1!F11:I11,3,0),0)</f>
        <v>0</v>
      </c>
      <c r="V19" s="2">
        <f>+IFERROR(VLOOKUP($V$17,Sheet1!F11:I11,3,0),0)</f>
        <v>0</v>
      </c>
      <c r="W19" s="2">
        <f>+IFERROR(VLOOKUP($W$17,Sheet1!F11:I11,3,0),0)</f>
        <v>0</v>
      </c>
      <c r="X19" s="2">
        <f>+IFERROR(VLOOKUP($X$17,Sheet1!F11:I11,3,0),0)</f>
        <v>0</v>
      </c>
      <c r="Y19" s="66">
        <v>212</v>
      </c>
      <c r="Z19" s="2">
        <f>+IFERROR(VLOOKUP($Z$17,Sheet1!F11:I11,3,0),0)</f>
        <v>0</v>
      </c>
      <c r="AA19" s="2">
        <f>+IFERROR(VLOOKUP($AA$17,Sheet1!F11:I11,3,0),0)</f>
        <v>0</v>
      </c>
      <c r="AB19" s="2">
        <f>+IFERROR(VLOOKUP($AB$17,Sheet1!F11:I11,3,0),0)</f>
        <v>0</v>
      </c>
      <c r="AC19" s="66">
        <v>515</v>
      </c>
      <c r="AD19" s="13">
        <f>+IFERROR(VLOOKUP($AD$17,Sheet1!R11:U11,2,0),0)</f>
        <v>0</v>
      </c>
      <c r="AE19" s="66">
        <v>2670</v>
      </c>
      <c r="AF19" s="13">
        <f>+IFERROR(VLOOKUP($AF$17,Sheet1!V11:Y11,3,0),0)</f>
        <v>0</v>
      </c>
      <c r="AG19" s="13">
        <f>+IFERROR(VLOOKUP($AG$17,Sheet1!V11:Y11,3,0),0)</f>
        <v>0</v>
      </c>
      <c r="AH19" s="13">
        <f>+IFERROR(VLOOKUP($AH$17,Sheet1!V11:Y11,3,0),0)</f>
        <v>0</v>
      </c>
      <c r="AI19" s="13">
        <f>+IFERROR(VLOOKUP($AI$17,Sheet1!V11:Y11,3,0),0)</f>
        <v>0</v>
      </c>
      <c r="AJ19" s="13">
        <f>+IFERROR(VLOOKUP($AJ$17,Sheet1!V11:Y11,3,0),0)</f>
        <v>0</v>
      </c>
      <c r="AK19" s="13">
        <f>+IFERROR(VLOOKUP($AK$17,Sheet1!Z11:AB11,3,0),0)</f>
        <v>0</v>
      </c>
      <c r="AL19" s="13">
        <f>+IFERROR(VLOOKUP($AL$17,Sheet1!AD11:AG11,3,0),0)</f>
        <v>0</v>
      </c>
      <c r="AM19" s="13">
        <f>+IFERROR(VLOOKUP($AM$17,Sheet1!AD11:AG11,3,0),0)</f>
        <v>0</v>
      </c>
      <c r="AN19" s="13">
        <f>+IFERROR(VLOOKUP($AN$17,Sheet1!AD11:AG11,3,0),0)</f>
        <v>0</v>
      </c>
      <c r="AO19" s="13">
        <f>+IFERROR(VLOOKUP($AO$17,Sheet1!AD11:AG11,3,0),0)</f>
        <v>0</v>
      </c>
      <c r="AP19" s="13">
        <f>+IFERROR(VLOOKUP($AP$17,Sheet1!AD11:AG11,3,0),0)</f>
        <v>0</v>
      </c>
      <c r="AQ19" s="13">
        <f>+IFERROR(VLOOKUP($AQ$17,Sheet1!AD11:AG11,3,0),0)</f>
        <v>0</v>
      </c>
      <c r="AR19" s="67">
        <v>1561</v>
      </c>
      <c r="AS19" s="13">
        <f>+IFERROR(VLOOKUP($AS$17,Sheet1!AH11:AK11,3,0),0)</f>
        <v>0</v>
      </c>
      <c r="AT19" s="13">
        <f>+IFERROR(VLOOKUP($AT$17,Sheet1!AH11:AK11,3,0),0)</f>
        <v>0</v>
      </c>
      <c r="AU19" s="13">
        <f>+IFERROR(VLOOKUP($AU$17,Sheet1!AH11:AK11,3,0),0)</f>
        <v>0</v>
      </c>
      <c r="AV19" s="13">
        <f>+IFERROR(VLOOKUP($AV$17,Sheet1!AH11:AK11,3,0),0)</f>
        <v>0</v>
      </c>
      <c r="AW19" s="13">
        <f>+IFERROR(VLOOKUP($AW$17,Sheet1!AH11:AK11,3,0),0)</f>
        <v>0</v>
      </c>
      <c r="AX19" s="13">
        <f>+IFERROR(VLOOKUP($AX$17,Sheet1!AH11:AK11,3,0),0)</f>
        <v>0</v>
      </c>
      <c r="AY19" s="13">
        <f>+IFERROR(VLOOKUP($AY$17,Sheet1!AH11:AK11,3,0),0)</f>
        <v>0</v>
      </c>
      <c r="AZ19" s="13">
        <f>+IFERROR(VLOOKUP($AZ$17,Sheet1!AH11:AK11,3,0),0)</f>
        <v>0</v>
      </c>
      <c r="BA19" s="67">
        <v>7182</v>
      </c>
      <c r="BB19" s="13">
        <f>+IFERROR(VLOOKUP($BB$17,Sheet1!AH11:AK11,3,0),0)</f>
        <v>0</v>
      </c>
      <c r="BC19" s="13">
        <f>+IFERROR(VLOOKUP($BC$17,Sheet1!AL11:AO11,3,0),0)</f>
        <v>0</v>
      </c>
      <c r="BD19" s="13">
        <f>+IFERROR(VLOOKUP($BD$17,Sheet1!AL11:AO11,3,0),0)</f>
        <v>0</v>
      </c>
      <c r="BE19" s="13">
        <f>+IFERROR(VLOOKUP($BE$17,Sheet1!AL11:AO11,3,0),0)</f>
        <v>0</v>
      </c>
      <c r="BF19" s="67">
        <v>1715</v>
      </c>
      <c r="BG19" s="13">
        <f>+IFERROR(VLOOKUP($BG$17,Sheet1!AL11:AO11,3,0),0)</f>
        <v>0</v>
      </c>
      <c r="BH19" s="13">
        <f>+IFERROR(VLOOKUP($BH$17,Sheet1!AL11:AO11,3,0),0)</f>
        <v>0</v>
      </c>
      <c r="BI19" s="13">
        <f>+IFERROR(VLOOKUP($BI$17,Sheet1!AL11:AO11,3,0),0)</f>
        <v>0</v>
      </c>
      <c r="BJ19" s="13">
        <f>+IFERROR(VLOOKUP($BJ$17,Sheet1!AL11:AO11,3,0),0)</f>
        <v>0</v>
      </c>
      <c r="BK19" s="13">
        <f>+IFERROR(VLOOKUP($BK$17,Sheet1!AL11:AO11,3,0),0)</f>
        <v>0</v>
      </c>
      <c r="BL19" s="13">
        <f>+IFERROR(VLOOKUP($BL$17,Sheet1!AL11:AO11,3,0),0)</f>
        <v>0</v>
      </c>
      <c r="BM19" s="67">
        <v>1718</v>
      </c>
      <c r="BN19" s="13">
        <f>+IFERROR(VLOOKUP($BN$17,Sheet1!AT11:AW11,3,0),0)</f>
        <v>0</v>
      </c>
      <c r="BO19" s="67">
        <v>58</v>
      </c>
      <c r="BP19" s="67">
        <v>104</v>
      </c>
      <c r="BQ19" s="13">
        <f>+IFERROR(VLOOKUP($BQ$17,Sheet1!BF11:BI11,3,0),0)</f>
        <v>0</v>
      </c>
      <c r="BR19" s="13">
        <f>+IFERROR(VLOOKUP($BR$17,Sheet1!BJ11:BM11,3,0),0)</f>
        <v>0</v>
      </c>
      <c r="BS19" s="13">
        <f>+IFERROR(VLOOKUP($BS$17,Sheet1!BN11:BQ11,3,0),0)</f>
        <v>0</v>
      </c>
      <c r="BT19" s="67">
        <v>75</v>
      </c>
      <c r="BU19" s="13">
        <f>+IFERROR(VLOOKUP($BU$17,Sheet1!BV11:BY11,3,0),0)</f>
        <v>0</v>
      </c>
      <c r="BV19" s="67" t="str">
        <f>Sheet1!E11</f>
        <v>STEEL</v>
      </c>
      <c r="BW19" s="13">
        <f>SUM(N19:BT19)</f>
        <v>19053</v>
      </c>
      <c r="BX19" s="13" t="s">
        <v>200</v>
      </c>
      <c r="BY19" s="13" t="s">
        <v>201</v>
      </c>
      <c r="BZ19" s="67">
        <f>Sheet1!CX11</f>
        <v>250</v>
      </c>
      <c r="CA19" s="3">
        <v>176000</v>
      </c>
      <c r="CB19" s="3">
        <f t="shared" ref="CB19:CB29" si="5">SUMPRODUCT($N$18:$BU$18,N19:BU19)+CA19</f>
        <v>2658172</v>
      </c>
      <c r="CC19" s="25">
        <f>Sheet1!CB11</f>
        <v>0</v>
      </c>
      <c r="CD19" s="3">
        <f t="shared" ref="CD19:CD29" si="6">CB19*CC19</f>
        <v>0</v>
      </c>
      <c r="CE19" s="46">
        <v>0.24</v>
      </c>
      <c r="CF19" s="3">
        <f t="shared" ref="CF19:CF29" si="7">CB19*CE19</f>
        <v>637961.28</v>
      </c>
      <c r="CG19" s="46">
        <v>0</v>
      </c>
      <c r="CH19" s="3">
        <f t="shared" ref="CH19:CH29" si="8">CB19*CG19</f>
        <v>0</v>
      </c>
      <c r="CI19" s="3">
        <f t="shared" ref="CI19:CI29" si="9">CB19+CD19+CF19+CH19</f>
        <v>3296133.2800000003</v>
      </c>
      <c r="CJ19" s="46">
        <v>0.02</v>
      </c>
      <c r="CK19" s="1">
        <f t="shared" ref="CK19:CK29" si="10">CI19*CJ19</f>
        <v>65922.665600000008</v>
      </c>
      <c r="CL19" s="46">
        <v>0.01</v>
      </c>
      <c r="CM19" s="1">
        <f t="shared" ref="CM19:CM29" si="11">CI19*CL19</f>
        <v>32961.332800000004</v>
      </c>
    </row>
    <row r="20" spans="1:91" ht="30" x14ac:dyDescent="0.25">
      <c r="A20" s="1" t="str">
        <f>Sheet1!A10</f>
        <v>ENQ-12172-22-23</v>
      </c>
      <c r="B20" s="49">
        <v>45329</v>
      </c>
      <c r="C20" s="1" t="str">
        <f>Sheet1!C10</f>
        <v>FA1300081</v>
      </c>
      <c r="D20" s="1" t="str">
        <f>Sheet1!D10</f>
        <v>3 CORE X 300 SQ. MM. AL/ARM - WIRE (XLPE) - 33 KV</v>
      </c>
      <c r="E20" s="3">
        <f t="shared" si="0"/>
        <v>2957970.9331999999</v>
      </c>
      <c r="F20" s="65">
        <f t="shared" ref="F20:F29" si="12">ROUNDUP(M33,0)</f>
        <v>49646</v>
      </c>
      <c r="G20" s="9">
        <f t="shared" si="1"/>
        <v>3007616.9331999999</v>
      </c>
      <c r="H20" s="7">
        <v>0.18</v>
      </c>
      <c r="I20" s="9">
        <f t="shared" si="2"/>
        <v>541371.047976</v>
      </c>
      <c r="J20" s="9">
        <f t="shared" si="3"/>
        <v>3548987.9811760001</v>
      </c>
      <c r="K20" s="1">
        <f>Sheet1!CS10</f>
        <v>16.920000000000002</v>
      </c>
      <c r="L20" s="1" t="str">
        <f>Sheet1!CT10</f>
        <v>KMS</v>
      </c>
      <c r="M20" s="3">
        <f t="shared" si="4"/>
        <v>60048876.641497925</v>
      </c>
      <c r="N20" s="2">
        <f>+IFERROR(VLOOKUP($N$17,Sheet1!J10:L10,3,0),0)</f>
        <v>2430</v>
      </c>
      <c r="O20" s="2">
        <f>+IFERROR(VLOOKUP($O$17,Sheet1!J10:L10,3,0),0)</f>
        <v>0</v>
      </c>
      <c r="P20" s="2">
        <f>+IFERROR(VLOOKUP($P$17,Sheet1!J10:M10,3,0),0)</f>
        <v>0</v>
      </c>
      <c r="Q20" s="2">
        <f>+IFERROR(VLOOKUP($Q$17,Sheet1!J10:M10,3,0),0)</f>
        <v>0</v>
      </c>
      <c r="R20" s="2">
        <f>+IFERROR(VLOOKUP($R$17,Sheet1!J10:M10,3,0),0)</f>
        <v>0</v>
      </c>
      <c r="S20" s="2">
        <f>+IFERROR(VLOOKUP($S$17,Sheet1!N10:Q10,3,0),0)</f>
        <v>0</v>
      </c>
      <c r="T20" s="2">
        <f>+IFERROR(VLOOKUP($T$17,Sheet1!N10:Q10,3,0),0)</f>
        <v>0</v>
      </c>
      <c r="U20" s="2">
        <f>+IFERROR(VLOOKUP($U$17,Sheet1!F10:I10,3,0),0)</f>
        <v>0</v>
      </c>
      <c r="V20" s="2">
        <f>+IFERROR(VLOOKUP($V$17,Sheet1!F10:I10,3,0),0)</f>
        <v>0</v>
      </c>
      <c r="W20" s="2">
        <f>+IFERROR(VLOOKUP($W$17,Sheet1!F10:I10,3,0),0)</f>
        <v>0</v>
      </c>
      <c r="X20" s="2">
        <f>+IFERROR(VLOOKUP($X$17,Sheet1!F10:I10,3,0),0)</f>
        <v>0</v>
      </c>
      <c r="Y20" s="66">
        <v>193</v>
      </c>
      <c r="Z20" s="2">
        <f>+IFERROR(VLOOKUP($Z$17,Sheet1!F10:I10,3,0),0)</f>
        <v>0</v>
      </c>
      <c r="AA20" s="2">
        <f>+IFERROR(VLOOKUP($AA$17,Sheet1!F10:I10,3,0),0)</f>
        <v>0</v>
      </c>
      <c r="AB20" s="2">
        <f>+IFERROR(VLOOKUP($AB$17,Sheet1!F10:I10,3,0),0)</f>
        <v>0</v>
      </c>
      <c r="AC20" s="66">
        <v>495</v>
      </c>
      <c r="AD20" s="13">
        <f>+IFERROR(VLOOKUP($AD$17,Sheet1!R10:U10,2,0),0)</f>
        <v>0</v>
      </c>
      <c r="AE20" s="66">
        <v>2434</v>
      </c>
      <c r="AF20" s="13">
        <f>+IFERROR(VLOOKUP($AF$17,Sheet1!V10:Y10,3,0),0)</f>
        <v>0</v>
      </c>
      <c r="AG20" s="13">
        <f>+IFERROR(VLOOKUP($AG$17,Sheet1!V10:Y10,3,0),0)</f>
        <v>0</v>
      </c>
      <c r="AH20" s="13">
        <f>+IFERROR(VLOOKUP($AH$17,Sheet1!V10:Y10,3,0),0)</f>
        <v>0</v>
      </c>
      <c r="AI20" s="13">
        <f>+IFERROR(VLOOKUP($AI$17,Sheet1!V10:Y10,3,0),0)</f>
        <v>0</v>
      </c>
      <c r="AJ20" s="13">
        <f>+IFERROR(VLOOKUP($AJ$17,Sheet1!V10:Y10,3,0),0)</f>
        <v>0</v>
      </c>
      <c r="AK20" s="13">
        <f>+IFERROR(VLOOKUP($AK$17,Sheet1!Z10:AB10,3,0),0)</f>
        <v>0</v>
      </c>
      <c r="AL20" s="13">
        <f>+IFERROR(VLOOKUP($AL$17,Sheet1!AD10:AG10,3,0),0)</f>
        <v>0</v>
      </c>
      <c r="AM20" s="13">
        <f>+IFERROR(VLOOKUP($AM$17,Sheet1!AD10:AG10,3,0),0)</f>
        <v>0</v>
      </c>
      <c r="AN20" s="13">
        <f>+IFERROR(VLOOKUP($AN$17,Sheet1!AD10:AG10,3,0),0)</f>
        <v>0</v>
      </c>
      <c r="AO20" s="13">
        <f>+IFERROR(VLOOKUP($AO$17,Sheet1!AD10:AG10,3,0),0)</f>
        <v>0</v>
      </c>
      <c r="AP20" s="13">
        <f>+IFERROR(VLOOKUP($AP$17,Sheet1!AD10:AG10,3,0),0)</f>
        <v>0</v>
      </c>
      <c r="AQ20" s="13">
        <f>+IFERROR(VLOOKUP($AQ$17,Sheet1!AD10:AG10,3,0),0)</f>
        <v>0</v>
      </c>
      <c r="AR20" s="67">
        <v>1382</v>
      </c>
      <c r="AS20" s="13">
        <f>+IFERROR(VLOOKUP($AS$17,Sheet1!AH10:AK10,3,0),0)</f>
        <v>0</v>
      </c>
      <c r="AT20" s="13">
        <f>+IFERROR(VLOOKUP($AT$17,Sheet1!AH10:AK10,3,0),0)</f>
        <v>0</v>
      </c>
      <c r="AU20" s="13">
        <f>+IFERROR(VLOOKUP($AU$17,Sheet1!AH10:AK10,3,0),0)</f>
        <v>0</v>
      </c>
      <c r="AV20" s="13">
        <f>+IFERROR(VLOOKUP($AV$17,Sheet1!AH10:AK10,3,0),0)</f>
        <v>0</v>
      </c>
      <c r="AW20" s="13">
        <f>+IFERROR(VLOOKUP($AW$17,Sheet1!AH10:AK10,3,0),0)</f>
        <v>0</v>
      </c>
      <c r="AX20" s="13">
        <f>+IFERROR(VLOOKUP($AX$17,Sheet1!AH10:AK10,3,0),0)</f>
        <v>0</v>
      </c>
      <c r="AY20" s="13">
        <f>+IFERROR(VLOOKUP($AY$17,Sheet1!AH10:AK10,3,0),0)</f>
        <v>0</v>
      </c>
      <c r="AZ20" s="13">
        <f>+IFERROR(VLOOKUP($AZ$17,Sheet1!AH10:AK10,3,0),0)</f>
        <v>0</v>
      </c>
      <c r="BA20" s="67">
        <v>6668</v>
      </c>
      <c r="BB20" s="13">
        <f>+IFERROR(VLOOKUP($BB$17,Sheet1!AH10:AK10,3,0),0)</f>
        <v>0</v>
      </c>
      <c r="BC20" s="13">
        <f>+IFERROR(VLOOKUP($BC$17,Sheet1!AL10:AO10,3,0),0)</f>
        <v>0</v>
      </c>
      <c r="BD20" s="13">
        <f>+IFERROR(VLOOKUP($BD$17,Sheet1!AL10:AO10,3,0),0)</f>
        <v>0</v>
      </c>
      <c r="BE20" s="13">
        <f>+IFERROR(VLOOKUP($BE$17,Sheet1!AL10:AO10,3,0),0)</f>
        <v>0</v>
      </c>
      <c r="BF20" s="67">
        <v>1613</v>
      </c>
      <c r="BG20" s="13">
        <f>+IFERROR(VLOOKUP($BG$17,Sheet1!AL10:AO10,3,0),0)</f>
        <v>0</v>
      </c>
      <c r="BH20" s="13">
        <f>+IFERROR(VLOOKUP($BH$17,Sheet1!AL10:AO10,3,0),0)</f>
        <v>0</v>
      </c>
      <c r="BI20" s="13">
        <f>+IFERROR(VLOOKUP($BI$17,Sheet1!AL10:AO10,3,0),0)</f>
        <v>0</v>
      </c>
      <c r="BJ20" s="13">
        <f>+IFERROR(VLOOKUP($BJ$17,Sheet1!AL10:AO10,3,0),0)</f>
        <v>0</v>
      </c>
      <c r="BK20" s="13">
        <f>+IFERROR(VLOOKUP($BK$17,Sheet1!AL10:AO10,3,0),0)</f>
        <v>0</v>
      </c>
      <c r="BL20" s="13">
        <f>+IFERROR(VLOOKUP($BL$17,Sheet1!AL10:AO10,3,0),0)</f>
        <v>0</v>
      </c>
      <c r="BM20" s="67">
        <v>1497</v>
      </c>
      <c r="BN20" s="13">
        <f>+IFERROR(VLOOKUP($BN$17,Sheet1!AT10:AW10,3,0),0)</f>
        <v>0</v>
      </c>
      <c r="BO20" s="67">
        <v>38</v>
      </c>
      <c r="BP20" s="67">
        <v>93</v>
      </c>
      <c r="BQ20" s="13">
        <f>+IFERROR(VLOOKUP($BQ$17,Sheet1!BF10:BI10,3,0),0)</f>
        <v>0</v>
      </c>
      <c r="BR20" s="13">
        <f>+IFERROR(VLOOKUP($BR$17,Sheet1!BJ10:BM10,3,0),0)</f>
        <v>0</v>
      </c>
      <c r="BS20" s="13">
        <f>+IFERROR(VLOOKUP($BS$17,Sheet1!BN10:BQ10,3,0),0)</f>
        <v>0</v>
      </c>
      <c r="BT20" s="67">
        <v>71</v>
      </c>
      <c r="BU20" s="13">
        <f>+IFERROR(VLOOKUP($BU$17,Sheet1!BV10:BY10,3,0),0)</f>
        <v>0</v>
      </c>
      <c r="BV20" s="67" t="str">
        <f>Sheet1!E10</f>
        <v>STEEL</v>
      </c>
      <c r="BW20" s="13">
        <f t="shared" ref="BW20:BW29" si="13">SUM(N20:BT20)</f>
        <v>16914</v>
      </c>
      <c r="BX20" s="13" t="s">
        <v>222</v>
      </c>
      <c r="BY20" s="13" t="s">
        <v>221</v>
      </c>
      <c r="BZ20" s="67">
        <f>Sheet1!CX10</f>
        <v>250</v>
      </c>
      <c r="CA20" s="3">
        <v>160000</v>
      </c>
      <c r="CB20" s="3">
        <f t="shared" si="5"/>
        <v>2315981</v>
      </c>
      <c r="CC20" s="25">
        <f>Sheet1!CB10</f>
        <v>0</v>
      </c>
      <c r="CD20" s="3">
        <f t="shared" si="6"/>
        <v>0</v>
      </c>
      <c r="CE20" s="46">
        <v>0.24</v>
      </c>
      <c r="CF20" s="3">
        <f t="shared" si="7"/>
        <v>555835.43999999994</v>
      </c>
      <c r="CG20" s="46">
        <v>0</v>
      </c>
      <c r="CH20" s="3">
        <f t="shared" si="8"/>
        <v>0</v>
      </c>
      <c r="CI20" s="3">
        <f t="shared" si="9"/>
        <v>2871816.44</v>
      </c>
      <c r="CJ20" s="46">
        <v>0.02</v>
      </c>
      <c r="CK20" s="1">
        <f t="shared" si="10"/>
        <v>57436.328800000003</v>
      </c>
      <c r="CL20" s="46">
        <v>0.01</v>
      </c>
      <c r="CM20" s="1">
        <f t="shared" si="11"/>
        <v>28718.164400000001</v>
      </c>
    </row>
    <row r="21" spans="1:91" ht="30" x14ac:dyDescent="0.25">
      <c r="A21" s="1" t="str">
        <f>Sheet1!A5</f>
        <v>ENQ-12172-22-23</v>
      </c>
      <c r="B21" s="49">
        <v>45329</v>
      </c>
      <c r="C21" s="1" t="str">
        <f>Sheet1!C5</f>
        <v>FA1300201</v>
      </c>
      <c r="D21" s="1" t="str">
        <f>Sheet1!D5</f>
        <v>3 CORE X 240 SQ. MM. AL/ARM - WIRE (XLPE) - 33 KV</v>
      </c>
      <c r="E21" s="3">
        <f t="shared" si="0"/>
        <v>2674169.4300000002</v>
      </c>
      <c r="F21" s="65">
        <f t="shared" si="12"/>
        <v>60000</v>
      </c>
      <c r="G21" s="9">
        <f t="shared" si="1"/>
        <v>2734169.43</v>
      </c>
      <c r="H21" s="7">
        <v>0.18</v>
      </c>
      <c r="I21" s="9">
        <f t="shared" si="2"/>
        <v>492150.49739999999</v>
      </c>
      <c r="J21" s="9">
        <f t="shared" si="3"/>
        <v>3226319.9274000004</v>
      </c>
      <c r="K21" s="1">
        <f>Sheet1!CS5</f>
        <v>1</v>
      </c>
      <c r="L21" s="1" t="str">
        <f>Sheet1!CT5</f>
        <v>KMS</v>
      </c>
      <c r="M21" s="3">
        <f t="shared" si="4"/>
        <v>3226319.9274000004</v>
      </c>
      <c r="N21" s="66">
        <f>+IFERROR(VLOOKUP($N$17,Sheet1!J5:L5,3,0),0)</f>
        <v>1944</v>
      </c>
      <c r="O21" s="2">
        <f>+IFERROR(VLOOKUP($O$17,Sheet1!J5:L5,3,0),0)</f>
        <v>0</v>
      </c>
      <c r="P21" s="2">
        <f>+IFERROR(VLOOKUP($P$17,Sheet1!J5:M5,3,0),0)</f>
        <v>0</v>
      </c>
      <c r="Q21" s="2">
        <f>+IFERROR(VLOOKUP($Q$17,Sheet1!J5:M5,3,0),0)</f>
        <v>0</v>
      </c>
      <c r="R21" s="2">
        <f>+IFERROR(VLOOKUP($R$17,Sheet1!J5:M5,3,0),0)</f>
        <v>0</v>
      </c>
      <c r="S21" s="2">
        <f>+IFERROR(VLOOKUP($S$17,Sheet1!N5:Q5,3,0),0)</f>
        <v>0</v>
      </c>
      <c r="T21" s="2">
        <f>+IFERROR(VLOOKUP($T$17,Sheet1!N5:Q5,3,0),0)</f>
        <v>0</v>
      </c>
      <c r="U21" s="2">
        <f>+IFERROR(VLOOKUP($U$17,Sheet1!F5:I5,3,0),0)</f>
        <v>0</v>
      </c>
      <c r="V21" s="2">
        <f>+IFERROR(VLOOKUP($V$17,Sheet1!F5:I5,3,0),0)</f>
        <v>0</v>
      </c>
      <c r="W21" s="2">
        <f>+IFERROR(VLOOKUP($W$17,Sheet1!F5:I5,3,0),0)</f>
        <v>0</v>
      </c>
      <c r="X21" s="2">
        <f>+IFERROR(VLOOKUP($X$17,Sheet1!F5:I5,3,0),0)</f>
        <v>0</v>
      </c>
      <c r="Y21" s="66">
        <v>183</v>
      </c>
      <c r="Z21" s="2">
        <f>+IFERROR(VLOOKUP($Z$17,Sheet1!F5:I5,3,0),0)</f>
        <v>0</v>
      </c>
      <c r="AA21" s="2">
        <f>+IFERROR(VLOOKUP($AA$17,Sheet1!F5:I5,3,0),0)</f>
        <v>0</v>
      </c>
      <c r="AB21" s="2">
        <f>+IFERROR(VLOOKUP($AB$17,Sheet1!F5:I5,3,0),0)</f>
        <v>0</v>
      </c>
      <c r="AC21" s="66">
        <v>427</v>
      </c>
      <c r="AD21" s="13">
        <f>+IFERROR(VLOOKUP($AD$17,Sheet1!R5:U5,2,0),0)</f>
        <v>0</v>
      </c>
      <c r="AE21" s="66">
        <v>2257</v>
      </c>
      <c r="AF21" s="13">
        <f>+IFERROR(VLOOKUP($AF$17,Sheet1!V5:Y5,3,0),0)</f>
        <v>0</v>
      </c>
      <c r="AG21" s="13">
        <f>+IFERROR(VLOOKUP($AG$17,Sheet1!V5:Y5,3,0),0)</f>
        <v>0</v>
      </c>
      <c r="AH21" s="13">
        <f>+IFERROR(VLOOKUP($AH$17,Sheet1!V5:Y5,3,0),0)</f>
        <v>0</v>
      </c>
      <c r="AI21" s="13">
        <f>+IFERROR(VLOOKUP($AI$17,Sheet1!V5:Y5,3,0),0)</f>
        <v>0</v>
      </c>
      <c r="AJ21" s="13">
        <f>+IFERROR(VLOOKUP($AJ$17,Sheet1!V5:Y5,3,0),0)</f>
        <v>0</v>
      </c>
      <c r="AK21" s="13">
        <f>+IFERROR(VLOOKUP($AK$17,Sheet1!Z5:AB5,3,0),0)</f>
        <v>0</v>
      </c>
      <c r="AL21" s="13">
        <f>+IFERROR(VLOOKUP($AL$17,Sheet1!AD5:AG5,3,0),0)</f>
        <v>0</v>
      </c>
      <c r="AM21" s="13">
        <f>+IFERROR(VLOOKUP($AM$17,Sheet1!AD5:AG5,3,0),0)</f>
        <v>0</v>
      </c>
      <c r="AN21" s="13">
        <f>+IFERROR(VLOOKUP($AN$17,Sheet1!AD5:AG5,3,0),0)</f>
        <v>0</v>
      </c>
      <c r="AO21" s="13">
        <f>+IFERROR(VLOOKUP($AO$17,Sheet1!AD5:AG5,3,0),0)</f>
        <v>0</v>
      </c>
      <c r="AP21" s="13">
        <f>+IFERROR(VLOOKUP($AP$17,Sheet1!AD5:AG5,3,0),0)</f>
        <v>0</v>
      </c>
      <c r="AQ21" s="13">
        <f>+IFERROR(VLOOKUP($AQ$17,Sheet1!AD5:AG5,3,0),0)</f>
        <v>0</v>
      </c>
      <c r="AR21" s="67">
        <v>1256</v>
      </c>
      <c r="AS21" s="13">
        <f>+IFERROR(VLOOKUP($AS$17,Sheet1!AH5:AK5,3,0),0)</f>
        <v>0</v>
      </c>
      <c r="AT21" s="13">
        <f>+IFERROR(VLOOKUP($AT$17,Sheet1!AH5:AK5,3,0),0)</f>
        <v>0</v>
      </c>
      <c r="AU21" s="13">
        <f>+IFERROR(VLOOKUP($AU$17,Sheet1!AH5:AK5,3,0),0)</f>
        <v>0</v>
      </c>
      <c r="AV21" s="13">
        <f>+IFERROR(VLOOKUP($AV$17,Sheet1!AH5:AK5,3,0),0)</f>
        <v>0</v>
      </c>
      <c r="AW21" s="13">
        <f>+IFERROR(VLOOKUP($AW$17,Sheet1!AH5:AK5,3,0),0)</f>
        <v>0</v>
      </c>
      <c r="AX21" s="13">
        <f>+IFERROR(VLOOKUP($AX$17,Sheet1!AH5:AK5,3,0),0)</f>
        <v>0</v>
      </c>
      <c r="AY21" s="13">
        <f>+IFERROR(VLOOKUP($AY$17,Sheet1!AH5:AK5,3,0),0)</f>
        <v>0</v>
      </c>
      <c r="AZ21" s="13">
        <f>+IFERROR(VLOOKUP($AZ$17,Sheet1!AH5:AK5,3,0),0)</f>
        <v>0</v>
      </c>
      <c r="BA21" s="67">
        <v>6258</v>
      </c>
      <c r="BB21" s="13">
        <f>+IFERROR(VLOOKUP($BB$17,Sheet1!AH5:AK5,3,0),0)</f>
        <v>0</v>
      </c>
      <c r="BC21" s="13">
        <f>+IFERROR(VLOOKUP($BC$17,Sheet1!AL5:AO5,3,0),0)</f>
        <v>0</v>
      </c>
      <c r="BD21" s="13">
        <f>+IFERROR(VLOOKUP($BD$17,Sheet1!AL5:AO5,3,0),0)</f>
        <v>0</v>
      </c>
      <c r="BE21" s="13">
        <f>+IFERROR(VLOOKUP($BE$17,Sheet1!AL5:AO5,3,0),0)</f>
        <v>0</v>
      </c>
      <c r="BF21" s="67">
        <v>1538</v>
      </c>
      <c r="BG21" s="13">
        <f>+IFERROR(VLOOKUP($BG$17,Sheet1!AL5:AO5,3,0),0)</f>
        <v>0</v>
      </c>
      <c r="BH21" s="13">
        <f>+IFERROR(VLOOKUP($BH$17,Sheet1!AL5:AO5,3,0),0)</f>
        <v>0</v>
      </c>
      <c r="BI21" s="13">
        <f>+IFERROR(VLOOKUP($BI$17,Sheet1!AL5:AO5,3,0),0)</f>
        <v>0</v>
      </c>
      <c r="BJ21" s="13">
        <f>+IFERROR(VLOOKUP($BJ$17,Sheet1!AL5:AO5,3,0),0)</f>
        <v>0</v>
      </c>
      <c r="BK21" s="13">
        <f>+IFERROR(VLOOKUP($BK$17,Sheet1!AL5:AO5,3,0),0)</f>
        <v>0</v>
      </c>
      <c r="BL21" s="13">
        <f>+IFERROR(VLOOKUP($BL$17,Sheet1!AL5:AO5,3,0),0)</f>
        <v>0</v>
      </c>
      <c r="BM21" s="67">
        <v>1337</v>
      </c>
      <c r="BN21" s="13">
        <f>+IFERROR(VLOOKUP($BN$17,Sheet1!AT5:AW5,3,0),0)</f>
        <v>0</v>
      </c>
      <c r="BO21" s="67">
        <v>33</v>
      </c>
      <c r="BP21" s="67">
        <v>86</v>
      </c>
      <c r="BQ21" s="13">
        <f>+IFERROR(VLOOKUP($BQ$17,Sheet1!BF5:BI5,3,0),0)</f>
        <v>0</v>
      </c>
      <c r="BR21" s="13">
        <f>+IFERROR(VLOOKUP($BR$17,Sheet1!BJ5:BM5,3,0),0)</f>
        <v>0</v>
      </c>
      <c r="BS21" s="13">
        <f>+IFERROR(VLOOKUP($BS$17,Sheet1!BN5:BQ5,3,0),0)</f>
        <v>0</v>
      </c>
      <c r="BT21" s="67">
        <v>67</v>
      </c>
      <c r="BU21" s="13">
        <f>+IFERROR(VLOOKUP($BU$17,Sheet1!BV5:BY5,3,0),0)</f>
        <v>0</v>
      </c>
      <c r="BV21" s="67" t="str">
        <f>Sheet1!E5</f>
        <v>STEEL</v>
      </c>
      <c r="BW21" s="13">
        <f t="shared" si="13"/>
        <v>15386</v>
      </c>
      <c r="BX21" s="13" t="s">
        <v>222</v>
      </c>
      <c r="BY21" s="13" t="s">
        <v>221</v>
      </c>
      <c r="BZ21" s="67">
        <f>Sheet1!CX5</f>
        <v>250</v>
      </c>
      <c r="CA21" s="68">
        <v>160000</v>
      </c>
      <c r="CB21" s="3">
        <f t="shared" si="5"/>
        <v>2093775</v>
      </c>
      <c r="CC21" s="25">
        <f>Sheet1!CB5</f>
        <v>0</v>
      </c>
      <c r="CD21" s="3">
        <f t="shared" si="6"/>
        <v>0</v>
      </c>
      <c r="CE21" s="46">
        <v>0.24</v>
      </c>
      <c r="CF21" s="3">
        <f t="shared" si="7"/>
        <v>502506</v>
      </c>
      <c r="CG21" s="46">
        <v>0</v>
      </c>
      <c r="CH21" s="3">
        <f t="shared" si="8"/>
        <v>0</v>
      </c>
      <c r="CI21" s="3">
        <f t="shared" si="9"/>
        <v>2596281</v>
      </c>
      <c r="CJ21" s="46">
        <v>0.02</v>
      </c>
      <c r="CK21" s="1">
        <f t="shared" si="10"/>
        <v>51925.62</v>
      </c>
      <c r="CL21" s="46">
        <v>0.01</v>
      </c>
      <c r="CM21" s="1">
        <f t="shared" si="11"/>
        <v>25962.81</v>
      </c>
    </row>
    <row r="22" spans="1:91" ht="30" x14ac:dyDescent="0.25">
      <c r="A22" s="1" t="str">
        <f>Sheet1!A3</f>
        <v>ENQ-12172-22-23</v>
      </c>
      <c r="B22" s="49">
        <v>45329</v>
      </c>
      <c r="C22" s="1" t="str">
        <f>Sheet1!C3</f>
        <v>FA1300079</v>
      </c>
      <c r="D22" s="1" t="str">
        <f>Sheet1!D3</f>
        <v>3 CORE X 185 SQ. MM AL/ARM - WIRE (XLPE) - 33 KV</v>
      </c>
      <c r="E22" s="3">
        <f t="shared" si="0"/>
        <v>2463587.2483999999</v>
      </c>
      <c r="F22" s="65">
        <f t="shared" si="12"/>
        <v>60000</v>
      </c>
      <c r="G22" s="9">
        <f t="shared" si="1"/>
        <v>2523587.2483999999</v>
      </c>
      <c r="H22" s="7">
        <v>0.18</v>
      </c>
      <c r="I22" s="9">
        <f t="shared" si="2"/>
        <v>454245.70471199998</v>
      </c>
      <c r="J22" s="9">
        <f t="shared" si="3"/>
        <v>2977832.9531119997</v>
      </c>
      <c r="K22" s="1">
        <f>Sheet1!CS3</f>
        <v>1</v>
      </c>
      <c r="L22" s="1" t="str">
        <f>Sheet1!CT3</f>
        <v>KMS</v>
      </c>
      <c r="M22" s="3">
        <f t="shared" si="4"/>
        <v>2977832.9531119997</v>
      </c>
      <c r="N22" s="2">
        <f>+IFERROR(VLOOKUP($N$17,Sheet1!J3:L3,3,0),0)</f>
        <v>1499</v>
      </c>
      <c r="O22" s="2">
        <f>+IFERROR(VLOOKUP($O$17,Sheet1!J3:L3,3,0),0)</f>
        <v>0</v>
      </c>
      <c r="P22" s="2">
        <f>+IFERROR(VLOOKUP($P$17,Sheet1!J3:M3,3,0),0)</f>
        <v>0</v>
      </c>
      <c r="Q22" s="2">
        <f>+IFERROR(VLOOKUP($Q$17,Sheet1!J3:M3,3,0),0)</f>
        <v>0</v>
      </c>
      <c r="R22" s="2">
        <f>+IFERROR(VLOOKUP($R$17,Sheet1!J3:M3,3,0),0)</f>
        <v>0</v>
      </c>
      <c r="S22" s="2">
        <f>+IFERROR(VLOOKUP($S$17,Sheet1!N3:Q3,3,0),0)</f>
        <v>0</v>
      </c>
      <c r="T22" s="2">
        <f>+IFERROR(VLOOKUP($T$17,Sheet1!N3:Q3,3,0),0)</f>
        <v>0</v>
      </c>
      <c r="U22" s="2">
        <f>+IFERROR(VLOOKUP($U$17,Sheet1!F3:I3,3,0),0)</f>
        <v>0</v>
      </c>
      <c r="V22" s="2">
        <f>+IFERROR(VLOOKUP($V$17,Sheet1!F3:I3,3,0),0)</f>
        <v>0</v>
      </c>
      <c r="W22" s="2">
        <f>+IFERROR(VLOOKUP($W$17,Sheet1!F3:I3,3,0),0)</f>
        <v>0</v>
      </c>
      <c r="X22" s="2">
        <f>+IFERROR(VLOOKUP($X$17,Sheet1!F3:I3,3,0),0)</f>
        <v>0</v>
      </c>
      <c r="Y22" s="66">
        <v>175</v>
      </c>
      <c r="Z22" s="2">
        <f>+IFERROR(VLOOKUP($Z$17,Sheet1!F3:I3,3,0),0)</f>
        <v>0</v>
      </c>
      <c r="AA22" s="2">
        <f>+IFERROR(VLOOKUP($AA$17,Sheet1!F3:I3,3,0),0)</f>
        <v>0</v>
      </c>
      <c r="AB22" s="2">
        <f>+IFERROR(VLOOKUP($AB$17,Sheet1!F3:I3,3,0),0)</f>
        <v>0</v>
      </c>
      <c r="AC22" s="66">
        <v>422</v>
      </c>
      <c r="AD22" s="13">
        <f>+IFERROR(VLOOKUP($AD$17,Sheet1!R3:U3,2,0),0)</f>
        <v>0</v>
      </c>
      <c r="AE22" s="66">
        <v>2091</v>
      </c>
      <c r="AF22" s="13">
        <f>+IFERROR(VLOOKUP($AF$17,Sheet1!V3:Y3,3,0),0)</f>
        <v>0</v>
      </c>
      <c r="AG22" s="13">
        <f>+IFERROR(VLOOKUP($AG$17,Sheet1!V3:Y3,3,0),0)</f>
        <v>0</v>
      </c>
      <c r="AH22" s="13">
        <f>+IFERROR(VLOOKUP($AH$17,Sheet1!V3:Y3,3,0),0)</f>
        <v>0</v>
      </c>
      <c r="AI22" s="13">
        <f>+IFERROR(VLOOKUP($AI$17,Sheet1!V3:Y3,3,0),0)</f>
        <v>0</v>
      </c>
      <c r="AJ22" s="13">
        <f>+IFERROR(VLOOKUP($AJ$17,Sheet1!V3:Y3,3,0),0)</f>
        <v>0</v>
      </c>
      <c r="AK22" s="13">
        <f>+IFERROR(VLOOKUP($AK$17,Sheet1!Z3:AB3,3,0),0)</f>
        <v>0</v>
      </c>
      <c r="AL22" s="13">
        <f>+IFERROR(VLOOKUP($AL$17,Sheet1!AD3:AG3,3,0),0)</f>
        <v>0</v>
      </c>
      <c r="AM22" s="13">
        <f>+IFERROR(VLOOKUP($AM$17,Sheet1!AD3:AG3,3,0),0)</f>
        <v>0</v>
      </c>
      <c r="AN22" s="13">
        <f>+IFERROR(VLOOKUP($AN$17,Sheet1!AD3:AG3,3,0),0)</f>
        <v>0</v>
      </c>
      <c r="AO22" s="13">
        <f>+IFERROR(VLOOKUP($AO$17,Sheet1!AD3:AG3,3,0),0)</f>
        <v>0</v>
      </c>
      <c r="AP22" s="13">
        <f>+IFERROR(VLOOKUP($AP$17,Sheet1!AD3:AG3,3,0),0)</f>
        <v>0</v>
      </c>
      <c r="AQ22" s="13">
        <f>+IFERROR(VLOOKUP($AQ$17,Sheet1!AD3:AG3,3,0),0)</f>
        <v>0</v>
      </c>
      <c r="AR22" s="67">
        <v>1145</v>
      </c>
      <c r="AS22" s="13">
        <f>+IFERROR(VLOOKUP($AS$17,Sheet1!AH3:AK3,3,0),0)</f>
        <v>0</v>
      </c>
      <c r="AT22" s="13">
        <f>+IFERROR(VLOOKUP($AT$17,Sheet1!AH3:AK3,3,0),0)</f>
        <v>0</v>
      </c>
      <c r="AU22" s="13">
        <f>+IFERROR(VLOOKUP($AU$17,Sheet1!AH3:AK3,3,0),0)</f>
        <v>0</v>
      </c>
      <c r="AV22" s="13">
        <f>+IFERROR(VLOOKUP($AV$17,Sheet1!AH3:AK3,3,0),0)</f>
        <v>0</v>
      </c>
      <c r="AW22" s="13">
        <f>+IFERROR(VLOOKUP($AW$17,Sheet1!AH3:AK3,3,0),0)</f>
        <v>0</v>
      </c>
      <c r="AX22" s="13">
        <f>+IFERROR(VLOOKUP($AX$17,Sheet1!AH3:AK3,3,0),0)</f>
        <v>0</v>
      </c>
      <c r="AY22" s="13">
        <f>+IFERROR(VLOOKUP($AY$17,Sheet1!AH3:AK3,3,0),0)</f>
        <v>0</v>
      </c>
      <c r="AZ22" s="13">
        <f>+IFERROR(VLOOKUP($AZ$17,Sheet1!AH3:AK3,3,0),0)</f>
        <v>0</v>
      </c>
      <c r="BA22" s="67">
        <v>5950</v>
      </c>
      <c r="BB22" s="13">
        <f>+IFERROR(VLOOKUP($BB$17,Sheet1!AH3:AK3,3,0),0)</f>
        <v>0</v>
      </c>
      <c r="BC22" s="13">
        <f>+IFERROR(VLOOKUP($BC$17,Sheet1!AL3:AO3,3,0),0)</f>
        <v>0</v>
      </c>
      <c r="BD22" s="13">
        <f>+IFERROR(VLOOKUP($BD$17,Sheet1!AL3:AO3,3,0),0)</f>
        <v>0</v>
      </c>
      <c r="BE22" s="13">
        <f>+IFERROR(VLOOKUP($BE$17,Sheet1!AL3:AO3,3,0),0)</f>
        <v>0</v>
      </c>
      <c r="BF22" s="67">
        <v>1480</v>
      </c>
      <c r="BG22" s="13">
        <f>+IFERROR(VLOOKUP($BG$17,Sheet1!AL3:AO3,3,0),0)</f>
        <v>0</v>
      </c>
      <c r="BH22" s="13">
        <f>+IFERROR(VLOOKUP($BH$17,Sheet1!AL3:AO3,3,0),0)</f>
        <v>0</v>
      </c>
      <c r="BI22" s="13">
        <f>+IFERROR(VLOOKUP($BI$17,Sheet1!AL3:AO3,3,0),0)</f>
        <v>0</v>
      </c>
      <c r="BJ22" s="13">
        <f>+IFERROR(VLOOKUP($BJ$17,Sheet1!AL3:AO3,3,0),0)</f>
        <v>0</v>
      </c>
      <c r="BK22" s="13">
        <f>+IFERROR(VLOOKUP($BK$17,Sheet1!AL3:AO3,3,0),0)</f>
        <v>0</v>
      </c>
      <c r="BL22" s="13">
        <f>+IFERROR(VLOOKUP($BL$17,Sheet1!AL3:AO3,3,0),0)</f>
        <v>0</v>
      </c>
      <c r="BM22" s="67">
        <v>1200</v>
      </c>
      <c r="BN22" s="13">
        <f>+IFERROR(VLOOKUP($BN$17,Sheet1!AT3:AW3,3,0),0)</f>
        <v>0</v>
      </c>
      <c r="BO22" s="67">
        <v>35</v>
      </c>
      <c r="BP22" s="67">
        <v>82</v>
      </c>
      <c r="BQ22" s="13">
        <f>+IFERROR(VLOOKUP($BQ$17,Sheet1!BF3:BI3,3,0),0)</f>
        <v>0</v>
      </c>
      <c r="BR22" s="13">
        <f>+IFERROR(VLOOKUP($BR$17,Sheet1!BJ3:BM3,3,0),0)</f>
        <v>0</v>
      </c>
      <c r="BS22" s="13">
        <f>+IFERROR(VLOOKUP($BS$17,Sheet1!BN3:BQ3,3,0),0)</f>
        <v>0</v>
      </c>
      <c r="BT22" s="67">
        <v>63</v>
      </c>
      <c r="BU22" s="13">
        <f>+IFERROR(VLOOKUP($BU$17,Sheet1!BV3:BY3,3,0),0)</f>
        <v>0</v>
      </c>
      <c r="BV22" s="67" t="str">
        <f>Sheet1!E3</f>
        <v>STEEL</v>
      </c>
      <c r="BW22" s="13">
        <f t="shared" si="13"/>
        <v>14142</v>
      </c>
      <c r="BX22" s="13" t="s">
        <v>180</v>
      </c>
      <c r="BY22" s="13" t="s">
        <v>181</v>
      </c>
      <c r="BZ22" s="67">
        <f>Sheet1!CX3</f>
        <v>250</v>
      </c>
      <c r="CA22" s="68">
        <v>176000</v>
      </c>
      <c r="CB22" s="3">
        <f t="shared" si="5"/>
        <v>1928897</v>
      </c>
      <c r="CC22" s="25">
        <f>Sheet1!CB3</f>
        <v>0</v>
      </c>
      <c r="CD22" s="3">
        <f t="shared" si="6"/>
        <v>0</v>
      </c>
      <c r="CE22" s="46">
        <v>0.24</v>
      </c>
      <c r="CF22" s="3">
        <f t="shared" si="7"/>
        <v>462935.27999999997</v>
      </c>
      <c r="CG22" s="46">
        <v>0</v>
      </c>
      <c r="CH22" s="3">
        <f t="shared" si="8"/>
        <v>0</v>
      </c>
      <c r="CI22" s="3">
        <f t="shared" si="9"/>
        <v>2391832.2799999998</v>
      </c>
      <c r="CJ22" s="46">
        <v>0.02</v>
      </c>
      <c r="CK22" s="1">
        <f t="shared" si="10"/>
        <v>47836.645599999996</v>
      </c>
      <c r="CL22" s="46">
        <v>0.01</v>
      </c>
      <c r="CM22" s="1">
        <f t="shared" si="11"/>
        <v>23918.322799999998</v>
      </c>
    </row>
    <row r="23" spans="1:91" ht="30" x14ac:dyDescent="0.25">
      <c r="A23" s="1" t="str">
        <f>Sheet1!A8</f>
        <v>ENQ-12172-22-23</v>
      </c>
      <c r="B23" s="49">
        <v>45329</v>
      </c>
      <c r="C23" s="1" t="str">
        <f>Sheet1!C8</f>
        <v>FA1300200</v>
      </c>
      <c r="D23" s="1" t="str">
        <f>Sheet1!D8</f>
        <v>3 CORE X 95 SQ. MM. AL/ARM  WIRE (XLPE) - 33 KV</v>
      </c>
      <c r="E23" s="3">
        <f t="shared" si="0"/>
        <v>1798335.916</v>
      </c>
      <c r="F23" s="65">
        <f t="shared" si="12"/>
        <v>40000</v>
      </c>
      <c r="G23" s="9">
        <f t="shared" si="1"/>
        <v>1838335.916</v>
      </c>
      <c r="H23" s="7">
        <v>0.18</v>
      </c>
      <c r="I23" s="9">
        <f t="shared" si="2"/>
        <v>330900.46487999998</v>
      </c>
      <c r="J23" s="9">
        <f t="shared" si="3"/>
        <v>2169236.3808800001</v>
      </c>
      <c r="K23" s="1">
        <f>Sheet1!CS8</f>
        <v>3</v>
      </c>
      <c r="L23" s="1" t="str">
        <f>Sheet1!CT8</f>
        <v>KMS</v>
      </c>
      <c r="M23" s="3">
        <f t="shared" si="4"/>
        <v>6507709.1426400002</v>
      </c>
      <c r="N23" s="2">
        <f>+IFERROR(VLOOKUP($N$17,Sheet1!J8:L8,3,0),0)</f>
        <v>770</v>
      </c>
      <c r="O23" s="2">
        <f>+IFERROR(VLOOKUP($O$17,Sheet1!J8:L8,3,0),0)</f>
        <v>0</v>
      </c>
      <c r="P23" s="2">
        <f>+IFERROR(VLOOKUP($P$17,Sheet1!J8:M8,3,0),0)</f>
        <v>0</v>
      </c>
      <c r="Q23" s="2">
        <f>+IFERROR(VLOOKUP($Q$17,Sheet1!J8:M8,3,0),0)</f>
        <v>0</v>
      </c>
      <c r="R23" s="2">
        <f>+IFERROR(VLOOKUP($R$17,Sheet1!J8:M8,3,0),0)</f>
        <v>0</v>
      </c>
      <c r="S23" s="2">
        <f>+IFERROR(VLOOKUP($S$17,Sheet1!N8:Q8,3,0),0)</f>
        <v>0</v>
      </c>
      <c r="T23" s="2">
        <f>+IFERROR(VLOOKUP($T$17,Sheet1!N8:Q8,3,0),0)</f>
        <v>0</v>
      </c>
      <c r="U23" s="2">
        <f>+IFERROR(VLOOKUP($U$17,Sheet1!F8:I8,3,0),0)</f>
        <v>0</v>
      </c>
      <c r="V23" s="2">
        <f>+IFERROR(VLOOKUP($V$17,Sheet1!F8:I8,3,0),0)</f>
        <v>0</v>
      </c>
      <c r="W23" s="2">
        <f>+IFERROR(VLOOKUP($W$17,Sheet1!F8:I8,3,0),0)</f>
        <v>0</v>
      </c>
      <c r="X23" s="2">
        <f>+IFERROR(VLOOKUP($X$17,Sheet1!F8:I8,3,0),0)</f>
        <v>0</v>
      </c>
      <c r="Y23" s="66">
        <v>151</v>
      </c>
      <c r="Z23" s="2">
        <f>+IFERROR(VLOOKUP($Z$17,Sheet1!F8:I8,3,0),0)</f>
        <v>0</v>
      </c>
      <c r="AA23" s="2">
        <f>+IFERROR(VLOOKUP($AA$17,Sheet1!F8:I8,3,0),0)</f>
        <v>0</v>
      </c>
      <c r="AB23" s="2">
        <f>+IFERROR(VLOOKUP($AB$17,Sheet1!F8:I8,3,0),0)</f>
        <v>0</v>
      </c>
      <c r="AC23" s="66">
        <v>345</v>
      </c>
      <c r="AD23" s="13">
        <f>+IFERROR(VLOOKUP($AD$17,Sheet1!R8:U8,2,0),0)</f>
        <v>0</v>
      </c>
      <c r="AE23" s="66">
        <v>1725</v>
      </c>
      <c r="AF23" s="13">
        <f>+IFERROR(VLOOKUP($AF$17,Sheet1!V8:Y8,3,0),0)</f>
        <v>0</v>
      </c>
      <c r="AG23" s="13">
        <f>+IFERROR(VLOOKUP($AG$17,Sheet1!V8:Y8,3,0),0)</f>
        <v>0</v>
      </c>
      <c r="AH23" s="13">
        <f>+IFERROR(VLOOKUP($AH$17,Sheet1!V8:Y8,3,0),0)</f>
        <v>0</v>
      </c>
      <c r="AI23" s="13">
        <f>+IFERROR(VLOOKUP($AI$17,Sheet1!V8:Y8,3,0),0)</f>
        <v>0</v>
      </c>
      <c r="AJ23" s="13">
        <f>+IFERROR(VLOOKUP($AJ$17,Sheet1!V8:Y8,3,0),0)</f>
        <v>0</v>
      </c>
      <c r="AK23" s="13">
        <f>+IFERROR(VLOOKUP($AK$17,Sheet1!Z8:AB8,3,0),0)</f>
        <v>0</v>
      </c>
      <c r="AL23" s="13">
        <f>+IFERROR(VLOOKUP($AL$17,Sheet1!AD8:AG8,3,0),0)</f>
        <v>0</v>
      </c>
      <c r="AM23" s="13">
        <f>+IFERROR(VLOOKUP($AM$17,Sheet1!AD8:AG8,3,0),0)</f>
        <v>0</v>
      </c>
      <c r="AN23" s="13">
        <f>+IFERROR(VLOOKUP($AN$17,Sheet1!AD8:AG8,3,0),0)</f>
        <v>0</v>
      </c>
      <c r="AO23" s="13">
        <f>+IFERROR(VLOOKUP($AO$17,Sheet1!AD8:AG8,3,0),0)</f>
        <v>0</v>
      </c>
      <c r="AP23" s="13">
        <f>+IFERROR(VLOOKUP($AP$17,Sheet1!AD8:AG8,3,0),0)</f>
        <v>0</v>
      </c>
      <c r="AQ23" s="13">
        <f>+IFERROR(VLOOKUP($AQ$17,Sheet1!AD8:AG8,3,0),0)</f>
        <v>0</v>
      </c>
      <c r="AR23" s="67">
        <v>914</v>
      </c>
      <c r="AS23" s="13">
        <f>+IFERROR(VLOOKUP($AS$17,Sheet1!AH8:AK8,3,0),0)</f>
        <v>0</v>
      </c>
      <c r="AT23" s="13">
        <f>+IFERROR(VLOOKUP($AT$17,Sheet1!AH8:AK8,3,0),0)</f>
        <v>0</v>
      </c>
      <c r="AU23" s="13">
        <f>+IFERROR(VLOOKUP($AU$17,Sheet1!AH8:AK8,3,0),0)</f>
        <v>0</v>
      </c>
      <c r="AV23" s="13">
        <f>+IFERROR(VLOOKUP($AV$17,Sheet1!AH8:AK8,3,0),0)</f>
        <v>0</v>
      </c>
      <c r="AW23" s="13">
        <f>+IFERROR(VLOOKUP($AW$17,Sheet1!AH8:AK8,3,0),0)</f>
        <v>0</v>
      </c>
      <c r="AX23" s="13">
        <f>+IFERROR(VLOOKUP($AX$17,Sheet1!AH8:AK8,3,0),0)</f>
        <v>0</v>
      </c>
      <c r="AY23" s="13">
        <f>+IFERROR(VLOOKUP($AY$17,Sheet1!AH8:AK8,3,0),0)</f>
        <v>0</v>
      </c>
      <c r="AZ23" s="13">
        <f>+IFERROR(VLOOKUP($AZ$17,Sheet1!AH8:AK8,3,0),0)</f>
        <v>0</v>
      </c>
      <c r="BA23" s="67">
        <v>4135</v>
      </c>
      <c r="BB23" s="13">
        <f>+IFERROR(VLOOKUP($BB$17,Sheet1!AH8:AK8,3,0),0)</f>
        <v>0</v>
      </c>
      <c r="BC23" s="13">
        <f>+IFERROR(VLOOKUP($BC$17,Sheet1!AL8:AO8,3,0),0)</f>
        <v>0</v>
      </c>
      <c r="BD23" s="13">
        <f>+IFERROR(VLOOKUP($BD$17,Sheet1!AL8:AO8,3,0),0)</f>
        <v>0</v>
      </c>
      <c r="BE23" s="13">
        <f>+IFERROR(VLOOKUP($BE$17,Sheet1!AL8:AO8,3,0),0)</f>
        <v>0</v>
      </c>
      <c r="BF23" s="67">
        <v>1282</v>
      </c>
      <c r="BG23" s="13">
        <f>+IFERROR(VLOOKUP($BG$17,Sheet1!AL8:AO8,3,0),0)</f>
        <v>0</v>
      </c>
      <c r="BH23" s="13">
        <f>+IFERROR(VLOOKUP($BH$17,Sheet1!AL8:AO8,3,0),0)</f>
        <v>0</v>
      </c>
      <c r="BI23" s="13">
        <f>+IFERROR(VLOOKUP($BI$17,Sheet1!AL8:AO8,3,0),0)</f>
        <v>0</v>
      </c>
      <c r="BJ23" s="13">
        <f>+IFERROR(VLOOKUP($BJ$17,Sheet1!AL8:AO8,3,0),0)</f>
        <v>0</v>
      </c>
      <c r="BK23" s="13">
        <f>+IFERROR(VLOOKUP($BK$17,Sheet1!AL8:AO8,3,0),0)</f>
        <v>0</v>
      </c>
      <c r="BL23" s="13">
        <f>+IFERROR(VLOOKUP($BL$17,Sheet1!AL8:AO8,3,0),0)</f>
        <v>0</v>
      </c>
      <c r="BM23" s="67">
        <v>917</v>
      </c>
      <c r="BN23" s="13">
        <f>+IFERROR(VLOOKUP($BN$17,Sheet1!AT8:AW8,3,0),0)</f>
        <v>0</v>
      </c>
      <c r="BO23" s="67">
        <v>15</v>
      </c>
      <c r="BP23" s="67">
        <v>66</v>
      </c>
      <c r="BQ23" s="13">
        <f>+IFERROR(VLOOKUP($BQ$17,Sheet1!BF8:BI8,3,0),0)</f>
        <v>0</v>
      </c>
      <c r="BR23" s="13">
        <f>+IFERROR(VLOOKUP($BR$17,Sheet1!BJ8:BM8,3,0),0)</f>
        <v>0</v>
      </c>
      <c r="BS23" s="13">
        <f>+IFERROR(VLOOKUP($BS$17,Sheet1!BN8:BQ8,3,0),0)</f>
        <v>0</v>
      </c>
      <c r="BT23" s="67">
        <v>56</v>
      </c>
      <c r="BU23" s="13">
        <f>+IFERROR(VLOOKUP($BU$17,Sheet1!BV8:BY8,3,0),0)</f>
        <v>0</v>
      </c>
      <c r="BV23" s="67" t="str">
        <f>Sheet1!E8</f>
        <v>STEEL</v>
      </c>
      <c r="BW23" s="13">
        <f t="shared" si="13"/>
        <v>10376</v>
      </c>
      <c r="BX23" s="13" t="s">
        <v>184</v>
      </c>
      <c r="BY23" s="13" t="s">
        <v>185</v>
      </c>
      <c r="BZ23" s="67">
        <f>Sheet1!CX8</f>
        <v>250</v>
      </c>
      <c r="CA23" s="68">
        <v>128000</v>
      </c>
      <c r="CB23" s="3">
        <f t="shared" si="5"/>
        <v>1408030</v>
      </c>
      <c r="CC23" s="25">
        <f>Sheet1!CB8</f>
        <v>0</v>
      </c>
      <c r="CD23" s="3">
        <f t="shared" si="6"/>
        <v>0</v>
      </c>
      <c r="CE23" s="46">
        <v>0.24</v>
      </c>
      <c r="CF23" s="3">
        <f t="shared" si="7"/>
        <v>337927.2</v>
      </c>
      <c r="CG23" s="46">
        <v>0</v>
      </c>
      <c r="CH23" s="3">
        <f t="shared" si="8"/>
        <v>0</v>
      </c>
      <c r="CI23" s="3">
        <f t="shared" si="9"/>
        <v>1745957.2</v>
      </c>
      <c r="CJ23" s="46">
        <v>0.02</v>
      </c>
      <c r="CK23" s="1">
        <f t="shared" si="10"/>
        <v>34919.144</v>
      </c>
      <c r="CL23" s="46">
        <v>0.01</v>
      </c>
      <c r="CM23" s="1">
        <f t="shared" si="11"/>
        <v>17459.572</v>
      </c>
    </row>
    <row r="24" spans="1:91" ht="30" x14ac:dyDescent="0.25">
      <c r="A24" s="1" t="str">
        <f>Sheet1!A4</f>
        <v>ENQ-12172-22-23</v>
      </c>
      <c r="B24" s="49">
        <v>45329</v>
      </c>
      <c r="C24" s="1" t="str">
        <f>Sheet1!C4</f>
        <v>FA1300120</v>
      </c>
      <c r="D24" s="1" t="str">
        <f>Sheet1!D4</f>
        <v>3 CORE X 70 SQ. MM. AL/ARM - WIRE (XLPE) - 33 KV</v>
      </c>
      <c r="E24" s="3">
        <f t="shared" si="0"/>
        <v>1651715.9103999999</v>
      </c>
      <c r="F24" s="65">
        <f t="shared" si="12"/>
        <v>60000</v>
      </c>
      <c r="G24" s="9">
        <f t="shared" si="1"/>
        <v>1711715.9103999999</v>
      </c>
      <c r="H24" s="7">
        <v>0.18</v>
      </c>
      <c r="I24" s="9">
        <f t="shared" si="2"/>
        <v>308108.86387199996</v>
      </c>
      <c r="J24" s="9">
        <f t="shared" si="3"/>
        <v>2019824.774272</v>
      </c>
      <c r="K24" s="1">
        <f>Sheet1!CS4</f>
        <v>1</v>
      </c>
      <c r="L24" s="1" t="str">
        <f>Sheet1!CT4</f>
        <v>KMS</v>
      </c>
      <c r="M24" s="3">
        <f t="shared" si="4"/>
        <v>2019824.774272</v>
      </c>
      <c r="N24" s="66">
        <f>+IFERROR(VLOOKUP($N$17,Sheet1!J4:L4,3,0),0)</f>
        <v>567</v>
      </c>
      <c r="O24" s="2">
        <f>+IFERROR(VLOOKUP($O$17,Sheet1!J4:L4,3,0),0)</f>
        <v>0</v>
      </c>
      <c r="P24" s="2">
        <f>+IFERROR(VLOOKUP($P$17,Sheet1!J4:M4,3,0),0)</f>
        <v>0</v>
      </c>
      <c r="Q24" s="2">
        <f>+IFERROR(VLOOKUP($Q$17,Sheet1!J4:M4,3,0),0)</f>
        <v>0</v>
      </c>
      <c r="R24" s="2">
        <f>+IFERROR(VLOOKUP($R$17,Sheet1!J4:M4,3,0),0)</f>
        <v>0</v>
      </c>
      <c r="S24" s="2">
        <f>+IFERROR(VLOOKUP($S$17,Sheet1!N4:Q4,3,0),0)</f>
        <v>0</v>
      </c>
      <c r="T24" s="2">
        <f>+IFERROR(VLOOKUP($T$17,Sheet1!N4:Q4,3,0),0)</f>
        <v>0</v>
      </c>
      <c r="U24" s="2">
        <f>+IFERROR(VLOOKUP($U$17,Sheet1!F4:I4,3,0),0)</f>
        <v>0</v>
      </c>
      <c r="V24" s="2">
        <f>+IFERROR(VLOOKUP($V$17,Sheet1!F4:I4,3,0),0)</f>
        <v>0</v>
      </c>
      <c r="W24" s="2">
        <f>+IFERROR(VLOOKUP($W$17,Sheet1!F4:I4,3,0),0)</f>
        <v>0</v>
      </c>
      <c r="X24" s="2">
        <f>+IFERROR(VLOOKUP($X$17,Sheet1!F4:I4,3,0),0)</f>
        <v>0</v>
      </c>
      <c r="Y24" s="66">
        <v>145</v>
      </c>
      <c r="Z24" s="2">
        <f>+IFERROR(VLOOKUP($Z$17,Sheet1!F4:I4,3,0),0)</f>
        <v>0</v>
      </c>
      <c r="AA24" s="2">
        <f>+IFERROR(VLOOKUP($AA$17,Sheet1!F4:I4,3,0),0)</f>
        <v>0</v>
      </c>
      <c r="AB24" s="2">
        <f>+IFERROR(VLOOKUP($AB$17,Sheet1!F4:I4,3,0),0)</f>
        <v>0</v>
      </c>
      <c r="AC24" s="66">
        <v>301</v>
      </c>
      <c r="AD24" s="13">
        <f>+IFERROR(VLOOKUP($AD$17,Sheet1!R4:U4,2,0),0)</f>
        <v>0</v>
      </c>
      <c r="AE24" s="66">
        <v>1610</v>
      </c>
      <c r="AF24" s="13">
        <f>+IFERROR(VLOOKUP($AF$17,Sheet1!V4:Y4,3,0),0)</f>
        <v>0</v>
      </c>
      <c r="AG24" s="13">
        <f>+IFERROR(VLOOKUP($AG$17,Sheet1!V4:Y4,3,0),0)</f>
        <v>0</v>
      </c>
      <c r="AH24" s="13">
        <f>+IFERROR(VLOOKUP($AH$17,Sheet1!V4:Y4,3,0),0)</f>
        <v>0</v>
      </c>
      <c r="AI24" s="13">
        <f>+IFERROR(VLOOKUP($AI$17,Sheet1!V4:Y4,3,0),0)</f>
        <v>0</v>
      </c>
      <c r="AJ24" s="13">
        <f>+IFERROR(VLOOKUP($AJ$17,Sheet1!V4:Y4,3,0),0)</f>
        <v>0</v>
      </c>
      <c r="AK24" s="13">
        <f>+IFERROR(VLOOKUP($AK$17,Sheet1!Z4:AB4,3,0),0)</f>
        <v>0</v>
      </c>
      <c r="AL24" s="13">
        <f>+IFERROR(VLOOKUP($AL$17,Sheet1!AD4:AG4,3,0),0)</f>
        <v>0</v>
      </c>
      <c r="AM24" s="13">
        <f>+IFERROR(VLOOKUP($AM$17,Sheet1!AD4:AG4,3,0),0)</f>
        <v>0</v>
      </c>
      <c r="AN24" s="13">
        <f>+IFERROR(VLOOKUP($AN$17,Sheet1!AD4:AG4,3,0),0)</f>
        <v>0</v>
      </c>
      <c r="AO24" s="13">
        <f>+IFERROR(VLOOKUP($AO$17,Sheet1!AD4:AG4,3,0),0)</f>
        <v>0</v>
      </c>
      <c r="AP24" s="13">
        <f>+IFERROR(VLOOKUP($AP$17,Sheet1!AD4:AG4,3,0),0)</f>
        <v>0</v>
      </c>
      <c r="AQ24" s="13">
        <f>+IFERROR(VLOOKUP($AQ$17,Sheet1!AD4:AG4,3,0),0)</f>
        <v>0</v>
      </c>
      <c r="AR24" s="67">
        <v>846</v>
      </c>
      <c r="AS24" s="13">
        <f>+IFERROR(VLOOKUP($AS$17,Sheet1!AH4:AK4,3,0),0)</f>
        <v>0</v>
      </c>
      <c r="AT24" s="13">
        <f>+IFERROR(VLOOKUP($AT$17,Sheet1!AH4:AK4,3,0),0)</f>
        <v>0</v>
      </c>
      <c r="AU24" s="13">
        <f>+IFERROR(VLOOKUP($AU$17,Sheet1!AH4:AK4,3,0),0)</f>
        <v>0</v>
      </c>
      <c r="AV24" s="13">
        <f>+IFERROR(VLOOKUP($AV$17,Sheet1!AH4:AK4,3,0),0)</f>
        <v>0</v>
      </c>
      <c r="AW24" s="13">
        <f>+IFERROR(VLOOKUP($AW$17,Sheet1!AH4:AK4,3,0),0)</f>
        <v>0</v>
      </c>
      <c r="AX24" s="13">
        <f>+IFERROR(VLOOKUP($AX$17,Sheet1!AH4:AK4,3,0),0)</f>
        <v>0</v>
      </c>
      <c r="AY24" s="13">
        <f>+IFERROR(VLOOKUP($AY$17,Sheet1!AH4:AK4,3,0),0)</f>
        <v>0</v>
      </c>
      <c r="AZ24" s="13">
        <f>+IFERROR(VLOOKUP($AZ$17,Sheet1!AH4:AK4,3,0),0)</f>
        <v>0</v>
      </c>
      <c r="BA24" s="67">
        <v>3945</v>
      </c>
      <c r="BB24" s="13">
        <f>+IFERROR(VLOOKUP($BB$17,Sheet1!AH4:AK4,3,0),0)</f>
        <v>0</v>
      </c>
      <c r="BC24" s="13">
        <f>+IFERROR(VLOOKUP($BC$17,Sheet1!AL4:AO4,3,0),0)</f>
        <v>0</v>
      </c>
      <c r="BD24" s="13">
        <f>+IFERROR(VLOOKUP($BD$17,Sheet1!AL4:AO4,3,0),0)</f>
        <v>0</v>
      </c>
      <c r="BE24" s="13">
        <f>+IFERROR(VLOOKUP($BE$17,Sheet1!AL4:AO4,3,0),0)</f>
        <v>0</v>
      </c>
      <c r="BF24" s="67">
        <v>1174</v>
      </c>
      <c r="BG24" s="13">
        <f>+IFERROR(VLOOKUP($BG$17,Sheet1!AL4:AO4,3,0),0)</f>
        <v>0</v>
      </c>
      <c r="BH24" s="13">
        <f>+IFERROR(VLOOKUP($BH$17,Sheet1!AL4:AO4,3,0),0)</f>
        <v>0</v>
      </c>
      <c r="BI24" s="13">
        <f>+IFERROR(VLOOKUP($BI$17,Sheet1!AL4:AO4,3,0),0)</f>
        <v>0</v>
      </c>
      <c r="BJ24" s="13">
        <f>+IFERROR(VLOOKUP($BJ$17,Sheet1!AL4:AO4,3,0),0)</f>
        <v>0</v>
      </c>
      <c r="BK24" s="13">
        <f>+IFERROR(VLOOKUP($BK$17,Sheet1!AL4:AO4,3,0),0)</f>
        <v>0</v>
      </c>
      <c r="BL24" s="13">
        <f>+IFERROR(VLOOKUP($BL$17,Sheet1!AL4:AO4,3,0),0)</f>
        <v>0</v>
      </c>
      <c r="BM24" s="67">
        <v>835</v>
      </c>
      <c r="BN24" s="13">
        <f>+IFERROR(VLOOKUP($BN$17,Sheet1!AT4:AW4,3,0),0)</f>
        <v>0</v>
      </c>
      <c r="BO24" s="67">
        <v>15</v>
      </c>
      <c r="BP24" s="67">
        <v>62</v>
      </c>
      <c r="BQ24" s="13">
        <f>+IFERROR(VLOOKUP($BQ$17,Sheet1!BF4:BI4,3,0),0)</f>
        <v>0</v>
      </c>
      <c r="BR24" s="13">
        <f>+IFERROR(VLOOKUP($BR$17,Sheet1!BJ4:BM4,3,0),0)</f>
        <v>0</v>
      </c>
      <c r="BS24" s="13">
        <f>+IFERROR(VLOOKUP($BS$17,Sheet1!BN4:BQ4,3,0),0)</f>
        <v>0</v>
      </c>
      <c r="BT24" s="67">
        <v>53</v>
      </c>
      <c r="BU24" s="13">
        <f>+IFERROR(VLOOKUP($BU$17,Sheet1!BV4:BY4,3,0),0)</f>
        <v>0</v>
      </c>
      <c r="BV24" s="67" t="str">
        <f>Sheet1!E4</f>
        <v>STEEL</v>
      </c>
      <c r="BW24" s="13">
        <f t="shared" si="13"/>
        <v>9553</v>
      </c>
      <c r="BX24" s="13" t="s">
        <v>184</v>
      </c>
      <c r="BY24" s="13" t="s">
        <v>185</v>
      </c>
      <c r="BZ24" s="67">
        <f>Sheet1!CX4</f>
        <v>250</v>
      </c>
      <c r="CA24" s="68">
        <v>128000</v>
      </c>
      <c r="CB24" s="3">
        <f t="shared" si="5"/>
        <v>1293232</v>
      </c>
      <c r="CC24" s="25">
        <f>Sheet1!CB4</f>
        <v>0</v>
      </c>
      <c r="CD24" s="3">
        <f t="shared" si="6"/>
        <v>0</v>
      </c>
      <c r="CE24" s="46">
        <v>0.24</v>
      </c>
      <c r="CF24" s="3">
        <f t="shared" si="7"/>
        <v>310375.67999999999</v>
      </c>
      <c r="CG24" s="46">
        <v>0</v>
      </c>
      <c r="CH24" s="3">
        <f t="shared" si="8"/>
        <v>0</v>
      </c>
      <c r="CI24" s="3">
        <f t="shared" si="9"/>
        <v>1603607.68</v>
      </c>
      <c r="CJ24" s="46">
        <v>0.02</v>
      </c>
      <c r="CK24" s="1">
        <f t="shared" si="10"/>
        <v>32072.153599999998</v>
      </c>
      <c r="CL24" s="46">
        <v>0.01</v>
      </c>
      <c r="CM24" s="1">
        <f t="shared" si="11"/>
        <v>16036.076799999999</v>
      </c>
    </row>
    <row r="25" spans="1:91" ht="30" x14ac:dyDescent="0.25">
      <c r="A25" s="1" t="str">
        <f>Sheet1!A2</f>
        <v>ENQ-12172-22-23</v>
      </c>
      <c r="B25" s="49">
        <v>45329</v>
      </c>
      <c r="C25" s="1" t="str">
        <f>Sheet1!C2</f>
        <v>FA1300022</v>
      </c>
      <c r="D25" s="1" t="str">
        <f>Sheet1!D2</f>
        <v>3 CORE X 50 SQ. MM. AL/ARD - WIRE (XLPE) - 33 KV (E)</v>
      </c>
      <c r="E25" s="3">
        <f t="shared" si="0"/>
        <v>1454232.6919999998</v>
      </c>
      <c r="F25" s="65">
        <f t="shared" si="12"/>
        <v>60000</v>
      </c>
      <c r="G25" s="9">
        <f t="shared" si="1"/>
        <v>1514232.6919999998</v>
      </c>
      <c r="H25" s="7">
        <v>0.18</v>
      </c>
      <c r="I25" s="9">
        <f t="shared" si="2"/>
        <v>272561.88455999998</v>
      </c>
      <c r="J25" s="9">
        <f t="shared" si="3"/>
        <v>1786794.5765599997</v>
      </c>
      <c r="K25" s="1">
        <f>Sheet1!CS2</f>
        <v>1</v>
      </c>
      <c r="L25" s="1" t="str">
        <f>Sheet1!CT2</f>
        <v>KMS</v>
      </c>
      <c r="M25" s="3">
        <f t="shared" si="4"/>
        <v>1786794.5765599997</v>
      </c>
      <c r="N25" s="66">
        <v>405</v>
      </c>
      <c r="O25" s="2">
        <f>+IFERROR(VLOOKUP($O$17,Sheet1!J2:L2,3,0),0)</f>
        <v>0</v>
      </c>
      <c r="P25" s="2">
        <f>+IFERROR(VLOOKUP($P$17,Sheet1!J2:M2,3,0),0)</f>
        <v>0</v>
      </c>
      <c r="Q25" s="2">
        <f>+IFERROR(VLOOKUP($Q$17,Sheet1!J2:M2,3,0),0)</f>
        <v>0</v>
      </c>
      <c r="R25" s="2">
        <f>+IFERROR(VLOOKUP($R$17,Sheet1!J2:M2,3,0),0)</f>
        <v>0</v>
      </c>
      <c r="S25" s="2">
        <f>+IFERROR(VLOOKUP($S$17,Sheet1!N2:Q2,3,0),0)</f>
        <v>0</v>
      </c>
      <c r="T25" s="2">
        <f>+IFERROR(VLOOKUP($T$17,Sheet1!N2:Q2,3,0),0)</f>
        <v>0</v>
      </c>
      <c r="U25" s="2">
        <f>+IFERROR(VLOOKUP($U$17,Sheet1!F2:I2,3,0),0)</f>
        <v>0</v>
      </c>
      <c r="V25" s="2">
        <f>+IFERROR(VLOOKUP($V$17,Sheet1!F2:I2,3,0),0)</f>
        <v>0</v>
      </c>
      <c r="W25" s="2">
        <f>+IFERROR(VLOOKUP($W$17,Sheet1!F2:I2,3,0),0)</f>
        <v>0</v>
      </c>
      <c r="X25" s="2">
        <f>+IFERROR(VLOOKUP($X$17,Sheet1!F2:I2,3,0),0)</f>
        <v>0</v>
      </c>
      <c r="Y25" s="66">
        <v>137</v>
      </c>
      <c r="Z25" s="2">
        <f>+IFERROR(VLOOKUP($Z$17,Sheet1!F2:I2,3,0),0)</f>
        <v>0</v>
      </c>
      <c r="AA25" s="2">
        <f>+IFERROR(VLOOKUP($AA$17,Sheet1!F2:I2,3,0),0)</f>
        <v>0</v>
      </c>
      <c r="AB25" s="2">
        <f>+IFERROR(VLOOKUP($AB$17,Sheet1!F2:I2,3,0),0)</f>
        <v>0</v>
      </c>
      <c r="AC25" s="66">
        <v>276</v>
      </c>
      <c r="AD25" s="13">
        <f>+IFERROR(VLOOKUP($AD$17,Sheet1!R2:U2,2,0),0)</f>
        <v>0</v>
      </c>
      <c r="AE25" s="66">
        <v>1486</v>
      </c>
      <c r="AF25" s="13">
        <f>+IFERROR(VLOOKUP($AF$17,Sheet1!V2:Y2,3,0),0)</f>
        <v>0</v>
      </c>
      <c r="AG25" s="13">
        <f>+IFERROR(VLOOKUP($AG$17,Sheet1!V2:Y2,3,0),0)</f>
        <v>0</v>
      </c>
      <c r="AH25" s="13">
        <f>+IFERROR(VLOOKUP($AH$17,Sheet1!V2:Y2,3,0),0)</f>
        <v>0</v>
      </c>
      <c r="AI25" s="13">
        <f>+IFERROR(VLOOKUP($AI$17,Sheet1!V2:Y2,3,0),0)</f>
        <v>0</v>
      </c>
      <c r="AJ25" s="13">
        <f>+IFERROR(VLOOKUP($AJ$17,Sheet1!V2:Y2,3,0),0)</f>
        <v>0</v>
      </c>
      <c r="AK25" s="13">
        <f>+IFERROR(VLOOKUP($AK$17,Sheet1!Z2:AB2,3,0),0)</f>
        <v>0</v>
      </c>
      <c r="AL25" s="13">
        <f>+IFERROR(VLOOKUP($AL$17,Sheet1!AD2:AG2,3,0),0)</f>
        <v>0</v>
      </c>
      <c r="AM25" s="13">
        <f>+IFERROR(VLOOKUP($AM$17,Sheet1!AD2:AG2,3,0),0)</f>
        <v>0</v>
      </c>
      <c r="AN25" s="13">
        <f>+IFERROR(VLOOKUP($AN$17,Sheet1!AD2:AG2,3,0),0)</f>
        <v>0</v>
      </c>
      <c r="AO25" s="13">
        <f>+IFERROR(VLOOKUP($AO$17,Sheet1!AD2:AG2,3,0),0)</f>
        <v>0</v>
      </c>
      <c r="AP25" s="13">
        <f>+IFERROR(VLOOKUP($AP$17,Sheet1!AD2:AG2,3,0),0)</f>
        <v>0</v>
      </c>
      <c r="AQ25" s="13">
        <f>+IFERROR(VLOOKUP($AQ$17,Sheet1!AD2:AG2,3,0),0)</f>
        <v>0</v>
      </c>
      <c r="AR25" s="67">
        <v>776</v>
      </c>
      <c r="AS25" s="13">
        <f>+IFERROR(VLOOKUP($AS$17,Sheet1!AH2:AK2,3,0),0)</f>
        <v>0</v>
      </c>
      <c r="AT25" s="13">
        <f>+IFERROR(VLOOKUP($AT$17,Sheet1!AH2:AK2,3,0),0)</f>
        <v>0</v>
      </c>
      <c r="AU25" s="13">
        <f>+IFERROR(VLOOKUP($AU$17,Sheet1!AH2:AK2,3,0),0)</f>
        <v>0</v>
      </c>
      <c r="AV25" s="13">
        <f>+IFERROR(VLOOKUP($AV$17,Sheet1!AH2:AK2,3,0),0)</f>
        <v>0</v>
      </c>
      <c r="AW25" s="13">
        <f>+IFERROR(VLOOKUP($AW$17,Sheet1!AH2:AK2,3,0),0)</f>
        <v>0</v>
      </c>
      <c r="AX25" s="13">
        <f>+IFERROR(VLOOKUP($AX$17,Sheet1!AH2:AK2,3,0),0)</f>
        <v>0</v>
      </c>
      <c r="AY25" s="13">
        <f>+IFERROR(VLOOKUP($AY$17,Sheet1!AH2:AK2,3,0),0)</f>
        <v>0</v>
      </c>
      <c r="AZ25" s="13">
        <f>+IFERROR(VLOOKUP($AZ$17,Sheet1!AH2:AK2,3,0),0)</f>
        <v>0</v>
      </c>
      <c r="BA25" s="67">
        <v>3754</v>
      </c>
      <c r="BB25" s="13">
        <f>+IFERROR(VLOOKUP($BB$17,Sheet1!AH2:AK2,3,0),0)</f>
        <v>0</v>
      </c>
      <c r="BC25" s="13">
        <f>+IFERROR(VLOOKUP($BC$17,Sheet1!AL2:AO2,3,0),0)</f>
        <v>0</v>
      </c>
      <c r="BD25" s="13">
        <f>+IFERROR(VLOOKUP($BD$17,Sheet1!AL2:AO2,3,0),0)</f>
        <v>0</v>
      </c>
      <c r="BE25" s="13">
        <f>+IFERROR(VLOOKUP($BE$17,Sheet1!AL2:AO2,3,0),0)</f>
        <v>0</v>
      </c>
      <c r="BF25" s="67">
        <v>1067</v>
      </c>
      <c r="BG25" s="13">
        <f>+IFERROR(VLOOKUP($BG$17,Sheet1!AL2:AO2,3,0),0)</f>
        <v>0</v>
      </c>
      <c r="BH25" s="13">
        <f>+IFERROR(VLOOKUP($BH$17,Sheet1!AL2:AO2,3,0),0)</f>
        <v>0</v>
      </c>
      <c r="BI25" s="13">
        <f>+IFERROR(VLOOKUP($BI$17,Sheet1!AL2:AO2,3,0),0)</f>
        <v>0</v>
      </c>
      <c r="BJ25" s="13">
        <f>+IFERROR(VLOOKUP($BJ$17,Sheet1!AL2:AO2,3,0),0)</f>
        <v>0</v>
      </c>
      <c r="BK25" s="13">
        <f>+IFERROR(VLOOKUP($BK$17,Sheet1!AL2:AO2,3,0),0)</f>
        <v>0</v>
      </c>
      <c r="BL25" s="13">
        <f>+IFERROR(VLOOKUP($BL$17,Sheet1!AL2:AO2,3,0),0)</f>
        <v>0</v>
      </c>
      <c r="BM25" s="67">
        <v>752</v>
      </c>
      <c r="BN25" s="13">
        <f>+IFERROR(VLOOKUP($BN$17,Sheet1!AT2:AW2,3,0),0)</f>
        <v>0</v>
      </c>
      <c r="BO25" s="67">
        <v>10</v>
      </c>
      <c r="BP25" s="67">
        <v>58</v>
      </c>
      <c r="BQ25" s="13">
        <f>+IFERROR(VLOOKUP($BQ$17,Sheet1!BF2:BI2,3,0),0)</f>
        <v>0</v>
      </c>
      <c r="BR25" s="13">
        <f>+IFERROR(VLOOKUP($BR$17,Sheet1!BJ2:BM2,3,0),0)</f>
        <v>0</v>
      </c>
      <c r="BS25" s="13">
        <f>+IFERROR(VLOOKUP($BS$17,Sheet1!BN2:BQ2,3,0),0)</f>
        <v>0</v>
      </c>
      <c r="BT25" s="67">
        <v>51</v>
      </c>
      <c r="BU25" s="13">
        <f>+IFERROR(VLOOKUP($BU$17,Sheet1!BV2:BY2,3,0),0)</f>
        <v>0</v>
      </c>
      <c r="BV25" s="67" t="str">
        <f>Sheet1!E2</f>
        <v>STEEL</v>
      </c>
      <c r="BW25" s="13">
        <f t="shared" si="13"/>
        <v>8772</v>
      </c>
      <c r="BX25" s="13" t="s">
        <v>176</v>
      </c>
      <c r="BY25" s="13" t="s">
        <v>177</v>
      </c>
      <c r="BZ25" s="67">
        <f>Sheet1!CX2</f>
        <v>250</v>
      </c>
      <c r="CA25" s="3">
        <v>80000</v>
      </c>
      <c r="CB25" s="3">
        <f t="shared" si="5"/>
        <v>1138610</v>
      </c>
      <c r="CC25" s="25">
        <f>Sheet1!CB2</f>
        <v>0</v>
      </c>
      <c r="CD25" s="3">
        <f t="shared" si="6"/>
        <v>0</v>
      </c>
      <c r="CE25" s="46">
        <v>0.24</v>
      </c>
      <c r="CF25" s="3">
        <f t="shared" si="7"/>
        <v>273266.39999999997</v>
      </c>
      <c r="CG25" s="46">
        <v>0</v>
      </c>
      <c r="CH25" s="3">
        <f t="shared" si="8"/>
        <v>0</v>
      </c>
      <c r="CI25" s="3">
        <f t="shared" si="9"/>
        <v>1411876.4</v>
      </c>
      <c r="CJ25" s="46">
        <v>0.02</v>
      </c>
      <c r="CK25" s="1">
        <f t="shared" si="10"/>
        <v>28237.527999999998</v>
      </c>
      <c r="CL25" s="46">
        <v>0.01</v>
      </c>
      <c r="CM25" s="1">
        <f t="shared" si="11"/>
        <v>14118.763999999999</v>
      </c>
    </row>
    <row r="26" spans="1:91" ht="30" x14ac:dyDescent="0.25">
      <c r="A26" s="1" t="str">
        <f>Sheet1!A6</f>
        <v>ENQ-12172-22-23</v>
      </c>
      <c r="B26" s="49">
        <v>45329</v>
      </c>
      <c r="C26" s="1" t="str">
        <f>Sheet1!C6</f>
        <v>FA1300297</v>
      </c>
      <c r="D26" s="1" t="str">
        <f>Sheet1!D6</f>
        <v>3 CORE X 35 SQ. MM. AL/ARM - WIRE (XLPE) - 33 KV (E)</v>
      </c>
      <c r="E26" s="3">
        <f t="shared" si="0"/>
        <v>1454232.6919999998</v>
      </c>
      <c r="F26" s="65">
        <f t="shared" si="12"/>
        <v>60000</v>
      </c>
      <c r="G26" s="9">
        <f t="shared" si="1"/>
        <v>1514232.6919999998</v>
      </c>
      <c r="H26" s="7">
        <v>0.18</v>
      </c>
      <c r="I26" s="9">
        <f t="shared" si="2"/>
        <v>272561.88455999998</v>
      </c>
      <c r="J26" s="9">
        <f t="shared" si="3"/>
        <v>1786794.5765599997</v>
      </c>
      <c r="K26" s="1">
        <f>Sheet1!CS6</f>
        <v>1</v>
      </c>
      <c r="L26" s="1" t="str">
        <f>Sheet1!CT6</f>
        <v>KMS</v>
      </c>
      <c r="M26" s="3">
        <f t="shared" si="4"/>
        <v>1786794.5765599997</v>
      </c>
      <c r="N26" s="66">
        <f>+IFERROR(VLOOKUP($N$17,Sheet1!J6:L6,3,0),0)</f>
        <v>405</v>
      </c>
      <c r="O26" s="2">
        <f>+IFERROR(VLOOKUP($O$17,Sheet1!J6:L6,3,0),0)</f>
        <v>0</v>
      </c>
      <c r="P26" s="2">
        <f>+IFERROR(VLOOKUP($P$17,Sheet1!J6:M6,3,0),0)</f>
        <v>0</v>
      </c>
      <c r="Q26" s="2">
        <f>+IFERROR(VLOOKUP($Q$17,Sheet1!J6:M6,3,0),0)</f>
        <v>0</v>
      </c>
      <c r="R26" s="2">
        <f>+IFERROR(VLOOKUP($R$17,Sheet1!J6:M6,3,0),0)</f>
        <v>0</v>
      </c>
      <c r="S26" s="2">
        <f>+IFERROR(VLOOKUP($S$17,Sheet1!N6:Q6,3,0),0)</f>
        <v>0</v>
      </c>
      <c r="T26" s="2">
        <f>+IFERROR(VLOOKUP($T$17,Sheet1!N6:Q6,3,0),0)</f>
        <v>0</v>
      </c>
      <c r="U26" s="2">
        <f>+IFERROR(VLOOKUP($U$17,Sheet1!F6:I6,3,0),0)</f>
        <v>0</v>
      </c>
      <c r="V26" s="2">
        <f>+IFERROR(VLOOKUP($V$17,Sheet1!F6:I6,3,0),0)</f>
        <v>0</v>
      </c>
      <c r="W26" s="2">
        <f>+IFERROR(VLOOKUP($W$17,Sheet1!F6:I6,3,0),0)</f>
        <v>0</v>
      </c>
      <c r="X26" s="2">
        <f>+IFERROR(VLOOKUP($X$17,Sheet1!F6:I6,3,0),0)</f>
        <v>0</v>
      </c>
      <c r="Y26" s="66">
        <v>137</v>
      </c>
      <c r="Z26" s="2">
        <f>+IFERROR(VLOOKUP($Z$17,Sheet1!F6:I6,3,0),0)</f>
        <v>0</v>
      </c>
      <c r="AA26" s="2">
        <f>+IFERROR(VLOOKUP($AA$17,Sheet1!F6:I6,3,0),0)</f>
        <v>0</v>
      </c>
      <c r="AB26" s="2">
        <f>+IFERROR(VLOOKUP($AB$17,Sheet1!F6:I6,3,0),0)</f>
        <v>0</v>
      </c>
      <c r="AC26" s="66">
        <v>276</v>
      </c>
      <c r="AD26" s="13">
        <f>+IFERROR(VLOOKUP($AD$17,Sheet1!R6:U6,2,0),0)</f>
        <v>0</v>
      </c>
      <c r="AE26" s="66">
        <v>1486</v>
      </c>
      <c r="AF26" s="13">
        <f>+IFERROR(VLOOKUP($AF$17,Sheet1!V6:Y6,3,0),0)</f>
        <v>0</v>
      </c>
      <c r="AG26" s="13">
        <f>+IFERROR(VLOOKUP($AG$17,Sheet1!V6:Y6,3,0),0)</f>
        <v>0</v>
      </c>
      <c r="AH26" s="13">
        <f>+IFERROR(VLOOKUP($AH$17,Sheet1!V6:Y6,3,0),0)</f>
        <v>0</v>
      </c>
      <c r="AI26" s="13">
        <f>+IFERROR(VLOOKUP($AI$17,Sheet1!V6:Y6,3,0),0)</f>
        <v>0</v>
      </c>
      <c r="AJ26" s="13">
        <f>+IFERROR(VLOOKUP($AJ$17,Sheet1!V6:Y6,3,0),0)</f>
        <v>0</v>
      </c>
      <c r="AK26" s="13">
        <f>+IFERROR(VLOOKUP($AK$17,Sheet1!Z6:AB6,3,0),0)</f>
        <v>0</v>
      </c>
      <c r="AL26" s="13">
        <f>+IFERROR(VLOOKUP($AL$17,Sheet1!AD6:AG6,3,0),0)</f>
        <v>0</v>
      </c>
      <c r="AM26" s="13">
        <f>+IFERROR(VLOOKUP($AM$17,Sheet1!AD6:AG6,3,0),0)</f>
        <v>0</v>
      </c>
      <c r="AN26" s="13">
        <f>+IFERROR(VLOOKUP($AN$17,Sheet1!AD6:AG6,3,0),0)</f>
        <v>0</v>
      </c>
      <c r="AO26" s="13">
        <f>+IFERROR(VLOOKUP($AO$17,Sheet1!AD6:AG6,3,0),0)</f>
        <v>0</v>
      </c>
      <c r="AP26" s="13">
        <f>+IFERROR(VLOOKUP($AP$17,Sheet1!AD6:AG6,3,0),0)</f>
        <v>0</v>
      </c>
      <c r="AQ26" s="13">
        <f>+IFERROR(VLOOKUP($AQ$17,Sheet1!AD6:AG6,3,0),0)</f>
        <v>0</v>
      </c>
      <c r="AR26" s="67">
        <v>776</v>
      </c>
      <c r="AS26" s="13">
        <f>+IFERROR(VLOOKUP($AS$17,Sheet1!AH6:AK6,3,0),0)</f>
        <v>0</v>
      </c>
      <c r="AT26" s="13">
        <f>+IFERROR(VLOOKUP($AT$17,Sheet1!AH6:AK6,3,0),0)</f>
        <v>0</v>
      </c>
      <c r="AU26" s="13">
        <f>+IFERROR(VLOOKUP($AU$17,Sheet1!AH6:AK6,3,0),0)</f>
        <v>0</v>
      </c>
      <c r="AV26" s="13">
        <f>+IFERROR(VLOOKUP($AV$17,Sheet1!AH6:AK6,3,0),0)</f>
        <v>0</v>
      </c>
      <c r="AW26" s="13">
        <f>+IFERROR(VLOOKUP($AW$17,Sheet1!AH6:AK6,3,0),0)</f>
        <v>0</v>
      </c>
      <c r="AX26" s="13">
        <f>+IFERROR(VLOOKUP($AX$17,Sheet1!AH6:AK6,3,0),0)</f>
        <v>0</v>
      </c>
      <c r="AY26" s="13">
        <f>+IFERROR(VLOOKUP($AY$17,Sheet1!AH6:AK6,3,0),0)</f>
        <v>0</v>
      </c>
      <c r="AZ26" s="13">
        <f>+IFERROR(VLOOKUP($AZ$17,Sheet1!AH6:AK6,3,0),0)</f>
        <v>0</v>
      </c>
      <c r="BA26" s="67">
        <v>3754</v>
      </c>
      <c r="BB26" s="13">
        <f>+IFERROR(VLOOKUP($BB$17,Sheet1!AH6:AK6,3,0),0)</f>
        <v>0</v>
      </c>
      <c r="BC26" s="13">
        <f>+IFERROR(VLOOKUP($BC$17,Sheet1!AL6:AO6,3,0),0)</f>
        <v>0</v>
      </c>
      <c r="BD26" s="13">
        <f>+IFERROR(VLOOKUP($BD$17,Sheet1!AL6:AO6,3,0),0)</f>
        <v>0</v>
      </c>
      <c r="BE26" s="13">
        <f>+IFERROR(VLOOKUP($BE$17,Sheet1!AL6:AO6,3,0),0)</f>
        <v>0</v>
      </c>
      <c r="BF26" s="67">
        <v>1067</v>
      </c>
      <c r="BG26" s="13">
        <f>+IFERROR(VLOOKUP($BG$17,Sheet1!AL6:AO6,3,0),0)</f>
        <v>0</v>
      </c>
      <c r="BH26" s="13">
        <f>+IFERROR(VLOOKUP($BH$17,Sheet1!AL6:AO6,3,0),0)</f>
        <v>0</v>
      </c>
      <c r="BI26" s="13">
        <f>+IFERROR(VLOOKUP($BI$17,Sheet1!AL6:AO6,3,0),0)</f>
        <v>0</v>
      </c>
      <c r="BJ26" s="13">
        <f>+IFERROR(VLOOKUP($BJ$17,Sheet1!AL6:AO6,3,0),0)</f>
        <v>0</v>
      </c>
      <c r="BK26" s="13">
        <f>+IFERROR(VLOOKUP($BK$17,Sheet1!AL6:AO6,3,0),0)</f>
        <v>0</v>
      </c>
      <c r="BL26" s="13">
        <f>+IFERROR(VLOOKUP($BL$17,Sheet1!AL6:AO6,3,0),0)</f>
        <v>0</v>
      </c>
      <c r="BM26" s="67">
        <v>752</v>
      </c>
      <c r="BN26" s="13">
        <f>+IFERROR(VLOOKUP($BN$17,Sheet1!AT6:AW6,3,0),0)</f>
        <v>0</v>
      </c>
      <c r="BO26" s="67">
        <v>10</v>
      </c>
      <c r="BP26" s="67">
        <v>58</v>
      </c>
      <c r="BQ26" s="13">
        <f>+IFERROR(VLOOKUP($BQ$17,Sheet1!BF6:BI6,3,0),0)</f>
        <v>0</v>
      </c>
      <c r="BR26" s="13">
        <f>+IFERROR(VLOOKUP($BR$17,Sheet1!BJ6:BM6,3,0),0)</f>
        <v>0</v>
      </c>
      <c r="BS26" s="13">
        <f>+IFERROR(VLOOKUP($BS$17,Sheet1!BN6:BQ6,3,0),0)</f>
        <v>0</v>
      </c>
      <c r="BT26" s="67">
        <v>51</v>
      </c>
      <c r="BU26" s="13">
        <f>+IFERROR(VLOOKUP($BU$17,Sheet1!BV6:BY6,3,0),0)</f>
        <v>0</v>
      </c>
      <c r="BV26" s="67" t="str">
        <f>Sheet1!E6</f>
        <v>STEEL</v>
      </c>
      <c r="BW26" s="13">
        <f t="shared" si="13"/>
        <v>8772</v>
      </c>
      <c r="BX26" s="13" t="s">
        <v>176</v>
      </c>
      <c r="BY26" s="13" t="s">
        <v>177</v>
      </c>
      <c r="BZ26" s="67">
        <f>Sheet1!CX6</f>
        <v>250</v>
      </c>
      <c r="CA26" s="3">
        <v>80000</v>
      </c>
      <c r="CB26" s="3">
        <f t="shared" si="5"/>
        <v>1138610</v>
      </c>
      <c r="CC26" s="25">
        <f>Sheet1!CB6</f>
        <v>0</v>
      </c>
      <c r="CD26" s="3">
        <f t="shared" si="6"/>
        <v>0</v>
      </c>
      <c r="CE26" s="46">
        <v>0.24</v>
      </c>
      <c r="CF26" s="3">
        <f t="shared" si="7"/>
        <v>273266.39999999997</v>
      </c>
      <c r="CG26" s="46">
        <v>0</v>
      </c>
      <c r="CH26" s="3">
        <f t="shared" si="8"/>
        <v>0</v>
      </c>
      <c r="CI26" s="3">
        <f t="shared" si="9"/>
        <v>1411876.4</v>
      </c>
      <c r="CJ26" s="46">
        <v>0.02</v>
      </c>
      <c r="CK26" s="1">
        <f t="shared" si="10"/>
        <v>28237.527999999998</v>
      </c>
      <c r="CL26" s="46">
        <v>0.01</v>
      </c>
      <c r="CM26" s="1">
        <f t="shared" si="11"/>
        <v>14118.763999999999</v>
      </c>
    </row>
    <row r="27" spans="1:91" ht="30" x14ac:dyDescent="0.25">
      <c r="A27" s="1" t="str">
        <f>Sheet1!A12</f>
        <v>ENQ-12172-22-23</v>
      </c>
      <c r="B27" s="49">
        <v>45329</v>
      </c>
      <c r="C27" s="1" t="str">
        <f>Sheet1!C12</f>
        <v>FA1300027</v>
      </c>
      <c r="D27" s="1" t="str">
        <f>Sheet1!D12</f>
        <v>1 CORE X 630 SQ. MM. AL/ARM (XLPE)  - 33 KV</v>
      </c>
      <c r="E27" s="3">
        <f t="shared" si="0"/>
        <v>1257565.6044000001</v>
      </c>
      <c r="F27" s="65">
        <f t="shared" si="12"/>
        <v>15131</v>
      </c>
      <c r="G27" s="9">
        <f t="shared" si="1"/>
        <v>1272696.6044000001</v>
      </c>
      <c r="H27" s="7">
        <v>0.18</v>
      </c>
      <c r="I27" s="9">
        <f t="shared" si="2"/>
        <v>229085.38879200001</v>
      </c>
      <c r="J27" s="9">
        <f t="shared" si="3"/>
        <v>1501781.9931920001</v>
      </c>
      <c r="K27" s="1">
        <f>Sheet1!CS12</f>
        <v>115</v>
      </c>
      <c r="L27" s="1" t="str">
        <f>Sheet1!CT12</f>
        <v>KMS</v>
      </c>
      <c r="M27" s="3">
        <f t="shared" si="4"/>
        <v>172704929.21708</v>
      </c>
      <c r="N27" s="66">
        <f>+IFERROR(VLOOKUP($N$17,Sheet1!J12:L12,3,0),0)</f>
        <v>1701</v>
      </c>
      <c r="O27" s="2">
        <f>+IFERROR(VLOOKUP($O$17,Sheet1!J12:L12,3,0),0)</f>
        <v>0</v>
      </c>
      <c r="P27" s="2">
        <f>+IFERROR(VLOOKUP($P$17,Sheet1!J12:M12,3,0),0)</f>
        <v>0</v>
      </c>
      <c r="Q27" s="2">
        <f>+IFERROR(VLOOKUP($Q$17,Sheet1!J12:M12,3,0),0)</f>
        <v>0</v>
      </c>
      <c r="R27" s="2">
        <f>+IFERROR(VLOOKUP($R$17,Sheet1!J12:M12,3,0),0)</f>
        <v>0</v>
      </c>
      <c r="S27" s="2">
        <f>+IFERROR(VLOOKUP($S$17,Sheet1!N12:Q12,3,0),0)</f>
        <v>0</v>
      </c>
      <c r="T27" s="2">
        <f>+IFERROR(VLOOKUP($T$17,Sheet1!N12:Q12,3,0),0)</f>
        <v>0</v>
      </c>
      <c r="U27" s="2">
        <f>+IFERROR(VLOOKUP($U$17,Sheet1!F12:I12,3,0),0)</f>
        <v>0</v>
      </c>
      <c r="V27" s="2">
        <f>+IFERROR(VLOOKUP($V$17,Sheet1!F12:I12,3,0),0)</f>
        <v>0</v>
      </c>
      <c r="W27" s="2">
        <f>+IFERROR(VLOOKUP($W$17,Sheet1!F12:I12,3,0),0)</f>
        <v>0</v>
      </c>
      <c r="X27" s="2">
        <f>+IFERROR(VLOOKUP($X$17,Sheet1!F12:I12,3,0),0)</f>
        <v>0</v>
      </c>
      <c r="Y27" s="66">
        <v>79</v>
      </c>
      <c r="Z27" s="2">
        <f>+IFERROR(VLOOKUP($Z$17,Sheet1!F12:I12,3,0),0)</f>
        <v>0</v>
      </c>
      <c r="AA27" s="2">
        <f>+IFERROR(VLOOKUP($AA$17,Sheet1!F12:I12,3,0),0)</f>
        <v>0</v>
      </c>
      <c r="AB27" s="2">
        <f>+IFERROR(VLOOKUP($AB$17,Sheet1!F12:I12,3,0),0)</f>
        <v>0</v>
      </c>
      <c r="AC27" s="66">
        <v>218</v>
      </c>
      <c r="AD27" s="13">
        <f>+IFERROR(VLOOKUP($AD$17,Sheet1!R12:U12,2,0),0)</f>
        <v>0</v>
      </c>
      <c r="AE27" s="66">
        <v>1055</v>
      </c>
      <c r="AF27" s="13">
        <f>+IFERROR(VLOOKUP($AF$17,Sheet1!V12:Y12,3,0),0)</f>
        <v>0</v>
      </c>
      <c r="AG27" s="13">
        <f>+IFERROR(VLOOKUP($AG$17,Sheet1!V12:Y12,3,0),0)</f>
        <v>0</v>
      </c>
      <c r="AH27" s="13">
        <f>+IFERROR(VLOOKUP($AH$17,Sheet1!V12:Y12,3,0),0)</f>
        <v>0</v>
      </c>
      <c r="AI27" s="13">
        <f>+IFERROR(VLOOKUP($AI$17,Sheet1!V12:Y12,3,0),0)</f>
        <v>0</v>
      </c>
      <c r="AJ27" s="13">
        <f>+IFERROR(VLOOKUP($AJ$17,Sheet1!V12:Y12,3,0),0)</f>
        <v>0</v>
      </c>
      <c r="AK27" s="67">
        <v>18</v>
      </c>
      <c r="AL27" s="13">
        <f>+IFERROR(VLOOKUP($AL$17,Sheet1!AD12:AG12,3,0),0)</f>
        <v>0</v>
      </c>
      <c r="AM27" s="13">
        <f>+IFERROR(VLOOKUP($AM$17,Sheet1!AD12:AG12,3,0),0)</f>
        <v>0</v>
      </c>
      <c r="AN27" s="13">
        <f>+IFERROR(VLOOKUP($AN$17,Sheet1!AD12:AG12,3,0),0)</f>
        <v>0</v>
      </c>
      <c r="AO27" s="13">
        <f>+IFERROR(VLOOKUP($AO$17,Sheet1!AD12:AG12,3,0),0)</f>
        <v>0</v>
      </c>
      <c r="AP27" s="13">
        <f>+IFERROR(VLOOKUP($AP$17,Sheet1!AD12:AG12,3,0),0)</f>
        <v>0</v>
      </c>
      <c r="AQ27" s="67">
        <v>200</v>
      </c>
      <c r="AR27" s="13">
        <f>+IFERROR(VLOOKUP($AR$17,Sheet1!AD12:AG12,3,0),0)</f>
        <v>0</v>
      </c>
      <c r="AS27" s="13">
        <f>+IFERROR(VLOOKUP($AS$17,Sheet1!AH12:AK12,3,0),0)</f>
        <v>0</v>
      </c>
      <c r="AT27" s="13">
        <f>+IFERROR(VLOOKUP($AT$17,Sheet1!AH12:AK12,3,0),0)</f>
        <v>0</v>
      </c>
      <c r="AU27" s="13">
        <f>+IFERROR(VLOOKUP($AU$17,Sheet1!AH12:AK12,3,0),0)</f>
        <v>0</v>
      </c>
      <c r="AV27" s="67">
        <v>828</v>
      </c>
      <c r="AW27" s="13">
        <f>+IFERROR(VLOOKUP($AW$17,Sheet1!AH12:AK12,3,0),0)</f>
        <v>0</v>
      </c>
      <c r="AX27" s="13">
        <f>+IFERROR(VLOOKUP($AX$17,Sheet1!AH12:AK12,3,0),0)</f>
        <v>0</v>
      </c>
      <c r="AY27" s="13">
        <f>+IFERROR(VLOOKUP($AY$17,Sheet1!AH12:AK12,3,0),0)</f>
        <v>0</v>
      </c>
      <c r="AZ27" s="13">
        <f>+IFERROR(VLOOKUP($AZ$17,Sheet1!AH12:AK12,3,0),0)</f>
        <v>0</v>
      </c>
      <c r="BA27" s="13">
        <f>+IFERROR(VLOOKUP($BA$17,Sheet1!AH12:AK12,3,0),0)</f>
        <v>0</v>
      </c>
      <c r="BB27" s="13">
        <f>+IFERROR(VLOOKUP($BB$17,Sheet1!AH12:AK12,3,0),0)</f>
        <v>0</v>
      </c>
      <c r="BC27" s="13">
        <f>+IFERROR(VLOOKUP($BC$17,Sheet1!AL12:AO12,3,0),0)</f>
        <v>0</v>
      </c>
      <c r="BD27" s="13">
        <f>+IFERROR(VLOOKUP($BD$17,Sheet1!AL12:AO12,3,0),0)</f>
        <v>0</v>
      </c>
      <c r="BE27" s="13">
        <f>+IFERROR(VLOOKUP($BE$17,Sheet1!AL12:AO12,3,0),0)</f>
        <v>0</v>
      </c>
      <c r="BF27" s="67">
        <v>760</v>
      </c>
      <c r="BG27" s="13">
        <f>+IFERROR(VLOOKUP($BG$17,Sheet1!AL12:AO12,3,0),0)</f>
        <v>0</v>
      </c>
      <c r="BH27" s="13">
        <f>+IFERROR(VLOOKUP($BH$17,Sheet1!AL12:AO12,3,0),0)</f>
        <v>0</v>
      </c>
      <c r="BI27" s="13">
        <f>+IFERROR(VLOOKUP($BI$17,Sheet1!AL12:AO12,3,0),0)</f>
        <v>0</v>
      </c>
      <c r="BJ27" s="13">
        <f>+IFERROR(VLOOKUP($BJ$17,Sheet1!AL12:AO12,3,0),0)</f>
        <v>0</v>
      </c>
      <c r="BK27" s="13">
        <f>+IFERROR(VLOOKUP($BK$17,Sheet1!AL12:AO12,3,0),0)</f>
        <v>0</v>
      </c>
      <c r="BL27" s="13">
        <f>+IFERROR(VLOOKUP($BL$17,Sheet1!AL12:AO12,3,0),0)</f>
        <v>0</v>
      </c>
      <c r="BM27" s="13">
        <f>+IFERROR(VLOOKUP($BM$17,Sheet1!AP12:AS12,3,0),0)</f>
        <v>0</v>
      </c>
      <c r="BN27" s="13">
        <f>+IFERROR(VLOOKUP($BN$17,Sheet1!AT12:AW12,3,0),0)</f>
        <v>0</v>
      </c>
      <c r="BO27" s="67">
        <v>26</v>
      </c>
      <c r="BP27" s="67">
        <v>41</v>
      </c>
      <c r="BQ27" s="13">
        <f>+IFERROR(VLOOKUP($BQ$17,Sheet1!BF12:BI12,3,0),0)</f>
        <v>0</v>
      </c>
      <c r="BR27" s="13">
        <f>+IFERROR(VLOOKUP($BR$17,Sheet1!BJ12:BM12,3,0),0)</f>
        <v>0</v>
      </c>
      <c r="BS27" s="13">
        <f>+IFERROR(VLOOKUP($BS$17,Sheet1!BN12:BQ12,3,0),0)</f>
        <v>0</v>
      </c>
      <c r="BT27" s="67">
        <v>42</v>
      </c>
      <c r="BU27" s="13">
        <f>+IFERROR(VLOOKUP($BU$17,Sheet1!BV12:BY12,3,0),0)</f>
        <v>0</v>
      </c>
      <c r="BV27" s="67" t="str">
        <f>Sheet1!E12</f>
        <v>STEEL</v>
      </c>
      <c r="BW27" s="13">
        <f t="shared" si="13"/>
        <v>4968</v>
      </c>
      <c r="BX27" s="13" t="s">
        <v>228</v>
      </c>
      <c r="BY27" s="13" t="s">
        <v>229</v>
      </c>
      <c r="BZ27" s="67">
        <f>Sheet1!CX12</f>
        <v>500</v>
      </c>
      <c r="CA27" s="3">
        <v>40000</v>
      </c>
      <c r="CB27" s="3">
        <f t="shared" si="5"/>
        <v>984627</v>
      </c>
      <c r="CC27" s="25">
        <f>Sheet1!CB12</f>
        <v>0</v>
      </c>
      <c r="CD27" s="3">
        <f t="shared" si="6"/>
        <v>0</v>
      </c>
      <c r="CE27" s="46">
        <v>0.24</v>
      </c>
      <c r="CF27" s="3">
        <f t="shared" si="7"/>
        <v>236310.47999999998</v>
      </c>
      <c r="CG27" s="46">
        <v>0</v>
      </c>
      <c r="CH27" s="3">
        <f t="shared" si="8"/>
        <v>0</v>
      </c>
      <c r="CI27" s="3">
        <f t="shared" si="9"/>
        <v>1220937.48</v>
      </c>
      <c r="CJ27" s="46">
        <v>0.02</v>
      </c>
      <c r="CK27" s="1">
        <f t="shared" si="10"/>
        <v>24418.749599999999</v>
      </c>
      <c r="CL27" s="46">
        <v>0.01</v>
      </c>
      <c r="CM27" s="1">
        <f t="shared" si="11"/>
        <v>12209.3748</v>
      </c>
    </row>
    <row r="28" spans="1:91" ht="30" x14ac:dyDescent="0.25">
      <c r="A28" s="1" t="str">
        <f>Sheet1!A9</f>
        <v>ENQ-12172-22-23</v>
      </c>
      <c r="B28" s="49">
        <v>45329</v>
      </c>
      <c r="C28" s="1" t="str">
        <f>Sheet1!C9</f>
        <v>FA1300018</v>
      </c>
      <c r="D28" s="1" t="str">
        <f>Sheet1!D9</f>
        <v>1 CORE X 400 SQ. MM. AL/ARM (XLPE) - 33 KV</v>
      </c>
      <c r="E28" s="3">
        <f t="shared" si="0"/>
        <v>960564.23920000007</v>
      </c>
      <c r="F28" s="65">
        <f t="shared" si="12"/>
        <v>19890</v>
      </c>
      <c r="G28" s="9">
        <f t="shared" si="1"/>
        <v>980454.23920000007</v>
      </c>
      <c r="H28" s="7">
        <v>0.18</v>
      </c>
      <c r="I28" s="9">
        <f t="shared" si="2"/>
        <v>176481.763056</v>
      </c>
      <c r="J28" s="9">
        <f t="shared" si="3"/>
        <v>1156936.0022559999</v>
      </c>
      <c r="K28" s="1">
        <f>Sheet1!CS9</f>
        <v>9.0500000000000007</v>
      </c>
      <c r="L28" s="1" t="str">
        <f>Sheet1!CT9</f>
        <v>KMS</v>
      </c>
      <c r="M28" s="3">
        <f t="shared" si="4"/>
        <v>10470270.820416801</v>
      </c>
      <c r="N28" s="66">
        <v>1081</v>
      </c>
      <c r="O28" s="2">
        <f>+IFERROR(VLOOKUP($O$17,Sheet1!J9:L9,3,0),0)</f>
        <v>0</v>
      </c>
      <c r="P28" s="2">
        <f>+IFERROR(VLOOKUP($P$17,Sheet1!J9:M9,3,0),0)</f>
        <v>0</v>
      </c>
      <c r="Q28" s="2">
        <f>+IFERROR(VLOOKUP($Q$17,Sheet1!J9:M9,3,0),0)</f>
        <v>0</v>
      </c>
      <c r="R28" s="2">
        <f>+IFERROR(VLOOKUP($R$17,Sheet1!J9:M9,3,0),0)</f>
        <v>0</v>
      </c>
      <c r="S28" s="2">
        <f>+IFERROR(VLOOKUP($S$17,Sheet1!N9:Q9,3,0),0)</f>
        <v>0</v>
      </c>
      <c r="T28" s="2">
        <f>+IFERROR(VLOOKUP($T$17,Sheet1!N9:Q9,3,0),0)</f>
        <v>0</v>
      </c>
      <c r="U28" s="2">
        <f>+IFERROR(VLOOKUP($U$17,Sheet1!F9:I9,3,0),0)</f>
        <v>0</v>
      </c>
      <c r="V28" s="2">
        <f>+IFERROR(VLOOKUP($V$17,Sheet1!F9:I9,3,0),0)</f>
        <v>0</v>
      </c>
      <c r="W28" s="2">
        <f>+IFERROR(VLOOKUP($W$17,Sheet1!F9:I9,3,0),0)</f>
        <v>0</v>
      </c>
      <c r="X28" s="2">
        <f>+IFERROR(VLOOKUP($X$17,Sheet1!F9:I9,3,0),0)</f>
        <v>0</v>
      </c>
      <c r="Y28" s="66">
        <v>70</v>
      </c>
      <c r="Z28" s="2">
        <f>+IFERROR(VLOOKUP($Z$17,Sheet1!F9:I9,3,0),0)</f>
        <v>0</v>
      </c>
      <c r="AA28" s="2">
        <f>+IFERROR(VLOOKUP($AA$17,Sheet1!F9:I9,3,0),0)</f>
        <v>0</v>
      </c>
      <c r="AB28" s="2">
        <f>+IFERROR(VLOOKUP($AB$17,Sheet1!F9:I9,3,0),0)</f>
        <v>0</v>
      </c>
      <c r="AC28" s="66">
        <v>171</v>
      </c>
      <c r="AD28" s="13">
        <f>+IFERROR(VLOOKUP($AD$17,Sheet1!R9:U9,2,0),0)</f>
        <v>0</v>
      </c>
      <c r="AE28" s="66">
        <v>885</v>
      </c>
      <c r="AF28" s="13">
        <f>+IFERROR(VLOOKUP($AF$17,Sheet1!V9:Y9,3,0),0)</f>
        <v>0</v>
      </c>
      <c r="AG28" s="13">
        <f>+IFERROR(VLOOKUP($AG$17,Sheet1!V9:Y9,3,0),0)</f>
        <v>0</v>
      </c>
      <c r="AH28" s="13">
        <f>+IFERROR(VLOOKUP($AH$17,Sheet1!V9:Y9,3,0),0)</f>
        <v>0</v>
      </c>
      <c r="AI28" s="13">
        <f>+IFERROR(VLOOKUP($AI$17,Sheet1!V9:Y9,3,0),0)</f>
        <v>0</v>
      </c>
      <c r="AJ28" s="13">
        <f>+IFERROR(VLOOKUP($AJ$17,Sheet1!V9:Y9,3,0),0)</f>
        <v>0</v>
      </c>
      <c r="AK28" s="67">
        <v>16</v>
      </c>
      <c r="AL28" s="13">
        <f>+IFERROR(VLOOKUP($AL$17,Sheet1!AD9:AG9,3,0),0)</f>
        <v>0</v>
      </c>
      <c r="AM28" s="13">
        <f>+IFERROR(VLOOKUP($AM$17,Sheet1!AD9:AG9,3,0),0)</f>
        <v>0</v>
      </c>
      <c r="AN28" s="13">
        <f>+IFERROR(VLOOKUP($AN$17,Sheet1!AD9:AG9,3,0),0)</f>
        <v>0</v>
      </c>
      <c r="AO28" s="13">
        <f>+IFERROR(VLOOKUP($AO$17,Sheet1!AD9:AG9,3,0),0)</f>
        <v>0</v>
      </c>
      <c r="AP28" s="13">
        <f>+IFERROR(VLOOKUP($AP$17,Sheet1!AD9:AG9,3,0),0)</f>
        <v>0</v>
      </c>
      <c r="AQ28" s="67">
        <v>151</v>
      </c>
      <c r="AR28" s="13">
        <f>+IFERROR(VLOOKUP($AR$17,Sheet1!AD9:AG9,3,0),0)</f>
        <v>0</v>
      </c>
      <c r="AS28" s="13">
        <f>+IFERROR(VLOOKUP($AS$17,Sheet1!AH9:AK9,3,0),0)</f>
        <v>0</v>
      </c>
      <c r="AT28" s="13">
        <f>+IFERROR(VLOOKUP($AT$17,Sheet1!AH9:AK9,3,0),0)</f>
        <v>0</v>
      </c>
      <c r="AU28" s="13">
        <f>+IFERROR(VLOOKUP($AU$17,Sheet1!AH9:AK9,3,0),0)</f>
        <v>0</v>
      </c>
      <c r="AV28" s="67">
        <v>731</v>
      </c>
      <c r="AW28" s="13">
        <f>+IFERROR(VLOOKUP($AW$17,Sheet1!AH9:AK9,3,0),0)</f>
        <v>0</v>
      </c>
      <c r="AX28" s="13">
        <f>+IFERROR(VLOOKUP($AX$17,Sheet1!AH9:AK9,3,0),0)</f>
        <v>0</v>
      </c>
      <c r="AY28" s="13">
        <f>+IFERROR(VLOOKUP($AY$17,Sheet1!AH9:AK9,3,0),0)</f>
        <v>0</v>
      </c>
      <c r="AZ28" s="13">
        <f>+IFERROR(VLOOKUP($AZ$17,Sheet1!AH9:AK9,3,0),0)</f>
        <v>0</v>
      </c>
      <c r="BA28" s="13">
        <f>+IFERROR(VLOOKUP($BA$17,Sheet1!AH9:AK9,3,0),0)</f>
        <v>0</v>
      </c>
      <c r="BB28" s="13">
        <f>+IFERROR(VLOOKUP($BB$17,Sheet1!AH9:AK9,3,0),0)</f>
        <v>0</v>
      </c>
      <c r="BC28" s="13">
        <f>+IFERROR(VLOOKUP($BC$17,Sheet1!AL9:AO9,3,0),0)</f>
        <v>0</v>
      </c>
      <c r="BD28" s="13">
        <f>+IFERROR(VLOOKUP($BD$17,Sheet1!AL9:AO9,3,0),0)</f>
        <v>0</v>
      </c>
      <c r="BE28" s="13">
        <f>+IFERROR(VLOOKUP($BE$17,Sheet1!AL9:AO9,3,0),0)</f>
        <v>0</v>
      </c>
      <c r="BF28" s="67">
        <v>580</v>
      </c>
      <c r="BG28" s="13">
        <f>+IFERROR(VLOOKUP($BG$17,Sheet1!AL9:AO9,3,0),0)</f>
        <v>0</v>
      </c>
      <c r="BH28" s="13">
        <f>+IFERROR(VLOOKUP($BH$17,Sheet1!AL9:AO9,3,0),0)</f>
        <v>0</v>
      </c>
      <c r="BI28" s="13">
        <f>+IFERROR(VLOOKUP($BI$17,Sheet1!AL9:AO9,3,0),0)</f>
        <v>0</v>
      </c>
      <c r="BJ28" s="13">
        <f>+IFERROR(VLOOKUP($BJ$17,Sheet1!AL9:AO9,3,0),0)</f>
        <v>0</v>
      </c>
      <c r="BK28" s="13">
        <f>+IFERROR(VLOOKUP($BK$17,Sheet1!AL9:AO9,3,0),0)</f>
        <v>0</v>
      </c>
      <c r="BL28" s="13">
        <f>+IFERROR(VLOOKUP($BL$17,Sheet1!AL9:AO9,3,0),0)</f>
        <v>0</v>
      </c>
      <c r="BM28" s="13">
        <f>+IFERROR(VLOOKUP($BM$17,Sheet1!AP9:AS9,3,0),0)</f>
        <v>0</v>
      </c>
      <c r="BN28" s="13">
        <f>+IFERROR(VLOOKUP($BN$17,Sheet1!AT9:AW9,3,0),0)</f>
        <v>0</v>
      </c>
      <c r="BO28" s="67">
        <v>19</v>
      </c>
      <c r="BP28" s="67">
        <v>35</v>
      </c>
      <c r="BQ28" s="13">
        <f>+IFERROR(VLOOKUP($BQ$17,Sheet1!BF9:BI9,3,0),0)</f>
        <v>0</v>
      </c>
      <c r="BR28" s="13">
        <f>+IFERROR(VLOOKUP($BR$17,Sheet1!BJ9:BM9,3,0),0)</f>
        <v>0</v>
      </c>
      <c r="BS28" s="13">
        <f>+IFERROR(VLOOKUP($BS$17,Sheet1!BN9:BQ9,3,0),0)</f>
        <v>0</v>
      </c>
      <c r="BT28" s="67">
        <v>36</v>
      </c>
      <c r="BU28" s="13">
        <f>+IFERROR(VLOOKUP($BU$17,Sheet1!BV9:BY9,3,0),0)</f>
        <v>0</v>
      </c>
      <c r="BV28" s="67" t="str">
        <f>Sheet1!E9</f>
        <v>STEEL</v>
      </c>
      <c r="BW28" s="13">
        <f t="shared" si="13"/>
        <v>3775</v>
      </c>
      <c r="BX28" s="13" t="s">
        <v>230</v>
      </c>
      <c r="BY28" s="13" t="s">
        <v>231</v>
      </c>
      <c r="BZ28" s="67">
        <f>Sheet1!CX9</f>
        <v>500</v>
      </c>
      <c r="CA28" s="3">
        <v>32000</v>
      </c>
      <c r="CB28" s="3">
        <f t="shared" si="5"/>
        <v>752086</v>
      </c>
      <c r="CC28" s="25">
        <f>Sheet1!CB9</f>
        <v>0</v>
      </c>
      <c r="CD28" s="3">
        <f t="shared" si="6"/>
        <v>0</v>
      </c>
      <c r="CE28" s="46">
        <v>0.24</v>
      </c>
      <c r="CF28" s="3">
        <f t="shared" si="7"/>
        <v>180500.63999999998</v>
      </c>
      <c r="CG28" s="46">
        <v>0</v>
      </c>
      <c r="CH28" s="3">
        <f t="shared" si="8"/>
        <v>0</v>
      </c>
      <c r="CI28" s="3">
        <f t="shared" si="9"/>
        <v>932586.64</v>
      </c>
      <c r="CJ28" s="46">
        <v>0.02</v>
      </c>
      <c r="CK28" s="1">
        <f t="shared" si="10"/>
        <v>18651.732800000002</v>
      </c>
      <c r="CL28" s="46">
        <v>0.01</v>
      </c>
      <c r="CM28" s="1">
        <f t="shared" si="11"/>
        <v>9325.8664000000008</v>
      </c>
    </row>
    <row r="29" spans="1:91" ht="30" x14ac:dyDescent="0.25">
      <c r="A29" s="1" t="str">
        <f>Sheet1!A7</f>
        <v>ENQ-12172-22-23</v>
      </c>
      <c r="B29" s="49">
        <v>45329</v>
      </c>
      <c r="C29" s="1" t="str">
        <f>Sheet1!C7</f>
        <v>FA1300019</v>
      </c>
      <c r="D29" s="1" t="str">
        <f>Sheet1!D7</f>
        <v>1 CORE X 300 SQ. MM. AL/ARM (XLPE)  - 33 KV</v>
      </c>
      <c r="E29" s="3">
        <f t="shared" si="0"/>
        <v>839942.91680000001</v>
      </c>
      <c r="F29" s="65">
        <f t="shared" si="12"/>
        <v>20000</v>
      </c>
      <c r="G29" s="9">
        <f t="shared" si="1"/>
        <v>859942.91680000001</v>
      </c>
      <c r="H29" s="7">
        <v>0.18</v>
      </c>
      <c r="I29" s="9">
        <f t="shared" si="2"/>
        <v>154789.72502399998</v>
      </c>
      <c r="J29" s="9">
        <f t="shared" si="3"/>
        <v>1014732.641824</v>
      </c>
      <c r="K29" s="1">
        <f>Sheet1!CS7</f>
        <v>3</v>
      </c>
      <c r="L29" s="1" t="str">
        <f>Sheet1!CT7</f>
        <v>KMS</v>
      </c>
      <c r="M29" s="3">
        <f t="shared" si="4"/>
        <v>3044197.9254720001</v>
      </c>
      <c r="N29" s="2">
        <f>+IFERROR(VLOOKUP($N$17,Sheet1!J7:L7,3,0),0)</f>
        <v>810</v>
      </c>
      <c r="O29" s="2">
        <f>+IFERROR(VLOOKUP($O$17,Sheet1!J7:L7,3,0),0)</f>
        <v>0</v>
      </c>
      <c r="P29" s="2">
        <f>+IFERROR(VLOOKUP($P$17,Sheet1!J7:M7,3,0),0)</f>
        <v>0</v>
      </c>
      <c r="Q29" s="2">
        <f>+IFERROR(VLOOKUP($Q$17,Sheet1!J7:M7,3,0),0)</f>
        <v>0</v>
      </c>
      <c r="R29" s="2">
        <f>+IFERROR(VLOOKUP($R$17,Sheet1!J7:M7,3,0),0)</f>
        <v>0</v>
      </c>
      <c r="S29" s="2">
        <f>+IFERROR(VLOOKUP($S$17,Sheet1!N7:Q7,3,0),0)</f>
        <v>0</v>
      </c>
      <c r="T29" s="2">
        <f>+IFERROR(VLOOKUP($T$17,Sheet1!N7:Q7,3,0),0)</f>
        <v>0</v>
      </c>
      <c r="U29" s="2">
        <f>+IFERROR(VLOOKUP($U$17,Sheet1!F7:I7,3,0),0)</f>
        <v>0</v>
      </c>
      <c r="V29" s="2">
        <f>+IFERROR(VLOOKUP($V$17,Sheet1!F7:I7,3,0),0)</f>
        <v>0</v>
      </c>
      <c r="W29" s="2">
        <f>+IFERROR(VLOOKUP($W$17,Sheet1!F7:I7,3,0),0)</f>
        <v>0</v>
      </c>
      <c r="X29" s="2">
        <f>+IFERROR(VLOOKUP($X$17,Sheet1!F7:I7,3,0),0)</f>
        <v>0</v>
      </c>
      <c r="Y29" s="66">
        <v>65</v>
      </c>
      <c r="Z29" s="2">
        <f>+IFERROR(VLOOKUP($Z$17,Sheet1!F7:I7,3,0),0)</f>
        <v>0</v>
      </c>
      <c r="AA29" s="2">
        <f>+IFERROR(VLOOKUP($AA$17,Sheet1!F7:I7,3,0),0)</f>
        <v>0</v>
      </c>
      <c r="AB29" s="2">
        <f>+IFERROR(VLOOKUP($AB$17,Sheet1!F7:I7,3,0),0)</f>
        <v>0</v>
      </c>
      <c r="AC29" s="66">
        <v>164</v>
      </c>
      <c r="AD29" s="13">
        <f>+IFERROR(VLOOKUP($AD$17,Sheet1!R7:U7,2,0),0)</f>
        <v>0</v>
      </c>
      <c r="AE29" s="66">
        <v>808</v>
      </c>
      <c r="AF29" s="13">
        <f>+IFERROR(VLOOKUP($AF$17,Sheet1!V7:Y7,3,0),0)</f>
        <v>0</v>
      </c>
      <c r="AG29" s="13">
        <f>+IFERROR(VLOOKUP($AG$17,Sheet1!V7:Y7,3,0),0)</f>
        <v>0</v>
      </c>
      <c r="AH29" s="13">
        <f>+IFERROR(VLOOKUP($AH$17,Sheet1!V7:Y7,3,0),0)</f>
        <v>0</v>
      </c>
      <c r="AI29" s="13">
        <f>+IFERROR(VLOOKUP($AI$17,Sheet1!V7:Y7,3,0),0)</f>
        <v>0</v>
      </c>
      <c r="AJ29" s="13">
        <f>+IFERROR(VLOOKUP($AJ$17,Sheet1!V7:Y7,3,0),0)</f>
        <v>0</v>
      </c>
      <c r="AK29" s="67">
        <v>12</v>
      </c>
      <c r="AL29" s="13">
        <f>+IFERROR(VLOOKUP($AL$17,Sheet1!AD7:AG7,3,0),0)</f>
        <v>0</v>
      </c>
      <c r="AM29" s="13">
        <f>+IFERROR(VLOOKUP($AM$17,Sheet1!AD7:AG7,3,0),0)</f>
        <v>0</v>
      </c>
      <c r="AN29" s="13">
        <f>+IFERROR(VLOOKUP($AN$17,Sheet1!AD7:AG7,3,0),0)</f>
        <v>0</v>
      </c>
      <c r="AO29" s="13">
        <f>+IFERROR(VLOOKUP($AO$17,Sheet1!AD7:AG7,3,0),0)</f>
        <v>0</v>
      </c>
      <c r="AP29" s="13">
        <f>+IFERROR(VLOOKUP($AP$17,Sheet1!AD7:AG7,3,0),0)</f>
        <v>0</v>
      </c>
      <c r="AQ29" s="67">
        <v>144</v>
      </c>
      <c r="AR29" s="13">
        <f>+IFERROR(VLOOKUP($AR$17,Sheet1!AD7:AG7,3,0),0)</f>
        <v>0</v>
      </c>
      <c r="AS29" s="13">
        <f>+IFERROR(VLOOKUP($AS$17,Sheet1!AH7:AK7,3,0),0)</f>
        <v>0</v>
      </c>
      <c r="AT29" s="13">
        <f>+IFERROR(VLOOKUP($AT$17,Sheet1!AH7:AK7,3,0),0)</f>
        <v>0</v>
      </c>
      <c r="AU29" s="13">
        <f>+IFERROR(VLOOKUP($AU$17,Sheet1!AH7:AK7,3,0),0)</f>
        <v>0</v>
      </c>
      <c r="AV29" s="67">
        <v>676</v>
      </c>
      <c r="AW29" s="13">
        <f>+IFERROR(VLOOKUP($AW$17,Sheet1!AH7:AK7,3,0),0)</f>
        <v>0</v>
      </c>
      <c r="AX29" s="13">
        <f>+IFERROR(VLOOKUP($AX$17,Sheet1!AH7:AK7,3,0),0)</f>
        <v>0</v>
      </c>
      <c r="AY29" s="13">
        <f>+IFERROR(VLOOKUP($AY$17,Sheet1!AH7:AK7,3,0),0)</f>
        <v>0</v>
      </c>
      <c r="AZ29" s="13">
        <f>+IFERROR(VLOOKUP($AZ$17,Sheet1!AH7:AK7,3,0),0)</f>
        <v>0</v>
      </c>
      <c r="BA29" s="13">
        <f>+IFERROR(VLOOKUP($BA$17,Sheet1!AH7:AK7,3,0),0)</f>
        <v>0</v>
      </c>
      <c r="BB29" s="13">
        <f>+IFERROR(VLOOKUP($BB$17,Sheet1!AH7:AK7,3,0),0)</f>
        <v>0</v>
      </c>
      <c r="BC29" s="13">
        <f>+IFERROR(VLOOKUP($BC$17,Sheet1!AL7:AO7,3,0),0)</f>
        <v>0</v>
      </c>
      <c r="BD29" s="13">
        <f>+IFERROR(VLOOKUP($BD$17,Sheet1!AL7:AO7,3,0),0)</f>
        <v>0</v>
      </c>
      <c r="BE29" s="13">
        <f>+IFERROR(VLOOKUP($BE$17,Sheet1!AL7:AO7,3,0),0)</f>
        <v>0</v>
      </c>
      <c r="BF29" s="67">
        <v>556</v>
      </c>
      <c r="BG29" s="13">
        <f>+IFERROR(VLOOKUP($BG$17,Sheet1!AL7:AO7,3,0),0)</f>
        <v>0</v>
      </c>
      <c r="BH29" s="13">
        <f>+IFERROR(VLOOKUP($BH$17,Sheet1!AL7:AO7,3,0),0)</f>
        <v>0</v>
      </c>
      <c r="BI29" s="13">
        <f>+IFERROR(VLOOKUP($BI$17,Sheet1!AL7:AO7,3,0),0)</f>
        <v>0</v>
      </c>
      <c r="BJ29" s="13">
        <f>+IFERROR(VLOOKUP($BJ$17,Sheet1!AL7:AO7,3,0),0)</f>
        <v>0</v>
      </c>
      <c r="BK29" s="13">
        <f>+IFERROR(VLOOKUP($BK$17,Sheet1!AL7:AO7,3,0),0)</f>
        <v>0</v>
      </c>
      <c r="BL29" s="13">
        <f>+IFERROR(VLOOKUP($BL$17,Sheet1!AL7:AO7,3,0),0)</f>
        <v>0</v>
      </c>
      <c r="BM29" s="13">
        <f>+IFERROR(VLOOKUP($BM$17,Sheet1!AP7:AS7,3,0),0)</f>
        <v>0</v>
      </c>
      <c r="BN29" s="13">
        <f>+IFERROR(VLOOKUP($BN$17,Sheet1!AT7:AW7,3,0),0)</f>
        <v>0</v>
      </c>
      <c r="BO29" s="67">
        <v>13</v>
      </c>
      <c r="BP29" s="67">
        <v>32</v>
      </c>
      <c r="BQ29" s="13">
        <f>+IFERROR(VLOOKUP($BQ$17,Sheet1!BF7:BI7,3,0),0)</f>
        <v>0</v>
      </c>
      <c r="BR29" s="13">
        <f>+IFERROR(VLOOKUP($BR$17,Sheet1!BJ7:BM7,3,0),0)</f>
        <v>0</v>
      </c>
      <c r="BS29" s="13">
        <f>+IFERROR(VLOOKUP($BS$17,Sheet1!BN7:BQ7,3,0),0)</f>
        <v>0</v>
      </c>
      <c r="BT29" s="67">
        <v>35</v>
      </c>
      <c r="BU29" s="13">
        <f>+IFERROR(VLOOKUP($BU$17,Sheet1!BV7:BY7,3,0),0)</f>
        <v>0</v>
      </c>
      <c r="BV29" s="67" t="str">
        <f>Sheet1!E7</f>
        <v>STEEL</v>
      </c>
      <c r="BW29" s="13">
        <f t="shared" si="13"/>
        <v>3315</v>
      </c>
      <c r="BX29" s="13" t="s">
        <v>230</v>
      </c>
      <c r="BY29" s="13" t="s">
        <v>231</v>
      </c>
      <c r="BZ29" s="67">
        <f>Sheet1!CX7</f>
        <v>500</v>
      </c>
      <c r="CA29" s="3">
        <v>32000</v>
      </c>
      <c r="CB29" s="3">
        <f t="shared" si="5"/>
        <v>657644</v>
      </c>
      <c r="CC29" s="25">
        <f>Sheet1!CB7</f>
        <v>0</v>
      </c>
      <c r="CD29" s="3">
        <f t="shared" si="6"/>
        <v>0</v>
      </c>
      <c r="CE29" s="46">
        <v>0.24</v>
      </c>
      <c r="CF29" s="3">
        <f t="shared" si="7"/>
        <v>157834.56</v>
      </c>
      <c r="CG29" s="46">
        <v>0</v>
      </c>
      <c r="CH29" s="3">
        <f t="shared" si="8"/>
        <v>0</v>
      </c>
      <c r="CI29" s="3">
        <f t="shared" si="9"/>
        <v>815478.56</v>
      </c>
      <c r="CJ29" s="46">
        <v>0.02</v>
      </c>
      <c r="CK29" s="1">
        <f t="shared" si="10"/>
        <v>16309.571200000002</v>
      </c>
      <c r="CL29" s="46">
        <v>0.01</v>
      </c>
      <c r="CM29" s="1">
        <f t="shared" si="11"/>
        <v>8154.7856000000011</v>
      </c>
    </row>
    <row r="31" spans="1:91" ht="30" x14ac:dyDescent="0.25">
      <c r="E31" s="2" t="s">
        <v>209</v>
      </c>
      <c r="F31" s="2" t="s">
        <v>210</v>
      </c>
      <c r="G31" s="56" t="s">
        <v>211</v>
      </c>
      <c r="H31" s="2" t="s">
        <v>212</v>
      </c>
      <c r="I31" s="2" t="s">
        <v>213</v>
      </c>
      <c r="J31" s="2" t="s">
        <v>214</v>
      </c>
      <c r="K31" s="2" t="s">
        <v>215</v>
      </c>
      <c r="L31" s="2" t="s">
        <v>216</v>
      </c>
      <c r="M31" s="57" t="s">
        <v>217</v>
      </c>
    </row>
    <row r="32" spans="1:91" ht="30" x14ac:dyDescent="0.25">
      <c r="C32" t="str">
        <f>C19</f>
        <v>FA1300080</v>
      </c>
      <c r="D32" s="28" t="str">
        <f>D19</f>
        <v>3 CORE X 400 SQ. MM AL/ARM - WIRE (XLPE) - 33 KV</v>
      </c>
      <c r="E32" s="56">
        <f>K19</f>
        <v>77</v>
      </c>
      <c r="F32" s="58">
        <f>BZ19/1000</f>
        <v>0.25</v>
      </c>
      <c r="G32" s="56" t="s">
        <v>218</v>
      </c>
      <c r="H32" s="59">
        <v>60000</v>
      </c>
      <c r="I32" s="58">
        <v>5</v>
      </c>
      <c r="J32" s="56">
        <f>F32*I32</f>
        <v>1.25</v>
      </c>
      <c r="K32" s="56">
        <f>ROUNDUP((E32/J32),0)</f>
        <v>62</v>
      </c>
      <c r="L32" s="56">
        <f>M32*E32</f>
        <v>3720000</v>
      </c>
      <c r="M32" s="60">
        <f>(H32*K32)/E32</f>
        <v>48311.688311688311</v>
      </c>
    </row>
    <row r="33" spans="1:13" ht="30" x14ac:dyDescent="0.25">
      <c r="C33" t="str">
        <f t="shared" ref="C33:C42" si="14">C20</f>
        <v>FA1300081</v>
      </c>
      <c r="D33" s="28" t="str">
        <f t="shared" ref="D33:D42" si="15">D20</f>
        <v>3 CORE X 300 SQ. MM. AL/ARM - WIRE (XLPE) - 33 KV</v>
      </c>
      <c r="E33" s="56">
        <f t="shared" ref="E33:E42" si="16">K20</f>
        <v>16.920000000000002</v>
      </c>
      <c r="F33" s="58">
        <f t="shared" ref="F33:F42" si="17">BZ20/1000</f>
        <v>0.25</v>
      </c>
      <c r="G33" s="56" t="s">
        <v>218</v>
      </c>
      <c r="H33" s="59">
        <v>60000</v>
      </c>
      <c r="I33" s="58">
        <v>5</v>
      </c>
      <c r="J33" s="56">
        <f t="shared" ref="J33:J42" si="18">F33*I33</f>
        <v>1.25</v>
      </c>
      <c r="K33" s="56">
        <f t="shared" ref="K33:K42" si="19">ROUNDUP((E33/J33),0)</f>
        <v>14</v>
      </c>
      <c r="L33" s="56">
        <f t="shared" ref="L33:L42" si="20">M33*E33</f>
        <v>840000</v>
      </c>
      <c r="M33" s="60">
        <f t="shared" ref="M33:M42" si="21">(H33*K33)/E33</f>
        <v>49645.390070921982</v>
      </c>
    </row>
    <row r="34" spans="1:13" ht="30" x14ac:dyDescent="0.25">
      <c r="C34" t="str">
        <f t="shared" si="14"/>
        <v>FA1300201</v>
      </c>
      <c r="D34" s="28" t="str">
        <f t="shared" si="15"/>
        <v>3 CORE X 240 SQ. MM. AL/ARM - WIRE (XLPE) - 33 KV</v>
      </c>
      <c r="E34" s="56">
        <f t="shared" si="16"/>
        <v>1</v>
      </c>
      <c r="F34" s="58">
        <f t="shared" si="17"/>
        <v>0.25</v>
      </c>
      <c r="G34" s="56" t="s">
        <v>218</v>
      </c>
      <c r="H34" s="59">
        <v>60000</v>
      </c>
      <c r="I34" s="58">
        <v>5</v>
      </c>
      <c r="J34" s="56">
        <f t="shared" si="18"/>
        <v>1.25</v>
      </c>
      <c r="K34" s="56">
        <f t="shared" si="19"/>
        <v>1</v>
      </c>
      <c r="L34" s="56">
        <f t="shared" si="20"/>
        <v>60000</v>
      </c>
      <c r="M34" s="60">
        <f t="shared" si="21"/>
        <v>60000</v>
      </c>
    </row>
    <row r="35" spans="1:13" ht="30" x14ac:dyDescent="0.25">
      <c r="C35" t="str">
        <f t="shared" si="14"/>
        <v>FA1300079</v>
      </c>
      <c r="D35" s="28" t="str">
        <f t="shared" si="15"/>
        <v>3 CORE X 185 SQ. MM AL/ARM - WIRE (XLPE) - 33 KV</v>
      </c>
      <c r="E35" s="56">
        <f t="shared" si="16"/>
        <v>1</v>
      </c>
      <c r="F35" s="58">
        <f t="shared" si="17"/>
        <v>0.25</v>
      </c>
      <c r="G35" s="56" t="s">
        <v>218</v>
      </c>
      <c r="H35" s="59">
        <v>60000</v>
      </c>
      <c r="I35" s="58">
        <v>6</v>
      </c>
      <c r="J35" s="56">
        <f t="shared" si="18"/>
        <v>1.5</v>
      </c>
      <c r="K35" s="56">
        <f t="shared" si="19"/>
        <v>1</v>
      </c>
      <c r="L35" s="56">
        <f t="shared" si="20"/>
        <v>60000</v>
      </c>
      <c r="M35" s="60">
        <f t="shared" si="21"/>
        <v>60000</v>
      </c>
    </row>
    <row r="36" spans="1:13" ht="30" x14ac:dyDescent="0.25">
      <c r="C36" t="str">
        <f t="shared" si="14"/>
        <v>FA1300200</v>
      </c>
      <c r="D36" s="28" t="str">
        <f t="shared" si="15"/>
        <v>3 CORE X 95 SQ. MM. AL/ARM  WIRE (XLPE) - 33 KV</v>
      </c>
      <c r="E36" s="56">
        <f t="shared" si="16"/>
        <v>3</v>
      </c>
      <c r="F36" s="58">
        <f t="shared" si="17"/>
        <v>0.25</v>
      </c>
      <c r="G36" s="56" t="s">
        <v>218</v>
      </c>
      <c r="H36" s="59">
        <v>60000</v>
      </c>
      <c r="I36" s="58">
        <v>8</v>
      </c>
      <c r="J36" s="56">
        <f t="shared" si="18"/>
        <v>2</v>
      </c>
      <c r="K36" s="56">
        <f t="shared" si="19"/>
        <v>2</v>
      </c>
      <c r="L36" s="56">
        <f t="shared" si="20"/>
        <v>120000</v>
      </c>
      <c r="M36" s="60">
        <f t="shared" si="21"/>
        <v>40000</v>
      </c>
    </row>
    <row r="37" spans="1:13" ht="30" x14ac:dyDescent="0.25">
      <c r="C37" t="str">
        <f t="shared" si="14"/>
        <v>FA1300120</v>
      </c>
      <c r="D37" s="28" t="str">
        <f t="shared" si="15"/>
        <v>3 CORE X 70 SQ. MM. AL/ARM - WIRE (XLPE) - 33 KV</v>
      </c>
      <c r="E37" s="56">
        <f t="shared" si="16"/>
        <v>1</v>
      </c>
      <c r="F37" s="58">
        <f t="shared" si="17"/>
        <v>0.25</v>
      </c>
      <c r="G37" s="56" t="s">
        <v>218</v>
      </c>
      <c r="H37" s="59">
        <v>60000</v>
      </c>
      <c r="I37" s="58">
        <v>8</v>
      </c>
      <c r="J37" s="56">
        <f t="shared" si="18"/>
        <v>2</v>
      </c>
      <c r="K37" s="56">
        <f t="shared" si="19"/>
        <v>1</v>
      </c>
      <c r="L37" s="56">
        <f t="shared" si="20"/>
        <v>60000</v>
      </c>
      <c r="M37" s="60">
        <f t="shared" si="21"/>
        <v>60000</v>
      </c>
    </row>
    <row r="38" spans="1:13" ht="30" x14ac:dyDescent="0.25">
      <c r="C38" t="str">
        <f t="shared" si="14"/>
        <v>FA1300022</v>
      </c>
      <c r="D38" s="28" t="str">
        <f t="shared" si="15"/>
        <v>3 CORE X 50 SQ. MM. AL/ARD - WIRE (XLPE) - 33 KV (E)</v>
      </c>
      <c r="E38" s="56">
        <f t="shared" si="16"/>
        <v>1</v>
      </c>
      <c r="F38" s="58">
        <f t="shared" si="17"/>
        <v>0.25</v>
      </c>
      <c r="G38" s="56" t="s">
        <v>218</v>
      </c>
      <c r="H38" s="59">
        <v>60000</v>
      </c>
      <c r="I38" s="58">
        <v>10</v>
      </c>
      <c r="J38" s="56">
        <f t="shared" si="18"/>
        <v>2.5</v>
      </c>
      <c r="K38" s="56">
        <f t="shared" si="19"/>
        <v>1</v>
      </c>
      <c r="L38" s="56">
        <f t="shared" si="20"/>
        <v>60000</v>
      </c>
      <c r="M38" s="60">
        <f t="shared" si="21"/>
        <v>60000</v>
      </c>
    </row>
    <row r="39" spans="1:13" ht="30" x14ac:dyDescent="0.25">
      <c r="C39" t="str">
        <f t="shared" si="14"/>
        <v>FA1300297</v>
      </c>
      <c r="D39" s="28" t="str">
        <f t="shared" si="15"/>
        <v>3 CORE X 35 SQ. MM. AL/ARM - WIRE (XLPE) - 33 KV (E)</v>
      </c>
      <c r="E39" s="56">
        <f t="shared" si="16"/>
        <v>1</v>
      </c>
      <c r="F39" s="58">
        <f t="shared" si="17"/>
        <v>0.25</v>
      </c>
      <c r="G39" s="56" t="s">
        <v>218</v>
      </c>
      <c r="H39" s="59">
        <v>60000</v>
      </c>
      <c r="I39" s="58">
        <v>10</v>
      </c>
      <c r="J39" s="56">
        <f t="shared" si="18"/>
        <v>2.5</v>
      </c>
      <c r="K39" s="56">
        <f t="shared" si="19"/>
        <v>1</v>
      </c>
      <c r="L39" s="56">
        <f t="shared" si="20"/>
        <v>60000</v>
      </c>
      <c r="M39" s="60">
        <f t="shared" si="21"/>
        <v>60000</v>
      </c>
    </row>
    <row r="40" spans="1:13" ht="30" x14ac:dyDescent="0.25">
      <c r="C40" t="str">
        <f t="shared" si="14"/>
        <v>FA1300027</v>
      </c>
      <c r="D40" s="28" t="str">
        <f t="shared" si="15"/>
        <v>1 CORE X 630 SQ. MM. AL/ARM (XLPE)  - 33 KV</v>
      </c>
      <c r="E40" s="56">
        <f t="shared" si="16"/>
        <v>115</v>
      </c>
      <c r="F40" s="58">
        <f t="shared" si="17"/>
        <v>0.5</v>
      </c>
      <c r="G40" s="56" t="s">
        <v>218</v>
      </c>
      <c r="H40" s="59">
        <v>60000</v>
      </c>
      <c r="I40" s="58">
        <v>8</v>
      </c>
      <c r="J40" s="56">
        <f t="shared" si="18"/>
        <v>4</v>
      </c>
      <c r="K40" s="56">
        <f t="shared" si="19"/>
        <v>29</v>
      </c>
      <c r="L40" s="56">
        <f t="shared" si="20"/>
        <v>1740000</v>
      </c>
      <c r="M40" s="60">
        <f t="shared" si="21"/>
        <v>15130.434782608696</v>
      </c>
    </row>
    <row r="41" spans="1:13" ht="30" x14ac:dyDescent="0.25">
      <c r="C41" t="str">
        <f t="shared" si="14"/>
        <v>FA1300018</v>
      </c>
      <c r="D41" s="28" t="str">
        <f t="shared" si="15"/>
        <v>1 CORE X 400 SQ. MM. AL/ARM (XLPE) - 33 KV</v>
      </c>
      <c r="E41" s="56">
        <f t="shared" si="16"/>
        <v>9.0500000000000007</v>
      </c>
      <c r="F41" s="58">
        <f t="shared" si="17"/>
        <v>0.5</v>
      </c>
      <c r="G41" s="56" t="s">
        <v>218</v>
      </c>
      <c r="H41" s="59">
        <v>60000</v>
      </c>
      <c r="I41" s="58">
        <v>8</v>
      </c>
      <c r="J41" s="56">
        <f t="shared" si="18"/>
        <v>4</v>
      </c>
      <c r="K41" s="56">
        <f t="shared" si="19"/>
        <v>3</v>
      </c>
      <c r="L41" s="56">
        <f t="shared" si="20"/>
        <v>180000</v>
      </c>
      <c r="M41" s="60">
        <f t="shared" si="21"/>
        <v>19889.502762430937</v>
      </c>
    </row>
    <row r="42" spans="1:13" ht="30" x14ac:dyDescent="0.25">
      <c r="C42" t="str">
        <f t="shared" si="14"/>
        <v>FA1300019</v>
      </c>
      <c r="D42" s="28" t="str">
        <f t="shared" si="15"/>
        <v>1 CORE X 300 SQ. MM. AL/ARM (XLPE)  - 33 KV</v>
      </c>
      <c r="E42" s="56">
        <f t="shared" si="16"/>
        <v>3</v>
      </c>
      <c r="F42" s="58">
        <f t="shared" si="17"/>
        <v>0.5</v>
      </c>
      <c r="G42" s="56" t="s">
        <v>218</v>
      </c>
      <c r="H42" s="59">
        <v>60000</v>
      </c>
      <c r="I42" s="58">
        <v>8</v>
      </c>
      <c r="J42" s="56">
        <f t="shared" si="18"/>
        <v>4</v>
      </c>
      <c r="K42" s="56">
        <f t="shared" si="19"/>
        <v>1</v>
      </c>
      <c r="L42" s="56">
        <f t="shared" si="20"/>
        <v>60000</v>
      </c>
      <c r="M42" s="60">
        <f t="shared" si="21"/>
        <v>20000</v>
      </c>
    </row>
    <row r="43" spans="1:13" x14ac:dyDescent="0.25">
      <c r="I43" t="s">
        <v>232</v>
      </c>
    </row>
    <row r="46" spans="1:13" ht="51" x14ac:dyDescent="0.25">
      <c r="A46" s="20" t="s">
        <v>0</v>
      </c>
      <c r="B46" s="20" t="s">
        <v>135</v>
      </c>
      <c r="C46" s="20" t="s">
        <v>1</v>
      </c>
      <c r="D46" s="20" t="s">
        <v>2</v>
      </c>
      <c r="E46" s="5" t="s">
        <v>223</v>
      </c>
      <c r="F46" s="13" t="s">
        <v>224</v>
      </c>
      <c r="G46" s="13" t="s">
        <v>225</v>
      </c>
      <c r="H46" s="6" t="s">
        <v>73</v>
      </c>
      <c r="I46" s="13" t="s">
        <v>74</v>
      </c>
      <c r="J46" s="13" t="s">
        <v>226</v>
      </c>
      <c r="K46" s="13" t="s">
        <v>76</v>
      </c>
      <c r="L46" s="13" t="s">
        <v>77</v>
      </c>
      <c r="M46" s="13" t="s">
        <v>78</v>
      </c>
    </row>
    <row r="47" spans="1:13" x14ac:dyDescent="0.25">
      <c r="A47" s="29"/>
      <c r="B47" s="29"/>
      <c r="C47" s="29"/>
      <c r="D47" s="29"/>
      <c r="E47" s="5"/>
      <c r="F47" s="5"/>
      <c r="G47" s="5"/>
      <c r="H47" s="5"/>
      <c r="I47" s="5"/>
      <c r="J47" s="5"/>
      <c r="K47" s="5"/>
      <c r="L47" s="5"/>
      <c r="M47" s="5"/>
    </row>
    <row r="48" spans="1:13" ht="30" x14ac:dyDescent="0.25">
      <c r="A48" s="1" t="str">
        <f>A19</f>
        <v>ENQ-12172-22-23</v>
      </c>
      <c r="B48" s="49">
        <f>B19</f>
        <v>45329</v>
      </c>
      <c r="C48" s="1" t="str">
        <f>C19</f>
        <v>FA1300080</v>
      </c>
      <c r="D48" s="1" t="str">
        <f>D19</f>
        <v>3 CORE X 400 SQ. MM AL/ARM - WIRE (XLPE) - 33 KV</v>
      </c>
      <c r="E48" s="3">
        <f>ROUNDUP(E19/1000,2)</f>
        <v>3395.0200000000004</v>
      </c>
      <c r="F48" s="65">
        <f>ROUNDUP(F19/1000,2)</f>
        <v>48.32</v>
      </c>
      <c r="G48" s="9">
        <f t="shared" ref="G48:G58" si="22">E48+F48</f>
        <v>3443.3400000000006</v>
      </c>
      <c r="H48" s="7">
        <v>0.18</v>
      </c>
      <c r="I48" s="9">
        <f t="shared" ref="I48:I58" si="23">ROUNDUP(G48*H48,2)</f>
        <v>619.80999999999995</v>
      </c>
      <c r="J48" s="9">
        <f t="shared" ref="J48:J58" si="24">ROUNDUP(G48+I48,2)</f>
        <v>4063.15</v>
      </c>
      <c r="K48" s="1">
        <f>K19*1000</f>
        <v>77000</v>
      </c>
      <c r="L48" s="1" t="s">
        <v>227</v>
      </c>
      <c r="M48" s="3">
        <f t="shared" ref="M48:M58" si="25">J48*K48</f>
        <v>312862550</v>
      </c>
    </row>
    <row r="49" spans="1:13" ht="30" x14ac:dyDescent="0.25">
      <c r="A49" s="1" t="str">
        <f t="shared" ref="A49:D49" si="26">A20</f>
        <v>ENQ-12172-22-23</v>
      </c>
      <c r="B49" s="49">
        <f t="shared" si="26"/>
        <v>45329</v>
      </c>
      <c r="C49" s="1" t="str">
        <f t="shared" si="26"/>
        <v>FA1300081</v>
      </c>
      <c r="D49" s="1" t="str">
        <f t="shared" si="26"/>
        <v>3 CORE X 300 SQ. MM. AL/ARM - WIRE (XLPE) - 33 KV</v>
      </c>
      <c r="E49" s="3">
        <f t="shared" ref="E49:F58" si="27">ROUNDUP(E20/1000,2)</f>
        <v>2957.98</v>
      </c>
      <c r="F49" s="65">
        <f t="shared" si="27"/>
        <v>49.65</v>
      </c>
      <c r="G49" s="9">
        <f t="shared" si="22"/>
        <v>3007.63</v>
      </c>
      <c r="H49" s="7">
        <v>0.18</v>
      </c>
      <c r="I49" s="9">
        <f t="shared" si="23"/>
        <v>541.38</v>
      </c>
      <c r="J49" s="9">
        <f t="shared" si="24"/>
        <v>3549.01</v>
      </c>
      <c r="K49" s="1">
        <f t="shared" ref="K49:K58" si="28">K20*1000</f>
        <v>16920</v>
      </c>
      <c r="L49" s="1" t="s">
        <v>227</v>
      </c>
      <c r="M49" s="3">
        <f t="shared" si="25"/>
        <v>60049249.200000003</v>
      </c>
    </row>
    <row r="50" spans="1:13" ht="30" x14ac:dyDescent="0.25">
      <c r="A50" s="1" t="str">
        <f t="shared" ref="A50:D50" si="29">A21</f>
        <v>ENQ-12172-22-23</v>
      </c>
      <c r="B50" s="49">
        <f t="shared" si="29"/>
        <v>45329</v>
      </c>
      <c r="C50" s="1" t="str">
        <f t="shared" si="29"/>
        <v>FA1300201</v>
      </c>
      <c r="D50" s="1" t="str">
        <f t="shared" si="29"/>
        <v>3 CORE X 240 SQ. MM. AL/ARM - WIRE (XLPE) - 33 KV</v>
      </c>
      <c r="E50" s="3">
        <f t="shared" si="27"/>
        <v>2674.17</v>
      </c>
      <c r="F50" s="65">
        <f t="shared" si="27"/>
        <v>60</v>
      </c>
      <c r="G50" s="9">
        <f t="shared" si="22"/>
        <v>2734.17</v>
      </c>
      <c r="H50" s="7">
        <v>0.18</v>
      </c>
      <c r="I50" s="9">
        <f t="shared" si="23"/>
        <v>492.15999999999997</v>
      </c>
      <c r="J50" s="9">
        <f t="shared" si="24"/>
        <v>3226.33</v>
      </c>
      <c r="K50" s="1">
        <f t="shared" si="28"/>
        <v>1000</v>
      </c>
      <c r="L50" s="1" t="s">
        <v>227</v>
      </c>
      <c r="M50" s="3">
        <f t="shared" si="25"/>
        <v>3226330</v>
      </c>
    </row>
    <row r="51" spans="1:13" ht="30" x14ac:dyDescent="0.25">
      <c r="A51" s="1" t="str">
        <f t="shared" ref="A51:D51" si="30">A22</f>
        <v>ENQ-12172-22-23</v>
      </c>
      <c r="B51" s="49">
        <f t="shared" si="30"/>
        <v>45329</v>
      </c>
      <c r="C51" s="1" t="str">
        <f t="shared" si="30"/>
        <v>FA1300079</v>
      </c>
      <c r="D51" s="1" t="str">
        <f t="shared" si="30"/>
        <v>3 CORE X 185 SQ. MM AL/ARM - WIRE (XLPE) - 33 KV</v>
      </c>
      <c r="E51" s="3">
        <f t="shared" si="27"/>
        <v>2463.59</v>
      </c>
      <c r="F51" s="65">
        <f t="shared" si="27"/>
        <v>60</v>
      </c>
      <c r="G51" s="9">
        <f t="shared" si="22"/>
        <v>2523.59</v>
      </c>
      <c r="H51" s="7">
        <v>0.18</v>
      </c>
      <c r="I51" s="9">
        <f t="shared" si="23"/>
        <v>454.25</v>
      </c>
      <c r="J51" s="9">
        <f t="shared" si="24"/>
        <v>2977.84</v>
      </c>
      <c r="K51" s="1">
        <f t="shared" si="28"/>
        <v>1000</v>
      </c>
      <c r="L51" s="1" t="s">
        <v>227</v>
      </c>
      <c r="M51" s="3">
        <f t="shared" si="25"/>
        <v>2977840</v>
      </c>
    </row>
    <row r="52" spans="1:13" ht="30" x14ac:dyDescent="0.25">
      <c r="A52" s="1" t="str">
        <f t="shared" ref="A52:D52" si="31">A23</f>
        <v>ENQ-12172-22-23</v>
      </c>
      <c r="B52" s="49">
        <f t="shared" si="31"/>
        <v>45329</v>
      </c>
      <c r="C52" s="1" t="str">
        <f t="shared" si="31"/>
        <v>FA1300200</v>
      </c>
      <c r="D52" s="1" t="str">
        <f t="shared" si="31"/>
        <v>3 CORE X 95 SQ. MM. AL/ARM  WIRE (XLPE) - 33 KV</v>
      </c>
      <c r="E52" s="3">
        <f t="shared" si="27"/>
        <v>1798.34</v>
      </c>
      <c r="F52" s="65">
        <f t="shared" si="27"/>
        <v>40</v>
      </c>
      <c r="G52" s="9">
        <f t="shared" si="22"/>
        <v>1838.34</v>
      </c>
      <c r="H52" s="7">
        <v>0.18</v>
      </c>
      <c r="I52" s="9">
        <f t="shared" si="23"/>
        <v>330.90999999999997</v>
      </c>
      <c r="J52" s="9">
        <f t="shared" si="24"/>
        <v>2169.25</v>
      </c>
      <c r="K52" s="1">
        <f t="shared" si="28"/>
        <v>3000</v>
      </c>
      <c r="L52" s="1" t="s">
        <v>227</v>
      </c>
      <c r="M52" s="3">
        <f t="shared" si="25"/>
        <v>6507750</v>
      </c>
    </row>
    <row r="53" spans="1:13" ht="30" x14ac:dyDescent="0.25">
      <c r="A53" s="1" t="str">
        <f t="shared" ref="A53:D53" si="32">A24</f>
        <v>ENQ-12172-22-23</v>
      </c>
      <c r="B53" s="49">
        <f t="shared" si="32"/>
        <v>45329</v>
      </c>
      <c r="C53" s="1" t="str">
        <f t="shared" si="32"/>
        <v>FA1300120</v>
      </c>
      <c r="D53" s="1" t="str">
        <f t="shared" si="32"/>
        <v>3 CORE X 70 SQ. MM. AL/ARM - WIRE (XLPE) - 33 KV</v>
      </c>
      <c r="E53" s="3">
        <f t="shared" si="27"/>
        <v>1651.72</v>
      </c>
      <c r="F53" s="65">
        <f t="shared" si="27"/>
        <v>60</v>
      </c>
      <c r="G53" s="9">
        <f t="shared" si="22"/>
        <v>1711.72</v>
      </c>
      <c r="H53" s="7">
        <v>0.18</v>
      </c>
      <c r="I53" s="9">
        <f t="shared" si="23"/>
        <v>308.11</v>
      </c>
      <c r="J53" s="9">
        <f t="shared" si="24"/>
        <v>2019.83</v>
      </c>
      <c r="K53" s="1">
        <f t="shared" si="28"/>
        <v>1000</v>
      </c>
      <c r="L53" s="1" t="s">
        <v>227</v>
      </c>
      <c r="M53" s="3">
        <f t="shared" si="25"/>
        <v>2019830</v>
      </c>
    </row>
    <row r="54" spans="1:13" ht="30" x14ac:dyDescent="0.25">
      <c r="A54" s="1" t="str">
        <f t="shared" ref="A54:D54" si="33">A25</f>
        <v>ENQ-12172-22-23</v>
      </c>
      <c r="B54" s="49">
        <f t="shared" si="33"/>
        <v>45329</v>
      </c>
      <c r="C54" s="1" t="str">
        <f t="shared" si="33"/>
        <v>FA1300022</v>
      </c>
      <c r="D54" s="1" t="str">
        <f t="shared" si="33"/>
        <v>3 CORE X 50 SQ. MM. AL/ARD - WIRE (XLPE) - 33 KV (E)</v>
      </c>
      <c r="E54" s="3">
        <f t="shared" si="27"/>
        <v>1454.24</v>
      </c>
      <c r="F54" s="65">
        <f t="shared" si="27"/>
        <v>60</v>
      </c>
      <c r="G54" s="9">
        <f t="shared" si="22"/>
        <v>1514.24</v>
      </c>
      <c r="H54" s="7">
        <v>0.18</v>
      </c>
      <c r="I54" s="9">
        <f t="shared" si="23"/>
        <v>272.57</v>
      </c>
      <c r="J54" s="9">
        <f t="shared" si="24"/>
        <v>1786.81</v>
      </c>
      <c r="K54" s="1">
        <f t="shared" si="28"/>
        <v>1000</v>
      </c>
      <c r="L54" s="1" t="s">
        <v>227</v>
      </c>
      <c r="M54" s="3">
        <f t="shared" si="25"/>
        <v>1786810</v>
      </c>
    </row>
    <row r="55" spans="1:13" ht="30" x14ac:dyDescent="0.25">
      <c r="A55" s="1" t="str">
        <f t="shared" ref="A55:D55" si="34">A26</f>
        <v>ENQ-12172-22-23</v>
      </c>
      <c r="B55" s="49">
        <f t="shared" si="34"/>
        <v>45329</v>
      </c>
      <c r="C55" s="1" t="str">
        <f t="shared" si="34"/>
        <v>FA1300297</v>
      </c>
      <c r="D55" s="1" t="str">
        <f t="shared" si="34"/>
        <v>3 CORE X 35 SQ. MM. AL/ARM - WIRE (XLPE) - 33 KV (E)</v>
      </c>
      <c r="E55" s="3">
        <f t="shared" si="27"/>
        <v>1454.24</v>
      </c>
      <c r="F55" s="65">
        <f t="shared" si="27"/>
        <v>60</v>
      </c>
      <c r="G55" s="9">
        <f t="shared" si="22"/>
        <v>1514.24</v>
      </c>
      <c r="H55" s="7">
        <v>0.18</v>
      </c>
      <c r="I55" s="9">
        <f t="shared" si="23"/>
        <v>272.57</v>
      </c>
      <c r="J55" s="9">
        <f t="shared" si="24"/>
        <v>1786.81</v>
      </c>
      <c r="K55" s="1">
        <f t="shared" si="28"/>
        <v>1000</v>
      </c>
      <c r="L55" s="1" t="s">
        <v>227</v>
      </c>
      <c r="M55" s="3">
        <f t="shared" si="25"/>
        <v>1786810</v>
      </c>
    </row>
    <row r="56" spans="1:13" ht="30" x14ac:dyDescent="0.25">
      <c r="A56" s="1" t="str">
        <f t="shared" ref="A56:D56" si="35">A27</f>
        <v>ENQ-12172-22-23</v>
      </c>
      <c r="B56" s="49">
        <f t="shared" si="35"/>
        <v>45329</v>
      </c>
      <c r="C56" s="1" t="str">
        <f t="shared" si="35"/>
        <v>FA1300027</v>
      </c>
      <c r="D56" s="1" t="str">
        <f t="shared" si="35"/>
        <v>1 CORE X 630 SQ. MM. AL/ARM (XLPE)  - 33 KV</v>
      </c>
      <c r="E56" s="3">
        <f t="shared" si="27"/>
        <v>1257.57</v>
      </c>
      <c r="F56" s="65">
        <f t="shared" si="27"/>
        <v>15.14</v>
      </c>
      <c r="G56" s="9">
        <f t="shared" si="22"/>
        <v>1272.71</v>
      </c>
      <c r="H56" s="7">
        <v>0.18</v>
      </c>
      <c r="I56" s="9">
        <f t="shared" si="23"/>
        <v>229.09</v>
      </c>
      <c r="J56" s="9">
        <f t="shared" si="24"/>
        <v>1501.8</v>
      </c>
      <c r="K56" s="1">
        <f t="shared" si="28"/>
        <v>115000</v>
      </c>
      <c r="L56" s="1" t="s">
        <v>227</v>
      </c>
      <c r="M56" s="3">
        <f t="shared" si="25"/>
        <v>172707000</v>
      </c>
    </row>
    <row r="57" spans="1:13" ht="30" x14ac:dyDescent="0.25">
      <c r="A57" s="1" t="str">
        <f t="shared" ref="A57:D57" si="36">A28</f>
        <v>ENQ-12172-22-23</v>
      </c>
      <c r="B57" s="49">
        <f t="shared" si="36"/>
        <v>45329</v>
      </c>
      <c r="C57" s="1" t="str">
        <f t="shared" si="36"/>
        <v>FA1300018</v>
      </c>
      <c r="D57" s="1" t="str">
        <f t="shared" si="36"/>
        <v>1 CORE X 400 SQ. MM. AL/ARM (XLPE) - 33 KV</v>
      </c>
      <c r="E57" s="3">
        <f t="shared" si="27"/>
        <v>960.56999999999994</v>
      </c>
      <c r="F57" s="65">
        <f t="shared" si="27"/>
        <v>19.89</v>
      </c>
      <c r="G57" s="9">
        <f t="shared" si="22"/>
        <v>980.45999999999992</v>
      </c>
      <c r="H57" s="7">
        <v>0.18</v>
      </c>
      <c r="I57" s="9">
        <f t="shared" si="23"/>
        <v>176.48999999999998</v>
      </c>
      <c r="J57" s="9">
        <f t="shared" si="24"/>
        <v>1156.95</v>
      </c>
      <c r="K57" s="1">
        <f t="shared" si="28"/>
        <v>9050</v>
      </c>
      <c r="L57" s="1" t="s">
        <v>227</v>
      </c>
      <c r="M57" s="3">
        <f t="shared" si="25"/>
        <v>10470397.5</v>
      </c>
    </row>
    <row r="58" spans="1:13" ht="30" x14ac:dyDescent="0.25">
      <c r="A58" s="1" t="str">
        <f t="shared" ref="A58:D58" si="37">A29</f>
        <v>ENQ-12172-22-23</v>
      </c>
      <c r="B58" s="49">
        <f t="shared" si="37"/>
        <v>45329</v>
      </c>
      <c r="C58" s="1" t="str">
        <f t="shared" si="37"/>
        <v>FA1300019</v>
      </c>
      <c r="D58" s="1" t="str">
        <f t="shared" si="37"/>
        <v>1 CORE X 300 SQ. MM. AL/ARM (XLPE)  - 33 KV</v>
      </c>
      <c r="E58" s="3">
        <f t="shared" si="27"/>
        <v>839.95</v>
      </c>
      <c r="F58" s="65">
        <f t="shared" si="27"/>
        <v>20</v>
      </c>
      <c r="G58" s="9">
        <f t="shared" si="22"/>
        <v>859.95</v>
      </c>
      <c r="H58" s="7">
        <v>0.18</v>
      </c>
      <c r="I58" s="9">
        <f t="shared" si="23"/>
        <v>154.79999999999998</v>
      </c>
      <c r="J58" s="9">
        <f t="shared" si="24"/>
        <v>1014.75</v>
      </c>
      <c r="K58" s="1">
        <f t="shared" si="28"/>
        <v>3000</v>
      </c>
      <c r="L58" s="1" t="s">
        <v>227</v>
      </c>
      <c r="M58" s="3">
        <f t="shared" si="25"/>
        <v>3044250</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2024-02-07T09:45:23Z</dcterms:modified>
</cp:coreProperties>
</file>