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3-24\01_JANUARY 2024\RVNL-AAAC&amp;ACSR-11949\"/>
    </mc:Choice>
  </mc:AlternateContent>
  <xr:revisionPtr revIDLastSave="0" documentId="13_ncr:1_{9963A937-5720-40A3-91A3-A9E4E56F4E2D}" xr6:coauthVersionLast="47" xr6:coauthVersionMax="47" xr10:uidLastSave="{00000000-0000-0000-0000-000000000000}"/>
  <bookViews>
    <workbookView xWindow="0" yWindow="3510" windowWidth="28800" windowHeight="9480" activeTab="1" xr2:uid="{00000000-000D-0000-FFFF-FFFF00000000}"/>
  </bookViews>
  <sheets>
    <sheet name="Sheet1" sheetId="1" r:id="rId1"/>
    <sheet name="AUTO CALCULATION SHEET (2)" sheetId="4" r:id="rId2"/>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4" l="1"/>
  <c r="I32" i="4" l="1"/>
  <c r="I31" i="4"/>
  <c r="I29" i="4"/>
  <c r="I28" i="4"/>
  <c r="I27" i="4"/>
  <c r="D24" i="4" l="1"/>
  <c r="E24" i="4"/>
  <c r="F24" i="4"/>
  <c r="J24" i="4"/>
  <c r="K24" i="4" s="1"/>
  <c r="M24" i="4" s="1"/>
  <c r="F23" i="4"/>
  <c r="J23" i="4" s="1"/>
  <c r="E23" i="4"/>
  <c r="D23" i="4"/>
  <c r="L24" i="4" l="1"/>
  <c r="F20" i="4"/>
  <c r="K23" i="4"/>
  <c r="M23" i="4" s="1"/>
  <c r="BZ19" i="4"/>
  <c r="BZ20" i="4"/>
  <c r="BY17" i="4"/>
  <c r="H19" i="4"/>
  <c r="H20" i="4"/>
  <c r="L23" i="4" l="1"/>
  <c r="F19" i="4"/>
  <c r="A20" i="4"/>
  <c r="C20" i="4"/>
  <c r="D20" i="4"/>
  <c r="K20" i="4"/>
  <c r="L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CB20" i="4"/>
  <c r="BX17" i="4" l="1"/>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R18" i="4"/>
  <c r="AR19" i="4"/>
  <c r="AQ19" i="4"/>
  <c r="AP19" i="4"/>
  <c r="AO19" i="4"/>
  <c r="AN19" i="4"/>
  <c r="AM19" i="4"/>
  <c r="AL19" i="4"/>
  <c r="AQ18" i="4"/>
  <c r="AP18" i="4"/>
  <c r="AO18" i="4"/>
  <c r="AN18" i="4"/>
  <c r="AM18" i="4"/>
  <c r="AL18" i="4"/>
  <c r="AK18"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N19" i="4"/>
  <c r="R19" i="4"/>
  <c r="Q19" i="4"/>
  <c r="P19" i="4"/>
  <c r="O19" i="4"/>
  <c r="N16" i="4"/>
  <c r="L19" i="4"/>
  <c r="K19" i="4"/>
  <c r="CB19" i="4"/>
  <c r="D19" i="4"/>
  <c r="C19" i="4"/>
  <c r="A19" i="4"/>
  <c r="CA20" i="4" l="1"/>
  <c r="CA19" i="4"/>
  <c r="CE20" i="4" l="1"/>
  <c r="CG20" i="4"/>
  <c r="CC20" i="4"/>
  <c r="CC19" i="4"/>
  <c r="CE19" i="4"/>
  <c r="CG19" i="4"/>
  <c r="CH20" i="4" l="1"/>
  <c r="CJ20" i="4" s="1"/>
  <c r="CH19" i="4"/>
  <c r="CL20" i="4" l="1"/>
  <c r="E20" i="4" s="1"/>
  <c r="G20" i="4" s="1"/>
  <c r="I20" i="4" s="1"/>
  <c r="J20" i="4" s="1"/>
  <c r="M20" i="4" s="1"/>
  <c r="CJ19" i="4"/>
  <c r="CL19" i="4"/>
  <c r="E19" i="4" l="1"/>
  <c r="G19" i="4" l="1"/>
  <c r="I19" i="4" s="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2" authorId="0" shapeId="0" xr:uid="{6B90D8D0-A729-4BC9-85B7-846C40B2A7F8}">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<sst xmlns="http://schemas.openxmlformats.org/spreadsheetml/2006/main" count="259" uniqueCount="196">
  <si>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</si>
  <si>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</si>
  <si>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</si>
  <si>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</si>
  <si>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</si>
  <si>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</si>
  <si>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</si>
  <si>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</si>
  <si>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</si>
  <si>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</si>
  <si>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</si>
  <si>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</si>
  <si>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</si>
  <si>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</si>
  <si>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</si>
  <si>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</si>
  <si>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</si>
  <si>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</si>
  <si>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</si>
  <si>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</si>
  <si>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</si>
  <si>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</si>
  <si>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</si>
  <si>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</si>
  <si>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</si>
  <si>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</si>
  <si>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</si>
  <si>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</si>
  <si>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</si>
  <si>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</si>
  <si>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</si>
  <si>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</si>
  <si>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</si>
  <si>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</si>
  <si>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</si>
  <si>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</si>
  <si>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</si>
  <si>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</si>
  <si>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</si>
  <si>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</si>
  <si>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</si>
  <si>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</si>
  <si>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</si>
  <si>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</si>
  <si>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</si>
  <si>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</si>
  <si>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</si>
  <si>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</si>
  <si>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</si>
  <si>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</si>
  <si>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</si>
  <si>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</si>
  <si>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</si>
  <si>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</si>
  <si>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</si>
  <si>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</si>
  <si>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</si>
  <si>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</si>
  <si>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</si>
  <si>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</si>
  <si>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</si>
  <si>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</si>
  <si>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</si>
  <si>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</si>
  <si>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</si>
  <si>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</si>
  <si>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</si>
  <si>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</si>
  <si>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</si>
  <si>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</si>
  <si>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</si>
  <si>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</si>
  <si>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</si>
  <si>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</si>
  <si>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</si>
  <si>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</si>
  <si>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</si>
  <si>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</si>
  <si>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</si>
  <si>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</si>
  <si>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</si>
  <si>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</si>
  <si>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</si>
  <si>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</si>
  <si>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</si>
  <si>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</si>
  <si>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</si>
  <si>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</si>
  <si>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</si>
  <si>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</si>
  <si>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</si>
  <si>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</si>
  <si>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</si>
  <si>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</si>
  <si>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</si>
  <si>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</si>
  <si>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</si>
  <si>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</si>
  <si>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</si>
  <si>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</si>
  <si>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</si>
  <si>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</si>
  <si>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</si>
  <si>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</si>
  <si>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</si>
  <si>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</si>
  <si>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</si>
  <si>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</si>
  <si>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</si>
  <si>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</si>
  <si>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</si>
  <si>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</si>
  <si>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</si>
  <si>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</si>
  <si>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</si>
  <si>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</si>
  <si>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</si>
  <si>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</si>
  <si>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</si>
  <si>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</si>
  <si>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</si>
  <si>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</si>
  <si>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</si>
  <si>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</si>
  <si>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</si>
  <si>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</si>
  <si>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</si>
  <si>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</si>
  <si>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</si>
  <si>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</si>
  <si>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</si>
  <si>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</si>
  <si>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</si>
  <si>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</si>
  <si>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</si>
  <si>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</si>
  <si>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</si>
  <si>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</si>
  <si>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</si>
  <si>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RAIL VIKAS NIGAM LIMITED</t>
  </si>
  <si>
    <t>Not Mention.</t>
  </si>
  <si>
    <t>The bid must be valid up to 45 days from the date of opening of bids.</t>
  </si>
  <si>
    <t>Advance: Payment of 20% Advance of the Base Order Value (without GST) on the Basis of CORPORATE GUARANTEE (From-CG), un-dated A/C PAYEE cheque in favour of "RAIL VAKIS NIGAM LIMITED" equivalent to advance payment along with Form - AFFIDAVIT - 2. would be made after manufacturing clearance.
Un-dated Cheque &amp; Affidavit - 2 will be relaesed after completion of total supply.
On Delivery: Payment of 78% Balance of the Supplied material will be released after recipt of ,aterials at F.O.R Destination through RTGS/NEFT or suitable payment mode within 07 (Seven) working  Days.</t>
  </si>
  <si>
    <t>The standrad length of the conductor shall be 2000 meters.</t>
  </si>
  <si>
    <t>RVNL/B/E/RDSS/MPPK/Pkg-17/MAT/SLT/CONDUCTORS</t>
  </si>
  <si>
    <t>Manufacturing &amp; Supply of Conductor AAAC RABIT, ACSR PANTHER as per relevant IS and as per Specifications of M.P Poorv Kshetra V.V. Co. Ltd.</t>
  </si>
  <si>
    <t xml:space="preserve">12-01-2024 (Friday) up to 11:00 Hrs. </t>
  </si>
  <si>
    <t>The price is firm on F.O.R Destination Basis to supply at our Store at Narsinghpur.</t>
  </si>
  <si>
    <t>12 Months for Complete Order.
The dispatch of complete of each lot shall be made within 45 days of the manufacturing clearance.</t>
  </si>
  <si>
    <t>The conductor shall be supplied in non-returnable strong wooden drums provided with lagging of adequate strength, constructed to protectthe conductor against any damage and displacement during transit storage and subsequent handling and stringing operations in the field.</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</si>
  <si>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</si>
  <si>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</si>
  <si>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</si>
  <si>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</si>
  <si>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</si>
  <si>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</si>
  <si>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</si>
  <si>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</si>
  <si>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</si>
  <si>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</si>
  <si>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</si>
  <si>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</si>
  <si>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</si>
  <si>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</si>
  <si>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</si>
  <si>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</si>
  <si>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</si>
  <si>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</si>
  <si>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</si>
  <si>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ENQ-11949-22-23</t>
  </si>
  <si>
    <t>FC3700003</t>
  </si>
  <si>
    <t>ACSR : PANTHER CONDUCTOR - 200 SQ. MM. (30/7/3.00)</t>
  </si>
  <si>
    <t>WOOD</t>
  </si>
  <si>
    <t>KMS</t>
  </si>
  <si>
    <t>MD0100061</t>
  </si>
  <si>
    <t>DRUM - 56 X 24 X 32 X 3</t>
  </si>
  <si>
    <t>FC0700003</t>
  </si>
  <si>
    <t>AAAC : RABBIT CONDUCTOR - 55 SQ. MM. (7/3.15)</t>
  </si>
  <si>
    <t>Alumimium Alloy</t>
  </si>
  <si>
    <t>MD0100015</t>
  </si>
  <si>
    <t>DRUM - 48 X 20 X 28 X 2.25 - RDSO</t>
  </si>
  <si>
    <t>1220 X 600 X 710</t>
  </si>
  <si>
    <t>MD0100013</t>
  </si>
  <si>
    <t>1615 X 685 X 812</t>
  </si>
  <si>
    <t>MD0100043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</si>
  <si>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</si>
  <si>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</si>
  <si>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</si>
  <si>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</si>
  <si>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</si>
  <si>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</si>
  <si>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</si>
  <si>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</si>
  <si>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</si>
  <si>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</si>
  <si>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confirmed from sombhu sir overphone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</si>
</sst>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8">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80">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3" fontId="0" fillId="0" borderId="0" xfId="0" applyNumberFormat="1"/>
    <xf numFmtId="0" fontId="8" fillId="5" borderId="0" xfId="0" applyFont="1" applyFill="1" applyAlignment="1">
      <alignment vertical="center" wrapText="1"/>
    </xf>
    <xf numFmtId="14" fontId="0" fillId="0" borderId="0" xfId="0" applyNumberFormat="1"/>
    <xf numFmtId="10"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row>
    <row r="2" spans="1:102" x14ac:dyDescent="0.25">
      <c r="A2" t="s">
        <v>169</v>
      </c>
      <c r="B2" s="57">
        <v>45296</v>
      </c>
      <c r="C2" t="s">
        <v>170</v>
      </c>
      <c r="D2" t="s">
        <v>171</v>
      </c>
      <c r="E2" t="s">
        <v>172</v>
      </c>
      <c r="J2" t="s">
        <v>80</v>
      </c>
      <c r="K2">
        <v>223</v>
      </c>
      <c r="L2">
        <v>588.5</v>
      </c>
      <c r="M2">
        <v>131235.5</v>
      </c>
      <c r="P2">
        <v>0</v>
      </c>
      <c r="T2">
        <v>0</v>
      </c>
      <c r="X2">
        <v>0</v>
      </c>
      <c r="AB2">
        <v>0</v>
      </c>
      <c r="AF2">
        <v>0</v>
      </c>
      <c r="AH2" t="s">
        <v>94</v>
      </c>
      <c r="AI2">
        <v>71.540000000000006</v>
      </c>
      <c r="AJ2">
        <v>388</v>
      </c>
      <c r="AK2">
        <v>27757.52</v>
      </c>
      <c r="AN2">
        <v>0</v>
      </c>
      <c r="AR2">
        <v>0</v>
      </c>
      <c r="AV2">
        <v>0</v>
      </c>
      <c r="AZ2">
        <v>0</v>
      </c>
      <c r="BD2">
        <v>0</v>
      </c>
      <c r="BH2">
        <v>0</v>
      </c>
      <c r="BL2">
        <v>0</v>
      </c>
      <c r="BP2">
        <v>0</v>
      </c>
      <c r="BT2">
        <v>0</v>
      </c>
      <c r="BX2">
        <v>0</v>
      </c>
      <c r="BZ2">
        <v>3428.44</v>
      </c>
      <c r="CA2">
        <v>162421.46</v>
      </c>
      <c r="CH2">
        <v>162421.46</v>
      </c>
      <c r="CM2">
        <v>162421.46</v>
      </c>
      <c r="CO2">
        <v>162421.46</v>
      </c>
      <c r="CP2" s="58">
        <v>0.18</v>
      </c>
      <c r="CQ2">
        <v>29235.86</v>
      </c>
      <c r="CR2">
        <v>191657.32</v>
      </c>
      <c r="CS2">
        <v>3.57</v>
      </c>
      <c r="CT2" t="s">
        <v>173</v>
      </c>
      <c r="CU2" s="55">
        <v>684217</v>
      </c>
      <c r="CV2" t="s">
        <v>174</v>
      </c>
      <c r="CW2" t="s">
        <v>175</v>
      </c>
    </row>
    <row r="3" spans="1:102" x14ac:dyDescent="0.25">
      <c r="A3" t="s">
        <v>169</v>
      </c>
      <c r="B3" s="57">
        <v>45296</v>
      </c>
      <c r="C3" t="s">
        <v>176</v>
      </c>
      <c r="D3" t="s">
        <v>177</v>
      </c>
      <c r="E3" t="s">
        <v>172</v>
      </c>
      <c r="J3" t="s">
        <v>178</v>
      </c>
      <c r="K3">
        <v>230</v>
      </c>
      <c r="L3">
        <v>150</v>
      </c>
      <c r="M3">
        <v>34500</v>
      </c>
      <c r="P3">
        <v>0</v>
      </c>
      <c r="T3">
        <v>0</v>
      </c>
      <c r="X3">
        <v>0</v>
      </c>
      <c r="AB3">
        <v>0</v>
      </c>
      <c r="AF3">
        <v>0</v>
      </c>
      <c r="AJ3">
        <v>0</v>
      </c>
      <c r="AN3">
        <v>0</v>
      </c>
      <c r="AR3">
        <v>0</v>
      </c>
      <c r="AV3">
        <v>0</v>
      </c>
      <c r="AZ3">
        <v>0</v>
      </c>
      <c r="BD3">
        <v>0</v>
      </c>
      <c r="BH3">
        <v>0</v>
      </c>
      <c r="BL3">
        <v>0</v>
      </c>
      <c r="BP3">
        <v>0</v>
      </c>
      <c r="BT3">
        <v>0</v>
      </c>
      <c r="BX3">
        <v>0</v>
      </c>
      <c r="BZ3">
        <v>609.76</v>
      </c>
      <c r="CA3">
        <v>35109.760000000002</v>
      </c>
      <c r="CH3">
        <v>35109.760000000002</v>
      </c>
      <c r="CM3">
        <v>35109.760000000002</v>
      </c>
      <c r="CO3">
        <v>35109.760000000002</v>
      </c>
      <c r="CP3" s="58">
        <v>0.18</v>
      </c>
      <c r="CQ3">
        <v>6319.76</v>
      </c>
      <c r="CR3">
        <v>41429.519999999997</v>
      </c>
      <c r="CS3">
        <v>3360.28</v>
      </c>
      <c r="CT3" t="s">
        <v>173</v>
      </c>
      <c r="CU3" s="55">
        <v>139214777</v>
      </c>
      <c r="CV3" t="s">
        <v>179</v>
      </c>
      <c r="CW3" t="s">
        <v>180</v>
      </c>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32"/>
  <sheetViews>
    <sheetView tabSelected="1" topLeftCell="A16" workbookViewId="0">
      <selection activeCell="AS27" sqref="AS27"/>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5" width="7.85546875" style="30" customWidth="1"/>
    <col min="16" max="44" width="7.85546875" style="30" hidden="1" customWidth="1"/>
    <col min="45" max="45" width="7.85546875" style="30" customWidth="1"/>
    <col min="46" max="73" width="7.85546875" style="30" hidden="1" customWidth="1"/>
    <col min="74" max="74" width="7.85546875" style="30" customWidth="1"/>
    <col min="75" max="75" width="11"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65" t="s">
        <v>139</v>
      </c>
      <c r="B2" s="66"/>
      <c r="C2" s="66"/>
      <c r="D2" s="66"/>
      <c r="E2" s="66"/>
      <c r="F2" s="66"/>
      <c r="G2" s="66"/>
      <c r="H2" s="66"/>
      <c r="I2" s="66"/>
      <c r="J2" s="66"/>
      <c r="K2" s="66"/>
      <c r="L2" s="66"/>
      <c r="M2" s="66"/>
      <c r="N2" s="66"/>
      <c r="O2" s="66"/>
      <c r="P2" s="66"/>
      <c r="Q2" s="66"/>
      <c r="R2" s="67"/>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75" t="s">
        <v>144</v>
      </c>
      <c r="C4" s="75"/>
      <c r="D4" s="75"/>
      <c r="E4" s="75"/>
      <c r="F4" s="75"/>
      <c r="G4" s="75"/>
      <c r="H4" s="75"/>
      <c r="I4" s="75"/>
      <c r="J4" s="75"/>
      <c r="K4" s="75"/>
      <c r="L4" s="75"/>
      <c r="M4" s="75"/>
      <c r="N4" s="75"/>
      <c r="O4" s="75"/>
      <c r="P4" s="75"/>
      <c r="Q4" s="75"/>
      <c r="R4" s="75"/>
      <c r="S4"/>
    </row>
    <row r="5" spans="1:89" s="44" customFormat="1" ht="34.5" customHeight="1" x14ac:dyDescent="0.25">
      <c r="A5" s="45" t="s">
        <v>126</v>
      </c>
      <c r="B5" s="75" t="s">
        <v>145</v>
      </c>
      <c r="C5" s="75"/>
      <c r="D5" s="75"/>
      <c r="E5" s="75"/>
      <c r="F5" s="75"/>
      <c r="G5" s="75"/>
      <c r="H5" s="75"/>
      <c r="I5" s="75"/>
      <c r="J5" s="75"/>
      <c r="K5" s="75"/>
      <c r="L5" s="75"/>
      <c r="M5" s="75"/>
      <c r="N5" s="75"/>
      <c r="O5" s="75"/>
      <c r="P5" s="75"/>
      <c r="Q5" s="75"/>
      <c r="R5" s="75"/>
      <c r="S5"/>
    </row>
    <row r="6" spans="1:89" s="44" customFormat="1" ht="48" customHeight="1" x14ac:dyDescent="0.25">
      <c r="A6" s="46" t="s">
        <v>127</v>
      </c>
      <c r="B6" s="76" t="s">
        <v>146</v>
      </c>
      <c r="C6" s="75"/>
      <c r="D6" s="75"/>
      <c r="E6" s="75"/>
      <c r="F6" s="75"/>
      <c r="G6" s="75"/>
      <c r="H6" s="75"/>
      <c r="I6" s="75"/>
      <c r="J6" s="75"/>
      <c r="K6" s="75"/>
      <c r="L6" s="75"/>
      <c r="M6" s="75"/>
      <c r="N6" s="75"/>
      <c r="O6" s="75"/>
      <c r="P6" s="75"/>
      <c r="Q6" s="75"/>
      <c r="R6" s="75"/>
      <c r="S6"/>
    </row>
    <row r="7" spans="1:89" s="44" customFormat="1" ht="30" x14ac:dyDescent="0.25">
      <c r="A7" s="46" t="s">
        <v>124</v>
      </c>
      <c r="B7" s="76" t="s">
        <v>140</v>
      </c>
      <c r="C7" s="75"/>
      <c r="D7" s="75"/>
      <c r="E7" s="75"/>
      <c r="F7" s="75"/>
      <c r="G7" s="75"/>
      <c r="H7" s="75"/>
      <c r="I7" s="75"/>
      <c r="J7" s="75"/>
      <c r="K7" s="75"/>
      <c r="L7" s="75"/>
      <c r="M7" s="75"/>
      <c r="N7" s="75"/>
      <c r="O7" s="75"/>
      <c r="P7" s="75"/>
      <c r="Q7" s="75"/>
      <c r="R7" s="75"/>
      <c r="S7"/>
    </row>
    <row r="8" spans="1:89" s="44" customFormat="1" ht="28.5" customHeight="1" x14ac:dyDescent="0.25">
      <c r="A8" s="46" t="s">
        <v>128</v>
      </c>
      <c r="B8" s="76" t="s">
        <v>147</v>
      </c>
      <c r="C8" s="76"/>
      <c r="D8" s="76"/>
      <c r="E8" s="76"/>
      <c r="F8" s="76"/>
      <c r="G8" s="76"/>
      <c r="H8" s="76"/>
      <c r="I8" s="76"/>
      <c r="J8" s="76"/>
      <c r="K8" s="76"/>
      <c r="L8" s="76"/>
      <c r="M8" s="76"/>
      <c r="N8" s="76"/>
      <c r="O8" s="76"/>
      <c r="P8" s="76"/>
      <c r="Q8" s="76"/>
      <c r="R8" s="76"/>
      <c r="S8"/>
    </row>
    <row r="9" spans="1:89" s="44" customFormat="1" ht="39.75" customHeight="1" x14ac:dyDescent="0.25">
      <c r="A9" s="46" t="s">
        <v>129</v>
      </c>
      <c r="B9" s="77" t="s">
        <v>141</v>
      </c>
      <c r="C9" s="78"/>
      <c r="D9" s="78"/>
      <c r="E9" s="78"/>
      <c r="F9" s="78"/>
      <c r="G9" s="78"/>
      <c r="H9" s="78"/>
      <c r="I9" s="78"/>
      <c r="J9" s="78"/>
      <c r="K9" s="78"/>
      <c r="L9" s="78"/>
      <c r="M9" s="78"/>
      <c r="N9" s="78"/>
      <c r="O9" s="78"/>
      <c r="P9" s="78"/>
      <c r="Q9" s="78"/>
      <c r="R9" s="79"/>
    </row>
    <row r="10" spans="1:89" s="44" customFormat="1" ht="37.5" customHeight="1" x14ac:dyDescent="0.25">
      <c r="A10" s="46" t="s">
        <v>130</v>
      </c>
      <c r="B10" s="76" t="s">
        <v>148</v>
      </c>
      <c r="C10" s="76"/>
      <c r="D10" s="76"/>
      <c r="E10" s="76"/>
      <c r="F10" s="76"/>
      <c r="G10" s="76"/>
      <c r="H10" s="76"/>
      <c r="I10" s="76"/>
      <c r="J10" s="76"/>
      <c r="K10" s="76"/>
      <c r="L10" s="76"/>
      <c r="M10" s="76"/>
      <c r="N10" s="76"/>
      <c r="O10" s="76"/>
      <c r="P10" s="76"/>
      <c r="Q10" s="76"/>
      <c r="R10" s="76"/>
      <c r="S10"/>
    </row>
    <row r="11" spans="1:89" s="44" customFormat="1" ht="68.25" customHeight="1" x14ac:dyDescent="0.25">
      <c r="A11" s="46" t="s">
        <v>131</v>
      </c>
      <c r="B11" s="71" t="s">
        <v>142</v>
      </c>
      <c r="C11" s="72"/>
      <c r="D11" s="72"/>
      <c r="E11" s="72"/>
      <c r="F11" s="72"/>
      <c r="G11" s="72"/>
      <c r="H11" s="72"/>
      <c r="I11" s="72"/>
      <c r="J11" s="72"/>
      <c r="K11" s="72"/>
      <c r="L11" s="72"/>
      <c r="M11" s="72"/>
      <c r="N11" s="72"/>
      <c r="O11" s="72"/>
      <c r="P11" s="72"/>
      <c r="Q11" s="72"/>
      <c r="R11" s="73"/>
      <c r="S11"/>
    </row>
    <row r="12" spans="1:89" s="44" customFormat="1" ht="30" x14ac:dyDescent="0.25">
      <c r="A12" s="49" t="s">
        <v>132</v>
      </c>
      <c r="B12" s="74" t="s">
        <v>143</v>
      </c>
      <c r="C12" s="74"/>
      <c r="D12" s="74"/>
      <c r="E12" s="74"/>
      <c r="F12" s="74"/>
      <c r="G12" s="74"/>
      <c r="H12" s="74"/>
      <c r="I12" s="74"/>
      <c r="J12" s="74"/>
      <c r="K12" s="74"/>
      <c r="L12" s="74"/>
      <c r="M12" s="74"/>
      <c r="N12" s="74"/>
      <c r="O12" s="74"/>
      <c r="P12" s="74"/>
      <c r="Q12" s="74"/>
      <c r="R12" s="74"/>
    </row>
    <row r="13" spans="1:89" s="44" customFormat="1" ht="24.75" customHeight="1" x14ac:dyDescent="0.25">
      <c r="A13" s="49" t="s">
        <v>133</v>
      </c>
      <c r="B13" s="74" t="s">
        <v>149</v>
      </c>
      <c r="C13" s="74"/>
      <c r="D13" s="74"/>
      <c r="E13" s="74"/>
      <c r="F13" s="74"/>
      <c r="G13" s="74"/>
      <c r="H13" s="74"/>
      <c r="I13" s="74"/>
      <c r="J13" s="74"/>
      <c r="K13" s="74"/>
      <c r="L13" s="74"/>
      <c r="M13" s="74"/>
      <c r="N13" s="74"/>
      <c r="O13" s="74"/>
      <c r="P13" s="74"/>
      <c r="Q13" s="74"/>
      <c r="R13" s="74"/>
    </row>
    <row r="14" spans="1:89" s="44" customFormat="1" ht="30" x14ac:dyDescent="0.25">
      <c r="A14" s="50" t="s">
        <v>134</v>
      </c>
      <c r="B14" s="74"/>
      <c r="C14" s="74"/>
      <c r="D14" s="74"/>
      <c r="E14" s="74"/>
      <c r="F14" s="74"/>
      <c r="G14" s="74"/>
      <c r="H14" s="74"/>
      <c r="I14" s="74"/>
      <c r="J14" s="74"/>
      <c r="K14" s="74"/>
      <c r="L14" s="74"/>
      <c r="M14" s="74"/>
      <c r="N14" s="74"/>
      <c r="O14" s="74"/>
      <c r="P14" s="74"/>
      <c r="Q14" s="74"/>
      <c r="R14" s="74"/>
    </row>
    <row r="16" spans="1:89" s="37" customFormat="1" ht="28.9" customHeight="1" x14ac:dyDescent="0.25">
      <c r="E16" s="42"/>
      <c r="H16" s="43"/>
      <c r="N16" s="70" t="str">
        <f>Sheet1!J1</f>
        <v>Conductor</v>
      </c>
      <c r="O16" s="70"/>
      <c r="P16" s="70"/>
      <c r="Q16" s="70"/>
      <c r="R16" s="70"/>
      <c r="S16" s="70" t="s">
        <v>9</v>
      </c>
      <c r="T16" s="70"/>
      <c r="U16" s="70" t="s">
        <v>3</v>
      </c>
      <c r="V16" s="70"/>
      <c r="W16" s="70"/>
      <c r="X16" s="70"/>
      <c r="Y16" s="70"/>
      <c r="Z16" s="70"/>
      <c r="AA16" s="70"/>
      <c r="AB16" s="70"/>
      <c r="AC16" s="70" t="s">
        <v>12</v>
      </c>
      <c r="AD16" s="70"/>
      <c r="AE16" s="70" t="s">
        <v>15</v>
      </c>
      <c r="AF16" s="70"/>
      <c r="AG16" s="70"/>
      <c r="AH16" s="70"/>
      <c r="AI16" s="70"/>
      <c r="AJ16" s="70"/>
      <c r="AK16" s="10" t="s">
        <v>18</v>
      </c>
      <c r="AL16" s="68" t="s">
        <v>21</v>
      </c>
      <c r="AM16" s="69"/>
      <c r="AN16" s="69"/>
      <c r="AO16" s="69"/>
      <c r="AP16" s="69"/>
      <c r="AQ16" s="69"/>
      <c r="AR16" s="69"/>
      <c r="AS16" s="70" t="s">
        <v>24</v>
      </c>
      <c r="AT16" s="70"/>
      <c r="AU16" s="70"/>
      <c r="AV16" s="70"/>
      <c r="AW16" s="70"/>
      <c r="AX16" s="70"/>
      <c r="AY16" s="70"/>
      <c r="AZ16" s="70"/>
      <c r="BA16" s="70"/>
      <c r="BB16" s="70"/>
      <c r="BC16" s="70" t="s">
        <v>27</v>
      </c>
      <c r="BD16" s="70"/>
      <c r="BE16" s="70"/>
      <c r="BF16" s="70"/>
      <c r="BG16" s="70"/>
      <c r="BH16" s="70"/>
      <c r="BI16" s="70"/>
      <c r="BJ16" s="70"/>
      <c r="BK16" s="70"/>
      <c r="BL16" s="70"/>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6"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226</v>
      </c>
      <c r="O18" s="32">
        <f>N18+7</f>
        <v>233</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v>72</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0" x14ac:dyDescent="0.25">
      <c r="A19" s="1" t="str">
        <f>Sheet1!A2</f>
        <v>ENQ-11949-22-23</v>
      </c>
      <c r="B19" s="52">
        <v>45297</v>
      </c>
      <c r="C19" s="1" t="str">
        <f>Sheet1!C2</f>
        <v>FC3700003</v>
      </c>
      <c r="D19" s="1" t="str">
        <f>Sheet1!D2</f>
        <v>ACSR : PANTHER CONDUCTOR - 200 SQ. MM. (30/7/3.00)</v>
      </c>
      <c r="E19" s="3">
        <f>CH19+CJ19+CL19</f>
        <v>204250.62600000002</v>
      </c>
      <c r="F19" s="64">
        <f>ROUNDUP(M23,0)</f>
        <v>14286</v>
      </c>
      <c r="G19" s="9">
        <f>E19+F19</f>
        <v>218536.62600000002</v>
      </c>
      <c r="H19" s="7">
        <f>Sheet1!CP2</f>
        <v>0.18</v>
      </c>
      <c r="I19" s="9">
        <f>G19*H19</f>
        <v>39336.592680000002</v>
      </c>
      <c r="J19" s="9">
        <f>G19+I19</f>
        <v>257873.21868000002</v>
      </c>
      <c r="K19" s="1">
        <f>Sheet1!CS2</f>
        <v>3.57</v>
      </c>
      <c r="L19" s="1" t="str">
        <f>Sheet1!CT2</f>
        <v>KMS</v>
      </c>
      <c r="M19" s="3">
        <f>J19*K19</f>
        <v>920607.39068760001</v>
      </c>
      <c r="N19" s="2">
        <f>+IFERROR(VLOOKUP($N$17,Sheet1!J2:L2,3,0),0)</f>
        <v>588.5</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388</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184</v>
      </c>
      <c r="BX19" s="15" t="s">
        <v>183</v>
      </c>
      <c r="BY19" s="15">
        <v>2500</v>
      </c>
      <c r="BZ19" s="3">
        <f>8790/2.5</f>
        <v>3516</v>
      </c>
      <c r="CA19" s="3">
        <f>SUMPRODUCT($N$18:$BU$18,N19:BU19)+BZ19</f>
        <v>164453</v>
      </c>
      <c r="CB19" s="27">
        <f>Sheet1!CB2</f>
        <v>0</v>
      </c>
      <c r="CC19" s="3">
        <f>CA19*CB19</f>
        <v>0</v>
      </c>
      <c r="CD19" s="48">
        <v>0.2</v>
      </c>
      <c r="CE19" s="3">
        <f>CA19*CD19</f>
        <v>32890.6</v>
      </c>
      <c r="CF19" s="48">
        <v>0</v>
      </c>
      <c r="CG19" s="3">
        <f>CA19*CF19</f>
        <v>0</v>
      </c>
      <c r="CH19" s="3">
        <f>CA19+CC19+CE19+CG19</f>
        <v>197343.6</v>
      </c>
      <c r="CI19" s="48">
        <v>0.02</v>
      </c>
      <c r="CJ19" s="1">
        <f>CH19*CI19</f>
        <v>3946.8720000000003</v>
      </c>
      <c r="CK19" s="48">
        <v>1.4999999999999999E-2</v>
      </c>
      <c r="CL19" s="1">
        <f>CH19*CK19</f>
        <v>2960.154</v>
      </c>
    </row>
    <row r="20" spans="1:90" ht="30" x14ac:dyDescent="0.25">
      <c r="A20" s="1" t="str">
        <f>Sheet1!A3</f>
        <v>ENQ-11949-22-23</v>
      </c>
      <c r="B20" s="52">
        <v>45297</v>
      </c>
      <c r="C20" s="1" t="str">
        <f>Sheet1!C3</f>
        <v>FC0700003</v>
      </c>
      <c r="D20" s="1" t="str">
        <f>Sheet1!D3</f>
        <v>AAAC : RABBIT CONDUCTOR - 55 SQ. MM. (7/3.15)</v>
      </c>
      <c r="E20" s="3">
        <f>CH20+CJ20+CL20</f>
        <v>40500.809249999998</v>
      </c>
      <c r="F20" s="64">
        <f>ROUNDUP(M24,0)</f>
        <v>577</v>
      </c>
      <c r="G20" s="9">
        <f t="shared" ref="G20" si="0">E20+F20</f>
        <v>41077.809249999998</v>
      </c>
      <c r="H20" s="7">
        <f>Sheet1!CP3</f>
        <v>0.18</v>
      </c>
      <c r="I20" s="9">
        <f t="shared" ref="I20" si="1">G20*H20</f>
        <v>7394.0056649999997</v>
      </c>
      <c r="J20" s="9">
        <f t="shared" ref="J20" si="2">G20+I20</f>
        <v>48471.814914999995</v>
      </c>
      <c r="K20" s="1">
        <f>Sheet1!CS3</f>
        <v>3360.28</v>
      </c>
      <c r="L20" s="1" t="str">
        <f>Sheet1!CT3</f>
        <v>KMS</v>
      </c>
      <c r="M20" s="3">
        <f t="shared" ref="M20" si="3">J20*K20</f>
        <v>162878870.2225762</v>
      </c>
      <c r="N20" s="2">
        <f>+IFERROR(VLOOKUP($N$17,Sheet1!J3:L3,3,0),0)</f>
        <v>0</v>
      </c>
      <c r="O20" s="2">
        <f>+IFERROR(VLOOKUP($O$17,Sheet1!J3:L3,3,0),0)</f>
        <v>150</v>
      </c>
      <c r="P20" s="2">
        <f>+IFERROR(VLOOKUP($P$17,Sheet1!J3:M3,3,0),0)</f>
        <v>0</v>
      </c>
      <c r="Q20" s="2">
        <f>+IFERROR(VLOOKUP($Q$17,Sheet1!J3:M3,3,0),0)</f>
        <v>0</v>
      </c>
      <c r="R20" s="2">
        <f>+IFERROR(VLOOKUP($R$17,Sheet1!J3:M3,3,0),0)</f>
        <v>0</v>
      </c>
      <c r="S20" s="2">
        <f>+IFERROR(VLOOKUP($S$17,Sheet1!N3:Q3,3,0),0)</f>
        <v>0</v>
      </c>
      <c r="T20" s="2">
        <f>+IFERROR(VLOOKUP($T$17,Sheet1!N3:Q3,3,0),0)</f>
        <v>0</v>
      </c>
      <c r="U20" s="2">
        <f>+IFERROR(VLOOKUP($U$17,Sheet1!F3:I3,3,0),0)</f>
        <v>0</v>
      </c>
      <c r="V20" s="2">
        <f>+IFERROR(VLOOKUP($V$17,Sheet1!F3:I3,3,0),0)</f>
        <v>0</v>
      </c>
      <c r="W20" s="2">
        <f>+IFERROR(VLOOKUP($W$17,Sheet1!F3:I3,3,0),0)</f>
        <v>0</v>
      </c>
      <c r="X20" s="2">
        <f>+IFERROR(VLOOKUP($X$17,Sheet1!F3:I3,3,0),0)</f>
        <v>0</v>
      </c>
      <c r="Y20" s="2">
        <f>+IFERROR(VLOOKUP($Y$17,Sheet1!F3:I3,3,0),0)</f>
        <v>0</v>
      </c>
      <c r="Z20" s="2">
        <f>+IFERROR(VLOOKUP($Z$17,Sheet1!F3:I3,3,0),0)</f>
        <v>0</v>
      </c>
      <c r="AA20" s="2">
        <f>+IFERROR(VLOOKUP($AA$17,Sheet1!F3:I3,3,0),0)</f>
        <v>0</v>
      </c>
      <c r="AB20" s="2">
        <f>+IFERROR(VLOOKUP($AB$17,Sheet1!F3:I3,3,0),0)</f>
        <v>0</v>
      </c>
      <c r="AC20" s="2">
        <f>+IFERROR(VLOOKUP($AC$17,Sheet1!R3:U3,3,0),0)</f>
        <v>0</v>
      </c>
      <c r="AD20" s="15">
        <f>+IFERROR(VLOOKUP($AD$17,Sheet1!R3:U3,2,0),0)</f>
        <v>0</v>
      </c>
      <c r="AE20" s="2">
        <f>+IFERROR(VLOOKUP($AE$17,Sheet1!V3:Y3,3,0),0)</f>
        <v>0</v>
      </c>
      <c r="AF20" s="15">
        <f>+IFERROR(VLOOKUP($AF$17,Sheet1!V3:Y3,3,0),0)</f>
        <v>0</v>
      </c>
      <c r="AG20" s="15">
        <f>+IFERROR(VLOOKUP($AG$17,Sheet1!V3:Y3,3,0),0)</f>
        <v>0</v>
      </c>
      <c r="AH20" s="15">
        <f>+IFERROR(VLOOKUP($AH$17,Sheet1!V3:Y3,3,0),0)</f>
        <v>0</v>
      </c>
      <c r="AI20" s="15">
        <f>+IFERROR(VLOOKUP($AI$17,Sheet1!V3:Y3,3,0),0)</f>
        <v>0</v>
      </c>
      <c r="AJ20" s="15">
        <f>+IFERROR(VLOOKUP($AJ$17,Sheet1!V3:Y3,3,0),0)</f>
        <v>0</v>
      </c>
      <c r="AK20" s="15">
        <f>+IFERROR(VLOOKUP($AK$17,Sheet1!Z3:AB3,3,0),0)</f>
        <v>0</v>
      </c>
      <c r="AL20" s="15">
        <f>+IFERROR(VLOOKUP($AL$17,Sheet1!AD3:AG3,3,0),0)</f>
        <v>0</v>
      </c>
      <c r="AM20" s="15">
        <f>+IFERROR(VLOOKUP($AM$17,Sheet1!AD3:AG3,3,0),0)</f>
        <v>0</v>
      </c>
      <c r="AN20" s="15">
        <f>+IFERROR(VLOOKUP($AN$17,Sheet1!AD3:AG3,3,0),0)</f>
        <v>0</v>
      </c>
      <c r="AO20" s="15">
        <f>+IFERROR(VLOOKUP($AO$17,Sheet1!AD3:AG3,3,0),0)</f>
        <v>0</v>
      </c>
      <c r="AP20" s="15">
        <f>+IFERROR(VLOOKUP($AP$17,Sheet1!AD3:AG3,3,0),0)</f>
        <v>0</v>
      </c>
      <c r="AQ20" s="15">
        <f>+IFERROR(VLOOKUP($AQ$17,Sheet1!AD3:AG3,3,0),0)</f>
        <v>0</v>
      </c>
      <c r="AR20" s="15">
        <f>+IFERROR(VLOOKUP($AR$17,Sheet1!AD3:AG3,3,0),0)</f>
        <v>0</v>
      </c>
      <c r="AS20" s="15">
        <f>+IFERROR(VLOOKUP($AS$17,Sheet1!AH3:AK3,3,0),0)</f>
        <v>0</v>
      </c>
      <c r="AT20" s="15">
        <f>+IFERROR(VLOOKUP($AT$17,Sheet1!AH3:AK3,3,0),0)</f>
        <v>0</v>
      </c>
      <c r="AU20" s="15">
        <f>+IFERROR(VLOOKUP($AU$17,Sheet1!AH3:AK3,3,0),0)</f>
        <v>0</v>
      </c>
      <c r="AV20" s="15">
        <f>+IFERROR(VLOOKUP($AV$17,Sheet1!AH3:AK3,3,0),0)</f>
        <v>0</v>
      </c>
      <c r="AW20" s="15">
        <f>+IFERROR(VLOOKUP($AW$17,Sheet1!AH3:AK3,3,0),0)</f>
        <v>0</v>
      </c>
      <c r="AX20" s="15">
        <f>+IFERROR(VLOOKUP($AX$17,Sheet1!AH3:AK3,3,0),0)</f>
        <v>0</v>
      </c>
      <c r="AY20" s="15">
        <f>+IFERROR(VLOOKUP($AY$17,Sheet1!AH3:AK3,3,0),0)</f>
        <v>0</v>
      </c>
      <c r="AZ20" s="15">
        <f>+IFERROR(VLOOKUP($AZ$17,Sheet1!AH3:AK3,3,0),0)</f>
        <v>0</v>
      </c>
      <c r="BA20" s="15">
        <f>+IFERROR(VLOOKUP($BA$17,Sheet1!AH3:AK3,3,0),0)</f>
        <v>0</v>
      </c>
      <c r="BB20" s="15">
        <f>+IFERROR(VLOOKUP($BB$17,Sheet1!AH3:AK3,3,0),0)</f>
        <v>0</v>
      </c>
      <c r="BC20" s="15">
        <f>+IFERROR(VLOOKUP($BC$17,Sheet1!AL3:AO3,3,0),0)</f>
        <v>0</v>
      </c>
      <c r="BD20" s="15">
        <f>+IFERROR(VLOOKUP($BD$17,Sheet1!AL3:AO3,3,0),0)</f>
        <v>0</v>
      </c>
      <c r="BE20" s="15">
        <f>+IFERROR(VLOOKUP($BE$17,Sheet1!AL3:AO3,3,0),0)</f>
        <v>0</v>
      </c>
      <c r="BF20" s="15">
        <f>+IFERROR(VLOOKUP($BF$17,Sheet1!AL3:AO3,3,0),0)</f>
        <v>0</v>
      </c>
      <c r="BG20" s="15">
        <f>+IFERROR(VLOOKUP($BG$17,Sheet1!AL3:AO3,3,0),0)</f>
        <v>0</v>
      </c>
      <c r="BH20" s="15">
        <f>+IFERROR(VLOOKUP($BH$17,Sheet1!AL3:AO3,3,0),0)</f>
        <v>0</v>
      </c>
      <c r="BI20" s="15">
        <f>+IFERROR(VLOOKUP($BI$17,Sheet1!AL3:AO3,3,0),0)</f>
        <v>0</v>
      </c>
      <c r="BJ20" s="15">
        <f>+IFERROR(VLOOKUP($BJ$17,Sheet1!AL3:AO3,3,0),0)</f>
        <v>0</v>
      </c>
      <c r="BK20" s="15">
        <f>+IFERROR(VLOOKUP($BK$17,Sheet1!AL3:AO3,3,0),0)</f>
        <v>0</v>
      </c>
      <c r="BL20" s="15">
        <f>+IFERROR(VLOOKUP($BL$17,Sheet1!AL3:AO3,3,0),0)</f>
        <v>0</v>
      </c>
      <c r="BM20" s="15">
        <f>+IFERROR(VLOOKUP($BM$17,Sheet1!AP3:AS3,3,0),0)</f>
        <v>0</v>
      </c>
      <c r="BN20" s="15">
        <f>+IFERROR(VLOOKUP($BN$17,Sheet1!AT3:AW3,3,0),0)</f>
        <v>0</v>
      </c>
      <c r="BO20" s="15">
        <f>+IFERROR(VLOOKUP($BO$17,Sheet1!AX3:BA3,3,0),0)</f>
        <v>0</v>
      </c>
      <c r="BP20" s="15">
        <f>+IFERROR(VLOOKUP($BP$17,Sheet1!BB3:BE3,3,0),0)</f>
        <v>0</v>
      </c>
      <c r="BQ20" s="15">
        <f>+IFERROR(VLOOKUP($BQ$17,Sheet1!BF3:BI3,3,0),0)</f>
        <v>0</v>
      </c>
      <c r="BR20" s="15">
        <f>+IFERROR(VLOOKUP($BR$17,Sheet1!BJ3:BM3,3,0),0)</f>
        <v>0</v>
      </c>
      <c r="BS20" s="15">
        <f>+IFERROR(VLOOKUP($BS$17,Sheet1!BN3:BQ3,3,0),0)</f>
        <v>0</v>
      </c>
      <c r="BT20" s="15">
        <f>+IFERROR(VLOOKUP($BT$17,Sheet1!BR3:BU3,3,0),0)</f>
        <v>0</v>
      </c>
      <c r="BU20" s="15">
        <f>+IFERROR(VLOOKUP($BU$17,Sheet1!BV3:BY3,3,0),0)</f>
        <v>0</v>
      </c>
      <c r="BV20" s="15" t="str">
        <f>Sheet1!E3</f>
        <v>WOOD</v>
      </c>
      <c r="BW20" s="15" t="s">
        <v>182</v>
      </c>
      <c r="BX20" s="15" t="s">
        <v>181</v>
      </c>
      <c r="BY20" s="15">
        <v>6000</v>
      </c>
      <c r="BZ20" s="3">
        <f>3743/6</f>
        <v>623.83333333333337</v>
      </c>
      <c r="CA20" s="3">
        <f>SUMPRODUCT($N$18:$BU$18,N20:BU20)+BZ20</f>
        <v>35573.833333333336</v>
      </c>
      <c r="CB20" s="27">
        <f>Sheet1!CB3</f>
        <v>0</v>
      </c>
      <c r="CC20" s="3">
        <f t="shared" ref="CC20" si="4">CA20*CB20</f>
        <v>0</v>
      </c>
      <c r="CD20" s="48">
        <v>0.1</v>
      </c>
      <c r="CE20" s="3">
        <f t="shared" ref="CE20" si="5">CA20*CD20</f>
        <v>3557.3833333333337</v>
      </c>
      <c r="CF20" s="48">
        <v>0</v>
      </c>
      <c r="CG20" s="3">
        <f t="shared" ref="CG20" si="6">CA20*CF20</f>
        <v>0</v>
      </c>
      <c r="CH20" s="3">
        <f t="shared" ref="CH20" si="7">CA20+CC20+CE20+CG20</f>
        <v>39131.216666666667</v>
      </c>
      <c r="CI20" s="48">
        <v>0.02</v>
      </c>
      <c r="CJ20" s="1">
        <f t="shared" ref="CJ20" si="8">CH20*CI20</f>
        <v>782.62433333333331</v>
      </c>
      <c r="CK20" s="48">
        <v>1.4999999999999999E-2</v>
      </c>
      <c r="CL20" s="1">
        <f t="shared" ref="CL20" si="9">CH20*CK20</f>
        <v>586.96825000000001</v>
      </c>
    </row>
    <row r="22" spans="1:90" ht="30" x14ac:dyDescent="0.25">
      <c r="E22" s="2" t="s">
        <v>185</v>
      </c>
      <c r="F22" s="2" t="s">
        <v>186</v>
      </c>
      <c r="G22" s="59" t="s">
        <v>187</v>
      </c>
      <c r="H22" s="2" t="s">
        <v>188</v>
      </c>
      <c r="I22" s="2" t="s">
        <v>189</v>
      </c>
      <c r="J22" s="2" t="s">
        <v>190</v>
      </c>
      <c r="K22" s="2" t="s">
        <v>191</v>
      </c>
      <c r="L22" s="59" t="s">
        <v>192</v>
      </c>
      <c r="M22" s="60" t="s">
        <v>193</v>
      </c>
    </row>
    <row r="23" spans="1:90" ht="30" x14ac:dyDescent="0.25">
      <c r="D23" s="30" t="str">
        <f>D19</f>
        <v>ACSR : PANTHER CONDUCTOR - 200 SQ. MM. (30/7/3.00)</v>
      </c>
      <c r="E23" s="59">
        <f>K19</f>
        <v>3.57</v>
      </c>
      <c r="F23" s="61">
        <f>BY19/1000</f>
        <v>2.5</v>
      </c>
      <c r="G23" s="59" t="s">
        <v>194</v>
      </c>
      <c r="H23" s="62">
        <v>51000</v>
      </c>
      <c r="I23" s="61">
        <v>5</v>
      </c>
      <c r="J23" s="59">
        <f>F23*I23</f>
        <v>12.5</v>
      </c>
      <c r="K23" s="59">
        <f>ROUNDUP((E23/J23),0)</f>
        <v>1</v>
      </c>
      <c r="L23" s="59">
        <f>M23*E23</f>
        <v>51000</v>
      </c>
      <c r="M23" s="63">
        <f>(H23*K23)/E23</f>
        <v>14285.714285714286</v>
      </c>
    </row>
    <row r="24" spans="1:90" ht="30" x14ac:dyDescent="0.25">
      <c r="D24" s="30" t="str">
        <f>D20</f>
        <v>AAAC : RABBIT CONDUCTOR - 55 SQ. MM. (7/3.15)</v>
      </c>
      <c r="E24" s="59">
        <f>K20</f>
        <v>3360.28</v>
      </c>
      <c r="F24" s="61">
        <f>BY20/1000</f>
        <v>6</v>
      </c>
      <c r="G24" s="59" t="s">
        <v>194</v>
      </c>
      <c r="H24" s="62">
        <v>51000</v>
      </c>
      <c r="I24" s="61">
        <v>15</v>
      </c>
      <c r="J24" s="59">
        <f>F24*I24</f>
        <v>90</v>
      </c>
      <c r="K24" s="59">
        <f>ROUNDUP((E24/J24),0)</f>
        <v>38</v>
      </c>
      <c r="L24" s="59">
        <f>M24*E24</f>
        <v>1938000</v>
      </c>
      <c r="M24" s="63">
        <f>(H24*K24)/E24</f>
        <v>576.73765281464637</v>
      </c>
    </row>
    <row r="25" spans="1:90" x14ac:dyDescent="0.25">
      <c r="I25" t="s">
        <v>195</v>
      </c>
    </row>
    <row r="27" spans="1:90" x14ac:dyDescent="0.25">
      <c r="I27">
        <f>SUM(N19:AS19)*2.5</f>
        <v>2441.25</v>
      </c>
    </row>
    <row r="28" spans="1:90" x14ac:dyDescent="0.25">
      <c r="I28">
        <f>I27+295</f>
        <v>2736.25</v>
      </c>
    </row>
    <row r="29" spans="1:90" x14ac:dyDescent="0.25">
      <c r="I29">
        <f>16000/I28</f>
        <v>5.847418912745546</v>
      </c>
    </row>
    <row r="31" spans="1:90" x14ac:dyDescent="0.25">
      <c r="I31">
        <f>(O20*6)+125</f>
        <v>1025</v>
      </c>
    </row>
    <row r="32" spans="1:90" x14ac:dyDescent="0.25">
      <c r="I32">
        <f>16000/I31</f>
        <v>15.609756097560975</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3:G24" xr:uid="{7A65F89A-9C0F-4A08-AC13-F6B8655F31C8}">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2024-01-06T09:03:07Z</dcterms:modified>
</cp:coreProperties>
</file>