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430"/>
  <workbookPr defaultThemeVersion="124226"/>
  <mc:AlternateContent xmlns:mc="http://schemas.openxmlformats.org/markup-compatibility/2006">
    <mc:Choice Requires="x15">
      <x15ac:absPath xmlns:x15ac="http://schemas.microsoft.com/office/spreadsheetml/2010/11/ac" url="E:\working\2025-26\05_MAY 2025\TGTRANSCO-591210-CONTROLCABLES-15853\"/>
    </mc:Choice>
  </mc:AlternateContent>
  <xr:revisionPtr revIDLastSave="0" documentId="13_ncr:1_{0C5A8911-0996-422D-98A1-81FC06BF0CE7}" xr6:coauthVersionLast="47" xr6:coauthVersionMax="47" xr10:uidLastSave="{00000000-0000-0000-0000-000000000000}"/>
  <bookViews>
    <workbookView xWindow="0" yWindow="2340" windowWidth="28800" windowHeight="9570" firstSheet="1" activeTab="1" xr2:uid="{00000000-000D-0000-FFFF-FFFF00000000}"/>
  </bookViews>
  <sheets>
    <sheet name="Sheet1" sheetId="1" state="hidden" r:id="rId1"/>
    <sheet name="AUTO CALCULATION SHEET (2)" sheetId="4" r:id="rId2"/>
    <sheet name="Cable" sheetId="6" r:id="rId3"/>
  </sheets>
  <definedNames>
    <definedName name="_xlnm._FilterDatabase" localSheetId="0" hidden="1">Sheet1!$A$1:$CU$1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N22" i="4" l="1"/>
  <c r="CN21" i="4"/>
  <c r="CN20" i="4"/>
  <c r="CN19" i="4"/>
  <c r="S14" i="6"/>
  <c r="S13" i="6"/>
  <c r="S12" i="6"/>
  <c r="S11" i="6"/>
  <c r="R14" i="6"/>
  <c r="R13" i="6"/>
  <c r="R12" i="6"/>
  <c r="R11" i="6"/>
  <c r="Q14" i="6"/>
  <c r="Q13" i="6"/>
  <c r="Q12" i="6"/>
  <c r="Q11" i="6"/>
  <c r="P14" i="6"/>
  <c r="P13" i="6"/>
  <c r="P12" i="6"/>
  <c r="P11" i="6"/>
  <c r="AK28" i="4"/>
  <c r="AK27" i="4"/>
  <c r="AK26" i="4"/>
  <c r="AK25" i="4"/>
  <c r="Y10" i="6" l="1"/>
  <c r="Y12" i="6"/>
  <c r="Y13" i="6"/>
  <c r="Y14" i="6"/>
  <c r="Y11" i="6"/>
  <c r="BI18" i="4"/>
  <c r="Y9" i="6"/>
  <c r="X9" i="6"/>
  <c r="W9" i="6"/>
  <c r="V9" i="6"/>
  <c r="U9" i="6"/>
  <c r="H14" i="6"/>
  <c r="H13" i="6"/>
  <c r="H12" i="6"/>
  <c r="H11" i="6"/>
  <c r="D19" i="4" l="1"/>
  <c r="BY20" i="4"/>
  <c r="F26" i="4" s="1"/>
  <c r="J26" i="4" s="1"/>
  <c r="BY22" i="4"/>
  <c r="F28" i="4" s="1"/>
  <c r="J28" i="4" s="1"/>
  <c r="BY21" i="4"/>
  <c r="F27" i="4" s="1"/>
  <c r="J27" i="4" s="1"/>
  <c r="BY19" i="4"/>
  <c r="F25" i="4" s="1"/>
  <c r="J25" i="4" s="1"/>
  <c r="BY17" i="4"/>
  <c r="A20" i="4"/>
  <c r="B20" i="4"/>
  <c r="C20" i="4"/>
  <c r="D20" i="4"/>
  <c r="H20" i="4"/>
  <c r="K20" i="4"/>
  <c r="E26" i="4" s="1"/>
  <c r="L20" i="4"/>
  <c r="N20" i="4"/>
  <c r="O20" i="4"/>
  <c r="P20" i="4"/>
  <c r="Q20" i="4"/>
  <c r="R20" i="4"/>
  <c r="S20" i="4"/>
  <c r="T20" i="4"/>
  <c r="U20" i="4"/>
  <c r="V20" i="4"/>
  <c r="W20" i="4"/>
  <c r="X20" i="4"/>
  <c r="Y20" i="4"/>
  <c r="Z20" i="4"/>
  <c r="AA20" i="4"/>
  <c r="AB20" i="4"/>
  <c r="AC20" i="4"/>
  <c r="AD20" i="4"/>
  <c r="AE20" i="4"/>
  <c r="AF20" i="4"/>
  <c r="AG20" i="4"/>
  <c r="AH20" i="4"/>
  <c r="V12" i="6" s="1"/>
  <c r="AI20" i="4"/>
  <c r="AJ20" i="4"/>
  <c r="AK20" i="4"/>
  <c r="W12" i="6" s="1"/>
  <c r="AL20" i="4"/>
  <c r="AM20" i="4"/>
  <c r="AN20" i="4"/>
  <c r="AO20" i="4"/>
  <c r="X12" i="6" s="1"/>
  <c r="AP20" i="4"/>
  <c r="AQ20" i="4"/>
  <c r="AR20" i="4"/>
  <c r="AS20" i="4"/>
  <c r="AT20" i="4"/>
  <c r="AU20" i="4"/>
  <c r="AV20" i="4"/>
  <c r="AW20" i="4"/>
  <c r="AX20" i="4"/>
  <c r="AY20" i="4"/>
  <c r="AZ20" i="4"/>
  <c r="BA20" i="4"/>
  <c r="BB20" i="4"/>
  <c r="BC20" i="4"/>
  <c r="BD20" i="4"/>
  <c r="BE20" i="4"/>
  <c r="BF20" i="4"/>
  <c r="BG20" i="4"/>
  <c r="BH20" i="4"/>
  <c r="BJ20" i="4"/>
  <c r="BK20" i="4"/>
  <c r="BL20" i="4"/>
  <c r="BM20" i="4"/>
  <c r="BN20" i="4"/>
  <c r="BO20" i="4"/>
  <c r="BP20" i="4"/>
  <c r="BQ20" i="4"/>
  <c r="BR20" i="4"/>
  <c r="BS20" i="4"/>
  <c r="BT20" i="4"/>
  <c r="BU20" i="4"/>
  <c r="BV20" i="4"/>
  <c r="BW20" i="4"/>
  <c r="P26" i="4" s="1"/>
  <c r="BX20" i="4"/>
  <c r="BZ20" i="4"/>
  <c r="AA12" i="6" s="1"/>
  <c r="CB20" i="4"/>
  <c r="A22" i="4"/>
  <c r="B22" i="4"/>
  <c r="C22" i="4"/>
  <c r="D22" i="4"/>
  <c r="H22" i="4"/>
  <c r="K22" i="4"/>
  <c r="E28" i="4" s="1"/>
  <c r="K28" i="4" s="1"/>
  <c r="M28" i="4" s="1"/>
  <c r="L22" i="4"/>
  <c r="N22" i="4"/>
  <c r="O22" i="4"/>
  <c r="P22" i="4"/>
  <c r="Q22" i="4"/>
  <c r="R22" i="4"/>
  <c r="S22" i="4"/>
  <c r="T22" i="4"/>
  <c r="U22" i="4"/>
  <c r="V22" i="4"/>
  <c r="W22" i="4"/>
  <c r="X22" i="4"/>
  <c r="Y22" i="4"/>
  <c r="Z22" i="4"/>
  <c r="AA22" i="4"/>
  <c r="AB22" i="4"/>
  <c r="AC22" i="4"/>
  <c r="AD22" i="4"/>
  <c r="AE22" i="4"/>
  <c r="AF22" i="4"/>
  <c r="AG22" i="4"/>
  <c r="AH22" i="4"/>
  <c r="V14" i="6" s="1"/>
  <c r="AI22" i="4"/>
  <c r="AJ22" i="4"/>
  <c r="AK22" i="4"/>
  <c r="W14" i="6" s="1"/>
  <c r="AL22" i="4"/>
  <c r="AM22" i="4"/>
  <c r="AN22" i="4"/>
  <c r="AO22" i="4"/>
  <c r="X14" i="6" s="1"/>
  <c r="AP22" i="4"/>
  <c r="AQ22" i="4"/>
  <c r="AR22" i="4"/>
  <c r="AS22" i="4"/>
  <c r="AT22" i="4"/>
  <c r="AU22" i="4"/>
  <c r="AV22" i="4"/>
  <c r="AW22" i="4"/>
  <c r="AX22" i="4"/>
  <c r="AY22" i="4"/>
  <c r="AZ22" i="4"/>
  <c r="BA22" i="4"/>
  <c r="BB22" i="4"/>
  <c r="BC22" i="4"/>
  <c r="BD22" i="4"/>
  <c r="BE22" i="4"/>
  <c r="BF22" i="4"/>
  <c r="BG22" i="4"/>
  <c r="BH22" i="4"/>
  <c r="BJ22" i="4"/>
  <c r="BK22" i="4"/>
  <c r="BL22" i="4"/>
  <c r="BM22" i="4"/>
  <c r="BN22" i="4"/>
  <c r="BO22" i="4"/>
  <c r="BP22" i="4"/>
  <c r="BQ22" i="4"/>
  <c r="BR22" i="4"/>
  <c r="BS22" i="4"/>
  <c r="BT22" i="4"/>
  <c r="BU22" i="4"/>
  <c r="BV22" i="4"/>
  <c r="BW22" i="4"/>
  <c r="P28" i="4" s="1"/>
  <c r="BX22" i="4"/>
  <c r="BZ22" i="4"/>
  <c r="AA14" i="6" s="1"/>
  <c r="CB22" i="4"/>
  <c r="A21" i="4"/>
  <c r="B21" i="4"/>
  <c r="C21" i="4"/>
  <c r="D21" i="4"/>
  <c r="H21" i="4"/>
  <c r="K21" i="4"/>
  <c r="E27" i="4" s="1"/>
  <c r="L21" i="4"/>
  <c r="N21" i="4"/>
  <c r="O21" i="4"/>
  <c r="P21" i="4"/>
  <c r="Q21" i="4"/>
  <c r="R21" i="4"/>
  <c r="S21" i="4"/>
  <c r="T21" i="4"/>
  <c r="U21" i="4"/>
  <c r="V21" i="4"/>
  <c r="W21" i="4"/>
  <c r="X21" i="4"/>
  <c r="Y21" i="4"/>
  <c r="Z21" i="4"/>
  <c r="AA21" i="4"/>
  <c r="AB21" i="4"/>
  <c r="AC21" i="4"/>
  <c r="AD21" i="4"/>
  <c r="AE21" i="4"/>
  <c r="AF21" i="4"/>
  <c r="AG21" i="4"/>
  <c r="AH21" i="4"/>
  <c r="V13" i="6" s="1"/>
  <c r="AI21" i="4"/>
  <c r="AJ21" i="4"/>
  <c r="AK21" i="4"/>
  <c r="W13" i="6" s="1"/>
  <c r="AL21" i="4"/>
  <c r="AM21" i="4"/>
  <c r="AN21" i="4"/>
  <c r="AO21" i="4"/>
  <c r="X13" i="6" s="1"/>
  <c r="AP21" i="4"/>
  <c r="AQ21" i="4"/>
  <c r="AR21" i="4"/>
  <c r="AS21" i="4"/>
  <c r="AT21" i="4"/>
  <c r="AU21" i="4"/>
  <c r="AV21" i="4"/>
  <c r="AW21" i="4"/>
  <c r="AX21" i="4"/>
  <c r="AY21" i="4"/>
  <c r="AZ21" i="4"/>
  <c r="BA21" i="4"/>
  <c r="BB21" i="4"/>
  <c r="BC21" i="4"/>
  <c r="BD21" i="4"/>
  <c r="BE21" i="4"/>
  <c r="BF21" i="4"/>
  <c r="BG21" i="4"/>
  <c r="BH21" i="4"/>
  <c r="BJ21" i="4"/>
  <c r="BK21" i="4"/>
  <c r="BL21" i="4"/>
  <c r="BM21" i="4"/>
  <c r="BN21" i="4"/>
  <c r="BO21" i="4"/>
  <c r="BP21" i="4"/>
  <c r="BQ21" i="4"/>
  <c r="BR21" i="4"/>
  <c r="BS21" i="4"/>
  <c r="BT21" i="4"/>
  <c r="BU21" i="4"/>
  <c r="BV21" i="4"/>
  <c r="BW21" i="4"/>
  <c r="P27" i="4" s="1"/>
  <c r="BX21" i="4"/>
  <c r="BZ21" i="4"/>
  <c r="AA13" i="6" s="1"/>
  <c r="CB21" i="4"/>
  <c r="AH27" i="4" l="1"/>
  <c r="AO27" i="4" s="1"/>
  <c r="BI27" i="4" s="1"/>
  <c r="U13" i="6"/>
  <c r="Z13" i="6" s="1"/>
  <c r="AB13" i="6" s="1"/>
  <c r="A13" i="6"/>
  <c r="D27" i="4"/>
  <c r="D35" i="4" s="1"/>
  <c r="AH26" i="4"/>
  <c r="AO26" i="4" s="1"/>
  <c r="BI26" i="4" s="1"/>
  <c r="U12" i="6"/>
  <c r="A12" i="6"/>
  <c r="D26" i="4"/>
  <c r="D34" i="4" s="1"/>
  <c r="K27" i="4"/>
  <c r="M27" i="4" s="1"/>
  <c r="K26" i="4"/>
  <c r="M26" i="4" s="1"/>
  <c r="AH28" i="4"/>
  <c r="AO28" i="4" s="1"/>
  <c r="BI28" i="4" s="1"/>
  <c r="U14" i="6"/>
  <c r="Z14" i="6" s="1"/>
  <c r="AB14" i="6" s="1"/>
  <c r="A14" i="6"/>
  <c r="D28" i="4"/>
  <c r="D36" i="4" s="1"/>
  <c r="Z12" i="6"/>
  <c r="AB12" i="6" s="1"/>
  <c r="A11" i="6"/>
  <c r="D25" i="4"/>
  <c r="D33" i="4" s="1"/>
  <c r="L28" i="4"/>
  <c r="F22" i="4"/>
  <c r="B19" i="4"/>
  <c r="L26" i="4" l="1"/>
  <c r="F20" i="4"/>
  <c r="L27" i="4"/>
  <c r="F21" i="4"/>
  <c r="BX19" i="4"/>
  <c r="BW19" i="4"/>
  <c r="P25" i="4" s="1"/>
  <c r="BX17" i="4"/>
  <c r="BW17" i="4"/>
  <c r="BV19" i="4"/>
  <c r="BV17" i="4"/>
  <c r="B17" i="4"/>
  <c r="T18" i="4" l="1"/>
  <c r="S18" i="4"/>
  <c r="AB19" i="4" l="1"/>
  <c r="AA19" i="4"/>
  <c r="Z19" i="4"/>
  <c r="Y19" i="4"/>
  <c r="X19" i="4"/>
  <c r="W19" i="4"/>
  <c r="V19" i="4"/>
  <c r="U19" i="4"/>
  <c r="T19" i="4"/>
  <c r="S19" i="4"/>
  <c r="BU19" i="4"/>
  <c r="BT19" i="4"/>
  <c r="BS19" i="4"/>
  <c r="BR19" i="4"/>
  <c r="BQ19" i="4"/>
  <c r="BP19" i="4"/>
  <c r="BO19" i="4"/>
  <c r="BN19" i="4"/>
  <c r="BS18" i="4"/>
  <c r="BT18" i="4"/>
  <c r="BU18" i="4"/>
  <c r="BR18" i="4"/>
  <c r="BQ18" i="4"/>
  <c r="BP18" i="4"/>
  <c r="BN18" i="4"/>
  <c r="BO18" i="4"/>
  <c r="BM18" i="4"/>
  <c r="BM19" i="4"/>
  <c r="BL19" i="4"/>
  <c r="BK19" i="4"/>
  <c r="BJ19" i="4"/>
  <c r="BH19" i="4"/>
  <c r="BG19" i="4"/>
  <c r="BF19" i="4"/>
  <c r="BE19" i="4"/>
  <c r="BD19" i="4"/>
  <c r="BC19" i="4"/>
  <c r="BL18" i="4"/>
  <c r="BK18" i="4"/>
  <c r="BJ18" i="4"/>
  <c r="BH18" i="4"/>
  <c r="BG18" i="4"/>
  <c r="BF18" i="4"/>
  <c r="BE18" i="4"/>
  <c r="BD18" i="4"/>
  <c r="BC18" i="4"/>
  <c r="BB19" i="4"/>
  <c r="BA19" i="4"/>
  <c r="AZ19" i="4"/>
  <c r="AY19" i="4"/>
  <c r="AX19" i="4"/>
  <c r="AW19" i="4"/>
  <c r="AV19" i="4"/>
  <c r="AU19" i="4"/>
  <c r="AT19" i="4"/>
  <c r="AS19" i="4"/>
  <c r="BB18" i="4"/>
  <c r="BA18" i="4"/>
  <c r="AZ18" i="4"/>
  <c r="AY18" i="4"/>
  <c r="AX18" i="4"/>
  <c r="AW18" i="4"/>
  <c r="AV18" i="4"/>
  <c r="AU18" i="4"/>
  <c r="AT18" i="4"/>
  <c r="AS18" i="4"/>
  <c r="AR18" i="4"/>
  <c r="AR19" i="4"/>
  <c r="AQ19" i="4"/>
  <c r="AP19" i="4"/>
  <c r="AO19" i="4"/>
  <c r="X11" i="6" s="1"/>
  <c r="AN19" i="4"/>
  <c r="AM19" i="4"/>
  <c r="AL19" i="4"/>
  <c r="AQ18" i="4"/>
  <c r="AP18" i="4"/>
  <c r="AN18" i="4"/>
  <c r="AM18" i="4"/>
  <c r="AL18" i="4"/>
  <c r="AK18" i="4"/>
  <c r="AK19" i="4"/>
  <c r="W11" i="6" s="1"/>
  <c r="AJ19" i="4"/>
  <c r="AI19" i="4"/>
  <c r="AH19" i="4"/>
  <c r="V11" i="6" s="1"/>
  <c r="AG19" i="4"/>
  <c r="AF19" i="4"/>
  <c r="AE19" i="4"/>
  <c r="AJ18" i="4"/>
  <c r="AI18" i="4"/>
  <c r="AE18" i="4"/>
  <c r="AG18" i="4"/>
  <c r="AF18" i="4"/>
  <c r="AD18" i="4"/>
  <c r="AD19" i="4"/>
  <c r="AC19" i="4"/>
  <c r="AC18" i="4"/>
  <c r="N18" i="4"/>
  <c r="AB18" i="4" l="1"/>
  <c r="AA18" i="4"/>
  <c r="Z18" i="4"/>
  <c r="Y18" i="4"/>
  <c r="X18" i="4"/>
  <c r="W18" i="4"/>
  <c r="V18" i="4"/>
  <c r="U18" i="4"/>
  <c r="R18" i="4" l="1"/>
  <c r="Q18" i="4"/>
  <c r="O18" i="4"/>
  <c r="N19" i="4"/>
  <c r="R19" i="4"/>
  <c r="Q19" i="4"/>
  <c r="P19" i="4"/>
  <c r="O19" i="4"/>
  <c r="N16" i="4"/>
  <c r="L19" i="4"/>
  <c r="K19" i="4"/>
  <c r="E25" i="4" s="1"/>
  <c r="K25" i="4" s="1"/>
  <c r="M25" i="4" s="1"/>
  <c r="H19" i="4"/>
  <c r="CB19" i="4"/>
  <c r="BZ19" i="4"/>
  <c r="AA11" i="6" s="1"/>
  <c r="C19" i="4"/>
  <c r="A19" i="4"/>
  <c r="L25" i="4" l="1"/>
  <c r="F19" i="4"/>
  <c r="AH25" i="4"/>
  <c r="AO25" i="4" s="1"/>
  <c r="BI25" i="4" s="1"/>
  <c r="U11" i="6"/>
  <c r="Z11" i="6" s="1"/>
  <c r="AB11" i="6" s="1"/>
  <c r="CA21" i="4"/>
  <c r="CA22" i="4"/>
  <c r="CA20" i="4"/>
  <c r="CA19" i="4"/>
  <c r="CE20" i="4" l="1"/>
  <c r="CG20" i="4"/>
  <c r="CC20" i="4"/>
  <c r="CC22" i="4"/>
  <c r="CG22" i="4"/>
  <c r="CE22" i="4"/>
  <c r="CC21" i="4"/>
  <c r="CG21" i="4"/>
  <c r="CE21" i="4"/>
  <c r="CC19" i="4"/>
  <c r="CE19" i="4"/>
  <c r="CG19" i="4"/>
  <c r="CH20" i="4" l="1"/>
  <c r="CJ20" i="4" s="1"/>
  <c r="CH21" i="4"/>
  <c r="CH22" i="4"/>
  <c r="CH19" i="4"/>
  <c r="CL20" i="4" l="1"/>
  <c r="E20" i="4" s="1"/>
  <c r="CO20" i="4" s="1"/>
  <c r="CJ22" i="4"/>
  <c r="CL22" i="4"/>
  <c r="CJ21" i="4"/>
  <c r="CL21" i="4"/>
  <c r="CJ19" i="4"/>
  <c r="CL19" i="4"/>
  <c r="G20" i="4" l="1"/>
  <c r="I20" i="4" s="1"/>
  <c r="J20" i="4" s="1"/>
  <c r="M20" i="4" s="1"/>
  <c r="F34" i="4" s="1"/>
  <c r="G34" i="4" s="1"/>
  <c r="O12" i="6"/>
  <c r="E22" i="4"/>
  <c r="CO22" i="4" s="1"/>
  <c r="E21" i="4"/>
  <c r="CO21" i="4" s="1"/>
  <c r="E19" i="4"/>
  <c r="T12" i="6" l="1"/>
  <c r="AC12" i="6" s="1"/>
  <c r="AD12" i="6" s="1"/>
  <c r="AH12" i="6" s="1"/>
  <c r="O11" i="6"/>
  <c r="CO19" i="4"/>
  <c r="G21" i="4"/>
  <c r="I21" i="4" s="1"/>
  <c r="J21" i="4" s="1"/>
  <c r="M21" i="4" s="1"/>
  <c r="F35" i="4" s="1"/>
  <c r="G35" i="4" s="1"/>
  <c r="O13" i="6"/>
  <c r="G22" i="4"/>
  <c r="I22" i="4" s="1"/>
  <c r="J22" i="4" s="1"/>
  <c r="M22" i="4" s="1"/>
  <c r="F36" i="4" s="1"/>
  <c r="G36" i="4" s="1"/>
  <c r="O14" i="6"/>
  <c r="G19" i="4"/>
  <c r="I19" i="4" s="1"/>
  <c r="J19" i="4" s="1"/>
  <c r="M19" i="4" s="1"/>
  <c r="F33" i="4" s="1"/>
  <c r="G33" i="4" s="1"/>
  <c r="T14" i="6" l="1"/>
  <c r="AC14" i="6" s="1"/>
  <c r="AD14" i="6" s="1"/>
  <c r="AH14" i="6" s="1"/>
  <c r="T13" i="6"/>
  <c r="AC13" i="6" s="1"/>
  <c r="AD13" i="6" s="1"/>
  <c r="AH13" i="6" s="1"/>
  <c r="T11" i="6"/>
  <c r="AC11" i="6" s="1"/>
  <c r="AD11" i="6" s="1"/>
  <c r="AH11" i="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24" authorId="0" shapeId="0" xr:uid="{7150CE6D-CC32-42B8-A02F-0D03CC32F8A2}">
      <text>
        <r>
          <rPr>
            <b/>
            <sz val="9"/>
            <color indexed="81"/>
            <rFont val="Tahoma"/>
            <family val="2"/>
          </rPr>
          <t>Author:</t>
        </r>
        <r>
          <rPr>
            <sz val="9"/>
            <color indexed="81"/>
            <rFont val="Tahoma"/>
            <family val="2"/>
          </rPr>
          <t xml:space="preserve">
Take from BI BOM Master</t>
        </r>
      </text>
    </comment>
  </commentList>
</comments>
</file>

<file path=xl/sharedStrings.xml><?xml version="1.0" encoding="utf-8"?>
<sst xmlns="http://schemas.openxmlformats.org/spreadsheetml/2006/main" count="344" uniqueCount="270">
  <si>
    <t>DOCKET NO.</t>
  </si>
  <si>
    <t>ITEM CODE</t>
  </si>
  <si>
    <t>PROPOSE ERP ITEM NAME</t>
  </si>
  <si>
    <t>Insulation Screening (Metallic)</t>
  </si>
  <si>
    <t>Weight (Insulation Screening (Metallic))</t>
  </si>
  <si>
    <t>Conductor</t>
  </si>
  <si>
    <t>AL ALLOY</t>
  </si>
  <si>
    <t>Insulation Screening (Non-Metallic)</t>
  </si>
  <si>
    <t>Insulation</t>
  </si>
  <si>
    <t>POLY TAPE</t>
  </si>
  <si>
    <t>Inner Sheath</t>
  </si>
  <si>
    <t>Armouring</t>
  </si>
  <si>
    <t>Outer Sheath</t>
  </si>
  <si>
    <t>FILLER</t>
  </si>
  <si>
    <t>GREASE</t>
  </si>
  <si>
    <t>Water swellable Tape</t>
  </si>
  <si>
    <t>Semi conducting Water Swellable tape</t>
  </si>
  <si>
    <t>SEMICON TAPE</t>
  </si>
  <si>
    <t>GLASS FIBER TAPE</t>
  </si>
  <si>
    <t>COPPER WIRE 0.8 MM</t>
  </si>
  <si>
    <t>RUBBERIZED COTTON TAPE</t>
  </si>
  <si>
    <t>Water Tight Compound</t>
  </si>
  <si>
    <t>DRUM COST PER KM</t>
  </si>
  <si>
    <t>TOTAL RM COST</t>
  </si>
  <si>
    <t>FIRM %</t>
  </si>
  <si>
    <t>MFG%</t>
  </si>
  <si>
    <t>MFG VALUE</t>
  </si>
  <si>
    <t>PROF%</t>
  </si>
  <si>
    <t>PROFIT VALUE</t>
  </si>
  <si>
    <t>1ST EX-WORKS</t>
  </si>
  <si>
    <t>Intt %</t>
  </si>
  <si>
    <t>INTT VALUE</t>
  </si>
  <si>
    <t>insp%</t>
  </si>
  <si>
    <t>INSP VALUE</t>
  </si>
  <si>
    <t>EX-WORKS (PER KM)</t>
  </si>
  <si>
    <t>FREIGHT PER KM</t>
  </si>
  <si>
    <t>PRICE INCLUDING FREIGHT (PER KM)</t>
  </si>
  <si>
    <t>GST %</t>
  </si>
  <si>
    <t>GST VALUE</t>
  </si>
  <si>
    <t>PRICE INCLUDING GST &amp; FREIGHT (PER KM)</t>
  </si>
  <si>
    <t>QTY</t>
  </si>
  <si>
    <t>Unit</t>
  </si>
  <si>
    <t>TOTAL PRICE OF FULL QTY (INCLUDING FRIGHT &amp; GST)</t>
  </si>
  <si>
    <t>EXTRA CONSUMPTION</t>
  </si>
  <si>
    <t>Alumimium</t>
  </si>
  <si>
    <t>ACSR DOG STEEL WIRE</t>
  </si>
  <si>
    <t>Copper</t>
  </si>
  <si>
    <t>Flexible Copper</t>
  </si>
  <si>
    <t>Galvanized steel wire</t>
  </si>
  <si>
    <t>Alumimium ALLOY</t>
  </si>
  <si>
    <t>LT-XLPE</t>
  </si>
  <si>
    <t>PVC Type ST-2</t>
  </si>
  <si>
    <t>Galvanised Steel Flat Strip</t>
  </si>
  <si>
    <t>Grease</t>
  </si>
  <si>
    <t>HT-XLPE</t>
  </si>
  <si>
    <t>Extruded semiconductive</t>
  </si>
  <si>
    <t>Coper tape - 0.1 mm</t>
  </si>
  <si>
    <t>FR PVC Type ST-1</t>
  </si>
  <si>
    <t>ACSR CORE WIRE</t>
  </si>
  <si>
    <t>Extruded Semiconductive(Stripable)</t>
  </si>
  <si>
    <t>Copper Tape - 0.03 mm</t>
  </si>
  <si>
    <t>FR PVC Type ST-2</t>
  </si>
  <si>
    <t>TR XLPE</t>
  </si>
  <si>
    <t>Copper Tape - 0.035 mm</t>
  </si>
  <si>
    <t>FRLSH PVC Type ST-2</t>
  </si>
  <si>
    <t>Aluminium Flat Strip</t>
  </si>
  <si>
    <t>FRLSH PVC Type ST-1</t>
  </si>
  <si>
    <t>Type A PVC</t>
  </si>
  <si>
    <t>Copper Tape - 0.04 mm</t>
  </si>
  <si>
    <t>PVC Type ST-1</t>
  </si>
  <si>
    <t>Aluminium Round Wire</t>
  </si>
  <si>
    <t>Type C PVC (HR)</t>
  </si>
  <si>
    <t>Copper Tape - 0.045 mm</t>
  </si>
  <si>
    <t>PVC Type ST-1-PRESSURE EXTRUDED</t>
  </si>
  <si>
    <t>PE, ST-3</t>
  </si>
  <si>
    <t>XLPE</t>
  </si>
  <si>
    <t>Copper Tape - 0.050 mm</t>
  </si>
  <si>
    <t>Double Steel Tape</t>
  </si>
  <si>
    <t>PE, ST-7</t>
  </si>
  <si>
    <t>Copper Tape - 0.060 mm</t>
  </si>
  <si>
    <t>PVC Type ST-2-PRESSURE EXTRUDED</t>
  </si>
  <si>
    <t>Copper Tape - 0.075 mm(DOUBLE)</t>
  </si>
  <si>
    <t>Galvanised Steel Flat Strip (Double)</t>
  </si>
  <si>
    <t>Galvanised Steel Flat Strip-B</t>
  </si>
  <si>
    <t>Galvanised Steel Round Wire</t>
  </si>
  <si>
    <t>UV &amp; Track Resistant XLPE</t>
  </si>
  <si>
    <t>Galvanised Steel Round Wire (Double)</t>
  </si>
  <si>
    <t>EXTRA CONSUMPTION VALUE</t>
  </si>
  <si>
    <t>REVERSE AUCTION</t>
  </si>
  <si>
    <t>TENDER SPECIFICATION NO ()</t>
  </si>
  <si>
    <t>TENDER DESCRIPTION  ()</t>
  </si>
  <si>
    <t>Last Date &amp; Time of Submission ()</t>
  </si>
  <si>
    <t>Price ()</t>
  </si>
  <si>
    <t>Validity  ()</t>
  </si>
  <si>
    <t>Delivery Period  ()</t>
  </si>
  <si>
    <t>Payment Terms ()</t>
  </si>
  <si>
    <t>Standard length ()</t>
  </si>
  <si>
    <t>Packing  ()</t>
  </si>
  <si>
    <t>Technical Specification</t>
  </si>
  <si>
    <t>Base Date</t>
  </si>
  <si>
    <t>DRUM CODE</t>
  </si>
  <si>
    <t>DRUM SIZE (FxbXtx Ft)</t>
  </si>
  <si>
    <t>TRANSMISSION CORPORATION OF TELANGANA LIMITED</t>
  </si>
  <si>
    <t>TGPMM11-12/2025</t>
  </si>
  <si>
    <t>supply of 2 Core // 4 Core // 6 Core // 10 Core x 2.5 Sq.mm Copper Control Cables</t>
  </si>
  <si>
    <t xml:space="preserve">03:00 P.M. on  08.05.2025 </t>
  </si>
  <si>
    <t>Not mention</t>
  </si>
  <si>
    <t xml:space="preserve">The prices quoted shall be Variable.  Bids will be called for with prices FADS inclusive of packing and forwarding, GST and other legally permissible duties and levies wherever applicable, handling charges to cover the transport by road from destination railway station to site/stores, unloading at site/stores and insurance (transit and storage at site for 45 days). </t>
  </si>
  <si>
    <t xml:space="preserve">Bids will remain valid for the period of ninety (90) days from the date of bid opening prescribed by the Purchaser. A bid valid for a shorter period will be rejected. </t>
  </si>
  <si>
    <t xml:space="preserve">2 C x 2.5 Sq.mm Copper Control Cable -&gt; 115.28 km -&gt; To commence supply with atleast 60.28 kM within two months  from the date of LOI and complete balance qty. in the next month thereafter.
4 C x 2.5 Sq.mm Copper Control Cable  -&gt; 121.14 km -&gt; To commence supply with atleast 60.14 kM within two months  from the date of LOI and complete balance qty. in the next month thereafter.
6 C x 2.5 Sq.mm Copper Control Cable  -&gt; 125.62  km -&gt; To commence supply with atleast 60.62 kM within two months  from the date of LOI and complete balance qty. in the next month thereafter.
10 C x 2.5 Sq.mm Copper Control Cable -&gt; 67.91 km -&gt; To complete total supply within two months  from the date of LOI. </t>
  </si>
  <si>
    <t xml:space="preserve">100% payment will be arranged within 45 days reckoned from the check measurement date in Form-13 duly transferring the said amount to the bank account of the supplier by the purchaser bank.  The supplier will have to predefine the Bank details while entering into contract.  The supplier will have to predefine the Bank Account details after receipt of LOI and before entering into contract for electronic transfer of payment. However payment in advance may be considered by TGTRANSCO after availing a rebate/ discount @ 0.3% per week or part there of for the advancement depending on the availability of funds. </t>
  </si>
  <si>
    <t xml:space="preserve">Each cable drum shall contain one SINGLE CONTINUOUS LENGTH. The desired drum lengths shall be 1000 meters ± 10 % for 2/ 4/ 6 Core cables and 1000/500 metres ± 10 % for 10/12 core cables.  The overall quantity tolerance shall be ± 5 % for each size. 
The Purchaser reserves the right to alter the drum lengths, if required, while placing the order. The bidder may also offer the maximum drum lengths he is capable of supplying against each size. </t>
  </si>
  <si>
    <t>The cable shall be wound on a non-returnable wooden/steel drum (conforming to the latest version of IS:10810) of suitable size and packed. The ends of the cable shall be sealed by means of non-hygroscopic sealing material. The drum packing shall be robust enough for rough handling that may be subjected to during transit by water/rail /road. Type and material of the drum shall be specified by the Bidder by means of a dimensional drawing.</t>
  </si>
  <si>
    <t>Propose Drum Type</t>
  </si>
  <si>
    <t>Insulation Screening(Metallic)</t>
  </si>
  <si>
    <t>RM Rate(Insulation Screening(Metallic))</t>
  </si>
  <si>
    <t>Cost Insulation Screening(Metallic)</t>
  </si>
  <si>
    <t>RM Rate(Conductor)</t>
  </si>
  <si>
    <t>Weight(Conductor)</t>
  </si>
  <si>
    <t>Cost(Conductor)</t>
  </si>
  <si>
    <t>RM Rate(AL Alloy)</t>
  </si>
  <si>
    <t>Weight(Al Alloy)</t>
  </si>
  <si>
    <t>Cost(AL Alloy)</t>
  </si>
  <si>
    <t>Insulation Screening(Non-Metallic)</t>
  </si>
  <si>
    <t>RM Rate(Insulation Screening(Non-Metallic))</t>
  </si>
  <si>
    <t>Weight(Insulation Screening(Non-Metallic)</t>
  </si>
  <si>
    <t>Cost(Insulation Screening(Non-Metallic)</t>
  </si>
  <si>
    <t>RM Rate(Insulation)</t>
  </si>
  <si>
    <t>Weight(Insulation)</t>
  </si>
  <si>
    <t>Cost(Insulation)</t>
  </si>
  <si>
    <t>Poly Tape</t>
  </si>
  <si>
    <t>RM Rate(Poly Tape)</t>
  </si>
  <si>
    <t>Weight(Poly Tape)</t>
  </si>
  <si>
    <t>Cost(Poly Tape)</t>
  </si>
  <si>
    <t>RM Rate(Inner Sheath)</t>
  </si>
  <si>
    <t>Weight(Inner Sheath)</t>
  </si>
  <si>
    <t>Cost(Inner Sheath)</t>
  </si>
  <si>
    <t>RM Rate(Armouring)</t>
  </si>
  <si>
    <t>Weight(Armouring)</t>
  </si>
  <si>
    <t>Cost(Armouring)</t>
  </si>
  <si>
    <t>RM Rate(Outer Sheath)</t>
  </si>
  <si>
    <t>Weight(Outer Sheath)</t>
  </si>
  <si>
    <t>Cost(Outer Sheath)</t>
  </si>
  <si>
    <t>Filler</t>
  </si>
  <si>
    <t>RM Rate(Filler)</t>
  </si>
  <si>
    <t>Weight(Filler)</t>
  </si>
  <si>
    <t>Cost(Filler)</t>
  </si>
  <si>
    <t>RM Rate(Grease)</t>
  </si>
  <si>
    <t>Weight(Grease)</t>
  </si>
  <si>
    <t>Cost(Grease)</t>
  </si>
  <si>
    <t>Water Swellable Tape</t>
  </si>
  <si>
    <t>RM Rate(Water Swellable Tape)</t>
  </si>
  <si>
    <t>Weight(Water Swellable Tape)</t>
  </si>
  <si>
    <t>Cost(Water Swellable Tape)</t>
  </si>
  <si>
    <t>Semi Conducting Water Swellable Tape</t>
  </si>
  <si>
    <t>RM Rate(Semi Conducting Water Swellable Tape)</t>
  </si>
  <si>
    <t>Weight(Semi Conducting Water Swellable Tape)</t>
  </si>
  <si>
    <t>Cost(Semi Conducting Water Swellable Tape)</t>
  </si>
  <si>
    <t>Semicon Tape</t>
  </si>
  <si>
    <t>RM Rate(Semicon Tape)</t>
  </si>
  <si>
    <t>Weight(Semicon Tape)</t>
  </si>
  <si>
    <t>Cost(Semicon Tape)</t>
  </si>
  <si>
    <t>Glass Fiber Tape</t>
  </si>
  <si>
    <t>RM Rate(Glass Fiber Tape)</t>
  </si>
  <si>
    <t>Weight(Glass Fiber Tape)</t>
  </si>
  <si>
    <t>Cost(Glass Fiber Tape)</t>
  </si>
  <si>
    <t>Copper Wire 0.8MM</t>
  </si>
  <si>
    <t>RM Rate(Copper Wire 0.8MM)</t>
  </si>
  <si>
    <t>Weight(Copper Wire 0.8MM)</t>
  </si>
  <si>
    <t>Cost(Copper Wire 0.8MM)</t>
  </si>
  <si>
    <t>Rubberized Cotton Tape</t>
  </si>
  <si>
    <t>RM Rate(Rubberized Cotton Tape)</t>
  </si>
  <si>
    <t>Weight(Rubberized Cotton Tape)</t>
  </si>
  <si>
    <t>Cost(Rubberized Cotton Tape)</t>
  </si>
  <si>
    <t>RM Rate(Water Tight Compound)</t>
  </si>
  <si>
    <t>Weight(Water Tight Compound)</t>
  </si>
  <si>
    <t>Cost(Water Tight Compound)</t>
  </si>
  <si>
    <t>Drum Cost Per KM</t>
  </si>
  <si>
    <t>Total RM Cost</t>
  </si>
  <si>
    <t>Firm Value</t>
  </si>
  <si>
    <t>MFG Value</t>
  </si>
  <si>
    <t>Profit Value</t>
  </si>
  <si>
    <t>1st EX-Works</t>
  </si>
  <si>
    <t>Intt Value</t>
  </si>
  <si>
    <t>Insp Value</t>
  </si>
  <si>
    <t>EX-Works Per KM</t>
  </si>
  <si>
    <t>Freight Per KM</t>
  </si>
  <si>
    <t>Price Including Freight Per KM</t>
  </si>
  <si>
    <t>GST Value</t>
  </si>
  <si>
    <t>Price Including GST &amp; Freight Per KM</t>
  </si>
  <si>
    <t>Total Price Of Full QTY(Including Freight&amp;GST)</t>
  </si>
  <si>
    <t>Party Standard Length(MTR)</t>
  </si>
  <si>
    <t>ENQ-15853-22-23</t>
  </si>
  <si>
    <t>FA0300004</t>
  </si>
  <si>
    <t>2 CORE X 2.5 SQ. MM. CU/UNARD.(PVC)</t>
  </si>
  <si>
    <t>WOOD</t>
  </si>
  <si>
    <t>KMS</t>
  </si>
  <si>
    <t>MD0100004</t>
  </si>
  <si>
    <t>DRUM - 28 X 10 X 23 X 2</t>
  </si>
  <si>
    <t>FA0300006</t>
  </si>
  <si>
    <t>4 CORE X 2.5 SQ. MM. CU/UNARD.(PVC)</t>
  </si>
  <si>
    <t>MD0100005</t>
  </si>
  <si>
    <t>DRUM - 36 X 14 X 23 X 2</t>
  </si>
  <si>
    <t>FA0300011</t>
  </si>
  <si>
    <t>10 CORE X 2.5 SQ. MM. CU/UNARD. (PVC)</t>
  </si>
  <si>
    <t>MD0100066</t>
  </si>
  <si>
    <t>DRUM - 40 X 15 X 23 X 2</t>
  </si>
  <si>
    <t>FA0300030</t>
  </si>
  <si>
    <t>6 CORE X 2.5 SQ. MM. CU/UNARD.(PVC)</t>
  </si>
  <si>
    <t>MD0100067</t>
  </si>
  <si>
    <t>DRUM - 40 X 18 X 23 X 2</t>
  </si>
  <si>
    <t xml:space="preserve">Order Quantity </t>
  </si>
  <si>
    <t>Stnd Length</t>
  </si>
  <si>
    <t>Truck type</t>
  </si>
  <si>
    <t xml:space="preserve">Fare of one truck </t>
  </si>
  <si>
    <t>No of Drum in one truck</t>
  </si>
  <si>
    <t>Total length in one Truck</t>
  </si>
  <si>
    <t xml:space="preserve">No of Truck </t>
  </si>
  <si>
    <t>Total Freight</t>
  </si>
  <si>
    <t>Freight per KM</t>
  </si>
  <si>
    <t>16 MT</t>
  </si>
  <si>
    <t>PV FORMULA</t>
  </si>
  <si>
    <t xml:space="preserve">P= P0 + CuF (Cu - Cu0) + CCFCu (CC – CC0) + FeF(Fe-Fe0) </t>
  </si>
  <si>
    <t xml:space="preserve">For unarmoued control cables FeF = 0
</t>
  </si>
  <si>
    <t>Item</t>
  </si>
  <si>
    <t>Calculation part</t>
  </si>
  <si>
    <t>Date of Inspection</t>
  </si>
  <si>
    <t>Applicable Date</t>
  </si>
  <si>
    <t>BASE DATE</t>
  </si>
  <si>
    <t>FACTORS</t>
  </si>
  <si>
    <t>Ex-Work
Po</t>
  </si>
  <si>
    <t>PVC of Cu</t>
  </si>
  <si>
    <t>PVC of PVC</t>
  </si>
  <si>
    <t>PVC of FE</t>
  </si>
  <si>
    <t>PV/PKM</t>
  </si>
  <si>
    <t>Billing Price/PKM</t>
  </si>
  <si>
    <t>VALUE ADDITION CALCULATION</t>
  </si>
  <si>
    <t>Date</t>
  </si>
  <si>
    <t>Cu</t>
  </si>
  <si>
    <t>PVC</t>
  </si>
  <si>
    <t>Fe</t>
  </si>
  <si>
    <t>Cuo</t>
  </si>
  <si>
    <t>PVCo</t>
  </si>
  <si>
    <t>Feo</t>
  </si>
  <si>
    <t>CuF</t>
  </si>
  <si>
    <t>CCFCu</t>
  </si>
  <si>
    <t>FeF</t>
  </si>
  <si>
    <t>RMC</t>
  </si>
  <si>
    <t xml:space="preserve">Drum </t>
  </si>
  <si>
    <t>RMC+Drum</t>
  </si>
  <si>
    <t>VA</t>
  </si>
  <si>
    <t>Gross VA%</t>
  </si>
  <si>
    <t>Mfg %</t>
  </si>
  <si>
    <t>Int %</t>
  </si>
  <si>
    <t>Ins%</t>
  </si>
  <si>
    <t>Net VA</t>
  </si>
  <si>
    <t>Provisional</t>
  </si>
  <si>
    <t>ATR PVC Type ST-1</t>
  </si>
  <si>
    <t>NOTE:</t>
  </si>
  <si>
    <t>Please consider 7 RS/Kg extra on outer sheath for ATR for all items.</t>
  </si>
  <si>
    <t>CABLE WEIGHT KG/KM</t>
  </si>
  <si>
    <t>DRUM WEIGHT</t>
  </si>
  <si>
    <t>CABLE+DRUM WEIGHT</t>
  </si>
  <si>
    <t>TRUCK WEIGHT</t>
  </si>
  <si>
    <t>LP FEB 25</t>
  </si>
  <si>
    <t>DISC %</t>
  </si>
  <si>
    <t>ESTIMATE COST</t>
  </si>
  <si>
    <t>OUR COST</t>
  </si>
  <si>
    <t>DIFF % FROM OUR COST</t>
  </si>
  <si>
    <t>INCLUDING GST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</si>
</sst>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 #,##0.00_ ;_ * \-#,##0.00_ ;_ * &quot;-&quot;??_ ;_ @_ "/>
    <numFmt numFmtId="165" formatCode="0.000%"/>
    <numFmt numFmtId="166" formatCode="0.0000"/>
    <numFmt numFmtId="167" formatCode="&quot;Rs.&quot;#,##0"/>
    <numFmt numFmtId="168" formatCode="0.0"/>
    <numFmt numFmtId="169" formatCode="0.000"/>
  </numFmts>
  <fonts count="23"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sz val="11"/>
      <color rgb="FF000000"/>
      <name val="Calibri"/>
      <family val="2"/>
      <scheme val="minor"/>
    </font>
    <font>
      <sz val="11"/>
      <color indexed="8"/>
      <name val="Calibri"/>
      <family val="2"/>
      <scheme val="minor"/>
    </font>
    <font>
      <sz val="10"/>
      <color rgb="FF000000"/>
      <name val="Arial"/>
      <family val="2"/>
    </font>
    <font>
      <sz val="10"/>
      <color rgb="FF000000"/>
      <name val="Arial"/>
      <family val="2"/>
    </font>
    <font>
      <sz val="14"/>
      <color theme="1"/>
      <name val="Arial Black"/>
      <family val="2"/>
    </font>
    <font>
      <sz val="11"/>
      <name val="Calibri"/>
      <family val="2"/>
      <scheme val="minor"/>
    </font>
    <font>
      <sz val="10"/>
      <name val="Verdana"/>
      <family val="2"/>
    </font>
    <font>
      <sz val="10"/>
      <name val="Arial"/>
      <family val="2"/>
    </font>
    <font>
      <b/>
      <sz val="9"/>
      <color indexed="81"/>
      <name val="Tahoma"/>
      <family val="2"/>
    </font>
    <font>
      <sz val="9"/>
      <color indexed="81"/>
      <name val="Tahoma"/>
      <family val="2"/>
    </font>
    <font>
      <b/>
      <sz val="14"/>
      <name val="Calibri"/>
      <family val="2"/>
      <scheme val="minor"/>
    </font>
    <font>
      <b/>
      <sz val="10"/>
      <name val="Calibri"/>
      <family val="2"/>
      <scheme val="minor"/>
    </font>
    <font>
      <sz val="10"/>
      <name val="Calibri"/>
      <family val="2"/>
      <scheme val="minor"/>
    </font>
    <font>
      <b/>
      <sz val="10"/>
      <name val="Verdana"/>
      <family val="2"/>
    </font>
    <font>
      <b/>
      <sz val="10"/>
      <name val="Arial"/>
      <family val="2"/>
    </font>
    <font>
      <b/>
      <sz val="11"/>
      <color rgb="FF000000"/>
      <name val="Calibri"/>
      <family val="2"/>
      <scheme val="minor"/>
    </font>
    <font>
      <b/>
      <sz val="10"/>
      <color rgb="FF000000"/>
      <name val="Arial"/>
      <family val="2"/>
    </font>
    <font>
      <sz val="10"/>
      <color rgb="FFFF0000"/>
      <name val="Calibri"/>
      <family val="2"/>
      <scheme val="minor"/>
    </font>
  </fonts>
  <fills count="11">
    <fill>
      <patternFill patternType="none"/>
    </fill>
    <fill>
      <patternFill patternType="gray125"/>
    </fill>
    <fill>
      <patternFill patternType="solid">
        <fgColor theme="9" tint="0.39997558519241921"/>
        <bgColor indexed="65"/>
      </patternFill>
    </fill>
    <fill>
      <patternFill patternType="solid">
        <fgColor theme="9" tint="0.39997558519241921"/>
        <bgColor indexed="64"/>
      </patternFill>
    </fill>
    <fill>
      <patternFill patternType="solid">
        <fgColor theme="9" tint="0.39997558519241921"/>
        <bgColor rgb="FF000000"/>
      </patternFill>
    </fill>
    <fill>
      <patternFill patternType="solid">
        <fgColor theme="5" tint="0.59999389629810485"/>
        <bgColor indexed="64"/>
      </patternFill>
    </fill>
    <fill>
      <patternFill patternType="solid">
        <fgColor rgb="FF00B0F0"/>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rgb="FFFFFF00"/>
        <bgColor indexed="64"/>
      </patternFill>
    </fill>
  </fills>
  <borders count="5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diagonal/>
    </border>
    <border>
      <left style="medium">
        <color indexed="64"/>
      </left>
      <right/>
      <top/>
      <bottom/>
      <diagonal/>
    </border>
    <border>
      <left style="medium">
        <color indexed="64"/>
      </left>
      <right style="medium">
        <color indexed="64"/>
      </right>
      <top/>
      <bottom/>
      <diagonal/>
    </border>
    <border>
      <left/>
      <right style="medium">
        <color indexed="64"/>
      </right>
      <top/>
      <bottom/>
      <diagonal/>
    </border>
    <border>
      <left style="medium">
        <color indexed="64"/>
      </left>
      <right/>
      <top style="thin">
        <color indexed="64"/>
      </top>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thin">
        <color indexed="64"/>
      </bottom>
      <diagonal/>
    </border>
    <border>
      <left style="medium">
        <color indexed="64"/>
      </left>
      <right style="medium">
        <color indexed="64"/>
      </right>
      <top/>
      <bottom style="thin">
        <color indexed="64"/>
      </bottom>
      <diagonal/>
    </border>
    <border>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medium">
        <color indexed="64"/>
      </left>
      <right style="thin">
        <color indexed="64"/>
      </right>
      <top style="thin">
        <color indexed="64"/>
      </top>
      <bottom/>
      <diagonal/>
    </border>
    <border>
      <left/>
      <right style="thin">
        <color indexed="64"/>
      </right>
      <top/>
      <bottom/>
      <diagonal/>
    </border>
    <border>
      <left style="thin">
        <color indexed="64"/>
      </left>
      <right style="medium">
        <color indexed="64"/>
      </right>
      <top/>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8">
    <xf numFmtId="0" fontId="0" fillId="0" borderId="0"/>
    <xf numFmtId="164" fontId="1" fillId="0" borderId="0" applyFont="0" applyFill="0" applyBorder="0" applyAlignment="0" applyProtection="0"/>
    <xf numFmtId="9" fontId="1" fillId="0" borderId="0" applyFont="0" applyFill="0" applyBorder="0" applyAlignment="0" applyProtection="0"/>
    <xf numFmtId="0" fontId="6" fillId="0" borderId="0"/>
    <xf numFmtId="0" fontId="11" fillId="0" borderId="0"/>
    <xf numFmtId="0" fontId="12" fillId="0" borderId="0"/>
    <xf numFmtId="0" fontId="12" fillId="0" borderId="0"/>
    <xf numFmtId="43" fontId="1" fillId="0" borderId="0" applyFont="0" applyFill="0" applyBorder="0" applyAlignment="0" applyProtection="0"/>
  </cellStyleXfs>
  <cellXfs count="203">
    <xf numFmtId="0" fontId="0" fillId="0" borderId="0" xfId="0"/>
    <xf numFmtId="0" fontId="0" fillId="0" borderId="1" xfId="0" applyBorder="1" applyAlignment="1">
      <alignment wrapText="1"/>
    </xf>
    <xf numFmtId="0" fontId="2" fillId="0" borderId="1" xfId="0" applyFont="1" applyBorder="1" applyAlignment="1">
      <alignment horizontal="center" vertical="center" wrapText="1"/>
    </xf>
    <xf numFmtId="164" fontId="0" fillId="0" borderId="1" xfId="1" applyFont="1" applyBorder="1" applyAlignment="1">
      <alignment wrapText="1"/>
    </xf>
    <xf numFmtId="164" fontId="0" fillId="0" borderId="0" xfId="1" applyFont="1"/>
    <xf numFmtId="164" fontId="3" fillId="0" borderId="1" xfId="1" applyFont="1" applyBorder="1" applyAlignment="1">
      <alignment horizontal="center" vertical="center" wrapText="1"/>
    </xf>
    <xf numFmtId="9" fontId="3" fillId="0" borderId="1" xfId="2" applyFont="1" applyBorder="1" applyAlignment="1">
      <alignment horizontal="center" vertical="center" wrapText="1"/>
    </xf>
    <xf numFmtId="9" fontId="0" fillId="0" borderId="1" xfId="2" applyFont="1" applyBorder="1" applyAlignment="1">
      <alignment wrapText="1"/>
    </xf>
    <xf numFmtId="9" fontId="0" fillId="0" borderId="0" xfId="2" applyFont="1"/>
    <xf numFmtId="164" fontId="0" fillId="0" borderId="1" xfId="0" applyNumberFormat="1" applyBorder="1" applyAlignment="1">
      <alignment wrapText="1"/>
    </xf>
    <xf numFmtId="0" fontId="0" fillId="0" borderId="1" xfId="0" applyBorder="1" applyAlignment="1">
      <alignment horizontal="center" vertical="center" wrapText="1"/>
    </xf>
    <xf numFmtId="10" fontId="0" fillId="0" borderId="1" xfId="0" applyNumberFormat="1" applyBorder="1" applyAlignment="1">
      <alignment horizontal="center" vertical="center" wrapText="1"/>
    </xf>
    <xf numFmtId="3" fontId="0" fillId="0" borderId="1" xfId="0" applyNumberFormat="1" applyBorder="1" applyAlignment="1">
      <alignment horizontal="center" vertical="center" wrapText="1"/>
    </xf>
    <xf numFmtId="165" fontId="3" fillId="0" borderId="1" xfId="2" applyNumberFormat="1" applyFont="1" applyBorder="1" applyAlignment="1">
      <alignment horizontal="center" vertical="center" wrapText="1"/>
    </xf>
    <xf numFmtId="165" fontId="0" fillId="0" borderId="0" xfId="2" applyNumberFormat="1" applyFont="1"/>
    <xf numFmtId="0" fontId="3" fillId="0" borderId="1" xfId="0" applyFont="1" applyBorder="1" applyAlignment="1">
      <alignment horizontal="center" vertical="center" wrapText="1"/>
    </xf>
    <xf numFmtId="10" fontId="0" fillId="0" borderId="1" xfId="0" applyNumberFormat="1" applyBorder="1" applyAlignment="1">
      <alignment wrapText="1"/>
    </xf>
    <xf numFmtId="3" fontId="0" fillId="0" borderId="1" xfId="0" applyNumberFormat="1" applyBorder="1" applyAlignment="1">
      <alignment wrapText="1"/>
    </xf>
    <xf numFmtId="0" fontId="2" fillId="0" borderId="0" xfId="0" applyFont="1" applyAlignment="1">
      <alignment horizontal="center" vertical="center" wrapText="1"/>
    </xf>
    <xf numFmtId="0" fontId="4" fillId="0" borderId="0" xfId="0" applyFont="1" applyAlignment="1">
      <alignment horizontal="center" vertical="center" wrapText="1"/>
    </xf>
    <xf numFmtId="0" fontId="8" fillId="4" borderId="1" xfId="0" applyFont="1" applyFill="1" applyBorder="1" applyAlignment="1">
      <alignment vertical="center" wrapText="1"/>
    </xf>
    <xf numFmtId="0" fontId="8" fillId="3" borderId="1" xfId="0" applyFont="1" applyFill="1" applyBorder="1" applyAlignment="1">
      <alignment vertical="center" wrapText="1"/>
    </xf>
    <xf numFmtId="0" fontId="3" fillId="3" borderId="1" xfId="0" applyFont="1" applyFill="1" applyBorder="1" applyAlignment="1">
      <alignment vertical="center" wrapText="1"/>
    </xf>
    <xf numFmtId="0" fontId="5" fillId="3" borderId="1" xfId="0" applyFont="1" applyFill="1" applyBorder="1" applyAlignment="1">
      <alignment vertical="center" wrapText="1"/>
    </xf>
    <xf numFmtId="0" fontId="7" fillId="2" borderId="1" xfId="3" applyFont="1" applyFill="1" applyBorder="1" applyAlignment="1">
      <alignment vertical="center" wrapText="1"/>
    </xf>
    <xf numFmtId="0" fontId="4" fillId="3" borderId="1" xfId="0" applyFont="1" applyFill="1" applyBorder="1" applyAlignment="1">
      <alignment vertical="center" wrapText="1"/>
    </xf>
    <xf numFmtId="10" fontId="4" fillId="0" borderId="0" xfId="2" applyNumberFormat="1" applyFont="1" applyAlignment="1">
      <alignment horizontal="center" vertical="center" wrapText="1"/>
    </xf>
    <xf numFmtId="10" fontId="0" fillId="0" borderId="1" xfId="2" applyNumberFormat="1" applyFont="1" applyBorder="1" applyAlignment="1">
      <alignment wrapText="1"/>
    </xf>
    <xf numFmtId="10" fontId="0" fillId="0" borderId="0" xfId="2" applyNumberFormat="1" applyFont="1"/>
    <xf numFmtId="164" fontId="4" fillId="0" borderId="0" xfId="1" applyFont="1" applyAlignment="1">
      <alignment horizontal="center" vertical="center" wrapText="1"/>
    </xf>
    <xf numFmtId="0" fontId="0" fillId="0" borderId="0" xfId="0" applyAlignment="1">
      <alignment wrapText="1"/>
    </xf>
    <xf numFmtId="164" fontId="3" fillId="3" borderId="1" xfId="1" applyFont="1" applyFill="1" applyBorder="1" applyAlignment="1">
      <alignment vertical="center" wrapText="1"/>
    </xf>
    <xf numFmtId="164" fontId="5" fillId="3" borderId="1" xfId="1" applyFont="1" applyFill="1" applyBorder="1" applyAlignment="1">
      <alignment vertical="center" wrapText="1"/>
    </xf>
    <xf numFmtId="164" fontId="7" fillId="2" borderId="1" xfId="1" applyFont="1" applyFill="1" applyBorder="1" applyAlignment="1">
      <alignment vertical="center" wrapText="1"/>
    </xf>
    <xf numFmtId="164" fontId="8" fillId="4" borderId="1" xfId="1" applyFont="1" applyFill="1" applyBorder="1" applyAlignment="1">
      <alignment vertical="center" wrapText="1"/>
    </xf>
    <xf numFmtId="164" fontId="8" fillId="3" borderId="1" xfId="1" applyFont="1" applyFill="1" applyBorder="1" applyAlignment="1">
      <alignment vertical="center" wrapText="1"/>
    </xf>
    <xf numFmtId="164" fontId="4" fillId="3" borderId="1" xfId="1" applyFont="1" applyFill="1" applyBorder="1" applyAlignment="1">
      <alignment vertical="center" wrapText="1"/>
    </xf>
    <xf numFmtId="0" fontId="0" fillId="0" borderId="0" xfId="0" applyAlignment="1">
      <alignment horizontal="center" vertical="center"/>
    </xf>
    <xf numFmtId="0" fontId="0" fillId="0" borderId="4" xfId="0" applyBorder="1" applyAlignment="1">
      <alignment horizontal="center" vertical="center" wrapText="1"/>
    </xf>
    <xf numFmtId="164" fontId="0" fillId="0" borderId="1" xfId="1" applyFont="1" applyBorder="1" applyAlignment="1">
      <alignment horizontal="center" vertical="center" wrapText="1"/>
    </xf>
    <xf numFmtId="10" fontId="0" fillId="0" borderId="1" xfId="2" applyNumberFormat="1" applyFont="1" applyBorder="1" applyAlignment="1">
      <alignment horizontal="center" vertical="center" wrapText="1"/>
    </xf>
    <xf numFmtId="165" fontId="0" fillId="0" borderId="0" xfId="2" applyNumberFormat="1" applyFont="1" applyAlignment="1">
      <alignment horizontal="center" vertical="center"/>
    </xf>
    <xf numFmtId="164" fontId="0" fillId="0" borderId="0" xfId="1" applyFont="1" applyAlignment="1">
      <alignment horizontal="center" vertical="center"/>
    </xf>
    <xf numFmtId="9" fontId="0" fillId="0" borderId="0" xfId="2" applyFont="1" applyAlignment="1">
      <alignment horizontal="center" vertical="center"/>
    </xf>
    <xf numFmtId="0" fontId="0" fillId="0" borderId="0" xfId="0" applyAlignment="1">
      <alignment vertical="center"/>
    </xf>
    <xf numFmtId="0" fontId="2" fillId="5" borderId="5" xfId="0" applyFont="1" applyFill="1" applyBorder="1" applyAlignment="1">
      <alignment vertical="top" wrapText="1"/>
    </xf>
    <xf numFmtId="0" fontId="2" fillId="5" borderId="6" xfId="0" applyFont="1" applyFill="1" applyBorder="1" applyAlignment="1">
      <alignment vertical="top" wrapText="1"/>
    </xf>
    <xf numFmtId="0" fontId="9" fillId="0" borderId="0" xfId="0" applyFont="1"/>
    <xf numFmtId="10" fontId="2" fillId="0" borderId="1" xfId="2" applyNumberFormat="1" applyFont="1" applyBorder="1" applyAlignment="1">
      <alignment wrapText="1"/>
    </xf>
    <xf numFmtId="0" fontId="2" fillId="5" borderId="1" xfId="0" applyFont="1" applyFill="1" applyBorder="1" applyAlignment="1">
      <alignment vertical="center" wrapText="1"/>
    </xf>
    <xf numFmtId="0" fontId="2" fillId="0" borderId="0" xfId="0" applyFont="1" applyAlignment="1">
      <alignment vertical="center" wrapText="1"/>
    </xf>
    <xf numFmtId="14" fontId="0" fillId="0" borderId="1" xfId="0" applyNumberFormat="1" applyBorder="1" applyAlignment="1">
      <alignment wrapText="1"/>
    </xf>
    <xf numFmtId="164" fontId="8" fillId="0" borderId="0" xfId="1" applyFont="1" applyFill="1" applyBorder="1" applyAlignment="1">
      <alignment vertical="center" wrapText="1"/>
    </xf>
    <xf numFmtId="0" fontId="8" fillId="5" borderId="1" xfId="0" applyFont="1" applyFill="1" applyBorder="1" applyAlignment="1">
      <alignment vertical="center" wrapText="1"/>
    </xf>
    <xf numFmtId="14" fontId="0" fillId="0" borderId="0" xfId="0" applyNumberFormat="1"/>
    <xf numFmtId="4" fontId="0" fillId="0" borderId="0" xfId="0" applyNumberFormat="1"/>
    <xf numFmtId="10" fontId="0" fillId="0" borderId="0" xfId="0" applyNumberFormat="1"/>
    <xf numFmtId="3" fontId="0" fillId="0" borderId="0" xfId="0" applyNumberFormat="1"/>
    <xf numFmtId="0" fontId="2" fillId="0" borderId="1" xfId="0" applyFont="1" applyBorder="1" applyAlignment="1">
      <alignment horizontal="center" vertical="center"/>
    </xf>
    <xf numFmtId="0" fontId="2" fillId="6" borderId="1" xfId="0" applyFont="1" applyFill="1" applyBorder="1" applyAlignment="1">
      <alignment horizontal="center" vertical="center" wrapText="1"/>
    </xf>
    <xf numFmtId="0" fontId="2" fillId="7" borderId="1" xfId="0" applyFont="1" applyFill="1" applyBorder="1" applyAlignment="1">
      <alignment horizontal="center" vertical="center"/>
    </xf>
    <xf numFmtId="43" fontId="2" fillId="0" borderId="1" xfId="7" applyFont="1" applyFill="1" applyBorder="1" applyAlignment="1">
      <alignment horizontal="center" vertical="center"/>
    </xf>
    <xf numFmtId="43" fontId="2" fillId="6" borderId="1" xfId="7" applyFont="1" applyFill="1" applyBorder="1" applyAlignment="1">
      <alignment horizontal="center" vertical="center"/>
    </xf>
    <xf numFmtId="43" fontId="0" fillId="0" borderId="1" xfId="0" applyNumberFormat="1" applyBorder="1" applyAlignment="1">
      <alignment wrapText="1"/>
    </xf>
    <xf numFmtId="0" fontId="16" fillId="0" borderId="0" xfId="4" applyFont="1"/>
    <xf numFmtId="0" fontId="17" fillId="0" borderId="0" xfId="5" applyFont="1"/>
    <xf numFmtId="0" fontId="11" fillId="0" borderId="0" xfId="4"/>
    <xf numFmtId="0" fontId="17" fillId="0" borderId="0" xfId="4" applyFont="1" applyAlignment="1">
      <alignment horizontal="center"/>
    </xf>
    <xf numFmtId="0" fontId="11" fillId="0" borderId="1" xfId="4" applyBorder="1" applyAlignment="1">
      <alignment horizontal="left" vertical="center"/>
    </xf>
    <xf numFmtId="0" fontId="16" fillId="0" borderId="0" xfId="4" applyFont="1" applyAlignment="1">
      <alignment horizontal="center" vertical="center"/>
    </xf>
    <xf numFmtId="0" fontId="16" fillId="0" borderId="0" xfId="4" applyFont="1" applyAlignment="1">
      <alignment vertical="center"/>
    </xf>
    <xf numFmtId="0" fontId="11" fillId="0" borderId="0" xfId="4" applyAlignment="1">
      <alignment horizontal="center"/>
    </xf>
    <xf numFmtId="166" fontId="16" fillId="0" borderId="0" xfId="4" applyNumberFormat="1" applyFont="1" applyAlignment="1">
      <alignment vertical="center"/>
    </xf>
    <xf numFmtId="14" fontId="17" fillId="0" borderId="0" xfId="4" applyNumberFormat="1" applyFont="1" applyAlignment="1">
      <alignment horizontal="center"/>
    </xf>
    <xf numFmtId="0" fontId="19" fillId="0" borderId="0" xfId="5" applyFont="1" applyAlignment="1">
      <alignment vertical="center"/>
    </xf>
    <xf numFmtId="0" fontId="16" fillId="0" borderId="2" xfId="5" applyFont="1" applyBorder="1" applyAlignment="1">
      <alignment horizontal="center" vertical="center" wrapText="1"/>
    </xf>
    <xf numFmtId="0" fontId="16" fillId="0" borderId="27" xfId="5" applyFont="1" applyBorder="1" applyAlignment="1">
      <alignment horizontal="center" vertical="center" wrapText="1"/>
    </xf>
    <xf numFmtId="0" fontId="16" fillId="0" borderId="6" xfId="5" applyFont="1" applyBorder="1" applyAlignment="1">
      <alignment horizontal="center" vertical="center" wrapText="1"/>
    </xf>
    <xf numFmtId="0" fontId="20" fillId="0" borderId="34" xfId="0" applyFont="1" applyBorder="1" applyAlignment="1">
      <alignment horizontal="center" vertical="center" wrapText="1"/>
    </xf>
    <xf numFmtId="0" fontId="21" fillId="0" borderId="35" xfId="3" applyFont="1" applyBorder="1" applyAlignment="1">
      <alignment horizontal="center" vertical="center" wrapText="1"/>
    </xf>
    <xf numFmtId="0" fontId="19" fillId="0" borderId="35" xfId="5" applyFont="1" applyBorder="1" applyAlignment="1">
      <alignment horizontal="center" vertical="center" wrapText="1"/>
    </xf>
    <xf numFmtId="0" fontId="19" fillId="0" borderId="36" xfId="5" applyFont="1" applyBorder="1" applyAlignment="1">
      <alignment horizontal="center" vertical="center" wrapText="1"/>
    </xf>
    <xf numFmtId="0" fontId="11" fillId="0" borderId="23" xfId="4" applyBorder="1"/>
    <xf numFmtId="0" fontId="11" fillId="0" borderId="24" xfId="4" applyBorder="1"/>
    <xf numFmtId="0" fontId="17" fillId="0" borderId="25" xfId="5" applyFont="1" applyBorder="1"/>
    <xf numFmtId="0" fontId="17" fillId="0" borderId="0" xfId="5" applyFont="1" applyAlignment="1">
      <alignment horizontal="left" vertical="center" wrapText="1"/>
    </xf>
    <xf numFmtId="14" fontId="17" fillId="0" borderId="37" xfId="5" applyNumberFormat="1" applyFont="1" applyBorder="1" applyAlignment="1">
      <alignment horizontal="center" vertical="center" wrapText="1"/>
    </xf>
    <xf numFmtId="14" fontId="17" fillId="0" borderId="38" xfId="5" applyNumberFormat="1" applyFont="1" applyBorder="1" applyAlignment="1">
      <alignment horizontal="center" vertical="center" wrapText="1"/>
    </xf>
    <xf numFmtId="14" fontId="17" fillId="0" borderId="39" xfId="5" applyNumberFormat="1" applyFont="1" applyBorder="1" applyAlignment="1">
      <alignment horizontal="center" vertical="center" wrapText="1"/>
    </xf>
    <xf numFmtId="14" fontId="17" fillId="0" borderId="40" xfId="5" applyNumberFormat="1" applyFont="1" applyBorder="1" applyAlignment="1">
      <alignment horizontal="center" vertical="center" wrapText="1"/>
    </xf>
    <xf numFmtId="14" fontId="17" fillId="0" borderId="0" xfId="5" applyNumberFormat="1" applyFont="1" applyAlignment="1">
      <alignment horizontal="center" vertical="center" wrapText="1"/>
    </xf>
    <xf numFmtId="14" fontId="17" fillId="0" borderId="41" xfId="5" applyNumberFormat="1" applyFont="1" applyBorder="1" applyAlignment="1">
      <alignment horizontal="center" vertical="center" wrapText="1"/>
    </xf>
    <xf numFmtId="2" fontId="16" fillId="0" borderId="6" xfId="5" applyNumberFormat="1" applyFont="1" applyBorder="1" applyAlignment="1">
      <alignment horizontal="center" vertical="center" wrapText="1"/>
    </xf>
    <xf numFmtId="2" fontId="16" fillId="0" borderId="2" xfId="5" applyNumberFormat="1" applyFont="1" applyBorder="1" applyAlignment="1">
      <alignment horizontal="center" vertical="center" wrapText="1"/>
    </xf>
    <xf numFmtId="2" fontId="16" fillId="0" borderId="27" xfId="5" applyNumberFormat="1" applyFont="1" applyBorder="1" applyAlignment="1">
      <alignment horizontal="center" vertical="center" wrapText="1"/>
    </xf>
    <xf numFmtId="2" fontId="16" fillId="0" borderId="4" xfId="5" applyNumberFormat="1" applyFont="1" applyBorder="1" applyAlignment="1">
      <alignment horizontal="center" vertical="center" wrapText="1"/>
    </xf>
    <xf numFmtId="0" fontId="16" fillId="0" borderId="40" xfId="5" applyFont="1" applyBorder="1" applyAlignment="1">
      <alignment horizontal="center" vertical="center" wrapText="1"/>
    </xf>
    <xf numFmtId="0" fontId="16" fillId="0" borderId="0" xfId="5" applyFont="1" applyAlignment="1">
      <alignment horizontal="center" vertical="center" wrapText="1"/>
    </xf>
    <xf numFmtId="0" fontId="17" fillId="0" borderId="38" xfId="5" applyFont="1" applyBorder="1" applyAlignment="1">
      <alignment horizontal="center" vertical="center" wrapText="1"/>
    </xf>
    <xf numFmtId="0" fontId="17" fillId="0" borderId="24" xfId="5" applyFont="1" applyBorder="1" applyAlignment="1">
      <alignment horizontal="center" vertical="center" wrapText="1"/>
    </xf>
    <xf numFmtId="167" fontId="19" fillId="0" borderId="4" xfId="5" applyNumberFormat="1" applyFont="1" applyBorder="1" applyAlignment="1">
      <alignment horizontal="center" vertical="center" wrapText="1"/>
    </xf>
    <xf numFmtId="167" fontId="19" fillId="0" borderId="1" xfId="5" applyNumberFormat="1" applyFont="1" applyBorder="1" applyAlignment="1">
      <alignment horizontal="center" vertical="center"/>
    </xf>
    <xf numFmtId="1" fontId="19" fillId="0" borderId="1" xfId="5" applyNumberFormat="1" applyFont="1" applyBorder="1"/>
    <xf numFmtId="1" fontId="19" fillId="0" borderId="1" xfId="5" applyNumberFormat="1" applyFont="1" applyBorder="1" applyAlignment="1">
      <alignment horizontal="center"/>
    </xf>
    <xf numFmtId="0" fontId="12" fillId="0" borderId="27" xfId="5" applyBorder="1"/>
    <xf numFmtId="0" fontId="11" fillId="0" borderId="42" xfId="4" applyBorder="1" applyAlignment="1">
      <alignment horizontal="center" wrapText="1"/>
    </xf>
    <xf numFmtId="0" fontId="11" fillId="0" borderId="43" xfId="4" applyBorder="1" applyAlignment="1">
      <alignment wrapText="1"/>
    </xf>
    <xf numFmtId="14" fontId="17" fillId="0" borderId="28" xfId="5" applyNumberFormat="1" applyFont="1" applyBorder="1" applyAlignment="1">
      <alignment horizontal="center" vertical="center" wrapText="1"/>
    </xf>
    <xf numFmtId="14" fontId="3" fillId="8" borderId="4" xfId="5" applyNumberFormat="1" applyFont="1" applyFill="1" applyBorder="1" applyAlignment="1">
      <alignment horizontal="center" vertical="center" wrapText="1"/>
    </xf>
    <xf numFmtId="168" fontId="17" fillId="0" borderId="1" xfId="6" applyNumberFormat="1" applyFont="1" applyBorder="1" applyAlignment="1">
      <alignment horizontal="center" vertical="center" wrapText="1"/>
    </xf>
    <xf numFmtId="168" fontId="17" fillId="0" borderId="27" xfId="6" applyNumberFormat="1" applyFont="1" applyBorder="1" applyAlignment="1">
      <alignment horizontal="center" vertical="center" wrapText="1"/>
    </xf>
    <xf numFmtId="14" fontId="16" fillId="8" borderId="6" xfId="6" applyNumberFormat="1" applyFont="1" applyFill="1" applyBorder="1" applyAlignment="1">
      <alignment horizontal="center" vertical="center" wrapText="1"/>
    </xf>
    <xf numFmtId="169" fontId="17" fillId="0" borderId="6" xfId="5" applyNumberFormat="1" applyFont="1" applyBorder="1" applyAlignment="1">
      <alignment horizontal="center" vertical="center" wrapText="1"/>
    </xf>
    <xf numFmtId="169" fontId="17" fillId="0" borderId="1" xfId="5" applyNumberFormat="1" applyFont="1" applyBorder="1" applyAlignment="1">
      <alignment horizontal="center" vertical="center" wrapText="1"/>
    </xf>
    <xf numFmtId="169" fontId="17" fillId="0" borderId="27" xfId="5" applyNumberFormat="1" applyFont="1" applyBorder="1" applyAlignment="1">
      <alignment horizontal="center" vertical="center" wrapText="1"/>
    </xf>
    <xf numFmtId="166" fontId="17" fillId="0" borderId="1" xfId="5" applyNumberFormat="1" applyFont="1" applyBorder="1" applyAlignment="1">
      <alignment vertical="center" wrapText="1"/>
    </xf>
    <xf numFmtId="2" fontId="17" fillId="0" borderId="2" xfId="5" applyNumberFormat="1" applyFont="1" applyBorder="1" applyAlignment="1">
      <alignment horizontal="center" vertical="center" wrapText="1"/>
    </xf>
    <xf numFmtId="2" fontId="17" fillId="9" borderId="43" xfId="5" applyNumberFormat="1" applyFont="1" applyFill="1" applyBorder="1" applyAlignment="1">
      <alignment horizontal="center" vertical="center" wrapText="1"/>
    </xf>
    <xf numFmtId="2" fontId="12" fillId="0" borderId="4" xfId="5" applyNumberFormat="1" applyBorder="1" applyAlignment="1">
      <alignment vertical="center"/>
    </xf>
    <xf numFmtId="2" fontId="12" fillId="0" borderId="1" xfId="5" applyNumberFormat="1" applyBorder="1" applyAlignment="1">
      <alignment vertical="center"/>
    </xf>
    <xf numFmtId="2" fontId="19" fillId="0" borderId="1" xfId="5" applyNumberFormat="1" applyFont="1" applyBorder="1" applyAlignment="1">
      <alignment vertical="center"/>
    </xf>
    <xf numFmtId="2" fontId="12" fillId="0" borderId="27" xfId="5" applyNumberFormat="1" applyBorder="1" applyAlignment="1">
      <alignment vertical="center"/>
    </xf>
    <xf numFmtId="0" fontId="11" fillId="0" borderId="0" xfId="4" applyAlignment="1">
      <alignment wrapText="1"/>
    </xf>
    <xf numFmtId="0" fontId="11" fillId="0" borderId="44" xfId="4" applyBorder="1"/>
    <xf numFmtId="0" fontId="11" fillId="0" borderId="45" xfId="4" applyBorder="1"/>
    <xf numFmtId="0" fontId="11" fillId="0" borderId="46" xfId="4" applyBorder="1"/>
    <xf numFmtId="0" fontId="11" fillId="0" borderId="47" xfId="4" applyBorder="1"/>
    <xf numFmtId="0" fontId="11" fillId="0" borderId="48" xfId="4" applyBorder="1"/>
    <xf numFmtId="0" fontId="11" fillId="0" borderId="49" xfId="4" applyBorder="1"/>
    <xf numFmtId="0" fontId="11" fillId="0" borderId="50" xfId="4" applyBorder="1"/>
    <xf numFmtId="0" fontId="11" fillId="0" borderId="51" xfId="4" applyBorder="1"/>
    <xf numFmtId="0" fontId="3" fillId="10" borderId="1" xfId="0" applyFont="1" applyFill="1" applyBorder="1" applyAlignment="1">
      <alignment horizontal="center" vertical="center" wrapText="1"/>
    </xf>
    <xf numFmtId="0" fontId="2" fillId="10" borderId="1" xfId="0" applyFont="1" applyFill="1" applyBorder="1"/>
    <xf numFmtId="0" fontId="2" fillId="0" borderId="1" xfId="0" applyFont="1" applyBorder="1" applyAlignment="1">
      <alignment vertical="center"/>
    </xf>
    <xf numFmtId="2" fontId="22" fillId="0" borderId="1" xfId="6" applyNumberFormat="1" applyFont="1" applyBorder="1" applyAlignment="1">
      <alignment horizontal="center" vertical="center" wrapText="1"/>
    </xf>
    <xf numFmtId="43" fontId="0" fillId="0" borderId="0" xfId="0" applyNumberFormat="1"/>
    <xf numFmtId="0" fontId="2" fillId="0" borderId="0" xfId="0" applyFont="1"/>
    <xf numFmtId="164" fontId="2" fillId="0" borderId="0" xfId="1" applyFont="1"/>
    <xf numFmtId="0" fontId="2" fillId="0" borderId="0" xfId="0" applyFont="1" applyAlignment="1">
      <alignment wrapText="1"/>
    </xf>
    <xf numFmtId="9" fontId="2" fillId="0" borderId="0" xfId="2" applyFont="1"/>
    <xf numFmtId="164" fontId="2" fillId="0" borderId="0" xfId="0" applyNumberFormat="1" applyFont="1"/>
    <xf numFmtId="2" fontId="2" fillId="0" borderId="0" xfId="0" applyNumberFormat="1" applyFont="1" applyAlignment="1">
      <alignment horizontal="center"/>
    </xf>
    <xf numFmtId="9" fontId="2" fillId="0" borderId="0" xfId="2" applyFont="1" applyAlignment="1">
      <alignment wrapText="1"/>
    </xf>
    <xf numFmtId="164" fontId="2" fillId="0" borderId="0" xfId="1" applyFont="1" applyAlignment="1">
      <alignment wrapText="1"/>
    </xf>
    <xf numFmtId="0" fontId="10" fillId="0" borderId="1" xfId="0" applyFont="1" applyBorder="1" applyAlignment="1">
      <alignment horizontal="left" vertical="top" wrapText="1"/>
    </xf>
    <xf numFmtId="0" fontId="10" fillId="0" borderId="1" xfId="0" applyFont="1" applyBorder="1" applyAlignment="1">
      <alignment horizontal="left" vertical="top"/>
    </xf>
    <xf numFmtId="0" fontId="10" fillId="0" borderId="2" xfId="0" applyFont="1" applyBorder="1" applyAlignment="1">
      <alignment horizontal="left" vertical="top" wrapText="1"/>
    </xf>
    <xf numFmtId="0" fontId="10" fillId="0" borderId="3" xfId="0" applyFont="1" applyBorder="1" applyAlignment="1">
      <alignment horizontal="left" vertical="top" wrapText="1"/>
    </xf>
    <xf numFmtId="0" fontId="10" fillId="0" borderId="4" xfId="0" applyFont="1" applyBorder="1" applyAlignment="1">
      <alignment horizontal="left" vertical="top" wrapText="1"/>
    </xf>
    <xf numFmtId="0" fontId="9" fillId="0" borderId="7" xfId="0" applyFont="1" applyBorder="1" applyAlignment="1">
      <alignment horizontal="center"/>
    </xf>
    <xf numFmtId="0" fontId="9" fillId="0" borderId="8" xfId="0" applyFont="1" applyBorder="1" applyAlignment="1">
      <alignment horizontal="center"/>
    </xf>
    <xf numFmtId="0" fontId="9" fillId="0" borderId="9" xfId="0" applyFont="1" applyBorder="1" applyAlignment="1">
      <alignment horizont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1" xfId="0" applyBorder="1" applyAlignment="1">
      <alignment horizontal="center" vertical="center" wrapText="1"/>
    </xf>
    <xf numFmtId="0" fontId="10" fillId="0" borderId="2" xfId="0" applyFont="1" applyBorder="1" applyAlignment="1">
      <alignment horizontal="justify" vertical="top" wrapText="1"/>
    </xf>
    <xf numFmtId="0" fontId="10" fillId="0" borderId="3" xfId="0" applyFont="1" applyBorder="1" applyAlignment="1">
      <alignment horizontal="justify" vertical="top" wrapText="1"/>
    </xf>
    <xf numFmtId="0" fontId="10" fillId="0" borderId="4" xfId="0" applyFont="1" applyBorder="1" applyAlignment="1">
      <alignment horizontal="justify" vertical="top" wrapText="1"/>
    </xf>
    <xf numFmtId="0" fontId="0" fillId="0" borderId="1" xfId="0" applyBorder="1" applyAlignment="1">
      <alignment vertical="center" wrapText="1"/>
    </xf>
    <xf numFmtId="0" fontId="15" fillId="0" borderId="7" xfId="4" applyFont="1" applyBorder="1" applyAlignment="1">
      <alignment horizontal="center" vertical="center" wrapText="1"/>
    </xf>
    <xf numFmtId="0" fontId="15" fillId="0" borderId="8" xfId="4" applyFont="1" applyBorder="1" applyAlignment="1">
      <alignment horizontal="center" vertical="center"/>
    </xf>
    <xf numFmtId="0" fontId="15" fillId="0" borderId="9" xfId="4" applyFont="1" applyBorder="1" applyAlignment="1">
      <alignment horizontal="center" vertical="center"/>
    </xf>
    <xf numFmtId="14" fontId="18" fillId="0" borderId="2" xfId="4" applyNumberFormat="1" applyFont="1" applyBorder="1" applyAlignment="1">
      <alignment horizontal="center" vertical="center"/>
    </xf>
    <xf numFmtId="0" fontId="18" fillId="0" borderId="3" xfId="4" applyFont="1" applyBorder="1" applyAlignment="1">
      <alignment horizontal="center" vertical="center"/>
    </xf>
    <xf numFmtId="0" fontId="18" fillId="0" borderId="4" xfId="4" applyFont="1" applyBorder="1" applyAlignment="1">
      <alignment horizontal="center" vertical="center"/>
    </xf>
    <xf numFmtId="0" fontId="16" fillId="0" borderId="1" xfId="4" applyFont="1" applyBorder="1" applyAlignment="1">
      <alignment horizontal="center" vertical="center"/>
    </xf>
    <xf numFmtId="0" fontId="16" fillId="0" borderId="2" xfId="4" applyFont="1" applyBorder="1" applyAlignment="1">
      <alignment horizontal="left" vertical="center" wrapText="1"/>
    </xf>
    <xf numFmtId="0" fontId="16" fillId="0" borderId="4" xfId="4" applyFont="1" applyBorder="1" applyAlignment="1">
      <alignment horizontal="left" vertical="center"/>
    </xf>
    <xf numFmtId="0" fontId="18" fillId="0" borderId="10" xfId="4" applyFont="1" applyBorder="1" applyAlignment="1">
      <alignment horizontal="center" vertical="center"/>
    </xf>
    <xf numFmtId="0" fontId="18" fillId="0" borderId="23" xfId="4" applyFont="1" applyBorder="1" applyAlignment="1">
      <alignment horizontal="center" vertical="center"/>
    </xf>
    <xf numFmtId="0" fontId="18" fillId="0" borderId="31" xfId="4" applyFont="1" applyBorder="1" applyAlignment="1">
      <alignment horizontal="center" vertical="center"/>
    </xf>
    <xf numFmtId="0" fontId="18" fillId="0" borderId="11" xfId="4" applyFont="1" applyBorder="1" applyAlignment="1">
      <alignment horizontal="center" vertical="center" wrapText="1"/>
    </xf>
    <xf numFmtId="0" fontId="18" fillId="0" borderId="24" xfId="4" applyFont="1" applyBorder="1" applyAlignment="1">
      <alignment horizontal="center" vertical="center" wrapText="1"/>
    </xf>
    <xf numFmtId="0" fontId="18" fillId="0" borderId="32" xfId="4" applyFont="1" applyBorder="1" applyAlignment="1">
      <alignment horizontal="center" vertical="center" wrapText="1"/>
    </xf>
    <xf numFmtId="0" fontId="16" fillId="0" borderId="12" xfId="5" applyFont="1" applyBorder="1" applyAlignment="1">
      <alignment horizontal="center" vertical="center" wrapText="1"/>
    </xf>
    <xf numFmtId="0" fontId="16" fillId="0" borderId="25" xfId="5" applyFont="1" applyBorder="1" applyAlignment="1">
      <alignment horizontal="center" vertical="center" wrapText="1"/>
    </xf>
    <xf numFmtId="0" fontId="16" fillId="0" borderId="33" xfId="5" applyFont="1" applyBorder="1" applyAlignment="1">
      <alignment horizontal="center" vertical="center" wrapText="1"/>
    </xf>
    <xf numFmtId="0" fontId="16" fillId="0" borderId="13" xfId="5" applyFont="1" applyBorder="1" applyAlignment="1">
      <alignment horizontal="center" vertical="center" wrapText="1"/>
    </xf>
    <xf numFmtId="0" fontId="16" fillId="0" borderId="14" xfId="5" applyFont="1" applyBorder="1" applyAlignment="1">
      <alignment horizontal="center" vertical="center" wrapText="1"/>
    </xf>
    <xf numFmtId="0" fontId="16" fillId="0" borderId="15" xfId="5" applyFont="1" applyBorder="1" applyAlignment="1">
      <alignment horizontal="center" vertical="center" wrapText="1"/>
    </xf>
    <xf numFmtId="0" fontId="16" fillId="0" borderId="16" xfId="5" applyFont="1" applyBorder="1" applyAlignment="1">
      <alignment horizontal="center" vertical="center" wrapText="1"/>
    </xf>
    <xf numFmtId="0" fontId="16" fillId="0" borderId="17" xfId="5" applyFont="1" applyBorder="1" applyAlignment="1">
      <alignment horizontal="center" vertical="center" wrapText="1"/>
    </xf>
    <xf numFmtId="0" fontId="16" fillId="0" borderId="18" xfId="5" applyFont="1" applyBorder="1" applyAlignment="1">
      <alignment horizontal="center" vertical="center" wrapText="1"/>
    </xf>
    <xf numFmtId="0" fontId="16" fillId="0" borderId="11" xfId="5" applyFont="1" applyBorder="1" applyAlignment="1">
      <alignment horizontal="center" vertical="center" wrapText="1"/>
    </xf>
    <xf numFmtId="0" fontId="16" fillId="0" borderId="24" xfId="5" applyFont="1" applyBorder="1" applyAlignment="1">
      <alignment horizontal="center" vertical="center" wrapText="1"/>
    </xf>
    <xf numFmtId="0" fontId="16" fillId="0" borderId="32" xfId="5" applyFont="1" applyBorder="1" applyAlignment="1">
      <alignment horizontal="center" vertical="center" wrapText="1"/>
    </xf>
    <xf numFmtId="0" fontId="19" fillId="0" borderId="22" xfId="5" applyFont="1" applyBorder="1" applyAlignment="1">
      <alignment horizontal="center" vertical="center"/>
    </xf>
    <xf numFmtId="0" fontId="19" fillId="0" borderId="12" xfId="5" applyFont="1" applyBorder="1" applyAlignment="1">
      <alignment horizontal="center" vertical="center"/>
    </xf>
    <xf numFmtId="0" fontId="19" fillId="0" borderId="29" xfId="5" applyFont="1" applyBorder="1" applyAlignment="1">
      <alignment horizontal="center" vertical="center"/>
    </xf>
    <xf numFmtId="0" fontId="19" fillId="0" borderId="30" xfId="5" applyFont="1" applyBorder="1" applyAlignment="1">
      <alignment horizontal="center" vertical="center"/>
    </xf>
    <xf numFmtId="0" fontId="16" fillId="0" borderId="19" xfId="5" applyFont="1" applyBorder="1" applyAlignment="1">
      <alignment horizontal="center" vertical="center" wrapText="1"/>
    </xf>
    <xf numFmtId="0" fontId="16" fillId="0" borderId="4" xfId="5" applyFont="1" applyBorder="1" applyAlignment="1">
      <alignment horizontal="center" vertical="center" wrapText="1"/>
    </xf>
    <xf numFmtId="0" fontId="16" fillId="0" borderId="20" xfId="5" applyFont="1" applyBorder="1" applyAlignment="1">
      <alignment horizontal="center" vertical="center" wrapText="1"/>
    </xf>
    <xf numFmtId="0" fontId="16" fillId="0" borderId="1" xfId="5" applyFont="1" applyBorder="1" applyAlignment="1">
      <alignment horizontal="center" vertical="center" wrapText="1"/>
    </xf>
    <xf numFmtId="0" fontId="16" fillId="0" borderId="21" xfId="5" applyFont="1" applyBorder="1" applyAlignment="1">
      <alignment horizontal="center" vertical="center" wrapText="1"/>
    </xf>
    <xf numFmtId="0" fontId="16" fillId="0" borderId="2" xfId="5" applyFont="1" applyBorder="1" applyAlignment="1">
      <alignment horizontal="center" vertical="center" wrapText="1"/>
    </xf>
    <xf numFmtId="0" fontId="16" fillId="0" borderId="26" xfId="5" applyFont="1" applyBorder="1" applyAlignment="1">
      <alignment horizontal="center" vertical="center" wrapText="1"/>
    </xf>
    <xf numFmtId="0" fontId="16" fillId="0" borderId="31" xfId="5" applyFont="1" applyBorder="1" applyAlignment="1">
      <alignment horizontal="center" vertical="center" wrapText="1"/>
    </xf>
    <xf numFmtId="0" fontId="16" fillId="0" borderId="27" xfId="5" applyFont="1" applyBorder="1" applyAlignment="1">
      <alignment horizontal="center" vertical="center" wrapText="1"/>
    </xf>
    <xf numFmtId="0" fontId="16" fillId="0" borderId="5" xfId="5" applyFont="1" applyBorder="1" applyAlignment="1">
      <alignment horizontal="center" vertical="center" wrapText="1"/>
    </xf>
    <xf numFmtId="0" fontId="16" fillId="0" borderId="6" xfId="5" applyFont="1" applyBorder="1" applyAlignment="1">
      <alignment horizontal="center" vertical="center" wrapText="1"/>
    </xf>
    <xf numFmtId="0" fontId="16" fillId="0" borderId="3" xfId="5" applyFont="1" applyBorder="1" applyAlignment="1">
      <alignment horizontal="center" vertical="center" wrapText="1"/>
    </xf>
    <xf numFmtId="0" fontId="16" fillId="0" borderId="28" xfId="5" applyFont="1" applyBorder="1" applyAlignment="1">
      <alignment horizontal="center" vertical="center" wrapText="1"/>
    </xf>
  </cellXfs>
  <cellStyles count="8">
    <cellStyle name="Comma" xfId="1" builtinId="3"/>
    <cellStyle name="Comma 3" xfId="7" xr:uid="{00000000-0005-0000-0000-000001000000}"/>
    <cellStyle name="Normal" xfId="0" builtinId="0"/>
    <cellStyle name="Normal 2" xfId="3" xr:uid="{00000000-0005-0000-0000-000003000000}"/>
    <cellStyle name="Normal 2 2" xfId="5" xr:uid="{00000000-0005-0000-0000-000004000000}"/>
    <cellStyle name="Normal 2 2 2" xfId="6" xr:uid="{00000000-0005-0000-0000-000005000000}"/>
    <cellStyle name="Normal 6 2" xfId="4" xr:uid="{00000000-0005-0000-0000-000006000000}"/>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X20"/>
  <sheetViews>
    <sheetView topLeftCell="BX1" workbookViewId="0">
      <selection sqref="A1:CX5"/>
    </sheetView>
  </sheetViews>
  <sheetFormatPr defaultRowHeight="15" x14ac:dyDescent="0.25"/>
  <cols>
    <col min="1" max="2" width="16" customWidth="1"/>
    <col min="3" max="3" width="16.140625" customWidth="1"/>
    <col min="4" max="5" width="69.7109375" customWidth="1"/>
    <col min="6" max="17" width="8.85546875" customWidth="1"/>
    <col min="18" max="18" width="37.85546875" bestFit="1" customWidth="1"/>
    <col min="19" max="19" width="8.85546875" customWidth="1"/>
    <col min="20" max="20" width="47" bestFit="1" customWidth="1"/>
    <col min="21" max="78" width="8.85546875" customWidth="1"/>
    <col min="79" max="79" width="9.5703125" customWidth="1"/>
    <col min="80" max="82" width="8.85546875" customWidth="1"/>
    <col min="83" max="83" width="10.5703125" customWidth="1"/>
    <col min="84" max="84" width="8.85546875" customWidth="1"/>
    <col min="85" max="85" width="10.5703125" customWidth="1"/>
    <col min="86" max="86" width="11.5703125" customWidth="1"/>
    <col min="87" max="87" width="8.85546875" customWidth="1"/>
    <col min="88" max="88" width="11.5703125" customWidth="1"/>
    <col min="89" max="90" width="8.85546875" customWidth="1"/>
    <col min="91" max="91" width="11.5703125" style="4" bestFit="1" customWidth="1"/>
    <col min="92" max="92" width="8.85546875" customWidth="1"/>
    <col min="93" max="93" width="11.5703125" customWidth="1"/>
    <col min="94" max="94" width="8.85546875" customWidth="1"/>
    <col min="95" max="96" width="11.5703125" customWidth="1"/>
    <col min="99" max="99" width="11.5703125" bestFit="1" customWidth="1"/>
  </cols>
  <sheetData>
    <row r="1" spans="1:102" s="18" customFormat="1" x14ac:dyDescent="0.25">
      <c r="A1" t="s">
        <v>0</v>
      </c>
      <c r="B1" t="s">
        <v>99</v>
      </c>
      <c r="C1" t="s">
        <v>1</v>
      </c>
      <c r="D1" t="s">
        <v>2</v>
      </c>
      <c r="E1" t="s">
        <v>113</v>
      </c>
      <c r="F1" t="s">
        <v>114</v>
      </c>
      <c r="G1" t="s">
        <v>115</v>
      </c>
      <c r="H1" t="s">
        <v>4</v>
      </c>
      <c r="I1" t="s">
        <v>116</v>
      </c>
      <c r="J1" t="s">
        <v>5</v>
      </c>
      <c r="K1" t="s">
        <v>117</v>
      </c>
      <c r="L1" t="s">
        <v>118</v>
      </c>
      <c r="M1" t="s">
        <v>119</v>
      </c>
      <c r="N1" t="s">
        <v>6</v>
      </c>
      <c r="O1" t="s">
        <v>120</v>
      </c>
      <c r="P1" t="s">
        <v>121</v>
      </c>
      <c r="Q1" t="s">
        <v>122</v>
      </c>
      <c r="R1" t="s">
        <v>123</v>
      </c>
      <c r="S1" t="s">
        <v>124</v>
      </c>
      <c r="T1" t="s">
        <v>125</v>
      </c>
      <c r="U1" t="s">
        <v>126</v>
      </c>
      <c r="V1" t="s">
        <v>8</v>
      </c>
      <c r="W1" t="s">
        <v>127</v>
      </c>
      <c r="X1" t="s">
        <v>128</v>
      </c>
      <c r="Y1" t="s">
        <v>129</v>
      </c>
      <c r="Z1" t="s">
        <v>130</v>
      </c>
      <c r="AA1" t="s">
        <v>131</v>
      </c>
      <c r="AB1" t="s">
        <v>132</v>
      </c>
      <c r="AC1" t="s">
        <v>133</v>
      </c>
      <c r="AD1" t="s">
        <v>10</v>
      </c>
      <c r="AE1" t="s">
        <v>134</v>
      </c>
      <c r="AF1" t="s">
        <v>135</v>
      </c>
      <c r="AG1" t="s">
        <v>136</v>
      </c>
      <c r="AH1" t="s">
        <v>11</v>
      </c>
      <c r="AI1" t="s">
        <v>137</v>
      </c>
      <c r="AJ1" t="s">
        <v>138</v>
      </c>
      <c r="AK1" t="s">
        <v>139</v>
      </c>
      <c r="AL1" t="s">
        <v>12</v>
      </c>
      <c r="AM1" t="s">
        <v>140</v>
      </c>
      <c r="AN1" t="s">
        <v>141</v>
      </c>
      <c r="AO1" t="s">
        <v>142</v>
      </c>
      <c r="AP1" t="s">
        <v>143</v>
      </c>
      <c r="AQ1" t="s">
        <v>144</v>
      </c>
      <c r="AR1" t="s">
        <v>145</v>
      </c>
      <c r="AS1" t="s">
        <v>146</v>
      </c>
      <c r="AT1" t="s">
        <v>53</v>
      </c>
      <c r="AU1" t="s">
        <v>147</v>
      </c>
      <c r="AV1" t="s">
        <v>148</v>
      </c>
      <c r="AW1" t="s">
        <v>149</v>
      </c>
      <c r="AX1" t="s">
        <v>150</v>
      </c>
      <c r="AY1" t="s">
        <v>151</v>
      </c>
      <c r="AZ1" t="s">
        <v>152</v>
      </c>
      <c r="BA1" t="s">
        <v>153</v>
      </c>
      <c r="BB1" t="s">
        <v>154</v>
      </c>
      <c r="BC1" t="s">
        <v>155</v>
      </c>
      <c r="BD1" t="s">
        <v>156</v>
      </c>
      <c r="BE1" t="s">
        <v>157</v>
      </c>
      <c r="BF1" t="s">
        <v>158</v>
      </c>
      <c r="BG1" t="s">
        <v>159</v>
      </c>
      <c r="BH1" t="s">
        <v>160</v>
      </c>
      <c r="BI1" t="s">
        <v>161</v>
      </c>
      <c r="BJ1" t="s">
        <v>162</v>
      </c>
      <c r="BK1" t="s">
        <v>163</v>
      </c>
      <c r="BL1" t="s">
        <v>164</v>
      </c>
      <c r="BM1" t="s">
        <v>165</v>
      </c>
      <c r="BN1" t="s">
        <v>166</v>
      </c>
      <c r="BO1" t="s">
        <v>167</v>
      </c>
      <c r="BP1" t="s">
        <v>168</v>
      </c>
      <c r="BQ1" t="s">
        <v>169</v>
      </c>
      <c r="BR1" t="s">
        <v>170</v>
      </c>
      <c r="BS1" t="s">
        <v>171</v>
      </c>
      <c r="BT1" t="s">
        <v>172</v>
      </c>
      <c r="BU1" t="s">
        <v>173</v>
      </c>
      <c r="BV1" t="s">
        <v>21</v>
      </c>
      <c r="BW1" t="s">
        <v>174</v>
      </c>
      <c r="BX1" t="s">
        <v>175</v>
      </c>
      <c r="BY1" t="s">
        <v>176</v>
      </c>
      <c r="BZ1" t="s">
        <v>177</v>
      </c>
      <c r="CA1" t="s">
        <v>178</v>
      </c>
      <c r="CB1" t="s">
        <v>24</v>
      </c>
      <c r="CC1" t="s">
        <v>179</v>
      </c>
      <c r="CD1" t="s">
        <v>25</v>
      </c>
      <c r="CE1" t="s">
        <v>180</v>
      </c>
      <c r="CF1" t="s">
        <v>27</v>
      </c>
      <c r="CG1" t="s">
        <v>181</v>
      </c>
      <c r="CH1" t="s">
        <v>182</v>
      </c>
      <c r="CI1" t="s">
        <v>30</v>
      </c>
      <c r="CJ1" t="s">
        <v>183</v>
      </c>
      <c r="CK1" t="s">
        <v>32</v>
      </c>
      <c r="CL1" t="s">
        <v>184</v>
      </c>
      <c r="CM1" t="s">
        <v>185</v>
      </c>
      <c r="CN1" t="s">
        <v>186</v>
      </c>
      <c r="CO1" t="s">
        <v>187</v>
      </c>
      <c r="CP1" t="s">
        <v>37</v>
      </c>
      <c r="CQ1" t="s">
        <v>188</v>
      </c>
      <c r="CR1" t="s">
        <v>189</v>
      </c>
      <c r="CS1" t="s">
        <v>40</v>
      </c>
      <c r="CT1" t="s">
        <v>41</v>
      </c>
      <c r="CU1" t="s">
        <v>190</v>
      </c>
      <c r="CV1" t="s">
        <v>100</v>
      </c>
      <c r="CW1" t="s">
        <v>101</v>
      </c>
      <c r="CX1" t="s">
        <v>191</v>
      </c>
    </row>
    <row r="2" spans="1:102" x14ac:dyDescent="0.25">
      <c r="A2" t="s">
        <v>192</v>
      </c>
      <c r="B2" s="54">
        <v>45748</v>
      </c>
      <c r="C2" t="s">
        <v>193</v>
      </c>
      <c r="D2" t="s">
        <v>194</v>
      </c>
      <c r="E2" t="s">
        <v>195</v>
      </c>
      <c r="H2">
        <v>0</v>
      </c>
      <c r="J2" t="s">
        <v>46</v>
      </c>
      <c r="K2">
        <v>884</v>
      </c>
      <c r="L2">
        <v>44</v>
      </c>
      <c r="M2">
        <v>38896</v>
      </c>
      <c r="P2">
        <v>0</v>
      </c>
      <c r="T2">
        <v>0</v>
      </c>
      <c r="V2" t="s">
        <v>67</v>
      </c>
      <c r="W2">
        <v>70</v>
      </c>
      <c r="X2">
        <v>26</v>
      </c>
      <c r="Y2" s="55">
        <v>1820</v>
      </c>
      <c r="Z2" t="s">
        <v>9</v>
      </c>
      <c r="AA2">
        <v>117</v>
      </c>
      <c r="AB2">
        <v>3</v>
      </c>
      <c r="AC2">
        <v>351</v>
      </c>
      <c r="AD2" t="s">
        <v>69</v>
      </c>
      <c r="AE2">
        <v>65.86</v>
      </c>
      <c r="AF2">
        <v>39</v>
      </c>
      <c r="AG2">
        <v>2568.54</v>
      </c>
      <c r="AJ2">
        <v>0</v>
      </c>
      <c r="AL2" t="s">
        <v>69</v>
      </c>
      <c r="AM2">
        <v>65.86</v>
      </c>
      <c r="AN2">
        <v>100</v>
      </c>
      <c r="AO2">
        <v>6586</v>
      </c>
      <c r="AR2">
        <v>0</v>
      </c>
      <c r="AV2">
        <v>0</v>
      </c>
      <c r="AZ2">
        <v>0</v>
      </c>
      <c r="BD2">
        <v>0</v>
      </c>
      <c r="BH2">
        <v>0</v>
      </c>
      <c r="BL2">
        <v>0</v>
      </c>
      <c r="BP2">
        <v>0</v>
      </c>
      <c r="BT2">
        <v>0</v>
      </c>
      <c r="BX2">
        <v>0</v>
      </c>
      <c r="BZ2">
        <v>1973</v>
      </c>
      <c r="CA2">
        <v>52194.54</v>
      </c>
      <c r="CH2">
        <v>52194.54</v>
      </c>
      <c r="CM2">
        <v>52194.54</v>
      </c>
      <c r="CO2">
        <v>52194.54</v>
      </c>
      <c r="CP2" s="56">
        <v>0.18</v>
      </c>
      <c r="CQ2">
        <v>9395.02</v>
      </c>
      <c r="CR2">
        <v>61589.56</v>
      </c>
      <c r="CS2">
        <v>115.28</v>
      </c>
      <c r="CT2" t="s">
        <v>196</v>
      </c>
      <c r="CU2" s="57">
        <v>7100044</v>
      </c>
      <c r="CV2" t="s">
        <v>197</v>
      </c>
      <c r="CW2" t="s">
        <v>198</v>
      </c>
      <c r="CX2">
        <v>1000</v>
      </c>
    </row>
    <row r="3" spans="1:102" x14ac:dyDescent="0.25">
      <c r="A3" t="s">
        <v>192</v>
      </c>
      <c r="B3" s="54">
        <v>45748</v>
      </c>
      <c r="C3" t="s">
        <v>199</v>
      </c>
      <c r="D3" t="s">
        <v>200</v>
      </c>
      <c r="E3" t="s">
        <v>195</v>
      </c>
      <c r="H3">
        <v>0</v>
      </c>
      <c r="J3" t="s">
        <v>46</v>
      </c>
      <c r="K3">
        <v>884</v>
      </c>
      <c r="L3">
        <v>89</v>
      </c>
      <c r="M3">
        <v>78676</v>
      </c>
      <c r="P3">
        <v>0</v>
      </c>
      <c r="T3">
        <v>0</v>
      </c>
      <c r="V3" t="s">
        <v>67</v>
      </c>
      <c r="W3">
        <v>70</v>
      </c>
      <c r="X3">
        <v>52</v>
      </c>
      <c r="Y3" s="55">
        <v>3640</v>
      </c>
      <c r="Z3" t="s">
        <v>9</v>
      </c>
      <c r="AA3">
        <v>117</v>
      </c>
      <c r="AB3">
        <v>4</v>
      </c>
      <c r="AC3">
        <v>468</v>
      </c>
      <c r="AD3" t="s">
        <v>69</v>
      </c>
      <c r="AE3">
        <v>65.86</v>
      </c>
      <c r="AF3">
        <v>27</v>
      </c>
      <c r="AG3">
        <v>1778.22</v>
      </c>
      <c r="AJ3">
        <v>0</v>
      </c>
      <c r="AL3" t="s">
        <v>69</v>
      </c>
      <c r="AM3">
        <v>65.86</v>
      </c>
      <c r="AN3">
        <v>109</v>
      </c>
      <c r="AO3">
        <v>7178.74</v>
      </c>
      <c r="AR3">
        <v>0</v>
      </c>
      <c r="AV3">
        <v>0</v>
      </c>
      <c r="AZ3">
        <v>0</v>
      </c>
      <c r="BD3">
        <v>0</v>
      </c>
      <c r="BH3">
        <v>0</v>
      </c>
      <c r="BL3">
        <v>15</v>
      </c>
      <c r="BP3">
        <v>0</v>
      </c>
      <c r="BT3">
        <v>0</v>
      </c>
      <c r="BX3">
        <v>0</v>
      </c>
      <c r="BZ3">
        <v>2585</v>
      </c>
      <c r="CA3">
        <v>94325.96</v>
      </c>
      <c r="CH3">
        <v>94325.96</v>
      </c>
      <c r="CM3">
        <v>94325.96</v>
      </c>
      <c r="CO3">
        <v>94325.96</v>
      </c>
      <c r="CP3" s="56">
        <v>0.18</v>
      </c>
      <c r="CQ3">
        <v>16978.669999999998</v>
      </c>
      <c r="CR3">
        <v>111304.63</v>
      </c>
      <c r="CS3">
        <v>121.14</v>
      </c>
      <c r="CT3" t="s">
        <v>196</v>
      </c>
      <c r="CU3" s="57">
        <v>13483443</v>
      </c>
      <c r="CV3" t="s">
        <v>201</v>
      </c>
      <c r="CW3" t="s">
        <v>202</v>
      </c>
      <c r="CX3">
        <v>1000</v>
      </c>
    </row>
    <row r="4" spans="1:102" x14ac:dyDescent="0.25">
      <c r="A4" t="s">
        <v>192</v>
      </c>
      <c r="B4" s="54">
        <v>45748</v>
      </c>
      <c r="C4" t="s">
        <v>203</v>
      </c>
      <c r="D4" t="s">
        <v>204</v>
      </c>
      <c r="E4" t="s">
        <v>195</v>
      </c>
      <c r="H4">
        <v>0</v>
      </c>
      <c r="J4" t="s">
        <v>46</v>
      </c>
      <c r="K4">
        <v>884</v>
      </c>
      <c r="L4">
        <v>222</v>
      </c>
      <c r="M4">
        <v>196248</v>
      </c>
      <c r="P4">
        <v>0</v>
      </c>
      <c r="T4">
        <v>0</v>
      </c>
      <c r="V4" t="s">
        <v>67</v>
      </c>
      <c r="W4">
        <v>70</v>
      </c>
      <c r="X4">
        <v>130</v>
      </c>
      <c r="Y4" s="55">
        <v>9100</v>
      </c>
      <c r="Z4" t="s">
        <v>9</v>
      </c>
      <c r="AA4">
        <v>117</v>
      </c>
      <c r="AB4">
        <v>5</v>
      </c>
      <c r="AC4">
        <v>585</v>
      </c>
      <c r="AD4" t="s">
        <v>69</v>
      </c>
      <c r="AE4">
        <v>65.86</v>
      </c>
      <c r="AF4">
        <v>36</v>
      </c>
      <c r="AG4">
        <v>2370.96</v>
      </c>
      <c r="AJ4">
        <v>0</v>
      </c>
      <c r="AL4" t="s">
        <v>69</v>
      </c>
      <c r="AM4">
        <v>65.86</v>
      </c>
      <c r="AN4">
        <v>165</v>
      </c>
      <c r="AO4">
        <v>10866.9</v>
      </c>
      <c r="AR4">
        <v>0</v>
      </c>
      <c r="AV4">
        <v>0</v>
      </c>
      <c r="AZ4">
        <v>0</v>
      </c>
      <c r="BD4">
        <v>0</v>
      </c>
      <c r="BH4">
        <v>0</v>
      </c>
      <c r="BL4">
        <v>0</v>
      </c>
      <c r="BP4">
        <v>0</v>
      </c>
      <c r="BT4">
        <v>0</v>
      </c>
      <c r="BX4">
        <v>0</v>
      </c>
      <c r="BZ4">
        <v>5448</v>
      </c>
      <c r="CA4">
        <v>224618.86</v>
      </c>
      <c r="CH4">
        <v>224618.86</v>
      </c>
      <c r="CM4">
        <v>224618.86</v>
      </c>
      <c r="CO4">
        <v>224618.86</v>
      </c>
      <c r="CP4" s="56">
        <v>0.18</v>
      </c>
      <c r="CQ4">
        <v>40431.39</v>
      </c>
      <c r="CR4">
        <v>265050.25</v>
      </c>
      <c r="CS4">
        <v>67.91</v>
      </c>
      <c r="CT4" t="s">
        <v>196</v>
      </c>
      <c r="CU4" s="57">
        <v>17999563</v>
      </c>
      <c r="CV4" t="s">
        <v>205</v>
      </c>
      <c r="CW4" t="s">
        <v>206</v>
      </c>
      <c r="CX4">
        <v>500</v>
      </c>
    </row>
    <row r="5" spans="1:102" x14ac:dyDescent="0.25">
      <c r="A5" t="s">
        <v>192</v>
      </c>
      <c r="B5" s="54">
        <v>45748</v>
      </c>
      <c r="C5" t="s">
        <v>207</v>
      </c>
      <c r="D5" t="s">
        <v>208</v>
      </c>
      <c r="E5" t="s">
        <v>195</v>
      </c>
      <c r="H5">
        <v>0</v>
      </c>
      <c r="J5" t="s">
        <v>46</v>
      </c>
      <c r="K5">
        <v>884</v>
      </c>
      <c r="L5">
        <v>133</v>
      </c>
      <c r="M5">
        <v>117572</v>
      </c>
      <c r="P5">
        <v>0</v>
      </c>
      <c r="T5">
        <v>0</v>
      </c>
      <c r="V5" t="s">
        <v>67</v>
      </c>
      <c r="W5">
        <v>70</v>
      </c>
      <c r="X5">
        <v>78</v>
      </c>
      <c r="Y5" s="55">
        <v>5460</v>
      </c>
      <c r="Z5" t="s">
        <v>9</v>
      </c>
      <c r="AA5">
        <v>117</v>
      </c>
      <c r="AB5">
        <v>4</v>
      </c>
      <c r="AC5">
        <v>468</v>
      </c>
      <c r="AD5" t="s">
        <v>69</v>
      </c>
      <c r="AE5">
        <v>65.86</v>
      </c>
      <c r="AF5">
        <v>27</v>
      </c>
      <c r="AG5">
        <v>1778.22</v>
      </c>
      <c r="AJ5">
        <v>0</v>
      </c>
      <c r="AL5" t="s">
        <v>69</v>
      </c>
      <c r="AM5">
        <v>65.86</v>
      </c>
      <c r="AN5">
        <v>117</v>
      </c>
      <c r="AO5">
        <v>7705.62</v>
      </c>
      <c r="AR5">
        <v>0</v>
      </c>
      <c r="AV5">
        <v>0</v>
      </c>
      <c r="AZ5">
        <v>0</v>
      </c>
      <c r="BD5">
        <v>0</v>
      </c>
      <c r="BH5">
        <v>0</v>
      </c>
      <c r="BL5">
        <v>0</v>
      </c>
      <c r="BP5">
        <v>0</v>
      </c>
      <c r="BT5">
        <v>0</v>
      </c>
      <c r="BX5">
        <v>0</v>
      </c>
      <c r="BZ5">
        <v>3113</v>
      </c>
      <c r="CA5">
        <v>136096.84</v>
      </c>
      <c r="CH5">
        <v>136096.84</v>
      </c>
      <c r="CM5">
        <v>136096.84</v>
      </c>
      <c r="CO5">
        <v>136096.84</v>
      </c>
      <c r="CP5" s="56">
        <v>0.18</v>
      </c>
      <c r="CQ5">
        <v>24497.43</v>
      </c>
      <c r="CR5">
        <v>160594.26999999999</v>
      </c>
      <c r="CS5">
        <v>125.62</v>
      </c>
      <c r="CT5" t="s">
        <v>196</v>
      </c>
      <c r="CU5" s="57">
        <v>20173852</v>
      </c>
      <c r="CV5" t="s">
        <v>209</v>
      </c>
      <c r="CW5" t="s">
        <v>210</v>
      </c>
      <c r="CX5">
        <v>1000</v>
      </c>
    </row>
    <row r="6" spans="1:102" x14ac:dyDescent="0.25">
      <c r="A6" s="2"/>
      <c r="B6" s="2"/>
      <c r="C6" s="2"/>
      <c r="D6" s="2"/>
      <c r="E6" s="2"/>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24"/>
      <c r="AI6" s="10"/>
      <c r="AJ6" s="10"/>
      <c r="AK6" s="10"/>
      <c r="AL6" s="24"/>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1"/>
      <c r="CC6" s="10"/>
      <c r="CD6" s="11"/>
      <c r="CE6" s="10"/>
      <c r="CF6" s="11"/>
      <c r="CG6" s="10"/>
      <c r="CH6" s="10"/>
      <c r="CI6" s="11"/>
      <c r="CJ6" s="10"/>
      <c r="CK6" s="11"/>
      <c r="CL6" s="10"/>
      <c r="CM6" s="10"/>
      <c r="CN6" s="10"/>
      <c r="CO6" s="10"/>
      <c r="CP6" s="11"/>
      <c r="CQ6" s="10"/>
      <c r="CR6" s="10"/>
      <c r="CS6" s="10"/>
      <c r="CT6" s="10"/>
      <c r="CU6" s="12"/>
    </row>
    <row r="7" spans="1:102" x14ac:dyDescent="0.25">
      <c r="A7" s="2"/>
      <c r="B7" s="2"/>
      <c r="C7" s="2"/>
      <c r="D7" s="2"/>
      <c r="E7" s="2"/>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24"/>
      <c r="AI7" s="10"/>
      <c r="AJ7" s="10"/>
      <c r="AK7" s="10"/>
      <c r="AL7" s="24"/>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1"/>
      <c r="CC7" s="10"/>
      <c r="CD7" s="11"/>
      <c r="CE7" s="10"/>
      <c r="CF7" s="11"/>
      <c r="CG7" s="10"/>
      <c r="CH7" s="10"/>
      <c r="CI7" s="11"/>
      <c r="CJ7" s="10"/>
      <c r="CK7" s="11"/>
      <c r="CL7" s="10"/>
      <c r="CM7" s="10"/>
      <c r="CN7" s="10"/>
      <c r="CO7" s="10"/>
      <c r="CP7" s="11"/>
      <c r="CQ7" s="10"/>
      <c r="CR7" s="10"/>
      <c r="CS7" s="10"/>
      <c r="CT7" s="10"/>
      <c r="CU7" s="12"/>
    </row>
    <row r="8" spans="1:102" x14ac:dyDescent="0.25">
      <c r="A8" s="2"/>
      <c r="B8" s="2"/>
      <c r="C8" s="2"/>
      <c r="D8" s="2"/>
      <c r="E8" s="2"/>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24"/>
      <c r="AI8" s="10"/>
      <c r="AJ8" s="10"/>
      <c r="AK8" s="10"/>
      <c r="AL8" s="24"/>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1"/>
      <c r="CC8" s="10"/>
      <c r="CD8" s="11"/>
      <c r="CE8" s="10"/>
      <c r="CF8" s="11"/>
      <c r="CG8" s="10"/>
      <c r="CH8" s="10"/>
      <c r="CI8" s="11"/>
      <c r="CJ8" s="10"/>
      <c r="CK8" s="11"/>
      <c r="CL8" s="10"/>
      <c r="CM8" s="10"/>
      <c r="CN8" s="10"/>
      <c r="CO8" s="10"/>
      <c r="CP8" s="11"/>
      <c r="CQ8" s="10"/>
      <c r="CR8" s="10"/>
      <c r="CS8" s="10"/>
      <c r="CT8" s="10"/>
      <c r="CU8" s="12"/>
    </row>
    <row r="9" spans="1:102" x14ac:dyDescent="0.25">
      <c r="A9" s="2"/>
      <c r="B9" s="2"/>
      <c r="C9" s="2"/>
      <c r="D9" s="2"/>
      <c r="E9" s="2"/>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24"/>
      <c r="AI9" s="10"/>
      <c r="AJ9" s="10"/>
      <c r="AK9" s="10"/>
      <c r="AL9" s="24"/>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1"/>
      <c r="CC9" s="10"/>
      <c r="CD9" s="11"/>
      <c r="CE9" s="10"/>
      <c r="CF9" s="11"/>
      <c r="CG9" s="10"/>
      <c r="CH9" s="10"/>
      <c r="CI9" s="11"/>
      <c r="CJ9" s="10"/>
      <c r="CK9" s="11"/>
      <c r="CL9" s="10"/>
      <c r="CM9" s="10"/>
      <c r="CN9" s="10"/>
      <c r="CO9" s="10"/>
      <c r="CP9" s="11"/>
      <c r="CQ9" s="10"/>
      <c r="CR9" s="10"/>
      <c r="CS9" s="10"/>
      <c r="CT9" s="10"/>
      <c r="CU9" s="12"/>
    </row>
    <row r="10" spans="1:102" x14ac:dyDescent="0.25">
      <c r="A10" s="2"/>
      <c r="B10" s="2"/>
      <c r="C10" s="2"/>
      <c r="D10" s="2"/>
      <c r="E10" s="2"/>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24"/>
      <c r="AI10" s="10"/>
      <c r="AJ10" s="10"/>
      <c r="AK10" s="10"/>
      <c r="AL10" s="24"/>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1"/>
      <c r="CC10" s="10"/>
      <c r="CD10" s="11"/>
      <c r="CE10" s="10"/>
      <c r="CF10" s="11"/>
      <c r="CG10" s="10"/>
      <c r="CH10" s="10"/>
      <c r="CI10" s="11"/>
      <c r="CJ10" s="10"/>
      <c r="CK10" s="11"/>
      <c r="CL10" s="10"/>
      <c r="CM10" s="10"/>
      <c r="CN10" s="10"/>
      <c r="CO10" s="10"/>
      <c r="CP10" s="11"/>
      <c r="CQ10" s="10"/>
      <c r="CR10" s="10"/>
      <c r="CS10" s="10"/>
      <c r="CT10" s="10"/>
      <c r="CU10" s="12"/>
    </row>
    <row r="11" spans="1:102" x14ac:dyDescent="0.25">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0"/>
      <c r="AQ11" s="10"/>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6"/>
      <c r="CC11" s="1"/>
      <c r="CD11" s="16"/>
      <c r="CE11" s="1"/>
      <c r="CF11" s="16"/>
      <c r="CG11" s="1"/>
      <c r="CH11" s="1"/>
      <c r="CI11" s="16"/>
      <c r="CJ11" s="1"/>
      <c r="CK11" s="16"/>
      <c r="CL11" s="1"/>
      <c r="CM11" s="3"/>
      <c r="CN11" s="1"/>
      <c r="CO11" s="1"/>
      <c r="CP11" s="16"/>
      <c r="CQ11" s="1"/>
      <c r="CR11" s="1"/>
      <c r="CS11" s="1"/>
      <c r="CT11" s="1"/>
      <c r="CU11" s="17"/>
    </row>
    <row r="12" spans="1:102" x14ac:dyDescent="0.25">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0"/>
      <c r="AE12" s="10"/>
      <c r="AF12" s="10"/>
      <c r="AG12" s="10"/>
      <c r="AH12" s="1"/>
      <c r="AI12" s="1"/>
      <c r="AJ12" s="1"/>
      <c r="AK12" s="1"/>
      <c r="AL12" s="1"/>
      <c r="AM12" s="1"/>
      <c r="AN12" s="1"/>
      <c r="AO12" s="1"/>
      <c r="AP12" s="10"/>
      <c r="AQ12" s="10"/>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6"/>
      <c r="CC12" s="1"/>
      <c r="CD12" s="16"/>
      <c r="CE12" s="1"/>
      <c r="CF12" s="16"/>
      <c r="CG12" s="1"/>
      <c r="CH12" s="1"/>
      <c r="CI12" s="16"/>
      <c r="CJ12" s="1"/>
      <c r="CK12" s="16"/>
      <c r="CL12" s="1"/>
      <c r="CM12" s="3"/>
      <c r="CN12" s="1"/>
      <c r="CO12" s="1"/>
      <c r="CP12" s="16"/>
      <c r="CQ12" s="1"/>
      <c r="CR12" s="1"/>
      <c r="CS12" s="1"/>
      <c r="CT12" s="1"/>
      <c r="CU12" s="17"/>
    </row>
    <row r="13" spans="1:102" x14ac:dyDescent="0.25">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0"/>
      <c r="AE13" s="10"/>
      <c r="AF13" s="10"/>
      <c r="AG13" s="10"/>
      <c r="AH13" s="1"/>
      <c r="AI13" s="1"/>
      <c r="AJ13" s="1"/>
      <c r="AK13" s="1"/>
      <c r="AL13" s="1"/>
      <c r="AM13" s="1"/>
      <c r="AN13" s="1"/>
      <c r="AO13" s="1"/>
      <c r="AP13" s="10"/>
      <c r="AQ13" s="10"/>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6"/>
      <c r="CC13" s="1"/>
      <c r="CD13" s="16"/>
      <c r="CE13" s="1"/>
      <c r="CF13" s="16"/>
      <c r="CG13" s="1"/>
      <c r="CH13" s="1"/>
      <c r="CI13" s="16"/>
      <c r="CJ13" s="1"/>
      <c r="CK13" s="16"/>
      <c r="CL13" s="1"/>
      <c r="CM13" s="3"/>
      <c r="CN13" s="1"/>
      <c r="CO13" s="1"/>
      <c r="CP13" s="16"/>
      <c r="CQ13" s="1"/>
      <c r="CR13" s="1"/>
      <c r="CS13" s="1"/>
      <c r="CT13" s="1"/>
      <c r="CU13" s="17"/>
    </row>
    <row r="14" spans="1:102" x14ac:dyDescent="0.25">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24"/>
      <c r="AE14" s="1"/>
      <c r="AF14" s="1"/>
      <c r="AG14" s="1"/>
      <c r="AH14" s="1"/>
      <c r="AI14" s="1"/>
      <c r="AJ14" s="1"/>
      <c r="AK14" s="1"/>
      <c r="AL14" s="1"/>
      <c r="AM14" s="1"/>
      <c r="AN14" s="1"/>
      <c r="AO14" s="1"/>
      <c r="AP14" s="10"/>
      <c r="AQ14" s="10"/>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6"/>
      <c r="CC14" s="1"/>
      <c r="CD14" s="16"/>
      <c r="CE14" s="1"/>
      <c r="CF14" s="16"/>
      <c r="CG14" s="1"/>
      <c r="CH14" s="1"/>
      <c r="CI14" s="16"/>
      <c r="CJ14" s="1"/>
      <c r="CK14" s="16"/>
      <c r="CL14" s="1"/>
      <c r="CM14" s="3"/>
      <c r="CN14" s="1"/>
      <c r="CO14" s="1"/>
      <c r="CP14" s="16"/>
      <c r="CQ14" s="1"/>
      <c r="CR14" s="1"/>
      <c r="CS14" s="1"/>
      <c r="CT14" s="1"/>
      <c r="CU14" s="17"/>
    </row>
    <row r="15" spans="1:102" x14ac:dyDescent="0.2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0"/>
      <c r="AQ15" s="10"/>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6"/>
      <c r="CC15" s="1"/>
      <c r="CD15" s="16"/>
      <c r="CE15" s="1"/>
      <c r="CF15" s="16"/>
      <c r="CG15" s="1"/>
      <c r="CH15" s="1"/>
      <c r="CI15" s="16"/>
      <c r="CJ15" s="1"/>
      <c r="CK15" s="16"/>
      <c r="CL15" s="1"/>
      <c r="CM15" s="3"/>
      <c r="CN15" s="1"/>
      <c r="CO15" s="1"/>
      <c r="CP15" s="16"/>
      <c r="CQ15" s="1"/>
      <c r="CR15" s="1"/>
      <c r="CS15" s="1"/>
      <c r="CT15" s="1"/>
      <c r="CU15" s="17"/>
    </row>
    <row r="16" spans="1:102" x14ac:dyDescent="0.2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0"/>
      <c r="AQ16" s="10"/>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6"/>
      <c r="CC16" s="1"/>
      <c r="CD16" s="16"/>
      <c r="CE16" s="1"/>
      <c r="CF16" s="16"/>
      <c r="CG16" s="1"/>
      <c r="CH16" s="1"/>
      <c r="CI16" s="16"/>
      <c r="CJ16" s="1"/>
      <c r="CK16" s="16"/>
      <c r="CL16" s="1"/>
      <c r="CM16" s="3"/>
      <c r="CN16" s="1"/>
      <c r="CO16" s="1"/>
      <c r="CP16" s="16"/>
      <c r="CQ16" s="1"/>
      <c r="CR16" s="1"/>
      <c r="CS16" s="1"/>
      <c r="CT16" s="1"/>
      <c r="CU16" s="17"/>
    </row>
    <row r="17" spans="1:99" x14ac:dyDescent="0.25">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0"/>
      <c r="AQ17" s="10"/>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6"/>
      <c r="CC17" s="1"/>
      <c r="CD17" s="16"/>
      <c r="CE17" s="1"/>
      <c r="CF17" s="16"/>
      <c r="CG17" s="1"/>
      <c r="CH17" s="1"/>
      <c r="CI17" s="16"/>
      <c r="CJ17" s="1"/>
      <c r="CK17" s="16"/>
      <c r="CL17" s="1"/>
      <c r="CM17" s="3"/>
      <c r="CN17" s="1"/>
      <c r="CO17" s="1"/>
      <c r="CP17" s="16"/>
      <c r="CQ17" s="1"/>
      <c r="CR17" s="1"/>
      <c r="CS17" s="1"/>
      <c r="CT17" s="1"/>
      <c r="CU17" s="17"/>
    </row>
    <row r="18" spans="1:99" x14ac:dyDescent="0.25">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0"/>
      <c r="AQ18" s="10"/>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6"/>
      <c r="CC18" s="1"/>
      <c r="CD18" s="16"/>
      <c r="CE18" s="1"/>
      <c r="CF18" s="16"/>
      <c r="CG18" s="1"/>
      <c r="CH18" s="1"/>
      <c r="CI18" s="16"/>
      <c r="CJ18" s="1"/>
      <c r="CK18" s="16"/>
      <c r="CL18" s="1"/>
      <c r="CM18" s="3"/>
      <c r="CN18" s="1"/>
      <c r="CO18" s="1"/>
      <c r="CP18" s="16"/>
      <c r="CQ18" s="1"/>
      <c r="CR18" s="1"/>
      <c r="CS18" s="1"/>
      <c r="CT18" s="1"/>
      <c r="CU18" s="17"/>
    </row>
    <row r="19" spans="1:99" x14ac:dyDescent="0.2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6"/>
      <c r="CE19" s="1"/>
      <c r="CF19" s="16"/>
      <c r="CG19" s="1"/>
      <c r="CH19" s="1"/>
      <c r="CI19" s="16"/>
      <c r="CJ19" s="1"/>
      <c r="CK19" s="16"/>
      <c r="CL19" s="1"/>
      <c r="CM19" s="3"/>
      <c r="CN19" s="1"/>
      <c r="CO19" s="1"/>
      <c r="CP19" s="16"/>
      <c r="CQ19" s="1"/>
      <c r="CR19" s="1"/>
      <c r="CS19" s="1"/>
      <c r="CT19" s="1"/>
      <c r="CU19" s="17"/>
    </row>
    <row r="20" spans="1:99"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6"/>
      <c r="CE20" s="1"/>
      <c r="CF20" s="16"/>
      <c r="CG20" s="1"/>
      <c r="CH20" s="1"/>
      <c r="CI20" s="16"/>
      <c r="CJ20" s="1"/>
      <c r="CK20" s="16"/>
      <c r="CL20" s="1"/>
      <c r="CM20" s="3"/>
      <c r="CN20" s="1"/>
      <c r="CO20" s="1"/>
      <c r="CP20" s="16"/>
      <c r="CQ20" s="1"/>
      <c r="CR20" s="1"/>
      <c r="CS20" s="1"/>
      <c r="CT20" s="1"/>
      <c r="CU20" s="17"/>
    </row>
  </sheetData>
  <autoFilter ref="A1:CU1" xr:uid="{00000000-0009-0000-0000-000000000000}"/>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O36"/>
  <sheetViews>
    <sheetView tabSelected="1" topLeftCell="A13" workbookViewId="0">
      <selection activeCell="CK23" sqref="CK23"/>
    </sheetView>
  </sheetViews>
  <sheetFormatPr defaultRowHeight="15" x14ac:dyDescent="0.25"/>
  <cols>
    <col min="1" max="1" width="15.140625" bestFit="1" customWidth="1"/>
    <col min="2" max="2" width="10.42578125" bestFit="1" customWidth="1"/>
    <col min="3" max="3" width="11.7109375" customWidth="1"/>
    <col min="4" max="4" width="30.85546875" customWidth="1"/>
    <col min="5" max="5" width="14.28515625" style="4" bestFit="1" customWidth="1"/>
    <col min="6" max="6" width="14.140625" customWidth="1"/>
    <col min="7" max="7" width="13.85546875" bestFit="1" customWidth="1"/>
    <col min="8" max="8" width="10.5703125" style="8" bestFit="1" customWidth="1"/>
    <col min="9" max="9" width="12.28515625" bestFit="1" customWidth="1"/>
    <col min="10" max="10" width="13.85546875" bestFit="1" customWidth="1"/>
    <col min="13" max="13" width="14.28515625" bestFit="1" customWidth="1"/>
    <col min="14" max="15" width="7.85546875" style="30" hidden="1" customWidth="1"/>
    <col min="16" max="16" width="7.85546875" style="30" customWidth="1"/>
    <col min="17" max="33" width="7.85546875" style="30" hidden="1" customWidth="1"/>
    <col min="34" max="34" width="7.85546875" style="30" customWidth="1"/>
    <col min="35" max="36" width="7.85546875" style="30" hidden="1" customWidth="1"/>
    <col min="37" max="37" width="7.85546875" style="30" customWidth="1"/>
    <col min="38" max="40" width="7.85546875" style="30" hidden="1" customWidth="1"/>
    <col min="41" max="41" width="7.85546875" style="30" customWidth="1"/>
    <col min="42" max="60" width="7.85546875" style="30" hidden="1" customWidth="1"/>
    <col min="61" max="61" width="7.85546875" style="30" customWidth="1"/>
    <col min="62" max="73" width="7.85546875" style="30" hidden="1" customWidth="1"/>
    <col min="74" max="74" width="7.85546875" style="30" customWidth="1"/>
    <col min="75" max="75" width="11.5703125" style="30" customWidth="1"/>
    <col min="76" max="76" width="12.7109375" style="30" customWidth="1"/>
    <col min="77" max="77" width="11.28515625" style="30" customWidth="1"/>
    <col min="78" max="78" width="9.85546875" style="4" bestFit="1" customWidth="1"/>
    <col min="79" max="79" width="13.85546875" style="4" bestFit="1" customWidth="1"/>
    <col min="80" max="80" width="9.140625" style="28" hidden="1" customWidth="1"/>
    <col min="81" max="81" width="9.140625" style="4" hidden="1" customWidth="1"/>
    <col min="82" max="82" width="8.85546875" style="14" customWidth="1"/>
    <col min="83" max="83" width="12" style="4" bestFit="1" customWidth="1"/>
    <col min="84" max="84" width="8.85546875" style="8" customWidth="1"/>
    <col min="85" max="85" width="12.28515625" style="4" bestFit="1" customWidth="1"/>
    <col min="86" max="86" width="13.85546875" style="4" bestFit="1" customWidth="1"/>
    <col min="87" max="87" width="9.42578125" style="8" customWidth="1"/>
    <col min="88" max="88" width="11.5703125" customWidth="1"/>
    <col min="89" max="89" width="9.5703125" style="8" customWidth="1"/>
    <col min="90" max="90" width="9.140625" customWidth="1"/>
  </cols>
  <sheetData>
    <row r="1" spans="1:89" s="44" customFormat="1" ht="15.75" thickBot="1" x14ac:dyDescent="0.3"/>
    <row r="2" spans="1:89" s="44" customFormat="1" ht="23.25" thickBot="1" x14ac:dyDescent="0.5">
      <c r="A2" s="149" t="s">
        <v>102</v>
      </c>
      <c r="B2" s="150"/>
      <c r="C2" s="150"/>
      <c r="D2" s="150"/>
      <c r="E2" s="150"/>
      <c r="F2" s="150"/>
      <c r="G2" s="150"/>
      <c r="H2" s="150"/>
      <c r="I2" s="150"/>
      <c r="J2" s="150"/>
      <c r="K2" s="150"/>
      <c r="L2" s="150"/>
      <c r="M2" s="150"/>
      <c r="N2" s="150"/>
      <c r="O2" s="150"/>
      <c r="P2" s="150"/>
      <c r="Q2" s="150"/>
      <c r="R2" s="151"/>
      <c r="S2" s="47"/>
      <c r="T2" s="47"/>
    </row>
    <row r="3" spans="1:89" s="44" customFormat="1" ht="15.75" thickBot="1" x14ac:dyDescent="0.3">
      <c r="A3"/>
      <c r="B3"/>
      <c r="C3"/>
      <c r="D3"/>
      <c r="E3"/>
      <c r="F3"/>
      <c r="G3"/>
      <c r="H3"/>
      <c r="I3"/>
      <c r="J3"/>
      <c r="K3"/>
      <c r="L3"/>
      <c r="M3"/>
      <c r="N3"/>
      <c r="O3"/>
      <c r="P3"/>
      <c r="Q3"/>
      <c r="R3"/>
      <c r="S3"/>
    </row>
    <row r="4" spans="1:89" s="44" customFormat="1" ht="51.75" customHeight="1" thickBot="1" x14ac:dyDescent="0.3">
      <c r="A4" s="45" t="s">
        <v>89</v>
      </c>
      <c r="B4" s="145" t="s">
        <v>103</v>
      </c>
      <c r="C4" s="145"/>
      <c r="D4" s="145"/>
      <c r="E4" s="145"/>
      <c r="F4" s="145"/>
      <c r="G4" s="145"/>
      <c r="H4" s="145"/>
      <c r="I4" s="145"/>
      <c r="J4" s="145"/>
      <c r="K4" s="145"/>
      <c r="L4" s="145"/>
      <c r="M4" s="145"/>
      <c r="N4" s="145"/>
      <c r="O4" s="145"/>
      <c r="P4" s="145"/>
      <c r="Q4" s="145"/>
      <c r="R4" s="145"/>
      <c r="S4"/>
    </row>
    <row r="5" spans="1:89" s="44" customFormat="1" ht="34.5" customHeight="1" x14ac:dyDescent="0.25">
      <c r="A5" s="45" t="s">
        <v>90</v>
      </c>
      <c r="B5" s="145" t="s">
        <v>104</v>
      </c>
      <c r="C5" s="145"/>
      <c r="D5" s="145"/>
      <c r="E5" s="145"/>
      <c r="F5" s="145"/>
      <c r="G5" s="145"/>
      <c r="H5" s="145"/>
      <c r="I5" s="145"/>
      <c r="J5" s="145"/>
      <c r="K5" s="145"/>
      <c r="L5" s="145"/>
      <c r="M5" s="145"/>
      <c r="N5" s="145"/>
      <c r="O5" s="145"/>
      <c r="P5" s="145"/>
      <c r="Q5" s="145"/>
      <c r="R5" s="145"/>
      <c r="S5"/>
    </row>
    <row r="6" spans="1:89" s="44" customFormat="1" ht="48" customHeight="1" x14ac:dyDescent="0.25">
      <c r="A6" s="46" t="s">
        <v>91</v>
      </c>
      <c r="B6" s="144" t="s">
        <v>105</v>
      </c>
      <c r="C6" s="145"/>
      <c r="D6" s="145"/>
      <c r="E6" s="145"/>
      <c r="F6" s="145"/>
      <c r="G6" s="145"/>
      <c r="H6" s="145"/>
      <c r="I6" s="145"/>
      <c r="J6" s="145"/>
      <c r="K6" s="145"/>
      <c r="L6" s="145"/>
      <c r="M6" s="145"/>
      <c r="N6" s="145"/>
      <c r="O6" s="145"/>
      <c r="P6" s="145"/>
      <c r="Q6" s="145"/>
      <c r="R6" s="145"/>
      <c r="S6"/>
    </row>
    <row r="7" spans="1:89" s="44" customFormat="1" ht="30" x14ac:dyDescent="0.25">
      <c r="A7" s="46" t="s">
        <v>88</v>
      </c>
      <c r="B7" s="144" t="s">
        <v>106</v>
      </c>
      <c r="C7" s="145"/>
      <c r="D7" s="145"/>
      <c r="E7" s="145"/>
      <c r="F7" s="145"/>
      <c r="G7" s="145"/>
      <c r="H7" s="145"/>
      <c r="I7" s="145"/>
      <c r="J7" s="145"/>
      <c r="K7" s="145"/>
      <c r="L7" s="145"/>
      <c r="M7" s="145"/>
      <c r="N7" s="145"/>
      <c r="O7" s="145"/>
      <c r="P7" s="145"/>
      <c r="Q7" s="145"/>
      <c r="R7" s="145"/>
      <c r="S7"/>
    </row>
    <row r="8" spans="1:89" s="44" customFormat="1" ht="30" customHeight="1" x14ac:dyDescent="0.25">
      <c r="A8" s="46" t="s">
        <v>92</v>
      </c>
      <c r="B8" s="144" t="s">
        <v>107</v>
      </c>
      <c r="C8" s="144"/>
      <c r="D8" s="144"/>
      <c r="E8" s="144"/>
      <c r="F8" s="144"/>
      <c r="G8" s="144"/>
      <c r="H8" s="144"/>
      <c r="I8" s="144"/>
      <c r="J8" s="144"/>
      <c r="K8" s="144"/>
      <c r="L8" s="144"/>
      <c r="M8" s="144"/>
      <c r="N8" s="144"/>
      <c r="O8" s="144"/>
      <c r="P8" s="144"/>
      <c r="Q8" s="144"/>
      <c r="R8" s="144"/>
      <c r="S8"/>
    </row>
    <row r="9" spans="1:89" s="44" customFormat="1" ht="21.75" customHeight="1" x14ac:dyDescent="0.25">
      <c r="A9" s="46" t="s">
        <v>93</v>
      </c>
      <c r="B9" s="146" t="s">
        <v>108</v>
      </c>
      <c r="C9" s="147"/>
      <c r="D9" s="147"/>
      <c r="E9" s="147"/>
      <c r="F9" s="147"/>
      <c r="G9" s="147"/>
      <c r="H9" s="147"/>
      <c r="I9" s="147"/>
      <c r="J9" s="147"/>
      <c r="K9" s="147"/>
      <c r="L9" s="147"/>
      <c r="M9" s="147"/>
      <c r="N9" s="147"/>
      <c r="O9" s="147"/>
      <c r="P9" s="147"/>
      <c r="Q9" s="147"/>
      <c r="R9" s="148"/>
    </row>
    <row r="10" spans="1:89" s="44" customFormat="1" ht="64.5" customHeight="1" x14ac:dyDescent="0.25">
      <c r="A10" s="46" t="s">
        <v>94</v>
      </c>
      <c r="B10" s="144" t="s">
        <v>109</v>
      </c>
      <c r="C10" s="144"/>
      <c r="D10" s="144"/>
      <c r="E10" s="144"/>
      <c r="F10" s="144"/>
      <c r="G10" s="144"/>
      <c r="H10" s="144"/>
      <c r="I10" s="144"/>
      <c r="J10" s="144"/>
      <c r="K10" s="144"/>
      <c r="L10" s="144"/>
      <c r="M10" s="144"/>
      <c r="N10" s="144"/>
      <c r="O10" s="144"/>
      <c r="P10" s="144"/>
      <c r="Q10" s="144"/>
      <c r="R10" s="144"/>
      <c r="S10"/>
    </row>
    <row r="11" spans="1:89" s="44" customFormat="1" ht="50.25" customHeight="1" x14ac:dyDescent="0.25">
      <c r="A11" s="46" t="s">
        <v>95</v>
      </c>
      <c r="B11" s="155" t="s">
        <v>110</v>
      </c>
      <c r="C11" s="156"/>
      <c r="D11" s="156"/>
      <c r="E11" s="156"/>
      <c r="F11" s="156"/>
      <c r="G11" s="156"/>
      <c r="H11" s="156"/>
      <c r="I11" s="156"/>
      <c r="J11" s="156"/>
      <c r="K11" s="156"/>
      <c r="L11" s="156"/>
      <c r="M11" s="156"/>
      <c r="N11" s="156"/>
      <c r="O11" s="156"/>
      <c r="P11" s="156"/>
      <c r="Q11" s="156"/>
      <c r="R11" s="157"/>
      <c r="S11"/>
    </row>
    <row r="12" spans="1:89" s="44" customFormat="1" ht="45.75" customHeight="1" x14ac:dyDescent="0.25">
      <c r="A12" s="49" t="s">
        <v>96</v>
      </c>
      <c r="B12" s="158" t="s">
        <v>111</v>
      </c>
      <c r="C12" s="158"/>
      <c r="D12" s="158"/>
      <c r="E12" s="158"/>
      <c r="F12" s="158"/>
      <c r="G12" s="158"/>
      <c r="H12" s="158"/>
      <c r="I12" s="158"/>
      <c r="J12" s="158"/>
      <c r="K12" s="158"/>
      <c r="L12" s="158"/>
      <c r="M12" s="158"/>
      <c r="N12" s="158"/>
      <c r="O12" s="158"/>
      <c r="P12" s="158"/>
      <c r="Q12" s="158"/>
      <c r="R12" s="158"/>
    </row>
    <row r="13" spans="1:89" s="44" customFormat="1" ht="32.25" customHeight="1" x14ac:dyDescent="0.25">
      <c r="A13" s="49" t="s">
        <v>97</v>
      </c>
      <c r="B13" s="158" t="s">
        <v>112</v>
      </c>
      <c r="C13" s="158"/>
      <c r="D13" s="158"/>
      <c r="E13" s="158"/>
      <c r="F13" s="158"/>
      <c r="G13" s="158"/>
      <c r="H13" s="158"/>
      <c r="I13" s="158"/>
      <c r="J13" s="158"/>
      <c r="K13" s="158"/>
      <c r="L13" s="158"/>
      <c r="M13" s="158"/>
      <c r="N13" s="158"/>
      <c r="O13" s="158"/>
      <c r="P13" s="158"/>
      <c r="Q13" s="158"/>
      <c r="R13" s="158"/>
    </row>
    <row r="14" spans="1:89" s="44" customFormat="1" ht="30" x14ac:dyDescent="0.25">
      <c r="A14" s="50" t="s">
        <v>98</v>
      </c>
      <c r="B14" s="158"/>
      <c r="C14" s="158"/>
      <c r="D14" s="158"/>
      <c r="E14" s="158"/>
      <c r="F14" s="158"/>
      <c r="G14" s="158"/>
      <c r="H14" s="158"/>
      <c r="I14" s="158"/>
      <c r="J14" s="158"/>
      <c r="K14" s="158"/>
      <c r="L14" s="158"/>
      <c r="M14" s="158"/>
      <c r="N14" s="158"/>
      <c r="O14" s="158"/>
      <c r="P14" s="158"/>
      <c r="Q14" s="158"/>
      <c r="R14" s="158"/>
    </row>
    <row r="16" spans="1:89" s="37" customFormat="1" ht="28.9" customHeight="1" x14ac:dyDescent="0.25">
      <c r="E16" s="42"/>
      <c r="H16" s="43"/>
      <c r="N16" s="154" t="str">
        <f>Sheet1!J1</f>
        <v>Conductor</v>
      </c>
      <c r="O16" s="154"/>
      <c r="P16" s="154"/>
      <c r="Q16" s="154"/>
      <c r="R16" s="154"/>
      <c r="S16" s="154" t="s">
        <v>6</v>
      </c>
      <c r="T16" s="154"/>
      <c r="U16" s="154" t="s">
        <v>3</v>
      </c>
      <c r="V16" s="154"/>
      <c r="W16" s="154"/>
      <c r="X16" s="154"/>
      <c r="Y16" s="154"/>
      <c r="Z16" s="154"/>
      <c r="AA16" s="154"/>
      <c r="AB16" s="154"/>
      <c r="AC16" s="154" t="s">
        <v>7</v>
      </c>
      <c r="AD16" s="154"/>
      <c r="AE16" s="154" t="s">
        <v>8</v>
      </c>
      <c r="AF16" s="154"/>
      <c r="AG16" s="154"/>
      <c r="AH16" s="154"/>
      <c r="AI16" s="154"/>
      <c r="AJ16" s="154"/>
      <c r="AK16" s="10" t="s">
        <v>9</v>
      </c>
      <c r="AL16" s="152" t="s">
        <v>10</v>
      </c>
      <c r="AM16" s="153"/>
      <c r="AN16" s="153"/>
      <c r="AO16" s="153"/>
      <c r="AP16" s="153"/>
      <c r="AQ16" s="153"/>
      <c r="AR16" s="153"/>
      <c r="AS16" s="154" t="s">
        <v>11</v>
      </c>
      <c r="AT16" s="154"/>
      <c r="AU16" s="154"/>
      <c r="AV16" s="154"/>
      <c r="AW16" s="154"/>
      <c r="AX16" s="154"/>
      <c r="AY16" s="154"/>
      <c r="AZ16" s="154"/>
      <c r="BA16" s="154"/>
      <c r="BB16" s="154"/>
      <c r="BC16" s="154" t="s">
        <v>12</v>
      </c>
      <c r="BD16" s="154"/>
      <c r="BE16" s="154"/>
      <c r="BF16" s="154"/>
      <c r="BG16" s="154"/>
      <c r="BH16" s="154"/>
      <c r="BI16" s="154"/>
      <c r="BJ16" s="154"/>
      <c r="BK16" s="154"/>
      <c r="BL16" s="154"/>
      <c r="BM16" s="38" t="s">
        <v>13</v>
      </c>
      <c r="BN16" s="10" t="s">
        <v>14</v>
      </c>
      <c r="BO16" s="10" t="s">
        <v>15</v>
      </c>
      <c r="BP16" s="10" t="s">
        <v>16</v>
      </c>
      <c r="BQ16" s="10" t="s">
        <v>17</v>
      </c>
      <c r="BR16" s="10" t="s">
        <v>18</v>
      </c>
      <c r="BS16" s="10" t="s">
        <v>19</v>
      </c>
      <c r="BT16" s="10" t="s">
        <v>20</v>
      </c>
      <c r="BU16" s="10" t="s">
        <v>21</v>
      </c>
      <c r="BV16" s="10"/>
      <c r="BW16" s="10"/>
      <c r="BX16" s="10"/>
      <c r="BY16" s="10"/>
      <c r="BZ16" s="39" t="s">
        <v>22</v>
      </c>
      <c r="CA16" s="39" t="s">
        <v>23</v>
      </c>
      <c r="CB16" s="40" t="s">
        <v>43</v>
      </c>
      <c r="CC16" s="39" t="s">
        <v>87</v>
      </c>
      <c r="CD16" s="41"/>
      <c r="CE16" s="42"/>
      <c r="CF16" s="43"/>
      <c r="CG16" s="42"/>
      <c r="CH16" s="42"/>
      <c r="CI16" s="43"/>
      <c r="CK16" s="43"/>
    </row>
    <row r="17" spans="1:93" s="19" customFormat="1" ht="89.25" x14ac:dyDescent="0.25">
      <c r="A17" s="22" t="s">
        <v>0</v>
      </c>
      <c r="B17" s="22" t="str">
        <f>Sheet1!B1</f>
        <v>Base Date</v>
      </c>
      <c r="C17" s="22" t="s">
        <v>1</v>
      </c>
      <c r="D17" s="22" t="s">
        <v>2</v>
      </c>
      <c r="E17" s="5" t="s">
        <v>34</v>
      </c>
      <c r="F17" s="15" t="s">
        <v>35</v>
      </c>
      <c r="G17" s="15" t="s">
        <v>36</v>
      </c>
      <c r="H17" s="6" t="s">
        <v>37</v>
      </c>
      <c r="I17" s="15" t="s">
        <v>38</v>
      </c>
      <c r="J17" s="15" t="s">
        <v>39</v>
      </c>
      <c r="K17" s="15" t="s">
        <v>40</v>
      </c>
      <c r="L17" s="15" t="s">
        <v>41</v>
      </c>
      <c r="M17" s="15" t="s">
        <v>42</v>
      </c>
      <c r="N17" s="23" t="s">
        <v>44</v>
      </c>
      <c r="O17" s="23" t="s">
        <v>49</v>
      </c>
      <c r="P17" s="23" t="s">
        <v>46</v>
      </c>
      <c r="Q17" s="23" t="s">
        <v>47</v>
      </c>
      <c r="R17" s="23" t="s">
        <v>48</v>
      </c>
      <c r="S17" s="23" t="s">
        <v>44</v>
      </c>
      <c r="T17" s="23" t="s">
        <v>49</v>
      </c>
      <c r="U17" s="24" t="s">
        <v>56</v>
      </c>
      <c r="V17" s="24" t="s">
        <v>60</v>
      </c>
      <c r="W17" s="24" t="s">
        <v>63</v>
      </c>
      <c r="X17" s="24" t="s">
        <v>68</v>
      </c>
      <c r="Y17" s="24" t="s">
        <v>72</v>
      </c>
      <c r="Z17" s="24" t="s">
        <v>76</v>
      </c>
      <c r="AA17" s="24" t="s">
        <v>79</v>
      </c>
      <c r="AB17" s="24" t="s">
        <v>81</v>
      </c>
      <c r="AC17" s="24" t="s">
        <v>55</v>
      </c>
      <c r="AD17" s="24" t="s">
        <v>59</v>
      </c>
      <c r="AE17" s="24" t="s">
        <v>54</v>
      </c>
      <c r="AF17" s="24" t="s">
        <v>50</v>
      </c>
      <c r="AG17" s="24" t="s">
        <v>62</v>
      </c>
      <c r="AH17" s="24" t="s">
        <v>67</v>
      </c>
      <c r="AI17" s="24" t="s">
        <v>71</v>
      </c>
      <c r="AJ17" s="24" t="s">
        <v>75</v>
      </c>
      <c r="AK17" s="20" t="s">
        <v>9</v>
      </c>
      <c r="AL17" s="24" t="s">
        <v>57</v>
      </c>
      <c r="AM17" s="24" t="s">
        <v>61</v>
      </c>
      <c r="AN17" s="24" t="s">
        <v>64</v>
      </c>
      <c r="AO17" s="24" t="s">
        <v>69</v>
      </c>
      <c r="AP17" s="24" t="s">
        <v>73</v>
      </c>
      <c r="AQ17" s="24" t="s">
        <v>51</v>
      </c>
      <c r="AR17" s="24" t="s">
        <v>80</v>
      </c>
      <c r="AS17" s="24" t="s">
        <v>58</v>
      </c>
      <c r="AT17" s="24" t="s">
        <v>45</v>
      </c>
      <c r="AU17" s="24" t="s">
        <v>65</v>
      </c>
      <c r="AV17" s="24" t="s">
        <v>70</v>
      </c>
      <c r="AW17" s="24" t="s">
        <v>77</v>
      </c>
      <c r="AX17" s="24" t="s">
        <v>52</v>
      </c>
      <c r="AY17" s="24" t="s">
        <v>82</v>
      </c>
      <c r="AZ17" s="24" t="s">
        <v>83</v>
      </c>
      <c r="BA17" s="24" t="s">
        <v>84</v>
      </c>
      <c r="BB17" s="24" t="s">
        <v>86</v>
      </c>
      <c r="BC17" s="24" t="s">
        <v>57</v>
      </c>
      <c r="BD17" s="24" t="s">
        <v>61</v>
      </c>
      <c r="BE17" s="24" t="s">
        <v>66</v>
      </c>
      <c r="BF17" s="24" t="s">
        <v>64</v>
      </c>
      <c r="BG17" s="24" t="s">
        <v>74</v>
      </c>
      <c r="BH17" s="24" t="s">
        <v>78</v>
      </c>
      <c r="BI17" s="24" t="s">
        <v>257</v>
      </c>
      <c r="BJ17" s="24" t="s">
        <v>51</v>
      </c>
      <c r="BK17" s="24" t="s">
        <v>80</v>
      </c>
      <c r="BL17" s="24" t="s">
        <v>85</v>
      </c>
      <c r="BM17" s="20" t="s">
        <v>13</v>
      </c>
      <c r="BN17" s="20" t="s">
        <v>53</v>
      </c>
      <c r="BO17" s="21" t="s">
        <v>15</v>
      </c>
      <c r="BP17" s="25" t="s">
        <v>16</v>
      </c>
      <c r="BQ17" s="21" t="s">
        <v>17</v>
      </c>
      <c r="BR17" s="21" t="s">
        <v>18</v>
      </c>
      <c r="BS17" s="21" t="s">
        <v>19</v>
      </c>
      <c r="BT17" s="25" t="s">
        <v>20</v>
      </c>
      <c r="BU17" s="21" t="s">
        <v>21</v>
      </c>
      <c r="BV17" s="21" t="str">
        <f>Sheet1!E1</f>
        <v>Propose Drum Type</v>
      </c>
      <c r="BW17" s="53" t="str">
        <f>Sheet1!CV1</f>
        <v>DRUM CODE</v>
      </c>
      <c r="BX17" s="53" t="str">
        <f>Sheet1!CW1</f>
        <v>DRUM SIZE (FxbXtx Ft)</v>
      </c>
      <c r="BY17" s="53" t="str">
        <f>Sheet1!CX1</f>
        <v>Party Standard Length(MTR)</v>
      </c>
      <c r="BZ17" s="29"/>
      <c r="CA17" s="29"/>
      <c r="CB17" s="26"/>
      <c r="CC17" s="29"/>
      <c r="CD17" s="13" t="s">
        <v>25</v>
      </c>
      <c r="CE17" s="5" t="s">
        <v>26</v>
      </c>
      <c r="CF17" s="6" t="s">
        <v>27</v>
      </c>
      <c r="CG17" s="5" t="s">
        <v>28</v>
      </c>
      <c r="CH17" s="5" t="s">
        <v>29</v>
      </c>
      <c r="CI17" s="6" t="s">
        <v>30</v>
      </c>
      <c r="CJ17" s="15" t="s">
        <v>31</v>
      </c>
      <c r="CK17" s="6" t="s">
        <v>32</v>
      </c>
      <c r="CL17" s="15" t="s">
        <v>33</v>
      </c>
      <c r="CN17" s="19" t="s">
        <v>264</v>
      </c>
      <c r="CO17" s="19" t="s">
        <v>265</v>
      </c>
    </row>
    <row r="18" spans="1:93" s="29" customFormat="1" x14ac:dyDescent="0.25">
      <c r="A18" s="31"/>
      <c r="B18" s="31"/>
      <c r="C18" s="31"/>
      <c r="D18" s="31"/>
      <c r="E18" s="5"/>
      <c r="F18" s="5"/>
      <c r="G18" s="5"/>
      <c r="H18" s="5"/>
      <c r="I18" s="5"/>
      <c r="J18" s="5"/>
      <c r="K18" s="5"/>
      <c r="L18" s="5"/>
      <c r="M18" s="5"/>
      <c r="N18" s="32">
        <f>+IFERROR(VLOOKUP($N$17,Sheet1!J:L,2,0),0)</f>
        <v>0</v>
      </c>
      <c r="O18" s="32">
        <f>+IFERROR(VLOOKUP($O$17,Sheet1!J:L,2,0),0)</f>
        <v>0</v>
      </c>
      <c r="P18" s="32">
        <v>855</v>
      </c>
      <c r="Q18" s="32">
        <f>+IFERROR(VLOOKUP($Q$17,Sheet1!J:M,2,0),0)</f>
        <v>0</v>
      </c>
      <c r="R18" s="32">
        <f>+IFERROR(VLOOKUP($R$17,Sheet1!J:M,2,0),0)</f>
        <v>0</v>
      </c>
      <c r="S18" s="32">
        <f>+IFERROR(VLOOKUP($S$17,Sheet1!N:Q,2,0),0)</f>
        <v>0</v>
      </c>
      <c r="T18" s="32">
        <f>+IFERROR(VLOOKUP($T$17,Sheet1!N:O,2,0),0)</f>
        <v>0</v>
      </c>
      <c r="U18" s="33">
        <f>+IFERROR(VLOOKUP($U$17,Sheet1!F:I,2,0),0)</f>
        <v>0</v>
      </c>
      <c r="V18" s="33">
        <f>+IFERROR(VLOOKUP($V$17,Sheet1!F:I,2,0),0)</f>
        <v>0</v>
      </c>
      <c r="W18" s="33">
        <f>+IFERROR(VLOOKUP($W$17,Sheet1!F:I,2,0),0)</f>
        <v>0</v>
      </c>
      <c r="X18" s="33">
        <f>+IFERROR(VLOOKUP($X$17,Sheet1!F:I,2,0),0)</f>
        <v>0</v>
      </c>
      <c r="Y18" s="33">
        <f>+IFERROR(VLOOKUP($Y$17,Sheet1!F:I,2,0),0)</f>
        <v>0</v>
      </c>
      <c r="Z18" s="33">
        <f>+IFERROR(VLOOKUP($Z$17,Sheet1!F:I,2,0),0)</f>
        <v>0</v>
      </c>
      <c r="AA18" s="33">
        <f>+IFERROR(VLOOKUP($AA$17,Sheet1!F:I,2,0),0)</f>
        <v>0</v>
      </c>
      <c r="AB18" s="33">
        <f>+IFERROR(VLOOKUP($AB$17,Sheet1!F:I,2,0),0)</f>
        <v>0</v>
      </c>
      <c r="AC18" s="33">
        <f>+IFERROR(VLOOKUP($AC$17,Sheet1!R:U,2,0),0)</f>
        <v>0</v>
      </c>
      <c r="AD18" s="33">
        <f>+IFERROR(VLOOKUP($AD$17,Sheet1!R:U,2,0),0)</f>
        <v>0</v>
      </c>
      <c r="AE18" s="33">
        <f>+IFERROR(VLOOKUP($AE$17,Sheet1!V:Y,2,0),0)</f>
        <v>0</v>
      </c>
      <c r="AF18" s="33">
        <f>+IFERROR(VLOOKUP($AF$17,Sheet1!V:Y,2,0),0)</f>
        <v>0</v>
      </c>
      <c r="AG18" s="33">
        <f>+IFERROR(VLOOKUP($AG$17,Sheet1!V:Y,2,0),0)</f>
        <v>0</v>
      </c>
      <c r="AH18" s="33">
        <v>66</v>
      </c>
      <c r="AI18" s="33">
        <f>+IFERROR(VLOOKUP($AI$17,Sheet1!V:Y,2,0),0)</f>
        <v>0</v>
      </c>
      <c r="AJ18" s="33">
        <f>+IFERROR(VLOOKUP($AJ$17,Sheet1!V:Y,2,0),0)</f>
        <v>0</v>
      </c>
      <c r="AK18" s="34">
        <f>+IFERROR(VLOOKUP($AK$17,Sheet1!Z2:AA840,2,0),0)</f>
        <v>117</v>
      </c>
      <c r="AL18" s="33">
        <f>+IFERROR(VLOOKUP($AL$17,Sheet1!AD2:AG840,2,0),0)</f>
        <v>0</v>
      </c>
      <c r="AM18" s="33">
        <f>+IFERROR(VLOOKUP($AM$17,Sheet1!AD2:AG840,2,0),0)</f>
        <v>0</v>
      </c>
      <c r="AN18" s="33">
        <f>+IFERROR(VLOOKUP($AN$17,Sheet1!AD2:AG840,2,0),0)</f>
        <v>0</v>
      </c>
      <c r="AO18" s="33">
        <v>61</v>
      </c>
      <c r="AP18" s="33">
        <f>+IFERROR(VLOOKUP($AP$17,Sheet1!AD2:AG840,2,0),0)</f>
        <v>0</v>
      </c>
      <c r="AQ18" s="33">
        <f>+IFERROR(VLOOKUP($AQ$17,Sheet1!AD2:AG840,2,0),0)</f>
        <v>0</v>
      </c>
      <c r="AR18" s="33">
        <f>+IFERROR(VLOOKUP($AR$17,Sheet1!AD2:AG840,2,0),0)</f>
        <v>0</v>
      </c>
      <c r="AS18" s="33">
        <f>+IFERROR(VLOOKUP($AS$17,Sheet1!AH2:AK840,2,0),0)</f>
        <v>0</v>
      </c>
      <c r="AT18" s="33">
        <f>+IFERROR(VLOOKUP($AT$17,Sheet1!AH2:AK840,2,0),0)</f>
        <v>0</v>
      </c>
      <c r="AU18" s="33">
        <f>+IFERROR(VLOOKUP($AU$17,Sheet1!AH2:AK840,2,0),0)</f>
        <v>0</v>
      </c>
      <c r="AV18" s="33">
        <f>+IFERROR(VLOOKUP($AV$17,Sheet1!AH2:AK840,2,0),0)</f>
        <v>0</v>
      </c>
      <c r="AW18" s="33">
        <f>+IFERROR(VLOOKUP($AW$17,Sheet1!AH2:AK840,2,0),0)</f>
        <v>0</v>
      </c>
      <c r="AX18" s="33">
        <f>+IFERROR(VLOOKUP($AX$17,Sheet1!AH2:AK840,2,0),0)</f>
        <v>0</v>
      </c>
      <c r="AY18" s="33">
        <f>+IFERROR(VLOOKUP($AY$17,Sheet1!AH2:AK840,2,0),0)</f>
        <v>0</v>
      </c>
      <c r="AZ18" s="33">
        <f>+IFERROR(VLOOKUP($AZ$17,Sheet1!AH2:AK840,2,0),0)</f>
        <v>0</v>
      </c>
      <c r="BA18" s="33">
        <f>+IFERROR(VLOOKUP($BA$17,Sheet1!AH2:AK840,2,0),0)</f>
        <v>0</v>
      </c>
      <c r="BB18" s="33">
        <f>+IFERROR(VLOOKUP($BB$17,Sheet1!AH2:AK840,2,0),0)</f>
        <v>0</v>
      </c>
      <c r="BC18" s="33">
        <f>+IFERROR(VLOOKUP($BC$17,Sheet1!AL2:AO840,2,0),0)</f>
        <v>0</v>
      </c>
      <c r="BD18" s="33">
        <f>+IFERROR(VLOOKUP($BD$17,Sheet1!AL2:AO840,2,0),0)</f>
        <v>0</v>
      </c>
      <c r="BE18" s="33">
        <f>+IFERROR(VLOOKUP($BE$17,Sheet1!AL2:AO840,2,0),0)</f>
        <v>0</v>
      </c>
      <c r="BF18" s="33">
        <f>+IFERROR(VLOOKUP($BF$17,Sheet1!AL2:AO840,2,0),0)</f>
        <v>0</v>
      </c>
      <c r="BG18" s="33">
        <f>+IFERROR(VLOOKUP($BG$17,Sheet1!AL2:AO840,2,0),0)</f>
        <v>0</v>
      </c>
      <c r="BH18" s="33">
        <f>+IFERROR(VLOOKUP($BH$17,Sheet1!AL2:AO840,2,0),0)</f>
        <v>0</v>
      </c>
      <c r="BI18" s="33">
        <f>AO18+7</f>
        <v>68</v>
      </c>
      <c r="BJ18" s="33">
        <f>+IFERROR(VLOOKUP($BJ$17,Sheet1!AL2:AO840,2,0),0)</f>
        <v>0</v>
      </c>
      <c r="BK18" s="33">
        <f>+IFERROR(VLOOKUP($BK$17,Sheet1!AL2:AO840,2,0),0)</f>
        <v>0</v>
      </c>
      <c r="BL18" s="33">
        <f>+IFERROR(VLOOKUP($BL$17,Sheet1!AL2:AO840,2,0),0)</f>
        <v>0</v>
      </c>
      <c r="BM18" s="34">
        <f>+IFERROR(VLOOKUP($BM$17,Sheet1!AP2:AS840,2,0),0)</f>
        <v>0</v>
      </c>
      <c r="BN18" s="34">
        <f>+IFERROR(VLOOKUP($BN$17,Sheet1!AT2:AW840,2,0),0)</f>
        <v>0</v>
      </c>
      <c r="BO18" s="35">
        <f>+IFERROR(VLOOKUP($BO$17,Sheet1!AX2:BA840,2,0),0)</f>
        <v>0</v>
      </c>
      <c r="BP18" s="36">
        <f>+IFERROR(VLOOKUP($BP$17,Sheet1!BB2:BE840,2,0),0)</f>
        <v>0</v>
      </c>
      <c r="BQ18" s="35">
        <f>+IFERROR(VLOOKUP($BQ$17,Sheet1!BF2:BI840,2,0),0)</f>
        <v>0</v>
      </c>
      <c r="BR18" s="35">
        <f>+IFERROR(VLOOKUP($BR$17,Sheet1!BJ2:BM840,2,0),0)</f>
        <v>0</v>
      </c>
      <c r="BS18" s="35">
        <f>+IFERROR(VLOOKUP($BS$17,Sheet1!BN2:BQ840,2,0),0)</f>
        <v>0</v>
      </c>
      <c r="BT18" s="36">
        <f>+IFERROR(VLOOKUP($BT$17,Sheet1!BR2:BU840,2,0),0)</f>
        <v>0</v>
      </c>
      <c r="BU18" s="35">
        <f>+IFERROR(VLOOKUP($BU$17,Sheet1!BV2:BY840,2,0),0)</f>
        <v>0</v>
      </c>
      <c r="BV18" s="52"/>
      <c r="BW18" s="52"/>
      <c r="BX18" s="52"/>
      <c r="BY18" s="52"/>
      <c r="CD18" s="5"/>
      <c r="CE18" s="5"/>
      <c r="CF18" s="5"/>
      <c r="CG18" s="5"/>
      <c r="CH18" s="5"/>
      <c r="CI18" s="5"/>
      <c r="CJ18" s="5"/>
      <c r="CK18" s="5"/>
      <c r="CL18" s="5"/>
    </row>
    <row r="19" spans="1:93" ht="30" x14ac:dyDescent="0.25">
      <c r="A19" s="1" t="str">
        <f>Sheet1!A2</f>
        <v>ENQ-15853-22-23</v>
      </c>
      <c r="B19" s="51">
        <f>Sheet1!B2</f>
        <v>45748</v>
      </c>
      <c r="C19" s="1" t="str">
        <f>Sheet1!C2</f>
        <v>FA0300004</v>
      </c>
      <c r="D19" s="1" t="str">
        <f>Sheet1!D2</f>
        <v>2 CORE X 2.5 SQ. MM. CU/UNARD.(PVC)</v>
      </c>
      <c r="E19" s="3">
        <f>CH19+CJ19+CL19</f>
        <v>68632.649999999994</v>
      </c>
      <c r="F19" s="63">
        <f>ROUNDUP(M25,0)</f>
        <v>1692</v>
      </c>
      <c r="G19" s="9">
        <f>E19+F19</f>
        <v>70324.649999999994</v>
      </c>
      <c r="H19" s="7">
        <f>Sheet1!CP2</f>
        <v>0.18</v>
      </c>
      <c r="I19" s="9">
        <f>G19*H19</f>
        <v>12658.436999999998</v>
      </c>
      <c r="J19" s="9">
        <f>G19+I19</f>
        <v>82983.087</v>
      </c>
      <c r="K19" s="1">
        <f>Sheet1!CS2</f>
        <v>115.28</v>
      </c>
      <c r="L19" s="1" t="str">
        <f>Sheet1!CT2</f>
        <v>KMS</v>
      </c>
      <c r="M19" s="3">
        <f>J19*K19</f>
        <v>9566290.2693600003</v>
      </c>
      <c r="N19" s="2">
        <f>+IFERROR(VLOOKUP($N$17,Sheet1!J2:L2,3,0),0)</f>
        <v>0</v>
      </c>
      <c r="O19" s="2">
        <f>+IFERROR(VLOOKUP($O$17,Sheet1!J2:L2,3,0),0)</f>
        <v>0</v>
      </c>
      <c r="P19" s="2">
        <f>+IFERROR(VLOOKUP($P$17,Sheet1!J2:M2,3,0),0)</f>
        <v>44</v>
      </c>
      <c r="Q19" s="2">
        <f>+IFERROR(VLOOKUP($Q$17,Sheet1!J2:M2,3,0),0)</f>
        <v>0</v>
      </c>
      <c r="R19" s="2">
        <f>+IFERROR(VLOOKUP($R$17,Sheet1!J2:M2,3,0),0)</f>
        <v>0</v>
      </c>
      <c r="S19" s="2">
        <f>+IFERROR(VLOOKUP($S$17,Sheet1!N2:Q2,3,0),0)</f>
        <v>0</v>
      </c>
      <c r="T19" s="2">
        <f>+IFERROR(VLOOKUP($T$17,Sheet1!N2:Q2,3,0),0)</f>
        <v>0</v>
      </c>
      <c r="U19" s="2">
        <f>+IFERROR(VLOOKUP($U$17,Sheet1!F2:I2,3,0),0)</f>
        <v>0</v>
      </c>
      <c r="V19" s="2">
        <f>+IFERROR(VLOOKUP($V$17,Sheet1!F2:I2,3,0),0)</f>
        <v>0</v>
      </c>
      <c r="W19" s="2">
        <f>+IFERROR(VLOOKUP($W$17,Sheet1!F2:I2,3,0),0)</f>
        <v>0</v>
      </c>
      <c r="X19" s="2">
        <f>+IFERROR(VLOOKUP($X$17,Sheet1!F2:I2,3,0),0)</f>
        <v>0</v>
      </c>
      <c r="Y19" s="2">
        <f>+IFERROR(VLOOKUP($Y$17,Sheet1!F2:I2,3,0),0)</f>
        <v>0</v>
      </c>
      <c r="Z19" s="2">
        <f>+IFERROR(VLOOKUP($Z$17,Sheet1!F2:I2,3,0),0)</f>
        <v>0</v>
      </c>
      <c r="AA19" s="2">
        <f>+IFERROR(VLOOKUP($AA$17,Sheet1!F2:I2,3,0),0)</f>
        <v>0</v>
      </c>
      <c r="AB19" s="2">
        <f>+IFERROR(VLOOKUP($AB$17,Sheet1!F2:I2,3,0),0)</f>
        <v>0</v>
      </c>
      <c r="AC19" s="2">
        <f>+IFERROR(VLOOKUP($AC$17,Sheet1!R2:U2,3,0),0)</f>
        <v>0</v>
      </c>
      <c r="AD19" s="15">
        <f>+IFERROR(VLOOKUP($AD$17,Sheet1!R2:U2,2,0),0)</f>
        <v>0</v>
      </c>
      <c r="AE19" s="2">
        <f>+IFERROR(VLOOKUP($AE$17,Sheet1!V2:Y2,3,0),0)</f>
        <v>0</v>
      </c>
      <c r="AF19" s="15">
        <f>+IFERROR(VLOOKUP($AF$17,Sheet1!V2:Y2,3,0),0)</f>
        <v>0</v>
      </c>
      <c r="AG19" s="15">
        <f>+IFERROR(VLOOKUP($AG$17,Sheet1!V2:Y2,3,0),0)</f>
        <v>0</v>
      </c>
      <c r="AH19" s="15">
        <f>+IFERROR(VLOOKUP($AH$17,Sheet1!V2:Y2,3,0),0)</f>
        <v>26</v>
      </c>
      <c r="AI19" s="15">
        <f>+IFERROR(VLOOKUP($AI$17,Sheet1!V2:Y2,3,0),0)</f>
        <v>0</v>
      </c>
      <c r="AJ19" s="15">
        <f>+IFERROR(VLOOKUP($AJ$17,Sheet1!V2:Y2,3,0),0)</f>
        <v>0</v>
      </c>
      <c r="AK19" s="15">
        <f>+IFERROR(VLOOKUP($AK$17,Sheet1!Z2:AB2,3,0),0)</f>
        <v>3</v>
      </c>
      <c r="AL19" s="15">
        <f>+IFERROR(VLOOKUP($AL$17,Sheet1!AD2:AG2,3,0),0)</f>
        <v>0</v>
      </c>
      <c r="AM19" s="15">
        <f>+IFERROR(VLOOKUP($AM$17,Sheet1!AD2:AG2,3,0),0)</f>
        <v>0</v>
      </c>
      <c r="AN19" s="15">
        <f>+IFERROR(VLOOKUP($AN$17,Sheet1!AD2:AG2,3,0),0)</f>
        <v>0</v>
      </c>
      <c r="AO19" s="15">
        <f>+IFERROR(VLOOKUP($AO$17,Sheet1!AD2:AG2,3,0),0)</f>
        <v>39</v>
      </c>
      <c r="AP19" s="15">
        <f>+IFERROR(VLOOKUP($AP$17,Sheet1!AD2:AG2,3,0),0)</f>
        <v>0</v>
      </c>
      <c r="AQ19" s="15">
        <f>+IFERROR(VLOOKUP($AQ$17,Sheet1!AD2:AG2,3,0),0)</f>
        <v>0</v>
      </c>
      <c r="AR19" s="15">
        <f>+IFERROR(VLOOKUP($AR$17,Sheet1!AD2:AG2,3,0),0)</f>
        <v>0</v>
      </c>
      <c r="AS19" s="15">
        <f>+IFERROR(VLOOKUP($AS$17,Sheet1!AH2:AK2,3,0),0)</f>
        <v>0</v>
      </c>
      <c r="AT19" s="15">
        <f>+IFERROR(VLOOKUP($AT$17,Sheet1!AH2:AK2,3,0),0)</f>
        <v>0</v>
      </c>
      <c r="AU19" s="15">
        <f>+IFERROR(VLOOKUP($AU$17,Sheet1!AH2:AK2,3,0),0)</f>
        <v>0</v>
      </c>
      <c r="AV19" s="15">
        <f>+IFERROR(VLOOKUP($AV$17,Sheet1!AH2:AK2,3,0),0)</f>
        <v>0</v>
      </c>
      <c r="AW19" s="15">
        <f>+IFERROR(VLOOKUP($AW$17,Sheet1!AH2:AK2,3,0),0)</f>
        <v>0</v>
      </c>
      <c r="AX19" s="15">
        <f>+IFERROR(VLOOKUP($AX$17,Sheet1!AH2:AK2,3,0),0)</f>
        <v>0</v>
      </c>
      <c r="AY19" s="15">
        <f>+IFERROR(VLOOKUP($AY$17,Sheet1!AH2:AK2,3,0),0)</f>
        <v>0</v>
      </c>
      <c r="AZ19" s="15">
        <f>+IFERROR(VLOOKUP($AZ$17,Sheet1!AH2:AK2,3,0),0)</f>
        <v>0</v>
      </c>
      <c r="BA19" s="15">
        <f>+IFERROR(VLOOKUP($BA$17,Sheet1!AH2:AK2,3,0),0)</f>
        <v>0</v>
      </c>
      <c r="BB19" s="15">
        <f>+IFERROR(VLOOKUP($BB$17,Sheet1!AH2:AK2,3,0),0)</f>
        <v>0</v>
      </c>
      <c r="BC19" s="15">
        <f>+IFERROR(VLOOKUP($BC$17,Sheet1!AL2:AO2,3,0),0)</f>
        <v>0</v>
      </c>
      <c r="BD19" s="15">
        <f>+IFERROR(VLOOKUP($BD$17,Sheet1!AL2:AO2,3,0),0)</f>
        <v>0</v>
      </c>
      <c r="BE19" s="15">
        <f>+IFERROR(VLOOKUP($BE$17,Sheet1!AL2:AO2,3,0),0)</f>
        <v>0</v>
      </c>
      <c r="BF19" s="15">
        <f>+IFERROR(VLOOKUP($BF$17,Sheet1!AL2:AO2,3,0),0)</f>
        <v>0</v>
      </c>
      <c r="BG19" s="15">
        <f>+IFERROR(VLOOKUP($BG$17,Sheet1!AL2:AO2,3,0),0)</f>
        <v>0</v>
      </c>
      <c r="BH19" s="15">
        <f>+IFERROR(VLOOKUP($BH$17,Sheet1!AL2:AO2,3,0),0)</f>
        <v>0</v>
      </c>
      <c r="BI19" s="15">
        <v>100</v>
      </c>
      <c r="BJ19" s="15">
        <f>+IFERROR(VLOOKUP($BJ$17,Sheet1!AL2:AO2,3,0),0)</f>
        <v>0</v>
      </c>
      <c r="BK19" s="15">
        <f>+IFERROR(VLOOKUP($BK$17,Sheet1!AL2:AO2,3,0),0)</f>
        <v>0</v>
      </c>
      <c r="BL19" s="15">
        <f>+IFERROR(VLOOKUP($BL$17,Sheet1!AL2:AO2,3,0),0)</f>
        <v>0</v>
      </c>
      <c r="BM19" s="15">
        <f>+IFERROR(VLOOKUP($BM$17,Sheet1!AP2:AS2,3,0),0)</f>
        <v>0</v>
      </c>
      <c r="BN19" s="15">
        <f>+IFERROR(VLOOKUP($BN$17,Sheet1!AT2:AW2,3,0),0)</f>
        <v>0</v>
      </c>
      <c r="BO19" s="15">
        <f>+IFERROR(VLOOKUP($BO$17,Sheet1!AX2:BA2,3,0),0)</f>
        <v>0</v>
      </c>
      <c r="BP19" s="15">
        <f>+IFERROR(VLOOKUP($BP$17,Sheet1!BB2:BE2,3,0),0)</f>
        <v>0</v>
      </c>
      <c r="BQ19" s="15">
        <f>+IFERROR(VLOOKUP($BQ$17,Sheet1!BF2:BI2,3,0),0)</f>
        <v>0</v>
      </c>
      <c r="BR19" s="15">
        <f>+IFERROR(VLOOKUP($BR$17,Sheet1!BJ2:BM2,3,0),0)</f>
        <v>0</v>
      </c>
      <c r="BS19" s="15">
        <f>+IFERROR(VLOOKUP($BS$17,Sheet1!BN2:BQ2,3,0),0)</f>
        <v>0</v>
      </c>
      <c r="BT19" s="15">
        <f>+IFERROR(VLOOKUP($BT$17,Sheet1!BR2:BU2,3,0),0)</f>
        <v>0</v>
      </c>
      <c r="BU19" s="15">
        <f>+IFERROR(VLOOKUP($BU$17,Sheet1!BV2:BY2,3,0),0)</f>
        <v>0</v>
      </c>
      <c r="BV19" s="131" t="str">
        <f>Sheet1!E2</f>
        <v>WOOD</v>
      </c>
      <c r="BW19" s="15" t="str">
        <f>Sheet1!CV2</f>
        <v>MD0100004</v>
      </c>
      <c r="BX19" s="15" t="str">
        <f>Sheet1!CW2</f>
        <v>DRUM - 28 X 10 X 23 X 2</v>
      </c>
      <c r="BY19" s="131">
        <f>Sheet1!CX2</f>
        <v>1000</v>
      </c>
      <c r="BZ19" s="3">
        <f>Sheet1!BZ2</f>
        <v>1973</v>
      </c>
      <c r="CA19" s="3">
        <f>SUMPRODUCT($N$18:$BU$18,N19:BU19)+BZ19</f>
        <v>50839</v>
      </c>
      <c r="CB19" s="27">
        <f>Sheet1!CB2</f>
        <v>0</v>
      </c>
      <c r="CC19" s="3">
        <f>CA19*CB19</f>
        <v>0</v>
      </c>
      <c r="CD19" s="48">
        <v>0.25</v>
      </c>
      <c r="CE19" s="3">
        <f>CA19*CD19</f>
        <v>12709.75</v>
      </c>
      <c r="CF19" s="48">
        <v>0</v>
      </c>
      <c r="CG19" s="3">
        <f>CA19*CF19</f>
        <v>0</v>
      </c>
      <c r="CH19" s="3">
        <f>CA19+CC19+CE19+CG19</f>
        <v>63548.75</v>
      </c>
      <c r="CI19" s="48">
        <v>0.05</v>
      </c>
      <c r="CJ19" s="1">
        <f>CH19*CI19</f>
        <v>3177.4375</v>
      </c>
      <c r="CK19" s="48">
        <v>0.03</v>
      </c>
      <c r="CL19" s="1">
        <f>CH19*CK19</f>
        <v>1906.4624999999999</v>
      </c>
      <c r="CN19">
        <f>258*1000</f>
        <v>258000</v>
      </c>
      <c r="CO19" s="135">
        <f>((CN19-E19)/CN19)*100</f>
        <v>73.398197674418611</v>
      </c>
    </row>
    <row r="20" spans="1:93" ht="30" x14ac:dyDescent="0.25">
      <c r="A20" s="1" t="str">
        <f>Sheet1!A3</f>
        <v>ENQ-15853-22-23</v>
      </c>
      <c r="B20" s="51">
        <f>Sheet1!B3</f>
        <v>45748</v>
      </c>
      <c r="C20" s="1" t="str">
        <f>Sheet1!C3</f>
        <v>FA0300006</v>
      </c>
      <c r="D20" s="1" t="str">
        <f>Sheet1!D3</f>
        <v>4 CORE X 2.5 SQ. MM. CU/UNARD.(PVC)</v>
      </c>
      <c r="E20" s="3">
        <f>CH20+CJ20+CL20</f>
        <v>123712.65</v>
      </c>
      <c r="F20" s="63">
        <f t="shared" ref="F20:F22" si="0">ROUNDUP(M26,0)</f>
        <v>2147</v>
      </c>
      <c r="G20" s="9">
        <f>E20+F20</f>
        <v>125859.65</v>
      </c>
      <c r="H20" s="7">
        <f>Sheet1!CP3</f>
        <v>0.18</v>
      </c>
      <c r="I20" s="9">
        <f>G20*H20</f>
        <v>22654.736999999997</v>
      </c>
      <c r="J20" s="9">
        <f>G20+I20</f>
        <v>148514.38699999999</v>
      </c>
      <c r="K20" s="1">
        <f>Sheet1!CS3</f>
        <v>121.14</v>
      </c>
      <c r="L20" s="1" t="str">
        <f>Sheet1!CT3</f>
        <v>KMS</v>
      </c>
      <c r="M20" s="3">
        <f>J20*K20</f>
        <v>17991032.84118</v>
      </c>
      <c r="N20" s="2">
        <f>+IFERROR(VLOOKUP($N$17,Sheet1!J3:L3,3,0),0)</f>
        <v>0</v>
      </c>
      <c r="O20" s="2">
        <f>+IFERROR(VLOOKUP($O$17,Sheet1!J3:L3,3,0),0)</f>
        <v>0</v>
      </c>
      <c r="P20" s="2">
        <f>+IFERROR(VLOOKUP($P$17,Sheet1!J3:M3,3,0),0)</f>
        <v>89</v>
      </c>
      <c r="Q20" s="2">
        <f>+IFERROR(VLOOKUP($Q$17,Sheet1!J3:M3,3,0),0)</f>
        <v>0</v>
      </c>
      <c r="R20" s="2">
        <f>+IFERROR(VLOOKUP($R$17,Sheet1!J3:M3,3,0),0)</f>
        <v>0</v>
      </c>
      <c r="S20" s="2">
        <f>+IFERROR(VLOOKUP($S$17,Sheet1!N3:Q3,3,0),0)</f>
        <v>0</v>
      </c>
      <c r="T20" s="2">
        <f>+IFERROR(VLOOKUP($T$17,Sheet1!N3:Q3,3,0),0)</f>
        <v>0</v>
      </c>
      <c r="U20" s="2">
        <f>+IFERROR(VLOOKUP($U$17,Sheet1!F3:I3,3,0),0)</f>
        <v>0</v>
      </c>
      <c r="V20" s="2">
        <f>+IFERROR(VLOOKUP($V$17,Sheet1!F3:I3,3,0),0)</f>
        <v>0</v>
      </c>
      <c r="W20" s="2">
        <f>+IFERROR(VLOOKUP($W$17,Sheet1!F3:I3,3,0),0)</f>
        <v>0</v>
      </c>
      <c r="X20" s="2">
        <f>+IFERROR(VLOOKUP($X$17,Sheet1!F3:I3,3,0),0)</f>
        <v>0</v>
      </c>
      <c r="Y20" s="2">
        <f>+IFERROR(VLOOKUP($Y$17,Sheet1!F3:I3,3,0),0)</f>
        <v>0</v>
      </c>
      <c r="Z20" s="2">
        <f>+IFERROR(VLOOKUP($Z$17,Sheet1!F3:I3,3,0),0)</f>
        <v>0</v>
      </c>
      <c r="AA20" s="2">
        <f>+IFERROR(VLOOKUP($AA$17,Sheet1!F3:I3,3,0),0)</f>
        <v>0</v>
      </c>
      <c r="AB20" s="2">
        <f>+IFERROR(VLOOKUP($AB$17,Sheet1!F3:I3,3,0),0)</f>
        <v>0</v>
      </c>
      <c r="AC20" s="2">
        <f>+IFERROR(VLOOKUP($AC$17,Sheet1!R3:U3,3,0),0)</f>
        <v>0</v>
      </c>
      <c r="AD20" s="15">
        <f>+IFERROR(VLOOKUP($AD$17,Sheet1!R3:U3,2,0),0)</f>
        <v>0</v>
      </c>
      <c r="AE20" s="2">
        <f>+IFERROR(VLOOKUP($AE$17,Sheet1!V3:Y3,3,0),0)</f>
        <v>0</v>
      </c>
      <c r="AF20" s="15">
        <f>+IFERROR(VLOOKUP($AF$17,Sheet1!V3:Y3,3,0),0)</f>
        <v>0</v>
      </c>
      <c r="AG20" s="15">
        <f>+IFERROR(VLOOKUP($AG$17,Sheet1!V3:Y3,3,0),0)</f>
        <v>0</v>
      </c>
      <c r="AH20" s="15">
        <f>+IFERROR(VLOOKUP($AH$17,Sheet1!V3:Y3,3,0),0)</f>
        <v>52</v>
      </c>
      <c r="AI20" s="15">
        <f>+IFERROR(VLOOKUP($AI$17,Sheet1!V3:Y3,3,0),0)</f>
        <v>0</v>
      </c>
      <c r="AJ20" s="15">
        <f>+IFERROR(VLOOKUP($AJ$17,Sheet1!V3:Y3,3,0),0)</f>
        <v>0</v>
      </c>
      <c r="AK20" s="15">
        <f>+IFERROR(VLOOKUP($AK$17,Sheet1!Z3:AB3,3,0),0)</f>
        <v>4</v>
      </c>
      <c r="AL20" s="15">
        <f>+IFERROR(VLOOKUP($AL$17,Sheet1!AD3:AG3,3,0),0)</f>
        <v>0</v>
      </c>
      <c r="AM20" s="15">
        <f>+IFERROR(VLOOKUP($AM$17,Sheet1!AD3:AG3,3,0),0)</f>
        <v>0</v>
      </c>
      <c r="AN20" s="15">
        <f>+IFERROR(VLOOKUP($AN$17,Sheet1!AD3:AG3,3,0),0)</f>
        <v>0</v>
      </c>
      <c r="AO20" s="15">
        <f>+IFERROR(VLOOKUP($AO$17,Sheet1!AD3:AG3,3,0),0)</f>
        <v>27</v>
      </c>
      <c r="AP20" s="15">
        <f>+IFERROR(VLOOKUP($AP$17,Sheet1!AD3:AG3,3,0),0)</f>
        <v>0</v>
      </c>
      <c r="AQ20" s="15">
        <f>+IFERROR(VLOOKUP($AQ$17,Sheet1!AD3:AG3,3,0),0)</f>
        <v>0</v>
      </c>
      <c r="AR20" s="15">
        <f>+IFERROR(VLOOKUP($AR$17,Sheet1!AD3:AG3,3,0),0)</f>
        <v>0</v>
      </c>
      <c r="AS20" s="15">
        <f>+IFERROR(VLOOKUP($AS$17,Sheet1!AH3:AK3,3,0),0)</f>
        <v>0</v>
      </c>
      <c r="AT20" s="15">
        <f>+IFERROR(VLOOKUP($AT$17,Sheet1!AH3:AK3,3,0),0)</f>
        <v>0</v>
      </c>
      <c r="AU20" s="15">
        <f>+IFERROR(VLOOKUP($AU$17,Sheet1!AH3:AK3,3,0),0)</f>
        <v>0</v>
      </c>
      <c r="AV20" s="15">
        <f>+IFERROR(VLOOKUP($AV$17,Sheet1!AH3:AK3,3,0),0)</f>
        <v>0</v>
      </c>
      <c r="AW20" s="15">
        <f>+IFERROR(VLOOKUP($AW$17,Sheet1!AH3:AK3,3,0),0)</f>
        <v>0</v>
      </c>
      <c r="AX20" s="15">
        <f>+IFERROR(VLOOKUP($AX$17,Sheet1!AH3:AK3,3,0),0)</f>
        <v>0</v>
      </c>
      <c r="AY20" s="15">
        <f>+IFERROR(VLOOKUP($AY$17,Sheet1!AH3:AK3,3,0),0)</f>
        <v>0</v>
      </c>
      <c r="AZ20" s="15">
        <f>+IFERROR(VLOOKUP($AZ$17,Sheet1!AH3:AK3,3,0),0)</f>
        <v>0</v>
      </c>
      <c r="BA20" s="15">
        <f>+IFERROR(VLOOKUP($BA$17,Sheet1!AH3:AK3,3,0),0)</f>
        <v>0</v>
      </c>
      <c r="BB20" s="15">
        <f>+IFERROR(VLOOKUP($BB$17,Sheet1!AH3:AK3,3,0),0)</f>
        <v>0</v>
      </c>
      <c r="BC20" s="15">
        <f>+IFERROR(VLOOKUP($BC$17,Sheet1!AL3:AO3,3,0),0)</f>
        <v>0</v>
      </c>
      <c r="BD20" s="15">
        <f>+IFERROR(VLOOKUP($BD$17,Sheet1!AL3:AO3,3,0),0)</f>
        <v>0</v>
      </c>
      <c r="BE20" s="15">
        <f>+IFERROR(VLOOKUP($BE$17,Sheet1!AL3:AO3,3,0),0)</f>
        <v>0</v>
      </c>
      <c r="BF20" s="15">
        <f>+IFERROR(VLOOKUP($BF$17,Sheet1!AL3:AO3,3,0),0)</f>
        <v>0</v>
      </c>
      <c r="BG20" s="15">
        <f>+IFERROR(VLOOKUP($BG$17,Sheet1!AL3:AO3,3,0),0)</f>
        <v>0</v>
      </c>
      <c r="BH20" s="15">
        <f>+IFERROR(VLOOKUP($BH$17,Sheet1!AL3:AO3,3,0),0)</f>
        <v>0</v>
      </c>
      <c r="BI20" s="15">
        <v>109</v>
      </c>
      <c r="BJ20" s="15">
        <f>+IFERROR(VLOOKUP($BJ$17,Sheet1!AL3:AO3,3,0),0)</f>
        <v>0</v>
      </c>
      <c r="BK20" s="15">
        <f>+IFERROR(VLOOKUP($BK$17,Sheet1!AL3:AO3,3,0),0)</f>
        <v>0</v>
      </c>
      <c r="BL20" s="15">
        <f>+IFERROR(VLOOKUP($BL$17,Sheet1!AL3:AO3,3,0),0)</f>
        <v>0</v>
      </c>
      <c r="BM20" s="15">
        <f>+IFERROR(VLOOKUP($BM$17,Sheet1!AP3:AS3,3,0),0)</f>
        <v>0</v>
      </c>
      <c r="BN20" s="15">
        <f>+IFERROR(VLOOKUP($BN$17,Sheet1!AT3:AW3,3,0),0)</f>
        <v>0</v>
      </c>
      <c r="BO20" s="15">
        <f>+IFERROR(VLOOKUP($BO$17,Sheet1!AX3:BA3,3,0),0)</f>
        <v>0</v>
      </c>
      <c r="BP20" s="15">
        <f>+IFERROR(VLOOKUP($BP$17,Sheet1!BB3:BE3,3,0),0)</f>
        <v>0</v>
      </c>
      <c r="BQ20" s="15">
        <f>+IFERROR(VLOOKUP($BQ$17,Sheet1!BF3:BI3,3,0),0)</f>
        <v>0</v>
      </c>
      <c r="BR20" s="15">
        <f>+IFERROR(VLOOKUP($BR$17,Sheet1!BJ3:BM3,3,0),0)</f>
        <v>0</v>
      </c>
      <c r="BS20" s="15">
        <f>+IFERROR(VLOOKUP($BS$17,Sheet1!BN3:BQ3,3,0),0)</f>
        <v>0</v>
      </c>
      <c r="BT20" s="15">
        <f>+IFERROR(VLOOKUP($BT$17,Sheet1!BR3:BU3,3,0),0)</f>
        <v>0</v>
      </c>
      <c r="BU20" s="15">
        <f>+IFERROR(VLOOKUP($BU$17,Sheet1!BV3:BY3,3,0),0)</f>
        <v>0</v>
      </c>
      <c r="BV20" s="131" t="str">
        <f>Sheet1!E3</f>
        <v>WOOD</v>
      </c>
      <c r="BW20" s="15" t="str">
        <f>Sheet1!CV3</f>
        <v>MD0100005</v>
      </c>
      <c r="BX20" s="15" t="str">
        <f>Sheet1!CW3</f>
        <v>DRUM - 36 X 14 X 23 X 2</v>
      </c>
      <c r="BY20" s="131">
        <f>Sheet1!CX3</f>
        <v>1000</v>
      </c>
      <c r="BZ20" s="3">
        <f>Sheet1!BZ3</f>
        <v>2585</v>
      </c>
      <c r="CA20" s="3">
        <f>SUMPRODUCT($N$18:$BU$18,N20:BU20)+BZ20</f>
        <v>91639</v>
      </c>
      <c r="CB20" s="27">
        <f>Sheet1!CB3</f>
        <v>0</v>
      </c>
      <c r="CC20" s="3">
        <f>CA20*CB20</f>
        <v>0</v>
      </c>
      <c r="CD20" s="48">
        <v>0.25</v>
      </c>
      <c r="CE20" s="3">
        <f>CA20*CD20</f>
        <v>22909.75</v>
      </c>
      <c r="CF20" s="48">
        <v>0</v>
      </c>
      <c r="CG20" s="3">
        <f>CA20*CF20</f>
        <v>0</v>
      </c>
      <c r="CH20" s="3">
        <f>CA20+CC20+CE20+CG20</f>
        <v>114548.75</v>
      </c>
      <c r="CI20" s="48">
        <v>0.05</v>
      </c>
      <c r="CJ20" s="1">
        <f>CH20*CI20</f>
        <v>5727.4375</v>
      </c>
      <c r="CK20" s="48">
        <v>0.03</v>
      </c>
      <c r="CL20" s="1">
        <f>CH20*CK20</f>
        <v>3436.4625000000001</v>
      </c>
      <c r="CN20">
        <f>486*1000</f>
        <v>486000</v>
      </c>
      <c r="CO20" s="135">
        <f t="shared" ref="CO20:CO22" si="1">((CN20-E20)/CN20)*100</f>
        <v>74.544722222222219</v>
      </c>
    </row>
    <row r="21" spans="1:93" ht="30" x14ac:dyDescent="0.25">
      <c r="A21" s="1" t="str">
        <f>Sheet1!A5</f>
        <v>ENQ-15853-22-23</v>
      </c>
      <c r="B21" s="51">
        <f>Sheet1!B5</f>
        <v>45748</v>
      </c>
      <c r="C21" s="1" t="str">
        <f>Sheet1!C5</f>
        <v>FA0300030</v>
      </c>
      <c r="D21" s="1" t="str">
        <f>Sheet1!D5</f>
        <v>6 CORE X 2.5 SQ. MM. CU/UNARD.(PVC)</v>
      </c>
      <c r="E21" s="3">
        <f>CH21+CJ21+CL21</f>
        <v>178263.45</v>
      </c>
      <c r="F21" s="63">
        <f t="shared" si="0"/>
        <v>2070</v>
      </c>
      <c r="G21" s="9">
        <f>E21+F21</f>
        <v>180333.45</v>
      </c>
      <c r="H21" s="7">
        <f>Sheet1!CP5</f>
        <v>0.18</v>
      </c>
      <c r="I21" s="9">
        <f>G21*H21</f>
        <v>32460.021000000001</v>
      </c>
      <c r="J21" s="9">
        <f>G21+I21</f>
        <v>212793.47100000002</v>
      </c>
      <c r="K21" s="1">
        <f>Sheet1!CS5</f>
        <v>125.62</v>
      </c>
      <c r="L21" s="1" t="str">
        <f>Sheet1!CT5</f>
        <v>KMS</v>
      </c>
      <c r="M21" s="3">
        <f>J21*K21</f>
        <v>26731115.827020004</v>
      </c>
      <c r="N21" s="2">
        <f>+IFERROR(VLOOKUP($N$17,Sheet1!J5:L5,3,0),0)</f>
        <v>0</v>
      </c>
      <c r="O21" s="2">
        <f>+IFERROR(VLOOKUP($O$17,Sheet1!J5:L5,3,0),0)</f>
        <v>0</v>
      </c>
      <c r="P21" s="2">
        <f>+IFERROR(VLOOKUP($P$17,Sheet1!J5:M5,3,0),0)</f>
        <v>133</v>
      </c>
      <c r="Q21" s="2">
        <f>+IFERROR(VLOOKUP($Q$17,Sheet1!J5:M5,3,0),0)</f>
        <v>0</v>
      </c>
      <c r="R21" s="2">
        <f>+IFERROR(VLOOKUP($R$17,Sheet1!J5:M5,3,0),0)</f>
        <v>0</v>
      </c>
      <c r="S21" s="2">
        <f>+IFERROR(VLOOKUP($S$17,Sheet1!N5:Q5,3,0),0)</f>
        <v>0</v>
      </c>
      <c r="T21" s="2">
        <f>+IFERROR(VLOOKUP($T$17,Sheet1!N5:Q5,3,0),0)</f>
        <v>0</v>
      </c>
      <c r="U21" s="2">
        <f>+IFERROR(VLOOKUP($U$17,Sheet1!F5:I5,3,0),0)</f>
        <v>0</v>
      </c>
      <c r="V21" s="2">
        <f>+IFERROR(VLOOKUP($V$17,Sheet1!F5:I5,3,0),0)</f>
        <v>0</v>
      </c>
      <c r="W21" s="2">
        <f>+IFERROR(VLOOKUP($W$17,Sheet1!F5:I5,3,0),0)</f>
        <v>0</v>
      </c>
      <c r="X21" s="2">
        <f>+IFERROR(VLOOKUP($X$17,Sheet1!F5:I5,3,0),0)</f>
        <v>0</v>
      </c>
      <c r="Y21" s="2">
        <f>+IFERROR(VLOOKUP($Y$17,Sheet1!F5:I5,3,0),0)</f>
        <v>0</v>
      </c>
      <c r="Z21" s="2">
        <f>+IFERROR(VLOOKUP($Z$17,Sheet1!F5:I5,3,0),0)</f>
        <v>0</v>
      </c>
      <c r="AA21" s="2">
        <f>+IFERROR(VLOOKUP($AA$17,Sheet1!F5:I5,3,0),0)</f>
        <v>0</v>
      </c>
      <c r="AB21" s="2">
        <f>+IFERROR(VLOOKUP($AB$17,Sheet1!F5:I5,3,0),0)</f>
        <v>0</v>
      </c>
      <c r="AC21" s="2">
        <f>+IFERROR(VLOOKUP($AC$17,Sheet1!R5:U5,3,0),0)</f>
        <v>0</v>
      </c>
      <c r="AD21" s="15">
        <f>+IFERROR(VLOOKUP($AD$17,Sheet1!R5:U5,2,0),0)</f>
        <v>0</v>
      </c>
      <c r="AE21" s="2">
        <f>+IFERROR(VLOOKUP($AE$17,Sheet1!V5:Y5,3,0),0)</f>
        <v>0</v>
      </c>
      <c r="AF21" s="15">
        <f>+IFERROR(VLOOKUP($AF$17,Sheet1!V5:Y5,3,0),0)</f>
        <v>0</v>
      </c>
      <c r="AG21" s="15">
        <f>+IFERROR(VLOOKUP($AG$17,Sheet1!V5:Y5,3,0),0)</f>
        <v>0</v>
      </c>
      <c r="AH21" s="15">
        <f>+IFERROR(VLOOKUP($AH$17,Sheet1!V5:Y5,3,0),0)</f>
        <v>78</v>
      </c>
      <c r="AI21" s="15">
        <f>+IFERROR(VLOOKUP($AI$17,Sheet1!V5:Y5,3,0),0)</f>
        <v>0</v>
      </c>
      <c r="AJ21" s="15">
        <f>+IFERROR(VLOOKUP($AJ$17,Sheet1!V5:Y5,3,0),0)</f>
        <v>0</v>
      </c>
      <c r="AK21" s="15">
        <f>+IFERROR(VLOOKUP($AK$17,Sheet1!Z5:AB5,3,0),0)</f>
        <v>4</v>
      </c>
      <c r="AL21" s="15">
        <f>+IFERROR(VLOOKUP($AL$17,Sheet1!AD5:AG5,3,0),0)</f>
        <v>0</v>
      </c>
      <c r="AM21" s="15">
        <f>+IFERROR(VLOOKUP($AM$17,Sheet1!AD5:AG5,3,0),0)</f>
        <v>0</v>
      </c>
      <c r="AN21" s="15">
        <f>+IFERROR(VLOOKUP($AN$17,Sheet1!AD5:AG5,3,0),0)</f>
        <v>0</v>
      </c>
      <c r="AO21" s="15">
        <f>+IFERROR(VLOOKUP($AO$17,Sheet1!AD5:AG5,3,0),0)</f>
        <v>27</v>
      </c>
      <c r="AP21" s="15">
        <f>+IFERROR(VLOOKUP($AP$17,Sheet1!AD5:AG5,3,0),0)</f>
        <v>0</v>
      </c>
      <c r="AQ21" s="15">
        <f>+IFERROR(VLOOKUP($AQ$17,Sheet1!AD5:AG5,3,0),0)</f>
        <v>0</v>
      </c>
      <c r="AR21" s="15">
        <f>+IFERROR(VLOOKUP($AR$17,Sheet1!AD5:AG5,3,0),0)</f>
        <v>0</v>
      </c>
      <c r="AS21" s="15">
        <f>+IFERROR(VLOOKUP($AS$17,Sheet1!AH5:AK5,3,0),0)</f>
        <v>0</v>
      </c>
      <c r="AT21" s="15">
        <f>+IFERROR(VLOOKUP($AT$17,Sheet1!AH5:AK5,3,0),0)</f>
        <v>0</v>
      </c>
      <c r="AU21" s="15">
        <f>+IFERROR(VLOOKUP($AU$17,Sheet1!AH5:AK5,3,0),0)</f>
        <v>0</v>
      </c>
      <c r="AV21" s="15">
        <f>+IFERROR(VLOOKUP($AV$17,Sheet1!AH5:AK5,3,0),0)</f>
        <v>0</v>
      </c>
      <c r="AW21" s="15">
        <f>+IFERROR(VLOOKUP($AW$17,Sheet1!AH5:AK5,3,0),0)</f>
        <v>0</v>
      </c>
      <c r="AX21" s="15">
        <f>+IFERROR(VLOOKUP($AX$17,Sheet1!AH5:AK5,3,0),0)</f>
        <v>0</v>
      </c>
      <c r="AY21" s="15">
        <f>+IFERROR(VLOOKUP($AY$17,Sheet1!AH5:AK5,3,0),0)</f>
        <v>0</v>
      </c>
      <c r="AZ21" s="15">
        <f>+IFERROR(VLOOKUP($AZ$17,Sheet1!AH5:AK5,3,0),0)</f>
        <v>0</v>
      </c>
      <c r="BA21" s="15">
        <f>+IFERROR(VLOOKUP($BA$17,Sheet1!AH5:AK5,3,0),0)</f>
        <v>0</v>
      </c>
      <c r="BB21" s="15">
        <f>+IFERROR(VLOOKUP($BB$17,Sheet1!AH5:AK5,3,0),0)</f>
        <v>0</v>
      </c>
      <c r="BC21" s="15">
        <f>+IFERROR(VLOOKUP($BC$17,Sheet1!AL5:AO5,3,0),0)</f>
        <v>0</v>
      </c>
      <c r="BD21" s="15">
        <f>+IFERROR(VLOOKUP($BD$17,Sheet1!AL5:AO5,3,0),0)</f>
        <v>0</v>
      </c>
      <c r="BE21" s="15">
        <f>+IFERROR(VLOOKUP($BE$17,Sheet1!AL5:AO5,3,0),0)</f>
        <v>0</v>
      </c>
      <c r="BF21" s="15">
        <f>+IFERROR(VLOOKUP($BF$17,Sheet1!AL5:AO5,3,0),0)</f>
        <v>0</v>
      </c>
      <c r="BG21" s="15">
        <f>+IFERROR(VLOOKUP($BG$17,Sheet1!AL5:AO5,3,0),0)</f>
        <v>0</v>
      </c>
      <c r="BH21" s="15">
        <f>+IFERROR(VLOOKUP($BH$17,Sheet1!AL5:AO5,3,0),0)</f>
        <v>0</v>
      </c>
      <c r="BI21" s="15">
        <v>117</v>
      </c>
      <c r="BJ21" s="15">
        <f>+IFERROR(VLOOKUP($BJ$17,Sheet1!AL5:AO5,3,0),0)</f>
        <v>0</v>
      </c>
      <c r="BK21" s="15">
        <f>+IFERROR(VLOOKUP($BK$17,Sheet1!AL5:AO5,3,0),0)</f>
        <v>0</v>
      </c>
      <c r="BL21" s="15">
        <f>+IFERROR(VLOOKUP($BL$17,Sheet1!AL5:AO5,3,0),0)</f>
        <v>0</v>
      </c>
      <c r="BM21" s="15">
        <f>+IFERROR(VLOOKUP($BM$17,Sheet1!AP5:AS5,3,0),0)</f>
        <v>0</v>
      </c>
      <c r="BN21" s="15">
        <f>+IFERROR(VLOOKUP($BN$17,Sheet1!AT5:AW5,3,0),0)</f>
        <v>0</v>
      </c>
      <c r="BO21" s="15">
        <f>+IFERROR(VLOOKUP($BO$17,Sheet1!AX5:BA5,3,0),0)</f>
        <v>0</v>
      </c>
      <c r="BP21" s="15">
        <f>+IFERROR(VLOOKUP($BP$17,Sheet1!BB5:BE5,3,0),0)</f>
        <v>0</v>
      </c>
      <c r="BQ21" s="15">
        <f>+IFERROR(VLOOKUP($BQ$17,Sheet1!BF5:BI5,3,0),0)</f>
        <v>0</v>
      </c>
      <c r="BR21" s="15">
        <f>+IFERROR(VLOOKUP($BR$17,Sheet1!BJ5:BM5,3,0),0)</f>
        <v>0</v>
      </c>
      <c r="BS21" s="15">
        <f>+IFERROR(VLOOKUP($BS$17,Sheet1!BN5:BQ5,3,0),0)</f>
        <v>0</v>
      </c>
      <c r="BT21" s="15">
        <f>+IFERROR(VLOOKUP($BT$17,Sheet1!BR5:BU5,3,0),0)</f>
        <v>0</v>
      </c>
      <c r="BU21" s="15">
        <f>+IFERROR(VLOOKUP($BU$17,Sheet1!BV5:BY5,3,0),0)</f>
        <v>0</v>
      </c>
      <c r="BV21" s="131" t="str">
        <f>Sheet1!E5</f>
        <v>WOOD</v>
      </c>
      <c r="BW21" s="15" t="str">
        <f>Sheet1!CV5</f>
        <v>MD0100067</v>
      </c>
      <c r="BX21" s="15" t="str">
        <f>Sheet1!CW5</f>
        <v>DRUM - 40 X 18 X 23 X 2</v>
      </c>
      <c r="BY21" s="131">
        <f>Sheet1!CX5</f>
        <v>1000</v>
      </c>
      <c r="BZ21" s="3">
        <f>Sheet1!BZ5</f>
        <v>3113</v>
      </c>
      <c r="CA21" s="3">
        <f>SUMPRODUCT($N$18:$BU$18,N21:BU21)+BZ21</f>
        <v>132047</v>
      </c>
      <c r="CB21" s="27">
        <f>Sheet1!CB5</f>
        <v>0</v>
      </c>
      <c r="CC21" s="3">
        <f>CA21*CB21</f>
        <v>0</v>
      </c>
      <c r="CD21" s="48">
        <v>0.25</v>
      </c>
      <c r="CE21" s="3">
        <f>CA21*CD21</f>
        <v>33011.75</v>
      </c>
      <c r="CF21" s="48">
        <v>0</v>
      </c>
      <c r="CG21" s="3">
        <f>CA21*CF21</f>
        <v>0</v>
      </c>
      <c r="CH21" s="3">
        <f>CA21+CC21+CE21+CG21</f>
        <v>165058.75</v>
      </c>
      <c r="CI21" s="48">
        <v>0.05</v>
      </c>
      <c r="CJ21" s="1">
        <f>CH21*CI21</f>
        <v>8252.9375</v>
      </c>
      <c r="CK21" s="48">
        <v>0.03</v>
      </c>
      <c r="CL21" s="1">
        <f>CH21*CK21</f>
        <v>4951.7624999999998</v>
      </c>
      <c r="CN21">
        <f>721*1000</f>
        <v>721000</v>
      </c>
      <c r="CO21" s="135">
        <f t="shared" si="1"/>
        <v>75.275527045769778</v>
      </c>
    </row>
    <row r="22" spans="1:93" ht="30" x14ac:dyDescent="0.25">
      <c r="A22" s="1" t="str">
        <f>Sheet1!A4</f>
        <v>ENQ-15853-22-23</v>
      </c>
      <c r="B22" s="51">
        <f>Sheet1!B4</f>
        <v>45748</v>
      </c>
      <c r="C22" s="1" t="str">
        <f>Sheet1!C4</f>
        <v>FA0300011</v>
      </c>
      <c r="D22" s="1" t="str">
        <f>Sheet1!D4</f>
        <v>10 CORE X 2.5 SQ. MM. CU/UNARD. (PVC)</v>
      </c>
      <c r="E22" s="3">
        <f>CH22+CJ22+CL22</f>
        <v>294082.65000000002</v>
      </c>
      <c r="F22" s="63">
        <f t="shared" si="0"/>
        <v>3829</v>
      </c>
      <c r="G22" s="9">
        <f>E22+F22</f>
        <v>297911.65000000002</v>
      </c>
      <c r="H22" s="7">
        <f>Sheet1!CP4</f>
        <v>0.18</v>
      </c>
      <c r="I22" s="9">
        <f>G22*H22</f>
        <v>53624.097000000002</v>
      </c>
      <c r="J22" s="9">
        <f>G22+I22</f>
        <v>351535.74700000003</v>
      </c>
      <c r="K22" s="1">
        <f>Sheet1!CS4</f>
        <v>67.91</v>
      </c>
      <c r="L22" s="1" t="str">
        <f>Sheet1!CT4</f>
        <v>KMS</v>
      </c>
      <c r="M22" s="3">
        <f>J22*K22</f>
        <v>23872792.57877</v>
      </c>
      <c r="N22" s="2">
        <f>+IFERROR(VLOOKUP($N$17,Sheet1!J4:L4,3,0),0)</f>
        <v>0</v>
      </c>
      <c r="O22" s="2">
        <f>+IFERROR(VLOOKUP($O$17,Sheet1!J4:L4,3,0),0)</f>
        <v>0</v>
      </c>
      <c r="P22" s="2">
        <f>+IFERROR(VLOOKUP($P$17,Sheet1!J4:M4,3,0),0)</f>
        <v>222</v>
      </c>
      <c r="Q22" s="2">
        <f>+IFERROR(VLOOKUP($Q$17,Sheet1!J4:M4,3,0),0)</f>
        <v>0</v>
      </c>
      <c r="R22" s="2">
        <f>+IFERROR(VLOOKUP($R$17,Sheet1!J4:M4,3,0),0)</f>
        <v>0</v>
      </c>
      <c r="S22" s="2">
        <f>+IFERROR(VLOOKUP($S$17,Sheet1!N4:Q4,3,0),0)</f>
        <v>0</v>
      </c>
      <c r="T22" s="2">
        <f>+IFERROR(VLOOKUP($T$17,Sheet1!N4:Q4,3,0),0)</f>
        <v>0</v>
      </c>
      <c r="U22" s="2">
        <f>+IFERROR(VLOOKUP($U$17,Sheet1!F4:I4,3,0),0)</f>
        <v>0</v>
      </c>
      <c r="V22" s="2">
        <f>+IFERROR(VLOOKUP($V$17,Sheet1!F4:I4,3,0),0)</f>
        <v>0</v>
      </c>
      <c r="W22" s="2">
        <f>+IFERROR(VLOOKUP($W$17,Sheet1!F4:I4,3,0),0)</f>
        <v>0</v>
      </c>
      <c r="X22" s="2">
        <f>+IFERROR(VLOOKUP($X$17,Sheet1!F4:I4,3,0),0)</f>
        <v>0</v>
      </c>
      <c r="Y22" s="2">
        <f>+IFERROR(VLOOKUP($Y$17,Sheet1!F4:I4,3,0),0)</f>
        <v>0</v>
      </c>
      <c r="Z22" s="2">
        <f>+IFERROR(VLOOKUP($Z$17,Sheet1!F4:I4,3,0),0)</f>
        <v>0</v>
      </c>
      <c r="AA22" s="2">
        <f>+IFERROR(VLOOKUP($AA$17,Sheet1!F4:I4,3,0),0)</f>
        <v>0</v>
      </c>
      <c r="AB22" s="2">
        <f>+IFERROR(VLOOKUP($AB$17,Sheet1!F4:I4,3,0),0)</f>
        <v>0</v>
      </c>
      <c r="AC22" s="2">
        <f>+IFERROR(VLOOKUP($AC$17,Sheet1!R4:U4,3,0),0)</f>
        <v>0</v>
      </c>
      <c r="AD22" s="15">
        <f>+IFERROR(VLOOKUP($AD$17,Sheet1!R4:U4,2,0),0)</f>
        <v>0</v>
      </c>
      <c r="AE22" s="2">
        <f>+IFERROR(VLOOKUP($AE$17,Sheet1!V4:Y4,3,0),0)</f>
        <v>0</v>
      </c>
      <c r="AF22" s="15">
        <f>+IFERROR(VLOOKUP($AF$17,Sheet1!V4:Y4,3,0),0)</f>
        <v>0</v>
      </c>
      <c r="AG22" s="15">
        <f>+IFERROR(VLOOKUP($AG$17,Sheet1!V4:Y4,3,0),0)</f>
        <v>0</v>
      </c>
      <c r="AH22" s="15">
        <f>+IFERROR(VLOOKUP($AH$17,Sheet1!V4:Y4,3,0),0)</f>
        <v>130</v>
      </c>
      <c r="AI22" s="15">
        <f>+IFERROR(VLOOKUP($AI$17,Sheet1!V4:Y4,3,0),0)</f>
        <v>0</v>
      </c>
      <c r="AJ22" s="15">
        <f>+IFERROR(VLOOKUP($AJ$17,Sheet1!V4:Y4,3,0),0)</f>
        <v>0</v>
      </c>
      <c r="AK22" s="15">
        <f>+IFERROR(VLOOKUP($AK$17,Sheet1!Z4:AB4,3,0),0)</f>
        <v>5</v>
      </c>
      <c r="AL22" s="15">
        <f>+IFERROR(VLOOKUP($AL$17,Sheet1!AD4:AG4,3,0),0)</f>
        <v>0</v>
      </c>
      <c r="AM22" s="15">
        <f>+IFERROR(VLOOKUP($AM$17,Sheet1!AD4:AG4,3,0),0)</f>
        <v>0</v>
      </c>
      <c r="AN22" s="15">
        <f>+IFERROR(VLOOKUP($AN$17,Sheet1!AD4:AG4,3,0),0)</f>
        <v>0</v>
      </c>
      <c r="AO22" s="15">
        <f>+IFERROR(VLOOKUP($AO$17,Sheet1!AD4:AG4,3,0),0)</f>
        <v>36</v>
      </c>
      <c r="AP22" s="15">
        <f>+IFERROR(VLOOKUP($AP$17,Sheet1!AD4:AG4,3,0),0)</f>
        <v>0</v>
      </c>
      <c r="AQ22" s="15">
        <f>+IFERROR(VLOOKUP($AQ$17,Sheet1!AD4:AG4,3,0),0)</f>
        <v>0</v>
      </c>
      <c r="AR22" s="15">
        <f>+IFERROR(VLOOKUP($AR$17,Sheet1!AD4:AG4,3,0),0)</f>
        <v>0</v>
      </c>
      <c r="AS22" s="15">
        <f>+IFERROR(VLOOKUP($AS$17,Sheet1!AH4:AK4,3,0),0)</f>
        <v>0</v>
      </c>
      <c r="AT22" s="15">
        <f>+IFERROR(VLOOKUP($AT$17,Sheet1!AH4:AK4,3,0),0)</f>
        <v>0</v>
      </c>
      <c r="AU22" s="15">
        <f>+IFERROR(VLOOKUP($AU$17,Sheet1!AH4:AK4,3,0),0)</f>
        <v>0</v>
      </c>
      <c r="AV22" s="15">
        <f>+IFERROR(VLOOKUP($AV$17,Sheet1!AH4:AK4,3,0),0)</f>
        <v>0</v>
      </c>
      <c r="AW22" s="15">
        <f>+IFERROR(VLOOKUP($AW$17,Sheet1!AH4:AK4,3,0),0)</f>
        <v>0</v>
      </c>
      <c r="AX22" s="15">
        <f>+IFERROR(VLOOKUP($AX$17,Sheet1!AH4:AK4,3,0),0)</f>
        <v>0</v>
      </c>
      <c r="AY22" s="15">
        <f>+IFERROR(VLOOKUP($AY$17,Sheet1!AH4:AK4,3,0),0)</f>
        <v>0</v>
      </c>
      <c r="AZ22" s="15">
        <f>+IFERROR(VLOOKUP($AZ$17,Sheet1!AH4:AK4,3,0),0)</f>
        <v>0</v>
      </c>
      <c r="BA22" s="15">
        <f>+IFERROR(VLOOKUP($BA$17,Sheet1!AH4:AK4,3,0),0)</f>
        <v>0</v>
      </c>
      <c r="BB22" s="15">
        <f>+IFERROR(VLOOKUP($BB$17,Sheet1!AH4:AK4,3,0),0)</f>
        <v>0</v>
      </c>
      <c r="BC22" s="15">
        <f>+IFERROR(VLOOKUP($BC$17,Sheet1!AL4:AO4,3,0),0)</f>
        <v>0</v>
      </c>
      <c r="BD22" s="15">
        <f>+IFERROR(VLOOKUP($BD$17,Sheet1!AL4:AO4,3,0),0)</f>
        <v>0</v>
      </c>
      <c r="BE22" s="15">
        <f>+IFERROR(VLOOKUP($BE$17,Sheet1!AL4:AO4,3,0),0)</f>
        <v>0</v>
      </c>
      <c r="BF22" s="15">
        <f>+IFERROR(VLOOKUP($BF$17,Sheet1!AL4:AO4,3,0),0)</f>
        <v>0</v>
      </c>
      <c r="BG22" s="15">
        <f>+IFERROR(VLOOKUP($BG$17,Sheet1!AL4:AO4,3,0),0)</f>
        <v>0</v>
      </c>
      <c r="BH22" s="15">
        <f>+IFERROR(VLOOKUP($BH$17,Sheet1!AL4:AO4,3,0),0)</f>
        <v>0</v>
      </c>
      <c r="BI22" s="15">
        <v>165</v>
      </c>
      <c r="BJ22" s="15">
        <f>+IFERROR(VLOOKUP($BJ$17,Sheet1!AL4:AO4,3,0),0)</f>
        <v>0</v>
      </c>
      <c r="BK22" s="15">
        <f>+IFERROR(VLOOKUP($BK$17,Sheet1!AL4:AO4,3,0),0)</f>
        <v>0</v>
      </c>
      <c r="BL22" s="15">
        <f>+IFERROR(VLOOKUP($BL$17,Sheet1!AL4:AO4,3,0),0)</f>
        <v>0</v>
      </c>
      <c r="BM22" s="15">
        <f>+IFERROR(VLOOKUP($BM$17,Sheet1!AP4:AS4,3,0),0)</f>
        <v>0</v>
      </c>
      <c r="BN22" s="15">
        <f>+IFERROR(VLOOKUP($BN$17,Sheet1!AT4:AW4,3,0),0)</f>
        <v>0</v>
      </c>
      <c r="BO22" s="15">
        <f>+IFERROR(VLOOKUP($BO$17,Sheet1!AX4:BA4,3,0),0)</f>
        <v>0</v>
      </c>
      <c r="BP22" s="15">
        <f>+IFERROR(VLOOKUP($BP$17,Sheet1!BB4:BE4,3,0),0)</f>
        <v>0</v>
      </c>
      <c r="BQ22" s="15">
        <f>+IFERROR(VLOOKUP($BQ$17,Sheet1!BF4:BI4,3,0),0)</f>
        <v>0</v>
      </c>
      <c r="BR22" s="15">
        <f>+IFERROR(VLOOKUP($BR$17,Sheet1!BJ4:BM4,3,0),0)</f>
        <v>0</v>
      </c>
      <c r="BS22" s="15">
        <f>+IFERROR(VLOOKUP($BS$17,Sheet1!BN4:BQ4,3,0),0)</f>
        <v>0</v>
      </c>
      <c r="BT22" s="15">
        <f>+IFERROR(VLOOKUP($BT$17,Sheet1!BR4:BU4,3,0),0)</f>
        <v>0</v>
      </c>
      <c r="BU22" s="15">
        <f>+IFERROR(VLOOKUP($BU$17,Sheet1!BV4:BY4,3,0),0)</f>
        <v>0</v>
      </c>
      <c r="BV22" s="131" t="str">
        <f>Sheet1!E4</f>
        <v>WOOD</v>
      </c>
      <c r="BW22" s="15" t="str">
        <f>Sheet1!CV4</f>
        <v>MD0100066</v>
      </c>
      <c r="BX22" s="15" t="str">
        <f>Sheet1!CW4</f>
        <v>DRUM - 40 X 15 X 23 X 2</v>
      </c>
      <c r="BY22" s="131">
        <f>Sheet1!CX4</f>
        <v>500</v>
      </c>
      <c r="BZ22" s="3">
        <f>Sheet1!BZ4</f>
        <v>5448</v>
      </c>
      <c r="CA22" s="3">
        <f>SUMPRODUCT($N$18:$BU$18,N22:BU22)+BZ22</f>
        <v>217839</v>
      </c>
      <c r="CB22" s="27">
        <f>Sheet1!CB4</f>
        <v>0</v>
      </c>
      <c r="CC22" s="3">
        <f>CA22*CB22</f>
        <v>0</v>
      </c>
      <c r="CD22" s="48">
        <v>0.25</v>
      </c>
      <c r="CE22" s="3">
        <f>CA22*CD22</f>
        <v>54459.75</v>
      </c>
      <c r="CF22" s="48">
        <v>0</v>
      </c>
      <c r="CG22" s="3">
        <f>CA22*CF22</f>
        <v>0</v>
      </c>
      <c r="CH22" s="3">
        <f>CA22+CC22+CE22+CG22</f>
        <v>272298.75</v>
      </c>
      <c r="CI22" s="48">
        <v>0.05</v>
      </c>
      <c r="CJ22" s="1">
        <f>CH22*CI22</f>
        <v>13614.9375</v>
      </c>
      <c r="CK22" s="48">
        <v>0.03</v>
      </c>
      <c r="CL22" s="1">
        <f>CH22*CK22</f>
        <v>8168.9624999999996</v>
      </c>
      <c r="CN22">
        <f>1068*1000</f>
        <v>1068000</v>
      </c>
      <c r="CO22" s="135">
        <f t="shared" si="1"/>
        <v>72.464171348314608</v>
      </c>
    </row>
    <row r="24" spans="1:93" ht="60" x14ac:dyDescent="0.25">
      <c r="E24" s="2" t="s">
        <v>211</v>
      </c>
      <c r="F24" s="2" t="s">
        <v>212</v>
      </c>
      <c r="G24" s="58" t="s">
        <v>213</v>
      </c>
      <c r="H24" s="2" t="s">
        <v>214</v>
      </c>
      <c r="I24" s="2" t="s">
        <v>215</v>
      </c>
      <c r="J24" s="2" t="s">
        <v>216</v>
      </c>
      <c r="K24" s="2" t="s">
        <v>217</v>
      </c>
      <c r="L24" s="2" t="s">
        <v>218</v>
      </c>
      <c r="M24" s="59" t="s">
        <v>219</v>
      </c>
      <c r="AH24" s="30" t="s">
        <v>260</v>
      </c>
      <c r="AK24" s="30" t="s">
        <v>261</v>
      </c>
      <c r="AO24" s="30" t="s">
        <v>262</v>
      </c>
      <c r="BI24" s="30" t="s">
        <v>263</v>
      </c>
    </row>
    <row r="25" spans="1:93" ht="30" x14ac:dyDescent="0.25">
      <c r="D25" s="30" t="str">
        <f>D19</f>
        <v>2 CORE X 2.5 SQ. MM. CU/UNARD.(PVC)</v>
      </c>
      <c r="E25" s="58">
        <f>K19</f>
        <v>115.28</v>
      </c>
      <c r="F25" s="60">
        <f>BY19/1000</f>
        <v>1</v>
      </c>
      <c r="G25" s="58" t="s">
        <v>220</v>
      </c>
      <c r="H25" s="61">
        <v>65000</v>
      </c>
      <c r="I25" s="60">
        <v>48</v>
      </c>
      <c r="J25" s="58">
        <f>F25*I25</f>
        <v>48</v>
      </c>
      <c r="K25" s="58">
        <f>ROUNDUP((E25/J25),0)</f>
        <v>3</v>
      </c>
      <c r="L25" s="58">
        <f>M25*E25</f>
        <v>195000</v>
      </c>
      <c r="M25" s="62">
        <f>(H25*K25)/E25</f>
        <v>1691.5336571825121</v>
      </c>
      <c r="P25" s="30" t="str">
        <f>BW19</f>
        <v>MD0100004</v>
      </c>
      <c r="AH25" s="30">
        <f>SUM(P19:BI19)</f>
        <v>212</v>
      </c>
      <c r="AK25" s="30">
        <f>60+15</f>
        <v>75</v>
      </c>
      <c r="AO25" s="30">
        <f>((AH25*F25)+AK25)</f>
        <v>287</v>
      </c>
      <c r="BI25" s="30">
        <f>I25*AO25</f>
        <v>13776</v>
      </c>
    </row>
    <row r="26" spans="1:93" ht="30" x14ac:dyDescent="0.25">
      <c r="D26" s="30" t="str">
        <f t="shared" ref="D26:D28" si="2">D20</f>
        <v>4 CORE X 2.5 SQ. MM. CU/UNARD.(PVC)</v>
      </c>
      <c r="E26" s="58">
        <f t="shared" ref="E26:E28" si="3">K20</f>
        <v>121.14</v>
      </c>
      <c r="F26" s="60">
        <f t="shared" ref="F26:F28" si="4">BY20/1000</f>
        <v>1</v>
      </c>
      <c r="G26" s="58" t="s">
        <v>220</v>
      </c>
      <c r="H26" s="61">
        <v>65000</v>
      </c>
      <c r="I26" s="60">
        <v>36</v>
      </c>
      <c r="J26" s="58">
        <f t="shared" ref="J26:J28" si="5">F26*I26</f>
        <v>36</v>
      </c>
      <c r="K26" s="58">
        <f t="shared" ref="K26:K28" si="6">ROUNDUP((E26/J26),0)</f>
        <v>4</v>
      </c>
      <c r="L26" s="58">
        <f t="shared" ref="L26:L28" si="7">M26*E26</f>
        <v>260000</v>
      </c>
      <c r="M26" s="62">
        <f t="shared" ref="M26:M28" si="8">(H26*K26)/E26</f>
        <v>2146.2770348357271</v>
      </c>
      <c r="P26" s="30" t="str">
        <f t="shared" ref="P26:P28" si="9">BW20</f>
        <v>MD0100005</v>
      </c>
      <c r="AH26" s="30">
        <f t="shared" ref="AH26:AH28" si="10">SUM(P20:BI20)</f>
        <v>281</v>
      </c>
      <c r="AK26" s="30">
        <f>65+20</f>
        <v>85</v>
      </c>
      <c r="AO26" s="30">
        <f t="shared" ref="AO26:AO28" si="11">((AH26*F26)+AK26)</f>
        <v>366</v>
      </c>
      <c r="BI26" s="30">
        <f t="shared" ref="BI26:BI28" si="12">I26*AO26</f>
        <v>13176</v>
      </c>
    </row>
    <row r="27" spans="1:93" ht="30" x14ac:dyDescent="0.25">
      <c r="D27" s="30" t="str">
        <f t="shared" si="2"/>
        <v>6 CORE X 2.5 SQ. MM. CU/UNARD.(PVC)</v>
      </c>
      <c r="E27" s="58">
        <f t="shared" si="3"/>
        <v>125.62</v>
      </c>
      <c r="F27" s="60">
        <f t="shared" si="4"/>
        <v>1</v>
      </c>
      <c r="G27" s="58" t="s">
        <v>220</v>
      </c>
      <c r="H27" s="61">
        <v>65000</v>
      </c>
      <c r="I27" s="60">
        <v>34</v>
      </c>
      <c r="J27" s="58">
        <f t="shared" si="5"/>
        <v>34</v>
      </c>
      <c r="K27" s="58">
        <f t="shared" si="6"/>
        <v>4</v>
      </c>
      <c r="L27" s="58">
        <f t="shared" si="7"/>
        <v>260000</v>
      </c>
      <c r="M27" s="62">
        <f t="shared" si="8"/>
        <v>2069.7341187708962</v>
      </c>
      <c r="P27" s="30" t="str">
        <f t="shared" si="9"/>
        <v>MD0100067</v>
      </c>
      <c r="AH27" s="30">
        <f t="shared" si="10"/>
        <v>359</v>
      </c>
      <c r="AK27" s="30">
        <f>75+25</f>
        <v>100</v>
      </c>
      <c r="AO27" s="30">
        <f t="shared" si="11"/>
        <v>459</v>
      </c>
      <c r="BI27" s="30">
        <f t="shared" si="12"/>
        <v>15606</v>
      </c>
    </row>
    <row r="28" spans="1:93" ht="30" x14ac:dyDescent="0.25">
      <c r="D28" s="30" t="str">
        <f t="shared" si="2"/>
        <v>10 CORE X 2.5 SQ. MM. CU/UNARD. (PVC)</v>
      </c>
      <c r="E28" s="58">
        <f t="shared" si="3"/>
        <v>67.91</v>
      </c>
      <c r="F28" s="60">
        <f t="shared" si="4"/>
        <v>0.5</v>
      </c>
      <c r="G28" s="58" t="s">
        <v>220</v>
      </c>
      <c r="H28" s="61">
        <v>65000</v>
      </c>
      <c r="I28" s="60">
        <v>36</v>
      </c>
      <c r="J28" s="58">
        <f t="shared" si="5"/>
        <v>18</v>
      </c>
      <c r="K28" s="58">
        <f t="shared" si="6"/>
        <v>4</v>
      </c>
      <c r="L28" s="58">
        <f t="shared" si="7"/>
        <v>260000</v>
      </c>
      <c r="M28" s="62">
        <f t="shared" si="8"/>
        <v>3828.5966720659699</v>
      </c>
      <c r="P28" s="30" t="str">
        <f t="shared" si="9"/>
        <v>MD0100066</v>
      </c>
      <c r="AH28" s="30">
        <f t="shared" si="10"/>
        <v>558</v>
      </c>
      <c r="AK28" s="30">
        <f>75+25</f>
        <v>100</v>
      </c>
      <c r="AO28" s="30">
        <f t="shared" si="11"/>
        <v>379</v>
      </c>
      <c r="BI28" s="30">
        <f t="shared" si="12"/>
        <v>13644</v>
      </c>
    </row>
    <row r="30" spans="1:93" x14ac:dyDescent="0.25">
      <c r="E30" s="132" t="s">
        <v>258</v>
      </c>
      <c r="F30" s="133" t="s">
        <v>259</v>
      </c>
    </row>
    <row r="32" spans="1:93" ht="30" x14ac:dyDescent="0.25">
      <c r="D32" s="136"/>
      <c r="E32" s="143" t="s">
        <v>266</v>
      </c>
      <c r="F32" s="138" t="s">
        <v>267</v>
      </c>
      <c r="G32" s="138" t="s">
        <v>268</v>
      </c>
      <c r="H32" s="139"/>
    </row>
    <row r="33" spans="4:8" ht="30" x14ac:dyDescent="0.25">
      <c r="D33" s="138" t="str">
        <f>D25</f>
        <v>2 CORE X 2.5 SQ. MM. CU/UNARD.(PVC)</v>
      </c>
      <c r="E33" s="137">
        <v>7933108.4800000004</v>
      </c>
      <c r="F33" s="140">
        <f>M19</f>
        <v>9566290.2693600003</v>
      </c>
      <c r="G33" s="141">
        <f>((F33-E33)/F33)*100</f>
        <v>17.072258350668491</v>
      </c>
      <c r="H33" s="142" t="s">
        <v>269</v>
      </c>
    </row>
    <row r="34" spans="4:8" ht="30" x14ac:dyDescent="0.25">
      <c r="D34" s="138" t="str">
        <f t="shared" ref="D34:D36" si="13">D26</f>
        <v>4 CORE X 2.5 SQ. MM. CU/UNARD.(PVC)</v>
      </c>
      <c r="E34" s="137">
        <v>14801127.48</v>
      </c>
      <c r="F34" s="140">
        <f t="shared" ref="F34:F36" si="14">M20</f>
        <v>17991032.84118</v>
      </c>
      <c r="G34" s="141">
        <f t="shared" ref="G34:G36" si="15">((F34-E34)/F34)*100</f>
        <v>17.730529366154943</v>
      </c>
      <c r="H34" s="142" t="s">
        <v>269</v>
      </c>
    </row>
    <row r="35" spans="4:8" ht="30" x14ac:dyDescent="0.25">
      <c r="D35" s="138" t="str">
        <f t="shared" si="13"/>
        <v>6 CORE X 2.5 SQ. MM. CU/UNARD.(PVC)</v>
      </c>
      <c r="E35" s="137">
        <v>24285612.120000001</v>
      </c>
      <c r="F35" s="140">
        <f t="shared" si="14"/>
        <v>26731115.827020004</v>
      </c>
      <c r="G35" s="141">
        <f t="shared" si="15"/>
        <v>9.1485283399508184</v>
      </c>
      <c r="H35" s="142" t="s">
        <v>269</v>
      </c>
    </row>
    <row r="36" spans="4:8" ht="30" x14ac:dyDescent="0.25">
      <c r="D36" s="138" t="str">
        <f t="shared" si="13"/>
        <v>10 CORE X 2.5 SQ. MM. CU/UNARD. (PVC)</v>
      </c>
      <c r="E36" s="137">
        <v>19880177.129999999</v>
      </c>
      <c r="F36" s="140">
        <f t="shared" si="14"/>
        <v>23872792.57877</v>
      </c>
      <c r="G36" s="141">
        <f t="shared" si="15"/>
        <v>16.724542952384304</v>
      </c>
      <c r="H36" s="142" t="s">
        <v>269</v>
      </c>
    </row>
  </sheetData>
  <mergeCells count="20">
    <mergeCell ref="B11:R11"/>
    <mergeCell ref="B12:R12"/>
    <mergeCell ref="B13:R13"/>
    <mergeCell ref="B14:R14"/>
    <mergeCell ref="B4:R4"/>
    <mergeCell ref="B5:R5"/>
    <mergeCell ref="B6:R6"/>
    <mergeCell ref="AL16:AR16"/>
    <mergeCell ref="AS16:BB16"/>
    <mergeCell ref="BC16:BL16"/>
    <mergeCell ref="N16:R16"/>
    <mergeCell ref="S16:T16"/>
    <mergeCell ref="U16:AB16"/>
    <mergeCell ref="AC16:AD16"/>
    <mergeCell ref="AE16:AJ16"/>
    <mergeCell ref="B7:R7"/>
    <mergeCell ref="B8:R8"/>
    <mergeCell ref="B9:R9"/>
    <mergeCell ref="B10:R10"/>
    <mergeCell ref="A2:R2"/>
  </mergeCells>
  <dataValidations count="1">
    <dataValidation type="list" allowBlank="1" showInputMessage="1" showErrorMessage="1" sqref="G25:G28" xr:uid="{4190C31E-4019-43F1-8199-DAD5EFE6BAC4}">
      <formula1>$Q$4:$Q$6</formula1>
    </dataValidation>
  </dataValidations>
  <pageMargins left="0.7" right="0.7" top="0.75" bottom="0.75" header="0.3" footer="0.3"/>
  <pageSetup orientation="portrait" horizontalDpi="1200" verticalDpi="12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A00E9-8DB6-4E0F-81B7-C75FE5C16349}">
  <sheetPr>
    <tabColor rgb="FFFF0000"/>
  </sheetPr>
  <dimension ref="A1:AQ15"/>
  <sheetViews>
    <sheetView showZeros="0" topLeftCell="A4" zoomScaleNormal="100" workbookViewId="0">
      <selection activeCell="K25" sqref="K25"/>
    </sheetView>
  </sheetViews>
  <sheetFormatPr defaultRowHeight="12.75" x14ac:dyDescent="0.2"/>
  <cols>
    <col min="1" max="1" width="41" style="66" customWidth="1"/>
    <col min="2" max="2" width="13.140625" style="66" customWidth="1"/>
    <col min="3" max="3" width="15.28515625" style="66" bestFit="1" customWidth="1"/>
    <col min="4" max="4" width="10.7109375" style="66" bestFit="1" customWidth="1"/>
    <col min="5" max="5" width="9.42578125" style="66" bestFit="1" customWidth="1"/>
    <col min="6" max="6" width="9.42578125" style="66" customWidth="1"/>
    <col min="7" max="7" width="9.42578125" style="66" bestFit="1" customWidth="1"/>
    <col min="8" max="8" width="10.42578125" style="66" bestFit="1" customWidth="1"/>
    <col min="9" max="9" width="9.42578125" style="66" bestFit="1" customWidth="1"/>
    <col min="10" max="10" width="10.140625" style="66" bestFit="1" customWidth="1"/>
    <col min="11" max="11" width="9.140625" style="66"/>
    <col min="12" max="13" width="8.42578125" style="66" bestFit="1" customWidth="1"/>
    <col min="14" max="14" width="7.42578125" style="66" customWidth="1"/>
    <col min="15" max="15" width="10.42578125" style="66" bestFit="1" customWidth="1"/>
    <col min="16" max="18" width="12" style="66" bestFit="1" customWidth="1"/>
    <col min="19" max="19" width="10.42578125" style="66" bestFit="1" customWidth="1"/>
    <col min="20" max="20" width="14.42578125" style="66" bestFit="1" customWidth="1"/>
    <col min="21" max="21" width="9.7109375" style="66" bestFit="1" customWidth="1"/>
    <col min="22" max="22" width="10.7109375" style="66" customWidth="1"/>
    <col min="23" max="23" width="9.42578125" style="66" customWidth="1"/>
    <col min="24" max="24" width="9.7109375" style="66" customWidth="1"/>
    <col min="25" max="25" width="10" style="66" customWidth="1"/>
    <col min="26" max="26" width="10.42578125" style="66" bestFit="1" customWidth="1"/>
    <col min="27" max="27" width="9.5703125" style="66" bestFit="1" customWidth="1"/>
    <col min="28" max="28" width="10.5703125" style="66" bestFit="1" customWidth="1"/>
    <col min="29" max="29" width="10.140625" style="66" bestFit="1" customWidth="1"/>
    <col min="30" max="30" width="7.85546875" style="66" customWidth="1"/>
    <col min="31" max="31" width="6.28515625" style="66" bestFit="1" customWidth="1"/>
    <col min="32" max="32" width="5.28515625" style="66" bestFit="1" customWidth="1"/>
    <col min="33" max="33" width="5" style="66" bestFit="1" customWidth="1"/>
    <col min="34" max="34" width="9.140625" style="66"/>
    <col min="35" max="35" width="10.5703125" style="66" bestFit="1" customWidth="1"/>
    <col min="36" max="36" width="9.140625" style="66"/>
    <col min="37" max="37" width="10.5703125" style="66" bestFit="1" customWidth="1"/>
    <col min="38" max="38" width="11.140625" style="66" bestFit="1" customWidth="1"/>
    <col min="39" max="249" width="9.140625" style="66"/>
    <col min="250" max="250" width="41" style="66" customWidth="1"/>
    <col min="251" max="251" width="13.140625" style="66" customWidth="1"/>
    <col min="252" max="252" width="10.140625" style="66" customWidth="1"/>
    <col min="253" max="253" width="10.42578125" style="66" bestFit="1" customWidth="1"/>
    <col min="254" max="255" width="9.42578125" style="66" bestFit="1" customWidth="1"/>
    <col min="256" max="256" width="10.140625" style="66" bestFit="1" customWidth="1"/>
    <col min="257" max="258" width="9.140625" style="66"/>
    <col min="259" max="259" width="7.28515625" style="66" customWidth="1"/>
    <col min="260" max="260" width="7.42578125" style="66" customWidth="1"/>
    <col min="261" max="261" width="9.42578125" style="66" bestFit="1" customWidth="1"/>
    <col min="262" max="262" width="12" style="66" bestFit="1" customWidth="1"/>
    <col min="263" max="264" width="10" style="66" bestFit="1" customWidth="1"/>
    <col min="265" max="265" width="14.42578125" style="66" bestFit="1" customWidth="1"/>
    <col min="266" max="276" width="0" style="66" hidden="1" customWidth="1"/>
    <col min="277" max="505" width="9.140625" style="66"/>
    <col min="506" max="506" width="41" style="66" customWidth="1"/>
    <col min="507" max="507" width="13.140625" style="66" customWidth="1"/>
    <col min="508" max="508" width="10.140625" style="66" customWidth="1"/>
    <col min="509" max="509" width="10.42578125" style="66" bestFit="1" customWidth="1"/>
    <col min="510" max="511" width="9.42578125" style="66" bestFit="1" customWidth="1"/>
    <col min="512" max="512" width="10.140625" style="66" bestFit="1" customWidth="1"/>
    <col min="513" max="514" width="9.140625" style="66"/>
    <col min="515" max="515" width="7.28515625" style="66" customWidth="1"/>
    <col min="516" max="516" width="7.42578125" style="66" customWidth="1"/>
    <col min="517" max="517" width="9.42578125" style="66" bestFit="1" customWidth="1"/>
    <col min="518" max="518" width="12" style="66" bestFit="1" customWidth="1"/>
    <col min="519" max="520" width="10" style="66" bestFit="1" customWidth="1"/>
    <col min="521" max="521" width="14.42578125" style="66" bestFit="1" customWidth="1"/>
    <col min="522" max="532" width="0" style="66" hidden="1" customWidth="1"/>
    <col min="533" max="761" width="9.140625" style="66"/>
    <col min="762" max="762" width="41" style="66" customWidth="1"/>
    <col min="763" max="763" width="13.140625" style="66" customWidth="1"/>
    <col min="764" max="764" width="10.140625" style="66" customWidth="1"/>
    <col min="765" max="765" width="10.42578125" style="66" bestFit="1" customWidth="1"/>
    <col min="766" max="767" width="9.42578125" style="66" bestFit="1" customWidth="1"/>
    <col min="768" max="768" width="10.140625" style="66" bestFit="1" customWidth="1"/>
    <col min="769" max="770" width="9.140625" style="66"/>
    <col min="771" max="771" width="7.28515625" style="66" customWidth="1"/>
    <col min="772" max="772" width="7.42578125" style="66" customWidth="1"/>
    <col min="773" max="773" width="9.42578125" style="66" bestFit="1" customWidth="1"/>
    <col min="774" max="774" width="12" style="66" bestFit="1" customWidth="1"/>
    <col min="775" max="776" width="10" style="66" bestFit="1" customWidth="1"/>
    <col min="777" max="777" width="14.42578125" style="66" bestFit="1" customWidth="1"/>
    <col min="778" max="788" width="0" style="66" hidden="1" customWidth="1"/>
    <col min="789" max="1017" width="9.140625" style="66"/>
    <col min="1018" max="1018" width="41" style="66" customWidth="1"/>
    <col min="1019" max="1019" width="13.140625" style="66" customWidth="1"/>
    <col min="1020" max="1020" width="10.140625" style="66" customWidth="1"/>
    <col min="1021" max="1021" width="10.42578125" style="66" bestFit="1" customWidth="1"/>
    <col min="1022" max="1023" width="9.42578125" style="66" bestFit="1" customWidth="1"/>
    <col min="1024" max="1024" width="10.140625" style="66" bestFit="1" customWidth="1"/>
    <col min="1025" max="1026" width="9.140625" style="66"/>
    <col min="1027" max="1027" width="7.28515625" style="66" customWidth="1"/>
    <col min="1028" max="1028" width="7.42578125" style="66" customWidth="1"/>
    <col min="1029" max="1029" width="9.42578125" style="66" bestFit="1" customWidth="1"/>
    <col min="1030" max="1030" width="12" style="66" bestFit="1" customWidth="1"/>
    <col min="1031" max="1032" width="10" style="66" bestFit="1" customWidth="1"/>
    <col min="1033" max="1033" width="14.42578125" style="66" bestFit="1" customWidth="1"/>
    <col min="1034" max="1044" width="0" style="66" hidden="1" customWidth="1"/>
    <col min="1045" max="1273" width="9.140625" style="66"/>
    <col min="1274" max="1274" width="41" style="66" customWidth="1"/>
    <col min="1275" max="1275" width="13.140625" style="66" customWidth="1"/>
    <col min="1276" max="1276" width="10.140625" style="66" customWidth="1"/>
    <col min="1277" max="1277" width="10.42578125" style="66" bestFit="1" customWidth="1"/>
    <col min="1278" max="1279" width="9.42578125" style="66" bestFit="1" customWidth="1"/>
    <col min="1280" max="1280" width="10.140625" style="66" bestFit="1" customWidth="1"/>
    <col min="1281" max="1282" width="9.140625" style="66"/>
    <col min="1283" max="1283" width="7.28515625" style="66" customWidth="1"/>
    <col min="1284" max="1284" width="7.42578125" style="66" customWidth="1"/>
    <col min="1285" max="1285" width="9.42578125" style="66" bestFit="1" customWidth="1"/>
    <col min="1286" max="1286" width="12" style="66" bestFit="1" customWidth="1"/>
    <col min="1287" max="1288" width="10" style="66" bestFit="1" customWidth="1"/>
    <col min="1289" max="1289" width="14.42578125" style="66" bestFit="1" customWidth="1"/>
    <col min="1290" max="1300" width="0" style="66" hidden="1" customWidth="1"/>
    <col min="1301" max="1529" width="9.140625" style="66"/>
    <col min="1530" max="1530" width="41" style="66" customWidth="1"/>
    <col min="1531" max="1531" width="13.140625" style="66" customWidth="1"/>
    <col min="1532" max="1532" width="10.140625" style="66" customWidth="1"/>
    <col min="1533" max="1533" width="10.42578125" style="66" bestFit="1" customWidth="1"/>
    <col min="1534" max="1535" width="9.42578125" style="66" bestFit="1" customWidth="1"/>
    <col min="1536" max="1536" width="10.140625" style="66" bestFit="1" customWidth="1"/>
    <col min="1537" max="1538" width="9.140625" style="66"/>
    <col min="1539" max="1539" width="7.28515625" style="66" customWidth="1"/>
    <col min="1540" max="1540" width="7.42578125" style="66" customWidth="1"/>
    <col min="1541" max="1541" width="9.42578125" style="66" bestFit="1" customWidth="1"/>
    <col min="1542" max="1542" width="12" style="66" bestFit="1" customWidth="1"/>
    <col min="1543" max="1544" width="10" style="66" bestFit="1" customWidth="1"/>
    <col min="1545" max="1545" width="14.42578125" style="66" bestFit="1" customWidth="1"/>
    <col min="1546" max="1556" width="0" style="66" hidden="1" customWidth="1"/>
    <col min="1557" max="1785" width="9.140625" style="66"/>
    <col min="1786" max="1786" width="41" style="66" customWidth="1"/>
    <col min="1787" max="1787" width="13.140625" style="66" customWidth="1"/>
    <col min="1788" max="1788" width="10.140625" style="66" customWidth="1"/>
    <col min="1789" max="1789" width="10.42578125" style="66" bestFit="1" customWidth="1"/>
    <col min="1790" max="1791" width="9.42578125" style="66" bestFit="1" customWidth="1"/>
    <col min="1792" max="1792" width="10.140625" style="66" bestFit="1" customWidth="1"/>
    <col min="1793" max="1794" width="9.140625" style="66"/>
    <col min="1795" max="1795" width="7.28515625" style="66" customWidth="1"/>
    <col min="1796" max="1796" width="7.42578125" style="66" customWidth="1"/>
    <col min="1797" max="1797" width="9.42578125" style="66" bestFit="1" customWidth="1"/>
    <col min="1798" max="1798" width="12" style="66" bestFit="1" customWidth="1"/>
    <col min="1799" max="1800" width="10" style="66" bestFit="1" customWidth="1"/>
    <col min="1801" max="1801" width="14.42578125" style="66" bestFit="1" customWidth="1"/>
    <col min="1802" max="1812" width="0" style="66" hidden="1" customWidth="1"/>
    <col min="1813" max="2041" width="9.140625" style="66"/>
    <col min="2042" max="2042" width="41" style="66" customWidth="1"/>
    <col min="2043" max="2043" width="13.140625" style="66" customWidth="1"/>
    <col min="2044" max="2044" width="10.140625" style="66" customWidth="1"/>
    <col min="2045" max="2045" width="10.42578125" style="66" bestFit="1" customWidth="1"/>
    <col min="2046" max="2047" width="9.42578125" style="66" bestFit="1" customWidth="1"/>
    <col min="2048" max="2048" width="10.140625" style="66" bestFit="1" customWidth="1"/>
    <col min="2049" max="2050" width="9.140625" style="66"/>
    <col min="2051" max="2051" width="7.28515625" style="66" customWidth="1"/>
    <col min="2052" max="2052" width="7.42578125" style="66" customWidth="1"/>
    <col min="2053" max="2053" width="9.42578125" style="66" bestFit="1" customWidth="1"/>
    <col min="2054" max="2054" width="12" style="66" bestFit="1" customWidth="1"/>
    <col min="2055" max="2056" width="10" style="66" bestFit="1" customWidth="1"/>
    <col min="2057" max="2057" width="14.42578125" style="66" bestFit="1" customWidth="1"/>
    <col min="2058" max="2068" width="0" style="66" hidden="1" customWidth="1"/>
    <col min="2069" max="2297" width="9.140625" style="66"/>
    <col min="2298" max="2298" width="41" style="66" customWidth="1"/>
    <col min="2299" max="2299" width="13.140625" style="66" customWidth="1"/>
    <col min="2300" max="2300" width="10.140625" style="66" customWidth="1"/>
    <col min="2301" max="2301" width="10.42578125" style="66" bestFit="1" customWidth="1"/>
    <col min="2302" max="2303" width="9.42578125" style="66" bestFit="1" customWidth="1"/>
    <col min="2304" max="2304" width="10.140625" style="66" bestFit="1" customWidth="1"/>
    <col min="2305" max="2306" width="9.140625" style="66"/>
    <col min="2307" max="2307" width="7.28515625" style="66" customWidth="1"/>
    <col min="2308" max="2308" width="7.42578125" style="66" customWidth="1"/>
    <col min="2309" max="2309" width="9.42578125" style="66" bestFit="1" customWidth="1"/>
    <col min="2310" max="2310" width="12" style="66" bestFit="1" customWidth="1"/>
    <col min="2311" max="2312" width="10" style="66" bestFit="1" customWidth="1"/>
    <col min="2313" max="2313" width="14.42578125" style="66" bestFit="1" customWidth="1"/>
    <col min="2314" max="2324" width="0" style="66" hidden="1" customWidth="1"/>
    <col min="2325" max="2553" width="9.140625" style="66"/>
    <col min="2554" max="2554" width="41" style="66" customWidth="1"/>
    <col min="2555" max="2555" width="13.140625" style="66" customWidth="1"/>
    <col min="2556" max="2556" width="10.140625" style="66" customWidth="1"/>
    <col min="2557" max="2557" width="10.42578125" style="66" bestFit="1" customWidth="1"/>
    <col min="2558" max="2559" width="9.42578125" style="66" bestFit="1" customWidth="1"/>
    <col min="2560" max="2560" width="10.140625" style="66" bestFit="1" customWidth="1"/>
    <col min="2561" max="2562" width="9.140625" style="66"/>
    <col min="2563" max="2563" width="7.28515625" style="66" customWidth="1"/>
    <col min="2564" max="2564" width="7.42578125" style="66" customWidth="1"/>
    <col min="2565" max="2565" width="9.42578125" style="66" bestFit="1" customWidth="1"/>
    <col min="2566" max="2566" width="12" style="66" bestFit="1" customWidth="1"/>
    <col min="2567" max="2568" width="10" style="66" bestFit="1" customWidth="1"/>
    <col min="2569" max="2569" width="14.42578125" style="66" bestFit="1" customWidth="1"/>
    <col min="2570" max="2580" width="0" style="66" hidden="1" customWidth="1"/>
    <col min="2581" max="2809" width="9.140625" style="66"/>
    <col min="2810" max="2810" width="41" style="66" customWidth="1"/>
    <col min="2811" max="2811" width="13.140625" style="66" customWidth="1"/>
    <col min="2812" max="2812" width="10.140625" style="66" customWidth="1"/>
    <col min="2813" max="2813" width="10.42578125" style="66" bestFit="1" customWidth="1"/>
    <col min="2814" max="2815" width="9.42578125" style="66" bestFit="1" customWidth="1"/>
    <col min="2816" max="2816" width="10.140625" style="66" bestFit="1" customWidth="1"/>
    <col min="2817" max="2818" width="9.140625" style="66"/>
    <col min="2819" max="2819" width="7.28515625" style="66" customWidth="1"/>
    <col min="2820" max="2820" width="7.42578125" style="66" customWidth="1"/>
    <col min="2821" max="2821" width="9.42578125" style="66" bestFit="1" customWidth="1"/>
    <col min="2822" max="2822" width="12" style="66" bestFit="1" customWidth="1"/>
    <col min="2823" max="2824" width="10" style="66" bestFit="1" customWidth="1"/>
    <col min="2825" max="2825" width="14.42578125" style="66" bestFit="1" customWidth="1"/>
    <col min="2826" max="2836" width="0" style="66" hidden="1" customWidth="1"/>
    <col min="2837" max="3065" width="9.140625" style="66"/>
    <col min="3066" max="3066" width="41" style="66" customWidth="1"/>
    <col min="3067" max="3067" width="13.140625" style="66" customWidth="1"/>
    <col min="3068" max="3068" width="10.140625" style="66" customWidth="1"/>
    <col min="3069" max="3069" width="10.42578125" style="66" bestFit="1" customWidth="1"/>
    <col min="3070" max="3071" width="9.42578125" style="66" bestFit="1" customWidth="1"/>
    <col min="3072" max="3072" width="10.140625" style="66" bestFit="1" customWidth="1"/>
    <col min="3073" max="3074" width="9.140625" style="66"/>
    <col min="3075" max="3075" width="7.28515625" style="66" customWidth="1"/>
    <col min="3076" max="3076" width="7.42578125" style="66" customWidth="1"/>
    <col min="3077" max="3077" width="9.42578125" style="66" bestFit="1" customWidth="1"/>
    <col min="3078" max="3078" width="12" style="66" bestFit="1" customWidth="1"/>
    <col min="3079" max="3080" width="10" style="66" bestFit="1" customWidth="1"/>
    <col min="3081" max="3081" width="14.42578125" style="66" bestFit="1" customWidth="1"/>
    <col min="3082" max="3092" width="0" style="66" hidden="1" customWidth="1"/>
    <col min="3093" max="3321" width="9.140625" style="66"/>
    <col min="3322" max="3322" width="41" style="66" customWidth="1"/>
    <col min="3323" max="3323" width="13.140625" style="66" customWidth="1"/>
    <col min="3324" max="3324" width="10.140625" style="66" customWidth="1"/>
    <col min="3325" max="3325" width="10.42578125" style="66" bestFit="1" customWidth="1"/>
    <col min="3326" max="3327" width="9.42578125" style="66" bestFit="1" customWidth="1"/>
    <col min="3328" max="3328" width="10.140625" style="66" bestFit="1" customWidth="1"/>
    <col min="3329" max="3330" width="9.140625" style="66"/>
    <col min="3331" max="3331" width="7.28515625" style="66" customWidth="1"/>
    <col min="3332" max="3332" width="7.42578125" style="66" customWidth="1"/>
    <col min="3333" max="3333" width="9.42578125" style="66" bestFit="1" customWidth="1"/>
    <col min="3334" max="3334" width="12" style="66" bestFit="1" customWidth="1"/>
    <col min="3335" max="3336" width="10" style="66" bestFit="1" customWidth="1"/>
    <col min="3337" max="3337" width="14.42578125" style="66" bestFit="1" customWidth="1"/>
    <col min="3338" max="3348" width="0" style="66" hidden="1" customWidth="1"/>
    <col min="3349" max="3577" width="9.140625" style="66"/>
    <col min="3578" max="3578" width="41" style="66" customWidth="1"/>
    <col min="3579" max="3579" width="13.140625" style="66" customWidth="1"/>
    <col min="3580" max="3580" width="10.140625" style="66" customWidth="1"/>
    <col min="3581" max="3581" width="10.42578125" style="66" bestFit="1" customWidth="1"/>
    <col min="3582" max="3583" width="9.42578125" style="66" bestFit="1" customWidth="1"/>
    <col min="3584" max="3584" width="10.140625" style="66" bestFit="1" customWidth="1"/>
    <col min="3585" max="3586" width="9.140625" style="66"/>
    <col min="3587" max="3587" width="7.28515625" style="66" customWidth="1"/>
    <col min="3588" max="3588" width="7.42578125" style="66" customWidth="1"/>
    <col min="3589" max="3589" width="9.42578125" style="66" bestFit="1" customWidth="1"/>
    <col min="3590" max="3590" width="12" style="66" bestFit="1" customWidth="1"/>
    <col min="3591" max="3592" width="10" style="66" bestFit="1" customWidth="1"/>
    <col min="3593" max="3593" width="14.42578125" style="66" bestFit="1" customWidth="1"/>
    <col min="3594" max="3604" width="0" style="66" hidden="1" customWidth="1"/>
    <col min="3605" max="3833" width="9.140625" style="66"/>
    <col min="3834" max="3834" width="41" style="66" customWidth="1"/>
    <col min="3835" max="3835" width="13.140625" style="66" customWidth="1"/>
    <col min="3836" max="3836" width="10.140625" style="66" customWidth="1"/>
    <col min="3837" max="3837" width="10.42578125" style="66" bestFit="1" customWidth="1"/>
    <col min="3838" max="3839" width="9.42578125" style="66" bestFit="1" customWidth="1"/>
    <col min="3840" max="3840" width="10.140625" style="66" bestFit="1" customWidth="1"/>
    <col min="3841" max="3842" width="9.140625" style="66"/>
    <col min="3843" max="3843" width="7.28515625" style="66" customWidth="1"/>
    <col min="3844" max="3844" width="7.42578125" style="66" customWidth="1"/>
    <col min="3845" max="3845" width="9.42578125" style="66" bestFit="1" customWidth="1"/>
    <col min="3846" max="3846" width="12" style="66" bestFit="1" customWidth="1"/>
    <col min="3847" max="3848" width="10" style="66" bestFit="1" customWidth="1"/>
    <col min="3849" max="3849" width="14.42578125" style="66" bestFit="1" customWidth="1"/>
    <col min="3850" max="3860" width="0" style="66" hidden="1" customWidth="1"/>
    <col min="3861" max="4089" width="9.140625" style="66"/>
    <col min="4090" max="4090" width="41" style="66" customWidth="1"/>
    <col min="4091" max="4091" width="13.140625" style="66" customWidth="1"/>
    <col min="4092" max="4092" width="10.140625" style="66" customWidth="1"/>
    <col min="4093" max="4093" width="10.42578125" style="66" bestFit="1" customWidth="1"/>
    <col min="4094" max="4095" width="9.42578125" style="66" bestFit="1" customWidth="1"/>
    <col min="4096" max="4096" width="10.140625" style="66" bestFit="1" customWidth="1"/>
    <col min="4097" max="4098" width="9.140625" style="66"/>
    <col min="4099" max="4099" width="7.28515625" style="66" customWidth="1"/>
    <col min="4100" max="4100" width="7.42578125" style="66" customWidth="1"/>
    <col min="4101" max="4101" width="9.42578125" style="66" bestFit="1" customWidth="1"/>
    <col min="4102" max="4102" width="12" style="66" bestFit="1" customWidth="1"/>
    <col min="4103" max="4104" width="10" style="66" bestFit="1" customWidth="1"/>
    <col min="4105" max="4105" width="14.42578125" style="66" bestFit="1" customWidth="1"/>
    <col min="4106" max="4116" width="0" style="66" hidden="1" customWidth="1"/>
    <col min="4117" max="4345" width="9.140625" style="66"/>
    <col min="4346" max="4346" width="41" style="66" customWidth="1"/>
    <col min="4347" max="4347" width="13.140625" style="66" customWidth="1"/>
    <col min="4348" max="4348" width="10.140625" style="66" customWidth="1"/>
    <col min="4349" max="4349" width="10.42578125" style="66" bestFit="1" customWidth="1"/>
    <col min="4350" max="4351" width="9.42578125" style="66" bestFit="1" customWidth="1"/>
    <col min="4352" max="4352" width="10.140625" style="66" bestFit="1" customWidth="1"/>
    <col min="4353" max="4354" width="9.140625" style="66"/>
    <col min="4355" max="4355" width="7.28515625" style="66" customWidth="1"/>
    <col min="4356" max="4356" width="7.42578125" style="66" customWidth="1"/>
    <col min="4357" max="4357" width="9.42578125" style="66" bestFit="1" customWidth="1"/>
    <col min="4358" max="4358" width="12" style="66" bestFit="1" customWidth="1"/>
    <col min="4359" max="4360" width="10" style="66" bestFit="1" customWidth="1"/>
    <col min="4361" max="4361" width="14.42578125" style="66" bestFit="1" customWidth="1"/>
    <col min="4362" max="4372" width="0" style="66" hidden="1" customWidth="1"/>
    <col min="4373" max="4601" width="9.140625" style="66"/>
    <col min="4602" max="4602" width="41" style="66" customWidth="1"/>
    <col min="4603" max="4603" width="13.140625" style="66" customWidth="1"/>
    <col min="4604" max="4604" width="10.140625" style="66" customWidth="1"/>
    <col min="4605" max="4605" width="10.42578125" style="66" bestFit="1" customWidth="1"/>
    <col min="4606" max="4607" width="9.42578125" style="66" bestFit="1" customWidth="1"/>
    <col min="4608" max="4608" width="10.140625" style="66" bestFit="1" customWidth="1"/>
    <col min="4609" max="4610" width="9.140625" style="66"/>
    <col min="4611" max="4611" width="7.28515625" style="66" customWidth="1"/>
    <col min="4612" max="4612" width="7.42578125" style="66" customWidth="1"/>
    <col min="4613" max="4613" width="9.42578125" style="66" bestFit="1" customWidth="1"/>
    <col min="4614" max="4614" width="12" style="66" bestFit="1" customWidth="1"/>
    <col min="4615" max="4616" width="10" style="66" bestFit="1" customWidth="1"/>
    <col min="4617" max="4617" width="14.42578125" style="66" bestFit="1" customWidth="1"/>
    <col min="4618" max="4628" width="0" style="66" hidden="1" customWidth="1"/>
    <col min="4629" max="4857" width="9.140625" style="66"/>
    <col min="4858" max="4858" width="41" style="66" customWidth="1"/>
    <col min="4859" max="4859" width="13.140625" style="66" customWidth="1"/>
    <col min="4860" max="4860" width="10.140625" style="66" customWidth="1"/>
    <col min="4861" max="4861" width="10.42578125" style="66" bestFit="1" customWidth="1"/>
    <col min="4862" max="4863" width="9.42578125" style="66" bestFit="1" customWidth="1"/>
    <col min="4864" max="4864" width="10.140625" style="66" bestFit="1" customWidth="1"/>
    <col min="4865" max="4866" width="9.140625" style="66"/>
    <col min="4867" max="4867" width="7.28515625" style="66" customWidth="1"/>
    <col min="4868" max="4868" width="7.42578125" style="66" customWidth="1"/>
    <col min="4869" max="4869" width="9.42578125" style="66" bestFit="1" customWidth="1"/>
    <col min="4870" max="4870" width="12" style="66" bestFit="1" customWidth="1"/>
    <col min="4871" max="4872" width="10" style="66" bestFit="1" customWidth="1"/>
    <col min="4873" max="4873" width="14.42578125" style="66" bestFit="1" customWidth="1"/>
    <col min="4874" max="4884" width="0" style="66" hidden="1" customWidth="1"/>
    <col min="4885" max="5113" width="9.140625" style="66"/>
    <col min="5114" max="5114" width="41" style="66" customWidth="1"/>
    <col min="5115" max="5115" width="13.140625" style="66" customWidth="1"/>
    <col min="5116" max="5116" width="10.140625" style="66" customWidth="1"/>
    <col min="5117" max="5117" width="10.42578125" style="66" bestFit="1" customWidth="1"/>
    <col min="5118" max="5119" width="9.42578125" style="66" bestFit="1" customWidth="1"/>
    <col min="5120" max="5120" width="10.140625" style="66" bestFit="1" customWidth="1"/>
    <col min="5121" max="5122" width="9.140625" style="66"/>
    <col min="5123" max="5123" width="7.28515625" style="66" customWidth="1"/>
    <col min="5124" max="5124" width="7.42578125" style="66" customWidth="1"/>
    <col min="5125" max="5125" width="9.42578125" style="66" bestFit="1" customWidth="1"/>
    <col min="5126" max="5126" width="12" style="66" bestFit="1" customWidth="1"/>
    <col min="5127" max="5128" width="10" style="66" bestFit="1" customWidth="1"/>
    <col min="5129" max="5129" width="14.42578125" style="66" bestFit="1" customWidth="1"/>
    <col min="5130" max="5140" width="0" style="66" hidden="1" customWidth="1"/>
    <col min="5141" max="5369" width="9.140625" style="66"/>
    <col min="5370" max="5370" width="41" style="66" customWidth="1"/>
    <col min="5371" max="5371" width="13.140625" style="66" customWidth="1"/>
    <col min="5372" max="5372" width="10.140625" style="66" customWidth="1"/>
    <col min="5373" max="5373" width="10.42578125" style="66" bestFit="1" customWidth="1"/>
    <col min="5374" max="5375" width="9.42578125" style="66" bestFit="1" customWidth="1"/>
    <col min="5376" max="5376" width="10.140625" style="66" bestFit="1" customWidth="1"/>
    <col min="5377" max="5378" width="9.140625" style="66"/>
    <col min="5379" max="5379" width="7.28515625" style="66" customWidth="1"/>
    <col min="5380" max="5380" width="7.42578125" style="66" customWidth="1"/>
    <col min="5381" max="5381" width="9.42578125" style="66" bestFit="1" customWidth="1"/>
    <col min="5382" max="5382" width="12" style="66" bestFit="1" customWidth="1"/>
    <col min="5383" max="5384" width="10" style="66" bestFit="1" customWidth="1"/>
    <col min="5385" max="5385" width="14.42578125" style="66" bestFit="1" customWidth="1"/>
    <col min="5386" max="5396" width="0" style="66" hidden="1" customWidth="1"/>
    <col min="5397" max="5625" width="9.140625" style="66"/>
    <col min="5626" max="5626" width="41" style="66" customWidth="1"/>
    <col min="5627" max="5627" width="13.140625" style="66" customWidth="1"/>
    <col min="5628" max="5628" width="10.140625" style="66" customWidth="1"/>
    <col min="5629" max="5629" width="10.42578125" style="66" bestFit="1" customWidth="1"/>
    <col min="5630" max="5631" width="9.42578125" style="66" bestFit="1" customWidth="1"/>
    <col min="5632" max="5632" width="10.140625" style="66" bestFit="1" customWidth="1"/>
    <col min="5633" max="5634" width="9.140625" style="66"/>
    <col min="5635" max="5635" width="7.28515625" style="66" customWidth="1"/>
    <col min="5636" max="5636" width="7.42578125" style="66" customWidth="1"/>
    <col min="5637" max="5637" width="9.42578125" style="66" bestFit="1" customWidth="1"/>
    <col min="5638" max="5638" width="12" style="66" bestFit="1" customWidth="1"/>
    <col min="5639" max="5640" width="10" style="66" bestFit="1" customWidth="1"/>
    <col min="5641" max="5641" width="14.42578125" style="66" bestFit="1" customWidth="1"/>
    <col min="5642" max="5652" width="0" style="66" hidden="1" customWidth="1"/>
    <col min="5653" max="5881" width="9.140625" style="66"/>
    <col min="5882" max="5882" width="41" style="66" customWidth="1"/>
    <col min="5883" max="5883" width="13.140625" style="66" customWidth="1"/>
    <col min="5884" max="5884" width="10.140625" style="66" customWidth="1"/>
    <col min="5885" max="5885" width="10.42578125" style="66" bestFit="1" customWidth="1"/>
    <col min="5886" max="5887" width="9.42578125" style="66" bestFit="1" customWidth="1"/>
    <col min="5888" max="5888" width="10.140625" style="66" bestFit="1" customWidth="1"/>
    <col min="5889" max="5890" width="9.140625" style="66"/>
    <col min="5891" max="5891" width="7.28515625" style="66" customWidth="1"/>
    <col min="5892" max="5892" width="7.42578125" style="66" customWidth="1"/>
    <col min="5893" max="5893" width="9.42578125" style="66" bestFit="1" customWidth="1"/>
    <col min="5894" max="5894" width="12" style="66" bestFit="1" customWidth="1"/>
    <col min="5895" max="5896" width="10" style="66" bestFit="1" customWidth="1"/>
    <col min="5897" max="5897" width="14.42578125" style="66" bestFit="1" customWidth="1"/>
    <col min="5898" max="5908" width="0" style="66" hidden="1" customWidth="1"/>
    <col min="5909" max="6137" width="9.140625" style="66"/>
    <col min="6138" max="6138" width="41" style="66" customWidth="1"/>
    <col min="6139" max="6139" width="13.140625" style="66" customWidth="1"/>
    <col min="6140" max="6140" width="10.140625" style="66" customWidth="1"/>
    <col min="6141" max="6141" width="10.42578125" style="66" bestFit="1" customWidth="1"/>
    <col min="6142" max="6143" width="9.42578125" style="66" bestFit="1" customWidth="1"/>
    <col min="6144" max="6144" width="10.140625" style="66" bestFit="1" customWidth="1"/>
    <col min="6145" max="6146" width="9.140625" style="66"/>
    <col min="6147" max="6147" width="7.28515625" style="66" customWidth="1"/>
    <col min="6148" max="6148" width="7.42578125" style="66" customWidth="1"/>
    <col min="6149" max="6149" width="9.42578125" style="66" bestFit="1" customWidth="1"/>
    <col min="6150" max="6150" width="12" style="66" bestFit="1" customWidth="1"/>
    <col min="6151" max="6152" width="10" style="66" bestFit="1" customWidth="1"/>
    <col min="6153" max="6153" width="14.42578125" style="66" bestFit="1" customWidth="1"/>
    <col min="6154" max="6164" width="0" style="66" hidden="1" customWidth="1"/>
    <col min="6165" max="6393" width="9.140625" style="66"/>
    <col min="6394" max="6394" width="41" style="66" customWidth="1"/>
    <col min="6395" max="6395" width="13.140625" style="66" customWidth="1"/>
    <col min="6396" max="6396" width="10.140625" style="66" customWidth="1"/>
    <col min="6397" max="6397" width="10.42578125" style="66" bestFit="1" customWidth="1"/>
    <col min="6398" max="6399" width="9.42578125" style="66" bestFit="1" customWidth="1"/>
    <col min="6400" max="6400" width="10.140625" style="66" bestFit="1" customWidth="1"/>
    <col min="6401" max="6402" width="9.140625" style="66"/>
    <col min="6403" max="6403" width="7.28515625" style="66" customWidth="1"/>
    <col min="6404" max="6404" width="7.42578125" style="66" customWidth="1"/>
    <col min="6405" max="6405" width="9.42578125" style="66" bestFit="1" customWidth="1"/>
    <col min="6406" max="6406" width="12" style="66" bestFit="1" customWidth="1"/>
    <col min="6407" max="6408" width="10" style="66" bestFit="1" customWidth="1"/>
    <col min="6409" max="6409" width="14.42578125" style="66" bestFit="1" customWidth="1"/>
    <col min="6410" max="6420" width="0" style="66" hidden="1" customWidth="1"/>
    <col min="6421" max="6649" width="9.140625" style="66"/>
    <col min="6650" max="6650" width="41" style="66" customWidth="1"/>
    <col min="6651" max="6651" width="13.140625" style="66" customWidth="1"/>
    <col min="6652" max="6652" width="10.140625" style="66" customWidth="1"/>
    <col min="6653" max="6653" width="10.42578125" style="66" bestFit="1" customWidth="1"/>
    <col min="6654" max="6655" width="9.42578125" style="66" bestFit="1" customWidth="1"/>
    <col min="6656" max="6656" width="10.140625" style="66" bestFit="1" customWidth="1"/>
    <col min="6657" max="6658" width="9.140625" style="66"/>
    <col min="6659" max="6659" width="7.28515625" style="66" customWidth="1"/>
    <col min="6660" max="6660" width="7.42578125" style="66" customWidth="1"/>
    <col min="6661" max="6661" width="9.42578125" style="66" bestFit="1" customWidth="1"/>
    <col min="6662" max="6662" width="12" style="66" bestFit="1" customWidth="1"/>
    <col min="6663" max="6664" width="10" style="66" bestFit="1" customWidth="1"/>
    <col min="6665" max="6665" width="14.42578125" style="66" bestFit="1" customWidth="1"/>
    <col min="6666" max="6676" width="0" style="66" hidden="1" customWidth="1"/>
    <col min="6677" max="6905" width="9.140625" style="66"/>
    <col min="6906" max="6906" width="41" style="66" customWidth="1"/>
    <col min="6907" max="6907" width="13.140625" style="66" customWidth="1"/>
    <col min="6908" max="6908" width="10.140625" style="66" customWidth="1"/>
    <col min="6909" max="6909" width="10.42578125" style="66" bestFit="1" customWidth="1"/>
    <col min="6910" max="6911" width="9.42578125" style="66" bestFit="1" customWidth="1"/>
    <col min="6912" max="6912" width="10.140625" style="66" bestFit="1" customWidth="1"/>
    <col min="6913" max="6914" width="9.140625" style="66"/>
    <col min="6915" max="6915" width="7.28515625" style="66" customWidth="1"/>
    <col min="6916" max="6916" width="7.42578125" style="66" customWidth="1"/>
    <col min="6917" max="6917" width="9.42578125" style="66" bestFit="1" customWidth="1"/>
    <col min="6918" max="6918" width="12" style="66" bestFit="1" customWidth="1"/>
    <col min="6919" max="6920" width="10" style="66" bestFit="1" customWidth="1"/>
    <col min="6921" max="6921" width="14.42578125" style="66" bestFit="1" customWidth="1"/>
    <col min="6922" max="6932" width="0" style="66" hidden="1" customWidth="1"/>
    <col min="6933" max="7161" width="9.140625" style="66"/>
    <col min="7162" max="7162" width="41" style="66" customWidth="1"/>
    <col min="7163" max="7163" width="13.140625" style="66" customWidth="1"/>
    <col min="7164" max="7164" width="10.140625" style="66" customWidth="1"/>
    <col min="7165" max="7165" width="10.42578125" style="66" bestFit="1" customWidth="1"/>
    <col min="7166" max="7167" width="9.42578125" style="66" bestFit="1" customWidth="1"/>
    <col min="7168" max="7168" width="10.140625" style="66" bestFit="1" customWidth="1"/>
    <col min="7169" max="7170" width="9.140625" style="66"/>
    <col min="7171" max="7171" width="7.28515625" style="66" customWidth="1"/>
    <col min="7172" max="7172" width="7.42578125" style="66" customWidth="1"/>
    <col min="7173" max="7173" width="9.42578125" style="66" bestFit="1" customWidth="1"/>
    <col min="7174" max="7174" width="12" style="66" bestFit="1" customWidth="1"/>
    <col min="7175" max="7176" width="10" style="66" bestFit="1" customWidth="1"/>
    <col min="7177" max="7177" width="14.42578125" style="66" bestFit="1" customWidth="1"/>
    <col min="7178" max="7188" width="0" style="66" hidden="1" customWidth="1"/>
    <col min="7189" max="7417" width="9.140625" style="66"/>
    <col min="7418" max="7418" width="41" style="66" customWidth="1"/>
    <col min="7419" max="7419" width="13.140625" style="66" customWidth="1"/>
    <col min="7420" max="7420" width="10.140625" style="66" customWidth="1"/>
    <col min="7421" max="7421" width="10.42578125" style="66" bestFit="1" customWidth="1"/>
    <col min="7422" max="7423" width="9.42578125" style="66" bestFit="1" customWidth="1"/>
    <col min="7424" max="7424" width="10.140625" style="66" bestFit="1" customWidth="1"/>
    <col min="7425" max="7426" width="9.140625" style="66"/>
    <col min="7427" max="7427" width="7.28515625" style="66" customWidth="1"/>
    <col min="7428" max="7428" width="7.42578125" style="66" customWidth="1"/>
    <col min="7429" max="7429" width="9.42578125" style="66" bestFit="1" customWidth="1"/>
    <col min="7430" max="7430" width="12" style="66" bestFit="1" customWidth="1"/>
    <col min="7431" max="7432" width="10" style="66" bestFit="1" customWidth="1"/>
    <col min="7433" max="7433" width="14.42578125" style="66" bestFit="1" customWidth="1"/>
    <col min="7434" max="7444" width="0" style="66" hidden="1" customWidth="1"/>
    <col min="7445" max="7673" width="9.140625" style="66"/>
    <col min="7674" max="7674" width="41" style="66" customWidth="1"/>
    <col min="7675" max="7675" width="13.140625" style="66" customWidth="1"/>
    <col min="7676" max="7676" width="10.140625" style="66" customWidth="1"/>
    <col min="7677" max="7677" width="10.42578125" style="66" bestFit="1" customWidth="1"/>
    <col min="7678" max="7679" width="9.42578125" style="66" bestFit="1" customWidth="1"/>
    <col min="7680" max="7680" width="10.140625" style="66" bestFit="1" customWidth="1"/>
    <col min="7681" max="7682" width="9.140625" style="66"/>
    <col min="7683" max="7683" width="7.28515625" style="66" customWidth="1"/>
    <col min="7684" max="7684" width="7.42578125" style="66" customWidth="1"/>
    <col min="7685" max="7685" width="9.42578125" style="66" bestFit="1" customWidth="1"/>
    <col min="7686" max="7686" width="12" style="66" bestFit="1" customWidth="1"/>
    <col min="7687" max="7688" width="10" style="66" bestFit="1" customWidth="1"/>
    <col min="7689" max="7689" width="14.42578125" style="66" bestFit="1" customWidth="1"/>
    <col min="7690" max="7700" width="0" style="66" hidden="1" customWidth="1"/>
    <col min="7701" max="7929" width="9.140625" style="66"/>
    <col min="7930" max="7930" width="41" style="66" customWidth="1"/>
    <col min="7931" max="7931" width="13.140625" style="66" customWidth="1"/>
    <col min="7932" max="7932" width="10.140625" style="66" customWidth="1"/>
    <col min="7933" max="7933" width="10.42578125" style="66" bestFit="1" customWidth="1"/>
    <col min="7934" max="7935" width="9.42578125" style="66" bestFit="1" customWidth="1"/>
    <col min="7936" max="7936" width="10.140625" style="66" bestFit="1" customWidth="1"/>
    <col min="7937" max="7938" width="9.140625" style="66"/>
    <col min="7939" max="7939" width="7.28515625" style="66" customWidth="1"/>
    <col min="7940" max="7940" width="7.42578125" style="66" customWidth="1"/>
    <col min="7941" max="7941" width="9.42578125" style="66" bestFit="1" customWidth="1"/>
    <col min="7942" max="7942" width="12" style="66" bestFit="1" customWidth="1"/>
    <col min="7943" max="7944" width="10" style="66" bestFit="1" customWidth="1"/>
    <col min="7945" max="7945" width="14.42578125" style="66" bestFit="1" customWidth="1"/>
    <col min="7946" max="7956" width="0" style="66" hidden="1" customWidth="1"/>
    <col min="7957" max="8185" width="9.140625" style="66"/>
    <col min="8186" max="8186" width="41" style="66" customWidth="1"/>
    <col min="8187" max="8187" width="13.140625" style="66" customWidth="1"/>
    <col min="8188" max="8188" width="10.140625" style="66" customWidth="1"/>
    <col min="8189" max="8189" width="10.42578125" style="66" bestFit="1" customWidth="1"/>
    <col min="8190" max="8191" width="9.42578125" style="66" bestFit="1" customWidth="1"/>
    <col min="8192" max="8192" width="10.140625" style="66" bestFit="1" customWidth="1"/>
    <col min="8193" max="8194" width="9.140625" style="66"/>
    <col min="8195" max="8195" width="7.28515625" style="66" customWidth="1"/>
    <col min="8196" max="8196" width="7.42578125" style="66" customWidth="1"/>
    <col min="8197" max="8197" width="9.42578125" style="66" bestFit="1" customWidth="1"/>
    <col min="8198" max="8198" width="12" style="66" bestFit="1" customWidth="1"/>
    <col min="8199" max="8200" width="10" style="66" bestFit="1" customWidth="1"/>
    <col min="8201" max="8201" width="14.42578125" style="66" bestFit="1" customWidth="1"/>
    <col min="8202" max="8212" width="0" style="66" hidden="1" customWidth="1"/>
    <col min="8213" max="8441" width="9.140625" style="66"/>
    <col min="8442" max="8442" width="41" style="66" customWidth="1"/>
    <col min="8443" max="8443" width="13.140625" style="66" customWidth="1"/>
    <col min="8444" max="8444" width="10.140625" style="66" customWidth="1"/>
    <col min="8445" max="8445" width="10.42578125" style="66" bestFit="1" customWidth="1"/>
    <col min="8446" max="8447" width="9.42578125" style="66" bestFit="1" customWidth="1"/>
    <col min="8448" max="8448" width="10.140625" style="66" bestFit="1" customWidth="1"/>
    <col min="8449" max="8450" width="9.140625" style="66"/>
    <col min="8451" max="8451" width="7.28515625" style="66" customWidth="1"/>
    <col min="8452" max="8452" width="7.42578125" style="66" customWidth="1"/>
    <col min="8453" max="8453" width="9.42578125" style="66" bestFit="1" customWidth="1"/>
    <col min="8454" max="8454" width="12" style="66" bestFit="1" customWidth="1"/>
    <col min="8455" max="8456" width="10" style="66" bestFit="1" customWidth="1"/>
    <col min="8457" max="8457" width="14.42578125" style="66" bestFit="1" customWidth="1"/>
    <col min="8458" max="8468" width="0" style="66" hidden="1" customWidth="1"/>
    <col min="8469" max="8697" width="9.140625" style="66"/>
    <col min="8698" max="8698" width="41" style="66" customWidth="1"/>
    <col min="8699" max="8699" width="13.140625" style="66" customWidth="1"/>
    <col min="8700" max="8700" width="10.140625" style="66" customWidth="1"/>
    <col min="8701" max="8701" width="10.42578125" style="66" bestFit="1" customWidth="1"/>
    <col min="8702" max="8703" width="9.42578125" style="66" bestFit="1" customWidth="1"/>
    <col min="8704" max="8704" width="10.140625" style="66" bestFit="1" customWidth="1"/>
    <col min="8705" max="8706" width="9.140625" style="66"/>
    <col min="8707" max="8707" width="7.28515625" style="66" customWidth="1"/>
    <col min="8708" max="8708" width="7.42578125" style="66" customWidth="1"/>
    <col min="8709" max="8709" width="9.42578125" style="66" bestFit="1" customWidth="1"/>
    <col min="8710" max="8710" width="12" style="66" bestFit="1" customWidth="1"/>
    <col min="8711" max="8712" width="10" style="66" bestFit="1" customWidth="1"/>
    <col min="8713" max="8713" width="14.42578125" style="66" bestFit="1" customWidth="1"/>
    <col min="8714" max="8724" width="0" style="66" hidden="1" customWidth="1"/>
    <col min="8725" max="8953" width="9.140625" style="66"/>
    <col min="8954" max="8954" width="41" style="66" customWidth="1"/>
    <col min="8955" max="8955" width="13.140625" style="66" customWidth="1"/>
    <col min="8956" max="8956" width="10.140625" style="66" customWidth="1"/>
    <col min="8957" max="8957" width="10.42578125" style="66" bestFit="1" customWidth="1"/>
    <col min="8958" max="8959" width="9.42578125" style="66" bestFit="1" customWidth="1"/>
    <col min="8960" max="8960" width="10.140625" style="66" bestFit="1" customWidth="1"/>
    <col min="8961" max="8962" width="9.140625" style="66"/>
    <col min="8963" max="8963" width="7.28515625" style="66" customWidth="1"/>
    <col min="8964" max="8964" width="7.42578125" style="66" customWidth="1"/>
    <col min="8965" max="8965" width="9.42578125" style="66" bestFit="1" customWidth="1"/>
    <col min="8966" max="8966" width="12" style="66" bestFit="1" customWidth="1"/>
    <col min="8967" max="8968" width="10" style="66" bestFit="1" customWidth="1"/>
    <col min="8969" max="8969" width="14.42578125" style="66" bestFit="1" customWidth="1"/>
    <col min="8970" max="8980" width="0" style="66" hidden="1" customWidth="1"/>
    <col min="8981" max="9209" width="9.140625" style="66"/>
    <col min="9210" max="9210" width="41" style="66" customWidth="1"/>
    <col min="9211" max="9211" width="13.140625" style="66" customWidth="1"/>
    <col min="9212" max="9212" width="10.140625" style="66" customWidth="1"/>
    <col min="9213" max="9213" width="10.42578125" style="66" bestFit="1" customWidth="1"/>
    <col min="9214" max="9215" width="9.42578125" style="66" bestFit="1" customWidth="1"/>
    <col min="9216" max="9216" width="10.140625" style="66" bestFit="1" customWidth="1"/>
    <col min="9217" max="9218" width="9.140625" style="66"/>
    <col min="9219" max="9219" width="7.28515625" style="66" customWidth="1"/>
    <col min="9220" max="9220" width="7.42578125" style="66" customWidth="1"/>
    <col min="9221" max="9221" width="9.42578125" style="66" bestFit="1" customWidth="1"/>
    <col min="9222" max="9222" width="12" style="66" bestFit="1" customWidth="1"/>
    <col min="9223" max="9224" width="10" style="66" bestFit="1" customWidth="1"/>
    <col min="9225" max="9225" width="14.42578125" style="66" bestFit="1" customWidth="1"/>
    <col min="9226" max="9236" width="0" style="66" hidden="1" customWidth="1"/>
    <col min="9237" max="9465" width="9.140625" style="66"/>
    <col min="9466" max="9466" width="41" style="66" customWidth="1"/>
    <col min="9467" max="9467" width="13.140625" style="66" customWidth="1"/>
    <col min="9468" max="9468" width="10.140625" style="66" customWidth="1"/>
    <col min="9469" max="9469" width="10.42578125" style="66" bestFit="1" customWidth="1"/>
    <col min="9470" max="9471" width="9.42578125" style="66" bestFit="1" customWidth="1"/>
    <col min="9472" max="9472" width="10.140625" style="66" bestFit="1" customWidth="1"/>
    <col min="9473" max="9474" width="9.140625" style="66"/>
    <col min="9475" max="9475" width="7.28515625" style="66" customWidth="1"/>
    <col min="9476" max="9476" width="7.42578125" style="66" customWidth="1"/>
    <col min="9477" max="9477" width="9.42578125" style="66" bestFit="1" customWidth="1"/>
    <col min="9478" max="9478" width="12" style="66" bestFit="1" customWidth="1"/>
    <col min="9479" max="9480" width="10" style="66" bestFit="1" customWidth="1"/>
    <col min="9481" max="9481" width="14.42578125" style="66" bestFit="1" customWidth="1"/>
    <col min="9482" max="9492" width="0" style="66" hidden="1" customWidth="1"/>
    <col min="9493" max="9721" width="9.140625" style="66"/>
    <col min="9722" max="9722" width="41" style="66" customWidth="1"/>
    <col min="9723" max="9723" width="13.140625" style="66" customWidth="1"/>
    <col min="9724" max="9724" width="10.140625" style="66" customWidth="1"/>
    <col min="9725" max="9725" width="10.42578125" style="66" bestFit="1" customWidth="1"/>
    <col min="9726" max="9727" width="9.42578125" style="66" bestFit="1" customWidth="1"/>
    <col min="9728" max="9728" width="10.140625" style="66" bestFit="1" customWidth="1"/>
    <col min="9729" max="9730" width="9.140625" style="66"/>
    <col min="9731" max="9731" width="7.28515625" style="66" customWidth="1"/>
    <col min="9732" max="9732" width="7.42578125" style="66" customWidth="1"/>
    <col min="9733" max="9733" width="9.42578125" style="66" bestFit="1" customWidth="1"/>
    <col min="9734" max="9734" width="12" style="66" bestFit="1" customWidth="1"/>
    <col min="9735" max="9736" width="10" style="66" bestFit="1" customWidth="1"/>
    <col min="9737" max="9737" width="14.42578125" style="66" bestFit="1" customWidth="1"/>
    <col min="9738" max="9748" width="0" style="66" hidden="1" customWidth="1"/>
    <col min="9749" max="9977" width="9.140625" style="66"/>
    <col min="9978" max="9978" width="41" style="66" customWidth="1"/>
    <col min="9979" max="9979" width="13.140625" style="66" customWidth="1"/>
    <col min="9980" max="9980" width="10.140625" style="66" customWidth="1"/>
    <col min="9981" max="9981" width="10.42578125" style="66" bestFit="1" customWidth="1"/>
    <col min="9982" max="9983" width="9.42578125" style="66" bestFit="1" customWidth="1"/>
    <col min="9984" max="9984" width="10.140625" style="66" bestFit="1" customWidth="1"/>
    <col min="9985" max="9986" width="9.140625" style="66"/>
    <col min="9987" max="9987" width="7.28515625" style="66" customWidth="1"/>
    <col min="9988" max="9988" width="7.42578125" style="66" customWidth="1"/>
    <col min="9989" max="9989" width="9.42578125" style="66" bestFit="1" customWidth="1"/>
    <col min="9990" max="9990" width="12" style="66" bestFit="1" customWidth="1"/>
    <col min="9991" max="9992" width="10" style="66" bestFit="1" customWidth="1"/>
    <col min="9993" max="9993" width="14.42578125" style="66" bestFit="1" customWidth="1"/>
    <col min="9994" max="10004" width="0" style="66" hidden="1" customWidth="1"/>
    <col min="10005" max="10233" width="9.140625" style="66"/>
    <col min="10234" max="10234" width="41" style="66" customWidth="1"/>
    <col min="10235" max="10235" width="13.140625" style="66" customWidth="1"/>
    <col min="10236" max="10236" width="10.140625" style="66" customWidth="1"/>
    <col min="10237" max="10237" width="10.42578125" style="66" bestFit="1" customWidth="1"/>
    <col min="10238" max="10239" width="9.42578125" style="66" bestFit="1" customWidth="1"/>
    <col min="10240" max="10240" width="10.140625" style="66" bestFit="1" customWidth="1"/>
    <col min="10241" max="10242" width="9.140625" style="66"/>
    <col min="10243" max="10243" width="7.28515625" style="66" customWidth="1"/>
    <col min="10244" max="10244" width="7.42578125" style="66" customWidth="1"/>
    <col min="10245" max="10245" width="9.42578125" style="66" bestFit="1" customWidth="1"/>
    <col min="10246" max="10246" width="12" style="66" bestFit="1" customWidth="1"/>
    <col min="10247" max="10248" width="10" style="66" bestFit="1" customWidth="1"/>
    <col min="10249" max="10249" width="14.42578125" style="66" bestFit="1" customWidth="1"/>
    <col min="10250" max="10260" width="0" style="66" hidden="1" customWidth="1"/>
    <col min="10261" max="10489" width="9.140625" style="66"/>
    <col min="10490" max="10490" width="41" style="66" customWidth="1"/>
    <col min="10491" max="10491" width="13.140625" style="66" customWidth="1"/>
    <col min="10492" max="10492" width="10.140625" style="66" customWidth="1"/>
    <col min="10493" max="10493" width="10.42578125" style="66" bestFit="1" customWidth="1"/>
    <col min="10494" max="10495" width="9.42578125" style="66" bestFit="1" customWidth="1"/>
    <col min="10496" max="10496" width="10.140625" style="66" bestFit="1" customWidth="1"/>
    <col min="10497" max="10498" width="9.140625" style="66"/>
    <col min="10499" max="10499" width="7.28515625" style="66" customWidth="1"/>
    <col min="10500" max="10500" width="7.42578125" style="66" customWidth="1"/>
    <col min="10501" max="10501" width="9.42578125" style="66" bestFit="1" customWidth="1"/>
    <col min="10502" max="10502" width="12" style="66" bestFit="1" customWidth="1"/>
    <col min="10503" max="10504" width="10" style="66" bestFit="1" customWidth="1"/>
    <col min="10505" max="10505" width="14.42578125" style="66" bestFit="1" customWidth="1"/>
    <col min="10506" max="10516" width="0" style="66" hidden="1" customWidth="1"/>
    <col min="10517" max="10745" width="9.140625" style="66"/>
    <col min="10746" max="10746" width="41" style="66" customWidth="1"/>
    <col min="10747" max="10747" width="13.140625" style="66" customWidth="1"/>
    <col min="10748" max="10748" width="10.140625" style="66" customWidth="1"/>
    <col min="10749" max="10749" width="10.42578125" style="66" bestFit="1" customWidth="1"/>
    <col min="10750" max="10751" width="9.42578125" style="66" bestFit="1" customWidth="1"/>
    <col min="10752" max="10752" width="10.140625" style="66" bestFit="1" customWidth="1"/>
    <col min="10753" max="10754" width="9.140625" style="66"/>
    <col min="10755" max="10755" width="7.28515625" style="66" customWidth="1"/>
    <col min="10756" max="10756" width="7.42578125" style="66" customWidth="1"/>
    <col min="10757" max="10757" width="9.42578125" style="66" bestFit="1" customWidth="1"/>
    <col min="10758" max="10758" width="12" style="66" bestFit="1" customWidth="1"/>
    <col min="10759" max="10760" width="10" style="66" bestFit="1" customWidth="1"/>
    <col min="10761" max="10761" width="14.42578125" style="66" bestFit="1" customWidth="1"/>
    <col min="10762" max="10772" width="0" style="66" hidden="1" customWidth="1"/>
    <col min="10773" max="11001" width="9.140625" style="66"/>
    <col min="11002" max="11002" width="41" style="66" customWidth="1"/>
    <col min="11003" max="11003" width="13.140625" style="66" customWidth="1"/>
    <col min="11004" max="11004" width="10.140625" style="66" customWidth="1"/>
    <col min="11005" max="11005" width="10.42578125" style="66" bestFit="1" customWidth="1"/>
    <col min="11006" max="11007" width="9.42578125" style="66" bestFit="1" customWidth="1"/>
    <col min="11008" max="11008" width="10.140625" style="66" bestFit="1" customWidth="1"/>
    <col min="11009" max="11010" width="9.140625" style="66"/>
    <col min="11011" max="11011" width="7.28515625" style="66" customWidth="1"/>
    <col min="11012" max="11012" width="7.42578125" style="66" customWidth="1"/>
    <col min="11013" max="11013" width="9.42578125" style="66" bestFit="1" customWidth="1"/>
    <col min="11014" max="11014" width="12" style="66" bestFit="1" customWidth="1"/>
    <col min="11015" max="11016" width="10" style="66" bestFit="1" customWidth="1"/>
    <col min="11017" max="11017" width="14.42578125" style="66" bestFit="1" customWidth="1"/>
    <col min="11018" max="11028" width="0" style="66" hidden="1" customWidth="1"/>
    <col min="11029" max="11257" width="9.140625" style="66"/>
    <col min="11258" max="11258" width="41" style="66" customWidth="1"/>
    <col min="11259" max="11259" width="13.140625" style="66" customWidth="1"/>
    <col min="11260" max="11260" width="10.140625" style="66" customWidth="1"/>
    <col min="11261" max="11261" width="10.42578125" style="66" bestFit="1" customWidth="1"/>
    <col min="11262" max="11263" width="9.42578125" style="66" bestFit="1" customWidth="1"/>
    <col min="11264" max="11264" width="10.140625" style="66" bestFit="1" customWidth="1"/>
    <col min="11265" max="11266" width="9.140625" style="66"/>
    <col min="11267" max="11267" width="7.28515625" style="66" customWidth="1"/>
    <col min="11268" max="11268" width="7.42578125" style="66" customWidth="1"/>
    <col min="11269" max="11269" width="9.42578125" style="66" bestFit="1" customWidth="1"/>
    <col min="11270" max="11270" width="12" style="66" bestFit="1" customWidth="1"/>
    <col min="11271" max="11272" width="10" style="66" bestFit="1" customWidth="1"/>
    <col min="11273" max="11273" width="14.42578125" style="66" bestFit="1" customWidth="1"/>
    <col min="11274" max="11284" width="0" style="66" hidden="1" customWidth="1"/>
    <col min="11285" max="11513" width="9.140625" style="66"/>
    <col min="11514" max="11514" width="41" style="66" customWidth="1"/>
    <col min="11515" max="11515" width="13.140625" style="66" customWidth="1"/>
    <col min="11516" max="11516" width="10.140625" style="66" customWidth="1"/>
    <col min="11517" max="11517" width="10.42578125" style="66" bestFit="1" customWidth="1"/>
    <col min="11518" max="11519" width="9.42578125" style="66" bestFit="1" customWidth="1"/>
    <col min="11520" max="11520" width="10.140625" style="66" bestFit="1" customWidth="1"/>
    <col min="11521" max="11522" width="9.140625" style="66"/>
    <col min="11523" max="11523" width="7.28515625" style="66" customWidth="1"/>
    <col min="11524" max="11524" width="7.42578125" style="66" customWidth="1"/>
    <col min="11525" max="11525" width="9.42578125" style="66" bestFit="1" customWidth="1"/>
    <col min="11526" max="11526" width="12" style="66" bestFit="1" customWidth="1"/>
    <col min="11527" max="11528" width="10" style="66" bestFit="1" customWidth="1"/>
    <col min="11529" max="11529" width="14.42578125" style="66" bestFit="1" customWidth="1"/>
    <col min="11530" max="11540" width="0" style="66" hidden="1" customWidth="1"/>
    <col min="11541" max="11769" width="9.140625" style="66"/>
    <col min="11770" max="11770" width="41" style="66" customWidth="1"/>
    <col min="11771" max="11771" width="13.140625" style="66" customWidth="1"/>
    <col min="11772" max="11772" width="10.140625" style="66" customWidth="1"/>
    <col min="11773" max="11773" width="10.42578125" style="66" bestFit="1" customWidth="1"/>
    <col min="11774" max="11775" width="9.42578125" style="66" bestFit="1" customWidth="1"/>
    <col min="11776" max="11776" width="10.140625" style="66" bestFit="1" customWidth="1"/>
    <col min="11777" max="11778" width="9.140625" style="66"/>
    <col min="11779" max="11779" width="7.28515625" style="66" customWidth="1"/>
    <col min="11780" max="11780" width="7.42578125" style="66" customWidth="1"/>
    <col min="11781" max="11781" width="9.42578125" style="66" bestFit="1" customWidth="1"/>
    <col min="11782" max="11782" width="12" style="66" bestFit="1" customWidth="1"/>
    <col min="11783" max="11784" width="10" style="66" bestFit="1" customWidth="1"/>
    <col min="11785" max="11785" width="14.42578125" style="66" bestFit="1" customWidth="1"/>
    <col min="11786" max="11796" width="0" style="66" hidden="1" customWidth="1"/>
    <col min="11797" max="12025" width="9.140625" style="66"/>
    <col min="12026" max="12026" width="41" style="66" customWidth="1"/>
    <col min="12027" max="12027" width="13.140625" style="66" customWidth="1"/>
    <col min="12028" max="12028" width="10.140625" style="66" customWidth="1"/>
    <col min="12029" max="12029" width="10.42578125" style="66" bestFit="1" customWidth="1"/>
    <col min="12030" max="12031" width="9.42578125" style="66" bestFit="1" customWidth="1"/>
    <col min="12032" max="12032" width="10.140625" style="66" bestFit="1" customWidth="1"/>
    <col min="12033" max="12034" width="9.140625" style="66"/>
    <col min="12035" max="12035" width="7.28515625" style="66" customWidth="1"/>
    <col min="12036" max="12036" width="7.42578125" style="66" customWidth="1"/>
    <col min="12037" max="12037" width="9.42578125" style="66" bestFit="1" customWidth="1"/>
    <col min="12038" max="12038" width="12" style="66" bestFit="1" customWidth="1"/>
    <col min="12039" max="12040" width="10" style="66" bestFit="1" customWidth="1"/>
    <col min="12041" max="12041" width="14.42578125" style="66" bestFit="1" customWidth="1"/>
    <col min="12042" max="12052" width="0" style="66" hidden="1" customWidth="1"/>
    <col min="12053" max="12281" width="9.140625" style="66"/>
    <col min="12282" max="12282" width="41" style="66" customWidth="1"/>
    <col min="12283" max="12283" width="13.140625" style="66" customWidth="1"/>
    <col min="12284" max="12284" width="10.140625" style="66" customWidth="1"/>
    <col min="12285" max="12285" width="10.42578125" style="66" bestFit="1" customWidth="1"/>
    <col min="12286" max="12287" width="9.42578125" style="66" bestFit="1" customWidth="1"/>
    <col min="12288" max="12288" width="10.140625" style="66" bestFit="1" customWidth="1"/>
    <col min="12289" max="12290" width="9.140625" style="66"/>
    <col min="12291" max="12291" width="7.28515625" style="66" customWidth="1"/>
    <col min="12292" max="12292" width="7.42578125" style="66" customWidth="1"/>
    <col min="12293" max="12293" width="9.42578125" style="66" bestFit="1" customWidth="1"/>
    <col min="12294" max="12294" width="12" style="66" bestFit="1" customWidth="1"/>
    <col min="12295" max="12296" width="10" style="66" bestFit="1" customWidth="1"/>
    <col min="12297" max="12297" width="14.42578125" style="66" bestFit="1" customWidth="1"/>
    <col min="12298" max="12308" width="0" style="66" hidden="1" customWidth="1"/>
    <col min="12309" max="12537" width="9.140625" style="66"/>
    <col min="12538" max="12538" width="41" style="66" customWidth="1"/>
    <col min="12539" max="12539" width="13.140625" style="66" customWidth="1"/>
    <col min="12540" max="12540" width="10.140625" style="66" customWidth="1"/>
    <col min="12541" max="12541" width="10.42578125" style="66" bestFit="1" customWidth="1"/>
    <col min="12542" max="12543" width="9.42578125" style="66" bestFit="1" customWidth="1"/>
    <col min="12544" max="12544" width="10.140625" style="66" bestFit="1" customWidth="1"/>
    <col min="12545" max="12546" width="9.140625" style="66"/>
    <col min="12547" max="12547" width="7.28515625" style="66" customWidth="1"/>
    <col min="12548" max="12548" width="7.42578125" style="66" customWidth="1"/>
    <col min="12549" max="12549" width="9.42578125" style="66" bestFit="1" customWidth="1"/>
    <col min="12550" max="12550" width="12" style="66" bestFit="1" customWidth="1"/>
    <col min="12551" max="12552" width="10" style="66" bestFit="1" customWidth="1"/>
    <col min="12553" max="12553" width="14.42578125" style="66" bestFit="1" customWidth="1"/>
    <col min="12554" max="12564" width="0" style="66" hidden="1" customWidth="1"/>
    <col min="12565" max="12793" width="9.140625" style="66"/>
    <col min="12794" max="12794" width="41" style="66" customWidth="1"/>
    <col min="12795" max="12795" width="13.140625" style="66" customWidth="1"/>
    <col min="12796" max="12796" width="10.140625" style="66" customWidth="1"/>
    <col min="12797" max="12797" width="10.42578125" style="66" bestFit="1" customWidth="1"/>
    <col min="12798" max="12799" width="9.42578125" style="66" bestFit="1" customWidth="1"/>
    <col min="12800" max="12800" width="10.140625" style="66" bestFit="1" customWidth="1"/>
    <col min="12801" max="12802" width="9.140625" style="66"/>
    <col min="12803" max="12803" width="7.28515625" style="66" customWidth="1"/>
    <col min="12804" max="12804" width="7.42578125" style="66" customWidth="1"/>
    <col min="12805" max="12805" width="9.42578125" style="66" bestFit="1" customWidth="1"/>
    <col min="12806" max="12806" width="12" style="66" bestFit="1" customWidth="1"/>
    <col min="12807" max="12808" width="10" style="66" bestFit="1" customWidth="1"/>
    <col min="12809" max="12809" width="14.42578125" style="66" bestFit="1" customWidth="1"/>
    <col min="12810" max="12820" width="0" style="66" hidden="1" customWidth="1"/>
    <col min="12821" max="13049" width="9.140625" style="66"/>
    <col min="13050" max="13050" width="41" style="66" customWidth="1"/>
    <col min="13051" max="13051" width="13.140625" style="66" customWidth="1"/>
    <col min="13052" max="13052" width="10.140625" style="66" customWidth="1"/>
    <col min="13053" max="13053" width="10.42578125" style="66" bestFit="1" customWidth="1"/>
    <col min="13054" max="13055" width="9.42578125" style="66" bestFit="1" customWidth="1"/>
    <col min="13056" max="13056" width="10.140625" style="66" bestFit="1" customWidth="1"/>
    <col min="13057" max="13058" width="9.140625" style="66"/>
    <col min="13059" max="13059" width="7.28515625" style="66" customWidth="1"/>
    <col min="13060" max="13060" width="7.42578125" style="66" customWidth="1"/>
    <col min="13061" max="13061" width="9.42578125" style="66" bestFit="1" customWidth="1"/>
    <col min="13062" max="13062" width="12" style="66" bestFit="1" customWidth="1"/>
    <col min="13063" max="13064" width="10" style="66" bestFit="1" customWidth="1"/>
    <col min="13065" max="13065" width="14.42578125" style="66" bestFit="1" customWidth="1"/>
    <col min="13066" max="13076" width="0" style="66" hidden="1" customWidth="1"/>
    <col min="13077" max="13305" width="9.140625" style="66"/>
    <col min="13306" max="13306" width="41" style="66" customWidth="1"/>
    <col min="13307" max="13307" width="13.140625" style="66" customWidth="1"/>
    <col min="13308" max="13308" width="10.140625" style="66" customWidth="1"/>
    <col min="13309" max="13309" width="10.42578125" style="66" bestFit="1" customWidth="1"/>
    <col min="13310" max="13311" width="9.42578125" style="66" bestFit="1" customWidth="1"/>
    <col min="13312" max="13312" width="10.140625" style="66" bestFit="1" customWidth="1"/>
    <col min="13313" max="13314" width="9.140625" style="66"/>
    <col min="13315" max="13315" width="7.28515625" style="66" customWidth="1"/>
    <col min="13316" max="13316" width="7.42578125" style="66" customWidth="1"/>
    <col min="13317" max="13317" width="9.42578125" style="66" bestFit="1" customWidth="1"/>
    <col min="13318" max="13318" width="12" style="66" bestFit="1" customWidth="1"/>
    <col min="13319" max="13320" width="10" style="66" bestFit="1" customWidth="1"/>
    <col min="13321" max="13321" width="14.42578125" style="66" bestFit="1" customWidth="1"/>
    <col min="13322" max="13332" width="0" style="66" hidden="1" customWidth="1"/>
    <col min="13333" max="13561" width="9.140625" style="66"/>
    <col min="13562" max="13562" width="41" style="66" customWidth="1"/>
    <col min="13563" max="13563" width="13.140625" style="66" customWidth="1"/>
    <col min="13564" max="13564" width="10.140625" style="66" customWidth="1"/>
    <col min="13565" max="13565" width="10.42578125" style="66" bestFit="1" customWidth="1"/>
    <col min="13566" max="13567" width="9.42578125" style="66" bestFit="1" customWidth="1"/>
    <col min="13568" max="13568" width="10.140625" style="66" bestFit="1" customWidth="1"/>
    <col min="13569" max="13570" width="9.140625" style="66"/>
    <col min="13571" max="13571" width="7.28515625" style="66" customWidth="1"/>
    <col min="13572" max="13572" width="7.42578125" style="66" customWidth="1"/>
    <col min="13573" max="13573" width="9.42578125" style="66" bestFit="1" customWidth="1"/>
    <col min="13574" max="13574" width="12" style="66" bestFit="1" customWidth="1"/>
    <col min="13575" max="13576" width="10" style="66" bestFit="1" customWidth="1"/>
    <col min="13577" max="13577" width="14.42578125" style="66" bestFit="1" customWidth="1"/>
    <col min="13578" max="13588" width="0" style="66" hidden="1" customWidth="1"/>
    <col min="13589" max="13817" width="9.140625" style="66"/>
    <col min="13818" max="13818" width="41" style="66" customWidth="1"/>
    <col min="13819" max="13819" width="13.140625" style="66" customWidth="1"/>
    <col min="13820" max="13820" width="10.140625" style="66" customWidth="1"/>
    <col min="13821" max="13821" width="10.42578125" style="66" bestFit="1" customWidth="1"/>
    <col min="13822" max="13823" width="9.42578125" style="66" bestFit="1" customWidth="1"/>
    <col min="13824" max="13824" width="10.140625" style="66" bestFit="1" customWidth="1"/>
    <col min="13825" max="13826" width="9.140625" style="66"/>
    <col min="13827" max="13827" width="7.28515625" style="66" customWidth="1"/>
    <col min="13828" max="13828" width="7.42578125" style="66" customWidth="1"/>
    <col min="13829" max="13829" width="9.42578125" style="66" bestFit="1" customWidth="1"/>
    <col min="13830" max="13830" width="12" style="66" bestFit="1" customWidth="1"/>
    <col min="13831" max="13832" width="10" style="66" bestFit="1" customWidth="1"/>
    <col min="13833" max="13833" width="14.42578125" style="66" bestFit="1" customWidth="1"/>
    <col min="13834" max="13844" width="0" style="66" hidden="1" customWidth="1"/>
    <col min="13845" max="14073" width="9.140625" style="66"/>
    <col min="14074" max="14074" width="41" style="66" customWidth="1"/>
    <col min="14075" max="14075" width="13.140625" style="66" customWidth="1"/>
    <col min="14076" max="14076" width="10.140625" style="66" customWidth="1"/>
    <col min="14077" max="14077" width="10.42578125" style="66" bestFit="1" customWidth="1"/>
    <col min="14078" max="14079" width="9.42578125" style="66" bestFit="1" customWidth="1"/>
    <col min="14080" max="14080" width="10.140625" style="66" bestFit="1" customWidth="1"/>
    <col min="14081" max="14082" width="9.140625" style="66"/>
    <col min="14083" max="14083" width="7.28515625" style="66" customWidth="1"/>
    <col min="14084" max="14084" width="7.42578125" style="66" customWidth="1"/>
    <col min="14085" max="14085" width="9.42578125" style="66" bestFit="1" customWidth="1"/>
    <col min="14086" max="14086" width="12" style="66" bestFit="1" customWidth="1"/>
    <col min="14087" max="14088" width="10" style="66" bestFit="1" customWidth="1"/>
    <col min="14089" max="14089" width="14.42578125" style="66" bestFit="1" customWidth="1"/>
    <col min="14090" max="14100" width="0" style="66" hidden="1" customWidth="1"/>
    <col min="14101" max="14329" width="9.140625" style="66"/>
    <col min="14330" max="14330" width="41" style="66" customWidth="1"/>
    <col min="14331" max="14331" width="13.140625" style="66" customWidth="1"/>
    <col min="14332" max="14332" width="10.140625" style="66" customWidth="1"/>
    <col min="14333" max="14333" width="10.42578125" style="66" bestFit="1" customWidth="1"/>
    <col min="14334" max="14335" width="9.42578125" style="66" bestFit="1" customWidth="1"/>
    <col min="14336" max="14336" width="10.140625" style="66" bestFit="1" customWidth="1"/>
    <col min="14337" max="14338" width="9.140625" style="66"/>
    <col min="14339" max="14339" width="7.28515625" style="66" customWidth="1"/>
    <col min="14340" max="14340" width="7.42578125" style="66" customWidth="1"/>
    <col min="14341" max="14341" width="9.42578125" style="66" bestFit="1" customWidth="1"/>
    <col min="14342" max="14342" width="12" style="66" bestFit="1" customWidth="1"/>
    <col min="14343" max="14344" width="10" style="66" bestFit="1" customWidth="1"/>
    <col min="14345" max="14345" width="14.42578125" style="66" bestFit="1" customWidth="1"/>
    <col min="14346" max="14356" width="0" style="66" hidden="1" customWidth="1"/>
    <col min="14357" max="14585" width="9.140625" style="66"/>
    <col min="14586" max="14586" width="41" style="66" customWidth="1"/>
    <col min="14587" max="14587" width="13.140625" style="66" customWidth="1"/>
    <col min="14588" max="14588" width="10.140625" style="66" customWidth="1"/>
    <col min="14589" max="14589" width="10.42578125" style="66" bestFit="1" customWidth="1"/>
    <col min="14590" max="14591" width="9.42578125" style="66" bestFit="1" customWidth="1"/>
    <col min="14592" max="14592" width="10.140625" style="66" bestFit="1" customWidth="1"/>
    <col min="14593" max="14594" width="9.140625" style="66"/>
    <col min="14595" max="14595" width="7.28515625" style="66" customWidth="1"/>
    <col min="14596" max="14596" width="7.42578125" style="66" customWidth="1"/>
    <col min="14597" max="14597" width="9.42578125" style="66" bestFit="1" customWidth="1"/>
    <col min="14598" max="14598" width="12" style="66" bestFit="1" customWidth="1"/>
    <col min="14599" max="14600" width="10" style="66" bestFit="1" customWidth="1"/>
    <col min="14601" max="14601" width="14.42578125" style="66" bestFit="1" customWidth="1"/>
    <col min="14602" max="14612" width="0" style="66" hidden="1" customWidth="1"/>
    <col min="14613" max="14841" width="9.140625" style="66"/>
    <col min="14842" max="14842" width="41" style="66" customWidth="1"/>
    <col min="14843" max="14843" width="13.140625" style="66" customWidth="1"/>
    <col min="14844" max="14844" width="10.140625" style="66" customWidth="1"/>
    <col min="14845" max="14845" width="10.42578125" style="66" bestFit="1" customWidth="1"/>
    <col min="14846" max="14847" width="9.42578125" style="66" bestFit="1" customWidth="1"/>
    <col min="14848" max="14848" width="10.140625" style="66" bestFit="1" customWidth="1"/>
    <col min="14849" max="14850" width="9.140625" style="66"/>
    <col min="14851" max="14851" width="7.28515625" style="66" customWidth="1"/>
    <col min="14852" max="14852" width="7.42578125" style="66" customWidth="1"/>
    <col min="14853" max="14853" width="9.42578125" style="66" bestFit="1" customWidth="1"/>
    <col min="14854" max="14854" width="12" style="66" bestFit="1" customWidth="1"/>
    <col min="14855" max="14856" width="10" style="66" bestFit="1" customWidth="1"/>
    <col min="14857" max="14857" width="14.42578125" style="66" bestFit="1" customWidth="1"/>
    <col min="14858" max="14868" width="0" style="66" hidden="1" customWidth="1"/>
    <col min="14869" max="15097" width="9.140625" style="66"/>
    <col min="15098" max="15098" width="41" style="66" customWidth="1"/>
    <col min="15099" max="15099" width="13.140625" style="66" customWidth="1"/>
    <col min="15100" max="15100" width="10.140625" style="66" customWidth="1"/>
    <col min="15101" max="15101" width="10.42578125" style="66" bestFit="1" customWidth="1"/>
    <col min="15102" max="15103" width="9.42578125" style="66" bestFit="1" customWidth="1"/>
    <col min="15104" max="15104" width="10.140625" style="66" bestFit="1" customWidth="1"/>
    <col min="15105" max="15106" width="9.140625" style="66"/>
    <col min="15107" max="15107" width="7.28515625" style="66" customWidth="1"/>
    <col min="15108" max="15108" width="7.42578125" style="66" customWidth="1"/>
    <col min="15109" max="15109" width="9.42578125" style="66" bestFit="1" customWidth="1"/>
    <col min="15110" max="15110" width="12" style="66" bestFit="1" customWidth="1"/>
    <col min="15111" max="15112" width="10" style="66" bestFit="1" customWidth="1"/>
    <col min="15113" max="15113" width="14.42578125" style="66" bestFit="1" customWidth="1"/>
    <col min="15114" max="15124" width="0" style="66" hidden="1" customWidth="1"/>
    <col min="15125" max="15353" width="9.140625" style="66"/>
    <col min="15354" max="15354" width="41" style="66" customWidth="1"/>
    <col min="15355" max="15355" width="13.140625" style="66" customWidth="1"/>
    <col min="15356" max="15356" width="10.140625" style="66" customWidth="1"/>
    <col min="15357" max="15357" width="10.42578125" style="66" bestFit="1" customWidth="1"/>
    <col min="15358" max="15359" width="9.42578125" style="66" bestFit="1" customWidth="1"/>
    <col min="15360" max="15360" width="10.140625" style="66" bestFit="1" customWidth="1"/>
    <col min="15361" max="15362" width="9.140625" style="66"/>
    <col min="15363" max="15363" width="7.28515625" style="66" customWidth="1"/>
    <col min="15364" max="15364" width="7.42578125" style="66" customWidth="1"/>
    <col min="15365" max="15365" width="9.42578125" style="66" bestFit="1" customWidth="1"/>
    <col min="15366" max="15366" width="12" style="66" bestFit="1" customWidth="1"/>
    <col min="15367" max="15368" width="10" style="66" bestFit="1" customWidth="1"/>
    <col min="15369" max="15369" width="14.42578125" style="66" bestFit="1" customWidth="1"/>
    <col min="15370" max="15380" width="0" style="66" hidden="1" customWidth="1"/>
    <col min="15381" max="15609" width="9.140625" style="66"/>
    <col min="15610" max="15610" width="41" style="66" customWidth="1"/>
    <col min="15611" max="15611" width="13.140625" style="66" customWidth="1"/>
    <col min="15612" max="15612" width="10.140625" style="66" customWidth="1"/>
    <col min="15613" max="15613" width="10.42578125" style="66" bestFit="1" customWidth="1"/>
    <col min="15614" max="15615" width="9.42578125" style="66" bestFit="1" customWidth="1"/>
    <col min="15616" max="15616" width="10.140625" style="66" bestFit="1" customWidth="1"/>
    <col min="15617" max="15618" width="9.140625" style="66"/>
    <col min="15619" max="15619" width="7.28515625" style="66" customWidth="1"/>
    <col min="15620" max="15620" width="7.42578125" style="66" customWidth="1"/>
    <col min="15621" max="15621" width="9.42578125" style="66" bestFit="1" customWidth="1"/>
    <col min="15622" max="15622" width="12" style="66" bestFit="1" customWidth="1"/>
    <col min="15623" max="15624" width="10" style="66" bestFit="1" customWidth="1"/>
    <col min="15625" max="15625" width="14.42578125" style="66" bestFit="1" customWidth="1"/>
    <col min="15626" max="15636" width="0" style="66" hidden="1" customWidth="1"/>
    <col min="15637" max="15865" width="9.140625" style="66"/>
    <col min="15866" max="15866" width="41" style="66" customWidth="1"/>
    <col min="15867" max="15867" width="13.140625" style="66" customWidth="1"/>
    <col min="15868" max="15868" width="10.140625" style="66" customWidth="1"/>
    <col min="15869" max="15869" width="10.42578125" style="66" bestFit="1" customWidth="1"/>
    <col min="15870" max="15871" width="9.42578125" style="66" bestFit="1" customWidth="1"/>
    <col min="15872" max="15872" width="10.140625" style="66" bestFit="1" customWidth="1"/>
    <col min="15873" max="15874" width="9.140625" style="66"/>
    <col min="15875" max="15875" width="7.28515625" style="66" customWidth="1"/>
    <col min="15876" max="15876" width="7.42578125" style="66" customWidth="1"/>
    <col min="15877" max="15877" width="9.42578125" style="66" bestFit="1" customWidth="1"/>
    <col min="15878" max="15878" width="12" style="66" bestFit="1" customWidth="1"/>
    <col min="15879" max="15880" width="10" style="66" bestFit="1" customWidth="1"/>
    <col min="15881" max="15881" width="14.42578125" style="66" bestFit="1" customWidth="1"/>
    <col min="15882" max="15892" width="0" style="66" hidden="1" customWidth="1"/>
    <col min="15893" max="16121" width="9.140625" style="66"/>
    <col min="16122" max="16122" width="41" style="66" customWidth="1"/>
    <col min="16123" max="16123" width="13.140625" style="66" customWidth="1"/>
    <col min="16124" max="16124" width="10.140625" style="66" customWidth="1"/>
    <col min="16125" max="16125" width="10.42578125" style="66" bestFit="1" customWidth="1"/>
    <col min="16126" max="16127" width="9.42578125" style="66" bestFit="1" customWidth="1"/>
    <col min="16128" max="16128" width="10.140625" style="66" bestFit="1" customWidth="1"/>
    <col min="16129" max="16130" width="9.140625" style="66"/>
    <col min="16131" max="16131" width="7.28515625" style="66" customWidth="1"/>
    <col min="16132" max="16132" width="7.42578125" style="66" customWidth="1"/>
    <col min="16133" max="16133" width="9.42578125" style="66" bestFit="1" customWidth="1"/>
    <col min="16134" max="16134" width="12" style="66" bestFit="1" customWidth="1"/>
    <col min="16135" max="16136" width="10" style="66" bestFit="1" customWidth="1"/>
    <col min="16137" max="16137" width="14.42578125" style="66" bestFit="1" customWidth="1"/>
    <col min="16138" max="16148" width="0" style="66" hidden="1" customWidth="1"/>
    <col min="16149" max="16384" width="9.140625" style="66"/>
  </cols>
  <sheetData>
    <row r="1" spans="1:43" ht="25.5" customHeight="1" thickBot="1" x14ac:dyDescent="0.25">
      <c r="A1" s="159" t="s">
        <v>102</v>
      </c>
      <c r="B1" s="160"/>
      <c r="C1" s="160"/>
      <c r="D1" s="160"/>
      <c r="E1" s="160"/>
      <c r="F1" s="160"/>
      <c r="G1" s="160"/>
      <c r="H1" s="160"/>
      <c r="I1" s="160"/>
      <c r="J1" s="160"/>
      <c r="K1" s="161"/>
      <c r="L1" s="64"/>
      <c r="M1" s="64"/>
      <c r="N1" s="64"/>
      <c r="O1" s="64"/>
      <c r="P1" s="64"/>
      <c r="Q1" s="64"/>
      <c r="R1" s="64"/>
      <c r="S1" s="65"/>
      <c r="T1" s="65"/>
    </row>
    <row r="2" spans="1:43" ht="15" x14ac:dyDescent="0.25">
      <c r="A2"/>
      <c r="C2" s="67"/>
      <c r="D2" s="67"/>
      <c r="E2" s="67"/>
      <c r="F2" s="67"/>
      <c r="G2" s="67"/>
      <c r="H2" s="67"/>
      <c r="I2" s="67"/>
      <c r="J2" s="67"/>
      <c r="K2" s="67"/>
      <c r="L2" s="67"/>
      <c r="M2" s="67"/>
      <c r="N2" s="67"/>
      <c r="O2" s="67"/>
      <c r="P2" s="67"/>
      <c r="Q2" s="67"/>
      <c r="R2" s="67"/>
      <c r="S2" s="65"/>
      <c r="T2" s="65"/>
    </row>
    <row r="3" spans="1:43" ht="29.25" customHeight="1" x14ac:dyDescent="0.2">
      <c r="A3" s="68" t="s">
        <v>99</v>
      </c>
      <c r="B3" s="162">
        <v>45748</v>
      </c>
      <c r="C3" s="163"/>
      <c r="D3" s="163"/>
      <c r="E3" s="163"/>
      <c r="F3" s="163"/>
      <c r="G3" s="163"/>
      <c r="H3" s="163"/>
      <c r="I3" s="163"/>
      <c r="J3" s="163"/>
      <c r="K3" s="164"/>
      <c r="L3" s="67"/>
      <c r="M3" s="67"/>
      <c r="N3" s="67"/>
      <c r="O3" s="67"/>
      <c r="P3" s="67"/>
      <c r="Q3" s="67"/>
      <c r="R3" s="67"/>
      <c r="S3" s="65"/>
      <c r="T3" s="65"/>
    </row>
    <row r="4" spans="1:43" ht="26.25" customHeight="1" x14ac:dyDescent="0.2">
      <c r="A4" s="69" t="s">
        <v>221</v>
      </c>
      <c r="B4" s="165" t="s">
        <v>222</v>
      </c>
      <c r="C4" s="165"/>
      <c r="D4" s="165"/>
      <c r="E4" s="165"/>
      <c r="F4" s="165"/>
      <c r="G4" s="165"/>
      <c r="H4" s="165"/>
      <c r="I4" s="165"/>
      <c r="J4" s="165"/>
      <c r="K4" s="165"/>
      <c r="L4" s="70"/>
      <c r="M4" s="70"/>
      <c r="N4" s="70"/>
      <c r="O4" s="70"/>
      <c r="P4" s="70"/>
      <c r="Q4" s="70"/>
      <c r="R4" s="70"/>
      <c r="S4" s="71"/>
      <c r="T4" s="71"/>
    </row>
    <row r="5" spans="1:43" ht="30.75" customHeight="1" x14ac:dyDescent="0.2">
      <c r="A5" s="166" t="s">
        <v>223</v>
      </c>
      <c r="B5" s="167"/>
      <c r="C5" s="69"/>
      <c r="D5" s="69"/>
      <c r="E5" s="69"/>
      <c r="F5" s="69"/>
      <c r="G5" s="69"/>
      <c r="H5" s="69"/>
      <c r="I5" s="69"/>
      <c r="J5" s="69"/>
      <c r="K5" s="69"/>
      <c r="L5" s="70"/>
      <c r="M5" s="70"/>
      <c r="N5" s="70"/>
      <c r="O5" s="70"/>
      <c r="P5" s="72"/>
      <c r="Q5" s="70"/>
      <c r="R5" s="70"/>
      <c r="S5" s="71"/>
      <c r="T5" s="71"/>
    </row>
    <row r="6" spans="1:43" ht="13.5" thickBot="1" x14ac:dyDescent="0.25">
      <c r="C6" s="67"/>
      <c r="D6" s="73"/>
      <c r="E6" s="70"/>
      <c r="F6" s="70"/>
      <c r="G6" s="70"/>
      <c r="H6" s="70"/>
      <c r="I6" s="70"/>
      <c r="J6" s="70"/>
      <c r="K6" s="70"/>
      <c r="L6" s="70"/>
      <c r="M6" s="70"/>
      <c r="N6" s="70"/>
      <c r="O6" s="70"/>
      <c r="P6" s="70"/>
      <c r="Q6" s="70"/>
      <c r="R6" s="70"/>
      <c r="S6" s="65"/>
      <c r="T6" s="65"/>
    </row>
    <row r="7" spans="1:43" ht="12.75" customHeight="1" thickBot="1" x14ac:dyDescent="0.25">
      <c r="A7" s="168" t="s">
        <v>224</v>
      </c>
      <c r="B7" s="171" t="s">
        <v>225</v>
      </c>
      <c r="C7" s="174" t="s">
        <v>226</v>
      </c>
      <c r="D7" s="177" t="s">
        <v>227</v>
      </c>
      <c r="E7" s="178"/>
      <c r="F7" s="179"/>
      <c r="G7" s="179"/>
      <c r="H7" s="180" t="s">
        <v>228</v>
      </c>
      <c r="I7" s="181"/>
      <c r="J7" s="181"/>
      <c r="K7" s="182"/>
      <c r="L7" s="199" t="s">
        <v>229</v>
      </c>
      <c r="M7" s="181"/>
      <c r="N7" s="182"/>
      <c r="O7" s="190" t="s">
        <v>230</v>
      </c>
      <c r="P7" s="192" t="s">
        <v>231</v>
      </c>
      <c r="Q7" s="192" t="s">
        <v>232</v>
      </c>
      <c r="R7" s="192" t="s">
        <v>233</v>
      </c>
      <c r="S7" s="194" t="s">
        <v>234</v>
      </c>
      <c r="T7" s="183" t="s">
        <v>235</v>
      </c>
      <c r="U7" s="186" t="s">
        <v>236</v>
      </c>
      <c r="V7" s="186"/>
      <c r="W7" s="186"/>
      <c r="X7" s="186"/>
      <c r="Y7" s="186"/>
      <c r="Z7" s="186"/>
      <c r="AA7" s="186"/>
      <c r="AB7" s="186"/>
      <c r="AC7" s="186"/>
      <c r="AD7" s="186"/>
      <c r="AE7" s="186"/>
      <c r="AF7" s="186"/>
      <c r="AG7" s="186"/>
      <c r="AH7" s="187"/>
      <c r="AI7" s="74"/>
      <c r="AJ7" s="74"/>
      <c r="AK7" s="74"/>
      <c r="AL7" s="74"/>
      <c r="AM7" s="74"/>
      <c r="AN7" s="74"/>
      <c r="AO7" s="74"/>
      <c r="AP7" s="74"/>
      <c r="AQ7" s="74"/>
    </row>
    <row r="8" spans="1:43" ht="15.75" customHeight="1" thickBot="1" x14ac:dyDescent="0.25">
      <c r="A8" s="169"/>
      <c r="B8" s="172"/>
      <c r="C8" s="175"/>
      <c r="D8" s="190" t="s">
        <v>237</v>
      </c>
      <c r="E8" s="192" t="s">
        <v>238</v>
      </c>
      <c r="F8" s="194" t="s">
        <v>239</v>
      </c>
      <c r="G8" s="194" t="s">
        <v>240</v>
      </c>
      <c r="H8" s="196" t="s">
        <v>237</v>
      </c>
      <c r="I8" s="193" t="s">
        <v>241</v>
      </c>
      <c r="J8" s="195" t="s">
        <v>242</v>
      </c>
      <c r="K8" s="198" t="s">
        <v>243</v>
      </c>
      <c r="L8" s="200"/>
      <c r="M8" s="201"/>
      <c r="N8" s="202"/>
      <c r="O8" s="191"/>
      <c r="P8" s="193"/>
      <c r="Q8" s="193"/>
      <c r="R8" s="193"/>
      <c r="S8" s="195"/>
      <c r="T8" s="184"/>
      <c r="U8" s="188"/>
      <c r="V8" s="188"/>
      <c r="W8" s="188"/>
      <c r="X8" s="188"/>
      <c r="Y8" s="188"/>
      <c r="Z8" s="188"/>
      <c r="AA8" s="188"/>
      <c r="AB8" s="188"/>
      <c r="AC8" s="188"/>
      <c r="AD8" s="188"/>
      <c r="AE8" s="188"/>
      <c r="AF8" s="188"/>
      <c r="AG8" s="188"/>
      <c r="AH8" s="189"/>
      <c r="AI8" s="74"/>
      <c r="AJ8" s="74"/>
      <c r="AK8" s="74"/>
      <c r="AL8" s="74"/>
      <c r="AM8" s="74"/>
      <c r="AN8" s="74"/>
      <c r="AO8" s="74"/>
      <c r="AP8" s="74"/>
      <c r="AQ8" s="74"/>
    </row>
    <row r="9" spans="1:43" ht="45" customHeight="1" x14ac:dyDescent="0.2">
      <c r="A9" s="170"/>
      <c r="B9" s="173"/>
      <c r="C9" s="176"/>
      <c r="D9" s="191"/>
      <c r="E9" s="193"/>
      <c r="F9" s="195"/>
      <c r="G9" s="195"/>
      <c r="H9" s="197"/>
      <c r="I9" s="193"/>
      <c r="J9" s="195"/>
      <c r="K9" s="198"/>
      <c r="L9" s="77" t="s">
        <v>244</v>
      </c>
      <c r="M9" s="75" t="s">
        <v>245</v>
      </c>
      <c r="N9" s="76" t="s">
        <v>246</v>
      </c>
      <c r="O9" s="191"/>
      <c r="P9" s="193"/>
      <c r="Q9" s="193"/>
      <c r="R9" s="193"/>
      <c r="S9" s="195"/>
      <c r="T9" s="185"/>
      <c r="U9" s="78" t="str">
        <f>'AUTO CALCULATION SHEET (2)'!P17</f>
        <v>Copper</v>
      </c>
      <c r="V9" s="78" t="str">
        <f>'AUTO CALCULATION SHEET (2)'!AH17</f>
        <v>Type A PVC</v>
      </c>
      <c r="W9" s="79" t="str">
        <f>'AUTO CALCULATION SHEET (2)'!AK17</f>
        <v>POLY TAPE</v>
      </c>
      <c r="X9" s="79" t="str">
        <f>'AUTO CALCULATION SHEET (2)'!AO17</f>
        <v>PVC Type ST-1</v>
      </c>
      <c r="Y9" s="79" t="str">
        <f>'AUTO CALCULATION SHEET (2)'!BI17</f>
        <v>ATR PVC Type ST-1</v>
      </c>
      <c r="Z9" s="80" t="s">
        <v>247</v>
      </c>
      <c r="AA9" s="80" t="s">
        <v>248</v>
      </c>
      <c r="AB9" s="80" t="s">
        <v>249</v>
      </c>
      <c r="AC9" s="80" t="s">
        <v>250</v>
      </c>
      <c r="AD9" s="80" t="s">
        <v>251</v>
      </c>
      <c r="AE9" s="80" t="s">
        <v>252</v>
      </c>
      <c r="AF9" s="80" t="s">
        <v>253</v>
      </c>
      <c r="AG9" s="80" t="s">
        <v>254</v>
      </c>
      <c r="AH9" s="81" t="s">
        <v>255</v>
      </c>
    </row>
    <row r="10" spans="1:43" ht="22.5" customHeight="1" x14ac:dyDescent="0.2">
      <c r="A10" s="82"/>
      <c r="B10" s="83"/>
      <c r="C10" s="84"/>
      <c r="D10" s="85"/>
      <c r="E10" s="86"/>
      <c r="F10" s="87"/>
      <c r="G10" s="87"/>
      <c r="H10" s="88"/>
      <c r="I10" s="89"/>
      <c r="J10" s="90"/>
      <c r="K10" s="91"/>
      <c r="L10" s="92"/>
      <c r="M10" s="93"/>
      <c r="N10" s="94"/>
      <c r="O10" s="95"/>
      <c r="P10" s="96"/>
      <c r="Q10" s="96"/>
      <c r="R10" s="97"/>
      <c r="S10" s="98"/>
      <c r="T10" s="99"/>
      <c r="U10" s="100">
        <v>846</v>
      </c>
      <c r="V10" s="100">
        <v>64</v>
      </c>
      <c r="W10" s="101">
        <v>117</v>
      </c>
      <c r="X10" s="101">
        <v>60</v>
      </c>
      <c r="Y10" s="101">
        <f>X10+7</f>
        <v>67</v>
      </c>
      <c r="Z10" s="102"/>
      <c r="AA10" s="102"/>
      <c r="AB10" s="102"/>
      <c r="AC10" s="102"/>
      <c r="AD10" s="102"/>
      <c r="AE10" s="102"/>
      <c r="AF10" s="103"/>
      <c r="AG10" s="102"/>
      <c r="AH10" s="104"/>
    </row>
    <row r="11" spans="1:43" s="122" customFormat="1" ht="33" customHeight="1" x14ac:dyDescent="0.2">
      <c r="A11" s="105" t="str">
        <f>'AUTO CALCULATION SHEET (2)'!D19</f>
        <v>2 CORE X 2.5 SQ. MM. CU/UNARD.(PVC)</v>
      </c>
      <c r="B11" s="106"/>
      <c r="C11" s="107" t="s">
        <v>256</v>
      </c>
      <c r="D11" s="108">
        <v>45783</v>
      </c>
      <c r="E11" s="134">
        <v>852266.45</v>
      </c>
      <c r="F11" s="109">
        <v>156325</v>
      </c>
      <c r="G11" s="110"/>
      <c r="H11" s="111">
        <f t="shared" ref="H11:H14" si="0">$B$3</f>
        <v>45748</v>
      </c>
      <c r="I11" s="109">
        <v>853722</v>
      </c>
      <c r="J11" s="109">
        <v>156325</v>
      </c>
      <c r="K11" s="110"/>
      <c r="L11" s="112">
        <v>4.7E-2</v>
      </c>
      <c r="M11" s="113">
        <v>0.125</v>
      </c>
      <c r="N11" s="114"/>
      <c r="O11" s="95">
        <f>'AUTO CALCULATION SHEET (2)'!E19</f>
        <v>68632.649999999994</v>
      </c>
      <c r="P11" s="115">
        <f t="shared" ref="P11:R14" si="1">(L11*(E11-I11))</f>
        <v>-68.410850000002185</v>
      </c>
      <c r="Q11" s="115">
        <f t="shared" si="1"/>
        <v>0</v>
      </c>
      <c r="R11" s="115">
        <f t="shared" si="1"/>
        <v>0</v>
      </c>
      <c r="S11" s="116">
        <f>P11+Q11+R11</f>
        <v>-68.410850000002185</v>
      </c>
      <c r="T11" s="117">
        <f>+O11+S11</f>
        <v>68564.239149999994</v>
      </c>
      <c r="U11" s="118">
        <f>'AUTO CALCULATION SHEET (2)'!P19</f>
        <v>44</v>
      </c>
      <c r="V11" s="118">
        <f>'AUTO CALCULATION SHEET (2)'!AH19</f>
        <v>26</v>
      </c>
      <c r="W11" s="119">
        <f>'AUTO CALCULATION SHEET (2)'!AK19</f>
        <v>3</v>
      </c>
      <c r="X11" s="119">
        <f>'AUTO CALCULATION SHEET (2)'!AO19</f>
        <v>39</v>
      </c>
      <c r="Y11" s="119">
        <f>'AUTO CALCULATION SHEET (2)'!BI19</f>
        <v>100</v>
      </c>
      <c r="Z11" s="120">
        <f>SUMPRODUCT(U11:Y11,$U$10:$Y$10)</f>
        <v>48279</v>
      </c>
      <c r="AA11" s="119">
        <f>'AUTO CALCULATION SHEET (2)'!BZ19</f>
        <v>1973</v>
      </c>
      <c r="AB11" s="120">
        <f>Z11+AA11</f>
        <v>50252</v>
      </c>
      <c r="AC11" s="119">
        <f>T11-AB11</f>
        <v>18312.239149999994</v>
      </c>
      <c r="AD11" s="120">
        <f>ROUND((AC11/AB11)*100,2)</f>
        <v>36.44</v>
      </c>
      <c r="AE11" s="119">
        <v>0</v>
      </c>
      <c r="AF11" s="119">
        <v>2</v>
      </c>
      <c r="AG11" s="119">
        <v>1</v>
      </c>
      <c r="AH11" s="121">
        <f t="shared" ref="AH11:AH14" si="2">AD11-AE11-AF11-AG11</f>
        <v>33.44</v>
      </c>
    </row>
    <row r="12" spans="1:43" s="122" customFormat="1" ht="24" customHeight="1" x14ac:dyDescent="0.2">
      <c r="A12" s="105" t="str">
        <f>'AUTO CALCULATION SHEET (2)'!D20</f>
        <v>4 CORE X 2.5 SQ. MM. CU/UNARD.(PVC)</v>
      </c>
      <c r="B12" s="106"/>
      <c r="C12" s="107" t="s">
        <v>256</v>
      </c>
      <c r="D12" s="108">
        <v>45783</v>
      </c>
      <c r="E12" s="134">
        <v>852266.45</v>
      </c>
      <c r="F12" s="109">
        <v>156325</v>
      </c>
      <c r="G12" s="110"/>
      <c r="H12" s="111">
        <f t="shared" si="0"/>
        <v>45748</v>
      </c>
      <c r="I12" s="109">
        <v>853722</v>
      </c>
      <c r="J12" s="109">
        <v>156325</v>
      </c>
      <c r="K12" s="110"/>
      <c r="L12" s="112">
        <v>9.4E-2</v>
      </c>
      <c r="M12" s="113">
        <v>0.161</v>
      </c>
      <c r="N12" s="114"/>
      <c r="O12" s="95">
        <f>'AUTO CALCULATION SHEET (2)'!E20</f>
        <v>123712.65</v>
      </c>
      <c r="P12" s="115">
        <f t="shared" si="1"/>
        <v>-136.82170000000437</v>
      </c>
      <c r="Q12" s="115">
        <f t="shared" si="1"/>
        <v>0</v>
      </c>
      <c r="R12" s="115">
        <f t="shared" si="1"/>
        <v>0</v>
      </c>
      <c r="S12" s="116">
        <f>P12+Q12+R12</f>
        <v>-136.82170000000437</v>
      </c>
      <c r="T12" s="117">
        <f>+O12+S12</f>
        <v>123575.82829999999</v>
      </c>
      <c r="U12" s="118">
        <f>'AUTO CALCULATION SHEET (2)'!P20</f>
        <v>89</v>
      </c>
      <c r="V12" s="118">
        <f>'AUTO CALCULATION SHEET (2)'!AH20</f>
        <v>52</v>
      </c>
      <c r="W12" s="119">
        <f>'AUTO CALCULATION SHEET (2)'!AK20</f>
        <v>4</v>
      </c>
      <c r="X12" s="119">
        <f>'AUTO CALCULATION SHEET (2)'!AO20</f>
        <v>27</v>
      </c>
      <c r="Y12" s="119">
        <f>'AUTO CALCULATION SHEET (2)'!BI20</f>
        <v>109</v>
      </c>
      <c r="Z12" s="120">
        <f>SUMPRODUCT(U12:Y12,$U$10:$Y$10)</f>
        <v>88013</v>
      </c>
      <c r="AA12" s="119">
        <f>'AUTO CALCULATION SHEET (2)'!BZ20</f>
        <v>2585</v>
      </c>
      <c r="AB12" s="120">
        <f>Z12+AA12</f>
        <v>90598</v>
      </c>
      <c r="AC12" s="119">
        <f>T12-AB12</f>
        <v>32977.828299999994</v>
      </c>
      <c r="AD12" s="120">
        <f>ROUND((AC12/AB12)*100,2)</f>
        <v>36.4</v>
      </c>
      <c r="AE12" s="119">
        <v>0</v>
      </c>
      <c r="AF12" s="119">
        <v>2</v>
      </c>
      <c r="AG12" s="119">
        <v>1</v>
      </c>
      <c r="AH12" s="121">
        <f t="shared" si="2"/>
        <v>33.4</v>
      </c>
    </row>
    <row r="13" spans="1:43" ht="24" customHeight="1" x14ac:dyDescent="0.2">
      <c r="A13" s="105" t="str">
        <f>'AUTO CALCULATION SHEET (2)'!D21</f>
        <v>6 CORE X 2.5 SQ. MM. CU/UNARD.(PVC)</v>
      </c>
      <c r="B13" s="106"/>
      <c r="C13" s="107" t="s">
        <v>256</v>
      </c>
      <c r="D13" s="108">
        <v>45783</v>
      </c>
      <c r="E13" s="134">
        <v>852266.45</v>
      </c>
      <c r="F13" s="109">
        <v>156325</v>
      </c>
      <c r="G13" s="110"/>
      <c r="H13" s="111">
        <f t="shared" si="0"/>
        <v>45748</v>
      </c>
      <c r="I13" s="109">
        <v>853722</v>
      </c>
      <c r="J13" s="109">
        <v>156325</v>
      </c>
      <c r="K13" s="110"/>
      <c r="L13" s="112">
        <v>0.14099999999999999</v>
      </c>
      <c r="M13" s="113">
        <v>0.23400000000000001</v>
      </c>
      <c r="N13" s="114"/>
      <c r="O13" s="95">
        <f>'AUTO CALCULATION SHEET (2)'!E21</f>
        <v>178263.45</v>
      </c>
      <c r="P13" s="115">
        <f t="shared" si="1"/>
        <v>-205.23255000000654</v>
      </c>
      <c r="Q13" s="115">
        <f t="shared" si="1"/>
        <v>0</v>
      </c>
      <c r="R13" s="115">
        <f t="shared" si="1"/>
        <v>0</v>
      </c>
      <c r="S13" s="116">
        <f>P13+Q13+R13</f>
        <v>-205.23255000000654</v>
      </c>
      <c r="T13" s="117">
        <f>+O13+S13</f>
        <v>178058.21745</v>
      </c>
      <c r="U13" s="118">
        <f>'AUTO CALCULATION SHEET (2)'!P21</f>
        <v>133</v>
      </c>
      <c r="V13" s="118">
        <f>'AUTO CALCULATION SHEET (2)'!AH21</f>
        <v>78</v>
      </c>
      <c r="W13" s="119">
        <f>'AUTO CALCULATION SHEET (2)'!AK21</f>
        <v>4</v>
      </c>
      <c r="X13" s="119">
        <f>'AUTO CALCULATION SHEET (2)'!AO21</f>
        <v>27</v>
      </c>
      <c r="Y13" s="119">
        <f>'AUTO CALCULATION SHEET (2)'!BI21</f>
        <v>117</v>
      </c>
      <c r="Z13" s="120">
        <f>SUMPRODUCT(U13:Y13,$U$10:$Y$10)</f>
        <v>127437</v>
      </c>
      <c r="AA13" s="119">
        <f>'AUTO CALCULATION SHEET (2)'!BZ21</f>
        <v>3113</v>
      </c>
      <c r="AB13" s="120">
        <f>Z13+AA13</f>
        <v>130550</v>
      </c>
      <c r="AC13" s="119">
        <f>T13-AB13</f>
        <v>47508.217449999996</v>
      </c>
      <c r="AD13" s="120">
        <f>ROUND((AC13/AB13)*100,2)</f>
        <v>36.39</v>
      </c>
      <c r="AE13" s="119">
        <v>0</v>
      </c>
      <c r="AF13" s="119">
        <v>2</v>
      </c>
      <c r="AG13" s="119">
        <v>1</v>
      </c>
      <c r="AH13" s="121">
        <f t="shared" si="2"/>
        <v>33.39</v>
      </c>
    </row>
    <row r="14" spans="1:43" ht="24" customHeight="1" x14ac:dyDescent="0.2">
      <c r="A14" s="105" t="str">
        <f>'AUTO CALCULATION SHEET (2)'!D22</f>
        <v>10 CORE X 2.5 SQ. MM. CU/UNARD. (PVC)</v>
      </c>
      <c r="B14" s="106"/>
      <c r="C14" s="107" t="s">
        <v>256</v>
      </c>
      <c r="D14" s="108">
        <v>45783</v>
      </c>
      <c r="E14" s="134">
        <v>852266.45</v>
      </c>
      <c r="F14" s="109">
        <v>156325</v>
      </c>
      <c r="G14" s="110"/>
      <c r="H14" s="111">
        <f t="shared" si="0"/>
        <v>45748</v>
      </c>
      <c r="I14" s="109">
        <v>853722</v>
      </c>
      <c r="J14" s="109">
        <v>156325</v>
      </c>
      <c r="K14" s="110"/>
      <c r="L14" s="112">
        <v>0.23499999999999999</v>
      </c>
      <c r="M14" s="113">
        <v>0.30299999999999999</v>
      </c>
      <c r="N14" s="114"/>
      <c r="O14" s="95">
        <f>'AUTO CALCULATION SHEET (2)'!E22</f>
        <v>294082.65000000002</v>
      </c>
      <c r="P14" s="115">
        <f t="shared" si="1"/>
        <v>-342.05425000001094</v>
      </c>
      <c r="Q14" s="115">
        <f t="shared" si="1"/>
        <v>0</v>
      </c>
      <c r="R14" s="115">
        <f t="shared" si="1"/>
        <v>0</v>
      </c>
      <c r="S14" s="116">
        <f>P14+Q14+R14</f>
        <v>-342.05425000001094</v>
      </c>
      <c r="T14" s="117">
        <f>+O14+S14</f>
        <v>293740.59575000004</v>
      </c>
      <c r="U14" s="118">
        <f>'AUTO CALCULATION SHEET (2)'!P22</f>
        <v>222</v>
      </c>
      <c r="V14" s="118">
        <f>'AUTO CALCULATION SHEET (2)'!AH22</f>
        <v>130</v>
      </c>
      <c r="W14" s="119">
        <f>'AUTO CALCULATION SHEET (2)'!AK22</f>
        <v>5</v>
      </c>
      <c r="X14" s="119">
        <f>'AUTO CALCULATION SHEET (2)'!AO22</f>
        <v>36</v>
      </c>
      <c r="Y14" s="119">
        <f>'AUTO CALCULATION SHEET (2)'!BI22</f>
        <v>165</v>
      </c>
      <c r="Z14" s="120">
        <f>SUMPRODUCT(U14:Y14,$U$10:$Y$10)</f>
        <v>209932</v>
      </c>
      <c r="AA14" s="119">
        <f>'AUTO CALCULATION SHEET (2)'!BZ22</f>
        <v>5448</v>
      </c>
      <c r="AB14" s="120">
        <f>Z14+AA14</f>
        <v>215380</v>
      </c>
      <c r="AC14" s="119">
        <f>T14-AB14</f>
        <v>78360.595750000037</v>
      </c>
      <c r="AD14" s="120">
        <f>ROUND((AC14/AB14)*100,2)</f>
        <v>36.380000000000003</v>
      </c>
      <c r="AE14" s="119">
        <v>0</v>
      </c>
      <c r="AF14" s="119">
        <v>2</v>
      </c>
      <c r="AG14" s="119">
        <v>1</v>
      </c>
      <c r="AH14" s="121">
        <f t="shared" si="2"/>
        <v>33.380000000000003</v>
      </c>
      <c r="AI14" s="122"/>
    </row>
    <row r="15" spans="1:43" ht="13.5" thickBot="1" x14ac:dyDescent="0.25">
      <c r="A15" s="123"/>
      <c r="B15" s="124"/>
      <c r="C15" s="125"/>
      <c r="D15" s="126"/>
      <c r="E15" s="127"/>
      <c r="F15" s="127"/>
      <c r="G15" s="128"/>
      <c r="H15" s="129"/>
      <c r="I15" s="127"/>
      <c r="J15" s="127"/>
      <c r="K15" s="130"/>
      <c r="L15" s="129"/>
      <c r="M15" s="127"/>
      <c r="N15" s="130"/>
      <c r="O15" s="126"/>
      <c r="P15" s="127"/>
      <c r="Q15" s="127"/>
      <c r="R15" s="127"/>
      <c r="S15" s="128"/>
      <c r="T15" s="124"/>
      <c r="U15" s="126"/>
      <c r="V15" s="126"/>
      <c r="W15" s="127"/>
      <c r="X15" s="127"/>
      <c r="Y15" s="127"/>
      <c r="Z15" s="127"/>
      <c r="AA15" s="127"/>
      <c r="AB15" s="127"/>
      <c r="AC15" s="127"/>
      <c r="AD15" s="127"/>
      <c r="AE15" s="127"/>
      <c r="AF15" s="127"/>
      <c r="AG15" s="127"/>
      <c r="AH15" s="130"/>
    </row>
  </sheetData>
  <mergeCells count="25">
    <mergeCell ref="T7:T9"/>
    <mergeCell ref="U7:AH8"/>
    <mergeCell ref="D8:D9"/>
    <mergeCell ref="E8:E9"/>
    <mergeCell ref="F8:F9"/>
    <mergeCell ref="G8:G9"/>
    <mergeCell ref="H8:H9"/>
    <mergeCell ref="I8:I9"/>
    <mergeCell ref="J8:J9"/>
    <mergeCell ref="K8:K9"/>
    <mergeCell ref="L7:N8"/>
    <mergeCell ref="O7:O9"/>
    <mergeCell ref="P7:P9"/>
    <mergeCell ref="Q7:Q9"/>
    <mergeCell ref="R7:R9"/>
    <mergeCell ref="S7:S9"/>
    <mergeCell ref="A1:K1"/>
    <mergeCell ref="B3:K3"/>
    <mergeCell ref="B4:K4"/>
    <mergeCell ref="A5:B5"/>
    <mergeCell ref="A7:A9"/>
    <mergeCell ref="B7:B9"/>
    <mergeCell ref="C7:C9"/>
    <mergeCell ref="D7:G7"/>
    <mergeCell ref="H7:K7"/>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AUTO CALCULATION SHEET (2)</vt:lpstr>
      <vt:lpstr>Cable</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Puja_Lapy</dc:creator>
  <cp:lastModifiedBy>DIPANKAR ROY</cp:lastModifiedBy>
  <dcterms:created xsi:type="dcterms:W3CDTF">2021-04-03T12:13:55Z</dcterms:created>
  <dcterms:modified xsi:type="dcterms:W3CDTF">2025-05-07T11:01:50Z</dcterms:modified>
</cp:coreProperties>
</file>