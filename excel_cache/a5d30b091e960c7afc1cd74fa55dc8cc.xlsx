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1_NOVEMBER 2023\KESCO-11KV3CX185-11515\"/>
    </mc:Choice>
  </mc:AlternateContent>
  <xr:revisionPtr revIDLastSave="0" documentId="13_ncr:1_{EFF58FF7-D86F-4A58-9A03-4D15CCFCF8DA}"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11KV HT "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20" i="5" l="1"/>
  <c r="AA20" i="5"/>
  <c r="Z20" i="5"/>
  <c r="Y20" i="5"/>
  <c r="X20" i="5"/>
  <c r="W20" i="5"/>
  <c r="V20" i="5"/>
  <c r="K30" i="4"/>
  <c r="F30" i="4"/>
  <c r="D30" i="4"/>
  <c r="C30" i="4"/>
  <c r="B30" i="4"/>
  <c r="A30" i="4"/>
  <c r="I26" i="4" l="1"/>
  <c r="I25" i="4"/>
  <c r="I24" i="4"/>
  <c r="AM20" i="5" l="1"/>
  <c r="AN20" i="5" s="1"/>
  <c r="AK20" i="5"/>
  <c r="AJ20" i="5"/>
  <c r="AI20" i="5"/>
  <c r="AF20" i="5"/>
  <c r="AE20" i="5"/>
  <c r="AD20" i="5"/>
  <c r="AC20" i="5"/>
  <c r="AK17" i="5"/>
  <c r="AJ17" i="5"/>
  <c r="AI17" i="5"/>
  <c r="AH17" i="5"/>
  <c r="AG17" i="5"/>
  <c r="AF17" i="5"/>
  <c r="AE17" i="5"/>
  <c r="AD17" i="5"/>
  <c r="AC17" i="5"/>
  <c r="J20" i="5"/>
  <c r="J21" i="4" l="1"/>
  <c r="BY18" i="4" l="1"/>
  <c r="BY16" i="4"/>
  <c r="B18" i="4" l="1"/>
  <c r="BX16" i="4" l="1"/>
  <c r="BW16" i="4"/>
  <c r="BV16" i="4"/>
  <c r="B16" i="4"/>
  <c r="T17" i="4" l="1"/>
  <c r="S17" i="4"/>
  <c r="AB18" i="4" l="1"/>
  <c r="AA18" i="4"/>
  <c r="Z18" i="4"/>
  <c r="Y18" i="4"/>
  <c r="W18" i="4"/>
  <c r="U18" i="4"/>
  <c r="T18" i="4"/>
  <c r="S18" i="4"/>
  <c r="BU18" i="4"/>
  <c r="BT18" i="4"/>
  <c r="BS18" i="4"/>
  <c r="BQ18" i="4"/>
  <c r="BP18" i="4"/>
  <c r="BO18" i="4"/>
  <c r="BN18" i="4"/>
  <c r="BS17" i="4"/>
  <c r="BT17" i="4"/>
  <c r="BU17" i="4"/>
  <c r="BR17" i="4"/>
  <c r="BQ17" i="4"/>
  <c r="BP17" i="4"/>
  <c r="BN17" i="4"/>
  <c r="BO17" i="4"/>
  <c r="BM17" i="4"/>
  <c r="BL18" i="4"/>
  <c r="BK18" i="4"/>
  <c r="BJ18" i="4"/>
  <c r="BI18" i="4"/>
  <c r="BH18" i="4"/>
  <c r="BG18" i="4"/>
  <c r="BE18" i="4"/>
  <c r="BD18" i="4"/>
  <c r="BC18" i="4"/>
  <c r="BL17" i="4"/>
  <c r="BK17" i="4"/>
  <c r="BJ17" i="4"/>
  <c r="BI17" i="4"/>
  <c r="BH17" i="4"/>
  <c r="BG17" i="4"/>
  <c r="BF17" i="4"/>
  <c r="BE17" i="4"/>
  <c r="BD17" i="4"/>
  <c r="BC17" i="4"/>
  <c r="BB18" i="4"/>
  <c r="BA18" i="4"/>
  <c r="AZ18" i="4"/>
  <c r="AY18" i="4"/>
  <c r="AX18" i="4"/>
  <c r="AH20" i="5" s="1"/>
  <c r="AW18" i="4"/>
  <c r="AV18" i="4"/>
  <c r="AU18" i="4"/>
  <c r="AT18" i="4"/>
  <c r="AS18" i="4"/>
  <c r="BB17" i="4"/>
  <c r="BA17" i="4"/>
  <c r="AZ17" i="4"/>
  <c r="AY17" i="4"/>
  <c r="AW17" i="4"/>
  <c r="AV17" i="4"/>
  <c r="AU17" i="4"/>
  <c r="AT17" i="4"/>
  <c r="AS17" i="4"/>
  <c r="AR17" i="4"/>
  <c r="AR18" i="4"/>
  <c r="AQ18" i="4"/>
  <c r="AG20" i="5" s="1"/>
  <c r="AP18" i="4"/>
  <c r="AO18" i="4"/>
  <c r="AN18" i="4"/>
  <c r="AM18" i="4"/>
  <c r="AL18" i="4"/>
  <c r="AP17" i="4"/>
  <c r="AO17" i="4"/>
  <c r="AN17" i="4"/>
  <c r="AM17" i="4"/>
  <c r="AL17" i="4"/>
  <c r="AK17" i="4"/>
  <c r="AK18" i="4"/>
  <c r="AJ18" i="4"/>
  <c r="AI18" i="4"/>
  <c r="AH18" i="4"/>
  <c r="AG18" i="4"/>
  <c r="AF18" i="4"/>
  <c r="AJ17" i="4"/>
  <c r="AI17" i="4"/>
  <c r="AH17" i="4"/>
  <c r="AG17" i="4"/>
  <c r="AF17" i="4"/>
  <c r="AC18" i="4"/>
  <c r="AC17" i="4"/>
  <c r="AB17" i="4" l="1"/>
  <c r="AA17" i="4"/>
  <c r="Z17" i="4"/>
  <c r="Y17" i="4"/>
  <c r="W17" i="4"/>
  <c r="U17" i="4"/>
  <c r="R17" i="4" l="1"/>
  <c r="Q17" i="4"/>
  <c r="P17" i="4"/>
  <c r="O17" i="4"/>
  <c r="R18" i="4"/>
  <c r="Q18" i="4"/>
  <c r="P18" i="4"/>
  <c r="O18" i="4"/>
  <c r="N15" i="4"/>
  <c r="L18" i="4"/>
  <c r="K18" i="4"/>
  <c r="E21" i="4" s="1"/>
  <c r="K21" i="4" s="1"/>
  <c r="M21" i="4" s="1"/>
  <c r="CB18" i="4"/>
  <c r="D18" i="4"/>
  <c r="A14" i="5" s="1"/>
  <c r="A20" i="5" s="1"/>
  <c r="C18" i="4"/>
  <c r="A18" i="4"/>
  <c r="L21" i="4" l="1"/>
  <c r="F18" i="4"/>
  <c r="CA18" i="4"/>
  <c r="CC18" i="4" l="1"/>
  <c r="CE18" i="4"/>
  <c r="CG18" i="4"/>
  <c r="CH18" i="4" l="1"/>
  <c r="CJ18" i="4" l="1"/>
  <c r="CL18" i="4"/>
  <c r="E18" i="4" l="1"/>
  <c r="B14" i="5" l="1"/>
  <c r="E30" i="4"/>
  <c r="G30" i="4" s="1"/>
  <c r="G18" i="4"/>
  <c r="I18" i="4" s="1"/>
  <c r="J18" i="4" s="1"/>
  <c r="M18" i="4" s="1"/>
  <c r="U20" i="5" l="1"/>
  <c r="AB20" i="5" s="1"/>
  <c r="AO20" i="5" s="1"/>
  <c r="AP20" i="5" s="1"/>
  <c r="AT20" i="5" s="1"/>
  <c r="I30" i="4"/>
  <c r="J30" i="4" s="1"/>
  <c r="M3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0" authorId="0" shapeId="0" xr:uid="{00000000-0006-0000-0100-00000100000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<sst xmlns="http://schemas.openxmlformats.org/spreadsheetml/2006/main" count="333" uniqueCount="242">
  <si>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</si>
  <si>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</si>
  <si>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</si>
  <si>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</si>
  <si>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</si>
  <si>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</si>
  <si>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</si>
  <si>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</si>
  <si>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</si>
  <si>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</si>
  <si>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</si>
  <si>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</si>
  <si>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</si>
  <si>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</si>
  <si>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</si>
  <si>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</si>
  <si>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</si>
  <si>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</si>
  <si>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</si>
  <si>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</si>
  <si>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</si>
  <si>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</si>
  <si>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</si>
  <si>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</si>
  <si>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</si>
  <si>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</si>
  <si>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</si>
  <si>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</si>
  <si>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</si>
  <si>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</si>
  <si>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</si>
  <si>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</si>
  <si>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</si>
  <si>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</si>
  <si>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</si>
  <si>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</si>
  <si>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</si>
  <si>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</si>
  <si>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</si>
  <si>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</si>
  <si>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</si>
  <si>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</si>
  <si>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</si>
  <si>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</si>
  <si>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</si>
  <si>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</si>
  <si>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</si>
  <si>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</si>
  <si>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</si>
  <si>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</si>
  <si>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</si>
  <si>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</si>
  <si>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</si>
  <si>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</si>
  <si>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</si>
  <si>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</si>
  <si>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</si>
  <si>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</si>
  <si>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</si>
  <si>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</si>
  <si>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</si>
  <si>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</si>
  <si>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</si>
  <si>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</si>
  <si>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</si>
  <si>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</si>
  <si>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</si>
  <si>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</si>
  <si>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</si>
  <si>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</si>
  <si>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</si>
  <si>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</si>
  <si>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</si>
  <si>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</si>
  <si>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</si>
  <si>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</si>
  <si>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</si>
  <si>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</si>
  <si>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</si>
  <si>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</si>
  <si>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</si>
  <si>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</si>
  <si>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</si>
  <si>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</si>
  <si>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</si>
  <si>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</si>
  <si>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</si>
  <si>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</si>
  <si>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</si>
  <si>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</si>
  <si>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</si>
  <si>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</si>
  <si>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</si>
  <si>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</si>
  <si>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</si>
  <si>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</si>
  <si>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</si>
  <si>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</si>
  <si>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</si>
  <si>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</si>
  <si>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</si>
  <si>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</si>
  <si>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</si>
  <si>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</si>
  <si>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</si>
  <si>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</si>
  <si>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</si>
  <si>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</si>
  <si>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</si>
  <si>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</si>
  <si>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</si>
  <si>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</si>
  <si>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</si>
  <si>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</si>
  <si>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</si>
  <si>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</si>
  <si>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</si>
  <si>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</si>
  <si>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</si>
  <si>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</si>
  <si>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</si>
  <si>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</si>
  <si>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</si>
  <si>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</si>
  <si>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</si>
  <si>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</si>
  <si>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</si>
  <si>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</si>
  <si>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</si>
  <si>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</si>
  <si>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</si>
  <si>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</si>
  <si>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</si>
  <si>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</si>
  <si>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</si>
  <si>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</si>
  <si>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</si>
  <si>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</si>
  <si>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KANPUR ELECTRICITY SUPPLY COMPANY LIMITED</t>
  </si>
  <si>
    <t>76/NVY/ABP/23-24</t>
  </si>
  <si>
    <t xml:space="preserve">11 KV HT XLPE Cable size 3x185sqmm.
</t>
  </si>
  <si>
    <t>Not Mention.</t>
  </si>
  <si>
    <t>The prices will be variable and as per IEEMA Date 01.09.2023.</t>
  </si>
  <si>
    <t>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t>
  </si>
  <si>
    <t>The cables shall be supplied in standard lengths i.e 500.± 5% Non-standard length of not less than 100 meters is acceptable. Total Non-Standard should not exceed 5% of the ordered quantity.</t>
  </si>
  <si>
    <t>The cable shall be supplied on non-returnable Steel (for 3x300sqmm cable)/wooden drums of heavy standard construction conforming to IS: 10418:1982 and latest amendment thereof and being suitable for transport by goods train or truck and for storage at site. The wood used for construction of the drums shall be properly seasoned and wood preservative shall be applied to the entire drum.</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</si>
  <si>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</si>
  <si>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</si>
  <si>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</si>
  <si>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</si>
  <si>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</si>
  <si>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</si>
  <si>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</si>
  <si>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</si>
  <si>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</si>
  <si>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</si>
  <si>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</si>
  <si>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</si>
  <si>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</si>
  <si>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</si>
  <si>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</si>
  <si>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</si>
  <si>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</si>
  <si>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</si>
  <si>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</si>
  <si>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ENQ-11515-22-23</t>
  </si>
  <si>
    <t>FA1300002</t>
  </si>
  <si>
    <t>3 CORE X 185 SQ. MM AL/ARM - STRIP (XLPE) - 11 KV</t>
  </si>
  <si>
    <t>WOOD</t>
  </si>
  <si>
    <t>KMS</t>
  </si>
  <si>
    <t>MD0100079</t>
  </si>
  <si>
    <t>DRUM - 80 X 35 X 39 X 3</t>
  </si>
  <si>
    <t>STEEL</t>
  </si>
  <si>
    <t>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</si>
  <si>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</si>
  <si>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</si>
  <si>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</si>
  <si>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</si>
  <si>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</si>
  <si>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</si>
  <si>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</si>
  <si>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</si>
  <si>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</si>
  <si>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28 MT TRAILER</t>
  </si>
  <si>
    <t>PV Terms(Price Variation Formula)</t>
  </si>
  <si>
    <t>PV FORMULA</t>
  </si>
  <si>
    <t xml:space="preserve">P = Po + AIF (Al–Alo) + XLFAL (CC–Cco) + SMIF (SMIF1–SMIF0) + FeF (FeF1–FeF0) + CCFAI (PVCc–PVCco) </t>
  </si>
  <si>
    <t>Alf</t>
  </si>
  <si>
    <t>Variation factor for aluminum.</t>
  </si>
  <si>
    <t>CCFAI</t>
  </si>
  <si>
    <t>Variation factor for PVC compound/Polymer for aluminum conductor cable.</t>
  </si>
  <si>
    <t>XLFAL</t>
  </si>
  <si>
    <t>Variation Factor For XLPE</t>
  </si>
  <si>
    <t>Fef</t>
  </si>
  <si>
    <t>Variation factor for steel</t>
  </si>
  <si>
    <t>Item</t>
  </si>
  <si>
    <t>Ex-Work</t>
  </si>
  <si>
    <t>VALUE ADDITION CALCULATION</t>
  </si>
  <si>
    <t>Calculation part</t>
  </si>
  <si>
    <t>Date of Inspection</t>
  </si>
  <si>
    <t>Applicable Date</t>
  </si>
  <si>
    <t>BASE DATE</t>
  </si>
  <si>
    <t>FACTORS</t>
  </si>
  <si>
    <t>Ex-Work
Po</t>
  </si>
  <si>
    <t>PVC of al</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</si>
  <si>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</si>
  <si>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</si>
  <si>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</si>
  <si>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</si>
  <si>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</si>
  <si>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</si>
  <si>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</si>
  <si>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</si>
  <si>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</si>
  <si>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</si>
  <si>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</si>
  <si>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</si>
  <si>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</si>
  <si>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</si>
  <si>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</si>
  <si>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</si>
  <si>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</si>
  <si>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</si>
  <si>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</si>
  <si>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</si>
  <si>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</si>
  <si>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</si>
  <si>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</si>
  <si>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</si>
  <si>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</si>
  <si>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</si>
  <si>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FeF</t>
  </si>
  <si>
    <t>Smif</t>
  </si>
  <si>
    <t>Kg/Km</t>
  </si>
  <si>
    <t>PROVISIONAL</t>
  </si>
  <si>
    <t>06.11.2023</t>
  </si>
  <si>
    <t>EX-WORKS (PER MTR)</t>
  </si>
  <si>
    <t>FREIGHT PER MTR</t>
  </si>
  <si>
    <t>PRICE INCLUDING FREIGHT (PER MTR)</t>
  </si>
  <si>
    <t>PRICE INCLUDING GST &amp; FREIGHT (PER MTR)</t>
  </si>
  <si>
    <t>MTR</t>
  </si>
  <si>
    <t>CONFIRMED FROM SOMBHU 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</si>
</sst>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0%"/>
    <numFmt numFmtId="165" formatCode="_(* #,##0.00_);_(* \(#,##0.00\);_(* &quot;-&quot;??_);_(@_)"/>
    <numFmt numFmtId="166" formatCode="0.0000"/>
    <numFmt numFmtId="167" formatCode="&quot;Rs. &quot;#,##0.00"/>
    <numFmt numFmtId="168" formatCode="&quot;Rs.&quot;#,##0"/>
    <numFmt numFmtId="169" formatCode="0.0"/>
    <numFmt numFmtId="170" formatCode="0.000"/>
    <numFmt numFmtId="171"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sz val="14"/>
      <name val="Calibri"/>
      <family val="2"/>
      <scheme val="minor"/>
    </font>
    <font>
      <b/>
      <sz val="10"/>
      <color rgb="FF000000"/>
      <name val="Arial"/>
      <family val="2"/>
    </font>
    <font>
      <b/>
      <sz val="10"/>
      <name val="Arial"/>
      <family val="2"/>
    </font>
    <font>
      <sz val="10"/>
      <color rgb="FFFF0000"/>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210">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3" fontId="0" fillId="0" borderId="0" xfId="0" applyNumberFormat="1"/>
    <xf numFmtId="0" fontId="8" fillId="5" borderId="0" xfId="0" applyFont="1" applyFill="1" applyAlignment="1">
      <alignment vertical="center" wrapText="1"/>
    </xf>
    <xf numFmtId="14" fontId="0" fillId="0" borderId="0" xfId="0" applyNumberFormat="1"/>
    <xf numFmtId="4"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11" fillId="0" borderId="1" xfId="4" applyBorder="1" applyAlignment="1">
      <alignment horizontal="center" vertical="center"/>
    </xf>
    <xf numFmtId="0" fontId="16" fillId="0" borderId="0" xfId="4" applyFont="1" applyAlignment="1">
      <alignment horizontal="center" vertical="center"/>
    </xf>
    <xf numFmtId="0" fontId="17" fillId="0" borderId="0" xfId="5" applyFont="1" applyAlignment="1">
      <alignment horizontal="center" vertical="center"/>
    </xf>
    <xf numFmtId="0" fontId="11" fillId="0" borderId="0" xfId="4" applyAlignment="1">
      <alignment horizontal="center" vertical="center"/>
    </xf>
    <xf numFmtId="0" fontId="16" fillId="0" borderId="1" xfId="4" applyFont="1" applyBorder="1" applyAlignment="1">
      <alignment vertical="center" wrapText="1"/>
    </xf>
    <xf numFmtId="0" fontId="11" fillId="0" borderId="0" xfId="4" applyAlignment="1">
      <alignment horizontal="left"/>
    </xf>
    <xf numFmtId="0" fontId="17" fillId="0" borderId="0" xfId="4" applyFont="1" applyAlignment="1">
      <alignment horizontal="center"/>
    </xf>
    <xf numFmtId="0" fontId="17" fillId="0" borderId="0" xfId="5" applyFont="1"/>
    <xf numFmtId="0" fontId="11" fillId="0" borderId="0" xfId="4"/>
    <xf numFmtId="0" fontId="16" fillId="0" borderId="1" xfId="4" applyFont="1" applyBorder="1" applyAlignment="1">
      <alignment horizontal="center" vertical="center"/>
    </xf>
    <xf numFmtId="0" fontId="16" fillId="0" borderId="0" xfId="4" applyFont="1" applyAlignment="1">
      <alignment horizontal="left" vertical="center" wrapText="1"/>
    </xf>
    <xf numFmtId="0" fontId="16" fillId="0" borderId="0" xfId="4" applyFont="1"/>
    <xf numFmtId="0" fontId="16" fillId="0" borderId="0" xfId="4" applyFont="1" applyAlignment="1">
      <alignment horizontal="center"/>
    </xf>
    <xf numFmtId="0" fontId="16" fillId="0" borderId="0" xfId="4" applyFont="1" applyAlignment="1">
      <alignment vertical="center"/>
    </xf>
    <xf numFmtId="0" fontId="11" fillId="0" borderId="0" xfId="4" applyAlignment="1">
      <alignment horizontal="center"/>
    </xf>
    <xf numFmtId="0" fontId="16" fillId="0" borderId="1" xfId="4" applyFont="1" applyBorder="1" applyAlignment="1">
      <alignment horizontal="left" vertical="center"/>
    </xf>
    <xf numFmtId="0" fontId="16" fillId="0" borderId="1" xfId="4" applyFont="1" applyBorder="1" applyAlignment="1">
      <alignment horizontal="center" vertical="center" wrapText="1"/>
    </xf>
    <xf numFmtId="166" fontId="16" fillId="0" borderId="0" xfId="4" applyNumberFormat="1" applyFont="1" applyAlignment="1">
      <alignment vertical="center"/>
    </xf>
    <xf numFmtId="0" fontId="15" fillId="0" borderId="1" xfId="4" applyFont="1" applyBorder="1" applyAlignment="1">
      <alignment horizontal="center"/>
    </xf>
    <xf numFmtId="0" fontId="19" fillId="0" borderId="1" xfId="0" applyFont="1" applyBorder="1"/>
    <xf numFmtId="167" fontId="16" fillId="0" borderId="1" xfId="4" applyNumberFormat="1" applyFont="1" applyBorder="1" applyAlignment="1">
      <alignment vertical="center"/>
    </xf>
    <xf numFmtId="14" fontId="17" fillId="0" borderId="0" xfId="4" applyNumberFormat="1" applyFont="1" applyAlignment="1">
      <alignment horizontal="center"/>
    </xf>
    <xf numFmtId="0" fontId="16" fillId="0" borderId="6"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8" xfId="5" applyFont="1" applyBorder="1" applyAlignment="1">
      <alignment horizontal="center" vertical="center" wrapText="1"/>
    </xf>
    <xf numFmtId="0" fontId="20" fillId="0" borderId="4" xfId="5" applyFont="1" applyBorder="1" applyAlignment="1">
      <alignment horizontal="center" vertical="center" wrapText="1"/>
    </xf>
    <xf numFmtId="0" fontId="20" fillId="0" borderId="1" xfId="5" applyFont="1" applyBorder="1" applyAlignment="1">
      <alignment horizontal="center" vertical="center" wrapText="1"/>
    </xf>
    <xf numFmtId="0" fontId="16" fillId="0" borderId="30" xfId="5" applyFont="1" applyBorder="1" applyAlignment="1">
      <alignment horizontal="center" vertical="center" wrapText="1"/>
    </xf>
    <xf numFmtId="168" fontId="20" fillId="0" borderId="4" xfId="5" applyNumberFormat="1" applyFont="1" applyBorder="1" applyAlignment="1">
      <alignment horizontal="center" vertical="center" wrapText="1"/>
    </xf>
    <xf numFmtId="168" fontId="20" fillId="0" borderId="1" xfId="5" applyNumberFormat="1" applyFont="1" applyBorder="1" applyAlignment="1">
      <alignment horizontal="center"/>
    </xf>
    <xf numFmtId="0" fontId="11" fillId="0" borderId="19" xfId="4" applyBorder="1"/>
    <xf numFmtId="0" fontId="17" fillId="0" borderId="6" xfId="5" applyFont="1" applyBorder="1" applyAlignment="1">
      <alignment horizontal="left" vertical="center" wrapText="1"/>
    </xf>
    <xf numFmtId="14" fontId="17" fillId="0" borderId="1" xfId="5" applyNumberFormat="1" applyFont="1" applyBorder="1" applyAlignment="1">
      <alignment horizontal="center" vertical="center" wrapText="1"/>
    </xf>
    <xf numFmtId="14" fontId="17" fillId="0" borderId="18" xfId="5" applyNumberFormat="1" applyFont="1" applyBorder="1" applyAlignment="1">
      <alignment horizontal="center" vertical="center" wrapText="1"/>
    </xf>
    <xf numFmtId="14" fontId="17" fillId="0" borderId="6" xfId="5" applyNumberFormat="1" applyFont="1" applyBorder="1" applyAlignment="1">
      <alignment horizontal="center" vertical="center" wrapText="1"/>
    </xf>
    <xf numFmtId="14" fontId="17" fillId="0" borderId="2" xfId="5" applyNumberFormat="1" applyFont="1" applyBorder="1" applyAlignment="1">
      <alignment horizontal="center" vertical="center" wrapText="1"/>
    </xf>
    <xf numFmtId="2" fontId="16" fillId="0" borderId="6" xfId="5" applyNumberFormat="1" applyFont="1" applyBorder="1" applyAlignment="1">
      <alignment horizontal="center" vertical="center" wrapText="1"/>
    </xf>
    <xf numFmtId="2" fontId="16" fillId="0" borderId="1" xfId="5" applyNumberFormat="1" applyFont="1" applyBorder="1" applyAlignment="1">
      <alignment horizontal="center" vertical="center" wrapText="1"/>
    </xf>
    <xf numFmtId="2" fontId="16" fillId="0" borderId="30" xfId="5" applyNumberFormat="1" applyFont="1" applyBorder="1" applyAlignment="1">
      <alignment horizontal="center" vertical="center" wrapText="1"/>
    </xf>
    <xf numFmtId="0" fontId="17" fillId="0" borderId="25" xfId="5" applyFont="1" applyBorder="1" applyAlignment="1">
      <alignment horizontal="center" vertical="center" wrapText="1"/>
    </xf>
    <xf numFmtId="0" fontId="11" fillId="0" borderId="2" xfId="4" applyBorder="1" applyAlignment="1">
      <alignment horizontal="center" vertical="center" wrapText="1"/>
    </xf>
    <xf numFmtId="0" fontId="11" fillId="0" borderId="34" xfId="4" applyBorder="1" applyAlignment="1">
      <alignment wrapText="1"/>
    </xf>
    <xf numFmtId="14" fontId="17" fillId="0" borderId="3" xfId="5" applyNumberFormat="1" applyFont="1" applyBorder="1" applyAlignment="1">
      <alignment horizontal="center" vertical="center" wrapText="1"/>
    </xf>
    <xf numFmtId="14" fontId="16" fillId="8" borderId="6" xfId="5" applyNumberFormat="1" applyFont="1" applyFill="1" applyBorder="1" applyAlignment="1">
      <alignment horizontal="center" vertical="center" wrapText="1"/>
    </xf>
    <xf numFmtId="169" fontId="17" fillId="0" borderId="1" xfId="6" applyNumberFormat="1" applyFont="1" applyBorder="1" applyAlignment="1">
      <alignment horizontal="center" vertical="center" wrapText="1"/>
    </xf>
    <xf numFmtId="169" fontId="17" fillId="0" borderId="2" xfId="6" applyNumberFormat="1" applyFont="1" applyBorder="1" applyAlignment="1">
      <alignment horizontal="center" vertical="center" wrapText="1"/>
    </xf>
    <xf numFmtId="14" fontId="16" fillId="8" borderId="6" xfId="6" applyNumberFormat="1" applyFont="1" applyFill="1" applyBorder="1" applyAlignment="1">
      <alignment horizontal="center" vertical="center" wrapText="1"/>
    </xf>
    <xf numFmtId="170" fontId="17" fillId="0" borderId="6" xfId="5" applyNumberFormat="1" applyFont="1" applyBorder="1" applyAlignment="1">
      <alignment horizontal="center" vertical="center" wrapText="1"/>
    </xf>
    <xf numFmtId="170" fontId="17" fillId="0" borderId="1" xfId="5" applyNumberFormat="1" applyFont="1" applyBorder="1" applyAlignment="1">
      <alignment horizontal="center" vertical="center" wrapText="1"/>
    </xf>
    <xf numFmtId="166" fontId="17" fillId="0" borderId="30" xfId="5" applyNumberFormat="1" applyFont="1" applyBorder="1" applyAlignment="1">
      <alignment horizontal="center" vertical="center" wrapText="1"/>
    </xf>
    <xf numFmtId="2" fontId="17" fillId="0" borderId="6" xfId="5" applyNumberFormat="1" applyFont="1" applyBorder="1" applyAlignment="1">
      <alignment horizontal="center" vertical="center" wrapText="1"/>
    </xf>
    <xf numFmtId="166" fontId="17" fillId="0" borderId="1" xfId="5" applyNumberFormat="1" applyFont="1" applyBorder="1" applyAlignment="1">
      <alignment vertical="center" wrapText="1"/>
    </xf>
    <xf numFmtId="170" fontId="17" fillId="0" borderId="18" xfId="5" applyNumberFormat="1" applyFont="1" applyBorder="1" applyAlignment="1">
      <alignment horizontal="center" vertical="center" wrapText="1"/>
    </xf>
    <xf numFmtId="2" fontId="17" fillId="0" borderId="25" xfId="5" applyNumberFormat="1" applyFont="1" applyBorder="1" applyAlignment="1">
      <alignment horizontal="center" vertical="center" wrapText="1"/>
    </xf>
    <xf numFmtId="2" fontId="17" fillId="9" borderId="25" xfId="5" applyNumberFormat="1" applyFont="1" applyFill="1" applyBorder="1" applyAlignment="1">
      <alignment horizontal="center" vertical="center" wrapText="1"/>
    </xf>
    <xf numFmtId="170" fontId="12" fillId="0" borderId="4" xfId="5" applyNumberFormat="1" applyBorder="1" applyAlignment="1">
      <alignment vertical="center"/>
    </xf>
    <xf numFmtId="170" fontId="12" fillId="0" borderId="1" xfId="5" applyNumberFormat="1" applyBorder="1" applyAlignment="1">
      <alignment vertical="center"/>
    </xf>
    <xf numFmtId="2" fontId="20" fillId="0" borderId="1" xfId="5" applyNumberFormat="1" applyFont="1" applyBorder="1" applyAlignment="1">
      <alignment vertical="center"/>
    </xf>
    <xf numFmtId="2" fontId="12" fillId="0" borderId="1" xfId="5" applyNumberFormat="1" applyBorder="1" applyAlignment="1">
      <alignment vertical="center"/>
    </xf>
    <xf numFmtId="2" fontId="20" fillId="0" borderId="18" xfId="5" applyNumberFormat="1" applyFont="1" applyBorder="1" applyAlignment="1">
      <alignment vertical="center"/>
    </xf>
    <xf numFmtId="14" fontId="17" fillId="0" borderId="35" xfId="5" applyNumberFormat="1" applyFont="1" applyBorder="1" applyAlignment="1">
      <alignment horizontal="center" vertical="center" wrapText="1"/>
    </xf>
    <xf numFmtId="14" fontId="17" fillId="0" borderId="36" xfId="5" applyNumberFormat="1" applyFont="1" applyBorder="1" applyAlignment="1">
      <alignment horizontal="center" vertical="center" wrapText="1"/>
    </xf>
    <xf numFmtId="2" fontId="17" fillId="0" borderId="37" xfId="5" applyNumberFormat="1" applyFont="1" applyBorder="1" applyAlignment="1">
      <alignment horizontal="center" vertical="center" wrapText="1"/>
    </xf>
    <xf numFmtId="2" fontId="17" fillId="0" borderId="37" xfId="6" applyNumberFormat="1" applyFont="1" applyBorder="1" applyAlignment="1">
      <alignment horizontal="center" vertical="center" wrapText="1"/>
    </xf>
    <xf numFmtId="2" fontId="17" fillId="0" borderId="38" xfId="6" applyNumberFormat="1" applyFont="1" applyBorder="1" applyAlignment="1">
      <alignment horizontal="center" vertical="center" wrapText="1"/>
    </xf>
    <xf numFmtId="2" fontId="17" fillId="0" borderId="36" xfId="6" applyNumberFormat="1" applyFont="1" applyBorder="1" applyAlignment="1">
      <alignment horizontal="center" vertical="center" wrapText="1"/>
    </xf>
    <xf numFmtId="169" fontId="17" fillId="0" borderId="37" xfId="6" applyNumberFormat="1" applyFont="1" applyBorder="1" applyAlignment="1">
      <alignment horizontal="center" vertical="center" wrapText="1"/>
    </xf>
    <xf numFmtId="169" fontId="17" fillId="0" borderId="39" xfId="6" applyNumberFormat="1" applyFont="1" applyBorder="1" applyAlignment="1">
      <alignment horizontal="center" vertical="center" wrapText="1"/>
    </xf>
    <xf numFmtId="2" fontId="17" fillId="0" borderId="36" xfId="5" applyNumberFormat="1" applyFont="1" applyBorder="1" applyAlignment="1">
      <alignment horizontal="center" vertical="center" wrapText="1"/>
    </xf>
    <xf numFmtId="2" fontId="17" fillId="0" borderId="38" xfId="5" applyNumberFormat="1" applyFont="1" applyBorder="1" applyAlignment="1">
      <alignment horizontal="center" vertical="center" wrapText="1"/>
    </xf>
    <xf numFmtId="2" fontId="17" fillId="0" borderId="40" xfId="5" applyNumberFormat="1" applyFont="1" applyBorder="1" applyAlignment="1">
      <alignment horizontal="center" vertical="center" wrapText="1"/>
    </xf>
    <xf numFmtId="171" fontId="17" fillId="0" borderId="37" xfId="5" applyNumberFormat="1" applyFont="1" applyBorder="1" applyAlignment="1">
      <alignment vertical="center" wrapText="1"/>
    </xf>
    <xf numFmtId="171" fontId="17" fillId="0" borderId="38" xfId="5" applyNumberFormat="1" applyFont="1" applyBorder="1" applyAlignment="1">
      <alignment vertical="center" wrapText="1"/>
    </xf>
    <xf numFmtId="166" fontId="17" fillId="0" borderId="41" xfId="5" applyNumberFormat="1" applyFont="1" applyBorder="1" applyAlignment="1">
      <alignment horizontal="center" vertical="center" wrapText="1"/>
    </xf>
    <xf numFmtId="2" fontId="17" fillId="0" borderId="41" xfId="5" applyNumberFormat="1" applyFont="1" applyBorder="1" applyAlignment="1">
      <alignment horizontal="center" vertical="center" wrapText="1"/>
    </xf>
    <xf numFmtId="0" fontId="11" fillId="0" borderId="42" xfId="4" applyBorder="1"/>
    <xf numFmtId="0" fontId="11" fillId="0" borderId="43" xfId="4" applyBorder="1"/>
    <xf numFmtId="0" fontId="11" fillId="0" borderId="0" xfId="4" applyAlignment="1">
      <alignment wrapText="1"/>
    </xf>
    <xf numFmtId="0" fontId="15" fillId="0" borderId="0" xfId="4" applyFont="1"/>
    <xf numFmtId="169" fontId="21" fillId="0" borderId="1" xfId="6" applyNumberFormat="1" applyFont="1" applyBorder="1" applyAlignment="1">
      <alignment horizontal="center"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0" fillId="0" borderId="1" xfId="0" applyBorder="1" applyAlignment="1">
      <alignment horizontal="center" vertical="center" wrapText="1"/>
    </xf>
    <xf numFmtId="0" fontId="20" fillId="0" borderId="20" xfId="5" applyFont="1" applyBorder="1" applyAlignment="1">
      <alignment horizontal="center" vertical="center" wrapText="1"/>
    </xf>
    <xf numFmtId="0" fontId="20" fillId="0" borderId="31" xfId="5" applyFont="1" applyBorder="1" applyAlignment="1">
      <alignment horizontal="center" vertical="center" wrapText="1"/>
    </xf>
    <xf numFmtId="0" fontId="20" fillId="0" borderId="28" xfId="5" applyFont="1" applyBorder="1" applyAlignment="1">
      <alignment horizontal="center" vertical="center" wrapText="1"/>
    </xf>
    <xf numFmtId="0" fontId="20" fillId="0" borderId="26" xfId="5" applyFont="1" applyBorder="1" applyAlignment="1">
      <alignment horizontal="center" vertical="center" wrapText="1"/>
    </xf>
    <xf numFmtId="0" fontId="20" fillId="0" borderId="32" xfId="5" applyFont="1" applyBorder="1" applyAlignment="1">
      <alignment horizontal="center" vertical="center" wrapText="1"/>
    </xf>
    <xf numFmtId="0" fontId="20" fillId="0" borderId="33" xfId="5" applyFont="1" applyBorder="1" applyAlignment="1">
      <alignment horizontal="center" vertical="center" wrapText="1"/>
    </xf>
    <xf numFmtId="0" fontId="16" fillId="0" borderId="21" xfId="5" applyFont="1" applyBorder="1" applyAlignment="1">
      <alignment horizontal="center" vertical="center" wrapText="1"/>
    </xf>
    <xf numFmtId="0" fontId="16" fillId="0" borderId="29" xfId="5" applyFont="1" applyBorder="1" applyAlignment="1">
      <alignment horizontal="center" vertical="center" wrapText="1"/>
    </xf>
    <xf numFmtId="0" fontId="16" fillId="0" borderId="17" xfId="5" applyFont="1" applyBorder="1" applyAlignment="1">
      <alignment horizontal="center" vertical="center" wrapText="1"/>
    </xf>
    <xf numFmtId="0" fontId="16" fillId="0" borderId="25" xfId="5" applyFont="1" applyBorder="1" applyAlignment="1">
      <alignment horizontal="center" vertical="center" wrapText="1"/>
    </xf>
    <xf numFmtId="0" fontId="20" fillId="0" borderId="5" xfId="5" applyFont="1" applyBorder="1" applyAlignment="1">
      <alignment horizontal="center" vertical="center"/>
    </xf>
    <xf numFmtId="0" fontId="20" fillId="0" borderId="10" xfId="5" applyFont="1" applyBorder="1" applyAlignment="1">
      <alignment horizontal="center" vertical="center"/>
    </xf>
    <xf numFmtId="0" fontId="20" fillId="0" borderId="11" xfId="5" applyFont="1" applyBorder="1" applyAlignment="1">
      <alignment horizontal="center" vertical="center"/>
    </xf>
    <xf numFmtId="0" fontId="20" fillId="0" borderId="4" xfId="5" applyFont="1" applyBorder="1" applyAlignment="1">
      <alignment horizontal="center" vertical="center"/>
    </xf>
    <xf numFmtId="0" fontId="20" fillId="0" borderId="1" xfId="5" applyFont="1" applyBorder="1" applyAlignment="1">
      <alignment horizontal="center" vertical="center"/>
    </xf>
    <xf numFmtId="0" fontId="20" fillId="0" borderId="18" xfId="5" applyFont="1" applyBorder="1" applyAlignment="1">
      <alignment horizontal="center" vertical="center"/>
    </xf>
    <xf numFmtId="0" fontId="16" fillId="0" borderId="15" xfId="5" applyFont="1" applyBorder="1" applyAlignment="1">
      <alignment horizontal="center" vertical="center" wrapText="1"/>
    </xf>
    <xf numFmtId="0" fontId="16" fillId="0" borderId="13" xfId="5" applyFont="1" applyBorder="1" applyAlignment="1">
      <alignment horizontal="center" vertical="center" wrapText="1"/>
    </xf>
    <xf numFmtId="0" fontId="16" fillId="0" borderId="16" xfId="5" applyFont="1" applyBorder="1" applyAlignment="1">
      <alignment horizontal="center" vertical="center" wrapText="1"/>
    </xf>
    <xf numFmtId="0" fontId="16" fillId="0" borderId="22" xfId="5" applyFont="1" applyBorder="1" applyAlignment="1">
      <alignment horizontal="center" vertical="center" wrapText="1"/>
    </xf>
    <xf numFmtId="0" fontId="16" fillId="0" borderId="23" xfId="5" applyFont="1" applyBorder="1" applyAlignment="1">
      <alignment horizontal="center" vertical="center" wrapText="1"/>
    </xf>
    <xf numFmtId="0" fontId="16" fillId="0" borderId="24" xfId="5" applyFont="1" applyBorder="1" applyAlignment="1">
      <alignment horizontal="center" vertical="center" wrapText="1"/>
    </xf>
    <xf numFmtId="0" fontId="16" fillId="0" borderId="5" xfId="5" applyFont="1" applyBorder="1" applyAlignment="1">
      <alignment horizontal="center" vertical="center" wrapText="1"/>
    </xf>
    <xf numFmtId="0" fontId="16" fillId="0" borderId="6" xfId="5" applyFont="1" applyBorder="1" applyAlignment="1">
      <alignment horizontal="center" vertical="center" wrapText="1"/>
    </xf>
    <xf numFmtId="0" fontId="16" fillId="0" borderId="10"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8" xfId="5" applyFont="1" applyBorder="1" applyAlignment="1">
      <alignment horizontal="center" vertical="center" wrapText="1"/>
    </xf>
    <xf numFmtId="0" fontId="11" fillId="0" borderId="0" xfId="4" applyAlignment="1">
      <alignment horizontal="center"/>
    </xf>
    <xf numFmtId="0" fontId="15" fillId="0" borderId="12" xfId="4" applyFont="1" applyBorder="1" applyAlignment="1">
      <alignment horizontal="center" vertical="center"/>
    </xf>
    <xf numFmtId="0" fontId="15" fillId="0" borderId="19" xfId="4" applyFont="1" applyBorder="1" applyAlignment="1">
      <alignment horizontal="center" vertical="center"/>
    </xf>
    <xf numFmtId="0" fontId="15" fillId="0" borderId="27" xfId="4" applyFont="1" applyBorder="1" applyAlignment="1">
      <alignment horizontal="center" vertical="center"/>
    </xf>
    <xf numFmtId="0" fontId="15" fillId="0" borderId="12" xfId="4" applyFont="1" applyBorder="1" applyAlignment="1">
      <alignment horizontal="center" vertical="center" wrapText="1"/>
    </xf>
    <xf numFmtId="0" fontId="15" fillId="0" borderId="19" xfId="4" applyFont="1" applyBorder="1" applyAlignment="1">
      <alignment horizontal="center" vertical="center" wrapText="1"/>
    </xf>
    <xf numFmtId="0" fontId="15" fillId="0" borderId="27" xfId="4" applyFont="1" applyBorder="1" applyAlignment="1">
      <alignment horizontal="center" vertical="center" wrapText="1"/>
    </xf>
    <xf numFmtId="0" fontId="16" fillId="0" borderId="0" xfId="5" applyFont="1" applyAlignment="1">
      <alignment horizontal="center" vertical="center" wrapText="1"/>
    </xf>
    <xf numFmtId="0" fontId="16" fillId="0" borderId="11" xfId="5" applyFont="1" applyBorder="1" applyAlignment="1">
      <alignment horizontal="center" vertical="center" wrapText="1"/>
    </xf>
    <xf numFmtId="0" fontId="16" fillId="0" borderId="14" xfId="5" applyFont="1" applyBorder="1" applyAlignment="1">
      <alignment horizontal="center" vertical="center" wrapText="1"/>
    </xf>
    <xf numFmtId="0" fontId="16" fillId="0" borderId="20" xfId="5" applyFont="1" applyBorder="1" applyAlignment="1">
      <alignment horizontal="center" vertical="center" wrapText="1"/>
    </xf>
    <xf numFmtId="0" fontId="16" fillId="0" borderId="28" xfId="5" applyFont="1" applyBorder="1" applyAlignment="1">
      <alignment horizontal="center" vertical="center" wrapText="1"/>
    </xf>
    <xf numFmtId="0" fontId="16" fillId="0" borderId="2" xfId="4" applyFont="1" applyBorder="1" applyAlignment="1">
      <alignment horizontal="left" vertical="center" wrapText="1"/>
    </xf>
    <xf numFmtId="0" fontId="16" fillId="0" borderId="4" xfId="4" applyFont="1" applyBorder="1" applyAlignment="1">
      <alignment horizontal="left" vertical="center"/>
    </xf>
    <xf numFmtId="14" fontId="15" fillId="5" borderId="2" xfId="4" applyNumberFormat="1" applyFont="1" applyFill="1" applyBorder="1" applyAlignment="1">
      <alignment horizontal="center" vertical="center"/>
    </xf>
    <xf numFmtId="0" fontId="15" fillId="5" borderId="3" xfId="4" applyFont="1" applyFill="1" applyBorder="1" applyAlignment="1">
      <alignment horizontal="center" vertical="center"/>
    </xf>
    <xf numFmtId="0" fontId="15" fillId="5" borderId="4" xfId="4" applyFont="1" applyFill="1" applyBorder="1" applyAlignment="1">
      <alignment horizontal="center" vertical="center"/>
    </xf>
    <xf numFmtId="0" fontId="18" fillId="0" borderId="2" xfId="4" applyFont="1" applyBorder="1" applyAlignment="1">
      <alignment vertical="center" wrapText="1"/>
    </xf>
    <xf numFmtId="0" fontId="16" fillId="0" borderId="3" xfId="4" applyFont="1" applyBorder="1" applyAlignment="1">
      <alignment vertical="center" wrapText="1"/>
    </xf>
    <xf numFmtId="0" fontId="16" fillId="0" borderId="4" xfId="4" applyFont="1" applyBorder="1" applyAlignment="1">
      <alignment vertical="center" wrapText="1"/>
    </xf>
    <xf numFmtId="0" fontId="16" fillId="0" borderId="1" xfId="4" applyFont="1" applyBorder="1" applyAlignment="1">
      <alignment horizontal="center" vertical="center"/>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134</v>
      </c>
      <c r="C1" t="s">
        <v>1</v>
      </c>
      <c r="D1" t="s">
        <v>2</v>
      </c>
      <c r="E1" t="s">
        <v>135</v>
      </c>
      <c r="F1" t="s">
        <v>3</v>
      </c>
      <c r="G1" t="s">
        <v>146</v>
      </c>
      <c r="H1" t="s">
        <v>4</v>
      </c>
      <c r="I1" t="s">
        <v>5</v>
      </c>
      <c r="J1" t="s">
        <v>6</v>
      </c>
      <c r="K1" t="s">
        <v>147</v>
      </c>
      <c r="L1" t="s">
        <v>7</v>
      </c>
      <c r="M1" t="s">
        <v>8</v>
      </c>
      <c r="N1" t="s">
        <v>9</v>
      </c>
      <c r="O1" t="s">
        <v>148</v>
      </c>
      <c r="P1" t="s">
        <v>10</v>
      </c>
      <c r="Q1" t="s">
        <v>11</v>
      </c>
      <c r="R1" t="s">
        <v>12</v>
      </c>
      <c r="S1" t="s">
        <v>149</v>
      </c>
      <c r="T1" t="s">
        <v>13</v>
      </c>
      <c r="U1" t="s">
        <v>14</v>
      </c>
      <c r="V1" t="s">
        <v>15</v>
      </c>
      <c r="W1" t="s">
        <v>150</v>
      </c>
      <c r="X1" t="s">
        <v>16</v>
      </c>
      <c r="Y1" t="s">
        <v>17</v>
      </c>
      <c r="Z1" t="s">
        <v>18</v>
      </c>
      <c r="AA1" t="s">
        <v>151</v>
      </c>
      <c r="AB1" t="s">
        <v>19</v>
      </c>
      <c r="AC1" t="s">
        <v>20</v>
      </c>
      <c r="AD1" t="s">
        <v>21</v>
      </c>
      <c r="AE1" t="s">
        <v>152</v>
      </c>
      <c r="AF1" t="s">
        <v>22</v>
      </c>
      <c r="AG1" t="s">
        <v>23</v>
      </c>
      <c r="AH1" t="s">
        <v>24</v>
      </c>
      <c r="AI1" t="s">
        <v>153</v>
      </c>
      <c r="AJ1" t="s">
        <v>25</v>
      </c>
      <c r="AK1" t="s">
        <v>26</v>
      </c>
      <c r="AL1" t="s">
        <v>27</v>
      </c>
      <c r="AM1" t="s">
        <v>154</v>
      </c>
      <c r="AN1" t="s">
        <v>28</v>
      </c>
      <c r="AO1" t="s">
        <v>29</v>
      </c>
      <c r="AP1" t="s">
        <v>30</v>
      </c>
      <c r="AQ1" t="s">
        <v>155</v>
      </c>
      <c r="AR1" t="s">
        <v>31</v>
      </c>
      <c r="AS1" t="s">
        <v>32</v>
      </c>
      <c r="AT1" t="s">
        <v>33</v>
      </c>
      <c r="AU1" t="s">
        <v>156</v>
      </c>
      <c r="AV1" t="s">
        <v>34</v>
      </c>
      <c r="AW1" t="s">
        <v>35</v>
      </c>
      <c r="AX1" t="s">
        <v>36</v>
      </c>
      <c r="AY1" t="s">
        <v>157</v>
      </c>
      <c r="AZ1" t="s">
        <v>37</v>
      </c>
      <c r="BA1" t="s">
        <v>38</v>
      </c>
      <c r="BB1" t="s">
        <v>39</v>
      </c>
      <c r="BC1" t="s">
        <v>158</v>
      </c>
      <c r="BD1" t="s">
        <v>40</v>
      </c>
      <c r="BE1" t="s">
        <v>41</v>
      </c>
      <c r="BF1" t="s">
        <v>42</v>
      </c>
      <c r="BG1" t="s">
        <v>159</v>
      </c>
      <c r="BH1" t="s">
        <v>43</v>
      </c>
      <c r="BI1" t="s">
        <v>44</v>
      </c>
      <c r="BJ1" t="s">
        <v>45</v>
      </c>
      <c r="BK1" t="s">
        <v>160</v>
      </c>
      <c r="BL1" t="s">
        <v>46</v>
      </c>
      <c r="BM1" t="s">
        <v>47</v>
      </c>
      <c r="BN1" t="s">
        <v>48</v>
      </c>
      <c r="BO1" t="s">
        <v>161</v>
      </c>
      <c r="BP1" t="s">
        <v>49</v>
      </c>
      <c r="BQ1" t="s">
        <v>50</v>
      </c>
      <c r="BR1" t="s">
        <v>51</v>
      </c>
      <c r="BS1" t="s">
        <v>162</v>
      </c>
      <c r="BT1" t="s">
        <v>52</v>
      </c>
      <c r="BU1" t="s">
        <v>53</v>
      </c>
      <c r="BV1" t="s">
        <v>54</v>
      </c>
      <c r="BW1" t="s">
        <v>163</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164</v>
      </c>
    </row>
    <row r="2" spans="1:102" x14ac:dyDescent="0.25">
      <c r="A2" t="s">
        <v>165</v>
      </c>
      <c r="B2" s="57">
        <v>45170</v>
      </c>
      <c r="C2" t="s">
        <v>166</v>
      </c>
      <c r="D2" t="s">
        <v>167</v>
      </c>
      <c r="E2" t="s">
        <v>168</v>
      </c>
      <c r="F2" t="s">
        <v>96</v>
      </c>
      <c r="G2">
        <v>859.6</v>
      </c>
      <c r="H2">
        <v>75</v>
      </c>
      <c r="I2">
        <v>64470</v>
      </c>
      <c r="J2" t="s">
        <v>80</v>
      </c>
      <c r="K2">
        <v>212</v>
      </c>
      <c r="L2">
        <v>1498.5</v>
      </c>
      <c r="M2">
        <v>317682</v>
      </c>
      <c r="P2">
        <v>0</v>
      </c>
      <c r="R2" t="s">
        <v>95</v>
      </c>
      <c r="S2">
        <v>206</v>
      </c>
      <c r="T2">
        <v>276</v>
      </c>
      <c r="U2">
        <v>56856</v>
      </c>
      <c r="V2" t="s">
        <v>90</v>
      </c>
      <c r="W2">
        <v>154</v>
      </c>
      <c r="X2">
        <v>663</v>
      </c>
      <c r="Y2">
        <v>102102</v>
      </c>
      <c r="AB2">
        <v>0</v>
      </c>
      <c r="AD2" t="s">
        <v>87</v>
      </c>
      <c r="AE2">
        <v>61.6</v>
      </c>
      <c r="AF2">
        <v>237</v>
      </c>
      <c r="AG2">
        <v>14599.2</v>
      </c>
      <c r="AH2" t="s">
        <v>88</v>
      </c>
      <c r="AI2">
        <v>77.87</v>
      </c>
      <c r="AJ2">
        <v>975</v>
      </c>
      <c r="AK2">
        <v>75923.25</v>
      </c>
      <c r="AL2" t="s">
        <v>100</v>
      </c>
      <c r="AM2">
        <v>94</v>
      </c>
      <c r="AN2">
        <v>755</v>
      </c>
      <c r="AO2">
        <v>70970</v>
      </c>
      <c r="AP2" t="s">
        <v>30</v>
      </c>
      <c r="AQ2">
        <v>29</v>
      </c>
      <c r="AR2">
        <v>914</v>
      </c>
      <c r="AS2">
        <v>26506</v>
      </c>
      <c r="AV2">
        <v>0</v>
      </c>
      <c r="AZ2">
        <v>92</v>
      </c>
      <c r="BD2">
        <v>0</v>
      </c>
      <c r="BH2">
        <v>0</v>
      </c>
      <c r="BJ2" t="s">
        <v>45</v>
      </c>
      <c r="BK2">
        <v>365</v>
      </c>
      <c r="BL2">
        <v>72</v>
      </c>
      <c r="BM2" s="58">
        <v>26280</v>
      </c>
      <c r="BP2">
        <v>0</v>
      </c>
      <c r="BT2">
        <v>0</v>
      </c>
      <c r="BX2">
        <v>0</v>
      </c>
      <c r="BZ2">
        <v>43826</v>
      </c>
      <c r="CA2">
        <v>799214.45</v>
      </c>
      <c r="CH2">
        <v>799214.45</v>
      </c>
      <c r="CM2">
        <v>799214.45</v>
      </c>
      <c r="CO2">
        <v>799214.45</v>
      </c>
      <c r="CR2">
        <v>799214.45</v>
      </c>
      <c r="CS2">
        <v>49.38</v>
      </c>
      <c r="CT2" t="s">
        <v>169</v>
      </c>
      <c r="CU2" s="55">
        <v>39465210</v>
      </c>
      <c r="CV2" t="s">
        <v>170</v>
      </c>
      <c r="CW2" t="s">
        <v>171</v>
      </c>
      <c r="CX2">
        <v>500</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30"/>
  <sheetViews>
    <sheetView tabSelected="1" topLeftCell="A13" workbookViewId="0">
      <selection activeCell="E34" sqref="E34"/>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23" width="7.85546875" style="30" hidden="1" customWidth="1"/>
    <col min="24" max="24" width="7.85546875" style="30" customWidth="1"/>
    <col min="25" max="29" width="7.85546875" style="30" hidden="1" customWidth="1"/>
    <col min="30" max="31" width="7.85546875" style="30" customWidth="1"/>
    <col min="32" max="42" width="7.85546875" style="30" hidden="1" customWidth="1"/>
    <col min="43" max="43" width="7.85546875" style="30" customWidth="1"/>
    <col min="44" max="49" width="7.85546875" style="30" hidden="1" customWidth="1"/>
    <col min="50" max="50" width="7.85546875" style="30" customWidth="1"/>
    <col min="51" max="57" width="7.85546875" style="30" hidden="1" customWidth="1"/>
    <col min="58" max="58" width="7.85546875" style="30" customWidth="1"/>
    <col min="59" max="64" width="7.85546875" style="30" hidden="1" customWidth="1"/>
    <col min="65" max="65" width="7.85546875" style="30" customWidth="1"/>
    <col min="66" max="69" width="7.85546875" style="30" hidden="1" customWidth="1"/>
    <col min="70" max="70" width="7.85546875" style="30" customWidth="1"/>
    <col min="71" max="73" width="7.85546875" style="30" hidden="1" customWidth="1"/>
    <col min="74" max="74" width="7.85546875" style="30" customWidth="1"/>
    <col min="75" max="75" width="11.7109375" style="30" hidden="1" customWidth="1"/>
    <col min="76" max="76" width="17.140625" style="30" hidden="1"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4" customFormat="1" ht="15.75" thickBot="1" x14ac:dyDescent="0.3"/>
    <row r="2" spans="1:90" s="44" customFormat="1" ht="23.25" thickBot="1" x14ac:dyDescent="0.5">
      <c r="A2" s="152" t="s">
        <v>138</v>
      </c>
      <c r="B2" s="153"/>
      <c r="C2" s="153"/>
      <c r="D2" s="153"/>
      <c r="E2" s="153"/>
      <c r="F2" s="153"/>
      <c r="G2" s="153"/>
      <c r="H2" s="153"/>
      <c r="I2" s="153"/>
      <c r="J2" s="153"/>
      <c r="K2" s="153"/>
      <c r="L2" s="153"/>
      <c r="M2" s="153"/>
      <c r="N2" s="153"/>
      <c r="O2" s="153"/>
      <c r="P2" s="153"/>
      <c r="Q2" s="153"/>
      <c r="R2" s="154"/>
      <c r="S2" s="47"/>
      <c r="T2" s="47"/>
    </row>
    <row r="3" spans="1:90" s="44" customFormat="1" ht="15.75" thickBot="1" x14ac:dyDescent="0.3">
      <c r="A3"/>
      <c r="B3"/>
      <c r="C3"/>
      <c r="D3"/>
      <c r="E3"/>
      <c r="F3"/>
      <c r="G3"/>
      <c r="H3"/>
      <c r="I3"/>
      <c r="J3"/>
      <c r="K3"/>
      <c r="L3"/>
      <c r="M3"/>
      <c r="N3"/>
      <c r="O3"/>
      <c r="P3"/>
      <c r="Q3"/>
      <c r="R3"/>
      <c r="S3"/>
    </row>
    <row r="4" spans="1:90" s="44" customFormat="1" ht="51.75" customHeight="1" thickBot="1" x14ac:dyDescent="0.3">
      <c r="A4" s="45" t="s">
        <v>125</v>
      </c>
      <c r="B4" s="148" t="s">
        <v>139</v>
      </c>
      <c r="C4" s="148"/>
      <c r="D4" s="148"/>
      <c r="E4" s="148"/>
      <c r="F4" s="148"/>
      <c r="G4" s="148"/>
      <c r="H4" s="148"/>
      <c r="I4" s="148"/>
      <c r="J4" s="148"/>
      <c r="K4" s="148"/>
      <c r="L4" s="148"/>
      <c r="M4" s="148"/>
      <c r="N4" s="148"/>
      <c r="O4" s="148"/>
      <c r="P4" s="148"/>
      <c r="Q4" s="148"/>
      <c r="R4" s="148"/>
      <c r="S4"/>
    </row>
    <row r="5" spans="1:90" s="44" customFormat="1" ht="34.5" customHeight="1" x14ac:dyDescent="0.25">
      <c r="A5" s="45" t="s">
        <v>126</v>
      </c>
      <c r="B5" s="147" t="s">
        <v>140</v>
      </c>
      <c r="C5" s="148"/>
      <c r="D5" s="148"/>
      <c r="E5" s="148"/>
      <c r="F5" s="148"/>
      <c r="G5" s="148"/>
      <c r="H5" s="148"/>
      <c r="I5" s="148"/>
      <c r="J5" s="148"/>
      <c r="K5" s="148"/>
      <c r="L5" s="148"/>
      <c r="M5" s="148"/>
      <c r="N5" s="148"/>
      <c r="O5" s="148"/>
      <c r="P5" s="148"/>
      <c r="Q5" s="148"/>
      <c r="R5" s="148"/>
      <c r="S5"/>
    </row>
    <row r="6" spans="1:90" s="44" customFormat="1" ht="48" customHeight="1" x14ac:dyDescent="0.25">
      <c r="A6" s="46" t="s">
        <v>127</v>
      </c>
      <c r="B6" s="147" t="s">
        <v>235</v>
      </c>
      <c r="C6" s="148"/>
      <c r="D6" s="148"/>
      <c r="E6" s="148"/>
      <c r="F6" s="148"/>
      <c r="G6" s="148"/>
      <c r="H6" s="148"/>
      <c r="I6" s="148"/>
      <c r="J6" s="148"/>
      <c r="K6" s="148"/>
      <c r="L6" s="148"/>
      <c r="M6" s="148"/>
      <c r="N6" s="148"/>
      <c r="O6" s="148"/>
      <c r="P6" s="148"/>
      <c r="Q6" s="148"/>
      <c r="R6" s="148"/>
      <c r="S6"/>
    </row>
    <row r="7" spans="1:90" s="44" customFormat="1" ht="30" x14ac:dyDescent="0.25">
      <c r="A7" s="46" t="s">
        <v>124</v>
      </c>
      <c r="B7" s="147" t="s">
        <v>141</v>
      </c>
      <c r="C7" s="148"/>
      <c r="D7" s="148"/>
      <c r="E7" s="148"/>
      <c r="F7" s="148"/>
      <c r="G7" s="148"/>
      <c r="H7" s="148"/>
      <c r="I7" s="148"/>
      <c r="J7" s="148"/>
      <c r="K7" s="148"/>
      <c r="L7" s="148"/>
      <c r="M7" s="148"/>
      <c r="N7" s="148"/>
      <c r="O7" s="148"/>
      <c r="P7" s="148"/>
      <c r="Q7" s="148"/>
      <c r="R7" s="148"/>
      <c r="S7"/>
    </row>
    <row r="8" spans="1:90" s="44" customFormat="1" ht="28.5" customHeight="1" x14ac:dyDescent="0.25">
      <c r="A8" s="46" t="s">
        <v>128</v>
      </c>
      <c r="B8" s="147" t="s">
        <v>142</v>
      </c>
      <c r="C8" s="147"/>
      <c r="D8" s="147"/>
      <c r="E8" s="147"/>
      <c r="F8" s="147"/>
      <c r="G8" s="147"/>
      <c r="H8" s="147"/>
      <c r="I8" s="147"/>
      <c r="J8" s="147"/>
      <c r="K8" s="147"/>
      <c r="L8" s="147"/>
      <c r="M8" s="147"/>
      <c r="N8" s="147"/>
      <c r="O8" s="147"/>
      <c r="P8" s="147"/>
      <c r="Q8" s="147"/>
      <c r="R8" s="147"/>
      <c r="S8"/>
    </row>
    <row r="9" spans="1:90" s="44" customFormat="1" ht="65.25" customHeight="1" x14ac:dyDescent="0.25">
      <c r="A9" s="46" t="s">
        <v>129</v>
      </c>
      <c r="B9" s="149" t="s">
        <v>143</v>
      </c>
      <c r="C9" s="150"/>
      <c r="D9" s="150"/>
      <c r="E9" s="150"/>
      <c r="F9" s="150"/>
      <c r="G9" s="150"/>
      <c r="H9" s="150"/>
      <c r="I9" s="150"/>
      <c r="J9" s="150"/>
      <c r="K9" s="150"/>
      <c r="L9" s="150"/>
      <c r="M9" s="150"/>
      <c r="N9" s="150"/>
      <c r="O9" s="150"/>
      <c r="P9" s="150"/>
      <c r="Q9" s="150"/>
      <c r="R9" s="151"/>
    </row>
    <row r="10" spans="1:90" s="44" customFormat="1" ht="84" customHeight="1" x14ac:dyDescent="0.25">
      <c r="A10" s="46" t="s">
        <v>130</v>
      </c>
      <c r="B10" s="157" t="s">
        <v>173</v>
      </c>
      <c r="C10" s="158"/>
      <c r="D10" s="158"/>
      <c r="E10" s="158"/>
      <c r="F10" s="158"/>
      <c r="G10" s="158"/>
      <c r="H10" s="158"/>
      <c r="I10" s="158"/>
      <c r="J10" s="158"/>
      <c r="K10" s="158"/>
      <c r="L10" s="158"/>
      <c r="M10" s="158"/>
      <c r="N10" s="158"/>
      <c r="O10" s="158"/>
      <c r="P10" s="158"/>
      <c r="Q10" s="158"/>
      <c r="R10" s="159"/>
      <c r="S10"/>
    </row>
    <row r="11" spans="1:90" s="44" customFormat="1" ht="30" x14ac:dyDescent="0.25">
      <c r="A11" s="49" t="s">
        <v>131</v>
      </c>
      <c r="B11" s="160" t="s">
        <v>144</v>
      </c>
      <c r="C11" s="160"/>
      <c r="D11" s="160"/>
      <c r="E11" s="160"/>
      <c r="F11" s="160"/>
      <c r="G11" s="160"/>
      <c r="H11" s="160"/>
      <c r="I11" s="160"/>
      <c r="J11" s="160"/>
      <c r="K11" s="160"/>
      <c r="L11" s="160"/>
      <c r="M11" s="160"/>
      <c r="N11" s="160"/>
      <c r="O11" s="160"/>
      <c r="P11" s="160"/>
      <c r="Q11" s="160"/>
      <c r="R11" s="160"/>
    </row>
    <row r="12" spans="1:90" s="44" customFormat="1" ht="46.5" customHeight="1" x14ac:dyDescent="0.25">
      <c r="A12" s="49" t="s">
        <v>132</v>
      </c>
      <c r="B12" s="160" t="s">
        <v>145</v>
      </c>
      <c r="C12" s="160"/>
      <c r="D12" s="160"/>
      <c r="E12" s="160"/>
      <c r="F12" s="160"/>
      <c r="G12" s="160"/>
      <c r="H12" s="160"/>
      <c r="I12" s="160"/>
      <c r="J12" s="160"/>
      <c r="K12" s="160"/>
      <c r="L12" s="160"/>
      <c r="M12" s="160"/>
      <c r="N12" s="160"/>
      <c r="O12" s="160"/>
      <c r="P12" s="160"/>
      <c r="Q12" s="160"/>
      <c r="R12" s="160"/>
    </row>
    <row r="13" spans="1:90" s="44" customFormat="1" ht="30" x14ac:dyDescent="0.25">
      <c r="A13" s="50" t="s">
        <v>133</v>
      </c>
      <c r="B13" s="160"/>
      <c r="C13" s="160"/>
      <c r="D13" s="160"/>
      <c r="E13" s="160"/>
      <c r="F13" s="160"/>
      <c r="G13" s="160"/>
      <c r="H13" s="160"/>
      <c r="I13" s="160"/>
      <c r="J13" s="160"/>
      <c r="K13" s="160"/>
      <c r="L13" s="160"/>
      <c r="M13" s="160"/>
      <c r="N13" s="160"/>
      <c r="O13" s="160"/>
      <c r="P13" s="160"/>
      <c r="Q13" s="160"/>
      <c r="R13" s="160"/>
    </row>
    <row r="15" spans="1:90" s="37" customFormat="1" ht="28.9" customHeight="1" x14ac:dyDescent="0.25">
      <c r="E15" s="42"/>
      <c r="H15" s="43"/>
      <c r="N15" s="161" t="str">
        <f>Sheet1!J1</f>
        <v>Conductor</v>
      </c>
      <c r="O15" s="161"/>
      <c r="P15" s="161"/>
      <c r="Q15" s="161"/>
      <c r="R15" s="161"/>
      <c r="S15" s="161" t="s">
        <v>9</v>
      </c>
      <c r="T15" s="161"/>
      <c r="U15" s="161" t="s">
        <v>3</v>
      </c>
      <c r="V15" s="161"/>
      <c r="W15" s="161"/>
      <c r="X15" s="161"/>
      <c r="Y15" s="161"/>
      <c r="Z15" s="161"/>
      <c r="AA15" s="161"/>
      <c r="AB15" s="161"/>
      <c r="AC15" s="161" t="s">
        <v>12</v>
      </c>
      <c r="AD15" s="161"/>
      <c r="AE15" s="161" t="s">
        <v>15</v>
      </c>
      <c r="AF15" s="161"/>
      <c r="AG15" s="161"/>
      <c r="AH15" s="161"/>
      <c r="AI15" s="161"/>
      <c r="AJ15" s="161"/>
      <c r="AK15" s="10" t="s">
        <v>18</v>
      </c>
      <c r="AL15" s="155" t="s">
        <v>21</v>
      </c>
      <c r="AM15" s="156"/>
      <c r="AN15" s="156"/>
      <c r="AO15" s="156"/>
      <c r="AP15" s="156"/>
      <c r="AQ15" s="156"/>
      <c r="AR15" s="156"/>
      <c r="AS15" s="161" t="s">
        <v>24</v>
      </c>
      <c r="AT15" s="161"/>
      <c r="AU15" s="161"/>
      <c r="AV15" s="161"/>
      <c r="AW15" s="161"/>
      <c r="AX15" s="161"/>
      <c r="AY15" s="161"/>
      <c r="AZ15" s="161"/>
      <c r="BA15" s="161"/>
      <c r="BB15" s="161"/>
      <c r="BC15" s="161" t="s">
        <v>27</v>
      </c>
      <c r="BD15" s="161"/>
      <c r="BE15" s="161"/>
      <c r="BF15" s="161"/>
      <c r="BG15" s="161"/>
      <c r="BH15" s="161"/>
      <c r="BI15" s="161"/>
      <c r="BJ15" s="161"/>
      <c r="BK15" s="161"/>
      <c r="BL15" s="161"/>
      <c r="BM15" s="38" t="s">
        <v>30</v>
      </c>
      <c r="BN15" s="10" t="s">
        <v>33</v>
      </c>
      <c r="BO15" s="10" t="s">
        <v>36</v>
      </c>
      <c r="BP15" s="10" t="s">
        <v>39</v>
      </c>
      <c r="BQ15" s="10" t="s">
        <v>42</v>
      </c>
      <c r="BR15" s="10" t="s">
        <v>45</v>
      </c>
      <c r="BS15" s="10" t="s">
        <v>48</v>
      </c>
      <c r="BT15" s="10" t="s">
        <v>51</v>
      </c>
      <c r="BU15" s="10" t="s">
        <v>54</v>
      </c>
      <c r="BV15" s="10"/>
      <c r="BW15" s="10"/>
      <c r="BX15" s="10"/>
      <c r="BY15" s="10"/>
      <c r="BZ15" s="39" t="s">
        <v>57</v>
      </c>
      <c r="CA15" s="39" t="s">
        <v>58</v>
      </c>
      <c r="CB15" s="40" t="s">
        <v>79</v>
      </c>
      <c r="CC15" s="39" t="s">
        <v>123</v>
      </c>
      <c r="CD15" s="41"/>
      <c r="CE15" s="42"/>
      <c r="CF15" s="43"/>
      <c r="CG15" s="42"/>
      <c r="CH15" s="42"/>
      <c r="CI15" s="43"/>
      <c r="CK15" s="43"/>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85</v>
      </c>
      <c r="P16" s="23" t="s">
        <v>82</v>
      </c>
      <c r="Q16" s="23" t="s">
        <v>83</v>
      </c>
      <c r="R16" s="23" t="s">
        <v>84</v>
      </c>
      <c r="S16" s="23" t="s">
        <v>80</v>
      </c>
      <c r="T16" s="23" t="s">
        <v>85</v>
      </c>
      <c r="U16" s="24" t="s">
        <v>92</v>
      </c>
      <c r="V16" s="24" t="s">
        <v>96</v>
      </c>
      <c r="W16" s="24" t="s">
        <v>99</v>
      </c>
      <c r="X16" s="24" t="s">
        <v>104</v>
      </c>
      <c r="Y16" s="24" t="s">
        <v>108</v>
      </c>
      <c r="Z16" s="24" t="s">
        <v>112</v>
      </c>
      <c r="AA16" s="24" t="s">
        <v>115</v>
      </c>
      <c r="AB16" s="24" t="s">
        <v>117</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116</v>
      </c>
      <c r="AS16" s="24" t="s">
        <v>94</v>
      </c>
      <c r="AT16" s="24" t="s">
        <v>81</v>
      </c>
      <c r="AU16" s="24" t="s">
        <v>101</v>
      </c>
      <c r="AV16" s="24" t="s">
        <v>106</v>
      </c>
      <c r="AW16" s="24" t="s">
        <v>113</v>
      </c>
      <c r="AX16" s="24" t="s">
        <v>88</v>
      </c>
      <c r="AY16" s="24" t="s">
        <v>118</v>
      </c>
      <c r="AZ16" s="24" t="s">
        <v>119</v>
      </c>
      <c r="BA16" s="24" t="s">
        <v>120</v>
      </c>
      <c r="BB16" s="24" t="s">
        <v>122</v>
      </c>
      <c r="BC16" s="24" t="s">
        <v>93</v>
      </c>
      <c r="BD16" s="24" t="s">
        <v>97</v>
      </c>
      <c r="BE16" s="24" t="s">
        <v>102</v>
      </c>
      <c r="BF16" s="24" t="s">
        <v>100</v>
      </c>
      <c r="BG16" s="24" t="s">
        <v>110</v>
      </c>
      <c r="BH16" s="24" t="s">
        <v>114</v>
      </c>
      <c r="BI16" s="24" t="s">
        <v>105</v>
      </c>
      <c r="BJ16" s="24" t="s">
        <v>87</v>
      </c>
      <c r="BK16" s="24" t="s">
        <v>116</v>
      </c>
      <c r="BL16" s="24" t="s">
        <v>121</v>
      </c>
      <c r="BM16" s="20" t="s">
        <v>30</v>
      </c>
      <c r="BN16" s="20" t="s">
        <v>89</v>
      </c>
      <c r="BO16" s="21" t="s">
        <v>36</v>
      </c>
      <c r="BP16" s="25" t="s">
        <v>39</v>
      </c>
      <c r="BQ16" s="21" t="s">
        <v>42</v>
      </c>
      <c r="BR16" s="21" t="s">
        <v>45</v>
      </c>
      <c r="BS16" s="21" t="s">
        <v>48</v>
      </c>
      <c r="BT16" s="25" t="s">
        <v>51</v>
      </c>
      <c r="BU16" s="21" t="s">
        <v>54</v>
      </c>
      <c r="BV16" s="21" t="str">
        <f>Sheet1!E1</f>
        <v>PROPOSE DRUM TYPE</v>
      </c>
      <c r="BW16" s="54" t="str">
        <f>Sheet1!CV1</f>
        <v>DRUM CODE</v>
      </c>
      <c r="BX16" s="54" t="str">
        <f>Sheet1!CW1</f>
        <v>DRUM SIZE (FxbXtx Ft)</v>
      </c>
      <c r="BY16" s="56" t="str">
        <f>Sheet1!CX1</f>
        <v xml:space="preserve">PARTY STANDARD LENGTH (MTR) </v>
      </c>
      <c r="BZ16" s="29" t="s">
        <v>241</v>
      </c>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v>212</v>
      </c>
      <c r="O17" s="32">
        <f>+IFERROR(VLOOKUP($O$16,Sheet1!J:L,2,0),0)</f>
        <v>0</v>
      </c>
      <c r="P17" s="32">
        <f>+IFERROR(VLOOKUP($P$16,Sheet1!J:M,2,0),0)</f>
        <v>0</v>
      </c>
      <c r="Q17" s="32">
        <f>+IFERROR(VLOOKUP($Q$16,Sheet1!J:M,2,0),0)</f>
        <v>0</v>
      </c>
      <c r="R17" s="32">
        <f>+IFERROR(VLOOKUP($R$16,Sheet1!J:M,2,0),0)</f>
        <v>0</v>
      </c>
      <c r="S17" s="32">
        <f>+IFERROR(VLOOKUP($S$16,Sheet1!N:Q,2,0),0)</f>
        <v>0</v>
      </c>
      <c r="T17" s="32">
        <f>+IFERROR(VLOOKUP($T$16,Sheet1!N:O,2,0),0)</f>
        <v>0</v>
      </c>
      <c r="U17" s="33">
        <f>+IFERROR(VLOOKUP($U$16,Sheet1!F:I,2,0),0)</f>
        <v>0</v>
      </c>
      <c r="V17" s="33"/>
      <c r="W17" s="33">
        <f>+IFERROR(VLOOKUP($W$16,Sheet1!F:I,2,0),0)</f>
        <v>0</v>
      </c>
      <c r="X17" s="33">
        <v>864</v>
      </c>
      <c r="Y17" s="33">
        <f>+IFERROR(VLOOKUP($Y$16,Sheet1!F:I,2,0),0)</f>
        <v>0</v>
      </c>
      <c r="Z17" s="33">
        <f>+IFERROR(VLOOKUP($Z$16,Sheet1!F:I,2,0),0)</f>
        <v>0</v>
      </c>
      <c r="AA17" s="33">
        <f>+IFERROR(VLOOKUP($AA$16,Sheet1!F:I,2,0),0)</f>
        <v>0</v>
      </c>
      <c r="AB17" s="33">
        <f>+IFERROR(VLOOKUP($AB$16,Sheet1!F:I,2,0),0)</f>
        <v>0</v>
      </c>
      <c r="AC17" s="33">
        <f>+IFERROR(VLOOKUP($AC$16,Sheet1!R:U,2,0),0)</f>
        <v>0</v>
      </c>
      <c r="AD17" s="33">
        <v>205</v>
      </c>
      <c r="AE17" s="33">
        <v>150</v>
      </c>
      <c r="AF17" s="33">
        <f>+IFERROR(VLOOKUP($AF$16,Sheet1!V:Y,2,0),0)</f>
        <v>0</v>
      </c>
      <c r="AG17" s="33">
        <f>+IFERROR(VLOOKUP($AG$16,Sheet1!V:Y,2,0),0)</f>
        <v>0</v>
      </c>
      <c r="AH17" s="33">
        <f>+IFERROR(VLOOKUP($AH$16,Sheet1!V:Y,2,0),0)</f>
        <v>0</v>
      </c>
      <c r="AI17" s="33">
        <f>+IFERROR(VLOOKUP($AI$16,Sheet1!V:Y,2,0),0)</f>
        <v>0</v>
      </c>
      <c r="AJ17" s="33">
        <f>+IFERROR(VLOOKUP($AJ$16,Sheet1!V:Y,2,0),0)</f>
        <v>0</v>
      </c>
      <c r="AK17" s="34">
        <f>+IFERROR(VLOOKUP($AK$16,Sheet1!Z2:AA840,2,0),0)</f>
        <v>0</v>
      </c>
      <c r="AL17" s="33">
        <f>+IFERROR(VLOOKUP($AL$16,Sheet1!AD2:AG840,2,0),0)</f>
        <v>0</v>
      </c>
      <c r="AM17" s="33">
        <f>+IFERROR(VLOOKUP($AM$16,Sheet1!AD2:AG840,2,0),0)</f>
        <v>0</v>
      </c>
      <c r="AN17" s="33">
        <f>+IFERROR(VLOOKUP($AN$16,Sheet1!AD2:AG840,2,0),0)</f>
        <v>0</v>
      </c>
      <c r="AO17" s="33">
        <f>+IFERROR(VLOOKUP($AO$16,Sheet1!AD2:AG840,2,0),0)</f>
        <v>0</v>
      </c>
      <c r="AP17" s="33">
        <f>+IFERROR(VLOOKUP($AP$16,Sheet1!AD2:AG840,2,0),0)</f>
        <v>0</v>
      </c>
      <c r="AQ17" s="33">
        <v>62</v>
      </c>
      <c r="AR17" s="33">
        <f>+IFERROR(VLOOKUP($AR$16,Sheet1!AD2:AG840,2,0),0)</f>
        <v>0</v>
      </c>
      <c r="AS17" s="33">
        <f>+IFERROR(VLOOKUP($AS$16,Sheet1!AH2:AK840,2,0),0)</f>
        <v>0</v>
      </c>
      <c r="AT17" s="33">
        <f>+IFERROR(VLOOKUP($AT$16,Sheet1!AH2:AK840,2,0),0)</f>
        <v>0</v>
      </c>
      <c r="AU17" s="33">
        <f>+IFERROR(VLOOKUP($AU$16,Sheet1!AH2:AK840,2,0),0)</f>
        <v>0</v>
      </c>
      <c r="AV17" s="33">
        <f>+IFERROR(VLOOKUP($AV$16,Sheet1!AH2:AK840,2,0),0)</f>
        <v>0</v>
      </c>
      <c r="AW17" s="33">
        <f>+IFERROR(VLOOKUP($AW$16,Sheet1!AH2:AK840,2,0),0)</f>
        <v>0</v>
      </c>
      <c r="AX17" s="33">
        <v>76</v>
      </c>
      <c r="AY17" s="33">
        <f>+IFERROR(VLOOKUP($AY$16,Sheet1!AH2:AK840,2,0),0)</f>
        <v>0</v>
      </c>
      <c r="AZ17" s="33">
        <f>+IFERROR(VLOOKUP($AZ$16,Sheet1!AH2:AK840,2,0),0)</f>
        <v>0</v>
      </c>
      <c r="BA17" s="33">
        <f>+IFERROR(VLOOKUP($BA$16,Sheet1!AH2:AK840,2,0),0)</f>
        <v>0</v>
      </c>
      <c r="BB17" s="33">
        <f>+IFERROR(VLOOKUP($BB$16,Sheet1!AH2:AK840,2,0),0)</f>
        <v>0</v>
      </c>
      <c r="BC17" s="33">
        <f>+IFERROR(VLOOKUP($BC$16,Sheet1!AL2:AO840,2,0),0)</f>
        <v>0</v>
      </c>
      <c r="BD17" s="33">
        <f>+IFERROR(VLOOKUP($BD$16,Sheet1!AL2:AO840,2,0),0)</f>
        <v>0</v>
      </c>
      <c r="BE17" s="33">
        <f>+IFERROR(VLOOKUP($BE$16,Sheet1!AL2:AO840,2,0),0)</f>
        <v>0</v>
      </c>
      <c r="BF17" s="33">
        <f>+IFERROR(VLOOKUP($BF$16,Sheet1!AL2:AO840,2,0),0)</f>
        <v>94</v>
      </c>
      <c r="BG17" s="33">
        <f>+IFERROR(VLOOKUP($BG$16,Sheet1!AL2:AO840,2,0),0)</f>
        <v>0</v>
      </c>
      <c r="BH17" s="33">
        <f>+IFERROR(VLOOKUP($BH$16,Sheet1!AL2:AO840,2,0),0)</f>
        <v>0</v>
      </c>
      <c r="BI17" s="33">
        <f>+IFERROR(VLOOKUP($BI$16,Sheet1!AL2:AO840,2,0),0)</f>
        <v>0</v>
      </c>
      <c r="BJ17" s="33">
        <f>+IFERROR(VLOOKUP($BJ$16,Sheet1!AL2:AO840,2,0),0)</f>
        <v>0</v>
      </c>
      <c r="BK17" s="33">
        <f>+IFERROR(VLOOKUP($BK$16,Sheet1!AL2:AO840,2,0),0)</f>
        <v>0</v>
      </c>
      <c r="BL17" s="33">
        <f>+IFERROR(VLOOKUP($BL$16,Sheet1!AL2:AO840,2,0),0)</f>
        <v>0</v>
      </c>
      <c r="BM17" s="34">
        <f>+IFERROR(VLOOKUP($BM$16,Sheet1!AP2:AS840,2,0),0)</f>
        <v>29</v>
      </c>
      <c r="BN17" s="34">
        <f>+IFERROR(VLOOKUP($BN$16,Sheet1!AT2:AW840,2,0),0)</f>
        <v>0</v>
      </c>
      <c r="BO17" s="35">
        <f>+IFERROR(VLOOKUP($BO$16,Sheet1!AX2:BA840,2,0),0)</f>
        <v>0</v>
      </c>
      <c r="BP17" s="36">
        <f>+IFERROR(VLOOKUP($BP$16,Sheet1!BB2:BE840,2,0),0)</f>
        <v>0</v>
      </c>
      <c r="BQ17" s="35">
        <f>+IFERROR(VLOOKUP($BQ$16,Sheet1!BF2:BI840,2,0),0)</f>
        <v>0</v>
      </c>
      <c r="BR17" s="35">
        <f>+IFERROR(VLOOKUP($BR$16,Sheet1!BJ2:BM840,2,0),0)</f>
        <v>365</v>
      </c>
      <c r="BS17" s="35">
        <f>+IFERROR(VLOOKUP($BS$16,Sheet1!BN2:BQ840,2,0),0)</f>
        <v>0</v>
      </c>
      <c r="BT17" s="36">
        <f>+IFERROR(VLOOKUP($BT$16,Sheet1!BR2:BU840,2,0),0)</f>
        <v>0</v>
      </c>
      <c r="BU17" s="35">
        <f>+IFERROR(VLOOKUP($BU$16,Sheet1!BV2:BY840,2,0),0)</f>
        <v>0</v>
      </c>
      <c r="BV17" s="53"/>
      <c r="BW17" s="53"/>
      <c r="BX17" s="53"/>
      <c r="BY17" s="53"/>
      <c r="CD17" s="5"/>
      <c r="CE17" s="5"/>
      <c r="CF17" s="5"/>
      <c r="CG17" s="5"/>
      <c r="CH17" s="5"/>
      <c r="CI17" s="5"/>
      <c r="CJ17" s="5"/>
      <c r="CK17" s="5"/>
      <c r="CL17" s="5"/>
    </row>
    <row r="18" spans="1:90" ht="30" x14ac:dyDescent="0.25">
      <c r="A18" s="1" t="str">
        <f>Sheet1!A2</f>
        <v>ENQ-11515-22-23</v>
      </c>
      <c r="B18" s="52">
        <f>Sheet1!B2</f>
        <v>45170</v>
      </c>
      <c r="C18" s="1" t="str">
        <f>Sheet1!C2</f>
        <v>FA1300002</v>
      </c>
      <c r="D18" s="1" t="str">
        <f>Sheet1!D2</f>
        <v>3 CORE X 185 SQ. MM AL/ARM - STRIP (XLPE) - 11 KV</v>
      </c>
      <c r="E18" s="3">
        <f>CH18+CJ18+CL18</f>
        <v>1006636.124</v>
      </c>
      <c r="F18" s="64">
        <f>ROUNDUP(M21,0)</f>
        <v>33739</v>
      </c>
      <c r="G18" s="9">
        <f>E18+F18</f>
        <v>1040375.124</v>
      </c>
      <c r="H18" s="7">
        <v>0.18</v>
      </c>
      <c r="I18" s="9">
        <f>G18*H18</f>
        <v>187267.52231999999</v>
      </c>
      <c r="J18" s="9">
        <f>G18+I18</f>
        <v>1227642.6463199998</v>
      </c>
      <c r="K18" s="1">
        <f>Sheet1!CS2</f>
        <v>49.38</v>
      </c>
      <c r="L18" s="1" t="str">
        <f>Sheet1!CT2</f>
        <v>KMS</v>
      </c>
      <c r="M18" s="3">
        <f>J18*K18</f>
        <v>60620993.875281595</v>
      </c>
      <c r="N18" s="145">
        <v>1503</v>
      </c>
      <c r="O18" s="2">
        <f>+IFERROR(VLOOKUP($O$16,Sheet1!J2:L2,3,0),0)</f>
        <v>0</v>
      </c>
      <c r="P18" s="2">
        <f>+IFERROR(VLOOKUP($P$16,Sheet1!J2:M2,3,0),0)</f>
        <v>0</v>
      </c>
      <c r="Q18" s="2">
        <f>+IFERROR(VLOOKUP($Q$16,Sheet1!J2:M2,3,0),0)</f>
        <v>0</v>
      </c>
      <c r="R18" s="2">
        <f>+IFERROR(VLOOKUP($R$16,Sheet1!J2:M2,3,0),0)</f>
        <v>0</v>
      </c>
      <c r="S18" s="2">
        <f>+IFERROR(VLOOKUP($S$16,Sheet1!N2:Q2,3,0),0)</f>
        <v>0</v>
      </c>
      <c r="T18" s="2">
        <f>+IFERROR(VLOOKUP($T$16,Sheet1!N2:Q2,3,0),0)</f>
        <v>0</v>
      </c>
      <c r="U18" s="2">
        <f>+IFERROR(VLOOKUP($U$16,Sheet1!F2:I2,3,0),0)</f>
        <v>0</v>
      </c>
      <c r="V18" s="2"/>
      <c r="W18" s="2">
        <f>+IFERROR(VLOOKUP($W$16,Sheet1!F2:I2,3,0),0)</f>
        <v>0</v>
      </c>
      <c r="X18" s="145">
        <v>101</v>
      </c>
      <c r="Y18" s="2">
        <f>+IFERROR(VLOOKUP($Y$16,Sheet1!F2:I2,3,0),0)</f>
        <v>0</v>
      </c>
      <c r="Z18" s="2">
        <f>+IFERROR(VLOOKUP($Z$16,Sheet1!F2:I2,3,0),0)</f>
        <v>0</v>
      </c>
      <c r="AA18" s="2">
        <f>+IFERROR(VLOOKUP($AA$16,Sheet1!F2:I2,3,0),0)</f>
        <v>0</v>
      </c>
      <c r="AB18" s="2">
        <f>+IFERROR(VLOOKUP($AB$16,Sheet1!F2:I2,3,0),0)</f>
        <v>0</v>
      </c>
      <c r="AC18" s="2">
        <f>+IFERROR(VLOOKUP($AC$16,Sheet1!R2:U2,3,0),0)</f>
        <v>0</v>
      </c>
      <c r="AD18" s="146">
        <v>268</v>
      </c>
      <c r="AE18" s="145">
        <v>670</v>
      </c>
      <c r="AF18" s="15">
        <f>+IFERROR(VLOOKUP($AF$16,Sheet1!V2:Y2,3,0),0)</f>
        <v>0</v>
      </c>
      <c r="AG18" s="15">
        <f>+IFERROR(VLOOKUP($AG$16,Sheet1!V2:Y2,3,0),0)</f>
        <v>0</v>
      </c>
      <c r="AH18" s="15">
        <f>+IFERROR(VLOOKUP($AH$16,Sheet1!V2:Y2,3,0),0)</f>
        <v>0</v>
      </c>
      <c r="AI18" s="15">
        <f>+IFERROR(VLOOKUP($AI$16,Sheet1!V2:Y2,3,0),0)</f>
        <v>0</v>
      </c>
      <c r="AJ18" s="15">
        <f>+IFERROR(VLOOKUP($AJ$16,Sheet1!V2:Y2,3,0),0)</f>
        <v>0</v>
      </c>
      <c r="AK18" s="15">
        <f>+IFERROR(VLOOKUP($AK$16,Sheet1!Z2:AB2,3,0),0)</f>
        <v>0</v>
      </c>
      <c r="AL18" s="15">
        <f>+IFERROR(VLOOKUP($AL$16,Sheet1!AD2:AG2,3,0),0)</f>
        <v>0</v>
      </c>
      <c r="AM18" s="15">
        <f>+IFERROR(VLOOKUP($AM$16,Sheet1!AD2:AG2,3,0),0)</f>
        <v>0</v>
      </c>
      <c r="AN18" s="15">
        <f>+IFERROR(VLOOKUP($AN$16,Sheet1!AD2:AG2,3,0),0)</f>
        <v>0</v>
      </c>
      <c r="AO18" s="15">
        <f>+IFERROR(VLOOKUP($AO$16,Sheet1!AD2:AG2,3,0),0)</f>
        <v>0</v>
      </c>
      <c r="AP18" s="15">
        <f>+IFERROR(VLOOKUP($AP$16,Sheet1!AD2:AG2,3,0),0)</f>
        <v>0</v>
      </c>
      <c r="AQ18" s="146">
        <f>+IFERROR(VLOOKUP($AQ$16,Sheet1!AD2:AG2,3,0),0)</f>
        <v>237</v>
      </c>
      <c r="AR18" s="15">
        <f>+IFERROR(VLOOKUP($AR$16,Sheet1!AD2:AG2,3,0),0)</f>
        <v>0</v>
      </c>
      <c r="AS18" s="15">
        <f>+IFERROR(VLOOKUP($AS$16,Sheet1!AH2:AK2,3,0),0)</f>
        <v>0</v>
      </c>
      <c r="AT18" s="15">
        <f>+IFERROR(VLOOKUP($AT$16,Sheet1!AH2:AK2,3,0),0)</f>
        <v>0</v>
      </c>
      <c r="AU18" s="15">
        <f>+IFERROR(VLOOKUP($AU$16,Sheet1!AH2:AK2,3,0),0)</f>
        <v>0</v>
      </c>
      <c r="AV18" s="15">
        <f>+IFERROR(VLOOKUP($AV$16,Sheet1!AH2:AK2,3,0),0)</f>
        <v>0</v>
      </c>
      <c r="AW18" s="15">
        <f>+IFERROR(VLOOKUP($AW$16,Sheet1!AH2:AK2,3,0),0)</f>
        <v>0</v>
      </c>
      <c r="AX18" s="146">
        <f>+IFERROR(VLOOKUP($AX$16,Sheet1!AH2:AK2,3,0),0)</f>
        <v>975</v>
      </c>
      <c r="AY18" s="15">
        <f>+IFERROR(VLOOKUP($AY$16,Sheet1!AH2:AK2,3,0),0)</f>
        <v>0</v>
      </c>
      <c r="AZ18" s="15">
        <f>+IFERROR(VLOOKUP($AZ$16,Sheet1!AH2:AK2,3,0),0)</f>
        <v>0</v>
      </c>
      <c r="BA18" s="15">
        <f>+IFERROR(VLOOKUP($BA$16,Sheet1!AH2:AK2,3,0),0)</f>
        <v>0</v>
      </c>
      <c r="BB18" s="15">
        <f>+IFERROR(VLOOKUP($BB$16,Sheet1!AH2:AK2,3,0),0)</f>
        <v>0</v>
      </c>
      <c r="BC18" s="15">
        <f>+IFERROR(VLOOKUP($BC$16,Sheet1!AL2:AO2,3,0),0)</f>
        <v>0</v>
      </c>
      <c r="BD18" s="15">
        <f>+IFERROR(VLOOKUP($BD$16,Sheet1!AL2:AO2,3,0),0)</f>
        <v>0</v>
      </c>
      <c r="BE18" s="15">
        <f>+IFERROR(VLOOKUP($BE$16,Sheet1!AL2:AO2,3,0),0)</f>
        <v>0</v>
      </c>
      <c r="BF18" s="146">
        <v>762</v>
      </c>
      <c r="BG18" s="15">
        <f>+IFERROR(VLOOKUP($BG$16,Sheet1!AL2:AO2,3,0),0)</f>
        <v>0</v>
      </c>
      <c r="BH18" s="15">
        <f>+IFERROR(VLOOKUP($BH$16,Sheet1!AL2:AO2,3,0),0)</f>
        <v>0</v>
      </c>
      <c r="BI18" s="15">
        <f>+IFERROR(VLOOKUP($BI$16,Sheet1!AL2:AO2,3,0),0)</f>
        <v>0</v>
      </c>
      <c r="BJ18" s="15">
        <f>+IFERROR(VLOOKUP($BJ$16,Sheet1!AL2:AO2,3,0),0)</f>
        <v>0</v>
      </c>
      <c r="BK18" s="15">
        <f>+IFERROR(VLOOKUP($BK$16,Sheet1!AL2:AO2,3,0),0)</f>
        <v>0</v>
      </c>
      <c r="BL18" s="15">
        <f>+IFERROR(VLOOKUP($BL$16,Sheet1!AL2:AO2,3,0),0)</f>
        <v>0</v>
      </c>
      <c r="BM18" s="146">
        <v>923</v>
      </c>
      <c r="BN18" s="15">
        <f>+IFERROR(VLOOKUP($BN$16,Sheet1!AT2:AW2,3,0),0)</f>
        <v>0</v>
      </c>
      <c r="BO18" s="15">
        <f>+IFERROR(VLOOKUP($BO$16,Sheet1!AX2:BA2,3,0),0)</f>
        <v>0</v>
      </c>
      <c r="BP18" s="15">
        <f>+IFERROR(VLOOKUP($BP$16,Sheet1!BB2:BE2,3,0),0)</f>
        <v>0</v>
      </c>
      <c r="BQ18" s="15">
        <f>+IFERROR(VLOOKUP($BQ$16,Sheet1!BF2:BI2,3,0),0)</f>
        <v>0</v>
      </c>
      <c r="BR18" s="146">
        <v>36</v>
      </c>
      <c r="BS18" s="15">
        <f>+IFERROR(VLOOKUP($BS$16,Sheet1!BN2:BQ2,3,0),0)</f>
        <v>0</v>
      </c>
      <c r="BT18" s="15">
        <f>+IFERROR(VLOOKUP($BT$16,Sheet1!BR2:BU2,3,0),0)</f>
        <v>0</v>
      </c>
      <c r="BU18" s="15">
        <f>+IFERROR(VLOOKUP($BU$16,Sheet1!BV2:BY2,3,0),0)</f>
        <v>0</v>
      </c>
      <c r="BV18" s="15" t="s">
        <v>172</v>
      </c>
      <c r="BW18" s="15"/>
      <c r="BX18" s="15"/>
      <c r="BY18" s="15">
        <f>Sheet1!CX2</f>
        <v>500</v>
      </c>
      <c r="BZ18" s="3">
        <v>80000</v>
      </c>
      <c r="CA18" s="3">
        <f>SUMPRODUCT($N$17:$BU$17,N18:BU18)+BZ18</f>
        <v>841669</v>
      </c>
      <c r="CB18" s="27">
        <f>Sheet1!CB2</f>
        <v>0</v>
      </c>
      <c r="CC18" s="3">
        <f>CA18*CB18</f>
        <v>0</v>
      </c>
      <c r="CD18" s="48">
        <v>0.15</v>
      </c>
      <c r="CE18" s="3">
        <f>CA18*CD18</f>
        <v>126250.34999999999</v>
      </c>
      <c r="CF18" s="48">
        <v>0</v>
      </c>
      <c r="CG18" s="3">
        <f>CA18*CF18</f>
        <v>0</v>
      </c>
      <c r="CH18" s="3">
        <f>CA18+CC18+CE18+CG18</f>
        <v>967919.35</v>
      </c>
      <c r="CI18" s="48">
        <v>0.02</v>
      </c>
      <c r="CJ18" s="1">
        <f>CH18*CI18</f>
        <v>19358.386999999999</v>
      </c>
      <c r="CK18" s="48">
        <v>0.02</v>
      </c>
      <c r="CL18" s="1">
        <f>CH18*CK18</f>
        <v>19358.386999999999</v>
      </c>
    </row>
    <row r="20" spans="1:90" ht="30" x14ac:dyDescent="0.25">
      <c r="E20" s="2" t="s">
        <v>174</v>
      </c>
      <c r="F20" s="2" t="s">
        <v>175</v>
      </c>
      <c r="G20" s="59" t="s">
        <v>176</v>
      </c>
      <c r="H20" s="2" t="s">
        <v>177</v>
      </c>
      <c r="I20" s="2" t="s">
        <v>178</v>
      </c>
      <c r="J20" s="2" t="s">
        <v>179</v>
      </c>
      <c r="K20" s="2" t="s">
        <v>180</v>
      </c>
      <c r="L20" s="2" t="s">
        <v>181</v>
      </c>
      <c r="M20" s="60" t="s">
        <v>182</v>
      </c>
    </row>
    <row r="21" spans="1:90" x14ac:dyDescent="0.25">
      <c r="E21" s="59">
        <f>K18</f>
        <v>49.38</v>
      </c>
      <c r="F21" s="61">
        <v>0.5</v>
      </c>
      <c r="G21" s="59" t="s">
        <v>183</v>
      </c>
      <c r="H21" s="62">
        <v>98000</v>
      </c>
      <c r="I21" s="61">
        <v>6</v>
      </c>
      <c r="J21" s="59">
        <f>F21*I21</f>
        <v>3</v>
      </c>
      <c r="K21" s="59">
        <f>ROUNDUP((E21/J21),0)</f>
        <v>17</v>
      </c>
      <c r="L21" s="59">
        <f>M21*E21</f>
        <v>1666000</v>
      </c>
      <c r="M21" s="63">
        <f>(H21*K21)/E21</f>
        <v>33738.355609558523</v>
      </c>
    </row>
    <row r="22" spans="1:90" x14ac:dyDescent="0.25">
      <c r="I22" t="s">
        <v>241</v>
      </c>
    </row>
    <row r="24" spans="1:90" x14ac:dyDescent="0.25">
      <c r="I24">
        <f>SUM(N18:BR18)/2</f>
        <v>2737.5</v>
      </c>
    </row>
    <row r="25" spans="1:90" x14ac:dyDescent="0.25">
      <c r="I25">
        <f>I24+200</f>
        <v>2937.5</v>
      </c>
    </row>
    <row r="26" spans="1:90" x14ac:dyDescent="0.25">
      <c r="I26">
        <f>23000/I25</f>
        <v>7.8297872340425529</v>
      </c>
    </row>
    <row r="28" spans="1:90" ht="51" x14ac:dyDescent="0.25">
      <c r="A28" s="22" t="s">
        <v>0</v>
      </c>
      <c r="B28" s="22" t="s">
        <v>134</v>
      </c>
      <c r="C28" s="22" t="s">
        <v>1</v>
      </c>
      <c r="D28" s="22" t="s">
        <v>2</v>
      </c>
      <c r="E28" s="5" t="s">
        <v>236</v>
      </c>
      <c r="F28" s="15" t="s">
        <v>237</v>
      </c>
      <c r="G28" s="15" t="s">
        <v>238</v>
      </c>
      <c r="H28" s="6" t="s">
        <v>73</v>
      </c>
      <c r="I28" s="15" t="s">
        <v>74</v>
      </c>
      <c r="J28" s="15" t="s">
        <v>239</v>
      </c>
      <c r="K28" s="15" t="s">
        <v>76</v>
      </c>
      <c r="L28" s="15" t="s">
        <v>77</v>
      </c>
      <c r="M28" s="15" t="s">
        <v>78</v>
      </c>
    </row>
    <row r="29" spans="1:90" x14ac:dyDescent="0.25">
      <c r="A29" s="31"/>
      <c r="B29" s="31"/>
      <c r="C29" s="31"/>
      <c r="D29" s="31"/>
      <c r="E29" s="5"/>
      <c r="F29" s="5"/>
      <c r="G29" s="5"/>
      <c r="H29" s="5"/>
      <c r="I29" s="5"/>
      <c r="J29" s="5"/>
      <c r="K29" s="5"/>
      <c r="L29" s="5"/>
      <c r="M29" s="5"/>
    </row>
    <row r="30" spans="1:90" ht="30" x14ac:dyDescent="0.25">
      <c r="A30" s="1" t="str">
        <f>A18</f>
        <v>ENQ-11515-22-23</v>
      </c>
      <c r="B30" s="52">
        <f>B18</f>
        <v>45170</v>
      </c>
      <c r="C30" s="1" t="str">
        <f>C18</f>
        <v>FA1300002</v>
      </c>
      <c r="D30" s="1" t="str">
        <f>D18</f>
        <v>3 CORE X 185 SQ. MM AL/ARM - STRIP (XLPE) - 11 KV</v>
      </c>
      <c r="E30" s="3">
        <f>ROUNDUP(E18/1000,2)</f>
        <v>1006.64</v>
      </c>
      <c r="F30" s="64">
        <f>ROUNDUP(F18/1000,2)</f>
        <v>33.739999999999995</v>
      </c>
      <c r="G30" s="9">
        <f>E30+F30</f>
        <v>1040.3799999999999</v>
      </c>
      <c r="H30" s="7">
        <v>0.18</v>
      </c>
      <c r="I30" s="9">
        <f>G30*H30</f>
        <v>187.26839999999999</v>
      </c>
      <c r="J30" s="9">
        <f>G30+I30</f>
        <v>1227.6483999999998</v>
      </c>
      <c r="K30" s="1">
        <f>K18*1000</f>
        <v>49380</v>
      </c>
      <c r="L30" s="1" t="s">
        <v>240</v>
      </c>
      <c r="M30" s="3">
        <f>J30*K30</f>
        <v>60621277.991999991</v>
      </c>
    </row>
  </sheetData>
  <mergeCells count="19">
    <mergeCell ref="AS15:BB15"/>
    <mergeCell ref="BC15:BL15"/>
    <mergeCell ref="N15:R15"/>
    <mergeCell ref="S15:T15"/>
    <mergeCell ref="U15:AB15"/>
    <mergeCell ref="AC15:AD15"/>
    <mergeCell ref="AE15:AJ15"/>
    <mergeCell ref="B7:R7"/>
    <mergeCell ref="B8:R8"/>
    <mergeCell ref="B9:R9"/>
    <mergeCell ref="A2:R2"/>
    <mergeCell ref="AL15:AR15"/>
    <mergeCell ref="B10:R10"/>
    <mergeCell ref="B11:R11"/>
    <mergeCell ref="B12:R12"/>
    <mergeCell ref="B13:R13"/>
    <mergeCell ref="B4:R4"/>
    <mergeCell ref="B5:R5"/>
    <mergeCell ref="B6:R6"/>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T22"/>
  <sheetViews>
    <sheetView topLeftCell="A13" zoomScaleNormal="100" workbookViewId="0">
      <selection activeCell="C35" sqref="C35"/>
    </sheetView>
  </sheetViews>
  <sheetFormatPr defaultRowHeight="12.75" x14ac:dyDescent="0.2"/>
  <cols>
    <col min="1" max="1" width="54.140625" style="73" bestFit="1" customWidth="1"/>
    <col min="2" max="2" width="14.7109375" style="73" customWidth="1"/>
    <col min="3" max="3" width="11.85546875" style="73" customWidth="1"/>
    <col min="4" max="4" width="10.42578125" style="73" bestFit="1" customWidth="1"/>
    <col min="5" max="5" width="9.42578125" style="73" bestFit="1" customWidth="1"/>
    <col min="6" max="6" width="9.42578125" style="73" customWidth="1"/>
    <col min="7" max="7" width="9.42578125" style="73" bestFit="1" customWidth="1"/>
    <col min="8" max="9" width="9.42578125" style="73" customWidth="1"/>
    <col min="10" max="10" width="10.7109375" style="73" bestFit="1" customWidth="1"/>
    <col min="11" max="15" width="9.140625" style="73"/>
    <col min="16" max="16" width="7.28515625" style="73" customWidth="1"/>
    <col min="17" max="20" width="7.42578125" style="73" customWidth="1"/>
    <col min="21" max="21" width="10.42578125" style="73" bestFit="1" customWidth="1"/>
    <col min="22" max="22" width="12" style="73" bestFit="1" customWidth="1"/>
    <col min="23" max="23" width="11" style="73" bestFit="1" customWidth="1"/>
    <col min="24" max="24" width="11.42578125" style="73" bestFit="1" customWidth="1"/>
    <col min="25" max="26" width="11" style="73" customWidth="1"/>
    <col min="27" max="27" width="11" style="73" bestFit="1" customWidth="1"/>
    <col min="28" max="28" width="14.42578125" style="73" bestFit="1" customWidth="1"/>
    <col min="29" max="29" width="9.140625" style="73" customWidth="1"/>
    <col min="30" max="30" width="10.85546875" style="73" customWidth="1"/>
    <col min="31" max="31" width="13.28515625" style="73" bestFit="1" customWidth="1"/>
    <col min="32" max="32" width="9.5703125" style="73" customWidth="1"/>
    <col min="33" max="33" width="10.42578125" style="73" customWidth="1"/>
    <col min="34" max="34" width="9.5703125" style="73" customWidth="1"/>
    <col min="35" max="35" width="9.85546875" style="73" bestFit="1" customWidth="1"/>
    <col min="36" max="36" width="8.5703125" style="73" bestFit="1" customWidth="1"/>
    <col min="37" max="37" width="8.5703125" style="73" customWidth="1"/>
    <col min="38" max="38" width="10.5703125" style="73" bestFit="1" customWidth="1"/>
    <col min="39" max="39" width="9.5703125" style="73" bestFit="1" customWidth="1"/>
    <col min="40" max="40" width="10.5703125" style="73" customWidth="1"/>
    <col min="41" max="41" width="11.140625" style="73" bestFit="1" customWidth="1"/>
    <col min="42" max="260" width="9.140625" style="73"/>
    <col min="261" max="261" width="54.140625" style="73" bestFit="1" customWidth="1"/>
    <col min="262" max="262" width="14.7109375" style="73" customWidth="1"/>
    <col min="263" max="263" width="10.140625" style="73" customWidth="1"/>
    <col min="264" max="264" width="10.42578125" style="73" bestFit="1" customWidth="1"/>
    <col min="265" max="266" width="9.42578125" style="73" bestFit="1" customWidth="1"/>
    <col min="267" max="268" width="9.42578125" style="73" customWidth="1"/>
    <col min="269" max="269" width="10.140625" style="73" bestFit="1" customWidth="1"/>
    <col min="270" max="273" width="9.140625" style="73"/>
    <col min="274" max="274" width="7.28515625" style="73" customWidth="1"/>
    <col min="275" max="277" width="7.42578125" style="73" customWidth="1"/>
    <col min="278" max="278" width="10.42578125" style="73" bestFit="1" customWidth="1"/>
    <col min="279" max="279" width="12" style="73" bestFit="1" customWidth="1"/>
    <col min="280" max="280" width="11" style="73" bestFit="1" customWidth="1"/>
    <col min="281" max="282" width="11" style="73" customWidth="1"/>
    <col min="283" max="283" width="10" style="73" bestFit="1" customWidth="1"/>
    <col min="284" max="284" width="14.42578125" style="73" bestFit="1" customWidth="1"/>
    <col min="285" max="295" width="0" style="73" hidden="1" customWidth="1"/>
    <col min="296" max="516" width="9.140625" style="73"/>
    <col min="517" max="517" width="54.140625" style="73" bestFit="1" customWidth="1"/>
    <col min="518" max="518" width="14.7109375" style="73" customWidth="1"/>
    <col min="519" max="519" width="10.140625" style="73" customWidth="1"/>
    <col min="520" max="520" width="10.42578125" style="73" bestFit="1" customWidth="1"/>
    <col min="521" max="522" width="9.42578125" style="73" bestFit="1" customWidth="1"/>
    <col min="523" max="524" width="9.42578125" style="73" customWidth="1"/>
    <col min="525" max="525" width="10.140625" style="73" bestFit="1" customWidth="1"/>
    <col min="526" max="529" width="9.140625" style="73"/>
    <col min="530" max="530" width="7.28515625" style="73" customWidth="1"/>
    <col min="531" max="533" width="7.42578125" style="73" customWidth="1"/>
    <col min="534" max="534" width="10.42578125" style="73" bestFit="1" customWidth="1"/>
    <col min="535" max="535" width="12" style="73" bestFit="1" customWidth="1"/>
    <col min="536" max="536" width="11" style="73" bestFit="1" customWidth="1"/>
    <col min="537" max="538" width="11" style="73" customWidth="1"/>
    <col min="539" max="539" width="10" style="73" bestFit="1" customWidth="1"/>
    <col min="540" max="540" width="14.42578125" style="73" bestFit="1" customWidth="1"/>
    <col min="541" max="551" width="0" style="73" hidden="1" customWidth="1"/>
    <col min="552" max="772" width="9.140625" style="73"/>
    <col min="773" max="773" width="54.140625" style="73" bestFit="1" customWidth="1"/>
    <col min="774" max="774" width="14.7109375" style="73" customWidth="1"/>
    <col min="775" max="775" width="10.140625" style="73" customWidth="1"/>
    <col min="776" max="776" width="10.42578125" style="73" bestFit="1" customWidth="1"/>
    <col min="777" max="778" width="9.42578125" style="73" bestFit="1" customWidth="1"/>
    <col min="779" max="780" width="9.42578125" style="73" customWidth="1"/>
    <col min="781" max="781" width="10.140625" style="73" bestFit="1" customWidth="1"/>
    <col min="782" max="785" width="9.140625" style="73"/>
    <col min="786" max="786" width="7.28515625" style="73" customWidth="1"/>
    <col min="787" max="789" width="7.42578125" style="73" customWidth="1"/>
    <col min="790" max="790" width="10.42578125" style="73" bestFit="1" customWidth="1"/>
    <col min="791" max="791" width="12" style="73" bestFit="1" customWidth="1"/>
    <col min="792" max="792" width="11" style="73" bestFit="1" customWidth="1"/>
    <col min="793" max="794" width="11" style="73" customWidth="1"/>
    <col min="795" max="795" width="10" style="73" bestFit="1" customWidth="1"/>
    <col min="796" max="796" width="14.42578125" style="73" bestFit="1" customWidth="1"/>
    <col min="797" max="807" width="0" style="73" hidden="1" customWidth="1"/>
    <col min="808" max="1028" width="9.140625" style="73"/>
    <col min="1029" max="1029" width="54.140625" style="73" bestFit="1" customWidth="1"/>
    <col min="1030" max="1030" width="14.7109375" style="73" customWidth="1"/>
    <col min="1031" max="1031" width="10.140625" style="73" customWidth="1"/>
    <col min="1032" max="1032" width="10.42578125" style="73" bestFit="1" customWidth="1"/>
    <col min="1033" max="1034" width="9.42578125" style="73" bestFit="1" customWidth="1"/>
    <col min="1035" max="1036" width="9.42578125" style="73" customWidth="1"/>
    <col min="1037" max="1037" width="10.140625" style="73" bestFit="1" customWidth="1"/>
    <col min="1038" max="1041" width="9.140625" style="73"/>
    <col min="1042" max="1042" width="7.28515625" style="73" customWidth="1"/>
    <col min="1043" max="1045" width="7.42578125" style="73" customWidth="1"/>
    <col min="1046" max="1046" width="10.42578125" style="73" bestFit="1" customWidth="1"/>
    <col min="1047" max="1047" width="12" style="73" bestFit="1" customWidth="1"/>
    <col min="1048" max="1048" width="11" style="73" bestFit="1" customWidth="1"/>
    <col min="1049" max="1050" width="11" style="73" customWidth="1"/>
    <col min="1051" max="1051" width="10" style="73" bestFit="1" customWidth="1"/>
    <col min="1052" max="1052" width="14.42578125" style="73" bestFit="1" customWidth="1"/>
    <col min="1053" max="1063" width="0" style="73" hidden="1" customWidth="1"/>
    <col min="1064" max="1284" width="9.140625" style="73"/>
    <col min="1285" max="1285" width="54.140625" style="73" bestFit="1" customWidth="1"/>
    <col min="1286" max="1286" width="14.7109375" style="73" customWidth="1"/>
    <col min="1287" max="1287" width="10.140625" style="73" customWidth="1"/>
    <col min="1288" max="1288" width="10.42578125" style="73" bestFit="1" customWidth="1"/>
    <col min="1289" max="1290" width="9.42578125" style="73" bestFit="1" customWidth="1"/>
    <col min="1291" max="1292" width="9.42578125" style="73" customWidth="1"/>
    <col min="1293" max="1293" width="10.140625" style="73" bestFit="1" customWidth="1"/>
    <col min="1294" max="1297" width="9.140625" style="73"/>
    <col min="1298" max="1298" width="7.28515625" style="73" customWidth="1"/>
    <col min="1299" max="1301" width="7.42578125" style="73" customWidth="1"/>
    <col min="1302" max="1302" width="10.42578125" style="73" bestFit="1" customWidth="1"/>
    <col min="1303" max="1303" width="12" style="73" bestFit="1" customWidth="1"/>
    <col min="1304" max="1304" width="11" style="73" bestFit="1" customWidth="1"/>
    <col min="1305" max="1306" width="11" style="73" customWidth="1"/>
    <col min="1307" max="1307" width="10" style="73" bestFit="1" customWidth="1"/>
    <col min="1308" max="1308" width="14.42578125" style="73" bestFit="1" customWidth="1"/>
    <col min="1309" max="1319" width="0" style="73" hidden="1" customWidth="1"/>
    <col min="1320" max="1540" width="9.140625" style="73"/>
    <col min="1541" max="1541" width="54.140625" style="73" bestFit="1" customWidth="1"/>
    <col min="1542" max="1542" width="14.7109375" style="73" customWidth="1"/>
    <col min="1543" max="1543" width="10.140625" style="73" customWidth="1"/>
    <col min="1544" max="1544" width="10.42578125" style="73" bestFit="1" customWidth="1"/>
    <col min="1545" max="1546" width="9.42578125" style="73" bestFit="1" customWidth="1"/>
    <col min="1547" max="1548" width="9.42578125" style="73" customWidth="1"/>
    <col min="1549" max="1549" width="10.140625" style="73" bestFit="1" customWidth="1"/>
    <col min="1550" max="1553" width="9.140625" style="73"/>
    <col min="1554" max="1554" width="7.28515625" style="73" customWidth="1"/>
    <col min="1555" max="1557" width="7.42578125" style="73" customWidth="1"/>
    <col min="1558" max="1558" width="10.42578125" style="73" bestFit="1" customWidth="1"/>
    <col min="1559" max="1559" width="12" style="73" bestFit="1" customWidth="1"/>
    <col min="1560" max="1560" width="11" style="73" bestFit="1" customWidth="1"/>
    <col min="1561" max="1562" width="11" style="73" customWidth="1"/>
    <col min="1563" max="1563" width="10" style="73" bestFit="1" customWidth="1"/>
    <col min="1564" max="1564" width="14.42578125" style="73" bestFit="1" customWidth="1"/>
    <col min="1565" max="1575" width="0" style="73" hidden="1" customWidth="1"/>
    <col min="1576" max="1796" width="9.140625" style="73"/>
    <col min="1797" max="1797" width="54.140625" style="73" bestFit="1" customWidth="1"/>
    <col min="1798" max="1798" width="14.7109375" style="73" customWidth="1"/>
    <col min="1799" max="1799" width="10.140625" style="73" customWidth="1"/>
    <col min="1800" max="1800" width="10.42578125" style="73" bestFit="1" customWidth="1"/>
    <col min="1801" max="1802" width="9.42578125" style="73" bestFit="1" customWidth="1"/>
    <col min="1803" max="1804" width="9.42578125" style="73" customWidth="1"/>
    <col min="1805" max="1805" width="10.140625" style="73" bestFit="1" customWidth="1"/>
    <col min="1806" max="1809" width="9.140625" style="73"/>
    <col min="1810" max="1810" width="7.28515625" style="73" customWidth="1"/>
    <col min="1811" max="1813" width="7.42578125" style="73" customWidth="1"/>
    <col min="1814" max="1814" width="10.42578125" style="73" bestFit="1" customWidth="1"/>
    <col min="1815" max="1815" width="12" style="73" bestFit="1" customWidth="1"/>
    <col min="1816" max="1816" width="11" style="73" bestFit="1" customWidth="1"/>
    <col min="1817" max="1818" width="11" style="73" customWidth="1"/>
    <col min="1819" max="1819" width="10" style="73" bestFit="1" customWidth="1"/>
    <col min="1820" max="1820" width="14.42578125" style="73" bestFit="1" customWidth="1"/>
    <col min="1821" max="1831" width="0" style="73" hidden="1" customWidth="1"/>
    <col min="1832" max="2052" width="9.140625" style="73"/>
    <col min="2053" max="2053" width="54.140625" style="73" bestFit="1" customWidth="1"/>
    <col min="2054" max="2054" width="14.7109375" style="73" customWidth="1"/>
    <col min="2055" max="2055" width="10.140625" style="73" customWidth="1"/>
    <col min="2056" max="2056" width="10.42578125" style="73" bestFit="1" customWidth="1"/>
    <col min="2057" max="2058" width="9.42578125" style="73" bestFit="1" customWidth="1"/>
    <col min="2059" max="2060" width="9.42578125" style="73" customWidth="1"/>
    <col min="2061" max="2061" width="10.140625" style="73" bestFit="1" customWidth="1"/>
    <col min="2062" max="2065" width="9.140625" style="73"/>
    <col min="2066" max="2066" width="7.28515625" style="73" customWidth="1"/>
    <col min="2067" max="2069" width="7.42578125" style="73" customWidth="1"/>
    <col min="2070" max="2070" width="10.42578125" style="73" bestFit="1" customWidth="1"/>
    <col min="2071" max="2071" width="12" style="73" bestFit="1" customWidth="1"/>
    <col min="2072" max="2072" width="11" style="73" bestFit="1" customWidth="1"/>
    <col min="2073" max="2074" width="11" style="73" customWidth="1"/>
    <col min="2075" max="2075" width="10" style="73" bestFit="1" customWidth="1"/>
    <col min="2076" max="2076" width="14.42578125" style="73" bestFit="1" customWidth="1"/>
    <col min="2077" max="2087" width="0" style="73" hidden="1" customWidth="1"/>
    <col min="2088" max="2308" width="9.140625" style="73"/>
    <col min="2309" max="2309" width="54.140625" style="73" bestFit="1" customWidth="1"/>
    <col min="2310" max="2310" width="14.7109375" style="73" customWidth="1"/>
    <col min="2311" max="2311" width="10.140625" style="73" customWidth="1"/>
    <col min="2312" max="2312" width="10.42578125" style="73" bestFit="1" customWidth="1"/>
    <col min="2313" max="2314" width="9.42578125" style="73" bestFit="1" customWidth="1"/>
    <col min="2315" max="2316" width="9.42578125" style="73" customWidth="1"/>
    <col min="2317" max="2317" width="10.140625" style="73" bestFit="1" customWidth="1"/>
    <col min="2318" max="2321" width="9.140625" style="73"/>
    <col min="2322" max="2322" width="7.28515625" style="73" customWidth="1"/>
    <col min="2323" max="2325" width="7.42578125" style="73" customWidth="1"/>
    <col min="2326" max="2326" width="10.42578125" style="73" bestFit="1" customWidth="1"/>
    <col min="2327" max="2327" width="12" style="73" bestFit="1" customWidth="1"/>
    <col min="2328" max="2328" width="11" style="73" bestFit="1" customWidth="1"/>
    <col min="2329" max="2330" width="11" style="73" customWidth="1"/>
    <col min="2331" max="2331" width="10" style="73" bestFit="1" customWidth="1"/>
    <col min="2332" max="2332" width="14.42578125" style="73" bestFit="1" customWidth="1"/>
    <col min="2333" max="2343" width="0" style="73" hidden="1" customWidth="1"/>
    <col min="2344" max="2564" width="9.140625" style="73"/>
    <col min="2565" max="2565" width="54.140625" style="73" bestFit="1" customWidth="1"/>
    <col min="2566" max="2566" width="14.7109375" style="73" customWidth="1"/>
    <col min="2567" max="2567" width="10.140625" style="73" customWidth="1"/>
    <col min="2568" max="2568" width="10.42578125" style="73" bestFit="1" customWidth="1"/>
    <col min="2569" max="2570" width="9.42578125" style="73" bestFit="1" customWidth="1"/>
    <col min="2571" max="2572" width="9.42578125" style="73" customWidth="1"/>
    <col min="2573" max="2573" width="10.140625" style="73" bestFit="1" customWidth="1"/>
    <col min="2574" max="2577" width="9.140625" style="73"/>
    <col min="2578" max="2578" width="7.28515625" style="73" customWidth="1"/>
    <col min="2579" max="2581" width="7.42578125" style="73" customWidth="1"/>
    <col min="2582" max="2582" width="10.42578125" style="73" bestFit="1" customWidth="1"/>
    <col min="2583" max="2583" width="12" style="73" bestFit="1" customWidth="1"/>
    <col min="2584" max="2584" width="11" style="73" bestFit="1" customWidth="1"/>
    <col min="2585" max="2586" width="11" style="73" customWidth="1"/>
    <col min="2587" max="2587" width="10" style="73" bestFit="1" customWidth="1"/>
    <col min="2588" max="2588" width="14.42578125" style="73" bestFit="1" customWidth="1"/>
    <col min="2589" max="2599" width="0" style="73" hidden="1" customWidth="1"/>
    <col min="2600" max="2820" width="9.140625" style="73"/>
    <col min="2821" max="2821" width="54.140625" style="73" bestFit="1" customWidth="1"/>
    <col min="2822" max="2822" width="14.7109375" style="73" customWidth="1"/>
    <col min="2823" max="2823" width="10.140625" style="73" customWidth="1"/>
    <col min="2824" max="2824" width="10.42578125" style="73" bestFit="1" customWidth="1"/>
    <col min="2825" max="2826" width="9.42578125" style="73" bestFit="1" customWidth="1"/>
    <col min="2827" max="2828" width="9.42578125" style="73" customWidth="1"/>
    <col min="2829" max="2829" width="10.140625" style="73" bestFit="1" customWidth="1"/>
    <col min="2830" max="2833" width="9.140625" style="73"/>
    <col min="2834" max="2834" width="7.28515625" style="73" customWidth="1"/>
    <col min="2835" max="2837" width="7.42578125" style="73" customWidth="1"/>
    <col min="2838" max="2838" width="10.42578125" style="73" bestFit="1" customWidth="1"/>
    <col min="2839" max="2839" width="12" style="73" bestFit="1" customWidth="1"/>
    <col min="2840" max="2840" width="11" style="73" bestFit="1" customWidth="1"/>
    <col min="2841" max="2842" width="11" style="73" customWidth="1"/>
    <col min="2843" max="2843" width="10" style="73" bestFit="1" customWidth="1"/>
    <col min="2844" max="2844" width="14.42578125" style="73" bestFit="1" customWidth="1"/>
    <col min="2845" max="2855" width="0" style="73" hidden="1" customWidth="1"/>
    <col min="2856" max="3076" width="9.140625" style="73"/>
    <col min="3077" max="3077" width="54.140625" style="73" bestFit="1" customWidth="1"/>
    <col min="3078" max="3078" width="14.7109375" style="73" customWidth="1"/>
    <col min="3079" max="3079" width="10.140625" style="73" customWidth="1"/>
    <col min="3080" max="3080" width="10.42578125" style="73" bestFit="1" customWidth="1"/>
    <col min="3081" max="3082" width="9.42578125" style="73" bestFit="1" customWidth="1"/>
    <col min="3083" max="3084" width="9.42578125" style="73" customWidth="1"/>
    <col min="3085" max="3085" width="10.140625" style="73" bestFit="1" customWidth="1"/>
    <col min="3086" max="3089" width="9.140625" style="73"/>
    <col min="3090" max="3090" width="7.28515625" style="73" customWidth="1"/>
    <col min="3091" max="3093" width="7.42578125" style="73" customWidth="1"/>
    <col min="3094" max="3094" width="10.42578125" style="73" bestFit="1" customWidth="1"/>
    <col min="3095" max="3095" width="12" style="73" bestFit="1" customWidth="1"/>
    <col min="3096" max="3096" width="11" style="73" bestFit="1" customWidth="1"/>
    <col min="3097" max="3098" width="11" style="73" customWidth="1"/>
    <col min="3099" max="3099" width="10" style="73" bestFit="1" customWidth="1"/>
    <col min="3100" max="3100" width="14.42578125" style="73" bestFit="1" customWidth="1"/>
    <col min="3101" max="3111" width="0" style="73" hidden="1" customWidth="1"/>
    <col min="3112" max="3332" width="9.140625" style="73"/>
    <col min="3333" max="3333" width="54.140625" style="73" bestFit="1" customWidth="1"/>
    <col min="3334" max="3334" width="14.7109375" style="73" customWidth="1"/>
    <col min="3335" max="3335" width="10.140625" style="73" customWidth="1"/>
    <col min="3336" max="3336" width="10.42578125" style="73" bestFit="1" customWidth="1"/>
    <col min="3337" max="3338" width="9.42578125" style="73" bestFit="1" customWidth="1"/>
    <col min="3339" max="3340" width="9.42578125" style="73" customWidth="1"/>
    <col min="3341" max="3341" width="10.140625" style="73" bestFit="1" customWidth="1"/>
    <col min="3342" max="3345" width="9.140625" style="73"/>
    <col min="3346" max="3346" width="7.28515625" style="73" customWidth="1"/>
    <col min="3347" max="3349" width="7.42578125" style="73" customWidth="1"/>
    <col min="3350" max="3350" width="10.42578125" style="73" bestFit="1" customWidth="1"/>
    <col min="3351" max="3351" width="12" style="73" bestFit="1" customWidth="1"/>
    <col min="3352" max="3352" width="11" style="73" bestFit="1" customWidth="1"/>
    <col min="3353" max="3354" width="11" style="73" customWidth="1"/>
    <col min="3355" max="3355" width="10" style="73" bestFit="1" customWidth="1"/>
    <col min="3356" max="3356" width="14.42578125" style="73" bestFit="1" customWidth="1"/>
    <col min="3357" max="3367" width="0" style="73" hidden="1" customWidth="1"/>
    <col min="3368" max="3588" width="9.140625" style="73"/>
    <col min="3589" max="3589" width="54.140625" style="73" bestFit="1" customWidth="1"/>
    <col min="3590" max="3590" width="14.7109375" style="73" customWidth="1"/>
    <col min="3591" max="3591" width="10.140625" style="73" customWidth="1"/>
    <col min="3592" max="3592" width="10.42578125" style="73" bestFit="1" customWidth="1"/>
    <col min="3593" max="3594" width="9.42578125" style="73" bestFit="1" customWidth="1"/>
    <col min="3595" max="3596" width="9.42578125" style="73" customWidth="1"/>
    <col min="3597" max="3597" width="10.140625" style="73" bestFit="1" customWidth="1"/>
    <col min="3598" max="3601" width="9.140625" style="73"/>
    <col min="3602" max="3602" width="7.28515625" style="73" customWidth="1"/>
    <col min="3603" max="3605" width="7.42578125" style="73" customWidth="1"/>
    <col min="3606" max="3606" width="10.42578125" style="73" bestFit="1" customWidth="1"/>
    <col min="3607" max="3607" width="12" style="73" bestFit="1" customWidth="1"/>
    <col min="3608" max="3608" width="11" style="73" bestFit="1" customWidth="1"/>
    <col min="3609" max="3610" width="11" style="73" customWidth="1"/>
    <col min="3611" max="3611" width="10" style="73" bestFit="1" customWidth="1"/>
    <col min="3612" max="3612" width="14.42578125" style="73" bestFit="1" customWidth="1"/>
    <col min="3613" max="3623" width="0" style="73" hidden="1" customWidth="1"/>
    <col min="3624" max="3844" width="9.140625" style="73"/>
    <col min="3845" max="3845" width="54.140625" style="73" bestFit="1" customWidth="1"/>
    <col min="3846" max="3846" width="14.7109375" style="73" customWidth="1"/>
    <col min="3847" max="3847" width="10.140625" style="73" customWidth="1"/>
    <col min="3848" max="3848" width="10.42578125" style="73" bestFit="1" customWidth="1"/>
    <col min="3849" max="3850" width="9.42578125" style="73" bestFit="1" customWidth="1"/>
    <col min="3851" max="3852" width="9.42578125" style="73" customWidth="1"/>
    <col min="3853" max="3853" width="10.140625" style="73" bestFit="1" customWidth="1"/>
    <col min="3854" max="3857" width="9.140625" style="73"/>
    <col min="3858" max="3858" width="7.28515625" style="73" customWidth="1"/>
    <col min="3859" max="3861" width="7.42578125" style="73" customWidth="1"/>
    <col min="3862" max="3862" width="10.42578125" style="73" bestFit="1" customWidth="1"/>
    <col min="3863" max="3863" width="12" style="73" bestFit="1" customWidth="1"/>
    <col min="3864" max="3864" width="11" style="73" bestFit="1" customWidth="1"/>
    <col min="3865" max="3866" width="11" style="73" customWidth="1"/>
    <col min="3867" max="3867" width="10" style="73" bestFit="1" customWidth="1"/>
    <col min="3868" max="3868" width="14.42578125" style="73" bestFit="1" customWidth="1"/>
    <col min="3869" max="3879" width="0" style="73" hidden="1" customWidth="1"/>
    <col min="3880" max="4100" width="9.140625" style="73"/>
    <col min="4101" max="4101" width="54.140625" style="73" bestFit="1" customWidth="1"/>
    <col min="4102" max="4102" width="14.7109375" style="73" customWidth="1"/>
    <col min="4103" max="4103" width="10.140625" style="73" customWidth="1"/>
    <col min="4104" max="4104" width="10.42578125" style="73" bestFit="1" customWidth="1"/>
    <col min="4105" max="4106" width="9.42578125" style="73" bestFit="1" customWidth="1"/>
    <col min="4107" max="4108" width="9.42578125" style="73" customWidth="1"/>
    <col min="4109" max="4109" width="10.140625" style="73" bestFit="1" customWidth="1"/>
    <col min="4110" max="4113" width="9.140625" style="73"/>
    <col min="4114" max="4114" width="7.28515625" style="73" customWidth="1"/>
    <col min="4115" max="4117" width="7.42578125" style="73" customWidth="1"/>
    <col min="4118" max="4118" width="10.42578125" style="73" bestFit="1" customWidth="1"/>
    <col min="4119" max="4119" width="12" style="73" bestFit="1" customWidth="1"/>
    <col min="4120" max="4120" width="11" style="73" bestFit="1" customWidth="1"/>
    <col min="4121" max="4122" width="11" style="73" customWidth="1"/>
    <col min="4123" max="4123" width="10" style="73" bestFit="1" customWidth="1"/>
    <col min="4124" max="4124" width="14.42578125" style="73" bestFit="1" customWidth="1"/>
    <col min="4125" max="4135" width="0" style="73" hidden="1" customWidth="1"/>
    <col min="4136" max="4356" width="9.140625" style="73"/>
    <col min="4357" max="4357" width="54.140625" style="73" bestFit="1" customWidth="1"/>
    <col min="4358" max="4358" width="14.7109375" style="73" customWidth="1"/>
    <col min="4359" max="4359" width="10.140625" style="73" customWidth="1"/>
    <col min="4360" max="4360" width="10.42578125" style="73" bestFit="1" customWidth="1"/>
    <col min="4361" max="4362" width="9.42578125" style="73" bestFit="1" customWidth="1"/>
    <col min="4363" max="4364" width="9.42578125" style="73" customWidth="1"/>
    <col min="4365" max="4365" width="10.140625" style="73" bestFit="1" customWidth="1"/>
    <col min="4366" max="4369" width="9.140625" style="73"/>
    <col min="4370" max="4370" width="7.28515625" style="73" customWidth="1"/>
    <col min="4371" max="4373" width="7.42578125" style="73" customWidth="1"/>
    <col min="4374" max="4374" width="10.42578125" style="73" bestFit="1" customWidth="1"/>
    <col min="4375" max="4375" width="12" style="73" bestFit="1" customWidth="1"/>
    <col min="4376" max="4376" width="11" style="73" bestFit="1" customWidth="1"/>
    <col min="4377" max="4378" width="11" style="73" customWidth="1"/>
    <col min="4379" max="4379" width="10" style="73" bestFit="1" customWidth="1"/>
    <col min="4380" max="4380" width="14.42578125" style="73" bestFit="1" customWidth="1"/>
    <col min="4381" max="4391" width="0" style="73" hidden="1" customWidth="1"/>
    <col min="4392" max="4612" width="9.140625" style="73"/>
    <col min="4613" max="4613" width="54.140625" style="73" bestFit="1" customWidth="1"/>
    <col min="4614" max="4614" width="14.7109375" style="73" customWidth="1"/>
    <col min="4615" max="4615" width="10.140625" style="73" customWidth="1"/>
    <col min="4616" max="4616" width="10.42578125" style="73" bestFit="1" customWidth="1"/>
    <col min="4617" max="4618" width="9.42578125" style="73" bestFit="1" customWidth="1"/>
    <col min="4619" max="4620" width="9.42578125" style="73" customWidth="1"/>
    <col min="4621" max="4621" width="10.140625" style="73" bestFit="1" customWidth="1"/>
    <col min="4622" max="4625" width="9.140625" style="73"/>
    <col min="4626" max="4626" width="7.28515625" style="73" customWidth="1"/>
    <col min="4627" max="4629" width="7.42578125" style="73" customWidth="1"/>
    <col min="4630" max="4630" width="10.42578125" style="73" bestFit="1" customWidth="1"/>
    <col min="4631" max="4631" width="12" style="73" bestFit="1" customWidth="1"/>
    <col min="4632" max="4632" width="11" style="73" bestFit="1" customWidth="1"/>
    <col min="4633" max="4634" width="11" style="73" customWidth="1"/>
    <col min="4635" max="4635" width="10" style="73" bestFit="1" customWidth="1"/>
    <col min="4636" max="4636" width="14.42578125" style="73" bestFit="1" customWidth="1"/>
    <col min="4637" max="4647" width="0" style="73" hidden="1" customWidth="1"/>
    <col min="4648" max="4868" width="9.140625" style="73"/>
    <col min="4869" max="4869" width="54.140625" style="73" bestFit="1" customWidth="1"/>
    <col min="4870" max="4870" width="14.7109375" style="73" customWidth="1"/>
    <col min="4871" max="4871" width="10.140625" style="73" customWidth="1"/>
    <col min="4872" max="4872" width="10.42578125" style="73" bestFit="1" customWidth="1"/>
    <col min="4873" max="4874" width="9.42578125" style="73" bestFit="1" customWidth="1"/>
    <col min="4875" max="4876" width="9.42578125" style="73" customWidth="1"/>
    <col min="4877" max="4877" width="10.140625" style="73" bestFit="1" customWidth="1"/>
    <col min="4878" max="4881" width="9.140625" style="73"/>
    <col min="4882" max="4882" width="7.28515625" style="73" customWidth="1"/>
    <col min="4883" max="4885" width="7.42578125" style="73" customWidth="1"/>
    <col min="4886" max="4886" width="10.42578125" style="73" bestFit="1" customWidth="1"/>
    <col min="4887" max="4887" width="12" style="73" bestFit="1" customWidth="1"/>
    <col min="4888" max="4888" width="11" style="73" bestFit="1" customWidth="1"/>
    <col min="4889" max="4890" width="11" style="73" customWidth="1"/>
    <col min="4891" max="4891" width="10" style="73" bestFit="1" customWidth="1"/>
    <col min="4892" max="4892" width="14.42578125" style="73" bestFit="1" customWidth="1"/>
    <col min="4893" max="4903" width="0" style="73" hidden="1" customWidth="1"/>
    <col min="4904" max="5124" width="9.140625" style="73"/>
    <col min="5125" max="5125" width="54.140625" style="73" bestFit="1" customWidth="1"/>
    <col min="5126" max="5126" width="14.7109375" style="73" customWidth="1"/>
    <col min="5127" max="5127" width="10.140625" style="73" customWidth="1"/>
    <col min="5128" max="5128" width="10.42578125" style="73" bestFit="1" customWidth="1"/>
    <col min="5129" max="5130" width="9.42578125" style="73" bestFit="1" customWidth="1"/>
    <col min="5131" max="5132" width="9.42578125" style="73" customWidth="1"/>
    <col min="5133" max="5133" width="10.140625" style="73" bestFit="1" customWidth="1"/>
    <col min="5134" max="5137" width="9.140625" style="73"/>
    <col min="5138" max="5138" width="7.28515625" style="73" customWidth="1"/>
    <col min="5139" max="5141" width="7.42578125" style="73" customWidth="1"/>
    <col min="5142" max="5142" width="10.42578125" style="73" bestFit="1" customWidth="1"/>
    <col min="5143" max="5143" width="12" style="73" bestFit="1" customWidth="1"/>
    <col min="5144" max="5144" width="11" style="73" bestFit="1" customWidth="1"/>
    <col min="5145" max="5146" width="11" style="73" customWidth="1"/>
    <col min="5147" max="5147" width="10" style="73" bestFit="1" customWidth="1"/>
    <col min="5148" max="5148" width="14.42578125" style="73" bestFit="1" customWidth="1"/>
    <col min="5149" max="5159" width="0" style="73" hidden="1" customWidth="1"/>
    <col min="5160" max="5380" width="9.140625" style="73"/>
    <col min="5381" max="5381" width="54.140625" style="73" bestFit="1" customWidth="1"/>
    <col min="5382" max="5382" width="14.7109375" style="73" customWidth="1"/>
    <col min="5383" max="5383" width="10.140625" style="73" customWidth="1"/>
    <col min="5384" max="5384" width="10.42578125" style="73" bestFit="1" customWidth="1"/>
    <col min="5385" max="5386" width="9.42578125" style="73" bestFit="1" customWidth="1"/>
    <col min="5387" max="5388" width="9.42578125" style="73" customWidth="1"/>
    <col min="5389" max="5389" width="10.140625" style="73" bestFit="1" customWidth="1"/>
    <col min="5390" max="5393" width="9.140625" style="73"/>
    <col min="5394" max="5394" width="7.28515625" style="73" customWidth="1"/>
    <col min="5395" max="5397" width="7.42578125" style="73" customWidth="1"/>
    <col min="5398" max="5398" width="10.42578125" style="73" bestFit="1" customWidth="1"/>
    <col min="5399" max="5399" width="12" style="73" bestFit="1" customWidth="1"/>
    <col min="5400" max="5400" width="11" style="73" bestFit="1" customWidth="1"/>
    <col min="5401" max="5402" width="11" style="73" customWidth="1"/>
    <col min="5403" max="5403" width="10" style="73" bestFit="1" customWidth="1"/>
    <col min="5404" max="5404" width="14.42578125" style="73" bestFit="1" customWidth="1"/>
    <col min="5405" max="5415" width="0" style="73" hidden="1" customWidth="1"/>
    <col min="5416" max="5636" width="9.140625" style="73"/>
    <col min="5637" max="5637" width="54.140625" style="73" bestFit="1" customWidth="1"/>
    <col min="5638" max="5638" width="14.7109375" style="73" customWidth="1"/>
    <col min="5639" max="5639" width="10.140625" style="73" customWidth="1"/>
    <col min="5640" max="5640" width="10.42578125" style="73" bestFit="1" customWidth="1"/>
    <col min="5641" max="5642" width="9.42578125" style="73" bestFit="1" customWidth="1"/>
    <col min="5643" max="5644" width="9.42578125" style="73" customWidth="1"/>
    <col min="5645" max="5645" width="10.140625" style="73" bestFit="1" customWidth="1"/>
    <col min="5646" max="5649" width="9.140625" style="73"/>
    <col min="5650" max="5650" width="7.28515625" style="73" customWidth="1"/>
    <col min="5651" max="5653" width="7.42578125" style="73" customWidth="1"/>
    <col min="5654" max="5654" width="10.42578125" style="73" bestFit="1" customWidth="1"/>
    <col min="5655" max="5655" width="12" style="73" bestFit="1" customWidth="1"/>
    <col min="5656" max="5656" width="11" style="73" bestFit="1" customWidth="1"/>
    <col min="5657" max="5658" width="11" style="73" customWidth="1"/>
    <col min="5659" max="5659" width="10" style="73" bestFit="1" customWidth="1"/>
    <col min="5660" max="5660" width="14.42578125" style="73" bestFit="1" customWidth="1"/>
    <col min="5661" max="5671" width="0" style="73" hidden="1" customWidth="1"/>
    <col min="5672" max="5892" width="9.140625" style="73"/>
    <col min="5893" max="5893" width="54.140625" style="73" bestFit="1" customWidth="1"/>
    <col min="5894" max="5894" width="14.7109375" style="73" customWidth="1"/>
    <col min="5895" max="5895" width="10.140625" style="73" customWidth="1"/>
    <col min="5896" max="5896" width="10.42578125" style="73" bestFit="1" customWidth="1"/>
    <col min="5897" max="5898" width="9.42578125" style="73" bestFit="1" customWidth="1"/>
    <col min="5899" max="5900" width="9.42578125" style="73" customWidth="1"/>
    <col min="5901" max="5901" width="10.140625" style="73" bestFit="1" customWidth="1"/>
    <col min="5902" max="5905" width="9.140625" style="73"/>
    <col min="5906" max="5906" width="7.28515625" style="73" customWidth="1"/>
    <col min="5907" max="5909" width="7.42578125" style="73" customWidth="1"/>
    <col min="5910" max="5910" width="10.42578125" style="73" bestFit="1" customWidth="1"/>
    <col min="5911" max="5911" width="12" style="73" bestFit="1" customWidth="1"/>
    <col min="5912" max="5912" width="11" style="73" bestFit="1" customWidth="1"/>
    <col min="5913" max="5914" width="11" style="73" customWidth="1"/>
    <col min="5915" max="5915" width="10" style="73" bestFit="1" customWidth="1"/>
    <col min="5916" max="5916" width="14.42578125" style="73" bestFit="1" customWidth="1"/>
    <col min="5917" max="5927" width="0" style="73" hidden="1" customWidth="1"/>
    <col min="5928" max="6148" width="9.140625" style="73"/>
    <col min="6149" max="6149" width="54.140625" style="73" bestFit="1" customWidth="1"/>
    <col min="6150" max="6150" width="14.7109375" style="73" customWidth="1"/>
    <col min="6151" max="6151" width="10.140625" style="73" customWidth="1"/>
    <col min="6152" max="6152" width="10.42578125" style="73" bestFit="1" customWidth="1"/>
    <col min="6153" max="6154" width="9.42578125" style="73" bestFit="1" customWidth="1"/>
    <col min="6155" max="6156" width="9.42578125" style="73" customWidth="1"/>
    <col min="6157" max="6157" width="10.140625" style="73" bestFit="1" customWidth="1"/>
    <col min="6158" max="6161" width="9.140625" style="73"/>
    <col min="6162" max="6162" width="7.28515625" style="73" customWidth="1"/>
    <col min="6163" max="6165" width="7.42578125" style="73" customWidth="1"/>
    <col min="6166" max="6166" width="10.42578125" style="73" bestFit="1" customWidth="1"/>
    <col min="6167" max="6167" width="12" style="73" bestFit="1" customWidth="1"/>
    <col min="6168" max="6168" width="11" style="73" bestFit="1" customWidth="1"/>
    <col min="6169" max="6170" width="11" style="73" customWidth="1"/>
    <col min="6171" max="6171" width="10" style="73" bestFit="1" customWidth="1"/>
    <col min="6172" max="6172" width="14.42578125" style="73" bestFit="1" customWidth="1"/>
    <col min="6173" max="6183" width="0" style="73" hidden="1" customWidth="1"/>
    <col min="6184" max="6404" width="9.140625" style="73"/>
    <col min="6405" max="6405" width="54.140625" style="73" bestFit="1" customWidth="1"/>
    <col min="6406" max="6406" width="14.7109375" style="73" customWidth="1"/>
    <col min="6407" max="6407" width="10.140625" style="73" customWidth="1"/>
    <col min="6408" max="6408" width="10.42578125" style="73" bestFit="1" customWidth="1"/>
    <col min="6409" max="6410" width="9.42578125" style="73" bestFit="1" customWidth="1"/>
    <col min="6411" max="6412" width="9.42578125" style="73" customWidth="1"/>
    <col min="6413" max="6413" width="10.140625" style="73" bestFit="1" customWidth="1"/>
    <col min="6414" max="6417" width="9.140625" style="73"/>
    <col min="6418" max="6418" width="7.28515625" style="73" customWidth="1"/>
    <col min="6419" max="6421" width="7.42578125" style="73" customWidth="1"/>
    <col min="6422" max="6422" width="10.42578125" style="73" bestFit="1" customWidth="1"/>
    <col min="6423" max="6423" width="12" style="73" bestFit="1" customWidth="1"/>
    <col min="6424" max="6424" width="11" style="73" bestFit="1" customWidth="1"/>
    <col min="6425" max="6426" width="11" style="73" customWidth="1"/>
    <col min="6427" max="6427" width="10" style="73" bestFit="1" customWidth="1"/>
    <col min="6428" max="6428" width="14.42578125" style="73" bestFit="1" customWidth="1"/>
    <col min="6429" max="6439" width="0" style="73" hidden="1" customWidth="1"/>
    <col min="6440" max="6660" width="9.140625" style="73"/>
    <col min="6661" max="6661" width="54.140625" style="73" bestFit="1" customWidth="1"/>
    <col min="6662" max="6662" width="14.7109375" style="73" customWidth="1"/>
    <col min="6663" max="6663" width="10.140625" style="73" customWidth="1"/>
    <col min="6664" max="6664" width="10.42578125" style="73" bestFit="1" customWidth="1"/>
    <col min="6665" max="6666" width="9.42578125" style="73" bestFit="1" customWidth="1"/>
    <col min="6667" max="6668" width="9.42578125" style="73" customWidth="1"/>
    <col min="6669" max="6669" width="10.140625" style="73" bestFit="1" customWidth="1"/>
    <col min="6670" max="6673" width="9.140625" style="73"/>
    <col min="6674" max="6674" width="7.28515625" style="73" customWidth="1"/>
    <col min="6675" max="6677" width="7.42578125" style="73" customWidth="1"/>
    <col min="6678" max="6678" width="10.42578125" style="73" bestFit="1" customWidth="1"/>
    <col min="6679" max="6679" width="12" style="73" bestFit="1" customWidth="1"/>
    <col min="6680" max="6680" width="11" style="73" bestFit="1" customWidth="1"/>
    <col min="6681" max="6682" width="11" style="73" customWidth="1"/>
    <col min="6683" max="6683" width="10" style="73" bestFit="1" customWidth="1"/>
    <col min="6684" max="6684" width="14.42578125" style="73" bestFit="1" customWidth="1"/>
    <col min="6685" max="6695" width="0" style="73" hidden="1" customWidth="1"/>
    <col min="6696" max="6916" width="9.140625" style="73"/>
    <col min="6917" max="6917" width="54.140625" style="73" bestFit="1" customWidth="1"/>
    <col min="6918" max="6918" width="14.7109375" style="73" customWidth="1"/>
    <col min="6919" max="6919" width="10.140625" style="73" customWidth="1"/>
    <col min="6920" max="6920" width="10.42578125" style="73" bestFit="1" customWidth="1"/>
    <col min="6921" max="6922" width="9.42578125" style="73" bestFit="1" customWidth="1"/>
    <col min="6923" max="6924" width="9.42578125" style="73" customWidth="1"/>
    <col min="6925" max="6925" width="10.140625" style="73" bestFit="1" customWidth="1"/>
    <col min="6926" max="6929" width="9.140625" style="73"/>
    <col min="6930" max="6930" width="7.28515625" style="73" customWidth="1"/>
    <col min="6931" max="6933" width="7.42578125" style="73" customWidth="1"/>
    <col min="6934" max="6934" width="10.42578125" style="73" bestFit="1" customWidth="1"/>
    <col min="6935" max="6935" width="12" style="73" bestFit="1" customWidth="1"/>
    <col min="6936" max="6936" width="11" style="73" bestFit="1" customWidth="1"/>
    <col min="6937" max="6938" width="11" style="73" customWidth="1"/>
    <col min="6939" max="6939" width="10" style="73" bestFit="1" customWidth="1"/>
    <col min="6940" max="6940" width="14.42578125" style="73" bestFit="1" customWidth="1"/>
    <col min="6941" max="6951" width="0" style="73" hidden="1" customWidth="1"/>
    <col min="6952" max="7172" width="9.140625" style="73"/>
    <col min="7173" max="7173" width="54.140625" style="73" bestFit="1" customWidth="1"/>
    <col min="7174" max="7174" width="14.7109375" style="73" customWidth="1"/>
    <col min="7175" max="7175" width="10.140625" style="73" customWidth="1"/>
    <col min="7176" max="7176" width="10.42578125" style="73" bestFit="1" customWidth="1"/>
    <col min="7177" max="7178" width="9.42578125" style="73" bestFit="1" customWidth="1"/>
    <col min="7179" max="7180" width="9.42578125" style="73" customWidth="1"/>
    <col min="7181" max="7181" width="10.140625" style="73" bestFit="1" customWidth="1"/>
    <col min="7182" max="7185" width="9.140625" style="73"/>
    <col min="7186" max="7186" width="7.28515625" style="73" customWidth="1"/>
    <col min="7187" max="7189" width="7.42578125" style="73" customWidth="1"/>
    <col min="7190" max="7190" width="10.42578125" style="73" bestFit="1" customWidth="1"/>
    <col min="7191" max="7191" width="12" style="73" bestFit="1" customWidth="1"/>
    <col min="7192" max="7192" width="11" style="73" bestFit="1" customWidth="1"/>
    <col min="7193" max="7194" width="11" style="73" customWidth="1"/>
    <col min="7195" max="7195" width="10" style="73" bestFit="1" customWidth="1"/>
    <col min="7196" max="7196" width="14.42578125" style="73" bestFit="1" customWidth="1"/>
    <col min="7197" max="7207" width="0" style="73" hidden="1" customWidth="1"/>
    <col min="7208" max="7428" width="9.140625" style="73"/>
    <col min="7429" max="7429" width="54.140625" style="73" bestFit="1" customWidth="1"/>
    <col min="7430" max="7430" width="14.7109375" style="73" customWidth="1"/>
    <col min="7431" max="7431" width="10.140625" style="73" customWidth="1"/>
    <col min="7432" max="7432" width="10.42578125" style="73" bestFit="1" customWidth="1"/>
    <col min="7433" max="7434" width="9.42578125" style="73" bestFit="1" customWidth="1"/>
    <col min="7435" max="7436" width="9.42578125" style="73" customWidth="1"/>
    <col min="7437" max="7437" width="10.140625" style="73" bestFit="1" customWidth="1"/>
    <col min="7438" max="7441" width="9.140625" style="73"/>
    <col min="7442" max="7442" width="7.28515625" style="73" customWidth="1"/>
    <col min="7443" max="7445" width="7.42578125" style="73" customWidth="1"/>
    <col min="7446" max="7446" width="10.42578125" style="73" bestFit="1" customWidth="1"/>
    <col min="7447" max="7447" width="12" style="73" bestFit="1" customWidth="1"/>
    <col min="7448" max="7448" width="11" style="73" bestFit="1" customWidth="1"/>
    <col min="7449" max="7450" width="11" style="73" customWidth="1"/>
    <col min="7451" max="7451" width="10" style="73" bestFit="1" customWidth="1"/>
    <col min="7452" max="7452" width="14.42578125" style="73" bestFit="1" customWidth="1"/>
    <col min="7453" max="7463" width="0" style="73" hidden="1" customWidth="1"/>
    <col min="7464" max="7684" width="9.140625" style="73"/>
    <col min="7685" max="7685" width="54.140625" style="73" bestFit="1" customWidth="1"/>
    <col min="7686" max="7686" width="14.7109375" style="73" customWidth="1"/>
    <col min="7687" max="7687" width="10.140625" style="73" customWidth="1"/>
    <col min="7688" max="7688" width="10.42578125" style="73" bestFit="1" customWidth="1"/>
    <col min="7689" max="7690" width="9.42578125" style="73" bestFit="1" customWidth="1"/>
    <col min="7691" max="7692" width="9.42578125" style="73" customWidth="1"/>
    <col min="7693" max="7693" width="10.140625" style="73" bestFit="1" customWidth="1"/>
    <col min="7694" max="7697" width="9.140625" style="73"/>
    <col min="7698" max="7698" width="7.28515625" style="73" customWidth="1"/>
    <col min="7699" max="7701" width="7.42578125" style="73" customWidth="1"/>
    <col min="7702" max="7702" width="10.42578125" style="73" bestFit="1" customWidth="1"/>
    <col min="7703" max="7703" width="12" style="73" bestFit="1" customWidth="1"/>
    <col min="7704" max="7704" width="11" style="73" bestFit="1" customWidth="1"/>
    <col min="7705" max="7706" width="11" style="73" customWidth="1"/>
    <col min="7707" max="7707" width="10" style="73" bestFit="1" customWidth="1"/>
    <col min="7708" max="7708" width="14.42578125" style="73" bestFit="1" customWidth="1"/>
    <col min="7709" max="7719" width="0" style="73" hidden="1" customWidth="1"/>
    <col min="7720" max="7940" width="9.140625" style="73"/>
    <col min="7941" max="7941" width="54.140625" style="73" bestFit="1" customWidth="1"/>
    <col min="7942" max="7942" width="14.7109375" style="73" customWidth="1"/>
    <col min="7943" max="7943" width="10.140625" style="73" customWidth="1"/>
    <col min="7944" max="7944" width="10.42578125" style="73" bestFit="1" customWidth="1"/>
    <col min="7945" max="7946" width="9.42578125" style="73" bestFit="1" customWidth="1"/>
    <col min="7947" max="7948" width="9.42578125" style="73" customWidth="1"/>
    <col min="7949" max="7949" width="10.140625" style="73" bestFit="1" customWidth="1"/>
    <col min="7950" max="7953" width="9.140625" style="73"/>
    <col min="7954" max="7954" width="7.28515625" style="73" customWidth="1"/>
    <col min="7955" max="7957" width="7.42578125" style="73" customWidth="1"/>
    <col min="7958" max="7958" width="10.42578125" style="73" bestFit="1" customWidth="1"/>
    <col min="7959" max="7959" width="12" style="73" bestFit="1" customWidth="1"/>
    <col min="7960" max="7960" width="11" style="73" bestFit="1" customWidth="1"/>
    <col min="7961" max="7962" width="11" style="73" customWidth="1"/>
    <col min="7963" max="7963" width="10" style="73" bestFit="1" customWidth="1"/>
    <col min="7964" max="7964" width="14.42578125" style="73" bestFit="1" customWidth="1"/>
    <col min="7965" max="7975" width="0" style="73" hidden="1" customWidth="1"/>
    <col min="7976" max="8196" width="9.140625" style="73"/>
    <col min="8197" max="8197" width="54.140625" style="73" bestFit="1" customWidth="1"/>
    <col min="8198" max="8198" width="14.7109375" style="73" customWidth="1"/>
    <col min="8199" max="8199" width="10.140625" style="73" customWidth="1"/>
    <col min="8200" max="8200" width="10.42578125" style="73" bestFit="1" customWidth="1"/>
    <col min="8201" max="8202" width="9.42578125" style="73" bestFit="1" customWidth="1"/>
    <col min="8203" max="8204" width="9.42578125" style="73" customWidth="1"/>
    <col min="8205" max="8205" width="10.140625" style="73" bestFit="1" customWidth="1"/>
    <col min="8206" max="8209" width="9.140625" style="73"/>
    <col min="8210" max="8210" width="7.28515625" style="73" customWidth="1"/>
    <col min="8211" max="8213" width="7.42578125" style="73" customWidth="1"/>
    <col min="8214" max="8214" width="10.42578125" style="73" bestFit="1" customWidth="1"/>
    <col min="8215" max="8215" width="12" style="73" bestFit="1" customWidth="1"/>
    <col min="8216" max="8216" width="11" style="73" bestFit="1" customWidth="1"/>
    <col min="8217" max="8218" width="11" style="73" customWidth="1"/>
    <col min="8219" max="8219" width="10" style="73" bestFit="1" customWidth="1"/>
    <col min="8220" max="8220" width="14.42578125" style="73" bestFit="1" customWidth="1"/>
    <col min="8221" max="8231" width="0" style="73" hidden="1" customWidth="1"/>
    <col min="8232" max="8452" width="9.140625" style="73"/>
    <col min="8453" max="8453" width="54.140625" style="73" bestFit="1" customWidth="1"/>
    <col min="8454" max="8454" width="14.7109375" style="73" customWidth="1"/>
    <col min="8455" max="8455" width="10.140625" style="73" customWidth="1"/>
    <col min="8456" max="8456" width="10.42578125" style="73" bestFit="1" customWidth="1"/>
    <col min="8457" max="8458" width="9.42578125" style="73" bestFit="1" customWidth="1"/>
    <col min="8459" max="8460" width="9.42578125" style="73" customWidth="1"/>
    <col min="8461" max="8461" width="10.140625" style="73" bestFit="1" customWidth="1"/>
    <col min="8462" max="8465" width="9.140625" style="73"/>
    <col min="8466" max="8466" width="7.28515625" style="73" customWidth="1"/>
    <col min="8467" max="8469" width="7.42578125" style="73" customWidth="1"/>
    <col min="8470" max="8470" width="10.42578125" style="73" bestFit="1" customWidth="1"/>
    <col min="8471" max="8471" width="12" style="73" bestFit="1" customWidth="1"/>
    <col min="8472" max="8472" width="11" style="73" bestFit="1" customWidth="1"/>
    <col min="8473" max="8474" width="11" style="73" customWidth="1"/>
    <col min="8475" max="8475" width="10" style="73" bestFit="1" customWidth="1"/>
    <col min="8476" max="8476" width="14.42578125" style="73" bestFit="1" customWidth="1"/>
    <col min="8477" max="8487" width="0" style="73" hidden="1" customWidth="1"/>
    <col min="8488" max="8708" width="9.140625" style="73"/>
    <col min="8709" max="8709" width="54.140625" style="73" bestFit="1" customWidth="1"/>
    <col min="8710" max="8710" width="14.7109375" style="73" customWidth="1"/>
    <col min="8711" max="8711" width="10.140625" style="73" customWidth="1"/>
    <col min="8712" max="8712" width="10.42578125" style="73" bestFit="1" customWidth="1"/>
    <col min="8713" max="8714" width="9.42578125" style="73" bestFit="1" customWidth="1"/>
    <col min="8715" max="8716" width="9.42578125" style="73" customWidth="1"/>
    <col min="8717" max="8717" width="10.140625" style="73" bestFit="1" customWidth="1"/>
    <col min="8718" max="8721" width="9.140625" style="73"/>
    <col min="8722" max="8722" width="7.28515625" style="73" customWidth="1"/>
    <col min="8723" max="8725" width="7.42578125" style="73" customWidth="1"/>
    <col min="8726" max="8726" width="10.42578125" style="73" bestFit="1" customWidth="1"/>
    <col min="8727" max="8727" width="12" style="73" bestFit="1" customWidth="1"/>
    <col min="8728" max="8728" width="11" style="73" bestFit="1" customWidth="1"/>
    <col min="8729" max="8730" width="11" style="73" customWidth="1"/>
    <col min="8731" max="8731" width="10" style="73" bestFit="1" customWidth="1"/>
    <col min="8732" max="8732" width="14.42578125" style="73" bestFit="1" customWidth="1"/>
    <col min="8733" max="8743" width="0" style="73" hidden="1" customWidth="1"/>
    <col min="8744" max="8964" width="9.140625" style="73"/>
    <col min="8965" max="8965" width="54.140625" style="73" bestFit="1" customWidth="1"/>
    <col min="8966" max="8966" width="14.7109375" style="73" customWidth="1"/>
    <col min="8967" max="8967" width="10.140625" style="73" customWidth="1"/>
    <col min="8968" max="8968" width="10.42578125" style="73" bestFit="1" customWidth="1"/>
    <col min="8969" max="8970" width="9.42578125" style="73" bestFit="1" customWidth="1"/>
    <col min="8971" max="8972" width="9.42578125" style="73" customWidth="1"/>
    <col min="8973" max="8973" width="10.140625" style="73" bestFit="1" customWidth="1"/>
    <col min="8974" max="8977" width="9.140625" style="73"/>
    <col min="8978" max="8978" width="7.28515625" style="73" customWidth="1"/>
    <col min="8979" max="8981" width="7.42578125" style="73" customWidth="1"/>
    <col min="8982" max="8982" width="10.42578125" style="73" bestFit="1" customWidth="1"/>
    <col min="8983" max="8983" width="12" style="73" bestFit="1" customWidth="1"/>
    <col min="8984" max="8984" width="11" style="73" bestFit="1" customWidth="1"/>
    <col min="8985" max="8986" width="11" style="73" customWidth="1"/>
    <col min="8987" max="8987" width="10" style="73" bestFit="1" customWidth="1"/>
    <col min="8988" max="8988" width="14.42578125" style="73" bestFit="1" customWidth="1"/>
    <col min="8989" max="8999" width="0" style="73" hidden="1" customWidth="1"/>
    <col min="9000" max="9220" width="9.140625" style="73"/>
    <col min="9221" max="9221" width="54.140625" style="73" bestFit="1" customWidth="1"/>
    <col min="9222" max="9222" width="14.7109375" style="73" customWidth="1"/>
    <col min="9223" max="9223" width="10.140625" style="73" customWidth="1"/>
    <col min="9224" max="9224" width="10.42578125" style="73" bestFit="1" customWidth="1"/>
    <col min="9225" max="9226" width="9.42578125" style="73" bestFit="1" customWidth="1"/>
    <col min="9227" max="9228" width="9.42578125" style="73" customWidth="1"/>
    <col min="9229" max="9229" width="10.140625" style="73" bestFit="1" customWidth="1"/>
    <col min="9230" max="9233" width="9.140625" style="73"/>
    <col min="9234" max="9234" width="7.28515625" style="73" customWidth="1"/>
    <col min="9235" max="9237" width="7.42578125" style="73" customWidth="1"/>
    <col min="9238" max="9238" width="10.42578125" style="73" bestFit="1" customWidth="1"/>
    <col min="9239" max="9239" width="12" style="73" bestFit="1" customWidth="1"/>
    <col min="9240" max="9240" width="11" style="73" bestFit="1" customWidth="1"/>
    <col min="9241" max="9242" width="11" style="73" customWidth="1"/>
    <col min="9243" max="9243" width="10" style="73" bestFit="1" customWidth="1"/>
    <col min="9244" max="9244" width="14.42578125" style="73" bestFit="1" customWidth="1"/>
    <col min="9245" max="9255" width="0" style="73" hidden="1" customWidth="1"/>
    <col min="9256" max="9476" width="9.140625" style="73"/>
    <col min="9477" max="9477" width="54.140625" style="73" bestFit="1" customWidth="1"/>
    <col min="9478" max="9478" width="14.7109375" style="73" customWidth="1"/>
    <col min="9479" max="9479" width="10.140625" style="73" customWidth="1"/>
    <col min="9480" max="9480" width="10.42578125" style="73" bestFit="1" customWidth="1"/>
    <col min="9481" max="9482" width="9.42578125" style="73" bestFit="1" customWidth="1"/>
    <col min="9483" max="9484" width="9.42578125" style="73" customWidth="1"/>
    <col min="9485" max="9485" width="10.140625" style="73" bestFit="1" customWidth="1"/>
    <col min="9486" max="9489" width="9.140625" style="73"/>
    <col min="9490" max="9490" width="7.28515625" style="73" customWidth="1"/>
    <col min="9491" max="9493" width="7.42578125" style="73" customWidth="1"/>
    <col min="9494" max="9494" width="10.42578125" style="73" bestFit="1" customWidth="1"/>
    <col min="9495" max="9495" width="12" style="73" bestFit="1" customWidth="1"/>
    <col min="9496" max="9496" width="11" style="73" bestFit="1" customWidth="1"/>
    <col min="9497" max="9498" width="11" style="73" customWidth="1"/>
    <col min="9499" max="9499" width="10" style="73" bestFit="1" customWidth="1"/>
    <col min="9500" max="9500" width="14.42578125" style="73" bestFit="1" customWidth="1"/>
    <col min="9501" max="9511" width="0" style="73" hidden="1" customWidth="1"/>
    <col min="9512" max="9732" width="9.140625" style="73"/>
    <col min="9733" max="9733" width="54.140625" style="73" bestFit="1" customWidth="1"/>
    <col min="9734" max="9734" width="14.7109375" style="73" customWidth="1"/>
    <col min="9735" max="9735" width="10.140625" style="73" customWidth="1"/>
    <col min="9736" max="9736" width="10.42578125" style="73" bestFit="1" customWidth="1"/>
    <col min="9737" max="9738" width="9.42578125" style="73" bestFit="1" customWidth="1"/>
    <col min="9739" max="9740" width="9.42578125" style="73" customWidth="1"/>
    <col min="9741" max="9741" width="10.140625" style="73" bestFit="1" customWidth="1"/>
    <col min="9742" max="9745" width="9.140625" style="73"/>
    <col min="9746" max="9746" width="7.28515625" style="73" customWidth="1"/>
    <col min="9747" max="9749" width="7.42578125" style="73" customWidth="1"/>
    <col min="9750" max="9750" width="10.42578125" style="73" bestFit="1" customWidth="1"/>
    <col min="9751" max="9751" width="12" style="73" bestFit="1" customWidth="1"/>
    <col min="9752" max="9752" width="11" style="73" bestFit="1" customWidth="1"/>
    <col min="9753" max="9754" width="11" style="73" customWidth="1"/>
    <col min="9755" max="9755" width="10" style="73" bestFit="1" customWidth="1"/>
    <col min="9756" max="9756" width="14.42578125" style="73" bestFit="1" customWidth="1"/>
    <col min="9757" max="9767" width="0" style="73" hidden="1" customWidth="1"/>
    <col min="9768" max="9988" width="9.140625" style="73"/>
    <col min="9989" max="9989" width="54.140625" style="73" bestFit="1" customWidth="1"/>
    <col min="9990" max="9990" width="14.7109375" style="73" customWidth="1"/>
    <col min="9991" max="9991" width="10.140625" style="73" customWidth="1"/>
    <col min="9992" max="9992" width="10.42578125" style="73" bestFit="1" customWidth="1"/>
    <col min="9993" max="9994" width="9.42578125" style="73" bestFit="1" customWidth="1"/>
    <col min="9995" max="9996" width="9.42578125" style="73" customWidth="1"/>
    <col min="9997" max="9997" width="10.140625" style="73" bestFit="1" customWidth="1"/>
    <col min="9998" max="10001" width="9.140625" style="73"/>
    <col min="10002" max="10002" width="7.28515625" style="73" customWidth="1"/>
    <col min="10003" max="10005" width="7.42578125" style="73" customWidth="1"/>
    <col min="10006" max="10006" width="10.42578125" style="73" bestFit="1" customWidth="1"/>
    <col min="10007" max="10007" width="12" style="73" bestFit="1" customWidth="1"/>
    <col min="10008" max="10008" width="11" style="73" bestFit="1" customWidth="1"/>
    <col min="10009" max="10010" width="11" style="73" customWidth="1"/>
    <col min="10011" max="10011" width="10" style="73" bestFit="1" customWidth="1"/>
    <col min="10012" max="10012" width="14.42578125" style="73" bestFit="1" customWidth="1"/>
    <col min="10013" max="10023" width="0" style="73" hidden="1" customWidth="1"/>
    <col min="10024" max="10244" width="9.140625" style="73"/>
    <col min="10245" max="10245" width="54.140625" style="73" bestFit="1" customWidth="1"/>
    <col min="10246" max="10246" width="14.7109375" style="73" customWidth="1"/>
    <col min="10247" max="10247" width="10.140625" style="73" customWidth="1"/>
    <col min="10248" max="10248" width="10.42578125" style="73" bestFit="1" customWidth="1"/>
    <col min="10249" max="10250" width="9.42578125" style="73" bestFit="1" customWidth="1"/>
    <col min="10251" max="10252" width="9.42578125" style="73" customWidth="1"/>
    <col min="10253" max="10253" width="10.140625" style="73" bestFit="1" customWidth="1"/>
    <col min="10254" max="10257" width="9.140625" style="73"/>
    <col min="10258" max="10258" width="7.28515625" style="73" customWidth="1"/>
    <col min="10259" max="10261" width="7.42578125" style="73" customWidth="1"/>
    <col min="10262" max="10262" width="10.42578125" style="73" bestFit="1" customWidth="1"/>
    <col min="10263" max="10263" width="12" style="73" bestFit="1" customWidth="1"/>
    <col min="10264" max="10264" width="11" style="73" bestFit="1" customWidth="1"/>
    <col min="10265" max="10266" width="11" style="73" customWidth="1"/>
    <col min="10267" max="10267" width="10" style="73" bestFit="1" customWidth="1"/>
    <col min="10268" max="10268" width="14.42578125" style="73" bestFit="1" customWidth="1"/>
    <col min="10269" max="10279" width="0" style="73" hidden="1" customWidth="1"/>
    <col min="10280" max="10500" width="9.140625" style="73"/>
    <col min="10501" max="10501" width="54.140625" style="73" bestFit="1" customWidth="1"/>
    <col min="10502" max="10502" width="14.7109375" style="73" customWidth="1"/>
    <col min="10503" max="10503" width="10.140625" style="73" customWidth="1"/>
    <col min="10504" max="10504" width="10.42578125" style="73" bestFit="1" customWidth="1"/>
    <col min="10505" max="10506" width="9.42578125" style="73" bestFit="1" customWidth="1"/>
    <col min="10507" max="10508" width="9.42578125" style="73" customWidth="1"/>
    <col min="10509" max="10509" width="10.140625" style="73" bestFit="1" customWidth="1"/>
    <col min="10510" max="10513" width="9.140625" style="73"/>
    <col min="10514" max="10514" width="7.28515625" style="73" customWidth="1"/>
    <col min="10515" max="10517" width="7.42578125" style="73" customWidth="1"/>
    <col min="10518" max="10518" width="10.42578125" style="73" bestFit="1" customWidth="1"/>
    <col min="10519" max="10519" width="12" style="73" bestFit="1" customWidth="1"/>
    <col min="10520" max="10520" width="11" style="73" bestFit="1" customWidth="1"/>
    <col min="10521" max="10522" width="11" style="73" customWidth="1"/>
    <col min="10523" max="10523" width="10" style="73" bestFit="1" customWidth="1"/>
    <col min="10524" max="10524" width="14.42578125" style="73" bestFit="1" customWidth="1"/>
    <col min="10525" max="10535" width="0" style="73" hidden="1" customWidth="1"/>
    <col min="10536" max="10756" width="9.140625" style="73"/>
    <col min="10757" max="10757" width="54.140625" style="73" bestFit="1" customWidth="1"/>
    <col min="10758" max="10758" width="14.7109375" style="73" customWidth="1"/>
    <col min="10759" max="10759" width="10.140625" style="73" customWidth="1"/>
    <col min="10760" max="10760" width="10.42578125" style="73" bestFit="1" customWidth="1"/>
    <col min="10761" max="10762" width="9.42578125" style="73" bestFit="1" customWidth="1"/>
    <col min="10763" max="10764" width="9.42578125" style="73" customWidth="1"/>
    <col min="10765" max="10765" width="10.140625" style="73" bestFit="1" customWidth="1"/>
    <col min="10766" max="10769" width="9.140625" style="73"/>
    <col min="10770" max="10770" width="7.28515625" style="73" customWidth="1"/>
    <col min="10771" max="10773" width="7.42578125" style="73" customWidth="1"/>
    <col min="10774" max="10774" width="10.42578125" style="73" bestFit="1" customWidth="1"/>
    <col min="10775" max="10775" width="12" style="73" bestFit="1" customWidth="1"/>
    <col min="10776" max="10776" width="11" style="73" bestFit="1" customWidth="1"/>
    <col min="10777" max="10778" width="11" style="73" customWidth="1"/>
    <col min="10779" max="10779" width="10" style="73" bestFit="1" customWidth="1"/>
    <col min="10780" max="10780" width="14.42578125" style="73" bestFit="1" customWidth="1"/>
    <col min="10781" max="10791" width="0" style="73" hidden="1" customWidth="1"/>
    <col min="10792" max="11012" width="9.140625" style="73"/>
    <col min="11013" max="11013" width="54.140625" style="73" bestFit="1" customWidth="1"/>
    <col min="11014" max="11014" width="14.7109375" style="73" customWidth="1"/>
    <col min="11015" max="11015" width="10.140625" style="73" customWidth="1"/>
    <col min="11016" max="11016" width="10.42578125" style="73" bestFit="1" customWidth="1"/>
    <col min="11017" max="11018" width="9.42578125" style="73" bestFit="1" customWidth="1"/>
    <col min="11019" max="11020" width="9.42578125" style="73" customWidth="1"/>
    <col min="11021" max="11021" width="10.140625" style="73" bestFit="1" customWidth="1"/>
    <col min="11022" max="11025" width="9.140625" style="73"/>
    <col min="11026" max="11026" width="7.28515625" style="73" customWidth="1"/>
    <col min="11027" max="11029" width="7.42578125" style="73" customWidth="1"/>
    <col min="11030" max="11030" width="10.42578125" style="73" bestFit="1" customWidth="1"/>
    <col min="11031" max="11031" width="12" style="73" bestFit="1" customWidth="1"/>
    <col min="11032" max="11032" width="11" style="73" bestFit="1" customWidth="1"/>
    <col min="11033" max="11034" width="11" style="73" customWidth="1"/>
    <col min="11035" max="11035" width="10" style="73" bestFit="1" customWidth="1"/>
    <col min="11036" max="11036" width="14.42578125" style="73" bestFit="1" customWidth="1"/>
    <col min="11037" max="11047" width="0" style="73" hidden="1" customWidth="1"/>
    <col min="11048" max="11268" width="9.140625" style="73"/>
    <col min="11269" max="11269" width="54.140625" style="73" bestFit="1" customWidth="1"/>
    <col min="11270" max="11270" width="14.7109375" style="73" customWidth="1"/>
    <col min="11271" max="11271" width="10.140625" style="73" customWidth="1"/>
    <col min="11272" max="11272" width="10.42578125" style="73" bestFit="1" customWidth="1"/>
    <col min="11273" max="11274" width="9.42578125" style="73" bestFit="1" customWidth="1"/>
    <col min="11275" max="11276" width="9.42578125" style="73" customWidth="1"/>
    <col min="11277" max="11277" width="10.140625" style="73" bestFit="1" customWidth="1"/>
    <col min="11278" max="11281" width="9.140625" style="73"/>
    <col min="11282" max="11282" width="7.28515625" style="73" customWidth="1"/>
    <col min="11283" max="11285" width="7.42578125" style="73" customWidth="1"/>
    <col min="11286" max="11286" width="10.42578125" style="73" bestFit="1" customWidth="1"/>
    <col min="11287" max="11287" width="12" style="73" bestFit="1" customWidth="1"/>
    <col min="11288" max="11288" width="11" style="73" bestFit="1" customWidth="1"/>
    <col min="11289" max="11290" width="11" style="73" customWidth="1"/>
    <col min="11291" max="11291" width="10" style="73" bestFit="1" customWidth="1"/>
    <col min="11292" max="11292" width="14.42578125" style="73" bestFit="1" customWidth="1"/>
    <col min="11293" max="11303" width="0" style="73" hidden="1" customWidth="1"/>
    <col min="11304" max="11524" width="9.140625" style="73"/>
    <col min="11525" max="11525" width="54.140625" style="73" bestFit="1" customWidth="1"/>
    <col min="11526" max="11526" width="14.7109375" style="73" customWidth="1"/>
    <col min="11527" max="11527" width="10.140625" style="73" customWidth="1"/>
    <col min="11528" max="11528" width="10.42578125" style="73" bestFit="1" customWidth="1"/>
    <col min="11529" max="11530" width="9.42578125" style="73" bestFit="1" customWidth="1"/>
    <col min="11531" max="11532" width="9.42578125" style="73" customWidth="1"/>
    <col min="11533" max="11533" width="10.140625" style="73" bestFit="1" customWidth="1"/>
    <col min="11534" max="11537" width="9.140625" style="73"/>
    <col min="11538" max="11538" width="7.28515625" style="73" customWidth="1"/>
    <col min="11539" max="11541" width="7.42578125" style="73" customWidth="1"/>
    <col min="11542" max="11542" width="10.42578125" style="73" bestFit="1" customWidth="1"/>
    <col min="11543" max="11543" width="12" style="73" bestFit="1" customWidth="1"/>
    <col min="11544" max="11544" width="11" style="73" bestFit="1" customWidth="1"/>
    <col min="11545" max="11546" width="11" style="73" customWidth="1"/>
    <col min="11547" max="11547" width="10" style="73" bestFit="1" customWidth="1"/>
    <col min="11548" max="11548" width="14.42578125" style="73" bestFit="1" customWidth="1"/>
    <col min="11549" max="11559" width="0" style="73" hidden="1" customWidth="1"/>
    <col min="11560" max="11780" width="9.140625" style="73"/>
    <col min="11781" max="11781" width="54.140625" style="73" bestFit="1" customWidth="1"/>
    <col min="11782" max="11782" width="14.7109375" style="73" customWidth="1"/>
    <col min="11783" max="11783" width="10.140625" style="73" customWidth="1"/>
    <col min="11784" max="11784" width="10.42578125" style="73" bestFit="1" customWidth="1"/>
    <col min="11785" max="11786" width="9.42578125" style="73" bestFit="1" customWidth="1"/>
    <col min="11787" max="11788" width="9.42578125" style="73" customWidth="1"/>
    <col min="11789" max="11789" width="10.140625" style="73" bestFit="1" customWidth="1"/>
    <col min="11790" max="11793" width="9.140625" style="73"/>
    <col min="11794" max="11794" width="7.28515625" style="73" customWidth="1"/>
    <col min="11795" max="11797" width="7.42578125" style="73" customWidth="1"/>
    <col min="11798" max="11798" width="10.42578125" style="73" bestFit="1" customWidth="1"/>
    <col min="11799" max="11799" width="12" style="73" bestFit="1" customWidth="1"/>
    <col min="11800" max="11800" width="11" style="73" bestFit="1" customWidth="1"/>
    <col min="11801" max="11802" width="11" style="73" customWidth="1"/>
    <col min="11803" max="11803" width="10" style="73" bestFit="1" customWidth="1"/>
    <col min="11804" max="11804" width="14.42578125" style="73" bestFit="1" customWidth="1"/>
    <col min="11805" max="11815" width="0" style="73" hidden="1" customWidth="1"/>
    <col min="11816" max="12036" width="9.140625" style="73"/>
    <col min="12037" max="12037" width="54.140625" style="73" bestFit="1" customWidth="1"/>
    <col min="12038" max="12038" width="14.7109375" style="73" customWidth="1"/>
    <col min="12039" max="12039" width="10.140625" style="73" customWidth="1"/>
    <col min="12040" max="12040" width="10.42578125" style="73" bestFit="1" customWidth="1"/>
    <col min="12041" max="12042" width="9.42578125" style="73" bestFit="1" customWidth="1"/>
    <col min="12043" max="12044" width="9.42578125" style="73" customWidth="1"/>
    <col min="12045" max="12045" width="10.140625" style="73" bestFit="1" customWidth="1"/>
    <col min="12046" max="12049" width="9.140625" style="73"/>
    <col min="12050" max="12050" width="7.28515625" style="73" customWidth="1"/>
    <col min="12051" max="12053" width="7.42578125" style="73" customWidth="1"/>
    <col min="12054" max="12054" width="10.42578125" style="73" bestFit="1" customWidth="1"/>
    <col min="12055" max="12055" width="12" style="73" bestFit="1" customWidth="1"/>
    <col min="12056" max="12056" width="11" style="73" bestFit="1" customWidth="1"/>
    <col min="12057" max="12058" width="11" style="73" customWidth="1"/>
    <col min="12059" max="12059" width="10" style="73" bestFit="1" customWidth="1"/>
    <col min="12060" max="12060" width="14.42578125" style="73" bestFit="1" customWidth="1"/>
    <col min="12061" max="12071" width="0" style="73" hidden="1" customWidth="1"/>
    <col min="12072" max="12292" width="9.140625" style="73"/>
    <col min="12293" max="12293" width="54.140625" style="73" bestFit="1" customWidth="1"/>
    <col min="12294" max="12294" width="14.7109375" style="73" customWidth="1"/>
    <col min="12295" max="12295" width="10.140625" style="73" customWidth="1"/>
    <col min="12296" max="12296" width="10.42578125" style="73" bestFit="1" customWidth="1"/>
    <col min="12297" max="12298" width="9.42578125" style="73" bestFit="1" customWidth="1"/>
    <col min="12299" max="12300" width="9.42578125" style="73" customWidth="1"/>
    <col min="12301" max="12301" width="10.140625" style="73" bestFit="1" customWidth="1"/>
    <col min="12302" max="12305" width="9.140625" style="73"/>
    <col min="12306" max="12306" width="7.28515625" style="73" customWidth="1"/>
    <col min="12307" max="12309" width="7.42578125" style="73" customWidth="1"/>
    <col min="12310" max="12310" width="10.42578125" style="73" bestFit="1" customWidth="1"/>
    <col min="12311" max="12311" width="12" style="73" bestFit="1" customWidth="1"/>
    <col min="12312" max="12312" width="11" style="73" bestFit="1" customWidth="1"/>
    <col min="12313" max="12314" width="11" style="73" customWidth="1"/>
    <col min="12315" max="12315" width="10" style="73" bestFit="1" customWidth="1"/>
    <col min="12316" max="12316" width="14.42578125" style="73" bestFit="1" customWidth="1"/>
    <col min="12317" max="12327" width="0" style="73" hidden="1" customWidth="1"/>
    <col min="12328" max="12548" width="9.140625" style="73"/>
    <col min="12549" max="12549" width="54.140625" style="73" bestFit="1" customWidth="1"/>
    <col min="12550" max="12550" width="14.7109375" style="73" customWidth="1"/>
    <col min="12551" max="12551" width="10.140625" style="73" customWidth="1"/>
    <col min="12552" max="12552" width="10.42578125" style="73" bestFit="1" customWidth="1"/>
    <col min="12553" max="12554" width="9.42578125" style="73" bestFit="1" customWidth="1"/>
    <col min="12555" max="12556" width="9.42578125" style="73" customWidth="1"/>
    <col min="12557" max="12557" width="10.140625" style="73" bestFit="1" customWidth="1"/>
    <col min="12558" max="12561" width="9.140625" style="73"/>
    <col min="12562" max="12562" width="7.28515625" style="73" customWidth="1"/>
    <col min="12563" max="12565" width="7.42578125" style="73" customWidth="1"/>
    <col min="12566" max="12566" width="10.42578125" style="73" bestFit="1" customWidth="1"/>
    <col min="12567" max="12567" width="12" style="73" bestFit="1" customWidth="1"/>
    <col min="12568" max="12568" width="11" style="73" bestFit="1" customWidth="1"/>
    <col min="12569" max="12570" width="11" style="73" customWidth="1"/>
    <col min="12571" max="12571" width="10" style="73" bestFit="1" customWidth="1"/>
    <col min="12572" max="12572" width="14.42578125" style="73" bestFit="1" customWidth="1"/>
    <col min="12573" max="12583" width="0" style="73" hidden="1" customWidth="1"/>
    <col min="12584" max="12804" width="9.140625" style="73"/>
    <col min="12805" max="12805" width="54.140625" style="73" bestFit="1" customWidth="1"/>
    <col min="12806" max="12806" width="14.7109375" style="73" customWidth="1"/>
    <col min="12807" max="12807" width="10.140625" style="73" customWidth="1"/>
    <col min="12808" max="12808" width="10.42578125" style="73" bestFit="1" customWidth="1"/>
    <col min="12809" max="12810" width="9.42578125" style="73" bestFit="1" customWidth="1"/>
    <col min="12811" max="12812" width="9.42578125" style="73" customWidth="1"/>
    <col min="12813" max="12813" width="10.140625" style="73" bestFit="1" customWidth="1"/>
    <col min="12814" max="12817" width="9.140625" style="73"/>
    <col min="12818" max="12818" width="7.28515625" style="73" customWidth="1"/>
    <col min="12819" max="12821" width="7.42578125" style="73" customWidth="1"/>
    <col min="12822" max="12822" width="10.42578125" style="73" bestFit="1" customWidth="1"/>
    <col min="12823" max="12823" width="12" style="73" bestFit="1" customWidth="1"/>
    <col min="12824" max="12824" width="11" style="73" bestFit="1" customWidth="1"/>
    <col min="12825" max="12826" width="11" style="73" customWidth="1"/>
    <col min="12827" max="12827" width="10" style="73" bestFit="1" customWidth="1"/>
    <col min="12828" max="12828" width="14.42578125" style="73" bestFit="1" customWidth="1"/>
    <col min="12829" max="12839" width="0" style="73" hidden="1" customWidth="1"/>
    <col min="12840" max="13060" width="9.140625" style="73"/>
    <col min="13061" max="13061" width="54.140625" style="73" bestFit="1" customWidth="1"/>
    <col min="13062" max="13062" width="14.7109375" style="73" customWidth="1"/>
    <col min="13063" max="13063" width="10.140625" style="73" customWidth="1"/>
    <col min="13064" max="13064" width="10.42578125" style="73" bestFit="1" customWidth="1"/>
    <col min="13065" max="13066" width="9.42578125" style="73" bestFit="1" customWidth="1"/>
    <col min="13067" max="13068" width="9.42578125" style="73" customWidth="1"/>
    <col min="13069" max="13069" width="10.140625" style="73" bestFit="1" customWidth="1"/>
    <col min="13070" max="13073" width="9.140625" style="73"/>
    <col min="13074" max="13074" width="7.28515625" style="73" customWidth="1"/>
    <col min="13075" max="13077" width="7.42578125" style="73" customWidth="1"/>
    <col min="13078" max="13078" width="10.42578125" style="73" bestFit="1" customWidth="1"/>
    <col min="13079" max="13079" width="12" style="73" bestFit="1" customWidth="1"/>
    <col min="13080" max="13080" width="11" style="73" bestFit="1" customWidth="1"/>
    <col min="13081" max="13082" width="11" style="73" customWidth="1"/>
    <col min="13083" max="13083" width="10" style="73" bestFit="1" customWidth="1"/>
    <col min="13084" max="13084" width="14.42578125" style="73" bestFit="1" customWidth="1"/>
    <col min="13085" max="13095" width="0" style="73" hidden="1" customWidth="1"/>
    <col min="13096" max="13316" width="9.140625" style="73"/>
    <col min="13317" max="13317" width="54.140625" style="73" bestFit="1" customWidth="1"/>
    <col min="13318" max="13318" width="14.7109375" style="73" customWidth="1"/>
    <col min="13319" max="13319" width="10.140625" style="73" customWidth="1"/>
    <col min="13320" max="13320" width="10.42578125" style="73" bestFit="1" customWidth="1"/>
    <col min="13321" max="13322" width="9.42578125" style="73" bestFit="1" customWidth="1"/>
    <col min="13323" max="13324" width="9.42578125" style="73" customWidth="1"/>
    <col min="13325" max="13325" width="10.140625" style="73" bestFit="1" customWidth="1"/>
    <col min="13326" max="13329" width="9.140625" style="73"/>
    <col min="13330" max="13330" width="7.28515625" style="73" customWidth="1"/>
    <col min="13331" max="13333" width="7.42578125" style="73" customWidth="1"/>
    <col min="13334" max="13334" width="10.42578125" style="73" bestFit="1" customWidth="1"/>
    <col min="13335" max="13335" width="12" style="73" bestFit="1" customWidth="1"/>
    <col min="13336" max="13336" width="11" style="73" bestFit="1" customWidth="1"/>
    <col min="13337" max="13338" width="11" style="73" customWidth="1"/>
    <col min="13339" max="13339" width="10" style="73" bestFit="1" customWidth="1"/>
    <col min="13340" max="13340" width="14.42578125" style="73" bestFit="1" customWidth="1"/>
    <col min="13341" max="13351" width="0" style="73" hidden="1" customWidth="1"/>
    <col min="13352" max="13572" width="9.140625" style="73"/>
    <col min="13573" max="13573" width="54.140625" style="73" bestFit="1" customWidth="1"/>
    <col min="13574" max="13574" width="14.7109375" style="73" customWidth="1"/>
    <col min="13575" max="13575" width="10.140625" style="73" customWidth="1"/>
    <col min="13576" max="13576" width="10.42578125" style="73" bestFit="1" customWidth="1"/>
    <col min="13577" max="13578" width="9.42578125" style="73" bestFit="1" customWidth="1"/>
    <col min="13579" max="13580" width="9.42578125" style="73" customWidth="1"/>
    <col min="13581" max="13581" width="10.140625" style="73" bestFit="1" customWidth="1"/>
    <col min="13582" max="13585" width="9.140625" style="73"/>
    <col min="13586" max="13586" width="7.28515625" style="73" customWidth="1"/>
    <col min="13587" max="13589" width="7.42578125" style="73" customWidth="1"/>
    <col min="13590" max="13590" width="10.42578125" style="73" bestFit="1" customWidth="1"/>
    <col min="13591" max="13591" width="12" style="73" bestFit="1" customWidth="1"/>
    <col min="13592" max="13592" width="11" style="73" bestFit="1" customWidth="1"/>
    <col min="13593" max="13594" width="11" style="73" customWidth="1"/>
    <col min="13595" max="13595" width="10" style="73" bestFit="1" customWidth="1"/>
    <col min="13596" max="13596" width="14.42578125" style="73" bestFit="1" customWidth="1"/>
    <col min="13597" max="13607" width="0" style="73" hidden="1" customWidth="1"/>
    <col min="13608" max="13828" width="9.140625" style="73"/>
    <col min="13829" max="13829" width="54.140625" style="73" bestFit="1" customWidth="1"/>
    <col min="13830" max="13830" width="14.7109375" style="73" customWidth="1"/>
    <col min="13831" max="13831" width="10.140625" style="73" customWidth="1"/>
    <col min="13832" max="13832" width="10.42578125" style="73" bestFit="1" customWidth="1"/>
    <col min="13833" max="13834" width="9.42578125" style="73" bestFit="1" customWidth="1"/>
    <col min="13835" max="13836" width="9.42578125" style="73" customWidth="1"/>
    <col min="13837" max="13837" width="10.140625" style="73" bestFit="1" customWidth="1"/>
    <col min="13838" max="13841" width="9.140625" style="73"/>
    <col min="13842" max="13842" width="7.28515625" style="73" customWidth="1"/>
    <col min="13843" max="13845" width="7.42578125" style="73" customWidth="1"/>
    <col min="13846" max="13846" width="10.42578125" style="73" bestFit="1" customWidth="1"/>
    <col min="13847" max="13847" width="12" style="73" bestFit="1" customWidth="1"/>
    <col min="13848" max="13848" width="11" style="73" bestFit="1" customWidth="1"/>
    <col min="13849" max="13850" width="11" style="73" customWidth="1"/>
    <col min="13851" max="13851" width="10" style="73" bestFit="1" customWidth="1"/>
    <col min="13852" max="13852" width="14.42578125" style="73" bestFit="1" customWidth="1"/>
    <col min="13853" max="13863" width="0" style="73" hidden="1" customWidth="1"/>
    <col min="13864" max="14084" width="9.140625" style="73"/>
    <col min="14085" max="14085" width="54.140625" style="73" bestFit="1" customWidth="1"/>
    <col min="14086" max="14086" width="14.7109375" style="73" customWidth="1"/>
    <col min="14087" max="14087" width="10.140625" style="73" customWidth="1"/>
    <col min="14088" max="14088" width="10.42578125" style="73" bestFit="1" customWidth="1"/>
    <col min="14089" max="14090" width="9.42578125" style="73" bestFit="1" customWidth="1"/>
    <col min="14091" max="14092" width="9.42578125" style="73" customWidth="1"/>
    <col min="14093" max="14093" width="10.140625" style="73" bestFit="1" customWidth="1"/>
    <col min="14094" max="14097" width="9.140625" style="73"/>
    <col min="14098" max="14098" width="7.28515625" style="73" customWidth="1"/>
    <col min="14099" max="14101" width="7.42578125" style="73" customWidth="1"/>
    <col min="14102" max="14102" width="10.42578125" style="73" bestFit="1" customWidth="1"/>
    <col min="14103" max="14103" width="12" style="73" bestFit="1" customWidth="1"/>
    <col min="14104" max="14104" width="11" style="73" bestFit="1" customWidth="1"/>
    <col min="14105" max="14106" width="11" style="73" customWidth="1"/>
    <col min="14107" max="14107" width="10" style="73" bestFit="1" customWidth="1"/>
    <col min="14108" max="14108" width="14.42578125" style="73" bestFit="1" customWidth="1"/>
    <col min="14109" max="14119" width="0" style="73" hidden="1" customWidth="1"/>
    <col min="14120" max="14340" width="9.140625" style="73"/>
    <col min="14341" max="14341" width="54.140625" style="73" bestFit="1" customWidth="1"/>
    <col min="14342" max="14342" width="14.7109375" style="73" customWidth="1"/>
    <col min="14343" max="14343" width="10.140625" style="73" customWidth="1"/>
    <col min="14344" max="14344" width="10.42578125" style="73" bestFit="1" customWidth="1"/>
    <col min="14345" max="14346" width="9.42578125" style="73" bestFit="1" customWidth="1"/>
    <col min="14347" max="14348" width="9.42578125" style="73" customWidth="1"/>
    <col min="14349" max="14349" width="10.140625" style="73" bestFit="1" customWidth="1"/>
    <col min="14350" max="14353" width="9.140625" style="73"/>
    <col min="14354" max="14354" width="7.28515625" style="73" customWidth="1"/>
    <col min="14355" max="14357" width="7.42578125" style="73" customWidth="1"/>
    <col min="14358" max="14358" width="10.42578125" style="73" bestFit="1" customWidth="1"/>
    <col min="14359" max="14359" width="12" style="73" bestFit="1" customWidth="1"/>
    <col min="14360" max="14360" width="11" style="73" bestFit="1" customWidth="1"/>
    <col min="14361" max="14362" width="11" style="73" customWidth="1"/>
    <col min="14363" max="14363" width="10" style="73" bestFit="1" customWidth="1"/>
    <col min="14364" max="14364" width="14.42578125" style="73" bestFit="1" customWidth="1"/>
    <col min="14365" max="14375" width="0" style="73" hidden="1" customWidth="1"/>
    <col min="14376" max="14596" width="9.140625" style="73"/>
    <col min="14597" max="14597" width="54.140625" style="73" bestFit="1" customWidth="1"/>
    <col min="14598" max="14598" width="14.7109375" style="73" customWidth="1"/>
    <col min="14599" max="14599" width="10.140625" style="73" customWidth="1"/>
    <col min="14600" max="14600" width="10.42578125" style="73" bestFit="1" customWidth="1"/>
    <col min="14601" max="14602" width="9.42578125" style="73" bestFit="1" customWidth="1"/>
    <col min="14603" max="14604" width="9.42578125" style="73" customWidth="1"/>
    <col min="14605" max="14605" width="10.140625" style="73" bestFit="1" customWidth="1"/>
    <col min="14606" max="14609" width="9.140625" style="73"/>
    <col min="14610" max="14610" width="7.28515625" style="73" customWidth="1"/>
    <col min="14611" max="14613" width="7.42578125" style="73" customWidth="1"/>
    <col min="14614" max="14614" width="10.42578125" style="73" bestFit="1" customWidth="1"/>
    <col min="14615" max="14615" width="12" style="73" bestFit="1" customWidth="1"/>
    <col min="14616" max="14616" width="11" style="73" bestFit="1" customWidth="1"/>
    <col min="14617" max="14618" width="11" style="73" customWidth="1"/>
    <col min="14619" max="14619" width="10" style="73" bestFit="1" customWidth="1"/>
    <col min="14620" max="14620" width="14.42578125" style="73" bestFit="1" customWidth="1"/>
    <col min="14621" max="14631" width="0" style="73" hidden="1" customWidth="1"/>
    <col min="14632" max="14852" width="9.140625" style="73"/>
    <col min="14853" max="14853" width="54.140625" style="73" bestFit="1" customWidth="1"/>
    <col min="14854" max="14854" width="14.7109375" style="73" customWidth="1"/>
    <col min="14855" max="14855" width="10.140625" style="73" customWidth="1"/>
    <col min="14856" max="14856" width="10.42578125" style="73" bestFit="1" customWidth="1"/>
    <col min="14857" max="14858" width="9.42578125" style="73" bestFit="1" customWidth="1"/>
    <col min="14859" max="14860" width="9.42578125" style="73" customWidth="1"/>
    <col min="14861" max="14861" width="10.140625" style="73" bestFit="1" customWidth="1"/>
    <col min="14862" max="14865" width="9.140625" style="73"/>
    <col min="14866" max="14866" width="7.28515625" style="73" customWidth="1"/>
    <col min="14867" max="14869" width="7.42578125" style="73" customWidth="1"/>
    <col min="14870" max="14870" width="10.42578125" style="73" bestFit="1" customWidth="1"/>
    <col min="14871" max="14871" width="12" style="73" bestFit="1" customWidth="1"/>
    <col min="14872" max="14872" width="11" style="73" bestFit="1" customWidth="1"/>
    <col min="14873" max="14874" width="11" style="73" customWidth="1"/>
    <col min="14875" max="14875" width="10" style="73" bestFit="1" customWidth="1"/>
    <col min="14876" max="14876" width="14.42578125" style="73" bestFit="1" customWidth="1"/>
    <col min="14877" max="14887" width="0" style="73" hidden="1" customWidth="1"/>
    <col min="14888" max="15108" width="9.140625" style="73"/>
    <col min="15109" max="15109" width="54.140625" style="73" bestFit="1" customWidth="1"/>
    <col min="15110" max="15110" width="14.7109375" style="73" customWidth="1"/>
    <col min="15111" max="15111" width="10.140625" style="73" customWidth="1"/>
    <col min="15112" max="15112" width="10.42578125" style="73" bestFit="1" customWidth="1"/>
    <col min="15113" max="15114" width="9.42578125" style="73" bestFit="1" customWidth="1"/>
    <col min="15115" max="15116" width="9.42578125" style="73" customWidth="1"/>
    <col min="15117" max="15117" width="10.140625" style="73" bestFit="1" customWidth="1"/>
    <col min="15118" max="15121" width="9.140625" style="73"/>
    <col min="15122" max="15122" width="7.28515625" style="73" customWidth="1"/>
    <col min="15123" max="15125" width="7.42578125" style="73" customWidth="1"/>
    <col min="15126" max="15126" width="10.42578125" style="73" bestFit="1" customWidth="1"/>
    <col min="15127" max="15127" width="12" style="73" bestFit="1" customWidth="1"/>
    <col min="15128" max="15128" width="11" style="73" bestFit="1" customWidth="1"/>
    <col min="15129" max="15130" width="11" style="73" customWidth="1"/>
    <col min="15131" max="15131" width="10" style="73" bestFit="1" customWidth="1"/>
    <col min="15132" max="15132" width="14.42578125" style="73" bestFit="1" customWidth="1"/>
    <col min="15133" max="15143" width="0" style="73" hidden="1" customWidth="1"/>
    <col min="15144" max="15364" width="9.140625" style="73"/>
    <col min="15365" max="15365" width="54.140625" style="73" bestFit="1" customWidth="1"/>
    <col min="15366" max="15366" width="14.7109375" style="73" customWidth="1"/>
    <col min="15367" max="15367" width="10.140625" style="73" customWidth="1"/>
    <col min="15368" max="15368" width="10.42578125" style="73" bestFit="1" customWidth="1"/>
    <col min="15369" max="15370" width="9.42578125" style="73" bestFit="1" customWidth="1"/>
    <col min="15371" max="15372" width="9.42578125" style="73" customWidth="1"/>
    <col min="15373" max="15373" width="10.140625" style="73" bestFit="1" customWidth="1"/>
    <col min="15374" max="15377" width="9.140625" style="73"/>
    <col min="15378" max="15378" width="7.28515625" style="73" customWidth="1"/>
    <col min="15379" max="15381" width="7.42578125" style="73" customWidth="1"/>
    <col min="15382" max="15382" width="10.42578125" style="73" bestFit="1" customWidth="1"/>
    <col min="15383" max="15383" width="12" style="73" bestFit="1" customWidth="1"/>
    <col min="15384" max="15384" width="11" style="73" bestFit="1" customWidth="1"/>
    <col min="15385" max="15386" width="11" style="73" customWidth="1"/>
    <col min="15387" max="15387" width="10" style="73" bestFit="1" customWidth="1"/>
    <col min="15388" max="15388" width="14.42578125" style="73" bestFit="1" customWidth="1"/>
    <col min="15389" max="15399" width="0" style="73" hidden="1" customWidth="1"/>
    <col min="15400" max="15620" width="9.140625" style="73"/>
    <col min="15621" max="15621" width="54.140625" style="73" bestFit="1" customWidth="1"/>
    <col min="15622" max="15622" width="14.7109375" style="73" customWidth="1"/>
    <col min="15623" max="15623" width="10.140625" style="73" customWidth="1"/>
    <col min="15624" max="15624" width="10.42578125" style="73" bestFit="1" customWidth="1"/>
    <col min="15625" max="15626" width="9.42578125" style="73" bestFit="1" customWidth="1"/>
    <col min="15627" max="15628" width="9.42578125" style="73" customWidth="1"/>
    <col min="15629" max="15629" width="10.140625" style="73" bestFit="1" customWidth="1"/>
    <col min="15630" max="15633" width="9.140625" style="73"/>
    <col min="15634" max="15634" width="7.28515625" style="73" customWidth="1"/>
    <col min="15635" max="15637" width="7.42578125" style="73" customWidth="1"/>
    <col min="15638" max="15638" width="10.42578125" style="73" bestFit="1" customWidth="1"/>
    <col min="15639" max="15639" width="12" style="73" bestFit="1" customWidth="1"/>
    <col min="15640" max="15640" width="11" style="73" bestFit="1" customWidth="1"/>
    <col min="15641" max="15642" width="11" style="73" customWidth="1"/>
    <col min="15643" max="15643" width="10" style="73" bestFit="1" customWidth="1"/>
    <col min="15644" max="15644" width="14.42578125" style="73" bestFit="1" customWidth="1"/>
    <col min="15645" max="15655" width="0" style="73" hidden="1" customWidth="1"/>
    <col min="15656" max="15876" width="9.140625" style="73"/>
    <col min="15877" max="15877" width="54.140625" style="73" bestFit="1" customWidth="1"/>
    <col min="15878" max="15878" width="14.7109375" style="73" customWidth="1"/>
    <col min="15879" max="15879" width="10.140625" style="73" customWidth="1"/>
    <col min="15880" max="15880" width="10.42578125" style="73" bestFit="1" customWidth="1"/>
    <col min="15881" max="15882" width="9.42578125" style="73" bestFit="1" customWidth="1"/>
    <col min="15883" max="15884" width="9.42578125" style="73" customWidth="1"/>
    <col min="15885" max="15885" width="10.140625" style="73" bestFit="1" customWidth="1"/>
    <col min="15886" max="15889" width="9.140625" style="73"/>
    <col min="15890" max="15890" width="7.28515625" style="73" customWidth="1"/>
    <col min="15891" max="15893" width="7.42578125" style="73" customWidth="1"/>
    <col min="15894" max="15894" width="10.42578125" style="73" bestFit="1" customWidth="1"/>
    <col min="15895" max="15895" width="12" style="73" bestFit="1" customWidth="1"/>
    <col min="15896" max="15896" width="11" style="73" bestFit="1" customWidth="1"/>
    <col min="15897" max="15898" width="11" style="73" customWidth="1"/>
    <col min="15899" max="15899" width="10" style="73" bestFit="1" customWidth="1"/>
    <col min="15900" max="15900" width="14.42578125" style="73" bestFit="1" customWidth="1"/>
    <col min="15901" max="15911" width="0" style="73" hidden="1" customWidth="1"/>
    <col min="15912" max="16132" width="9.140625" style="73"/>
    <col min="16133" max="16133" width="54.140625" style="73" bestFit="1" customWidth="1"/>
    <col min="16134" max="16134" width="14.7109375" style="73" customWidth="1"/>
    <col min="16135" max="16135" width="10.140625" style="73" customWidth="1"/>
    <col min="16136" max="16136" width="10.42578125" style="73" bestFit="1" customWidth="1"/>
    <col min="16137" max="16138" width="9.42578125" style="73" bestFit="1" customWidth="1"/>
    <col min="16139" max="16140" width="9.42578125" style="73" customWidth="1"/>
    <col min="16141" max="16141" width="10.140625" style="73" bestFit="1" customWidth="1"/>
    <col min="16142" max="16145" width="9.140625" style="73"/>
    <col min="16146" max="16146" width="7.28515625" style="73" customWidth="1"/>
    <col min="16147" max="16149" width="7.42578125" style="73" customWidth="1"/>
    <col min="16150" max="16150" width="10.42578125" style="73" bestFit="1" customWidth="1"/>
    <col min="16151" max="16151" width="12" style="73" bestFit="1" customWidth="1"/>
    <col min="16152" max="16152" width="11" style="73" bestFit="1" customWidth="1"/>
    <col min="16153" max="16154" width="11" style="73" customWidth="1"/>
    <col min="16155" max="16155" width="10" style="73" bestFit="1" customWidth="1"/>
    <col min="16156" max="16156" width="14.42578125" style="73" bestFit="1" customWidth="1"/>
    <col min="16157" max="16167" width="0" style="73" hidden="1" customWidth="1"/>
    <col min="16168" max="16384" width="9.140625" style="73"/>
  </cols>
  <sheetData>
    <row r="1" spans="1:46" s="68" customFormat="1" ht="45.75" customHeight="1" x14ac:dyDescent="0.25">
      <c r="A1" s="65" t="s">
        <v>134</v>
      </c>
      <c r="B1" s="203">
        <v>45170</v>
      </c>
      <c r="C1" s="204"/>
      <c r="D1" s="204"/>
      <c r="E1" s="204"/>
      <c r="F1" s="204"/>
      <c r="G1" s="204"/>
      <c r="H1" s="204"/>
      <c r="I1" s="204"/>
      <c r="J1" s="204"/>
      <c r="K1" s="204"/>
      <c r="L1" s="204"/>
      <c r="M1" s="205"/>
      <c r="N1" s="66"/>
      <c r="O1" s="66"/>
      <c r="P1" s="66"/>
      <c r="Q1" s="66"/>
      <c r="R1" s="66"/>
      <c r="S1" s="66"/>
      <c r="T1" s="66"/>
      <c r="U1" s="66"/>
      <c r="V1" s="66"/>
      <c r="W1" s="66"/>
      <c r="X1" s="66"/>
      <c r="Y1" s="66"/>
      <c r="Z1" s="66"/>
      <c r="AA1" s="67"/>
      <c r="AB1" s="67"/>
    </row>
    <row r="2" spans="1:46" ht="50.25" customHeight="1" x14ac:dyDescent="0.2">
      <c r="A2" s="69" t="s">
        <v>184</v>
      </c>
      <c r="B2" s="206" t="s">
        <v>142</v>
      </c>
      <c r="C2" s="207"/>
      <c r="D2" s="207"/>
      <c r="E2" s="207"/>
      <c r="F2" s="207"/>
      <c r="G2" s="207"/>
      <c r="H2" s="207"/>
      <c r="I2" s="207"/>
      <c r="J2" s="207"/>
      <c r="K2" s="207"/>
      <c r="L2" s="207"/>
      <c r="M2" s="208"/>
      <c r="N2" s="70"/>
      <c r="O2" s="70"/>
      <c r="P2" s="71"/>
      <c r="Q2" s="71"/>
      <c r="R2" s="71"/>
      <c r="S2" s="71"/>
      <c r="T2" s="71"/>
      <c r="U2" s="71"/>
      <c r="V2" s="71"/>
      <c r="W2" s="71"/>
      <c r="X2" s="71"/>
      <c r="Y2" s="71"/>
      <c r="Z2" s="71"/>
      <c r="AA2" s="72"/>
      <c r="AB2" s="72"/>
    </row>
    <row r="3" spans="1:46" ht="28.5" customHeight="1" x14ac:dyDescent="0.2">
      <c r="A3" s="209" t="s">
        <v>185</v>
      </c>
      <c r="B3" s="209"/>
      <c r="C3" s="209"/>
      <c r="D3" s="209"/>
      <c r="E3" s="209"/>
      <c r="F3" s="209"/>
      <c r="G3" s="209"/>
      <c r="H3" s="209"/>
      <c r="I3" s="209"/>
      <c r="J3" s="209"/>
      <c r="K3" s="209"/>
      <c r="L3" s="209"/>
      <c r="M3" s="209"/>
      <c r="N3" s="75"/>
      <c r="O3" s="75"/>
      <c r="P3" s="76"/>
      <c r="Q3" s="76"/>
      <c r="R3" s="76"/>
      <c r="S3" s="76"/>
      <c r="T3" s="76"/>
      <c r="U3" s="76"/>
      <c r="V3" s="76"/>
      <c r="W3" s="76"/>
      <c r="X3" s="76"/>
      <c r="Y3" s="76"/>
      <c r="Z3" s="76"/>
      <c r="AA3" s="72"/>
      <c r="AB3" s="72"/>
    </row>
    <row r="4" spans="1:46" x14ac:dyDescent="0.2">
      <c r="A4" s="209" t="s">
        <v>186</v>
      </c>
      <c r="B4" s="209"/>
      <c r="C4" s="209"/>
      <c r="D4" s="209"/>
      <c r="E4" s="209"/>
      <c r="F4" s="209"/>
      <c r="G4" s="209"/>
      <c r="H4" s="209"/>
      <c r="I4" s="209"/>
      <c r="J4" s="209"/>
      <c r="K4" s="209"/>
      <c r="L4" s="209"/>
      <c r="M4" s="209"/>
      <c r="N4" s="77"/>
      <c r="O4" s="77"/>
      <c r="P4" s="76"/>
      <c r="Q4" s="76"/>
      <c r="R4" s="76"/>
      <c r="S4" s="76"/>
      <c r="T4" s="76"/>
      <c r="U4" s="76"/>
    </row>
    <row r="5" spans="1:46" x14ac:dyDescent="0.2">
      <c r="A5" s="209"/>
      <c r="B5" s="209"/>
      <c r="C5" s="209"/>
      <c r="D5" s="209"/>
      <c r="E5" s="209"/>
      <c r="F5" s="209"/>
      <c r="G5" s="209"/>
      <c r="H5" s="209"/>
      <c r="I5" s="209"/>
      <c r="J5" s="209"/>
      <c r="K5" s="209"/>
      <c r="L5" s="209"/>
      <c r="M5" s="209"/>
      <c r="N5" s="66"/>
      <c r="O5" s="66"/>
      <c r="P5" s="78"/>
      <c r="Q5" s="78"/>
      <c r="R5" s="78"/>
      <c r="S5" s="78"/>
      <c r="T5" s="78"/>
      <c r="U5" s="78"/>
      <c r="V5" s="78"/>
      <c r="W5" s="78"/>
      <c r="X5" s="78"/>
      <c r="Y5" s="78"/>
      <c r="Z5" s="78"/>
      <c r="AA5" s="72"/>
      <c r="AB5" s="72"/>
    </row>
    <row r="6" spans="1:46" x14ac:dyDescent="0.2">
      <c r="A6" s="66"/>
      <c r="B6" s="66"/>
      <c r="C6" s="66"/>
      <c r="D6" s="66"/>
      <c r="E6" s="66"/>
      <c r="F6" s="66"/>
      <c r="G6" s="66"/>
      <c r="H6" s="66"/>
      <c r="I6" s="66"/>
      <c r="J6" s="66"/>
      <c r="K6" s="66"/>
      <c r="L6" s="66"/>
      <c r="M6" s="66"/>
      <c r="N6" s="66"/>
      <c r="O6" s="66"/>
      <c r="P6" s="78"/>
      <c r="Q6" s="78"/>
      <c r="R6" s="78"/>
      <c r="S6" s="78"/>
      <c r="T6" s="78"/>
      <c r="U6" s="78"/>
      <c r="V6" s="78"/>
      <c r="W6" s="78"/>
      <c r="X6" s="78"/>
      <c r="Y6" s="78"/>
      <c r="Z6" s="78"/>
      <c r="AA6" s="189"/>
      <c r="AB6" s="189"/>
    </row>
    <row r="7" spans="1:46" ht="25.5" x14ac:dyDescent="0.2">
      <c r="A7" s="80" t="s">
        <v>187</v>
      </c>
      <c r="B7" s="81" t="s">
        <v>188</v>
      </c>
      <c r="C7" s="66"/>
      <c r="D7" s="66"/>
      <c r="E7" s="66"/>
      <c r="F7" s="66"/>
      <c r="G7" s="66"/>
      <c r="H7" s="66"/>
      <c r="I7" s="66"/>
      <c r="J7" s="66"/>
      <c r="K7" s="66"/>
      <c r="L7" s="66"/>
      <c r="M7" s="66"/>
      <c r="N7" s="66"/>
      <c r="O7" s="66"/>
      <c r="P7" s="78"/>
      <c r="Q7" s="78"/>
      <c r="R7" s="78"/>
      <c r="S7" s="78"/>
      <c r="T7" s="78"/>
      <c r="U7" s="78"/>
      <c r="V7" s="78"/>
      <c r="W7" s="78"/>
      <c r="X7" s="78"/>
      <c r="Y7" s="78"/>
      <c r="Z7" s="78"/>
      <c r="AA7" s="79"/>
      <c r="AB7" s="79"/>
    </row>
    <row r="8" spans="1:46" ht="76.5" x14ac:dyDescent="0.2">
      <c r="A8" s="80" t="s">
        <v>189</v>
      </c>
      <c r="B8" s="81" t="s">
        <v>190</v>
      </c>
      <c r="C8" s="66"/>
      <c r="D8" s="66"/>
      <c r="E8" s="66"/>
      <c r="F8" s="66"/>
      <c r="G8" s="66"/>
      <c r="H8" s="66"/>
      <c r="I8" s="66"/>
      <c r="J8" s="66"/>
      <c r="K8" s="66"/>
      <c r="L8" s="66"/>
      <c r="M8" s="66"/>
      <c r="N8" s="66"/>
      <c r="O8" s="66"/>
      <c r="P8" s="78"/>
      <c r="Q8" s="78"/>
      <c r="R8" s="78"/>
      <c r="S8" s="78"/>
      <c r="T8" s="78"/>
      <c r="U8" s="78"/>
      <c r="V8" s="78"/>
      <c r="W8" s="78"/>
      <c r="X8" s="78"/>
      <c r="Y8" s="78"/>
      <c r="Z8" s="78"/>
      <c r="AA8" s="79"/>
      <c r="AB8" s="79"/>
    </row>
    <row r="9" spans="1:46" ht="25.5" x14ac:dyDescent="0.2">
      <c r="A9" s="80" t="s">
        <v>191</v>
      </c>
      <c r="B9" s="81" t="s">
        <v>192</v>
      </c>
      <c r="C9" s="66"/>
      <c r="D9" s="66"/>
      <c r="E9" s="66"/>
      <c r="F9" s="66"/>
      <c r="G9" s="66"/>
      <c r="H9" s="66"/>
      <c r="I9" s="66"/>
      <c r="J9" s="66"/>
      <c r="K9" s="66"/>
      <c r="L9" s="66"/>
      <c r="M9" s="66"/>
      <c r="N9" s="66"/>
      <c r="O9" s="66"/>
      <c r="P9" s="78"/>
      <c r="Q9" s="78"/>
      <c r="R9" s="78"/>
      <c r="S9" s="78"/>
      <c r="T9" s="78"/>
      <c r="U9" s="78"/>
      <c r="V9" s="78"/>
      <c r="W9" s="78"/>
      <c r="X9" s="78"/>
      <c r="Y9" s="78"/>
      <c r="Z9" s="78"/>
      <c r="AA9" s="79"/>
      <c r="AB9" s="79"/>
    </row>
    <row r="10" spans="1:46" ht="25.5" x14ac:dyDescent="0.25">
      <c r="A10" t="s">
        <v>193</v>
      </c>
      <c r="B10" s="81" t="s">
        <v>194</v>
      </c>
      <c r="C10" s="66"/>
      <c r="D10" s="66"/>
      <c r="E10" s="66"/>
      <c r="F10" s="66"/>
      <c r="G10" s="66"/>
      <c r="H10" s="66"/>
      <c r="I10" s="66"/>
      <c r="J10" s="66"/>
      <c r="K10" s="66"/>
      <c r="L10" s="66"/>
      <c r="M10" s="66"/>
      <c r="N10" s="66"/>
      <c r="O10" s="66"/>
      <c r="P10" s="78"/>
      <c r="Q10" s="78"/>
      <c r="R10" s="78"/>
      <c r="S10" s="78"/>
      <c r="T10" s="78"/>
      <c r="U10" s="78"/>
      <c r="V10" s="78"/>
      <c r="W10" s="78"/>
      <c r="X10" s="78"/>
      <c r="Y10" s="78"/>
      <c r="Z10" s="78"/>
      <c r="AA10" s="79"/>
      <c r="AB10" s="79"/>
    </row>
    <row r="11" spans="1:46" x14ac:dyDescent="0.2">
      <c r="A11" s="201"/>
      <c r="B11" s="202"/>
      <c r="C11" s="66"/>
      <c r="D11" s="66"/>
      <c r="E11" s="66"/>
      <c r="F11" s="66"/>
      <c r="G11" s="66"/>
      <c r="H11" s="66"/>
      <c r="I11" s="66"/>
      <c r="J11" s="66"/>
      <c r="K11" s="66"/>
      <c r="L11" s="66"/>
      <c r="M11" s="66"/>
      <c r="N11" s="66"/>
      <c r="O11" s="66"/>
      <c r="P11" s="78"/>
      <c r="Q11" s="78"/>
      <c r="R11" s="78"/>
      <c r="S11" s="78"/>
      <c r="T11" s="78"/>
      <c r="U11" s="78"/>
      <c r="V11" s="82"/>
      <c r="W11" s="78"/>
      <c r="X11" s="78"/>
      <c r="Y11" s="78"/>
      <c r="Z11" s="78"/>
      <c r="AA11" s="79"/>
      <c r="AB11" s="79"/>
    </row>
    <row r="12" spans="1:46" ht="18" customHeight="1" x14ac:dyDescent="0.2">
      <c r="B12" s="66"/>
      <c r="C12" s="66"/>
      <c r="D12" s="66"/>
      <c r="E12" s="66"/>
      <c r="F12" s="66"/>
      <c r="G12" s="66"/>
      <c r="H12" s="66"/>
      <c r="I12" s="66"/>
      <c r="J12" s="66"/>
      <c r="K12" s="66"/>
      <c r="L12" s="66"/>
      <c r="M12" s="66"/>
      <c r="N12" s="66"/>
      <c r="O12" s="66"/>
      <c r="P12" s="78"/>
      <c r="Q12" s="78"/>
      <c r="R12" s="78"/>
      <c r="S12" s="78"/>
      <c r="T12" s="78"/>
      <c r="U12" s="78"/>
      <c r="V12" s="82"/>
      <c r="W12" s="78"/>
      <c r="X12" s="78"/>
      <c r="Y12" s="78"/>
      <c r="Z12" s="78"/>
      <c r="AA12" s="79"/>
      <c r="AB12" s="79"/>
    </row>
    <row r="13" spans="1:46" x14ac:dyDescent="0.2">
      <c r="A13" s="83" t="s">
        <v>195</v>
      </c>
      <c r="B13" s="74" t="s">
        <v>196</v>
      </c>
      <c r="C13" s="66"/>
      <c r="D13" s="66"/>
      <c r="E13" s="66"/>
      <c r="F13" s="66"/>
      <c r="G13" s="66"/>
      <c r="H13" s="66"/>
      <c r="I13" s="66"/>
      <c r="J13" s="66"/>
      <c r="K13" s="66"/>
      <c r="L13" s="66"/>
      <c r="M13" s="66"/>
      <c r="N13" s="66"/>
      <c r="O13" s="66"/>
      <c r="P13" s="78"/>
      <c r="Q13" s="78"/>
      <c r="R13" s="78"/>
      <c r="S13" s="78"/>
      <c r="T13" s="78"/>
      <c r="U13" s="78"/>
      <c r="V13" s="78"/>
      <c r="W13" s="78"/>
      <c r="X13" s="78"/>
      <c r="Y13" s="78"/>
      <c r="Z13" s="78"/>
      <c r="AA13" s="79"/>
      <c r="AB13" s="79"/>
    </row>
    <row r="14" spans="1:46" ht="13.5" thickBot="1" x14ac:dyDescent="0.25">
      <c r="A14" s="84" t="str">
        <f>'AUTO CALCULATION SHEET (2)'!D18</f>
        <v>3 CORE X 185 SQ. MM AL/ARM - STRIP (XLPE) - 11 KV</v>
      </c>
      <c r="B14" s="85">
        <f>'AUTO CALCULATION SHEET (2)'!E18</f>
        <v>1006636.124</v>
      </c>
      <c r="C14" s="66"/>
      <c r="D14" s="66"/>
      <c r="E14" s="66"/>
      <c r="F14" s="66"/>
      <c r="G14" s="66"/>
      <c r="H14" s="66"/>
      <c r="I14" s="66"/>
      <c r="J14" s="66"/>
      <c r="K14" s="66"/>
      <c r="L14" s="66"/>
      <c r="M14" s="66"/>
      <c r="N14" s="66"/>
      <c r="O14" s="66"/>
      <c r="P14" s="78"/>
      <c r="Q14" s="78"/>
      <c r="R14" s="78"/>
      <c r="S14" s="78"/>
      <c r="T14" s="78"/>
      <c r="U14" s="78"/>
      <c r="V14" s="78"/>
      <c r="W14" s="78"/>
      <c r="X14" s="78"/>
      <c r="Y14" s="78"/>
      <c r="Z14" s="78"/>
      <c r="AA14" s="79"/>
      <c r="AB14" s="79"/>
    </row>
    <row r="15" spans="1:46" ht="13.5" thickBot="1" x14ac:dyDescent="0.25">
      <c r="C15" s="71"/>
      <c r="D15" s="86"/>
      <c r="E15" s="78"/>
      <c r="F15" s="78"/>
      <c r="G15" s="78"/>
      <c r="H15" s="78"/>
      <c r="I15" s="78"/>
      <c r="J15" s="78"/>
      <c r="K15" s="78"/>
      <c r="L15" s="78"/>
      <c r="M15" s="78"/>
      <c r="N15" s="66"/>
      <c r="O15" s="66"/>
      <c r="P15" s="78"/>
      <c r="Q15" s="78"/>
      <c r="R15" s="78"/>
      <c r="S15" s="78"/>
      <c r="T15" s="78"/>
      <c r="U15" s="78"/>
      <c r="V15" s="78"/>
      <c r="W15" s="78"/>
      <c r="X15" s="78"/>
      <c r="Y15" s="78"/>
      <c r="Z15" s="78"/>
      <c r="AA15" s="79"/>
      <c r="AB15" s="79"/>
      <c r="AC15" s="172" t="s">
        <v>197</v>
      </c>
      <c r="AD15" s="173"/>
      <c r="AE15" s="173"/>
      <c r="AF15" s="173"/>
      <c r="AG15" s="173"/>
      <c r="AH15" s="173"/>
      <c r="AI15" s="173"/>
      <c r="AJ15" s="173"/>
      <c r="AK15" s="173"/>
      <c r="AL15" s="173"/>
      <c r="AM15" s="173"/>
      <c r="AN15" s="173"/>
      <c r="AO15" s="173"/>
      <c r="AP15" s="173"/>
      <c r="AQ15" s="173"/>
      <c r="AR15" s="173"/>
      <c r="AS15" s="173"/>
      <c r="AT15" s="174"/>
    </row>
    <row r="16" spans="1:46" ht="26.25" customHeight="1" x14ac:dyDescent="0.2">
      <c r="A16" s="190" t="s">
        <v>195</v>
      </c>
      <c r="B16" s="193" t="s">
        <v>198</v>
      </c>
      <c r="C16" s="179" t="s">
        <v>199</v>
      </c>
      <c r="D16" s="184" t="s">
        <v>200</v>
      </c>
      <c r="E16" s="186"/>
      <c r="F16" s="186"/>
      <c r="G16" s="186"/>
      <c r="H16" s="186"/>
      <c r="I16" s="197"/>
      <c r="J16" s="184" t="s">
        <v>201</v>
      </c>
      <c r="K16" s="186"/>
      <c r="L16" s="186"/>
      <c r="M16" s="186"/>
      <c r="N16" s="186"/>
      <c r="O16" s="198"/>
      <c r="P16" s="178" t="s">
        <v>202</v>
      </c>
      <c r="Q16" s="179"/>
      <c r="R16" s="179"/>
      <c r="S16" s="179"/>
      <c r="T16" s="180"/>
      <c r="U16" s="184" t="s">
        <v>203</v>
      </c>
      <c r="V16" s="186" t="s">
        <v>204</v>
      </c>
      <c r="W16" s="186" t="s">
        <v>205</v>
      </c>
      <c r="X16" s="186" t="s">
        <v>206</v>
      </c>
      <c r="Y16" s="197" t="s">
        <v>207</v>
      </c>
      <c r="Z16" s="197" t="s">
        <v>208</v>
      </c>
      <c r="AA16" s="170" t="s">
        <v>209</v>
      </c>
      <c r="AB16" s="170" t="s">
        <v>210</v>
      </c>
      <c r="AC16" s="175"/>
      <c r="AD16" s="176"/>
      <c r="AE16" s="176"/>
      <c r="AF16" s="176"/>
      <c r="AG16" s="176"/>
      <c r="AH16" s="176"/>
      <c r="AI16" s="176"/>
      <c r="AJ16" s="176"/>
      <c r="AK16" s="176"/>
      <c r="AL16" s="176"/>
      <c r="AM16" s="176"/>
      <c r="AN16" s="176"/>
      <c r="AO16" s="176"/>
      <c r="AP16" s="176"/>
      <c r="AQ16" s="176"/>
      <c r="AR16" s="176"/>
      <c r="AS16" s="176"/>
      <c r="AT16" s="177"/>
    </row>
    <row r="17" spans="1:46" ht="39" customHeight="1" x14ac:dyDescent="0.2">
      <c r="A17" s="191"/>
      <c r="B17" s="194"/>
      <c r="C17" s="196"/>
      <c r="D17" s="185" t="s">
        <v>211</v>
      </c>
      <c r="E17" s="187" t="s">
        <v>212</v>
      </c>
      <c r="F17" s="187" t="s">
        <v>213</v>
      </c>
      <c r="G17" s="187" t="s">
        <v>214</v>
      </c>
      <c r="H17" s="187" t="s">
        <v>215</v>
      </c>
      <c r="I17" s="188" t="s">
        <v>216</v>
      </c>
      <c r="J17" s="185" t="s">
        <v>211</v>
      </c>
      <c r="K17" s="187" t="s">
        <v>217</v>
      </c>
      <c r="L17" s="187" t="s">
        <v>218</v>
      </c>
      <c r="M17" s="187" t="s">
        <v>219</v>
      </c>
      <c r="N17" s="199" t="s">
        <v>220</v>
      </c>
      <c r="O17" s="168" t="s">
        <v>221</v>
      </c>
      <c r="P17" s="181"/>
      <c r="Q17" s="182"/>
      <c r="R17" s="182"/>
      <c r="S17" s="182"/>
      <c r="T17" s="183"/>
      <c r="U17" s="185"/>
      <c r="V17" s="187"/>
      <c r="W17" s="187"/>
      <c r="X17" s="187"/>
      <c r="Y17" s="188"/>
      <c r="Z17" s="188"/>
      <c r="AA17" s="171"/>
      <c r="AB17" s="171"/>
      <c r="AC17" s="90" t="str">
        <f>'AUTO CALCULATION SHEET (2)'!N16</f>
        <v>Alumimium</v>
      </c>
      <c r="AD17" s="91" t="str">
        <f>'AUTO CALCULATION SHEET (2)'!X16</f>
        <v>Copper Tape - 0.04 mm</v>
      </c>
      <c r="AE17" s="91" t="str">
        <f>'AUTO CALCULATION SHEET (2)'!AD16</f>
        <v>Extruded Semiconductive(Stripable)</v>
      </c>
      <c r="AF17" s="91" t="str">
        <f>'AUTO CALCULATION SHEET (2)'!AE16</f>
        <v>HT-XLPE</v>
      </c>
      <c r="AG17" s="91" t="str">
        <f>'AUTO CALCULATION SHEET (2)'!AQ16</f>
        <v>PVC Type ST-2</v>
      </c>
      <c r="AH17" s="91" t="str">
        <f>'AUTO CALCULATION SHEET (2)'!AX16</f>
        <v>Galvanised Steel Flat Strip</v>
      </c>
      <c r="AI17" s="91" t="str">
        <f>'AUTO CALCULATION SHEET (2)'!BF16</f>
        <v>FRLSH PVC Type ST-2</v>
      </c>
      <c r="AJ17" s="91" t="str">
        <f>'AUTO CALCULATION SHEET (2)'!BM16</f>
        <v>FILLER</v>
      </c>
      <c r="AK17" s="91" t="str">
        <f>'AUTO CALCULATION SHEET (2)'!BR16</f>
        <v>GLASS FIBER TAPE</v>
      </c>
      <c r="AL17" s="162" t="s">
        <v>222</v>
      </c>
      <c r="AM17" s="162" t="s">
        <v>223</v>
      </c>
      <c r="AN17" s="162" t="s">
        <v>224</v>
      </c>
      <c r="AO17" s="162" t="s">
        <v>225</v>
      </c>
      <c r="AP17" s="162" t="s">
        <v>226</v>
      </c>
      <c r="AQ17" s="162" t="s">
        <v>227</v>
      </c>
      <c r="AR17" s="162" t="s">
        <v>228</v>
      </c>
      <c r="AS17" s="162" t="s">
        <v>229</v>
      </c>
      <c r="AT17" s="165" t="s">
        <v>230</v>
      </c>
    </row>
    <row r="18" spans="1:46" x14ac:dyDescent="0.2">
      <c r="A18" s="192"/>
      <c r="B18" s="195"/>
      <c r="C18" s="182"/>
      <c r="D18" s="185"/>
      <c r="E18" s="187"/>
      <c r="F18" s="187"/>
      <c r="G18" s="187"/>
      <c r="H18" s="187"/>
      <c r="I18" s="188"/>
      <c r="J18" s="185"/>
      <c r="K18" s="187"/>
      <c r="L18" s="187"/>
      <c r="M18" s="187"/>
      <c r="N18" s="200"/>
      <c r="O18" s="169"/>
      <c r="P18" s="87" t="s">
        <v>187</v>
      </c>
      <c r="Q18" s="88" t="s">
        <v>191</v>
      </c>
      <c r="R18" s="88" t="s">
        <v>189</v>
      </c>
      <c r="S18" s="88" t="s">
        <v>231</v>
      </c>
      <c r="T18" s="92" t="s">
        <v>232</v>
      </c>
      <c r="U18" s="185"/>
      <c r="V18" s="187"/>
      <c r="W18" s="187"/>
      <c r="X18" s="187"/>
      <c r="Y18" s="188"/>
      <c r="Z18" s="188"/>
      <c r="AA18" s="171"/>
      <c r="AB18" s="171"/>
      <c r="AC18" s="93">
        <v>220</v>
      </c>
      <c r="AD18" s="94">
        <v>821</v>
      </c>
      <c r="AE18" s="94">
        <v>202</v>
      </c>
      <c r="AF18" s="94">
        <v>146</v>
      </c>
      <c r="AG18" s="94">
        <v>61</v>
      </c>
      <c r="AH18" s="94">
        <v>77</v>
      </c>
      <c r="AI18" s="94">
        <v>92</v>
      </c>
      <c r="AJ18" s="94">
        <v>29</v>
      </c>
      <c r="AK18" s="94">
        <v>350</v>
      </c>
      <c r="AL18" s="163"/>
      <c r="AM18" s="163"/>
      <c r="AN18" s="163"/>
      <c r="AO18" s="163"/>
      <c r="AP18" s="163"/>
      <c r="AQ18" s="163"/>
      <c r="AR18" s="163"/>
      <c r="AS18" s="163"/>
      <c r="AT18" s="166"/>
    </row>
    <row r="19" spans="1:46" ht="24" customHeight="1" x14ac:dyDescent="0.2">
      <c r="A19" s="95"/>
      <c r="B19" s="95"/>
      <c r="C19" s="72"/>
      <c r="D19" s="96"/>
      <c r="E19" s="97"/>
      <c r="F19" s="97"/>
      <c r="G19" s="97"/>
      <c r="H19" s="97"/>
      <c r="I19" s="98"/>
      <c r="J19" s="99"/>
      <c r="K19" s="97"/>
      <c r="L19" s="97"/>
      <c r="M19" s="97"/>
      <c r="N19" s="97"/>
      <c r="O19" s="100"/>
      <c r="P19" s="101"/>
      <c r="Q19" s="102"/>
      <c r="R19" s="102"/>
      <c r="S19" s="102"/>
      <c r="T19" s="103"/>
      <c r="U19" s="101"/>
      <c r="V19" s="88"/>
      <c r="W19" s="88"/>
      <c r="X19" s="88"/>
      <c r="Y19" s="89"/>
      <c r="Z19" s="89"/>
      <c r="AA19" s="104"/>
      <c r="AB19" s="104"/>
      <c r="AC19" s="93" t="s">
        <v>233</v>
      </c>
      <c r="AD19" s="93" t="s">
        <v>233</v>
      </c>
      <c r="AE19" s="93" t="s">
        <v>233</v>
      </c>
      <c r="AF19" s="93" t="s">
        <v>233</v>
      </c>
      <c r="AG19" s="93" t="s">
        <v>233</v>
      </c>
      <c r="AH19" s="93" t="s">
        <v>233</v>
      </c>
      <c r="AI19" s="93" t="s">
        <v>233</v>
      </c>
      <c r="AJ19" s="93" t="s">
        <v>233</v>
      </c>
      <c r="AK19" s="93" t="s">
        <v>233</v>
      </c>
      <c r="AL19" s="164"/>
      <c r="AM19" s="164"/>
      <c r="AN19" s="164"/>
      <c r="AO19" s="164"/>
      <c r="AP19" s="164"/>
      <c r="AQ19" s="164"/>
      <c r="AR19" s="164"/>
      <c r="AS19" s="164"/>
      <c r="AT19" s="167"/>
    </row>
    <row r="20" spans="1:46" ht="41.25" customHeight="1" thickBot="1" x14ac:dyDescent="0.25">
      <c r="A20" s="105" t="str">
        <f>A14</f>
        <v>3 CORE X 185 SQ. MM AL/ARM - STRIP (XLPE) - 11 KV</v>
      </c>
      <c r="B20" s="106"/>
      <c r="C20" s="107" t="s">
        <v>234</v>
      </c>
      <c r="D20" s="108">
        <v>45231</v>
      </c>
      <c r="E20" s="144">
        <v>212871.36</v>
      </c>
      <c r="F20" s="144">
        <v>728539.76</v>
      </c>
      <c r="G20" s="109">
        <v>174651</v>
      </c>
      <c r="H20" s="109">
        <v>157075</v>
      </c>
      <c r="I20" s="110">
        <v>82250</v>
      </c>
      <c r="J20" s="111">
        <f>B1</f>
        <v>45170</v>
      </c>
      <c r="K20" s="109">
        <v>211371</v>
      </c>
      <c r="L20" s="109">
        <v>748501</v>
      </c>
      <c r="M20" s="109">
        <v>174651</v>
      </c>
      <c r="N20" s="109">
        <v>157075</v>
      </c>
      <c r="O20" s="110">
        <v>82250</v>
      </c>
      <c r="P20" s="112">
        <v>1.605</v>
      </c>
      <c r="Q20" s="113">
        <v>0.96799999999999997</v>
      </c>
      <c r="R20" s="113">
        <v>2.4060000000000001</v>
      </c>
      <c r="S20" s="113">
        <v>1.113</v>
      </c>
      <c r="T20" s="114">
        <v>9.4E-2</v>
      </c>
      <c r="U20" s="115">
        <f>B14</f>
        <v>1006636.124</v>
      </c>
      <c r="V20" s="116">
        <f>(P20*(E20-K20))</f>
        <v>2408.0777999999777</v>
      </c>
      <c r="W20" s="113">
        <f>(Q20*(G20-M20))</f>
        <v>0</v>
      </c>
      <c r="X20" s="113">
        <f>(R20*(H20-N20))</f>
        <v>0</v>
      </c>
      <c r="Y20" s="117">
        <f>(S20*(I20-O20))</f>
        <v>0</v>
      </c>
      <c r="Z20" s="117">
        <f>T20*(F20-L20)</f>
        <v>-1876.356559999999</v>
      </c>
      <c r="AA20" s="118">
        <f>V20+W20+X20+Y20+Z20</f>
        <v>531.72123999997871</v>
      </c>
      <c r="AB20" s="119">
        <f>+U20+AA20</f>
        <v>1007167.8452399999</v>
      </c>
      <c r="AC20" s="120">
        <f>'AUTO CALCULATION SHEET (2)'!N18</f>
        <v>1503</v>
      </c>
      <c r="AD20" s="121">
        <f>'AUTO CALCULATION SHEET (2)'!X18</f>
        <v>101</v>
      </c>
      <c r="AE20" s="121">
        <f>'AUTO CALCULATION SHEET (2)'!AD18</f>
        <v>268</v>
      </c>
      <c r="AF20" s="121">
        <f>'AUTO CALCULATION SHEET (2)'!AE18</f>
        <v>670</v>
      </c>
      <c r="AG20" s="121">
        <f>'AUTO CALCULATION SHEET (2)'!AQ18</f>
        <v>237</v>
      </c>
      <c r="AH20" s="121">
        <f>'AUTO CALCULATION SHEET (2)'!AX18</f>
        <v>975</v>
      </c>
      <c r="AI20" s="121">
        <f>'AUTO CALCULATION SHEET (2)'!BF18</f>
        <v>762</v>
      </c>
      <c r="AJ20" s="121">
        <f>'AUTO CALCULATION SHEET (2)'!BM18</f>
        <v>923</v>
      </c>
      <c r="AK20" s="121">
        <f>'AUTO CALCULATION SHEET (2)'!BR18</f>
        <v>36</v>
      </c>
      <c r="AL20" s="122">
        <f>SUMPRODUCT(AC20:AK20,$AC$18:$AK$18)</f>
        <v>764540</v>
      </c>
      <c r="AM20" s="123">
        <f>'AUTO CALCULATION SHEET (2)'!BZ18</f>
        <v>80000</v>
      </c>
      <c r="AN20" s="122">
        <f>AL20+AM20</f>
        <v>844540</v>
      </c>
      <c r="AO20" s="123">
        <f>AB20-AN20</f>
        <v>162627.84523999994</v>
      </c>
      <c r="AP20" s="122">
        <f>ROUND((AO20/AN20)*100,2)</f>
        <v>19.260000000000002</v>
      </c>
      <c r="AQ20" s="123">
        <v>0</v>
      </c>
      <c r="AR20" s="123">
        <v>2</v>
      </c>
      <c r="AS20" s="123">
        <v>2</v>
      </c>
      <c r="AT20" s="124">
        <f>AP20-AQ20-AR20-AS20</f>
        <v>15.260000000000002</v>
      </c>
    </row>
    <row r="21" spans="1:46" s="142" customFormat="1" ht="31.5" customHeight="1" thickBot="1" x14ac:dyDescent="0.25">
      <c r="A21" s="106"/>
      <c r="B21" s="106"/>
      <c r="C21" s="125"/>
      <c r="D21" s="126"/>
      <c r="E21" s="127"/>
      <c r="F21" s="127"/>
      <c r="G21" s="128"/>
      <c r="H21" s="128"/>
      <c r="I21" s="129"/>
      <c r="J21" s="130"/>
      <c r="K21" s="131"/>
      <c r="L21" s="131"/>
      <c r="M21" s="131"/>
      <c r="N21" s="131"/>
      <c r="O21" s="132"/>
      <c r="P21" s="133"/>
      <c r="Q21" s="127"/>
      <c r="R21" s="127"/>
      <c r="S21" s="134"/>
      <c r="T21" s="135"/>
      <c r="U21" s="133"/>
      <c r="V21" s="136"/>
      <c r="W21" s="136"/>
      <c r="X21" s="136"/>
      <c r="Y21" s="137"/>
      <c r="Z21" s="137"/>
      <c r="AA21" s="138"/>
      <c r="AB21" s="139"/>
      <c r="AC21" s="140"/>
      <c r="AD21" s="140"/>
      <c r="AE21" s="140"/>
      <c r="AF21" s="140"/>
      <c r="AG21" s="140"/>
      <c r="AH21" s="140"/>
      <c r="AI21" s="140"/>
      <c r="AJ21" s="140"/>
      <c r="AK21" s="140"/>
      <c r="AL21" s="140"/>
      <c r="AM21" s="140"/>
      <c r="AN21" s="140"/>
      <c r="AO21" s="140"/>
      <c r="AP21" s="140"/>
      <c r="AQ21" s="140"/>
      <c r="AR21" s="140"/>
      <c r="AS21" s="140"/>
      <c r="AT21" s="141"/>
    </row>
    <row r="22" spans="1:46" s="142" customFormat="1" x14ac:dyDescent="0.2">
      <c r="A22" s="73"/>
      <c r="B22" s="73"/>
      <c r="C22" s="73"/>
      <c r="D22" s="73"/>
      <c r="E22" s="143"/>
      <c r="F22" s="143"/>
      <c r="G22" s="73"/>
      <c r="H22" s="73"/>
      <c r="I22" s="73"/>
      <c r="J22" s="73"/>
      <c r="K22" s="73"/>
      <c r="L22" s="73"/>
      <c r="M22" s="73"/>
    </row>
  </sheetData>
  <mergeCells count="42">
    <mergeCell ref="A11:B11"/>
    <mergeCell ref="B1:M1"/>
    <mergeCell ref="B2:M2"/>
    <mergeCell ref="A3:M3"/>
    <mergeCell ref="A4:M5"/>
    <mergeCell ref="AA6:AB6"/>
    <mergeCell ref="A16:A18"/>
    <mergeCell ref="B16:B18"/>
    <mergeCell ref="C16:C18"/>
    <mergeCell ref="D16:I16"/>
    <mergeCell ref="J16:O16"/>
    <mergeCell ref="D17:D18"/>
    <mergeCell ref="E17:E18"/>
    <mergeCell ref="F17:F18"/>
    <mergeCell ref="G17:G18"/>
    <mergeCell ref="H17:H18"/>
    <mergeCell ref="N17:N18"/>
    <mergeCell ref="X16:X18"/>
    <mergeCell ref="Y16:Y18"/>
    <mergeCell ref="Z16:Z18"/>
    <mergeCell ref="AA16:AA18"/>
    <mergeCell ref="I17:I18"/>
    <mergeCell ref="J17:J18"/>
    <mergeCell ref="K17:K18"/>
    <mergeCell ref="L17:L18"/>
    <mergeCell ref="M17:M18"/>
    <mergeCell ref="AQ17:AQ19"/>
    <mergeCell ref="AR17:AR19"/>
    <mergeCell ref="AS17:AS19"/>
    <mergeCell ref="AT17:AT19"/>
    <mergeCell ref="O17:O18"/>
    <mergeCell ref="AL17:AL19"/>
    <mergeCell ref="AM17:AM19"/>
    <mergeCell ref="AN17:AN19"/>
    <mergeCell ref="AO17:AO19"/>
    <mergeCell ref="AP17:AP19"/>
    <mergeCell ref="AB16:AB18"/>
    <mergeCell ref="AC15:AT16"/>
    <mergeCell ref="P16:T17"/>
    <mergeCell ref="U16:U18"/>
    <mergeCell ref="V16:V18"/>
    <mergeCell ref="W16:W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11KV HT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2023-11-06T08:38:24Z</dcterms:modified>
</cp:coreProperties>
</file>