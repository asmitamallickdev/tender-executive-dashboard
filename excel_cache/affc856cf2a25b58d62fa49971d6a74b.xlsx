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4-25\08_AUGUST 2024\CSPDCL-TS-870-SINGLECORE-13856\"/>
    </mc:Choice>
  </mc:AlternateContent>
  <xr:revisionPtr revIDLastSave="0" documentId="13_ncr:1_{C8B2E515-327A-432E-B7D3-0637C27E95CB}" xr6:coauthVersionLast="47" xr6:coauthVersionMax="47" xr10:uidLastSave="{00000000-0000-0000-0000-000000000000}"/>
  <bookViews>
    <workbookView xWindow="-180" yWindow="5895" windowWidth="28800" windowHeight="9660" firstSheet="1" activeTab="1" xr2:uid="{00000000-000D-0000-FFFF-FFFF00000000}"/>
  </bookViews>
  <sheets>
    <sheet name="Sheet1" sheetId="1" state="hidden" r:id="rId1"/>
    <sheet name="AUTO CALCULATION SHEET (2)" sheetId="4" r:id="rId2"/>
    <sheet name="PV"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J28" i="4" l="1"/>
  <c r="BJ27" i="4"/>
  <c r="BV27" i="4" s="1"/>
  <c r="BW27" i="4" s="1"/>
  <c r="BJ26" i="4"/>
  <c r="CN22" i="4"/>
  <c r="CN21" i="4"/>
  <c r="CN20" i="4"/>
  <c r="CN19" i="4"/>
  <c r="BV28" i="4"/>
  <c r="BW28" i="4" s="1"/>
  <c r="BV26" i="4"/>
  <c r="BW26" i="4" s="1"/>
  <c r="BV25" i="4"/>
  <c r="BW25" i="4" s="1"/>
  <c r="AF28" i="4" l="1"/>
  <c r="AF27" i="4"/>
  <c r="AF26" i="4"/>
  <c r="AF25" i="4"/>
  <c r="A13" i="6"/>
  <c r="A14" i="6"/>
  <c r="A15" i="6"/>
  <c r="A12" i="6"/>
  <c r="Y13" i="6"/>
  <c r="Y14" i="6"/>
  <c r="Y15" i="6"/>
  <c r="Y12" i="6"/>
  <c r="U13" i="6"/>
  <c r="V13" i="6"/>
  <c r="W13" i="6"/>
  <c r="X13" i="6" s="1"/>
  <c r="Z13" i="6" s="1"/>
  <c r="U14" i="6"/>
  <c r="X14" i="6" s="1"/>
  <c r="Z14" i="6" s="1"/>
  <c r="V14" i="6"/>
  <c r="W14" i="6"/>
  <c r="U15" i="6"/>
  <c r="V15" i="6"/>
  <c r="W15" i="6"/>
  <c r="W12" i="6"/>
  <c r="V12" i="6"/>
  <c r="U12" i="6"/>
  <c r="W10" i="6"/>
  <c r="V10" i="6"/>
  <c r="U10" i="6"/>
  <c r="H13" i="6"/>
  <c r="P13" i="6"/>
  <c r="Q13" i="6"/>
  <c r="R13" i="6"/>
  <c r="R15" i="6"/>
  <c r="Q15" i="6"/>
  <c r="P15" i="6"/>
  <c r="H15" i="6"/>
  <c r="R14" i="6"/>
  <c r="Q14" i="6"/>
  <c r="P14" i="6"/>
  <c r="H14" i="6"/>
  <c r="R12" i="6"/>
  <c r="Q12" i="6"/>
  <c r="P12" i="6"/>
  <c r="H12" i="6"/>
  <c r="S12" i="6" l="1"/>
  <c r="S14" i="6"/>
  <c r="S13" i="6"/>
  <c r="X12" i="6"/>
  <c r="Z12" i="6" s="1"/>
  <c r="X15" i="6"/>
  <c r="Z15" i="6" s="1"/>
  <c r="S15" i="6"/>
  <c r="D26" i="4" l="1"/>
  <c r="D27" i="4"/>
  <c r="D28" i="4"/>
  <c r="D25" i="4"/>
  <c r="E26" i="4"/>
  <c r="F26" i="4"/>
  <c r="J26" i="4" s="1"/>
  <c r="K26" i="4" s="1"/>
  <c r="M26" i="4" s="1"/>
  <c r="L26" i="4" s="1"/>
  <c r="E27" i="4"/>
  <c r="F27" i="4"/>
  <c r="J27" i="4" s="1"/>
  <c r="K27" i="4" s="1"/>
  <c r="M27" i="4" s="1"/>
  <c r="L27" i="4" s="1"/>
  <c r="E28" i="4"/>
  <c r="F28" i="4"/>
  <c r="J28" i="4" s="1"/>
  <c r="K28" i="4" s="1"/>
  <c r="M28" i="4" s="1"/>
  <c r="L28" i="4" s="1"/>
  <c r="F25" i="4"/>
  <c r="J25" i="4" s="1"/>
  <c r="E25" i="4"/>
  <c r="F22" i="4" l="1"/>
  <c r="F20" i="4"/>
  <c r="F21" i="4"/>
  <c r="K25" i="4"/>
  <c r="M25" i="4" s="1"/>
  <c r="BY20" i="4"/>
  <c r="BY21" i="4"/>
  <c r="BY22" i="4"/>
  <c r="BY19" i="4"/>
  <c r="BY17" i="4"/>
  <c r="A20" i="4"/>
  <c r="B20" i="4"/>
  <c r="C20" i="4"/>
  <c r="D20" i="4"/>
  <c r="H20" i="4"/>
  <c r="K20" i="4"/>
  <c r="L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CB20" i="4"/>
  <c r="A21" i="4"/>
  <c r="B21" i="4"/>
  <c r="C21" i="4"/>
  <c r="D21" i="4"/>
  <c r="H21" i="4"/>
  <c r="K21" i="4"/>
  <c r="L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CB21" i="4"/>
  <c r="A22" i="4"/>
  <c r="B22" i="4"/>
  <c r="C22" i="4"/>
  <c r="D22" i="4"/>
  <c r="H22" i="4"/>
  <c r="K22" i="4"/>
  <c r="L22" i="4"/>
  <c r="N22" i="4"/>
  <c r="O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L22" i="4"/>
  <c r="BM22" i="4"/>
  <c r="BN22" i="4"/>
  <c r="BO22" i="4"/>
  <c r="BP22" i="4"/>
  <c r="BQ22" i="4"/>
  <c r="BR22" i="4"/>
  <c r="BS22" i="4"/>
  <c r="BT22" i="4"/>
  <c r="BU22" i="4"/>
  <c r="BV22" i="4"/>
  <c r="CB22" i="4"/>
  <c r="L25" i="4" l="1"/>
  <c r="F19" i="4"/>
  <c r="B19" i="4"/>
  <c r="BX17" i="4" l="1"/>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S18" i="4"/>
  <c r="AR18" i="4"/>
  <c r="AR19" i="4"/>
  <c r="AQ19" i="4"/>
  <c r="AP19" i="4"/>
  <c r="AO19" i="4"/>
  <c r="AN19" i="4"/>
  <c r="AM19" i="4"/>
  <c r="AL19" i="4"/>
  <c r="AQ18" i="4"/>
  <c r="AP18" i="4"/>
  <c r="AO18" i="4"/>
  <c r="AN18" i="4"/>
  <c r="AM18" i="4"/>
  <c r="AL18" i="4"/>
  <c r="AK18" i="4"/>
  <c r="AK19" i="4"/>
  <c r="AJ19" i="4"/>
  <c r="AI19" i="4"/>
  <c r="AH19" i="4"/>
  <c r="AG19" i="4"/>
  <c r="AF19" i="4"/>
  <c r="AE19" i="4"/>
  <c r="AJ18" i="4"/>
  <c r="AI18" i="4"/>
  <c r="AH18" i="4"/>
  <c r="AE18" i="4"/>
  <c r="AG18" i="4"/>
  <c r="AF18" i="4"/>
  <c r="AD18" i="4"/>
  <c r="AD19" i="4"/>
  <c r="AC19" i="4"/>
  <c r="AC18" i="4"/>
  <c r="AB18" i="4" l="1"/>
  <c r="AA18" i="4"/>
  <c r="Z18" i="4"/>
  <c r="Y18" i="4"/>
  <c r="X18" i="4"/>
  <c r="W18" i="4"/>
  <c r="V18" i="4"/>
  <c r="U18" i="4"/>
  <c r="R18" i="4" l="1"/>
  <c r="Q18" i="4"/>
  <c r="P18" i="4"/>
  <c r="O18" i="4"/>
  <c r="N19" i="4"/>
  <c r="R19" i="4"/>
  <c r="Q19" i="4"/>
  <c r="P19" i="4"/>
  <c r="O19" i="4"/>
  <c r="N16" i="4"/>
  <c r="L19" i="4"/>
  <c r="K19" i="4"/>
  <c r="H19" i="4"/>
  <c r="CB19" i="4"/>
  <c r="D19" i="4"/>
  <c r="C19" i="4"/>
  <c r="A19" i="4"/>
  <c r="CA22" i="4" l="1"/>
  <c r="CA21" i="4"/>
  <c r="CA20" i="4"/>
  <c r="CA19" i="4"/>
  <c r="CE20" i="4" l="1"/>
  <c r="CG20" i="4"/>
  <c r="CC20" i="4"/>
  <c r="CC21" i="4"/>
  <c r="CG21" i="4"/>
  <c r="CE21" i="4"/>
  <c r="CC22" i="4"/>
  <c r="CG22" i="4"/>
  <c r="CE22" i="4"/>
  <c r="CC19" i="4"/>
  <c r="CE19" i="4"/>
  <c r="CG19" i="4"/>
  <c r="CH20" i="4" l="1"/>
  <c r="CJ20" i="4" s="1"/>
  <c r="CH22" i="4"/>
  <c r="CL20" i="4"/>
  <c r="CH21" i="4"/>
  <c r="CH19" i="4"/>
  <c r="E20" i="4" l="1"/>
  <c r="CO20" i="4" s="1"/>
  <c r="CJ21" i="4"/>
  <c r="CL21" i="4"/>
  <c r="CJ22" i="4"/>
  <c r="CL22" i="4"/>
  <c r="CJ19" i="4"/>
  <c r="CL19" i="4"/>
  <c r="G20" i="4" l="1"/>
  <c r="I20" i="4" s="1"/>
  <c r="J20" i="4" s="1"/>
  <c r="M20" i="4" s="1"/>
  <c r="O13" i="6"/>
  <c r="T13" i="6" s="1"/>
  <c r="AA13" i="6" s="1"/>
  <c r="AB13" i="6" s="1"/>
  <c r="AF13" i="6" s="1"/>
  <c r="E21" i="4"/>
  <c r="CO21" i="4" s="1"/>
  <c r="E22" i="4"/>
  <c r="CO22" i="4" s="1"/>
  <c r="E19" i="4"/>
  <c r="O12" i="6" l="1"/>
  <c r="T12" i="6" s="1"/>
  <c r="AA12" i="6" s="1"/>
  <c r="AB12" i="6" s="1"/>
  <c r="AF12" i="6" s="1"/>
  <c r="CO19" i="4"/>
  <c r="G22" i="4"/>
  <c r="I22" i="4" s="1"/>
  <c r="J22" i="4" s="1"/>
  <c r="M22" i="4" s="1"/>
  <c r="O15" i="6"/>
  <c r="T15" i="6" s="1"/>
  <c r="AA15" i="6" s="1"/>
  <c r="AB15" i="6" s="1"/>
  <c r="AF15" i="6" s="1"/>
  <c r="G21" i="4"/>
  <c r="I21" i="4" s="1"/>
  <c r="J21" i="4" s="1"/>
  <c r="M21" i="4" s="1"/>
  <c r="O14" i="6"/>
  <c r="T14" i="6" s="1"/>
  <c r="AA14" i="6" s="1"/>
  <c r="AB14" i="6" s="1"/>
  <c r="AF14" i="6" s="1"/>
  <c r="G19" i="4"/>
  <c r="I19" i="4" s="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A4E59603-6C7E-4386-ADCB-EA4F11BD7FFE}">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<sst xmlns="http://schemas.openxmlformats.org/spreadsheetml/2006/main" count="335" uniqueCount="267">
  <si>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</si>
  <si>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</si>
  <si>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</si>
  <si>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</si>
  <si>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</si>
  <si>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</si>
  <si>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</si>
  <si>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</si>
  <si>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</si>
  <si>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</si>
  <si>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</si>
  <si>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</si>
  <si>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</si>
  <si>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</si>
  <si>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</si>
  <si>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</si>
  <si>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</si>
  <si>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</si>
  <si>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</si>
  <si>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</si>
  <si>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</si>
  <si>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</si>
  <si>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</si>
  <si>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</si>
  <si>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</si>
  <si>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</si>
  <si>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</si>
  <si>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</si>
  <si>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</si>
  <si>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</si>
  <si>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</si>
  <si>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</si>
  <si>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</si>
  <si>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</si>
  <si>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</si>
  <si>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</si>
  <si>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</si>
  <si>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</si>
  <si>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</si>
  <si>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</si>
  <si>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</si>
  <si>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</si>
  <si>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</si>
  <si>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</si>
  <si>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</si>
  <si>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</si>
  <si>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</si>
  <si>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</si>
  <si>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</si>
  <si>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</si>
  <si>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</si>
  <si>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</si>
  <si>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</si>
  <si>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</si>
  <si>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</si>
  <si>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</si>
  <si>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</si>
  <si>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</si>
  <si>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</si>
  <si>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</si>
  <si>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</si>
  <si>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</si>
  <si>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</si>
  <si>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</si>
  <si>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</si>
  <si>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</si>
  <si>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</si>
  <si>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</si>
  <si>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</si>
  <si>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</si>
  <si>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</si>
  <si>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</si>
  <si>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</si>
  <si>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</si>
  <si>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</si>
  <si>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</si>
  <si>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</si>
  <si>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</si>
  <si>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</si>
  <si>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</si>
  <si>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</si>
  <si>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</si>
  <si>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</si>
  <si>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</si>
  <si>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</si>
  <si>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</si>
  <si>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</si>
  <si>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</si>
  <si>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</si>
  <si>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</si>
  <si>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</si>
  <si>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</si>
  <si>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</si>
  <si>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</si>
  <si>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</si>
  <si>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</si>
  <si>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</si>
  <si>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</si>
  <si>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</si>
  <si>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</si>
  <si>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</si>
  <si>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</si>
  <si>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 xml:space="preserve">The base date of prices against Tender shall be as on 1st working day of one month prior to date of opening of tender notified initially i.e. 22.08.2024. In event of extension of due date of opening of tender, the base date of quoted prices shall remain unchanged, which should be noted by the bidder carefully, while quoting their prices. </t>
  </si>
  <si>
    <t xml:space="preserve">100% payment along with full taxes and duties shall be made generally within 45 days from date of acceptance or deemed acceptance of materials received in good condition at Area Stores. Here, “Day of acceptance” or “Deemed acceptance‟ means that:-        
(a)   The day of the actual delivery of materials.  OR 
(b)  where any objection is made in writing by the Purchaser regarding acceptance of material within 15days from the day of the delivery of material, the day on which such objection is removed by the supplier. 
(c) “The day of deemed acceptance” means, where no objection is made in writing by the Purchaser regarding acceptance of material within fifteen days from the day of delivery of material, the day of the actual delivery of material. </t>
  </si>
  <si>
    <t xml:space="preserve">Normally the supply shall be commenced within two months from the date of issue of detailed order and 50% of the order quantity to be completed within three months thereafter. For balance 50% quantity manufacturing clearance will be issued separately after reviewing the performance of the material and field requirement. However, delivery can be deferred/advanced as per our requirement i.e. delivery can be rescheduled. </t>
  </si>
  <si>
    <t>Not Mention.</t>
  </si>
  <si>
    <t>22.08.2024</t>
  </si>
  <si>
    <t>Chhattisgarh State Power Distribution Company Ltd.</t>
  </si>
  <si>
    <t xml:space="preserve">“ISI” marked 1.1KV grade, Single Core, stranded Aluminium conductor  XLPE insulated, PVC Sheathed un-armoured Cables of Various Sizes </t>
  </si>
  <si>
    <t xml:space="preserve">TENDER SPECIFICATION NO. 02-03/ED(S&amp;P)/870 </t>
  </si>
  <si>
    <t xml:space="preserve">The cable length shall be 1000 meters for single core 50sqmm XLPE Insulated Cables &amp; 500 meters for single core 70sqmm, 150sqmm &amp; 300sqmm XLPE Insulated Cables and wound on a drum (refer IS: 10418: 1982) of suitable size and packed. The packing shall be robust enough for rough handling during transportation by Rail/Road.  The ends of the cable shall be sealed by means of non-hygroscopic sealing material.  </t>
  </si>
  <si>
    <t xml:space="preserve">The Cable in (Drum) must bear “ISI” certification Mark. In this connection, a certified photo copy of valid `ISI' Marking License rights duly attested must be submitted along with the tender as documentary evidence.  In absence of this, offer is liable for rejection.  </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</si>
  <si>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</si>
  <si>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</si>
  <si>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</si>
  <si>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</si>
  <si>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</si>
  <si>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</si>
  <si>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</si>
  <si>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</si>
  <si>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</si>
  <si>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</si>
  <si>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</si>
  <si>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</si>
  <si>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</si>
  <si>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</si>
  <si>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</si>
  <si>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</si>
  <si>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</si>
  <si>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</si>
  <si>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</si>
  <si>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</si>
  <si>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</si>
  <si>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</si>
  <si>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</si>
  <si>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</si>
  <si>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</si>
  <si>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</si>
  <si>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</si>
  <si>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</si>
  <si>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</si>
  <si>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</si>
  <si>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</si>
  <si>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</si>
  <si>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</si>
  <si>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</si>
  <si>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</si>
  <si>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</si>
  <si>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</si>
  <si>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</si>
  <si>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</si>
  <si>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</si>
  <si>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</si>
  <si>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</si>
  <si>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</si>
  <si>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</si>
  <si>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</si>
  <si>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</si>
  <si>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</si>
  <si>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</si>
  <si>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</si>
  <si>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</si>
  <si>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</si>
  <si>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</si>
  <si>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</si>
  <si>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</si>
  <si>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</si>
  <si>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</si>
  <si>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</si>
  <si>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</si>
  <si>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</si>
  <si>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</si>
  <si>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</si>
  <si>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</si>
  <si>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</si>
  <si>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</si>
  <si>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</si>
  <si>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</si>
  <si>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</si>
  <si>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</si>
  <si>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</si>
  <si>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</si>
  <si>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</si>
  <si>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</si>
  <si>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</si>
  <si>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</si>
  <si>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</si>
  <si>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</si>
  <si>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</si>
  <si>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</si>
  <si>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</si>
  <si>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ENQ-13856-22-23</t>
  </si>
  <si>
    <t>FA0500017</t>
  </si>
  <si>
    <t>1 CORE X 50 SQ. MM. AL/UNARD. (XLPE)</t>
  </si>
  <si>
    <t>WOOD</t>
  </si>
  <si>
    <t>KMS</t>
  </si>
  <si>
    <t>MD0100005</t>
  </si>
  <si>
    <t>DRUM - 36 X 14 X 23 X 2</t>
  </si>
  <si>
    <t>FA0600009</t>
  </si>
  <si>
    <t>1 CORE X 70 SQ. MM AL/UNARD ( XLPE )</t>
  </si>
  <si>
    <t>MD0100066</t>
  </si>
  <si>
    <t>DRUM - 40 X 15 X 23 X 2</t>
  </si>
  <si>
    <t>FA0600019</t>
  </si>
  <si>
    <t>1 CORE X 150 SQ. MM. AL/UNARD. (XLPE)</t>
  </si>
  <si>
    <t>MD0100014</t>
  </si>
  <si>
    <t>DRUM - 48 X 21 X 32 X 2.25</t>
  </si>
  <si>
    <t>FA0600020</t>
  </si>
  <si>
    <t>1 CORE X 300 SQ. MM. AL/UNARD. (XLPE)</t>
  </si>
  <si>
    <t>MD0100017</t>
  </si>
  <si>
    <t>DRUM - 52 X 18 X 36 X 2.5</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</si>
  <si>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</si>
  <si>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</si>
  <si>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</si>
  <si>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</si>
  <si>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</si>
  <si>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</si>
  <si>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</si>
  <si>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</si>
  <si>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</si>
  <si>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</si>
  <si>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Terms(Price Variation Formula)</t>
  </si>
  <si>
    <t>PV FORMULA</t>
  </si>
  <si>
    <t>P = Po + ALF ( Al – Alo ) + CCFAI (Cc – Cco) +FeF (Fe – Feo)</t>
  </si>
  <si>
    <t>Item</t>
  </si>
  <si>
    <t>Calculation part</t>
  </si>
  <si>
    <t>Date of Inspection</t>
  </si>
  <si>
    <t>Applicable Date</t>
  </si>
  <si>
    <t>BASE DATE</t>
  </si>
  <si>
    <t>FACTORS</t>
  </si>
  <si>
    <t>Ex-Work
Po</t>
  </si>
  <si>
    <t>PVC of al</t>
  </si>
  <si>
    <t>PVC OF PVC</t>
  </si>
  <si>
    <t>PVC OF FE</t>
  </si>
  <si>
    <t>PV/PKM</t>
  </si>
  <si>
    <t>Billing Price/PKM</t>
  </si>
  <si>
    <t>VALUE ADDITION CALCULATION</t>
  </si>
  <si>
    <t>Date</t>
  </si>
  <si>
    <t>Al</t>
  </si>
  <si>
    <t>Cc</t>
  </si>
  <si>
    <t>Pvc</t>
  </si>
  <si>
    <t>Alo</t>
  </si>
  <si>
    <t>Cco</t>
  </si>
  <si>
    <t>Alf</t>
  </si>
  <si>
    <t>XLFAL</t>
  </si>
  <si>
    <t>CCFAI</t>
  </si>
  <si>
    <t>RMC</t>
  </si>
  <si>
    <t xml:space="preserve">Drum </t>
  </si>
  <si>
    <t>RMC+Drum</t>
  </si>
  <si>
    <t>VA</t>
  </si>
  <si>
    <t>Groos VA%</t>
  </si>
  <si>
    <t>Mfg %</t>
  </si>
  <si>
    <t>Int %</t>
  </si>
  <si>
    <t>Ins%</t>
  </si>
  <si>
    <t>Net VA</t>
  </si>
  <si>
    <t>Provisional</t>
  </si>
  <si>
    <t>The tenderers are required to confirm specifically that the offer submitted by them shall be valid for acceptance for a period of 180 days from the date of opening of tender.</t>
  </si>
  <si>
    <t>The base date of prices against Tender shall be as on 1st working day of one month prior to date of opening of tender notified initially.</t>
  </si>
  <si>
    <t>CABLES WEIGHT KG/KM</t>
  </si>
  <si>
    <t>DRUM WEIGHT</t>
  </si>
  <si>
    <t>CABLES+DRUM WEIGHT</t>
  </si>
  <si>
    <t>TRUCK WEIGHT</t>
  </si>
  <si>
    <t>LP ARP 24</t>
  </si>
  <si>
    <t>DISC %</t>
  </si>
  <si>
    <t>MD0100121</t>
  </si>
  <si>
    <t>DRUM - 34 X 14 X 23 X 2</t>
  </si>
  <si>
    <t>MD0100085</t>
  </si>
  <si>
    <t>DRUM - 43 X 15 X 28 X 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</si>
</sst>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0.0000"/>
    <numFmt numFmtId="167" formatCode="&quot;Rs.&quot;#,##0"/>
    <numFmt numFmtId="168" formatCode="0.0"/>
    <numFmt numFmtId="169" formatCode="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b/>
      <sz val="11"/>
      <name val="Calibri"/>
      <family val="2"/>
      <scheme val="minor"/>
    </font>
    <font>
      <sz val="14"/>
      <name val="Calibri"/>
      <family val="2"/>
      <scheme val="minor"/>
    </font>
    <font>
      <b/>
      <sz val="10"/>
      <name val="Arial"/>
      <family val="2"/>
    </font>
    <font>
      <sz val="10"/>
      <color rgb="FFFF0000"/>
      <name val="Calibri"/>
      <family val="2"/>
      <scheme val="minor"/>
    </font>
  </fonts>
  <fills count="10">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16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5" fillId="0" borderId="1" xfId="4" applyFont="1" applyBorder="1" applyAlignment="1">
      <alignment horizontal="center" vertical="center"/>
    </xf>
    <xf numFmtId="0" fontId="16" fillId="0" borderId="0" xfId="4" applyFont="1" applyAlignment="1">
      <alignment horizontal="center" vertical="center"/>
    </xf>
    <xf numFmtId="0" fontId="17" fillId="0" borderId="0" xfId="5" applyFont="1" applyAlignment="1">
      <alignment horizontal="center" vertical="center"/>
    </xf>
    <xf numFmtId="0" fontId="11" fillId="0" borderId="0" xfId="4" applyAlignment="1">
      <alignment horizontal="center" vertical="center"/>
    </xf>
    <xf numFmtId="0" fontId="18" fillId="0" borderId="1" xfId="4" applyFont="1" applyBorder="1" applyAlignment="1">
      <alignment horizontal="center" vertical="center" wrapText="1"/>
    </xf>
    <xf numFmtId="0" fontId="11" fillId="0" borderId="0" xfId="4" applyAlignment="1">
      <alignment horizontal="left"/>
    </xf>
    <xf numFmtId="0" fontId="17" fillId="0" borderId="0" xfId="4" applyFont="1" applyAlignment="1">
      <alignment horizontal="center"/>
    </xf>
    <xf numFmtId="0" fontId="17" fillId="0" borderId="0" xfId="5" applyFont="1"/>
    <xf numFmtId="0" fontId="11" fillId="0" borderId="0" xfId="4"/>
    <xf numFmtId="0" fontId="16" fillId="0" borderId="0" xfId="4" applyFont="1" applyAlignment="1">
      <alignment horizontal="left" vertical="center" wrapText="1"/>
    </xf>
    <xf numFmtId="0" fontId="16" fillId="0" borderId="0" xfId="4" applyFont="1"/>
    <xf numFmtId="0" fontId="16" fillId="0" borderId="0" xfId="4" applyFont="1" applyAlignment="1">
      <alignment horizontal="center"/>
    </xf>
    <xf numFmtId="0" fontId="16" fillId="0" borderId="0" xfId="4" applyFont="1" applyAlignment="1">
      <alignment vertical="center"/>
    </xf>
    <xf numFmtId="166" fontId="16" fillId="0" borderId="0" xfId="4" applyNumberFormat="1" applyFont="1" applyAlignment="1">
      <alignment vertical="center"/>
    </xf>
    <xf numFmtId="0" fontId="11" fillId="0" borderId="0" xfId="4" applyAlignment="1">
      <alignment horizontal="center"/>
    </xf>
    <xf numFmtId="14" fontId="17" fillId="0" borderId="0" xfId="4" applyNumberFormat="1" applyFont="1" applyAlignment="1">
      <alignment horizontal="center"/>
    </xf>
    <xf numFmtId="0" fontId="16" fillId="0" borderId="6"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5" xfId="5" applyFont="1" applyBorder="1" applyAlignment="1">
      <alignment horizontal="center" vertical="center" wrapText="1"/>
    </xf>
    <xf numFmtId="0" fontId="20" fillId="0" borderId="4" xfId="5" applyFont="1" applyBorder="1" applyAlignment="1">
      <alignment horizontal="center" vertical="center" wrapText="1"/>
    </xf>
    <xf numFmtId="0" fontId="20" fillId="0" borderId="1" xfId="5" applyFont="1" applyBorder="1" applyAlignment="1">
      <alignment horizontal="center" vertical="center" wrapText="1"/>
    </xf>
    <xf numFmtId="0" fontId="20" fillId="0" borderId="15" xfId="5" applyFont="1" applyBorder="1" applyAlignment="1">
      <alignment horizontal="center" vertical="center" wrapText="1"/>
    </xf>
    <xf numFmtId="0" fontId="11" fillId="0" borderId="14" xfId="4" applyBorder="1"/>
    <xf numFmtId="167" fontId="20" fillId="0" borderId="4" xfId="5" applyNumberFormat="1" applyFont="1" applyBorder="1" applyAlignment="1">
      <alignment horizontal="center" vertical="center" wrapText="1"/>
    </xf>
    <xf numFmtId="167" fontId="20" fillId="0" borderId="1" xfId="5" applyNumberFormat="1" applyFont="1" applyBorder="1" applyAlignment="1">
      <alignment horizontal="center" vertical="center"/>
    </xf>
    <xf numFmtId="1" fontId="20" fillId="0" borderId="1" xfId="5" applyNumberFormat="1" applyFont="1" applyBorder="1"/>
    <xf numFmtId="1" fontId="20" fillId="0" borderId="1" xfId="5" applyNumberFormat="1" applyFont="1" applyBorder="1" applyAlignment="1">
      <alignment horizontal="center"/>
    </xf>
    <xf numFmtId="0" fontId="12" fillId="0" borderId="15" xfId="5" applyBorder="1"/>
    <xf numFmtId="0" fontId="11" fillId="0" borderId="14" xfId="4" applyBorder="1" applyAlignment="1">
      <alignment horizontal="center" vertical="center" wrapText="1"/>
    </xf>
    <xf numFmtId="0" fontId="11" fillId="0" borderId="14" xfId="4" applyBorder="1" applyAlignment="1">
      <alignment wrapText="1"/>
    </xf>
    <xf numFmtId="14" fontId="17" fillId="0" borderId="14" xfId="5" applyNumberFormat="1" applyFont="1" applyBorder="1" applyAlignment="1">
      <alignment horizontal="center" vertical="center" wrapText="1"/>
    </xf>
    <xf numFmtId="14" fontId="16" fillId="8" borderId="6" xfId="5" applyNumberFormat="1" applyFont="1" applyFill="1" applyBorder="1" applyAlignment="1">
      <alignment horizontal="center" vertical="center" wrapText="1"/>
    </xf>
    <xf numFmtId="168" fontId="21" fillId="0" borderId="1" xfId="6" applyNumberFormat="1" applyFont="1" applyBorder="1" applyAlignment="1">
      <alignment horizontal="center" vertical="center" wrapText="1"/>
    </xf>
    <xf numFmtId="168" fontId="17" fillId="0" borderId="1" xfId="6" applyNumberFormat="1" applyFont="1" applyBorder="1" applyAlignment="1">
      <alignment horizontal="center" vertical="center" wrapText="1"/>
    </xf>
    <xf numFmtId="168" fontId="17" fillId="0" borderId="15" xfId="6" applyNumberFormat="1" applyFont="1" applyBorder="1" applyAlignment="1">
      <alignment horizontal="center" vertical="center" wrapText="1"/>
    </xf>
    <xf numFmtId="14" fontId="16" fillId="8" borderId="6" xfId="6" applyNumberFormat="1" applyFont="1" applyFill="1" applyBorder="1" applyAlignment="1">
      <alignment horizontal="center" vertical="center" wrapText="1"/>
    </xf>
    <xf numFmtId="169" fontId="16" fillId="0" borderId="6" xfId="5" applyNumberFormat="1" applyFont="1" applyBorder="1" applyAlignment="1">
      <alignment horizontal="center" vertical="center" wrapText="1"/>
    </xf>
    <xf numFmtId="169" fontId="16" fillId="0" borderId="1" xfId="5" applyNumberFormat="1" applyFont="1" applyBorder="1" applyAlignment="1">
      <alignment horizontal="center" vertical="center" wrapText="1"/>
    </xf>
    <xf numFmtId="169" fontId="16" fillId="0" borderId="15" xfId="5" applyNumberFormat="1" applyFont="1" applyBorder="1" applyAlignment="1">
      <alignment horizontal="center" vertical="center" wrapText="1"/>
    </xf>
    <xf numFmtId="2" fontId="17" fillId="0" borderId="14" xfId="5" applyNumberFormat="1" applyFont="1" applyBorder="1" applyAlignment="1">
      <alignment horizontal="center" vertical="center" wrapText="1"/>
    </xf>
    <xf numFmtId="166" fontId="17" fillId="0" borderId="6" xfId="5" applyNumberFormat="1" applyFont="1" applyBorder="1" applyAlignment="1">
      <alignment vertical="center" wrapText="1"/>
    </xf>
    <xf numFmtId="169" fontId="17" fillId="0" borderId="1" xfId="5" applyNumberFormat="1" applyFont="1" applyBorder="1" applyAlignment="1">
      <alignment horizontal="center" vertical="center" wrapText="1"/>
    </xf>
    <xf numFmtId="2" fontId="16" fillId="0" borderId="15" xfId="5" applyNumberFormat="1" applyFont="1" applyBorder="1" applyAlignment="1">
      <alignment horizontal="center" vertical="center" wrapText="1"/>
    </xf>
    <xf numFmtId="2" fontId="17" fillId="9" borderId="14" xfId="5" applyNumberFormat="1" applyFont="1" applyFill="1" applyBorder="1" applyAlignment="1">
      <alignment horizontal="center" vertical="center" wrapText="1"/>
    </xf>
    <xf numFmtId="2" fontId="12" fillId="0" borderId="4" xfId="5" applyNumberFormat="1" applyBorder="1" applyAlignment="1">
      <alignment vertical="center"/>
    </xf>
    <xf numFmtId="2" fontId="12" fillId="0" borderId="1" xfId="5" applyNumberFormat="1" applyBorder="1" applyAlignment="1">
      <alignment vertical="center"/>
    </xf>
    <xf numFmtId="2" fontId="20" fillId="0" borderId="1" xfId="5" applyNumberFormat="1" applyFont="1" applyBorder="1" applyAlignment="1">
      <alignment vertical="center"/>
    </xf>
    <xf numFmtId="2" fontId="12" fillId="0" borderId="15" xfId="5" applyNumberFormat="1" applyBorder="1" applyAlignment="1">
      <alignment vertical="center"/>
    </xf>
    <xf numFmtId="0" fontId="11" fillId="0" borderId="18" xfId="4" applyBorder="1" applyAlignment="1">
      <alignment wrapText="1"/>
    </xf>
    <xf numFmtId="2" fontId="12" fillId="0" borderId="22" xfId="5" applyNumberFormat="1" applyBorder="1" applyAlignment="1">
      <alignment vertical="center"/>
    </xf>
    <xf numFmtId="2" fontId="12" fillId="0" borderId="23" xfId="5" applyNumberFormat="1" applyBorder="1" applyAlignment="1">
      <alignment vertical="center"/>
    </xf>
    <xf numFmtId="2" fontId="20" fillId="0" borderId="23" xfId="5" applyNumberFormat="1" applyFont="1" applyBorder="1" applyAlignment="1">
      <alignment vertical="center"/>
    </xf>
    <xf numFmtId="2" fontId="12" fillId="0" borderId="24" xfId="5" applyNumberFormat="1" applyBorder="1" applyAlignment="1">
      <alignment vertical="center"/>
    </xf>
    <xf numFmtId="0" fontId="11" fillId="0" borderId="0" xfId="4" applyAlignment="1">
      <alignment wrapText="1"/>
    </xf>
    <xf numFmtId="0" fontId="15" fillId="0" borderId="0" xfId="4" applyFont="1"/>
    <xf numFmtId="0" fontId="11" fillId="0" borderId="25" xfId="4" applyBorder="1"/>
    <xf numFmtId="164" fontId="0" fillId="0" borderId="0" xfId="1" applyFont="1" applyAlignment="1">
      <alignment wrapText="1"/>
    </xf>
    <xf numFmtId="43" fontId="0" fillId="0" borderId="0" xfId="0" applyNumberFormat="1"/>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6" fillId="0" borderId="11"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2" xfId="5" applyFont="1" applyBorder="1" applyAlignment="1">
      <alignment horizontal="center" vertical="center" wrapText="1"/>
    </xf>
    <xf numFmtId="0" fontId="16" fillId="0" borderId="15" xfId="5" applyFont="1" applyBorder="1" applyAlignment="1">
      <alignment horizontal="center" vertical="center" wrapText="1"/>
    </xf>
    <xf numFmtId="14" fontId="15" fillId="5" borderId="2" xfId="4" applyNumberFormat="1" applyFont="1" applyFill="1" applyBorder="1" applyAlignment="1">
      <alignment horizontal="center" vertical="center"/>
    </xf>
    <xf numFmtId="0" fontId="15" fillId="5" borderId="3" xfId="4" applyFont="1" applyFill="1" applyBorder="1" applyAlignment="1">
      <alignment horizontal="center" vertical="center"/>
    </xf>
    <xf numFmtId="0" fontId="15" fillId="5" borderId="4" xfId="4" applyFont="1" applyFill="1" applyBorder="1" applyAlignment="1">
      <alignment horizontal="center" vertical="center"/>
    </xf>
    <xf numFmtId="0" fontId="19" fillId="0" borderId="2" xfId="4" applyFont="1" applyBorder="1" applyAlignment="1">
      <alignment vertical="center" wrapText="1"/>
    </xf>
    <xf numFmtId="0" fontId="16" fillId="0" borderId="3" xfId="4" applyFont="1" applyBorder="1" applyAlignment="1">
      <alignment vertical="center" wrapText="1"/>
    </xf>
    <xf numFmtId="0" fontId="16" fillId="0" borderId="4" xfId="4" applyFont="1" applyBorder="1" applyAlignment="1">
      <alignment vertical="center" wrapText="1"/>
    </xf>
    <xf numFmtId="0" fontId="16" fillId="0" borderId="1" xfId="4" applyFont="1" applyBorder="1" applyAlignment="1">
      <alignment horizontal="center" vertical="center"/>
    </xf>
    <xf numFmtId="0" fontId="15" fillId="0" borderId="10" xfId="4" applyFont="1" applyBorder="1" applyAlignment="1">
      <alignment horizontal="center" vertical="center"/>
    </xf>
    <xf numFmtId="0" fontId="15" fillId="0" borderId="14" xfId="4" applyFont="1" applyBorder="1" applyAlignment="1">
      <alignment horizontal="center" vertical="center"/>
    </xf>
    <xf numFmtId="0" fontId="15" fillId="0" borderId="10" xfId="4" applyFont="1" applyBorder="1" applyAlignment="1">
      <alignment horizontal="center" vertical="center" wrapText="1"/>
    </xf>
    <xf numFmtId="0" fontId="15" fillId="0" borderId="14" xfId="4" applyFont="1" applyBorder="1" applyAlignment="1">
      <alignment horizontal="center" vertical="center" wrapText="1"/>
    </xf>
    <xf numFmtId="0" fontId="16" fillId="0" borderId="10" xfId="5" applyFont="1" applyBorder="1" applyAlignment="1">
      <alignment horizontal="center" vertical="center" wrapText="1"/>
    </xf>
    <xf numFmtId="0" fontId="16" fillId="0" borderId="14" xfId="5" applyFont="1" applyBorder="1" applyAlignment="1">
      <alignment horizontal="center" vertical="center" wrapText="1"/>
    </xf>
    <xf numFmtId="0" fontId="16" fillId="0" borderId="5" xfId="5" applyFont="1" applyBorder="1" applyAlignment="1">
      <alignment horizontal="center" vertical="center" wrapText="1"/>
    </xf>
    <xf numFmtId="0" fontId="11" fillId="0" borderId="16" xfId="4" applyBorder="1" applyAlignment="1">
      <alignment horizontal="center"/>
    </xf>
    <xf numFmtId="0" fontId="11" fillId="0" borderId="3" xfId="4" applyBorder="1" applyAlignment="1">
      <alignment horizontal="center"/>
    </xf>
    <xf numFmtId="0" fontId="11" fillId="0" borderId="17" xfId="4" applyBorder="1" applyAlignment="1">
      <alignment horizontal="center"/>
    </xf>
    <xf numFmtId="0" fontId="11" fillId="0" borderId="19" xfId="4" applyBorder="1" applyAlignment="1">
      <alignment horizontal="center" wrapText="1"/>
    </xf>
    <xf numFmtId="0" fontId="11" fillId="0" borderId="20" xfId="4" applyBorder="1" applyAlignment="1">
      <alignment horizontal="center" wrapText="1"/>
    </xf>
    <xf numFmtId="0" fontId="11" fillId="0" borderId="21" xfId="4" applyBorder="1" applyAlignment="1">
      <alignment horizontal="center" wrapText="1"/>
    </xf>
    <xf numFmtId="0" fontId="20" fillId="0" borderId="13" xfId="5" applyFont="1" applyBorder="1" applyAlignment="1">
      <alignment horizontal="center" vertical="center"/>
    </xf>
    <xf numFmtId="0" fontId="20" fillId="0" borderId="11" xfId="5" applyFont="1" applyBorder="1" applyAlignment="1">
      <alignment horizontal="center" vertical="center"/>
    </xf>
    <xf numFmtId="0" fontId="20" fillId="0" borderId="12" xfId="5" applyFont="1" applyBorder="1" applyAlignment="1">
      <alignment horizontal="center" vertical="center"/>
    </xf>
    <xf numFmtId="0" fontId="20" fillId="0" borderId="4" xfId="5" applyFont="1" applyBorder="1" applyAlignment="1">
      <alignment horizontal="center" vertical="center"/>
    </xf>
    <xf numFmtId="0" fontId="20" fillId="0" borderId="1" xfId="5" applyFont="1" applyBorder="1" applyAlignment="1">
      <alignment horizontal="center" vertical="center"/>
    </xf>
    <xf numFmtId="0" fontId="20" fillId="0" borderId="15" xfId="5" applyFont="1" applyBorder="1" applyAlignment="1">
      <alignment horizontal="center" vertical="center"/>
    </xf>
    <xf numFmtId="0" fontId="16" fillId="0" borderId="6" xfId="5"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5"/>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99</v>
      </c>
      <c r="C1" t="s">
        <v>1</v>
      </c>
      <c r="D1" t="s">
        <v>2</v>
      </c>
      <c r="E1" t="s">
        <v>112</v>
      </c>
      <c r="F1" t="s">
        <v>113</v>
      </c>
      <c r="G1" t="s">
        <v>114</v>
      </c>
      <c r="H1" t="s">
        <v>4</v>
      </c>
      <c r="I1" t="s">
        <v>115</v>
      </c>
      <c r="J1" t="s">
        <v>5</v>
      </c>
      <c r="K1" t="s">
        <v>116</v>
      </c>
      <c r="L1" t="s">
        <v>117</v>
      </c>
      <c r="M1" t="s">
        <v>118</v>
      </c>
      <c r="N1" t="s">
        <v>6</v>
      </c>
      <c r="O1" t="s">
        <v>119</v>
      </c>
      <c r="P1" t="s">
        <v>120</v>
      </c>
      <c r="Q1" t="s">
        <v>121</v>
      </c>
      <c r="R1" t="s">
        <v>122</v>
      </c>
      <c r="S1" t="s">
        <v>123</v>
      </c>
      <c r="T1" t="s">
        <v>124</v>
      </c>
      <c r="U1" t="s">
        <v>125</v>
      </c>
      <c r="V1" t="s">
        <v>8</v>
      </c>
      <c r="W1" t="s">
        <v>126</v>
      </c>
      <c r="X1" t="s">
        <v>127</v>
      </c>
      <c r="Y1" t="s">
        <v>128</v>
      </c>
      <c r="Z1" t="s">
        <v>129</v>
      </c>
      <c r="AA1" t="s">
        <v>130</v>
      </c>
      <c r="AB1" t="s">
        <v>131</v>
      </c>
      <c r="AC1" t="s">
        <v>132</v>
      </c>
      <c r="AD1" t="s">
        <v>10</v>
      </c>
      <c r="AE1" t="s">
        <v>133</v>
      </c>
      <c r="AF1" t="s">
        <v>134</v>
      </c>
      <c r="AG1" t="s">
        <v>135</v>
      </c>
      <c r="AH1" t="s">
        <v>11</v>
      </c>
      <c r="AI1" t="s">
        <v>136</v>
      </c>
      <c r="AJ1" t="s">
        <v>137</v>
      </c>
      <c r="AK1" t="s">
        <v>138</v>
      </c>
      <c r="AL1" t="s">
        <v>12</v>
      </c>
      <c r="AM1" t="s">
        <v>139</v>
      </c>
      <c r="AN1" t="s">
        <v>140</v>
      </c>
      <c r="AO1" t="s">
        <v>141</v>
      </c>
      <c r="AP1" t="s">
        <v>142</v>
      </c>
      <c r="AQ1" t="s">
        <v>143</v>
      </c>
      <c r="AR1" t="s">
        <v>144</v>
      </c>
      <c r="AS1" t="s">
        <v>145</v>
      </c>
      <c r="AT1" t="s">
        <v>53</v>
      </c>
      <c r="AU1" t="s">
        <v>146</v>
      </c>
      <c r="AV1" t="s">
        <v>147</v>
      </c>
      <c r="AW1" t="s">
        <v>148</v>
      </c>
      <c r="AX1" t="s">
        <v>149</v>
      </c>
      <c r="AY1" t="s">
        <v>150</v>
      </c>
      <c r="AZ1" t="s">
        <v>151</v>
      </c>
      <c r="BA1" t="s">
        <v>152</v>
      </c>
      <c r="BB1" t="s">
        <v>153</v>
      </c>
      <c r="BC1" t="s">
        <v>154</v>
      </c>
      <c r="BD1" t="s">
        <v>155</v>
      </c>
      <c r="BE1" t="s">
        <v>156</v>
      </c>
      <c r="BF1" t="s">
        <v>157</v>
      </c>
      <c r="BG1" t="s">
        <v>158</v>
      </c>
      <c r="BH1" t="s">
        <v>159</v>
      </c>
      <c r="BI1" t="s">
        <v>160</v>
      </c>
      <c r="BJ1" t="s">
        <v>161</v>
      </c>
      <c r="BK1" t="s">
        <v>162</v>
      </c>
      <c r="BL1" t="s">
        <v>163</v>
      </c>
      <c r="BM1" t="s">
        <v>164</v>
      </c>
      <c r="BN1" t="s">
        <v>165</v>
      </c>
      <c r="BO1" t="s">
        <v>166</v>
      </c>
      <c r="BP1" t="s">
        <v>167</v>
      </c>
      <c r="BQ1" t="s">
        <v>168</v>
      </c>
      <c r="BR1" t="s">
        <v>169</v>
      </c>
      <c r="BS1" t="s">
        <v>170</v>
      </c>
      <c r="BT1" t="s">
        <v>171</v>
      </c>
      <c r="BU1" t="s">
        <v>172</v>
      </c>
      <c r="BV1" t="s">
        <v>21</v>
      </c>
      <c r="BW1" t="s">
        <v>173</v>
      </c>
      <c r="BX1" t="s">
        <v>174</v>
      </c>
      <c r="BY1" t="s">
        <v>175</v>
      </c>
      <c r="BZ1" t="s">
        <v>176</v>
      </c>
      <c r="CA1" t="s">
        <v>177</v>
      </c>
      <c r="CB1" t="s">
        <v>24</v>
      </c>
      <c r="CC1" t="s">
        <v>178</v>
      </c>
      <c r="CD1" t="s">
        <v>25</v>
      </c>
      <c r="CE1" t="s">
        <v>179</v>
      </c>
      <c r="CF1" t="s">
        <v>27</v>
      </c>
      <c r="CG1" t="s">
        <v>180</v>
      </c>
      <c r="CH1" t="s">
        <v>181</v>
      </c>
      <c r="CI1" t="s">
        <v>30</v>
      </c>
      <c r="CJ1" t="s">
        <v>182</v>
      </c>
      <c r="CK1" t="s">
        <v>32</v>
      </c>
      <c r="CL1" t="s">
        <v>183</v>
      </c>
      <c r="CM1" t="s">
        <v>184</v>
      </c>
      <c r="CN1" t="s">
        <v>185</v>
      </c>
      <c r="CO1" t="s">
        <v>186</v>
      </c>
      <c r="CP1" t="s">
        <v>37</v>
      </c>
      <c r="CQ1" t="s">
        <v>187</v>
      </c>
      <c r="CR1" t="s">
        <v>188</v>
      </c>
      <c r="CS1" t="s">
        <v>40</v>
      </c>
      <c r="CT1" t="s">
        <v>41</v>
      </c>
      <c r="CU1" t="s">
        <v>189</v>
      </c>
      <c r="CV1" t="s">
        <v>100</v>
      </c>
      <c r="CW1" t="s">
        <v>101</v>
      </c>
      <c r="CX1" t="s">
        <v>190</v>
      </c>
    </row>
    <row r="2" spans="1:102" x14ac:dyDescent="0.25">
      <c r="A2" t="s">
        <v>191</v>
      </c>
      <c r="B2" s="54">
        <v>45474</v>
      </c>
      <c r="C2" t="s">
        <v>192</v>
      </c>
      <c r="D2" t="s">
        <v>193</v>
      </c>
      <c r="E2" t="s">
        <v>194</v>
      </c>
      <c r="H2">
        <v>0</v>
      </c>
      <c r="J2" t="s">
        <v>44</v>
      </c>
      <c r="K2">
        <v>252.6</v>
      </c>
      <c r="L2">
        <v>135</v>
      </c>
      <c r="M2">
        <v>34101</v>
      </c>
      <c r="P2">
        <v>0</v>
      </c>
      <c r="T2">
        <v>0</v>
      </c>
      <c r="V2" t="s">
        <v>50</v>
      </c>
      <c r="W2">
        <v>117</v>
      </c>
      <c r="X2">
        <v>36.841000000000001</v>
      </c>
      <c r="Y2" s="55">
        <v>4310.3999999999996</v>
      </c>
      <c r="AB2">
        <v>0</v>
      </c>
      <c r="AF2">
        <v>0</v>
      </c>
      <c r="AJ2">
        <v>0</v>
      </c>
      <c r="AL2" t="s">
        <v>51</v>
      </c>
      <c r="AM2">
        <v>71.14</v>
      </c>
      <c r="AN2">
        <v>110</v>
      </c>
      <c r="AO2">
        <v>7825.4</v>
      </c>
      <c r="AR2">
        <v>0</v>
      </c>
      <c r="AV2">
        <v>0</v>
      </c>
      <c r="AZ2">
        <v>0</v>
      </c>
      <c r="BD2">
        <v>0</v>
      </c>
      <c r="BH2">
        <v>0</v>
      </c>
      <c r="BL2">
        <v>0</v>
      </c>
      <c r="BP2">
        <v>0</v>
      </c>
      <c r="BT2">
        <v>0</v>
      </c>
      <c r="BX2">
        <v>0</v>
      </c>
      <c r="BZ2">
        <v>2305.4</v>
      </c>
      <c r="CA2">
        <v>48542.2</v>
      </c>
      <c r="CH2">
        <v>48542.2</v>
      </c>
      <c r="CM2">
        <v>48542.2</v>
      </c>
      <c r="CO2">
        <v>48542.2</v>
      </c>
      <c r="CP2" s="56">
        <v>0.18</v>
      </c>
      <c r="CQ2">
        <v>8737.6</v>
      </c>
      <c r="CR2">
        <v>57279.8</v>
      </c>
      <c r="CS2">
        <v>980</v>
      </c>
      <c r="CT2" t="s">
        <v>195</v>
      </c>
      <c r="CU2" s="57">
        <v>56134200</v>
      </c>
      <c r="CV2" t="s">
        <v>196</v>
      </c>
      <c r="CW2" t="s">
        <v>197</v>
      </c>
      <c r="CX2">
        <v>1000</v>
      </c>
    </row>
    <row r="3" spans="1:102" x14ac:dyDescent="0.25">
      <c r="A3" t="s">
        <v>191</v>
      </c>
      <c r="B3" s="54">
        <v>45474</v>
      </c>
      <c r="C3" t="s">
        <v>198</v>
      </c>
      <c r="D3" t="s">
        <v>199</v>
      </c>
      <c r="E3" t="s">
        <v>194</v>
      </c>
      <c r="H3">
        <v>0</v>
      </c>
      <c r="J3" t="s">
        <v>44</v>
      </c>
      <c r="K3">
        <v>252.6</v>
      </c>
      <c r="L3">
        <v>189</v>
      </c>
      <c r="M3">
        <v>47741.4</v>
      </c>
      <c r="P3">
        <v>0</v>
      </c>
      <c r="T3">
        <v>0</v>
      </c>
      <c r="V3" t="s">
        <v>50</v>
      </c>
      <c r="W3">
        <v>117</v>
      </c>
      <c r="X3">
        <v>43.433</v>
      </c>
      <c r="Y3" s="55">
        <v>5081.67</v>
      </c>
      <c r="AB3">
        <v>0</v>
      </c>
      <c r="AF3">
        <v>0</v>
      </c>
      <c r="AJ3">
        <v>0</v>
      </c>
      <c r="AL3" t="s">
        <v>51</v>
      </c>
      <c r="AM3">
        <v>71.14</v>
      </c>
      <c r="AN3">
        <v>125</v>
      </c>
      <c r="AO3">
        <v>8892.5</v>
      </c>
      <c r="AR3">
        <v>0</v>
      </c>
      <c r="AV3">
        <v>0</v>
      </c>
      <c r="AZ3">
        <v>0</v>
      </c>
      <c r="BD3">
        <v>0</v>
      </c>
      <c r="BH3">
        <v>0</v>
      </c>
      <c r="BL3">
        <v>0</v>
      </c>
      <c r="BP3">
        <v>0</v>
      </c>
      <c r="BT3">
        <v>0</v>
      </c>
      <c r="BX3">
        <v>0</v>
      </c>
      <c r="BZ3">
        <v>5151.4799999999996</v>
      </c>
      <c r="CA3">
        <v>66867.05</v>
      </c>
      <c r="CH3">
        <v>66867.05</v>
      </c>
      <c r="CM3">
        <v>66867.05</v>
      </c>
      <c r="CO3">
        <v>66867.05</v>
      </c>
      <c r="CP3" s="56">
        <v>0.18</v>
      </c>
      <c r="CQ3">
        <v>12036.07</v>
      </c>
      <c r="CR3">
        <v>78903.12</v>
      </c>
      <c r="CS3">
        <v>850</v>
      </c>
      <c r="CT3" t="s">
        <v>195</v>
      </c>
      <c r="CU3" s="57">
        <v>67067651</v>
      </c>
      <c r="CV3" t="s">
        <v>200</v>
      </c>
      <c r="CW3" t="s">
        <v>201</v>
      </c>
      <c r="CX3">
        <v>500</v>
      </c>
    </row>
    <row r="4" spans="1:102" x14ac:dyDescent="0.25">
      <c r="A4" t="s">
        <v>191</v>
      </c>
      <c r="B4" s="54">
        <v>45474</v>
      </c>
      <c r="C4" t="s">
        <v>202</v>
      </c>
      <c r="D4" t="s">
        <v>203</v>
      </c>
      <c r="E4" t="s">
        <v>194</v>
      </c>
      <c r="H4">
        <v>0</v>
      </c>
      <c r="J4" t="s">
        <v>44</v>
      </c>
      <c r="K4">
        <v>252.6</v>
      </c>
      <c r="L4">
        <v>405</v>
      </c>
      <c r="M4">
        <v>102303</v>
      </c>
      <c r="P4">
        <v>0</v>
      </c>
      <c r="T4">
        <v>0</v>
      </c>
      <c r="V4" t="s">
        <v>50</v>
      </c>
      <c r="W4">
        <v>117</v>
      </c>
      <c r="X4">
        <v>71.591999999999999</v>
      </c>
      <c r="Y4" s="55">
        <v>8376.27</v>
      </c>
      <c r="AB4">
        <v>0</v>
      </c>
      <c r="AF4">
        <v>0</v>
      </c>
      <c r="AJ4">
        <v>0</v>
      </c>
      <c r="AL4" t="s">
        <v>51</v>
      </c>
      <c r="AM4">
        <v>71.14</v>
      </c>
      <c r="AN4">
        <v>187</v>
      </c>
      <c r="AO4">
        <v>13303.18</v>
      </c>
      <c r="AR4">
        <v>0</v>
      </c>
      <c r="AV4">
        <v>0</v>
      </c>
      <c r="AZ4">
        <v>0</v>
      </c>
      <c r="BD4">
        <v>0</v>
      </c>
      <c r="BH4">
        <v>0</v>
      </c>
      <c r="BL4">
        <v>0</v>
      </c>
      <c r="BP4">
        <v>0</v>
      </c>
      <c r="BT4">
        <v>0</v>
      </c>
      <c r="BX4">
        <v>0</v>
      </c>
      <c r="BZ4">
        <v>8030.31</v>
      </c>
      <c r="CA4">
        <v>132012.76</v>
      </c>
      <c r="CH4">
        <v>132012.76</v>
      </c>
      <c r="CM4">
        <v>132012.76</v>
      </c>
      <c r="CO4">
        <v>132012.76</v>
      </c>
      <c r="CP4" s="56">
        <v>0.18</v>
      </c>
      <c r="CQ4">
        <v>23762.3</v>
      </c>
      <c r="CR4">
        <v>155775.06</v>
      </c>
      <c r="CS4">
        <v>580</v>
      </c>
      <c r="CT4" t="s">
        <v>195</v>
      </c>
      <c r="CU4" s="57">
        <v>90349533</v>
      </c>
      <c r="CV4" t="s">
        <v>204</v>
      </c>
      <c r="CW4" t="s">
        <v>205</v>
      </c>
      <c r="CX4">
        <v>500</v>
      </c>
    </row>
    <row r="5" spans="1:102" x14ac:dyDescent="0.25">
      <c r="A5" t="s">
        <v>191</v>
      </c>
      <c r="B5" s="54">
        <v>45474</v>
      </c>
      <c r="C5" t="s">
        <v>206</v>
      </c>
      <c r="D5" t="s">
        <v>207</v>
      </c>
      <c r="E5" t="s">
        <v>194</v>
      </c>
      <c r="H5">
        <v>0</v>
      </c>
      <c r="J5" t="s">
        <v>44</v>
      </c>
      <c r="K5">
        <v>252.6</v>
      </c>
      <c r="L5">
        <v>810</v>
      </c>
      <c r="M5">
        <v>204606</v>
      </c>
      <c r="P5">
        <v>0</v>
      </c>
      <c r="T5">
        <v>0</v>
      </c>
      <c r="V5" t="s">
        <v>50</v>
      </c>
      <c r="W5">
        <v>117</v>
      </c>
      <c r="X5">
        <v>132.446</v>
      </c>
      <c r="Y5" s="55">
        <v>15496.19</v>
      </c>
      <c r="AB5">
        <v>0</v>
      </c>
      <c r="AF5">
        <v>0</v>
      </c>
      <c r="AJ5">
        <v>0</v>
      </c>
      <c r="AL5" t="s">
        <v>51</v>
      </c>
      <c r="AM5">
        <v>71.14</v>
      </c>
      <c r="AN5">
        <v>251</v>
      </c>
      <c r="AO5">
        <v>17856.14</v>
      </c>
      <c r="AR5">
        <v>0</v>
      </c>
      <c r="AV5">
        <v>0</v>
      </c>
      <c r="AZ5">
        <v>0</v>
      </c>
      <c r="BD5">
        <v>0</v>
      </c>
      <c r="BH5">
        <v>0</v>
      </c>
      <c r="BL5">
        <v>0</v>
      </c>
      <c r="BP5">
        <v>0</v>
      </c>
      <c r="BT5">
        <v>0</v>
      </c>
      <c r="BX5">
        <v>0</v>
      </c>
      <c r="BZ5">
        <v>9913.67</v>
      </c>
      <c r="CA5">
        <v>247872</v>
      </c>
      <c r="CH5">
        <v>247872</v>
      </c>
      <c r="CM5">
        <v>247872</v>
      </c>
      <c r="CO5">
        <v>247872</v>
      </c>
      <c r="CP5" s="56">
        <v>0.18</v>
      </c>
      <c r="CQ5">
        <v>44616.959999999999</v>
      </c>
      <c r="CR5">
        <v>292488.96000000002</v>
      </c>
      <c r="CS5">
        <v>270</v>
      </c>
      <c r="CT5" t="s">
        <v>195</v>
      </c>
      <c r="CU5" s="57">
        <v>78972019</v>
      </c>
      <c r="CV5" t="s">
        <v>208</v>
      </c>
      <c r="CW5" t="s">
        <v>209</v>
      </c>
      <c r="CX5">
        <v>500</v>
      </c>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O28"/>
  <sheetViews>
    <sheetView tabSelected="1" topLeftCell="A24" workbookViewId="0">
      <selection activeCell="BV28" sqref="BV28"/>
    </sheetView>
  </sheetViews>
  <sheetFormatPr defaultRowHeight="15" x14ac:dyDescent="0.25"/>
  <cols>
    <col min="1" max="1" width="15.140625" bestFit="1" customWidth="1"/>
    <col min="2" max="2" width="10.42578125" bestFit="1" customWidth="1"/>
    <col min="3" max="3" width="10.28515625" bestFit="1" customWidth="1"/>
    <col min="4" max="4" width="32.1406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31" width="7.85546875" style="30" hidden="1" customWidth="1"/>
    <col min="32" max="32" width="7.85546875" style="30" customWidth="1"/>
    <col min="33" max="61" width="7.85546875" style="30" hidden="1" customWidth="1"/>
    <col min="62" max="62" width="7.85546875" style="30" customWidth="1"/>
    <col min="63" max="73" width="7.85546875" style="30" hidden="1" customWidth="1"/>
    <col min="74" max="74" width="7.85546875" style="30" customWidth="1"/>
    <col min="75" max="75" width="10.7109375" style="30" bestFit="1" customWidth="1"/>
    <col min="76" max="76" width="22.7109375" style="30" bestFit="1" customWidth="1"/>
    <col min="77" max="77" width="13"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27" t="s">
        <v>107</v>
      </c>
      <c r="B2" s="128"/>
      <c r="C2" s="128"/>
      <c r="D2" s="128"/>
      <c r="E2" s="128"/>
      <c r="F2" s="128"/>
      <c r="G2" s="128"/>
      <c r="H2" s="128"/>
      <c r="I2" s="128"/>
      <c r="J2" s="128"/>
      <c r="K2" s="128"/>
      <c r="L2" s="128"/>
      <c r="M2" s="128"/>
      <c r="N2" s="128"/>
      <c r="O2" s="128"/>
      <c r="P2" s="128"/>
      <c r="Q2" s="128"/>
      <c r="R2" s="129"/>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89</v>
      </c>
      <c r="B4" s="123" t="s">
        <v>109</v>
      </c>
      <c r="C4" s="123"/>
      <c r="D4" s="123"/>
      <c r="E4" s="123"/>
      <c r="F4" s="123"/>
      <c r="G4" s="123"/>
      <c r="H4" s="123"/>
      <c r="I4" s="123"/>
      <c r="J4" s="123"/>
      <c r="K4" s="123"/>
      <c r="L4" s="123"/>
      <c r="M4" s="123"/>
      <c r="N4" s="123"/>
      <c r="O4" s="123"/>
      <c r="P4" s="123"/>
      <c r="Q4" s="123"/>
      <c r="R4" s="123"/>
      <c r="S4"/>
    </row>
    <row r="5" spans="1:89" s="44" customFormat="1" ht="34.5" customHeight="1" x14ac:dyDescent="0.25">
      <c r="A5" s="45" t="s">
        <v>90</v>
      </c>
      <c r="B5" s="123" t="s">
        <v>108</v>
      </c>
      <c r="C5" s="123"/>
      <c r="D5" s="123"/>
      <c r="E5" s="123"/>
      <c r="F5" s="123"/>
      <c r="G5" s="123"/>
      <c r="H5" s="123"/>
      <c r="I5" s="123"/>
      <c r="J5" s="123"/>
      <c r="K5" s="123"/>
      <c r="L5" s="123"/>
      <c r="M5" s="123"/>
      <c r="N5" s="123"/>
      <c r="O5" s="123"/>
      <c r="P5" s="123"/>
      <c r="Q5" s="123"/>
      <c r="R5" s="123"/>
      <c r="S5"/>
    </row>
    <row r="6" spans="1:89" s="44" customFormat="1" ht="48" customHeight="1" x14ac:dyDescent="0.25">
      <c r="A6" s="46" t="s">
        <v>91</v>
      </c>
      <c r="B6" s="122" t="s">
        <v>106</v>
      </c>
      <c r="C6" s="123"/>
      <c r="D6" s="123"/>
      <c r="E6" s="123"/>
      <c r="F6" s="123"/>
      <c r="G6" s="123"/>
      <c r="H6" s="123"/>
      <c r="I6" s="123"/>
      <c r="J6" s="123"/>
      <c r="K6" s="123"/>
      <c r="L6" s="123"/>
      <c r="M6" s="123"/>
      <c r="N6" s="123"/>
      <c r="O6" s="123"/>
      <c r="P6" s="123"/>
      <c r="Q6" s="123"/>
      <c r="R6" s="123"/>
      <c r="S6"/>
    </row>
    <row r="7" spans="1:89" s="44" customFormat="1" ht="30" x14ac:dyDescent="0.25">
      <c r="A7" s="46" t="s">
        <v>88</v>
      </c>
      <c r="B7" s="122" t="s">
        <v>105</v>
      </c>
      <c r="C7" s="123"/>
      <c r="D7" s="123"/>
      <c r="E7" s="123"/>
      <c r="F7" s="123"/>
      <c r="G7" s="123"/>
      <c r="H7" s="123"/>
      <c r="I7" s="123"/>
      <c r="J7" s="123"/>
      <c r="K7" s="123"/>
      <c r="L7" s="123"/>
      <c r="M7" s="123"/>
      <c r="N7" s="123"/>
      <c r="O7" s="123"/>
      <c r="P7" s="123"/>
      <c r="Q7" s="123"/>
      <c r="R7" s="123"/>
      <c r="S7"/>
    </row>
    <row r="8" spans="1:89" s="44" customFormat="1" ht="32.25" customHeight="1" x14ac:dyDescent="0.25">
      <c r="A8" s="46" t="s">
        <v>92</v>
      </c>
      <c r="B8" s="122" t="s">
        <v>102</v>
      </c>
      <c r="C8" s="122"/>
      <c r="D8" s="122"/>
      <c r="E8" s="122"/>
      <c r="F8" s="122"/>
      <c r="G8" s="122"/>
      <c r="H8" s="122"/>
      <c r="I8" s="122"/>
      <c r="J8" s="122"/>
      <c r="K8" s="122"/>
      <c r="L8" s="122"/>
      <c r="M8" s="122"/>
      <c r="N8" s="122"/>
      <c r="O8" s="122"/>
      <c r="P8" s="122"/>
      <c r="Q8" s="122"/>
      <c r="R8" s="122"/>
      <c r="S8"/>
    </row>
    <row r="9" spans="1:89" s="44" customFormat="1" ht="27" customHeight="1" x14ac:dyDescent="0.25">
      <c r="A9" s="46" t="s">
        <v>93</v>
      </c>
      <c r="B9" s="124" t="s">
        <v>255</v>
      </c>
      <c r="C9" s="125"/>
      <c r="D9" s="125"/>
      <c r="E9" s="125"/>
      <c r="F9" s="125"/>
      <c r="G9" s="125"/>
      <c r="H9" s="125"/>
      <c r="I9" s="125"/>
      <c r="J9" s="125"/>
      <c r="K9" s="125"/>
      <c r="L9" s="125"/>
      <c r="M9" s="125"/>
      <c r="N9" s="125"/>
      <c r="O9" s="125"/>
      <c r="P9" s="125"/>
      <c r="Q9" s="125"/>
      <c r="R9" s="126"/>
    </row>
    <row r="10" spans="1:89" s="44" customFormat="1" ht="37.5" customHeight="1" x14ac:dyDescent="0.25">
      <c r="A10" s="46" t="s">
        <v>94</v>
      </c>
      <c r="B10" s="122" t="s">
        <v>104</v>
      </c>
      <c r="C10" s="122"/>
      <c r="D10" s="122"/>
      <c r="E10" s="122"/>
      <c r="F10" s="122"/>
      <c r="G10" s="122"/>
      <c r="H10" s="122"/>
      <c r="I10" s="122"/>
      <c r="J10" s="122"/>
      <c r="K10" s="122"/>
      <c r="L10" s="122"/>
      <c r="M10" s="122"/>
      <c r="N10" s="122"/>
      <c r="O10" s="122"/>
      <c r="P10" s="122"/>
      <c r="Q10" s="122"/>
      <c r="R10" s="122"/>
      <c r="S10"/>
    </row>
    <row r="11" spans="1:89" s="44" customFormat="1" ht="79.5" customHeight="1" x14ac:dyDescent="0.25">
      <c r="A11" s="46" t="s">
        <v>95</v>
      </c>
      <c r="B11" s="133" t="s">
        <v>103</v>
      </c>
      <c r="C11" s="134"/>
      <c r="D11" s="134"/>
      <c r="E11" s="134"/>
      <c r="F11" s="134"/>
      <c r="G11" s="134"/>
      <c r="H11" s="134"/>
      <c r="I11" s="134"/>
      <c r="J11" s="134"/>
      <c r="K11" s="134"/>
      <c r="L11" s="134"/>
      <c r="M11" s="134"/>
      <c r="N11" s="134"/>
      <c r="O11" s="134"/>
      <c r="P11" s="134"/>
      <c r="Q11" s="134"/>
      <c r="R11" s="135"/>
      <c r="S11"/>
    </row>
    <row r="12" spans="1:89" s="44" customFormat="1" ht="30" x14ac:dyDescent="0.25">
      <c r="A12" s="49" t="s">
        <v>96</v>
      </c>
      <c r="B12" s="136" t="s">
        <v>110</v>
      </c>
      <c r="C12" s="136"/>
      <c r="D12" s="136"/>
      <c r="E12" s="136"/>
      <c r="F12" s="136"/>
      <c r="G12" s="136"/>
      <c r="H12" s="136"/>
      <c r="I12" s="136"/>
      <c r="J12" s="136"/>
      <c r="K12" s="136"/>
      <c r="L12" s="136"/>
      <c r="M12" s="136"/>
      <c r="N12" s="136"/>
      <c r="O12" s="136"/>
      <c r="P12" s="136"/>
      <c r="Q12" s="136"/>
      <c r="R12" s="136"/>
    </row>
    <row r="13" spans="1:89" s="44" customFormat="1" ht="32.25" customHeight="1" x14ac:dyDescent="0.25">
      <c r="A13" s="49" t="s">
        <v>97</v>
      </c>
      <c r="B13" s="136" t="s">
        <v>111</v>
      </c>
      <c r="C13" s="136"/>
      <c r="D13" s="136"/>
      <c r="E13" s="136"/>
      <c r="F13" s="136"/>
      <c r="G13" s="136"/>
      <c r="H13" s="136"/>
      <c r="I13" s="136"/>
      <c r="J13" s="136"/>
      <c r="K13" s="136"/>
      <c r="L13" s="136"/>
      <c r="M13" s="136"/>
      <c r="N13" s="136"/>
      <c r="O13" s="136"/>
      <c r="P13" s="136"/>
      <c r="Q13" s="136"/>
      <c r="R13" s="136"/>
    </row>
    <row r="14" spans="1:89" s="44" customFormat="1" ht="30" x14ac:dyDescent="0.25">
      <c r="A14" s="50" t="s">
        <v>98</v>
      </c>
      <c r="B14" s="136"/>
      <c r="C14" s="136"/>
      <c r="D14" s="136"/>
      <c r="E14" s="136"/>
      <c r="F14" s="136"/>
      <c r="G14" s="136"/>
      <c r="H14" s="136"/>
      <c r="I14" s="136"/>
      <c r="J14" s="136"/>
      <c r="K14" s="136"/>
      <c r="L14" s="136"/>
      <c r="M14" s="136"/>
      <c r="N14" s="136"/>
      <c r="O14" s="136"/>
      <c r="P14" s="136"/>
      <c r="Q14" s="136"/>
      <c r="R14" s="136"/>
    </row>
    <row r="16" spans="1:89" s="37" customFormat="1" ht="28.9" customHeight="1" x14ac:dyDescent="0.25">
      <c r="E16" s="42"/>
      <c r="H16" s="43"/>
      <c r="N16" s="132" t="str">
        <f>Sheet1!J1</f>
        <v>Conductor</v>
      </c>
      <c r="O16" s="132"/>
      <c r="P16" s="132"/>
      <c r="Q16" s="132"/>
      <c r="R16" s="132"/>
      <c r="S16" s="132" t="s">
        <v>6</v>
      </c>
      <c r="T16" s="132"/>
      <c r="U16" s="132" t="s">
        <v>3</v>
      </c>
      <c r="V16" s="132"/>
      <c r="W16" s="132"/>
      <c r="X16" s="132"/>
      <c r="Y16" s="132"/>
      <c r="Z16" s="132"/>
      <c r="AA16" s="132"/>
      <c r="AB16" s="132"/>
      <c r="AC16" s="132" t="s">
        <v>7</v>
      </c>
      <c r="AD16" s="132"/>
      <c r="AE16" s="132" t="s">
        <v>8</v>
      </c>
      <c r="AF16" s="132"/>
      <c r="AG16" s="132"/>
      <c r="AH16" s="132"/>
      <c r="AI16" s="132"/>
      <c r="AJ16" s="132"/>
      <c r="AK16" s="10" t="s">
        <v>9</v>
      </c>
      <c r="AL16" s="130" t="s">
        <v>10</v>
      </c>
      <c r="AM16" s="131"/>
      <c r="AN16" s="131"/>
      <c r="AO16" s="131"/>
      <c r="AP16" s="131"/>
      <c r="AQ16" s="131"/>
      <c r="AR16" s="131"/>
      <c r="AS16" s="132" t="s">
        <v>11</v>
      </c>
      <c r="AT16" s="132"/>
      <c r="AU16" s="132"/>
      <c r="AV16" s="132"/>
      <c r="AW16" s="132"/>
      <c r="AX16" s="132"/>
      <c r="AY16" s="132"/>
      <c r="AZ16" s="132"/>
      <c r="BA16" s="132"/>
      <c r="BB16" s="132"/>
      <c r="BC16" s="132" t="s">
        <v>12</v>
      </c>
      <c r="BD16" s="132"/>
      <c r="BE16" s="132"/>
      <c r="BF16" s="132"/>
      <c r="BG16" s="132"/>
      <c r="BH16" s="132"/>
      <c r="BI16" s="132"/>
      <c r="BJ16" s="132"/>
      <c r="BK16" s="132"/>
      <c r="BL16" s="132"/>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3"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69</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3" t="str">
        <f>Sheet1!CV1</f>
        <v>DRUM CODE</v>
      </c>
      <c r="BX17" s="53" t="str">
        <f>Sheet1!CW1</f>
        <v>DRUM SIZE (FxbXtx Ft)</v>
      </c>
      <c r="BY17" s="53" t="str">
        <f>Sheet1!CX1</f>
        <v>PARTY LENGTH (IF STANDER LENGTH NOT MATCH WITH PAR</v>
      </c>
      <c r="BZ17" s="29"/>
      <c r="CA17" s="29"/>
      <c r="CB17" s="26"/>
      <c r="CC17" s="29"/>
      <c r="CD17" s="13" t="s">
        <v>25</v>
      </c>
      <c r="CE17" s="5" t="s">
        <v>26</v>
      </c>
      <c r="CF17" s="6" t="s">
        <v>27</v>
      </c>
      <c r="CG17" s="5" t="s">
        <v>28</v>
      </c>
      <c r="CH17" s="5" t="s">
        <v>29</v>
      </c>
      <c r="CI17" s="6" t="s">
        <v>30</v>
      </c>
      <c r="CJ17" s="15" t="s">
        <v>31</v>
      </c>
      <c r="CK17" s="6" t="s">
        <v>32</v>
      </c>
      <c r="CL17" s="15" t="s">
        <v>33</v>
      </c>
      <c r="CN17" s="19" t="s">
        <v>261</v>
      </c>
      <c r="CO17" s="19" t="s">
        <v>262</v>
      </c>
    </row>
    <row r="18" spans="1:93" s="29" customFormat="1" x14ac:dyDescent="0.25">
      <c r="A18" s="31"/>
      <c r="B18" s="31"/>
      <c r="C18" s="31"/>
      <c r="D18" s="31"/>
      <c r="E18" s="5"/>
      <c r="F18" s="5"/>
      <c r="G18" s="5"/>
      <c r="H18" s="5"/>
      <c r="I18" s="5"/>
      <c r="J18" s="5"/>
      <c r="K18" s="5"/>
      <c r="L18" s="5"/>
      <c r="M18" s="5"/>
      <c r="N18" s="32">
        <v>235</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117</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v>68</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2"/>
      <c r="BW18" s="52"/>
      <c r="BX18" s="52"/>
      <c r="BY18" s="52"/>
      <c r="CD18" s="5"/>
      <c r="CE18" s="5"/>
      <c r="CF18" s="5"/>
      <c r="CG18" s="5"/>
      <c r="CH18" s="5"/>
      <c r="CI18" s="5"/>
      <c r="CJ18" s="5"/>
      <c r="CK18" s="5"/>
      <c r="CL18" s="5"/>
    </row>
    <row r="19" spans="1:93" ht="30" x14ac:dyDescent="0.25">
      <c r="A19" s="1" t="str">
        <f>Sheet1!A2</f>
        <v>ENQ-13856-22-23</v>
      </c>
      <c r="B19" s="51">
        <f>Sheet1!B2</f>
        <v>45474</v>
      </c>
      <c r="C19" s="1" t="str">
        <f>Sheet1!C2</f>
        <v>FA0500017</v>
      </c>
      <c r="D19" s="1" t="str">
        <f>Sheet1!D2</f>
        <v>1 CORE X 50 SQ. MM. AL/UNARD. (XLPE)</v>
      </c>
      <c r="E19" s="3">
        <f>CH19+CJ19+CL19</f>
        <v>50887.179622799995</v>
      </c>
      <c r="F19" s="63">
        <f>ROUNDUP(M25,0)</f>
        <v>1286</v>
      </c>
      <c r="G19" s="9">
        <f>E19+F19</f>
        <v>52173.179622799995</v>
      </c>
      <c r="H19" s="7">
        <f>Sheet1!CP2</f>
        <v>0.18</v>
      </c>
      <c r="I19" s="9">
        <f>G19*H19</f>
        <v>9391.172332103999</v>
      </c>
      <c r="J19" s="9">
        <f>G19+I19</f>
        <v>61564.351954903992</v>
      </c>
      <c r="K19" s="1">
        <f>Sheet1!CS2</f>
        <v>980</v>
      </c>
      <c r="L19" s="1" t="str">
        <f>Sheet1!CT2</f>
        <v>KMS</v>
      </c>
      <c r="M19" s="3">
        <f>J19*K19</f>
        <v>60333064.915805914</v>
      </c>
      <c r="N19" s="2">
        <f>+IFERROR(VLOOKUP($N$17,Sheet1!J2:L2,3,0),0)</f>
        <v>135</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36.841000000000001</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110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
        <v>263</v>
      </c>
      <c r="BX19" s="15" t="s">
        <v>264</v>
      </c>
      <c r="BY19" s="15">
        <f>Sheet1!CX2</f>
        <v>1000</v>
      </c>
      <c r="BZ19" s="3">
        <v>2230</v>
      </c>
      <c r="CA19" s="3">
        <f>SUMPRODUCT($N$18:$BU$18,N19:BU19)+BZ19</f>
        <v>45745.396999999997</v>
      </c>
      <c r="CB19" s="27">
        <f>Sheet1!CB2</f>
        <v>0</v>
      </c>
      <c r="CC19" s="3">
        <f>CA19*CB19</f>
        <v>0</v>
      </c>
      <c r="CD19" s="48">
        <v>0.08</v>
      </c>
      <c r="CE19" s="3">
        <f>CA19*CD19</f>
        <v>3659.6317599999998</v>
      </c>
      <c r="CF19" s="48">
        <v>0</v>
      </c>
      <c r="CG19" s="3">
        <f>CA19*CF19</f>
        <v>0</v>
      </c>
      <c r="CH19" s="3">
        <f>CA19+CC19+CE19+CG19</f>
        <v>49405.028759999994</v>
      </c>
      <c r="CI19" s="48">
        <v>0.02</v>
      </c>
      <c r="CJ19" s="1">
        <f>CH19*CI19</f>
        <v>988.10057519999987</v>
      </c>
      <c r="CK19" s="48">
        <v>0.01</v>
      </c>
      <c r="CL19" s="1">
        <f>CH19*CK19</f>
        <v>494.05028759999993</v>
      </c>
      <c r="CN19">
        <f>216*1000</f>
        <v>216000</v>
      </c>
      <c r="CO19" s="121">
        <f>((CN19-E19)/CN19)*100</f>
        <v>76.44112054499999</v>
      </c>
    </row>
    <row r="20" spans="1:93" ht="30" x14ac:dyDescent="0.25">
      <c r="A20" s="1" t="str">
        <f>Sheet1!A3</f>
        <v>ENQ-13856-22-23</v>
      </c>
      <c r="B20" s="51">
        <f>Sheet1!B3</f>
        <v>45474</v>
      </c>
      <c r="C20" s="1" t="str">
        <f>Sheet1!C3</f>
        <v>FA0600009</v>
      </c>
      <c r="D20" s="1" t="str">
        <f>Sheet1!D3</f>
        <v>1 CORE X 70 SQ. MM AL/UNARD ( XLPE )</v>
      </c>
      <c r="E20" s="3">
        <f>CH20+CJ20+CL20</f>
        <v>69644.762096399994</v>
      </c>
      <c r="F20" s="63">
        <f t="shared" ref="F20:F22" si="0">ROUNDUP(M26,0)</f>
        <v>2542</v>
      </c>
      <c r="G20" s="9">
        <f t="shared" ref="G20:G22" si="1">E20+F20</f>
        <v>72186.762096399994</v>
      </c>
      <c r="H20" s="7">
        <f>Sheet1!CP3</f>
        <v>0.18</v>
      </c>
      <c r="I20" s="9">
        <f t="shared" ref="I20:I22" si="2">G20*H20</f>
        <v>12993.617177351998</v>
      </c>
      <c r="J20" s="9">
        <f t="shared" ref="J20:J22" si="3">G20+I20</f>
        <v>85180.379273751998</v>
      </c>
      <c r="K20" s="1">
        <f>Sheet1!CS3</f>
        <v>850</v>
      </c>
      <c r="L20" s="1" t="str">
        <f>Sheet1!CT3</f>
        <v>KMS</v>
      </c>
      <c r="M20" s="3">
        <f t="shared" ref="M20:M22" si="4">J20*K20</f>
        <v>72403322.382689193</v>
      </c>
      <c r="N20" s="2">
        <f>+IFERROR(VLOOKUP($N$17,Sheet1!J3:L3,3,0),0)</f>
        <v>189</v>
      </c>
      <c r="O20" s="2">
        <f>+IFERROR(VLOOKUP($O$17,Sheet1!J3:L3,3,0),0)</f>
        <v>0</v>
      </c>
      <c r="P20" s="2">
        <f>+IFERROR(VLOOKUP($P$17,Sheet1!J3:M3,3,0),0)</f>
        <v>0</v>
      </c>
      <c r="Q20" s="2">
        <f>+IFERROR(VLOOKUP($Q$17,Sheet1!J3:M3,3,0),0)</f>
        <v>0</v>
      </c>
      <c r="R20" s="2">
        <f>+IFERROR(VLOOKUP($R$17,Sheet1!J3:M3,3,0),0)</f>
        <v>0</v>
      </c>
      <c r="S20" s="2">
        <f>+IFERROR(VLOOKUP($S$17,Sheet1!N3:Q3,3,0),0)</f>
        <v>0</v>
      </c>
      <c r="T20" s="2">
        <f>+IFERROR(VLOOKUP($T$17,Sheet1!N3:Q3,3,0),0)</f>
        <v>0</v>
      </c>
      <c r="U20" s="2">
        <f>+IFERROR(VLOOKUP($U$17,Sheet1!F3:I3,3,0),0)</f>
        <v>0</v>
      </c>
      <c r="V20" s="2">
        <f>+IFERROR(VLOOKUP($V$17,Sheet1!F3:I3,3,0),0)</f>
        <v>0</v>
      </c>
      <c r="W20" s="2">
        <f>+IFERROR(VLOOKUP($W$17,Sheet1!F3:I3,3,0),0)</f>
        <v>0</v>
      </c>
      <c r="X20" s="2">
        <f>+IFERROR(VLOOKUP($X$17,Sheet1!F3:I3,3,0),0)</f>
        <v>0</v>
      </c>
      <c r="Y20" s="2">
        <f>+IFERROR(VLOOKUP($Y$17,Sheet1!F3:I3,3,0),0)</f>
        <v>0</v>
      </c>
      <c r="Z20" s="2">
        <f>+IFERROR(VLOOKUP($Z$17,Sheet1!F3:I3,3,0),0)</f>
        <v>0</v>
      </c>
      <c r="AA20" s="2">
        <f>+IFERROR(VLOOKUP($AA$17,Sheet1!F3:I3,3,0),0)</f>
        <v>0</v>
      </c>
      <c r="AB20" s="2">
        <f>+IFERROR(VLOOKUP($AB$17,Sheet1!F3:I3,3,0),0)</f>
        <v>0</v>
      </c>
      <c r="AC20" s="2">
        <f>+IFERROR(VLOOKUP($AC$17,Sheet1!R3:U3,3,0),0)</f>
        <v>0</v>
      </c>
      <c r="AD20" s="15">
        <f>+IFERROR(VLOOKUP($AD$17,Sheet1!R3:U3,2,0),0)</f>
        <v>0</v>
      </c>
      <c r="AE20" s="2">
        <f>+IFERROR(VLOOKUP($AE$17,Sheet1!V3:Y3,3,0),0)</f>
        <v>0</v>
      </c>
      <c r="AF20" s="15">
        <f>+IFERROR(VLOOKUP($AF$17,Sheet1!V3:Y3,3,0),0)</f>
        <v>43.433</v>
      </c>
      <c r="AG20" s="15">
        <f>+IFERROR(VLOOKUP($AG$17,Sheet1!V3:Y3,3,0),0)</f>
        <v>0</v>
      </c>
      <c r="AH20" s="15">
        <f>+IFERROR(VLOOKUP($AH$17,Sheet1!V3:Y3,3,0),0)</f>
        <v>0</v>
      </c>
      <c r="AI20" s="15">
        <f>+IFERROR(VLOOKUP($AI$17,Sheet1!V3:Y3,3,0),0)</f>
        <v>0</v>
      </c>
      <c r="AJ20" s="15">
        <f>+IFERROR(VLOOKUP($AJ$17,Sheet1!V3:Y3,3,0),0)</f>
        <v>0</v>
      </c>
      <c r="AK20" s="15">
        <f>+IFERROR(VLOOKUP($AK$17,Sheet1!Z3:AB3,3,0),0)</f>
        <v>0</v>
      </c>
      <c r="AL20" s="15">
        <f>+IFERROR(VLOOKUP($AL$17,Sheet1!AD3:AG3,3,0),0)</f>
        <v>0</v>
      </c>
      <c r="AM20" s="15">
        <f>+IFERROR(VLOOKUP($AM$17,Sheet1!AD3:AG3,3,0),0)</f>
        <v>0</v>
      </c>
      <c r="AN20" s="15">
        <f>+IFERROR(VLOOKUP($AN$17,Sheet1!AD3:AG3,3,0),0)</f>
        <v>0</v>
      </c>
      <c r="AO20" s="15">
        <f>+IFERROR(VLOOKUP($AO$17,Sheet1!AD3:AG3,3,0),0)</f>
        <v>0</v>
      </c>
      <c r="AP20" s="15">
        <f>+IFERROR(VLOOKUP($AP$17,Sheet1!AD3:AG3,3,0),0)</f>
        <v>0</v>
      </c>
      <c r="AQ20" s="15">
        <f>+IFERROR(VLOOKUP($AQ$17,Sheet1!AD3:AG3,3,0),0)</f>
        <v>0</v>
      </c>
      <c r="AR20" s="15">
        <f>+IFERROR(VLOOKUP($AR$17,Sheet1!AD3:AG3,3,0),0)</f>
        <v>0</v>
      </c>
      <c r="AS20" s="15">
        <f>+IFERROR(VLOOKUP($AS$17,Sheet1!AH3:AK3,3,0),0)</f>
        <v>0</v>
      </c>
      <c r="AT20" s="15">
        <f>+IFERROR(VLOOKUP($AT$17,Sheet1!AH3:AK3,3,0),0)</f>
        <v>0</v>
      </c>
      <c r="AU20" s="15">
        <f>+IFERROR(VLOOKUP($AU$17,Sheet1!AH3:AK3,3,0),0)</f>
        <v>0</v>
      </c>
      <c r="AV20" s="15">
        <f>+IFERROR(VLOOKUP($AV$17,Sheet1!AH3:AK3,3,0),0)</f>
        <v>0</v>
      </c>
      <c r="AW20" s="15">
        <f>+IFERROR(VLOOKUP($AW$17,Sheet1!AH3:AK3,3,0),0)</f>
        <v>0</v>
      </c>
      <c r="AX20" s="15">
        <f>+IFERROR(VLOOKUP($AX$17,Sheet1!AH3:AK3,3,0),0)</f>
        <v>0</v>
      </c>
      <c r="AY20" s="15">
        <f>+IFERROR(VLOOKUP($AY$17,Sheet1!AH3:AK3,3,0),0)</f>
        <v>0</v>
      </c>
      <c r="AZ20" s="15">
        <f>+IFERROR(VLOOKUP($AZ$17,Sheet1!AH3:AK3,3,0),0)</f>
        <v>0</v>
      </c>
      <c r="BA20" s="15">
        <f>+IFERROR(VLOOKUP($BA$17,Sheet1!AH3:AK3,3,0),0)</f>
        <v>0</v>
      </c>
      <c r="BB20" s="15">
        <f>+IFERROR(VLOOKUP($BB$17,Sheet1!AH3:AK3,3,0),0)</f>
        <v>0</v>
      </c>
      <c r="BC20" s="15">
        <f>+IFERROR(VLOOKUP($BC$17,Sheet1!AL3:AO3,3,0),0)</f>
        <v>0</v>
      </c>
      <c r="BD20" s="15">
        <f>+IFERROR(VLOOKUP($BD$17,Sheet1!AL3:AO3,3,0),0)</f>
        <v>0</v>
      </c>
      <c r="BE20" s="15">
        <f>+IFERROR(VLOOKUP($BE$17,Sheet1!AL3:AO3,3,0),0)</f>
        <v>0</v>
      </c>
      <c r="BF20" s="15">
        <f>+IFERROR(VLOOKUP($BF$17,Sheet1!AL3:AO3,3,0),0)</f>
        <v>0</v>
      </c>
      <c r="BG20" s="15">
        <f>+IFERROR(VLOOKUP($BG$17,Sheet1!AL3:AO3,3,0),0)</f>
        <v>0</v>
      </c>
      <c r="BH20" s="15">
        <f>+IFERROR(VLOOKUP($BH$17,Sheet1!AL3:AO3,3,0),0)</f>
        <v>0</v>
      </c>
      <c r="BI20" s="15">
        <f>+IFERROR(VLOOKUP($BI$17,Sheet1!AL3:AO3,3,0),0)</f>
        <v>0</v>
      </c>
      <c r="BJ20" s="15">
        <f>+IFERROR(VLOOKUP($BJ$17,Sheet1!AL3:AO3,3,0),0)</f>
        <v>125</v>
      </c>
      <c r="BK20" s="15">
        <f>+IFERROR(VLOOKUP($BK$17,Sheet1!AL3:AO3,3,0),0)</f>
        <v>0</v>
      </c>
      <c r="BL20" s="15">
        <f>+IFERROR(VLOOKUP($BL$17,Sheet1!AL3:AO3,3,0),0)</f>
        <v>0</v>
      </c>
      <c r="BM20" s="15">
        <f>+IFERROR(VLOOKUP($BM$17,Sheet1!AP3:AS3,3,0),0)</f>
        <v>0</v>
      </c>
      <c r="BN20" s="15">
        <f>+IFERROR(VLOOKUP($BN$17,Sheet1!AT3:AW3,3,0),0)</f>
        <v>0</v>
      </c>
      <c r="BO20" s="15">
        <f>+IFERROR(VLOOKUP($BO$17,Sheet1!AX3:BA3,3,0),0)</f>
        <v>0</v>
      </c>
      <c r="BP20" s="15">
        <f>+IFERROR(VLOOKUP($BP$17,Sheet1!BB3:BE3,3,0),0)</f>
        <v>0</v>
      </c>
      <c r="BQ20" s="15">
        <f>+IFERROR(VLOOKUP($BQ$17,Sheet1!BF3:BI3,3,0),0)</f>
        <v>0</v>
      </c>
      <c r="BR20" s="15">
        <f>+IFERROR(VLOOKUP($BR$17,Sheet1!BJ3:BM3,3,0),0)</f>
        <v>0</v>
      </c>
      <c r="BS20" s="15">
        <f>+IFERROR(VLOOKUP($BS$17,Sheet1!BN3:BQ3,3,0),0)</f>
        <v>0</v>
      </c>
      <c r="BT20" s="15">
        <f>+IFERROR(VLOOKUP($BT$17,Sheet1!BR3:BU3,3,0),0)</f>
        <v>0</v>
      </c>
      <c r="BU20" s="15">
        <f>+IFERROR(VLOOKUP($BU$17,Sheet1!BV3:BY3,3,0),0)</f>
        <v>0</v>
      </c>
      <c r="BV20" s="15" t="str">
        <f>Sheet1!E3</f>
        <v>WOOD</v>
      </c>
      <c r="BW20" s="15" t="s">
        <v>196</v>
      </c>
      <c r="BX20" s="15" t="s">
        <v>197</v>
      </c>
      <c r="BY20" s="15">
        <f>Sheet1!CX3</f>
        <v>500</v>
      </c>
      <c r="BZ20" s="3">
        <v>4611</v>
      </c>
      <c r="CA20" s="3">
        <f>SUMPRODUCT($N$18:$BU$18,N20:BU20)+BZ20</f>
        <v>62607.661</v>
      </c>
      <c r="CB20" s="27">
        <f>Sheet1!CB3</f>
        <v>0</v>
      </c>
      <c r="CC20" s="3">
        <f t="shared" ref="CC20:CC22" si="5">CA20*CB20</f>
        <v>0</v>
      </c>
      <c r="CD20" s="48">
        <v>0.08</v>
      </c>
      <c r="CE20" s="3">
        <f t="shared" ref="CE20:CE22" si="6">CA20*CD20</f>
        <v>5008.6128799999997</v>
      </c>
      <c r="CF20" s="48">
        <v>0</v>
      </c>
      <c r="CG20" s="3">
        <f t="shared" ref="CG20:CG22" si="7">CA20*CF20</f>
        <v>0</v>
      </c>
      <c r="CH20" s="3">
        <f t="shared" ref="CH20:CH22" si="8">CA20+CC20+CE20+CG20</f>
        <v>67616.273879999993</v>
      </c>
      <c r="CI20" s="48">
        <v>0.02</v>
      </c>
      <c r="CJ20" s="1">
        <f t="shared" ref="CJ20:CJ22" si="9">CH20*CI20</f>
        <v>1352.3254775999999</v>
      </c>
      <c r="CK20" s="48">
        <v>0.01</v>
      </c>
      <c r="CL20" s="1">
        <f t="shared" ref="CL20:CL22" si="10">CH20*CK20</f>
        <v>676.16273879999994</v>
      </c>
      <c r="CN20">
        <f>298*1000</f>
        <v>298000</v>
      </c>
      <c r="CO20" s="121">
        <f t="shared" ref="CO20:CO22" si="11">((CN20-E20)/CN20)*100</f>
        <v>76.629274464295307</v>
      </c>
    </row>
    <row r="21" spans="1:93" ht="30" x14ac:dyDescent="0.25">
      <c r="A21" s="1" t="str">
        <f>Sheet1!A4</f>
        <v>ENQ-13856-22-23</v>
      </c>
      <c r="B21" s="51">
        <f>Sheet1!B4</f>
        <v>45474</v>
      </c>
      <c r="C21" s="1" t="str">
        <f>Sheet1!C4</f>
        <v>FA0600019</v>
      </c>
      <c r="D21" s="1" t="str">
        <f>Sheet1!D4</f>
        <v>1 CORE X 150 SQ. MM. AL/UNARD. (XLPE)</v>
      </c>
      <c r="E21" s="3">
        <f>CH21+CJ21+CL21</f>
        <v>135065.67687359999</v>
      </c>
      <c r="F21" s="63">
        <f t="shared" si="0"/>
        <v>2561</v>
      </c>
      <c r="G21" s="9">
        <f t="shared" si="1"/>
        <v>137626.67687359999</v>
      </c>
      <c r="H21" s="7">
        <f>Sheet1!CP4</f>
        <v>0.18</v>
      </c>
      <c r="I21" s="9">
        <f t="shared" si="2"/>
        <v>24772.801837247996</v>
      </c>
      <c r="J21" s="9">
        <f t="shared" si="3"/>
        <v>162399.47871084799</v>
      </c>
      <c r="K21" s="1">
        <f>Sheet1!CS4</f>
        <v>580</v>
      </c>
      <c r="L21" s="1" t="str">
        <f>Sheet1!CT4</f>
        <v>KMS</v>
      </c>
      <c r="M21" s="3">
        <f t="shared" si="4"/>
        <v>94191697.652291834</v>
      </c>
      <c r="N21" s="2">
        <f>+IFERROR(VLOOKUP($N$17,Sheet1!J4:L4,3,0),0)</f>
        <v>405</v>
      </c>
      <c r="O21" s="2">
        <f>+IFERROR(VLOOKUP($O$17,Sheet1!J4:L4,3,0),0)</f>
        <v>0</v>
      </c>
      <c r="P21" s="2">
        <f>+IFERROR(VLOOKUP($P$17,Sheet1!J4:M4,3,0),0)</f>
        <v>0</v>
      </c>
      <c r="Q21" s="2">
        <f>+IFERROR(VLOOKUP($Q$17,Sheet1!J4:M4,3,0),0)</f>
        <v>0</v>
      </c>
      <c r="R21" s="2">
        <f>+IFERROR(VLOOKUP($R$17,Sheet1!J4:M4,3,0),0)</f>
        <v>0</v>
      </c>
      <c r="S21" s="2">
        <f>+IFERROR(VLOOKUP($S$17,Sheet1!N4:Q4,3,0),0)</f>
        <v>0</v>
      </c>
      <c r="T21" s="2">
        <f>+IFERROR(VLOOKUP($T$17,Sheet1!N4:Q4,3,0),0)</f>
        <v>0</v>
      </c>
      <c r="U21" s="2">
        <f>+IFERROR(VLOOKUP($U$17,Sheet1!F4:I4,3,0),0)</f>
        <v>0</v>
      </c>
      <c r="V21" s="2">
        <f>+IFERROR(VLOOKUP($V$17,Sheet1!F4:I4,3,0),0)</f>
        <v>0</v>
      </c>
      <c r="W21" s="2">
        <f>+IFERROR(VLOOKUP($W$17,Sheet1!F4:I4,3,0),0)</f>
        <v>0</v>
      </c>
      <c r="X21" s="2">
        <f>+IFERROR(VLOOKUP($X$17,Sheet1!F4:I4,3,0),0)</f>
        <v>0</v>
      </c>
      <c r="Y21" s="2">
        <f>+IFERROR(VLOOKUP($Y$17,Sheet1!F4:I4,3,0),0)</f>
        <v>0</v>
      </c>
      <c r="Z21" s="2">
        <f>+IFERROR(VLOOKUP($Z$17,Sheet1!F4:I4,3,0),0)</f>
        <v>0</v>
      </c>
      <c r="AA21" s="2">
        <f>+IFERROR(VLOOKUP($AA$17,Sheet1!F4:I4,3,0),0)</f>
        <v>0</v>
      </c>
      <c r="AB21" s="2">
        <f>+IFERROR(VLOOKUP($AB$17,Sheet1!F4:I4,3,0),0)</f>
        <v>0</v>
      </c>
      <c r="AC21" s="2">
        <f>+IFERROR(VLOOKUP($AC$17,Sheet1!R4:U4,3,0),0)</f>
        <v>0</v>
      </c>
      <c r="AD21" s="15">
        <f>+IFERROR(VLOOKUP($AD$17,Sheet1!R4:U4,2,0),0)</f>
        <v>0</v>
      </c>
      <c r="AE21" s="2">
        <f>+IFERROR(VLOOKUP($AE$17,Sheet1!V4:Y4,3,0),0)</f>
        <v>0</v>
      </c>
      <c r="AF21" s="15">
        <f>+IFERROR(VLOOKUP($AF$17,Sheet1!V4:Y4,3,0),0)</f>
        <v>71.591999999999999</v>
      </c>
      <c r="AG21" s="15">
        <f>+IFERROR(VLOOKUP($AG$17,Sheet1!V4:Y4,3,0),0)</f>
        <v>0</v>
      </c>
      <c r="AH21" s="15">
        <f>+IFERROR(VLOOKUP($AH$17,Sheet1!V4:Y4,3,0),0)</f>
        <v>0</v>
      </c>
      <c r="AI21" s="15">
        <f>+IFERROR(VLOOKUP($AI$17,Sheet1!V4:Y4,3,0),0)</f>
        <v>0</v>
      </c>
      <c r="AJ21" s="15">
        <f>+IFERROR(VLOOKUP($AJ$17,Sheet1!V4:Y4,3,0),0)</f>
        <v>0</v>
      </c>
      <c r="AK21" s="15">
        <f>+IFERROR(VLOOKUP($AK$17,Sheet1!Z4:AB4,3,0),0)</f>
        <v>0</v>
      </c>
      <c r="AL21" s="15">
        <f>+IFERROR(VLOOKUP($AL$17,Sheet1!AD4:AG4,3,0),0)</f>
        <v>0</v>
      </c>
      <c r="AM21" s="15">
        <f>+IFERROR(VLOOKUP($AM$17,Sheet1!AD4:AG4,3,0),0)</f>
        <v>0</v>
      </c>
      <c r="AN21" s="15">
        <f>+IFERROR(VLOOKUP($AN$17,Sheet1!AD4:AG4,3,0),0)</f>
        <v>0</v>
      </c>
      <c r="AO21" s="15">
        <f>+IFERROR(VLOOKUP($AO$17,Sheet1!AD4:AG4,3,0),0)</f>
        <v>0</v>
      </c>
      <c r="AP21" s="15">
        <f>+IFERROR(VLOOKUP($AP$17,Sheet1!AD4:AG4,3,0),0)</f>
        <v>0</v>
      </c>
      <c r="AQ21" s="15">
        <f>+IFERROR(VLOOKUP($AQ$17,Sheet1!AD4:AG4,3,0),0)</f>
        <v>0</v>
      </c>
      <c r="AR21" s="15">
        <f>+IFERROR(VLOOKUP($AR$17,Sheet1!AD4:AG4,3,0),0)</f>
        <v>0</v>
      </c>
      <c r="AS21" s="15">
        <f>+IFERROR(VLOOKUP($AS$17,Sheet1!AH4:AK4,3,0),0)</f>
        <v>0</v>
      </c>
      <c r="AT21" s="15">
        <f>+IFERROR(VLOOKUP($AT$17,Sheet1!AH4:AK4,3,0),0)</f>
        <v>0</v>
      </c>
      <c r="AU21" s="15">
        <f>+IFERROR(VLOOKUP($AU$17,Sheet1!AH4:AK4,3,0),0)</f>
        <v>0</v>
      </c>
      <c r="AV21" s="15">
        <f>+IFERROR(VLOOKUP($AV$17,Sheet1!AH4:AK4,3,0),0)</f>
        <v>0</v>
      </c>
      <c r="AW21" s="15">
        <f>+IFERROR(VLOOKUP($AW$17,Sheet1!AH4:AK4,3,0),0)</f>
        <v>0</v>
      </c>
      <c r="AX21" s="15">
        <f>+IFERROR(VLOOKUP($AX$17,Sheet1!AH4:AK4,3,0),0)</f>
        <v>0</v>
      </c>
      <c r="AY21" s="15">
        <f>+IFERROR(VLOOKUP($AY$17,Sheet1!AH4:AK4,3,0),0)</f>
        <v>0</v>
      </c>
      <c r="AZ21" s="15">
        <f>+IFERROR(VLOOKUP($AZ$17,Sheet1!AH4:AK4,3,0),0)</f>
        <v>0</v>
      </c>
      <c r="BA21" s="15">
        <f>+IFERROR(VLOOKUP($BA$17,Sheet1!AH4:AK4,3,0),0)</f>
        <v>0</v>
      </c>
      <c r="BB21" s="15">
        <f>+IFERROR(VLOOKUP($BB$17,Sheet1!AH4:AK4,3,0),0)</f>
        <v>0</v>
      </c>
      <c r="BC21" s="15">
        <f>+IFERROR(VLOOKUP($BC$17,Sheet1!AL4:AO4,3,0),0)</f>
        <v>0</v>
      </c>
      <c r="BD21" s="15">
        <f>+IFERROR(VLOOKUP($BD$17,Sheet1!AL4:AO4,3,0),0)</f>
        <v>0</v>
      </c>
      <c r="BE21" s="15">
        <f>+IFERROR(VLOOKUP($BE$17,Sheet1!AL4:AO4,3,0),0)</f>
        <v>0</v>
      </c>
      <c r="BF21" s="15">
        <f>+IFERROR(VLOOKUP($BF$17,Sheet1!AL4:AO4,3,0),0)</f>
        <v>0</v>
      </c>
      <c r="BG21" s="15">
        <f>+IFERROR(VLOOKUP($BG$17,Sheet1!AL4:AO4,3,0),0)</f>
        <v>0</v>
      </c>
      <c r="BH21" s="15">
        <f>+IFERROR(VLOOKUP($BH$17,Sheet1!AL4:AO4,3,0),0)</f>
        <v>0</v>
      </c>
      <c r="BI21" s="15">
        <f>+IFERROR(VLOOKUP($BI$17,Sheet1!AL4:AO4,3,0),0)</f>
        <v>0</v>
      </c>
      <c r="BJ21" s="15">
        <f>+IFERROR(VLOOKUP($BJ$17,Sheet1!AL4:AO4,3,0),0)</f>
        <v>187</v>
      </c>
      <c r="BK21" s="15">
        <f>+IFERROR(VLOOKUP($BK$17,Sheet1!AL4:AO4,3,0),0)</f>
        <v>0</v>
      </c>
      <c r="BL21" s="15">
        <f>+IFERROR(VLOOKUP($BL$17,Sheet1!AL4:AO4,3,0),0)</f>
        <v>0</v>
      </c>
      <c r="BM21" s="15">
        <f>+IFERROR(VLOOKUP($BM$17,Sheet1!AP4:AS4,3,0),0)</f>
        <v>0</v>
      </c>
      <c r="BN21" s="15">
        <f>+IFERROR(VLOOKUP($BN$17,Sheet1!AT4:AW4,3,0),0)</f>
        <v>0</v>
      </c>
      <c r="BO21" s="15">
        <f>+IFERROR(VLOOKUP($BO$17,Sheet1!AX4:BA4,3,0),0)</f>
        <v>0</v>
      </c>
      <c r="BP21" s="15">
        <f>+IFERROR(VLOOKUP($BP$17,Sheet1!BB4:BE4,3,0),0)</f>
        <v>0</v>
      </c>
      <c r="BQ21" s="15">
        <f>+IFERROR(VLOOKUP($BQ$17,Sheet1!BF4:BI4,3,0),0)</f>
        <v>0</v>
      </c>
      <c r="BR21" s="15">
        <f>+IFERROR(VLOOKUP($BR$17,Sheet1!BJ4:BM4,3,0),0)</f>
        <v>0</v>
      </c>
      <c r="BS21" s="15">
        <f>+IFERROR(VLOOKUP($BS$17,Sheet1!BN4:BQ4,3,0),0)</f>
        <v>0</v>
      </c>
      <c r="BT21" s="15">
        <f>+IFERROR(VLOOKUP($BT$17,Sheet1!BR4:BU4,3,0),0)</f>
        <v>0</v>
      </c>
      <c r="BU21" s="15">
        <f>+IFERROR(VLOOKUP($BU$17,Sheet1!BV4:BY4,3,0),0)</f>
        <v>0</v>
      </c>
      <c r="BV21" s="15" t="str">
        <f>Sheet1!E4</f>
        <v>WOOD</v>
      </c>
      <c r="BW21" s="15" t="s">
        <v>200</v>
      </c>
      <c r="BX21" s="15" t="s">
        <v>201</v>
      </c>
      <c r="BY21" s="15">
        <f>Sheet1!CX4</f>
        <v>500</v>
      </c>
      <c r="BZ21" s="3">
        <v>5151</v>
      </c>
      <c r="CA21" s="3">
        <f>SUMPRODUCT($N$18:$BU$18,N21:BU21)+BZ21</f>
        <v>121418.264</v>
      </c>
      <c r="CB21" s="27">
        <f>Sheet1!CB4</f>
        <v>0</v>
      </c>
      <c r="CC21" s="3">
        <f t="shared" si="5"/>
        <v>0</v>
      </c>
      <c r="CD21" s="48">
        <v>0.08</v>
      </c>
      <c r="CE21" s="3">
        <f t="shared" si="6"/>
        <v>9713.4611199999999</v>
      </c>
      <c r="CF21" s="48">
        <v>0</v>
      </c>
      <c r="CG21" s="3">
        <f t="shared" si="7"/>
        <v>0</v>
      </c>
      <c r="CH21" s="3">
        <f t="shared" si="8"/>
        <v>131131.72511999999</v>
      </c>
      <c r="CI21" s="48">
        <v>0.02</v>
      </c>
      <c r="CJ21" s="1">
        <f t="shared" si="9"/>
        <v>2622.6345023999997</v>
      </c>
      <c r="CK21" s="48">
        <v>0.01</v>
      </c>
      <c r="CL21" s="1">
        <f t="shared" si="10"/>
        <v>1311.3172511999999</v>
      </c>
      <c r="CN21">
        <f>589*1000</f>
        <v>589000</v>
      </c>
      <c r="CO21" s="121">
        <f t="shared" si="11"/>
        <v>77.068645692088296</v>
      </c>
    </row>
    <row r="22" spans="1:93" ht="30" x14ac:dyDescent="0.25">
      <c r="A22" s="1" t="str">
        <f>Sheet1!A5</f>
        <v>ENQ-13856-22-23</v>
      </c>
      <c r="B22" s="51">
        <f>Sheet1!B5</f>
        <v>45474</v>
      </c>
      <c r="C22" s="1" t="str">
        <f>Sheet1!C5</f>
        <v>FA0600020</v>
      </c>
      <c r="D22" s="1" t="str">
        <f>Sheet1!D5</f>
        <v>1 CORE X 300 SQ. MM. AL/UNARD. (XLPE)</v>
      </c>
      <c r="E22" s="3">
        <f>CH22+CJ22+CL22</f>
        <v>255218.13445680001</v>
      </c>
      <c r="F22" s="63">
        <f t="shared" si="0"/>
        <v>4500</v>
      </c>
      <c r="G22" s="9">
        <f t="shared" si="1"/>
        <v>259718.13445680001</v>
      </c>
      <c r="H22" s="7">
        <f>Sheet1!CP5</f>
        <v>0.18</v>
      </c>
      <c r="I22" s="9">
        <f t="shared" si="2"/>
        <v>46749.264202223996</v>
      </c>
      <c r="J22" s="9">
        <f t="shared" si="3"/>
        <v>306467.39865902398</v>
      </c>
      <c r="K22" s="1">
        <f>Sheet1!CS5</f>
        <v>270</v>
      </c>
      <c r="L22" s="1" t="str">
        <f>Sheet1!CT5</f>
        <v>KMS</v>
      </c>
      <c r="M22" s="3">
        <f t="shared" si="4"/>
        <v>82746197.637936473</v>
      </c>
      <c r="N22" s="2">
        <f>+IFERROR(VLOOKUP($N$17,Sheet1!J5:L5,3,0),0)</f>
        <v>810</v>
      </c>
      <c r="O22" s="2">
        <f>+IFERROR(VLOOKUP($O$17,Sheet1!J5:L5,3,0),0)</f>
        <v>0</v>
      </c>
      <c r="P22" s="2">
        <f>+IFERROR(VLOOKUP($P$17,Sheet1!J5:M5,3,0),0)</f>
        <v>0</v>
      </c>
      <c r="Q22" s="2">
        <f>+IFERROR(VLOOKUP($Q$17,Sheet1!J5:M5,3,0),0)</f>
        <v>0</v>
      </c>
      <c r="R22" s="2">
        <f>+IFERROR(VLOOKUP($R$17,Sheet1!J5:M5,3,0),0)</f>
        <v>0</v>
      </c>
      <c r="S22" s="2">
        <f>+IFERROR(VLOOKUP($S$17,Sheet1!N5:Q5,3,0),0)</f>
        <v>0</v>
      </c>
      <c r="T22" s="2">
        <f>+IFERROR(VLOOKUP($T$17,Sheet1!N5:Q5,3,0),0)</f>
        <v>0</v>
      </c>
      <c r="U22" s="2">
        <f>+IFERROR(VLOOKUP($U$17,Sheet1!F5:I5,3,0),0)</f>
        <v>0</v>
      </c>
      <c r="V22" s="2">
        <f>+IFERROR(VLOOKUP($V$17,Sheet1!F5:I5,3,0),0)</f>
        <v>0</v>
      </c>
      <c r="W22" s="2">
        <f>+IFERROR(VLOOKUP($W$17,Sheet1!F5:I5,3,0),0)</f>
        <v>0</v>
      </c>
      <c r="X22" s="2">
        <f>+IFERROR(VLOOKUP($X$17,Sheet1!F5:I5,3,0),0)</f>
        <v>0</v>
      </c>
      <c r="Y22" s="2">
        <f>+IFERROR(VLOOKUP($Y$17,Sheet1!F5:I5,3,0),0)</f>
        <v>0</v>
      </c>
      <c r="Z22" s="2">
        <f>+IFERROR(VLOOKUP($Z$17,Sheet1!F5:I5,3,0),0)</f>
        <v>0</v>
      </c>
      <c r="AA22" s="2">
        <f>+IFERROR(VLOOKUP($AA$17,Sheet1!F5:I5,3,0),0)</f>
        <v>0</v>
      </c>
      <c r="AB22" s="2">
        <f>+IFERROR(VLOOKUP($AB$17,Sheet1!F5:I5,3,0),0)</f>
        <v>0</v>
      </c>
      <c r="AC22" s="2">
        <f>+IFERROR(VLOOKUP($AC$17,Sheet1!R5:U5,3,0),0)</f>
        <v>0</v>
      </c>
      <c r="AD22" s="15">
        <f>+IFERROR(VLOOKUP($AD$17,Sheet1!R5:U5,2,0),0)</f>
        <v>0</v>
      </c>
      <c r="AE22" s="2">
        <f>+IFERROR(VLOOKUP($AE$17,Sheet1!V5:Y5,3,0),0)</f>
        <v>0</v>
      </c>
      <c r="AF22" s="15">
        <f>+IFERROR(VLOOKUP($AF$17,Sheet1!V5:Y5,3,0),0)</f>
        <v>132.446</v>
      </c>
      <c r="AG22" s="15">
        <f>+IFERROR(VLOOKUP($AG$17,Sheet1!V5:Y5,3,0),0)</f>
        <v>0</v>
      </c>
      <c r="AH22" s="15">
        <f>+IFERROR(VLOOKUP($AH$17,Sheet1!V5:Y5,3,0),0)</f>
        <v>0</v>
      </c>
      <c r="AI22" s="15">
        <f>+IFERROR(VLOOKUP($AI$17,Sheet1!V5:Y5,3,0),0)</f>
        <v>0</v>
      </c>
      <c r="AJ22" s="15">
        <f>+IFERROR(VLOOKUP($AJ$17,Sheet1!V5:Y5,3,0),0)</f>
        <v>0</v>
      </c>
      <c r="AK22" s="15">
        <f>+IFERROR(VLOOKUP($AK$17,Sheet1!Z5:AB5,3,0),0)</f>
        <v>0</v>
      </c>
      <c r="AL22" s="15">
        <f>+IFERROR(VLOOKUP($AL$17,Sheet1!AD5:AG5,3,0),0)</f>
        <v>0</v>
      </c>
      <c r="AM22" s="15">
        <f>+IFERROR(VLOOKUP($AM$17,Sheet1!AD5:AG5,3,0),0)</f>
        <v>0</v>
      </c>
      <c r="AN22" s="15">
        <f>+IFERROR(VLOOKUP($AN$17,Sheet1!AD5:AG5,3,0),0)</f>
        <v>0</v>
      </c>
      <c r="AO22" s="15">
        <f>+IFERROR(VLOOKUP($AO$17,Sheet1!AD5:AG5,3,0),0)</f>
        <v>0</v>
      </c>
      <c r="AP22" s="15">
        <f>+IFERROR(VLOOKUP($AP$17,Sheet1!AD5:AG5,3,0),0)</f>
        <v>0</v>
      </c>
      <c r="AQ22" s="15">
        <f>+IFERROR(VLOOKUP($AQ$17,Sheet1!AD5:AG5,3,0),0)</f>
        <v>0</v>
      </c>
      <c r="AR22" s="15">
        <f>+IFERROR(VLOOKUP($AR$17,Sheet1!AD5:AG5,3,0),0)</f>
        <v>0</v>
      </c>
      <c r="AS22" s="15">
        <f>+IFERROR(VLOOKUP($AS$17,Sheet1!AH5:AK5,3,0),0)</f>
        <v>0</v>
      </c>
      <c r="AT22" s="15">
        <f>+IFERROR(VLOOKUP($AT$17,Sheet1!AH5:AK5,3,0),0)</f>
        <v>0</v>
      </c>
      <c r="AU22" s="15">
        <f>+IFERROR(VLOOKUP($AU$17,Sheet1!AH5:AK5,3,0),0)</f>
        <v>0</v>
      </c>
      <c r="AV22" s="15">
        <f>+IFERROR(VLOOKUP($AV$17,Sheet1!AH5:AK5,3,0),0)</f>
        <v>0</v>
      </c>
      <c r="AW22" s="15">
        <f>+IFERROR(VLOOKUP($AW$17,Sheet1!AH5:AK5,3,0),0)</f>
        <v>0</v>
      </c>
      <c r="AX22" s="15">
        <f>+IFERROR(VLOOKUP($AX$17,Sheet1!AH5:AK5,3,0),0)</f>
        <v>0</v>
      </c>
      <c r="AY22" s="15">
        <f>+IFERROR(VLOOKUP($AY$17,Sheet1!AH5:AK5,3,0),0)</f>
        <v>0</v>
      </c>
      <c r="AZ22" s="15">
        <f>+IFERROR(VLOOKUP($AZ$17,Sheet1!AH5:AK5,3,0),0)</f>
        <v>0</v>
      </c>
      <c r="BA22" s="15">
        <f>+IFERROR(VLOOKUP($BA$17,Sheet1!AH5:AK5,3,0),0)</f>
        <v>0</v>
      </c>
      <c r="BB22" s="15">
        <f>+IFERROR(VLOOKUP($BB$17,Sheet1!AH5:AK5,3,0),0)</f>
        <v>0</v>
      </c>
      <c r="BC22" s="15">
        <f>+IFERROR(VLOOKUP($BC$17,Sheet1!AL5:AO5,3,0),0)</f>
        <v>0</v>
      </c>
      <c r="BD22" s="15">
        <f>+IFERROR(VLOOKUP($BD$17,Sheet1!AL5:AO5,3,0),0)</f>
        <v>0</v>
      </c>
      <c r="BE22" s="15">
        <f>+IFERROR(VLOOKUP($BE$17,Sheet1!AL5:AO5,3,0),0)</f>
        <v>0</v>
      </c>
      <c r="BF22" s="15">
        <f>+IFERROR(VLOOKUP($BF$17,Sheet1!AL5:AO5,3,0),0)</f>
        <v>0</v>
      </c>
      <c r="BG22" s="15">
        <f>+IFERROR(VLOOKUP($BG$17,Sheet1!AL5:AO5,3,0),0)</f>
        <v>0</v>
      </c>
      <c r="BH22" s="15">
        <f>+IFERROR(VLOOKUP($BH$17,Sheet1!AL5:AO5,3,0),0)</f>
        <v>0</v>
      </c>
      <c r="BI22" s="15">
        <f>+IFERROR(VLOOKUP($BI$17,Sheet1!AL5:AO5,3,0),0)</f>
        <v>0</v>
      </c>
      <c r="BJ22" s="15">
        <f>+IFERROR(VLOOKUP($BJ$17,Sheet1!AL5:AO5,3,0),0)</f>
        <v>251</v>
      </c>
      <c r="BK22" s="15">
        <f>+IFERROR(VLOOKUP($BK$17,Sheet1!AL5:AO5,3,0),0)</f>
        <v>0</v>
      </c>
      <c r="BL22" s="15">
        <f>+IFERROR(VLOOKUP($BL$17,Sheet1!AL5:AO5,3,0),0)</f>
        <v>0</v>
      </c>
      <c r="BM22" s="15">
        <f>+IFERROR(VLOOKUP($BM$17,Sheet1!AP5:AS5,3,0),0)</f>
        <v>0</v>
      </c>
      <c r="BN22" s="15">
        <f>+IFERROR(VLOOKUP($BN$17,Sheet1!AT5:AW5,3,0),0)</f>
        <v>0</v>
      </c>
      <c r="BO22" s="15">
        <f>+IFERROR(VLOOKUP($BO$17,Sheet1!AX5:BA5,3,0),0)</f>
        <v>0</v>
      </c>
      <c r="BP22" s="15">
        <f>+IFERROR(VLOOKUP($BP$17,Sheet1!BB5:BE5,3,0),0)</f>
        <v>0</v>
      </c>
      <c r="BQ22" s="15">
        <f>+IFERROR(VLOOKUP($BQ$17,Sheet1!BF5:BI5,3,0),0)</f>
        <v>0</v>
      </c>
      <c r="BR22" s="15">
        <f>+IFERROR(VLOOKUP($BR$17,Sheet1!BJ5:BM5,3,0),0)</f>
        <v>0</v>
      </c>
      <c r="BS22" s="15">
        <f>+IFERROR(VLOOKUP($BS$17,Sheet1!BN5:BQ5,3,0),0)</f>
        <v>0</v>
      </c>
      <c r="BT22" s="15">
        <f>+IFERROR(VLOOKUP($BT$17,Sheet1!BR5:BU5,3,0),0)</f>
        <v>0</v>
      </c>
      <c r="BU22" s="15">
        <f>+IFERROR(VLOOKUP($BU$17,Sheet1!BV5:BY5,3,0),0)</f>
        <v>0</v>
      </c>
      <c r="BV22" s="15" t="str">
        <f>Sheet1!E5</f>
        <v>WOOD</v>
      </c>
      <c r="BW22" s="15" t="s">
        <v>265</v>
      </c>
      <c r="BX22" s="15" t="s">
        <v>266</v>
      </c>
      <c r="BY22" s="15">
        <f>Sheet1!CX5</f>
        <v>500</v>
      </c>
      <c r="BZ22" s="3">
        <v>6516</v>
      </c>
      <c r="CA22" s="3">
        <f>SUMPRODUCT($N$18:$BU$18,N22:BU22)+BZ22</f>
        <v>229430.182</v>
      </c>
      <c r="CB22" s="27">
        <f>Sheet1!CB5</f>
        <v>0</v>
      </c>
      <c r="CC22" s="3">
        <f t="shared" si="5"/>
        <v>0</v>
      </c>
      <c r="CD22" s="48">
        <v>0.08</v>
      </c>
      <c r="CE22" s="3">
        <f t="shared" si="6"/>
        <v>18354.414560000001</v>
      </c>
      <c r="CF22" s="48">
        <v>0</v>
      </c>
      <c r="CG22" s="3">
        <f t="shared" si="7"/>
        <v>0</v>
      </c>
      <c r="CH22" s="3">
        <f t="shared" si="8"/>
        <v>247784.59656000001</v>
      </c>
      <c r="CI22" s="48">
        <v>0.02</v>
      </c>
      <c r="CJ22" s="1">
        <f t="shared" si="9"/>
        <v>4955.6919312</v>
      </c>
      <c r="CK22" s="48">
        <v>0.01</v>
      </c>
      <c r="CL22" s="1">
        <f t="shared" si="10"/>
        <v>2477.8459656</v>
      </c>
      <c r="CN22">
        <f>1145*1000</f>
        <v>1145000</v>
      </c>
      <c r="CO22" s="121">
        <f t="shared" si="11"/>
        <v>77.710206597659379</v>
      </c>
    </row>
    <row r="24" spans="1:93" ht="60" x14ac:dyDescent="0.25">
      <c r="E24" s="2" t="s">
        <v>210</v>
      </c>
      <c r="F24" s="2" t="s">
        <v>211</v>
      </c>
      <c r="G24" s="58" t="s">
        <v>212</v>
      </c>
      <c r="H24" s="2" t="s">
        <v>213</v>
      </c>
      <c r="I24" s="2" t="s">
        <v>214</v>
      </c>
      <c r="J24" s="2" t="s">
        <v>215</v>
      </c>
      <c r="K24" s="2" t="s">
        <v>216</v>
      </c>
      <c r="L24" s="2" t="s">
        <v>217</v>
      </c>
      <c r="M24" s="59" t="s">
        <v>218</v>
      </c>
      <c r="AF24" s="30" t="s">
        <v>257</v>
      </c>
      <c r="BJ24" s="30" t="s">
        <v>258</v>
      </c>
      <c r="BV24" s="30" t="s">
        <v>259</v>
      </c>
      <c r="BW24" s="30" t="s">
        <v>260</v>
      </c>
    </row>
    <row r="25" spans="1:93" ht="30" x14ac:dyDescent="0.25">
      <c r="D25" s="30" t="str">
        <f>D19</f>
        <v>1 CORE X 50 SQ. MM. AL/UNARD. (XLPE)</v>
      </c>
      <c r="E25" s="58">
        <f>K19</f>
        <v>980</v>
      </c>
      <c r="F25" s="60">
        <f>BY19/1000</f>
        <v>1</v>
      </c>
      <c r="G25" s="58" t="s">
        <v>219</v>
      </c>
      <c r="H25" s="61">
        <v>45000</v>
      </c>
      <c r="I25" s="60">
        <v>36</v>
      </c>
      <c r="J25" s="58">
        <f>F25*I25</f>
        <v>36</v>
      </c>
      <c r="K25" s="58">
        <f>ROUNDUP((E25/J25),0)</f>
        <v>28</v>
      </c>
      <c r="L25" s="58">
        <f>M25*E25</f>
        <v>1260000</v>
      </c>
      <c r="M25" s="62">
        <f>(H25*K25)/E25</f>
        <v>1285.7142857142858</v>
      </c>
      <c r="AF25" s="30">
        <f>SUM(N19:BJ19)</f>
        <v>281.84100000000001</v>
      </c>
      <c r="BJ25" s="30">
        <v>55</v>
      </c>
      <c r="BV25" s="30">
        <f>((AF25*F25)+BJ25)</f>
        <v>336.84100000000001</v>
      </c>
      <c r="BW25" s="120">
        <f>BV25*I25</f>
        <v>12126.276</v>
      </c>
    </row>
    <row r="26" spans="1:93" ht="30" x14ac:dyDescent="0.25">
      <c r="D26" s="30" t="str">
        <f t="shared" ref="D26:D28" si="12">D20</f>
        <v>1 CORE X 70 SQ. MM AL/UNARD ( XLPE )</v>
      </c>
      <c r="E26" s="58">
        <f t="shared" ref="E26:E28" si="13">K20</f>
        <v>850</v>
      </c>
      <c r="F26" s="60">
        <f t="shared" ref="F26:F28" si="14">BY20/1000</f>
        <v>0.5</v>
      </c>
      <c r="G26" s="58" t="s">
        <v>219</v>
      </c>
      <c r="H26" s="61">
        <v>45000</v>
      </c>
      <c r="I26" s="60">
        <v>36</v>
      </c>
      <c r="J26" s="58">
        <f t="shared" ref="J26:J28" si="15">F26*I26</f>
        <v>18</v>
      </c>
      <c r="K26" s="58">
        <f t="shared" ref="K26:K28" si="16">ROUNDUP((E26/J26),0)</f>
        <v>48</v>
      </c>
      <c r="L26" s="58">
        <f t="shared" ref="L26:L28" si="17">M26*E26</f>
        <v>2160000</v>
      </c>
      <c r="M26" s="62">
        <f t="shared" ref="M26:M28" si="18">(H26*K26)/E26</f>
        <v>2541.1764705882351</v>
      </c>
      <c r="AF26" s="30">
        <f t="shared" ref="AF26:AF28" si="19">SUM(N20:BJ20)</f>
        <v>357.43299999999999</v>
      </c>
      <c r="BJ26" s="30">
        <f>50+15</f>
        <v>65</v>
      </c>
      <c r="BV26" s="30">
        <f t="shared" ref="BV26:BV28" si="20">((AF26*F26)+BJ26)</f>
        <v>243.7165</v>
      </c>
      <c r="BW26" s="120">
        <f t="shared" ref="BW26:BW28" si="21">BV26*I26</f>
        <v>8773.7939999999999</v>
      </c>
    </row>
    <row r="27" spans="1:93" ht="30" x14ac:dyDescent="0.25">
      <c r="D27" s="30" t="str">
        <f t="shared" si="12"/>
        <v>1 CORE X 150 SQ. MM. AL/UNARD. (XLPE)</v>
      </c>
      <c r="E27" s="58">
        <f t="shared" si="13"/>
        <v>580</v>
      </c>
      <c r="F27" s="60">
        <f t="shared" si="14"/>
        <v>0.5</v>
      </c>
      <c r="G27" s="58" t="s">
        <v>219</v>
      </c>
      <c r="H27" s="61">
        <v>45000</v>
      </c>
      <c r="I27" s="60">
        <v>36</v>
      </c>
      <c r="J27" s="58">
        <f t="shared" si="15"/>
        <v>18</v>
      </c>
      <c r="K27" s="58">
        <f t="shared" si="16"/>
        <v>33</v>
      </c>
      <c r="L27" s="58">
        <f t="shared" si="17"/>
        <v>1485000</v>
      </c>
      <c r="M27" s="62">
        <f t="shared" si="18"/>
        <v>2560.344827586207</v>
      </c>
      <c r="AF27" s="30">
        <f t="shared" si="19"/>
        <v>663.59199999999998</v>
      </c>
      <c r="BJ27" s="30">
        <f>55+20</f>
        <v>75</v>
      </c>
      <c r="BV27" s="30">
        <f t="shared" si="20"/>
        <v>406.79599999999999</v>
      </c>
      <c r="BW27" s="120">
        <f t="shared" si="21"/>
        <v>14644.655999999999</v>
      </c>
    </row>
    <row r="28" spans="1:93" ht="30" x14ac:dyDescent="0.25">
      <c r="D28" s="30" t="str">
        <f t="shared" si="12"/>
        <v>1 CORE X 300 SQ. MM. AL/UNARD. (XLPE)</v>
      </c>
      <c r="E28" s="58">
        <f t="shared" si="13"/>
        <v>270</v>
      </c>
      <c r="F28" s="60">
        <f t="shared" si="14"/>
        <v>0.5</v>
      </c>
      <c r="G28" s="58" t="s">
        <v>219</v>
      </c>
      <c r="H28" s="61">
        <v>45000</v>
      </c>
      <c r="I28" s="60">
        <v>20</v>
      </c>
      <c r="J28" s="58">
        <f t="shared" si="15"/>
        <v>10</v>
      </c>
      <c r="K28" s="58">
        <f t="shared" si="16"/>
        <v>27</v>
      </c>
      <c r="L28" s="58">
        <f t="shared" si="17"/>
        <v>1215000</v>
      </c>
      <c r="M28" s="62">
        <f t="shared" si="18"/>
        <v>4500</v>
      </c>
      <c r="AF28" s="30">
        <f t="shared" si="19"/>
        <v>1193.4459999999999</v>
      </c>
      <c r="BJ28" s="30">
        <f>75+25</f>
        <v>100</v>
      </c>
      <c r="BV28" s="30">
        <f t="shared" si="20"/>
        <v>696.72299999999996</v>
      </c>
      <c r="BW28" s="120">
        <f t="shared" si="21"/>
        <v>13934.46</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5:G28" xr:uid="{35116687-2F7A-40A4-99CD-B43722FBD49E}">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521B-3CEE-4478-99AC-C12775FABA2A}">
  <sheetPr>
    <tabColor rgb="FFFF0000"/>
  </sheetPr>
  <dimension ref="A1:AF17"/>
  <sheetViews>
    <sheetView zoomScaleNormal="100" workbookViewId="0">
      <selection activeCell="K21" sqref="K21"/>
    </sheetView>
  </sheetViews>
  <sheetFormatPr defaultRowHeight="12.75" x14ac:dyDescent="0.2"/>
  <cols>
    <col min="1" max="1" width="41.5703125" style="72" customWidth="1"/>
    <col min="2" max="2" width="14.7109375" style="72" customWidth="1"/>
    <col min="3" max="3" width="12.42578125" style="72" customWidth="1"/>
    <col min="4" max="4" width="11" style="72" bestFit="1" customWidth="1"/>
    <col min="5" max="6" width="11.42578125" style="72" bestFit="1" customWidth="1"/>
    <col min="7" max="7" width="10.140625" style="72" customWidth="1"/>
    <col min="8" max="8" width="10.7109375" style="72" bestFit="1" customWidth="1"/>
    <col min="9" max="10" width="10.42578125" style="72" bestFit="1" customWidth="1"/>
    <col min="11" max="11" width="9.140625" style="72"/>
    <col min="12" max="13" width="8.7109375" style="72" customWidth="1"/>
    <col min="14" max="14" width="8.5703125" style="72" customWidth="1"/>
    <col min="15" max="15" width="10.42578125" style="72" bestFit="1" customWidth="1"/>
    <col min="16" max="16" width="12" style="72" bestFit="1" customWidth="1"/>
    <col min="17" max="17" width="11.42578125" style="72" bestFit="1" customWidth="1"/>
    <col min="18" max="18" width="11" style="72" customWidth="1"/>
    <col min="19" max="19" width="11" style="72" bestFit="1" customWidth="1"/>
    <col min="20" max="20" width="14.42578125" style="72" bestFit="1" customWidth="1"/>
    <col min="21" max="22" width="9.140625" style="72" customWidth="1"/>
    <col min="23" max="23" width="9.5703125" style="72" customWidth="1"/>
    <col min="24" max="24" width="10.42578125" style="72" customWidth="1"/>
    <col min="25" max="25" width="9.5703125" style="72" customWidth="1"/>
    <col min="26" max="26" width="10.5703125" style="72" customWidth="1"/>
    <col min="27" max="27" width="10" style="72" customWidth="1"/>
    <col min="28" max="28" width="9.7109375" style="72" customWidth="1"/>
    <col min="29" max="29" width="9" style="72" customWidth="1"/>
    <col min="30" max="30" width="9.140625" style="72" customWidth="1"/>
    <col min="31" max="251" width="9.140625" style="72"/>
    <col min="252" max="252" width="54.140625" style="72" bestFit="1" customWidth="1"/>
    <col min="253" max="253" width="14.7109375" style="72" customWidth="1"/>
    <col min="254" max="254" width="10.140625" style="72" customWidth="1"/>
    <col min="255" max="255" width="10.42578125" style="72" bestFit="1" customWidth="1"/>
    <col min="256" max="257" width="9.42578125" style="72" bestFit="1" customWidth="1"/>
    <col min="258" max="259" width="9.42578125" style="72" customWidth="1"/>
    <col min="260" max="260" width="10.140625" style="72" bestFit="1" customWidth="1"/>
    <col min="261" max="264" width="9.140625" style="72"/>
    <col min="265" max="265" width="7.28515625" style="72" customWidth="1"/>
    <col min="266" max="268" width="7.42578125" style="72" customWidth="1"/>
    <col min="269" max="269" width="10.42578125" style="72" bestFit="1" customWidth="1"/>
    <col min="270" max="270" width="12" style="72" bestFit="1" customWidth="1"/>
    <col min="271" max="271" width="11" style="72" bestFit="1" customWidth="1"/>
    <col min="272" max="273" width="11" style="72" customWidth="1"/>
    <col min="274" max="274" width="10" style="72" bestFit="1" customWidth="1"/>
    <col min="275" max="275" width="14.42578125" style="72" bestFit="1" customWidth="1"/>
    <col min="276" max="286" width="0" style="72" hidden="1" customWidth="1"/>
    <col min="287" max="507" width="9.140625" style="72"/>
    <col min="508" max="508" width="54.140625" style="72" bestFit="1" customWidth="1"/>
    <col min="509" max="509" width="14.7109375" style="72" customWidth="1"/>
    <col min="510" max="510" width="10.140625" style="72" customWidth="1"/>
    <col min="511" max="511" width="10.42578125" style="72" bestFit="1" customWidth="1"/>
    <col min="512" max="513" width="9.42578125" style="72" bestFit="1" customWidth="1"/>
    <col min="514" max="515" width="9.42578125" style="72" customWidth="1"/>
    <col min="516" max="516" width="10.140625" style="72" bestFit="1" customWidth="1"/>
    <col min="517" max="520" width="9.140625" style="72"/>
    <col min="521" max="521" width="7.28515625" style="72" customWidth="1"/>
    <col min="522" max="524" width="7.42578125" style="72" customWidth="1"/>
    <col min="525" max="525" width="10.42578125" style="72" bestFit="1" customWidth="1"/>
    <col min="526" max="526" width="12" style="72" bestFit="1" customWidth="1"/>
    <col min="527" max="527" width="11" style="72" bestFit="1" customWidth="1"/>
    <col min="528" max="529" width="11" style="72" customWidth="1"/>
    <col min="530" max="530" width="10" style="72" bestFit="1" customWidth="1"/>
    <col min="531" max="531" width="14.42578125" style="72" bestFit="1" customWidth="1"/>
    <col min="532" max="542" width="0" style="72" hidden="1" customWidth="1"/>
    <col min="543" max="763" width="9.140625" style="72"/>
    <col min="764" max="764" width="54.140625" style="72" bestFit="1" customWidth="1"/>
    <col min="765" max="765" width="14.7109375" style="72" customWidth="1"/>
    <col min="766" max="766" width="10.140625" style="72" customWidth="1"/>
    <col min="767" max="767" width="10.42578125" style="72" bestFit="1" customWidth="1"/>
    <col min="768" max="769" width="9.42578125" style="72" bestFit="1" customWidth="1"/>
    <col min="770" max="771" width="9.42578125" style="72" customWidth="1"/>
    <col min="772" max="772" width="10.140625" style="72" bestFit="1" customWidth="1"/>
    <col min="773" max="776" width="9.140625" style="72"/>
    <col min="777" max="777" width="7.28515625" style="72" customWidth="1"/>
    <col min="778" max="780" width="7.42578125" style="72" customWidth="1"/>
    <col min="781" max="781" width="10.42578125" style="72" bestFit="1" customWidth="1"/>
    <col min="782" max="782" width="12" style="72" bestFit="1" customWidth="1"/>
    <col min="783" max="783" width="11" style="72" bestFit="1" customWidth="1"/>
    <col min="784" max="785" width="11" style="72" customWidth="1"/>
    <col min="786" max="786" width="10" style="72" bestFit="1" customWidth="1"/>
    <col min="787" max="787" width="14.42578125" style="72" bestFit="1" customWidth="1"/>
    <col min="788" max="798" width="0" style="72" hidden="1" customWidth="1"/>
    <col min="799" max="1019" width="9.140625" style="72"/>
    <col min="1020" max="1020" width="54.140625" style="72" bestFit="1" customWidth="1"/>
    <col min="1021" max="1021" width="14.7109375" style="72" customWidth="1"/>
    <col min="1022" max="1022" width="10.140625" style="72" customWidth="1"/>
    <col min="1023" max="1023" width="10.42578125" style="72" bestFit="1" customWidth="1"/>
    <col min="1024" max="1025" width="9.42578125" style="72" bestFit="1" customWidth="1"/>
    <col min="1026" max="1027" width="9.42578125" style="72" customWidth="1"/>
    <col min="1028" max="1028" width="10.140625" style="72" bestFit="1" customWidth="1"/>
    <col min="1029" max="1032" width="9.140625" style="72"/>
    <col min="1033" max="1033" width="7.28515625" style="72" customWidth="1"/>
    <col min="1034" max="1036" width="7.42578125" style="72" customWidth="1"/>
    <col min="1037" max="1037" width="10.42578125" style="72" bestFit="1" customWidth="1"/>
    <col min="1038" max="1038" width="12" style="72" bestFit="1" customWidth="1"/>
    <col min="1039" max="1039" width="11" style="72" bestFit="1" customWidth="1"/>
    <col min="1040" max="1041" width="11" style="72" customWidth="1"/>
    <col min="1042" max="1042" width="10" style="72" bestFit="1" customWidth="1"/>
    <col min="1043" max="1043" width="14.42578125" style="72" bestFit="1" customWidth="1"/>
    <col min="1044" max="1054" width="0" style="72" hidden="1" customWidth="1"/>
    <col min="1055" max="1275" width="9.140625" style="72"/>
    <col min="1276" max="1276" width="54.140625" style="72" bestFit="1" customWidth="1"/>
    <col min="1277" max="1277" width="14.7109375" style="72" customWidth="1"/>
    <col min="1278" max="1278" width="10.140625" style="72" customWidth="1"/>
    <col min="1279" max="1279" width="10.42578125" style="72" bestFit="1" customWidth="1"/>
    <col min="1280" max="1281" width="9.42578125" style="72" bestFit="1" customWidth="1"/>
    <col min="1282" max="1283" width="9.42578125" style="72" customWidth="1"/>
    <col min="1284" max="1284" width="10.140625" style="72" bestFit="1" customWidth="1"/>
    <col min="1285" max="1288" width="9.140625" style="72"/>
    <col min="1289" max="1289" width="7.28515625" style="72" customWidth="1"/>
    <col min="1290" max="1292" width="7.42578125" style="72" customWidth="1"/>
    <col min="1293" max="1293" width="10.42578125" style="72" bestFit="1" customWidth="1"/>
    <col min="1294" max="1294" width="12" style="72" bestFit="1" customWidth="1"/>
    <col min="1295" max="1295" width="11" style="72" bestFit="1" customWidth="1"/>
    <col min="1296" max="1297" width="11" style="72" customWidth="1"/>
    <col min="1298" max="1298" width="10" style="72" bestFit="1" customWidth="1"/>
    <col min="1299" max="1299" width="14.42578125" style="72" bestFit="1" customWidth="1"/>
    <col min="1300" max="1310" width="0" style="72" hidden="1" customWidth="1"/>
    <col min="1311" max="1531" width="9.140625" style="72"/>
    <col min="1532" max="1532" width="54.140625" style="72" bestFit="1" customWidth="1"/>
    <col min="1533" max="1533" width="14.7109375" style="72" customWidth="1"/>
    <col min="1534" max="1534" width="10.140625" style="72" customWidth="1"/>
    <col min="1535" max="1535" width="10.42578125" style="72" bestFit="1" customWidth="1"/>
    <col min="1536" max="1537" width="9.42578125" style="72" bestFit="1" customWidth="1"/>
    <col min="1538" max="1539" width="9.42578125" style="72" customWidth="1"/>
    <col min="1540" max="1540" width="10.140625" style="72" bestFit="1" customWidth="1"/>
    <col min="1541" max="1544" width="9.140625" style="72"/>
    <col min="1545" max="1545" width="7.28515625" style="72" customWidth="1"/>
    <col min="1546" max="1548" width="7.42578125" style="72" customWidth="1"/>
    <col min="1549" max="1549" width="10.42578125" style="72" bestFit="1" customWidth="1"/>
    <col min="1550" max="1550" width="12" style="72" bestFit="1" customWidth="1"/>
    <col min="1551" max="1551" width="11" style="72" bestFit="1" customWidth="1"/>
    <col min="1552" max="1553" width="11" style="72" customWidth="1"/>
    <col min="1554" max="1554" width="10" style="72" bestFit="1" customWidth="1"/>
    <col min="1555" max="1555" width="14.42578125" style="72" bestFit="1" customWidth="1"/>
    <col min="1556" max="1566" width="0" style="72" hidden="1" customWidth="1"/>
    <col min="1567" max="1787" width="9.140625" style="72"/>
    <col min="1788" max="1788" width="54.140625" style="72" bestFit="1" customWidth="1"/>
    <col min="1789" max="1789" width="14.7109375" style="72" customWidth="1"/>
    <col min="1790" max="1790" width="10.140625" style="72" customWidth="1"/>
    <col min="1791" max="1791" width="10.42578125" style="72" bestFit="1" customWidth="1"/>
    <col min="1792" max="1793" width="9.42578125" style="72" bestFit="1" customWidth="1"/>
    <col min="1794" max="1795" width="9.42578125" style="72" customWidth="1"/>
    <col min="1796" max="1796" width="10.140625" style="72" bestFit="1" customWidth="1"/>
    <col min="1797" max="1800" width="9.140625" style="72"/>
    <col min="1801" max="1801" width="7.28515625" style="72" customWidth="1"/>
    <col min="1802" max="1804" width="7.42578125" style="72" customWidth="1"/>
    <col min="1805" max="1805" width="10.42578125" style="72" bestFit="1" customWidth="1"/>
    <col min="1806" max="1806" width="12" style="72" bestFit="1" customWidth="1"/>
    <col min="1807" max="1807" width="11" style="72" bestFit="1" customWidth="1"/>
    <col min="1808" max="1809" width="11" style="72" customWidth="1"/>
    <col min="1810" max="1810" width="10" style="72" bestFit="1" customWidth="1"/>
    <col min="1811" max="1811" width="14.42578125" style="72" bestFit="1" customWidth="1"/>
    <col min="1812" max="1822" width="0" style="72" hidden="1" customWidth="1"/>
    <col min="1823" max="2043" width="9.140625" style="72"/>
    <col min="2044" max="2044" width="54.140625" style="72" bestFit="1" customWidth="1"/>
    <col min="2045" max="2045" width="14.7109375" style="72" customWidth="1"/>
    <col min="2046" max="2046" width="10.140625" style="72" customWidth="1"/>
    <col min="2047" max="2047" width="10.42578125" style="72" bestFit="1" customWidth="1"/>
    <col min="2048" max="2049" width="9.42578125" style="72" bestFit="1" customWidth="1"/>
    <col min="2050" max="2051" width="9.42578125" style="72" customWidth="1"/>
    <col min="2052" max="2052" width="10.140625" style="72" bestFit="1" customWidth="1"/>
    <col min="2053" max="2056" width="9.140625" style="72"/>
    <col min="2057" max="2057" width="7.28515625" style="72" customWidth="1"/>
    <col min="2058" max="2060" width="7.42578125" style="72" customWidth="1"/>
    <col min="2061" max="2061" width="10.42578125" style="72" bestFit="1" customWidth="1"/>
    <col min="2062" max="2062" width="12" style="72" bestFit="1" customWidth="1"/>
    <col min="2063" max="2063" width="11" style="72" bestFit="1" customWidth="1"/>
    <col min="2064" max="2065" width="11" style="72" customWidth="1"/>
    <col min="2066" max="2066" width="10" style="72" bestFit="1" customWidth="1"/>
    <col min="2067" max="2067" width="14.42578125" style="72" bestFit="1" customWidth="1"/>
    <col min="2068" max="2078" width="0" style="72" hidden="1" customWidth="1"/>
    <col min="2079" max="2299" width="9.140625" style="72"/>
    <col min="2300" max="2300" width="54.140625" style="72" bestFit="1" customWidth="1"/>
    <col min="2301" max="2301" width="14.7109375" style="72" customWidth="1"/>
    <col min="2302" max="2302" width="10.140625" style="72" customWidth="1"/>
    <col min="2303" max="2303" width="10.42578125" style="72" bestFit="1" customWidth="1"/>
    <col min="2304" max="2305" width="9.42578125" style="72" bestFit="1" customWidth="1"/>
    <col min="2306" max="2307" width="9.42578125" style="72" customWidth="1"/>
    <col min="2308" max="2308" width="10.140625" style="72" bestFit="1" customWidth="1"/>
    <col min="2309" max="2312" width="9.140625" style="72"/>
    <col min="2313" max="2313" width="7.28515625" style="72" customWidth="1"/>
    <col min="2314" max="2316" width="7.42578125" style="72" customWidth="1"/>
    <col min="2317" max="2317" width="10.42578125" style="72" bestFit="1" customWidth="1"/>
    <col min="2318" max="2318" width="12" style="72" bestFit="1" customWidth="1"/>
    <col min="2319" max="2319" width="11" style="72" bestFit="1" customWidth="1"/>
    <col min="2320" max="2321" width="11" style="72" customWidth="1"/>
    <col min="2322" max="2322" width="10" style="72" bestFit="1" customWidth="1"/>
    <col min="2323" max="2323" width="14.42578125" style="72" bestFit="1" customWidth="1"/>
    <col min="2324" max="2334" width="0" style="72" hidden="1" customWidth="1"/>
    <col min="2335" max="2555" width="9.140625" style="72"/>
    <col min="2556" max="2556" width="54.140625" style="72" bestFit="1" customWidth="1"/>
    <col min="2557" max="2557" width="14.7109375" style="72" customWidth="1"/>
    <col min="2558" max="2558" width="10.140625" style="72" customWidth="1"/>
    <col min="2559" max="2559" width="10.42578125" style="72" bestFit="1" customWidth="1"/>
    <col min="2560" max="2561" width="9.42578125" style="72" bestFit="1" customWidth="1"/>
    <col min="2562" max="2563" width="9.42578125" style="72" customWidth="1"/>
    <col min="2564" max="2564" width="10.140625" style="72" bestFit="1" customWidth="1"/>
    <col min="2565" max="2568" width="9.140625" style="72"/>
    <col min="2569" max="2569" width="7.28515625" style="72" customWidth="1"/>
    <col min="2570" max="2572" width="7.42578125" style="72" customWidth="1"/>
    <col min="2573" max="2573" width="10.42578125" style="72" bestFit="1" customWidth="1"/>
    <col min="2574" max="2574" width="12" style="72" bestFit="1" customWidth="1"/>
    <col min="2575" max="2575" width="11" style="72" bestFit="1" customWidth="1"/>
    <col min="2576" max="2577" width="11" style="72" customWidth="1"/>
    <col min="2578" max="2578" width="10" style="72" bestFit="1" customWidth="1"/>
    <col min="2579" max="2579" width="14.42578125" style="72" bestFit="1" customWidth="1"/>
    <col min="2580" max="2590" width="0" style="72" hidden="1" customWidth="1"/>
    <col min="2591" max="2811" width="9.140625" style="72"/>
    <col min="2812" max="2812" width="54.140625" style="72" bestFit="1" customWidth="1"/>
    <col min="2813" max="2813" width="14.7109375" style="72" customWidth="1"/>
    <col min="2814" max="2814" width="10.140625" style="72" customWidth="1"/>
    <col min="2815" max="2815" width="10.42578125" style="72" bestFit="1" customWidth="1"/>
    <col min="2816" max="2817" width="9.42578125" style="72" bestFit="1" customWidth="1"/>
    <col min="2818" max="2819" width="9.42578125" style="72" customWidth="1"/>
    <col min="2820" max="2820" width="10.140625" style="72" bestFit="1" customWidth="1"/>
    <col min="2821" max="2824" width="9.140625" style="72"/>
    <col min="2825" max="2825" width="7.28515625" style="72" customWidth="1"/>
    <col min="2826" max="2828" width="7.42578125" style="72" customWidth="1"/>
    <col min="2829" max="2829" width="10.42578125" style="72" bestFit="1" customWidth="1"/>
    <col min="2830" max="2830" width="12" style="72" bestFit="1" customWidth="1"/>
    <col min="2831" max="2831" width="11" style="72" bestFit="1" customWidth="1"/>
    <col min="2832" max="2833" width="11" style="72" customWidth="1"/>
    <col min="2834" max="2834" width="10" style="72" bestFit="1" customWidth="1"/>
    <col min="2835" max="2835" width="14.42578125" style="72" bestFit="1" customWidth="1"/>
    <col min="2836" max="2846" width="0" style="72" hidden="1" customWidth="1"/>
    <col min="2847" max="3067" width="9.140625" style="72"/>
    <col min="3068" max="3068" width="54.140625" style="72" bestFit="1" customWidth="1"/>
    <col min="3069" max="3069" width="14.7109375" style="72" customWidth="1"/>
    <col min="3070" max="3070" width="10.140625" style="72" customWidth="1"/>
    <col min="3071" max="3071" width="10.42578125" style="72" bestFit="1" customWidth="1"/>
    <col min="3072" max="3073" width="9.42578125" style="72" bestFit="1" customWidth="1"/>
    <col min="3074" max="3075" width="9.42578125" style="72" customWidth="1"/>
    <col min="3076" max="3076" width="10.140625" style="72" bestFit="1" customWidth="1"/>
    <col min="3077" max="3080" width="9.140625" style="72"/>
    <col min="3081" max="3081" width="7.28515625" style="72" customWidth="1"/>
    <col min="3082" max="3084" width="7.42578125" style="72" customWidth="1"/>
    <col min="3085" max="3085" width="10.42578125" style="72" bestFit="1" customWidth="1"/>
    <col min="3086" max="3086" width="12" style="72" bestFit="1" customWidth="1"/>
    <col min="3087" max="3087" width="11" style="72" bestFit="1" customWidth="1"/>
    <col min="3088" max="3089" width="11" style="72" customWidth="1"/>
    <col min="3090" max="3090" width="10" style="72" bestFit="1" customWidth="1"/>
    <col min="3091" max="3091" width="14.42578125" style="72" bestFit="1" customWidth="1"/>
    <col min="3092" max="3102" width="0" style="72" hidden="1" customWidth="1"/>
    <col min="3103" max="3323" width="9.140625" style="72"/>
    <col min="3324" max="3324" width="54.140625" style="72" bestFit="1" customWidth="1"/>
    <col min="3325" max="3325" width="14.7109375" style="72" customWidth="1"/>
    <col min="3326" max="3326" width="10.140625" style="72" customWidth="1"/>
    <col min="3327" max="3327" width="10.42578125" style="72" bestFit="1" customWidth="1"/>
    <col min="3328" max="3329" width="9.42578125" style="72" bestFit="1" customWidth="1"/>
    <col min="3330" max="3331" width="9.42578125" style="72" customWidth="1"/>
    <col min="3332" max="3332" width="10.140625" style="72" bestFit="1" customWidth="1"/>
    <col min="3333" max="3336" width="9.140625" style="72"/>
    <col min="3337" max="3337" width="7.28515625" style="72" customWidth="1"/>
    <col min="3338" max="3340" width="7.42578125" style="72" customWidth="1"/>
    <col min="3341" max="3341" width="10.42578125" style="72" bestFit="1" customWidth="1"/>
    <col min="3342" max="3342" width="12" style="72" bestFit="1" customWidth="1"/>
    <col min="3343" max="3343" width="11" style="72" bestFit="1" customWidth="1"/>
    <col min="3344" max="3345" width="11" style="72" customWidth="1"/>
    <col min="3346" max="3346" width="10" style="72" bestFit="1" customWidth="1"/>
    <col min="3347" max="3347" width="14.42578125" style="72" bestFit="1" customWidth="1"/>
    <col min="3348" max="3358" width="0" style="72" hidden="1" customWidth="1"/>
    <col min="3359" max="3579" width="9.140625" style="72"/>
    <col min="3580" max="3580" width="54.140625" style="72" bestFit="1" customWidth="1"/>
    <col min="3581" max="3581" width="14.7109375" style="72" customWidth="1"/>
    <col min="3582" max="3582" width="10.140625" style="72" customWidth="1"/>
    <col min="3583" max="3583" width="10.42578125" style="72" bestFit="1" customWidth="1"/>
    <col min="3584" max="3585" width="9.42578125" style="72" bestFit="1" customWidth="1"/>
    <col min="3586" max="3587" width="9.42578125" style="72" customWidth="1"/>
    <col min="3588" max="3588" width="10.140625" style="72" bestFit="1" customWidth="1"/>
    <col min="3589" max="3592" width="9.140625" style="72"/>
    <col min="3593" max="3593" width="7.28515625" style="72" customWidth="1"/>
    <col min="3594" max="3596" width="7.42578125" style="72" customWidth="1"/>
    <col min="3597" max="3597" width="10.42578125" style="72" bestFit="1" customWidth="1"/>
    <col min="3598" max="3598" width="12" style="72" bestFit="1" customWidth="1"/>
    <col min="3599" max="3599" width="11" style="72" bestFit="1" customWidth="1"/>
    <col min="3600" max="3601" width="11" style="72" customWidth="1"/>
    <col min="3602" max="3602" width="10" style="72" bestFit="1" customWidth="1"/>
    <col min="3603" max="3603" width="14.42578125" style="72" bestFit="1" customWidth="1"/>
    <col min="3604" max="3614" width="0" style="72" hidden="1" customWidth="1"/>
    <col min="3615" max="3835" width="9.140625" style="72"/>
    <col min="3836" max="3836" width="54.140625" style="72" bestFit="1" customWidth="1"/>
    <col min="3837" max="3837" width="14.7109375" style="72" customWidth="1"/>
    <col min="3838" max="3838" width="10.140625" style="72" customWidth="1"/>
    <col min="3839" max="3839" width="10.42578125" style="72" bestFit="1" customWidth="1"/>
    <col min="3840" max="3841" width="9.42578125" style="72" bestFit="1" customWidth="1"/>
    <col min="3842" max="3843" width="9.42578125" style="72" customWidth="1"/>
    <col min="3844" max="3844" width="10.140625" style="72" bestFit="1" customWidth="1"/>
    <col min="3845" max="3848" width="9.140625" style="72"/>
    <col min="3849" max="3849" width="7.28515625" style="72" customWidth="1"/>
    <col min="3850" max="3852" width="7.42578125" style="72" customWidth="1"/>
    <col min="3853" max="3853" width="10.42578125" style="72" bestFit="1" customWidth="1"/>
    <col min="3854" max="3854" width="12" style="72" bestFit="1" customWidth="1"/>
    <col min="3855" max="3855" width="11" style="72" bestFit="1" customWidth="1"/>
    <col min="3856" max="3857" width="11" style="72" customWidth="1"/>
    <col min="3858" max="3858" width="10" style="72" bestFit="1" customWidth="1"/>
    <col min="3859" max="3859" width="14.42578125" style="72" bestFit="1" customWidth="1"/>
    <col min="3860" max="3870" width="0" style="72" hidden="1" customWidth="1"/>
    <col min="3871" max="4091" width="9.140625" style="72"/>
    <col min="4092" max="4092" width="54.140625" style="72" bestFit="1" customWidth="1"/>
    <col min="4093" max="4093" width="14.7109375" style="72" customWidth="1"/>
    <col min="4094" max="4094" width="10.140625" style="72" customWidth="1"/>
    <col min="4095" max="4095" width="10.42578125" style="72" bestFit="1" customWidth="1"/>
    <col min="4096" max="4097" width="9.42578125" style="72" bestFit="1" customWidth="1"/>
    <col min="4098" max="4099" width="9.42578125" style="72" customWidth="1"/>
    <col min="4100" max="4100" width="10.140625" style="72" bestFit="1" customWidth="1"/>
    <col min="4101" max="4104" width="9.140625" style="72"/>
    <col min="4105" max="4105" width="7.28515625" style="72" customWidth="1"/>
    <col min="4106" max="4108" width="7.42578125" style="72" customWidth="1"/>
    <col min="4109" max="4109" width="10.42578125" style="72" bestFit="1" customWidth="1"/>
    <col min="4110" max="4110" width="12" style="72" bestFit="1" customWidth="1"/>
    <col min="4111" max="4111" width="11" style="72" bestFit="1" customWidth="1"/>
    <col min="4112" max="4113" width="11" style="72" customWidth="1"/>
    <col min="4114" max="4114" width="10" style="72" bestFit="1" customWidth="1"/>
    <col min="4115" max="4115" width="14.42578125" style="72" bestFit="1" customWidth="1"/>
    <col min="4116" max="4126" width="0" style="72" hidden="1" customWidth="1"/>
    <col min="4127" max="4347" width="9.140625" style="72"/>
    <col min="4348" max="4348" width="54.140625" style="72" bestFit="1" customWidth="1"/>
    <col min="4349" max="4349" width="14.7109375" style="72" customWidth="1"/>
    <col min="4350" max="4350" width="10.140625" style="72" customWidth="1"/>
    <col min="4351" max="4351" width="10.42578125" style="72" bestFit="1" customWidth="1"/>
    <col min="4352" max="4353" width="9.42578125" style="72" bestFit="1" customWidth="1"/>
    <col min="4354" max="4355" width="9.42578125" style="72" customWidth="1"/>
    <col min="4356" max="4356" width="10.140625" style="72" bestFit="1" customWidth="1"/>
    <col min="4357" max="4360" width="9.140625" style="72"/>
    <col min="4361" max="4361" width="7.28515625" style="72" customWidth="1"/>
    <col min="4362" max="4364" width="7.42578125" style="72" customWidth="1"/>
    <col min="4365" max="4365" width="10.42578125" style="72" bestFit="1" customWidth="1"/>
    <col min="4366" max="4366" width="12" style="72" bestFit="1" customWidth="1"/>
    <col min="4367" max="4367" width="11" style="72" bestFit="1" customWidth="1"/>
    <col min="4368" max="4369" width="11" style="72" customWidth="1"/>
    <col min="4370" max="4370" width="10" style="72" bestFit="1" customWidth="1"/>
    <col min="4371" max="4371" width="14.42578125" style="72" bestFit="1" customWidth="1"/>
    <col min="4372" max="4382" width="0" style="72" hidden="1" customWidth="1"/>
    <col min="4383" max="4603" width="9.140625" style="72"/>
    <col min="4604" max="4604" width="54.140625" style="72" bestFit="1" customWidth="1"/>
    <col min="4605" max="4605" width="14.7109375" style="72" customWidth="1"/>
    <col min="4606" max="4606" width="10.140625" style="72" customWidth="1"/>
    <col min="4607" max="4607" width="10.42578125" style="72" bestFit="1" customWidth="1"/>
    <col min="4608" max="4609" width="9.42578125" style="72" bestFit="1" customWidth="1"/>
    <col min="4610" max="4611" width="9.42578125" style="72" customWidth="1"/>
    <col min="4612" max="4612" width="10.140625" style="72" bestFit="1" customWidth="1"/>
    <col min="4613" max="4616" width="9.140625" style="72"/>
    <col min="4617" max="4617" width="7.28515625" style="72" customWidth="1"/>
    <col min="4618" max="4620" width="7.42578125" style="72" customWidth="1"/>
    <col min="4621" max="4621" width="10.42578125" style="72" bestFit="1" customWidth="1"/>
    <col min="4622" max="4622" width="12" style="72" bestFit="1" customWidth="1"/>
    <col min="4623" max="4623" width="11" style="72" bestFit="1" customWidth="1"/>
    <col min="4624" max="4625" width="11" style="72" customWidth="1"/>
    <col min="4626" max="4626" width="10" style="72" bestFit="1" customWidth="1"/>
    <col min="4627" max="4627" width="14.42578125" style="72" bestFit="1" customWidth="1"/>
    <col min="4628" max="4638" width="0" style="72" hidden="1" customWidth="1"/>
    <col min="4639" max="4859" width="9.140625" style="72"/>
    <col min="4860" max="4860" width="54.140625" style="72" bestFit="1" customWidth="1"/>
    <col min="4861" max="4861" width="14.7109375" style="72" customWidth="1"/>
    <col min="4862" max="4862" width="10.140625" style="72" customWidth="1"/>
    <col min="4863" max="4863" width="10.42578125" style="72" bestFit="1" customWidth="1"/>
    <col min="4864" max="4865" width="9.42578125" style="72" bestFit="1" customWidth="1"/>
    <col min="4866" max="4867" width="9.42578125" style="72" customWidth="1"/>
    <col min="4868" max="4868" width="10.140625" style="72" bestFit="1" customWidth="1"/>
    <col min="4869" max="4872" width="9.140625" style="72"/>
    <col min="4873" max="4873" width="7.28515625" style="72" customWidth="1"/>
    <col min="4874" max="4876" width="7.42578125" style="72" customWidth="1"/>
    <col min="4877" max="4877" width="10.42578125" style="72" bestFit="1" customWidth="1"/>
    <col min="4878" max="4878" width="12" style="72" bestFit="1" customWidth="1"/>
    <col min="4879" max="4879" width="11" style="72" bestFit="1" customWidth="1"/>
    <col min="4880" max="4881" width="11" style="72" customWidth="1"/>
    <col min="4882" max="4882" width="10" style="72" bestFit="1" customWidth="1"/>
    <col min="4883" max="4883" width="14.42578125" style="72" bestFit="1" customWidth="1"/>
    <col min="4884" max="4894" width="0" style="72" hidden="1" customWidth="1"/>
    <col min="4895" max="5115" width="9.140625" style="72"/>
    <col min="5116" max="5116" width="54.140625" style="72" bestFit="1" customWidth="1"/>
    <col min="5117" max="5117" width="14.7109375" style="72" customWidth="1"/>
    <col min="5118" max="5118" width="10.140625" style="72" customWidth="1"/>
    <col min="5119" max="5119" width="10.42578125" style="72" bestFit="1" customWidth="1"/>
    <col min="5120" max="5121" width="9.42578125" style="72" bestFit="1" customWidth="1"/>
    <col min="5122" max="5123" width="9.42578125" style="72" customWidth="1"/>
    <col min="5124" max="5124" width="10.140625" style="72" bestFit="1" customWidth="1"/>
    <col min="5125" max="5128" width="9.140625" style="72"/>
    <col min="5129" max="5129" width="7.28515625" style="72" customWidth="1"/>
    <col min="5130" max="5132" width="7.42578125" style="72" customWidth="1"/>
    <col min="5133" max="5133" width="10.42578125" style="72" bestFit="1" customWidth="1"/>
    <col min="5134" max="5134" width="12" style="72" bestFit="1" customWidth="1"/>
    <col min="5135" max="5135" width="11" style="72" bestFit="1" customWidth="1"/>
    <col min="5136" max="5137" width="11" style="72" customWidth="1"/>
    <col min="5138" max="5138" width="10" style="72" bestFit="1" customWidth="1"/>
    <col min="5139" max="5139" width="14.42578125" style="72" bestFit="1" customWidth="1"/>
    <col min="5140" max="5150" width="0" style="72" hidden="1" customWidth="1"/>
    <col min="5151" max="5371" width="9.140625" style="72"/>
    <col min="5372" max="5372" width="54.140625" style="72" bestFit="1" customWidth="1"/>
    <col min="5373" max="5373" width="14.7109375" style="72" customWidth="1"/>
    <col min="5374" max="5374" width="10.140625" style="72" customWidth="1"/>
    <col min="5375" max="5375" width="10.42578125" style="72" bestFit="1" customWidth="1"/>
    <col min="5376" max="5377" width="9.42578125" style="72" bestFit="1" customWidth="1"/>
    <col min="5378" max="5379" width="9.42578125" style="72" customWidth="1"/>
    <col min="5380" max="5380" width="10.140625" style="72" bestFit="1" customWidth="1"/>
    <col min="5381" max="5384" width="9.140625" style="72"/>
    <col min="5385" max="5385" width="7.28515625" style="72" customWidth="1"/>
    <col min="5386" max="5388" width="7.42578125" style="72" customWidth="1"/>
    <col min="5389" max="5389" width="10.42578125" style="72" bestFit="1" customWidth="1"/>
    <col min="5390" max="5390" width="12" style="72" bestFit="1" customWidth="1"/>
    <col min="5391" max="5391" width="11" style="72" bestFit="1" customWidth="1"/>
    <col min="5392" max="5393" width="11" style="72" customWidth="1"/>
    <col min="5394" max="5394" width="10" style="72" bestFit="1" customWidth="1"/>
    <col min="5395" max="5395" width="14.42578125" style="72" bestFit="1" customWidth="1"/>
    <col min="5396" max="5406" width="0" style="72" hidden="1" customWidth="1"/>
    <col min="5407" max="5627" width="9.140625" style="72"/>
    <col min="5628" max="5628" width="54.140625" style="72" bestFit="1" customWidth="1"/>
    <col min="5629" max="5629" width="14.7109375" style="72" customWidth="1"/>
    <col min="5630" max="5630" width="10.140625" style="72" customWidth="1"/>
    <col min="5631" max="5631" width="10.42578125" style="72" bestFit="1" customWidth="1"/>
    <col min="5632" max="5633" width="9.42578125" style="72" bestFit="1" customWidth="1"/>
    <col min="5634" max="5635" width="9.42578125" style="72" customWidth="1"/>
    <col min="5636" max="5636" width="10.140625" style="72" bestFit="1" customWidth="1"/>
    <col min="5637" max="5640" width="9.140625" style="72"/>
    <col min="5641" max="5641" width="7.28515625" style="72" customWidth="1"/>
    <col min="5642" max="5644" width="7.42578125" style="72" customWidth="1"/>
    <col min="5645" max="5645" width="10.42578125" style="72" bestFit="1" customWidth="1"/>
    <col min="5646" max="5646" width="12" style="72" bestFit="1" customWidth="1"/>
    <col min="5647" max="5647" width="11" style="72" bestFit="1" customWidth="1"/>
    <col min="5648" max="5649" width="11" style="72" customWidth="1"/>
    <col min="5650" max="5650" width="10" style="72" bestFit="1" customWidth="1"/>
    <col min="5651" max="5651" width="14.42578125" style="72" bestFit="1" customWidth="1"/>
    <col min="5652" max="5662" width="0" style="72" hidden="1" customWidth="1"/>
    <col min="5663" max="5883" width="9.140625" style="72"/>
    <col min="5884" max="5884" width="54.140625" style="72" bestFit="1" customWidth="1"/>
    <col min="5885" max="5885" width="14.7109375" style="72" customWidth="1"/>
    <col min="5886" max="5886" width="10.140625" style="72" customWidth="1"/>
    <col min="5887" max="5887" width="10.42578125" style="72" bestFit="1" customWidth="1"/>
    <col min="5888" max="5889" width="9.42578125" style="72" bestFit="1" customWidth="1"/>
    <col min="5890" max="5891" width="9.42578125" style="72" customWidth="1"/>
    <col min="5892" max="5892" width="10.140625" style="72" bestFit="1" customWidth="1"/>
    <col min="5893" max="5896" width="9.140625" style="72"/>
    <col min="5897" max="5897" width="7.28515625" style="72" customWidth="1"/>
    <col min="5898" max="5900" width="7.42578125" style="72" customWidth="1"/>
    <col min="5901" max="5901" width="10.42578125" style="72" bestFit="1" customWidth="1"/>
    <col min="5902" max="5902" width="12" style="72" bestFit="1" customWidth="1"/>
    <col min="5903" max="5903" width="11" style="72" bestFit="1" customWidth="1"/>
    <col min="5904" max="5905" width="11" style="72" customWidth="1"/>
    <col min="5906" max="5906" width="10" style="72" bestFit="1" customWidth="1"/>
    <col min="5907" max="5907" width="14.42578125" style="72" bestFit="1" customWidth="1"/>
    <col min="5908" max="5918" width="0" style="72" hidden="1" customWidth="1"/>
    <col min="5919" max="6139" width="9.140625" style="72"/>
    <col min="6140" max="6140" width="54.140625" style="72" bestFit="1" customWidth="1"/>
    <col min="6141" max="6141" width="14.7109375" style="72" customWidth="1"/>
    <col min="6142" max="6142" width="10.140625" style="72" customWidth="1"/>
    <col min="6143" max="6143" width="10.42578125" style="72" bestFit="1" customWidth="1"/>
    <col min="6144" max="6145" width="9.42578125" style="72" bestFit="1" customWidth="1"/>
    <col min="6146" max="6147" width="9.42578125" style="72" customWidth="1"/>
    <col min="6148" max="6148" width="10.140625" style="72" bestFit="1" customWidth="1"/>
    <col min="6149" max="6152" width="9.140625" style="72"/>
    <col min="6153" max="6153" width="7.28515625" style="72" customWidth="1"/>
    <col min="6154" max="6156" width="7.42578125" style="72" customWidth="1"/>
    <col min="6157" max="6157" width="10.42578125" style="72" bestFit="1" customWidth="1"/>
    <col min="6158" max="6158" width="12" style="72" bestFit="1" customWidth="1"/>
    <col min="6159" max="6159" width="11" style="72" bestFit="1" customWidth="1"/>
    <col min="6160" max="6161" width="11" style="72" customWidth="1"/>
    <col min="6162" max="6162" width="10" style="72" bestFit="1" customWidth="1"/>
    <col min="6163" max="6163" width="14.42578125" style="72" bestFit="1" customWidth="1"/>
    <col min="6164" max="6174" width="0" style="72" hidden="1" customWidth="1"/>
    <col min="6175" max="6395" width="9.140625" style="72"/>
    <col min="6396" max="6396" width="54.140625" style="72" bestFit="1" customWidth="1"/>
    <col min="6397" max="6397" width="14.7109375" style="72" customWidth="1"/>
    <col min="6398" max="6398" width="10.140625" style="72" customWidth="1"/>
    <col min="6399" max="6399" width="10.42578125" style="72" bestFit="1" customWidth="1"/>
    <col min="6400" max="6401" width="9.42578125" style="72" bestFit="1" customWidth="1"/>
    <col min="6402" max="6403" width="9.42578125" style="72" customWidth="1"/>
    <col min="6404" max="6404" width="10.140625" style="72" bestFit="1" customWidth="1"/>
    <col min="6405" max="6408" width="9.140625" style="72"/>
    <col min="6409" max="6409" width="7.28515625" style="72" customWidth="1"/>
    <col min="6410" max="6412" width="7.42578125" style="72" customWidth="1"/>
    <col min="6413" max="6413" width="10.42578125" style="72" bestFit="1" customWidth="1"/>
    <col min="6414" max="6414" width="12" style="72" bestFit="1" customWidth="1"/>
    <col min="6415" max="6415" width="11" style="72" bestFit="1" customWidth="1"/>
    <col min="6416" max="6417" width="11" style="72" customWidth="1"/>
    <col min="6418" max="6418" width="10" style="72" bestFit="1" customWidth="1"/>
    <col min="6419" max="6419" width="14.42578125" style="72" bestFit="1" customWidth="1"/>
    <col min="6420" max="6430" width="0" style="72" hidden="1" customWidth="1"/>
    <col min="6431" max="6651" width="9.140625" style="72"/>
    <col min="6652" max="6652" width="54.140625" style="72" bestFit="1" customWidth="1"/>
    <col min="6653" max="6653" width="14.7109375" style="72" customWidth="1"/>
    <col min="6654" max="6654" width="10.140625" style="72" customWidth="1"/>
    <col min="6655" max="6655" width="10.42578125" style="72" bestFit="1" customWidth="1"/>
    <col min="6656" max="6657" width="9.42578125" style="72" bestFit="1" customWidth="1"/>
    <col min="6658" max="6659" width="9.42578125" style="72" customWidth="1"/>
    <col min="6660" max="6660" width="10.140625" style="72" bestFit="1" customWidth="1"/>
    <col min="6661" max="6664" width="9.140625" style="72"/>
    <col min="6665" max="6665" width="7.28515625" style="72" customWidth="1"/>
    <col min="6666" max="6668" width="7.42578125" style="72" customWidth="1"/>
    <col min="6669" max="6669" width="10.42578125" style="72" bestFit="1" customWidth="1"/>
    <col min="6670" max="6670" width="12" style="72" bestFit="1" customWidth="1"/>
    <col min="6671" max="6671" width="11" style="72" bestFit="1" customWidth="1"/>
    <col min="6672" max="6673" width="11" style="72" customWidth="1"/>
    <col min="6674" max="6674" width="10" style="72" bestFit="1" customWidth="1"/>
    <col min="6675" max="6675" width="14.42578125" style="72" bestFit="1" customWidth="1"/>
    <col min="6676" max="6686" width="0" style="72" hidden="1" customWidth="1"/>
    <col min="6687" max="6907" width="9.140625" style="72"/>
    <col min="6908" max="6908" width="54.140625" style="72" bestFit="1" customWidth="1"/>
    <col min="6909" max="6909" width="14.7109375" style="72" customWidth="1"/>
    <col min="6910" max="6910" width="10.140625" style="72" customWidth="1"/>
    <col min="6911" max="6911" width="10.42578125" style="72" bestFit="1" customWidth="1"/>
    <col min="6912" max="6913" width="9.42578125" style="72" bestFit="1" customWidth="1"/>
    <col min="6914" max="6915" width="9.42578125" style="72" customWidth="1"/>
    <col min="6916" max="6916" width="10.140625" style="72" bestFit="1" customWidth="1"/>
    <col min="6917" max="6920" width="9.140625" style="72"/>
    <col min="6921" max="6921" width="7.28515625" style="72" customWidth="1"/>
    <col min="6922" max="6924" width="7.42578125" style="72" customWidth="1"/>
    <col min="6925" max="6925" width="10.42578125" style="72" bestFit="1" customWidth="1"/>
    <col min="6926" max="6926" width="12" style="72" bestFit="1" customWidth="1"/>
    <col min="6927" max="6927" width="11" style="72" bestFit="1" customWidth="1"/>
    <col min="6928" max="6929" width="11" style="72" customWidth="1"/>
    <col min="6930" max="6930" width="10" style="72" bestFit="1" customWidth="1"/>
    <col min="6931" max="6931" width="14.42578125" style="72" bestFit="1" customWidth="1"/>
    <col min="6932" max="6942" width="0" style="72" hidden="1" customWidth="1"/>
    <col min="6943" max="7163" width="9.140625" style="72"/>
    <col min="7164" max="7164" width="54.140625" style="72" bestFit="1" customWidth="1"/>
    <col min="7165" max="7165" width="14.7109375" style="72" customWidth="1"/>
    <col min="7166" max="7166" width="10.140625" style="72" customWidth="1"/>
    <col min="7167" max="7167" width="10.42578125" style="72" bestFit="1" customWidth="1"/>
    <col min="7168" max="7169" width="9.42578125" style="72" bestFit="1" customWidth="1"/>
    <col min="7170" max="7171" width="9.42578125" style="72" customWidth="1"/>
    <col min="7172" max="7172" width="10.140625" style="72" bestFit="1" customWidth="1"/>
    <col min="7173" max="7176" width="9.140625" style="72"/>
    <col min="7177" max="7177" width="7.28515625" style="72" customWidth="1"/>
    <col min="7178" max="7180" width="7.42578125" style="72" customWidth="1"/>
    <col min="7181" max="7181" width="10.42578125" style="72" bestFit="1" customWidth="1"/>
    <col min="7182" max="7182" width="12" style="72" bestFit="1" customWidth="1"/>
    <col min="7183" max="7183" width="11" style="72" bestFit="1" customWidth="1"/>
    <col min="7184" max="7185" width="11" style="72" customWidth="1"/>
    <col min="7186" max="7186" width="10" style="72" bestFit="1" customWidth="1"/>
    <col min="7187" max="7187" width="14.42578125" style="72" bestFit="1" customWidth="1"/>
    <col min="7188" max="7198" width="0" style="72" hidden="1" customWidth="1"/>
    <col min="7199" max="7419" width="9.140625" style="72"/>
    <col min="7420" max="7420" width="54.140625" style="72" bestFit="1" customWidth="1"/>
    <col min="7421" max="7421" width="14.7109375" style="72" customWidth="1"/>
    <col min="7422" max="7422" width="10.140625" style="72" customWidth="1"/>
    <col min="7423" max="7423" width="10.42578125" style="72" bestFit="1" customWidth="1"/>
    <col min="7424" max="7425" width="9.42578125" style="72" bestFit="1" customWidth="1"/>
    <col min="7426" max="7427" width="9.42578125" style="72" customWidth="1"/>
    <col min="7428" max="7428" width="10.140625" style="72" bestFit="1" customWidth="1"/>
    <col min="7429" max="7432" width="9.140625" style="72"/>
    <col min="7433" max="7433" width="7.28515625" style="72" customWidth="1"/>
    <col min="7434" max="7436" width="7.42578125" style="72" customWidth="1"/>
    <col min="7437" max="7437" width="10.42578125" style="72" bestFit="1" customWidth="1"/>
    <col min="7438" max="7438" width="12" style="72" bestFit="1" customWidth="1"/>
    <col min="7439" max="7439" width="11" style="72" bestFit="1" customWidth="1"/>
    <col min="7440" max="7441" width="11" style="72" customWidth="1"/>
    <col min="7442" max="7442" width="10" style="72" bestFit="1" customWidth="1"/>
    <col min="7443" max="7443" width="14.42578125" style="72" bestFit="1" customWidth="1"/>
    <col min="7444" max="7454" width="0" style="72" hidden="1" customWidth="1"/>
    <col min="7455" max="7675" width="9.140625" style="72"/>
    <col min="7676" max="7676" width="54.140625" style="72" bestFit="1" customWidth="1"/>
    <col min="7677" max="7677" width="14.7109375" style="72" customWidth="1"/>
    <col min="7678" max="7678" width="10.140625" style="72" customWidth="1"/>
    <col min="7679" max="7679" width="10.42578125" style="72" bestFit="1" customWidth="1"/>
    <col min="7680" max="7681" width="9.42578125" style="72" bestFit="1" customWidth="1"/>
    <col min="7682" max="7683" width="9.42578125" style="72" customWidth="1"/>
    <col min="7684" max="7684" width="10.140625" style="72" bestFit="1" customWidth="1"/>
    <col min="7685" max="7688" width="9.140625" style="72"/>
    <col min="7689" max="7689" width="7.28515625" style="72" customWidth="1"/>
    <col min="7690" max="7692" width="7.42578125" style="72" customWidth="1"/>
    <col min="7693" max="7693" width="10.42578125" style="72" bestFit="1" customWidth="1"/>
    <col min="7694" max="7694" width="12" style="72" bestFit="1" customWidth="1"/>
    <col min="7695" max="7695" width="11" style="72" bestFit="1" customWidth="1"/>
    <col min="7696" max="7697" width="11" style="72" customWidth="1"/>
    <col min="7698" max="7698" width="10" style="72" bestFit="1" customWidth="1"/>
    <col min="7699" max="7699" width="14.42578125" style="72" bestFit="1" customWidth="1"/>
    <col min="7700" max="7710" width="0" style="72" hidden="1" customWidth="1"/>
    <col min="7711" max="7931" width="9.140625" style="72"/>
    <col min="7932" max="7932" width="54.140625" style="72" bestFit="1" customWidth="1"/>
    <col min="7933" max="7933" width="14.7109375" style="72" customWidth="1"/>
    <col min="7934" max="7934" width="10.140625" style="72" customWidth="1"/>
    <col min="7935" max="7935" width="10.42578125" style="72" bestFit="1" customWidth="1"/>
    <col min="7936" max="7937" width="9.42578125" style="72" bestFit="1" customWidth="1"/>
    <col min="7938" max="7939" width="9.42578125" style="72" customWidth="1"/>
    <col min="7940" max="7940" width="10.140625" style="72" bestFit="1" customWidth="1"/>
    <col min="7941" max="7944" width="9.140625" style="72"/>
    <col min="7945" max="7945" width="7.28515625" style="72" customWidth="1"/>
    <col min="7946" max="7948" width="7.42578125" style="72" customWidth="1"/>
    <col min="7949" max="7949" width="10.42578125" style="72" bestFit="1" customWidth="1"/>
    <col min="7950" max="7950" width="12" style="72" bestFit="1" customWidth="1"/>
    <col min="7951" max="7951" width="11" style="72" bestFit="1" customWidth="1"/>
    <col min="7952" max="7953" width="11" style="72" customWidth="1"/>
    <col min="7954" max="7954" width="10" style="72" bestFit="1" customWidth="1"/>
    <col min="7955" max="7955" width="14.42578125" style="72" bestFit="1" customWidth="1"/>
    <col min="7956" max="7966" width="0" style="72" hidden="1" customWidth="1"/>
    <col min="7967" max="8187" width="9.140625" style="72"/>
    <col min="8188" max="8188" width="54.140625" style="72" bestFit="1" customWidth="1"/>
    <col min="8189" max="8189" width="14.7109375" style="72" customWidth="1"/>
    <col min="8190" max="8190" width="10.140625" style="72" customWidth="1"/>
    <col min="8191" max="8191" width="10.42578125" style="72" bestFit="1" customWidth="1"/>
    <col min="8192" max="8193" width="9.42578125" style="72" bestFit="1" customWidth="1"/>
    <col min="8194" max="8195" width="9.42578125" style="72" customWidth="1"/>
    <col min="8196" max="8196" width="10.140625" style="72" bestFit="1" customWidth="1"/>
    <col min="8197" max="8200" width="9.140625" style="72"/>
    <col min="8201" max="8201" width="7.28515625" style="72" customWidth="1"/>
    <col min="8202" max="8204" width="7.42578125" style="72" customWidth="1"/>
    <col min="8205" max="8205" width="10.42578125" style="72" bestFit="1" customWidth="1"/>
    <col min="8206" max="8206" width="12" style="72" bestFit="1" customWidth="1"/>
    <col min="8207" max="8207" width="11" style="72" bestFit="1" customWidth="1"/>
    <col min="8208" max="8209" width="11" style="72" customWidth="1"/>
    <col min="8210" max="8210" width="10" style="72" bestFit="1" customWidth="1"/>
    <col min="8211" max="8211" width="14.42578125" style="72" bestFit="1" customWidth="1"/>
    <col min="8212" max="8222" width="0" style="72" hidden="1" customWidth="1"/>
    <col min="8223" max="8443" width="9.140625" style="72"/>
    <col min="8444" max="8444" width="54.140625" style="72" bestFit="1" customWidth="1"/>
    <col min="8445" max="8445" width="14.7109375" style="72" customWidth="1"/>
    <col min="8446" max="8446" width="10.140625" style="72" customWidth="1"/>
    <col min="8447" max="8447" width="10.42578125" style="72" bestFit="1" customWidth="1"/>
    <col min="8448" max="8449" width="9.42578125" style="72" bestFit="1" customWidth="1"/>
    <col min="8450" max="8451" width="9.42578125" style="72" customWidth="1"/>
    <col min="8452" max="8452" width="10.140625" style="72" bestFit="1" customWidth="1"/>
    <col min="8453" max="8456" width="9.140625" style="72"/>
    <col min="8457" max="8457" width="7.28515625" style="72" customWidth="1"/>
    <col min="8458" max="8460" width="7.42578125" style="72" customWidth="1"/>
    <col min="8461" max="8461" width="10.42578125" style="72" bestFit="1" customWidth="1"/>
    <col min="8462" max="8462" width="12" style="72" bestFit="1" customWidth="1"/>
    <col min="8463" max="8463" width="11" style="72" bestFit="1" customWidth="1"/>
    <col min="8464" max="8465" width="11" style="72" customWidth="1"/>
    <col min="8466" max="8466" width="10" style="72" bestFit="1" customWidth="1"/>
    <col min="8467" max="8467" width="14.42578125" style="72" bestFit="1" customWidth="1"/>
    <col min="8468" max="8478" width="0" style="72" hidden="1" customWidth="1"/>
    <col min="8479" max="8699" width="9.140625" style="72"/>
    <col min="8700" max="8700" width="54.140625" style="72" bestFit="1" customWidth="1"/>
    <col min="8701" max="8701" width="14.7109375" style="72" customWidth="1"/>
    <col min="8702" max="8702" width="10.140625" style="72" customWidth="1"/>
    <col min="8703" max="8703" width="10.42578125" style="72" bestFit="1" customWidth="1"/>
    <col min="8704" max="8705" width="9.42578125" style="72" bestFit="1" customWidth="1"/>
    <col min="8706" max="8707" width="9.42578125" style="72" customWidth="1"/>
    <col min="8708" max="8708" width="10.140625" style="72" bestFit="1" customWidth="1"/>
    <col min="8709" max="8712" width="9.140625" style="72"/>
    <col min="8713" max="8713" width="7.28515625" style="72" customWidth="1"/>
    <col min="8714" max="8716" width="7.42578125" style="72" customWidth="1"/>
    <col min="8717" max="8717" width="10.42578125" style="72" bestFit="1" customWidth="1"/>
    <col min="8718" max="8718" width="12" style="72" bestFit="1" customWidth="1"/>
    <col min="8719" max="8719" width="11" style="72" bestFit="1" customWidth="1"/>
    <col min="8720" max="8721" width="11" style="72" customWidth="1"/>
    <col min="8722" max="8722" width="10" style="72" bestFit="1" customWidth="1"/>
    <col min="8723" max="8723" width="14.42578125" style="72" bestFit="1" customWidth="1"/>
    <col min="8724" max="8734" width="0" style="72" hidden="1" customWidth="1"/>
    <col min="8735" max="8955" width="9.140625" style="72"/>
    <col min="8956" max="8956" width="54.140625" style="72" bestFit="1" customWidth="1"/>
    <col min="8957" max="8957" width="14.7109375" style="72" customWidth="1"/>
    <col min="8958" max="8958" width="10.140625" style="72" customWidth="1"/>
    <col min="8959" max="8959" width="10.42578125" style="72" bestFit="1" customWidth="1"/>
    <col min="8960" max="8961" width="9.42578125" style="72" bestFit="1" customWidth="1"/>
    <col min="8962" max="8963" width="9.42578125" style="72" customWidth="1"/>
    <col min="8964" max="8964" width="10.140625" style="72" bestFit="1" customWidth="1"/>
    <col min="8965" max="8968" width="9.140625" style="72"/>
    <col min="8969" max="8969" width="7.28515625" style="72" customWidth="1"/>
    <col min="8970" max="8972" width="7.42578125" style="72" customWidth="1"/>
    <col min="8973" max="8973" width="10.42578125" style="72" bestFit="1" customWidth="1"/>
    <col min="8974" max="8974" width="12" style="72" bestFit="1" customWidth="1"/>
    <col min="8975" max="8975" width="11" style="72" bestFit="1" customWidth="1"/>
    <col min="8976" max="8977" width="11" style="72" customWidth="1"/>
    <col min="8978" max="8978" width="10" style="72" bestFit="1" customWidth="1"/>
    <col min="8979" max="8979" width="14.42578125" style="72" bestFit="1" customWidth="1"/>
    <col min="8980" max="8990" width="0" style="72" hidden="1" customWidth="1"/>
    <col min="8991" max="9211" width="9.140625" style="72"/>
    <col min="9212" max="9212" width="54.140625" style="72" bestFit="1" customWidth="1"/>
    <col min="9213" max="9213" width="14.7109375" style="72" customWidth="1"/>
    <col min="9214" max="9214" width="10.140625" style="72" customWidth="1"/>
    <col min="9215" max="9215" width="10.42578125" style="72" bestFit="1" customWidth="1"/>
    <col min="9216" max="9217" width="9.42578125" style="72" bestFit="1" customWidth="1"/>
    <col min="9218" max="9219" width="9.42578125" style="72" customWidth="1"/>
    <col min="9220" max="9220" width="10.140625" style="72" bestFit="1" customWidth="1"/>
    <col min="9221" max="9224" width="9.140625" style="72"/>
    <col min="9225" max="9225" width="7.28515625" style="72" customWidth="1"/>
    <col min="9226" max="9228" width="7.42578125" style="72" customWidth="1"/>
    <col min="9229" max="9229" width="10.42578125" style="72" bestFit="1" customWidth="1"/>
    <col min="9230" max="9230" width="12" style="72" bestFit="1" customWidth="1"/>
    <col min="9231" max="9231" width="11" style="72" bestFit="1" customWidth="1"/>
    <col min="9232" max="9233" width="11" style="72" customWidth="1"/>
    <col min="9234" max="9234" width="10" style="72" bestFit="1" customWidth="1"/>
    <col min="9235" max="9235" width="14.42578125" style="72" bestFit="1" customWidth="1"/>
    <col min="9236" max="9246" width="0" style="72" hidden="1" customWidth="1"/>
    <col min="9247" max="9467" width="9.140625" style="72"/>
    <col min="9468" max="9468" width="54.140625" style="72" bestFit="1" customWidth="1"/>
    <col min="9469" max="9469" width="14.7109375" style="72" customWidth="1"/>
    <col min="9470" max="9470" width="10.140625" style="72" customWidth="1"/>
    <col min="9471" max="9471" width="10.42578125" style="72" bestFit="1" customWidth="1"/>
    <col min="9472" max="9473" width="9.42578125" style="72" bestFit="1" customWidth="1"/>
    <col min="9474" max="9475" width="9.42578125" style="72" customWidth="1"/>
    <col min="9476" max="9476" width="10.140625" style="72" bestFit="1" customWidth="1"/>
    <col min="9477" max="9480" width="9.140625" style="72"/>
    <col min="9481" max="9481" width="7.28515625" style="72" customWidth="1"/>
    <col min="9482" max="9484" width="7.42578125" style="72" customWidth="1"/>
    <col min="9485" max="9485" width="10.42578125" style="72" bestFit="1" customWidth="1"/>
    <col min="9486" max="9486" width="12" style="72" bestFit="1" customWidth="1"/>
    <col min="9487" max="9487" width="11" style="72" bestFit="1" customWidth="1"/>
    <col min="9488" max="9489" width="11" style="72" customWidth="1"/>
    <col min="9490" max="9490" width="10" style="72" bestFit="1" customWidth="1"/>
    <col min="9491" max="9491" width="14.42578125" style="72" bestFit="1" customWidth="1"/>
    <col min="9492" max="9502" width="0" style="72" hidden="1" customWidth="1"/>
    <col min="9503" max="9723" width="9.140625" style="72"/>
    <col min="9724" max="9724" width="54.140625" style="72" bestFit="1" customWidth="1"/>
    <col min="9725" max="9725" width="14.7109375" style="72" customWidth="1"/>
    <col min="9726" max="9726" width="10.140625" style="72" customWidth="1"/>
    <col min="9727" max="9727" width="10.42578125" style="72" bestFit="1" customWidth="1"/>
    <col min="9728" max="9729" width="9.42578125" style="72" bestFit="1" customWidth="1"/>
    <col min="9730" max="9731" width="9.42578125" style="72" customWidth="1"/>
    <col min="9732" max="9732" width="10.140625" style="72" bestFit="1" customWidth="1"/>
    <col min="9733" max="9736" width="9.140625" style="72"/>
    <col min="9737" max="9737" width="7.28515625" style="72" customWidth="1"/>
    <col min="9738" max="9740" width="7.42578125" style="72" customWidth="1"/>
    <col min="9741" max="9741" width="10.42578125" style="72" bestFit="1" customWidth="1"/>
    <col min="9742" max="9742" width="12" style="72" bestFit="1" customWidth="1"/>
    <col min="9743" max="9743" width="11" style="72" bestFit="1" customWidth="1"/>
    <col min="9744" max="9745" width="11" style="72" customWidth="1"/>
    <col min="9746" max="9746" width="10" style="72" bestFit="1" customWidth="1"/>
    <col min="9747" max="9747" width="14.42578125" style="72" bestFit="1" customWidth="1"/>
    <col min="9748" max="9758" width="0" style="72" hidden="1" customWidth="1"/>
    <col min="9759" max="9979" width="9.140625" style="72"/>
    <col min="9980" max="9980" width="54.140625" style="72" bestFit="1" customWidth="1"/>
    <col min="9981" max="9981" width="14.7109375" style="72" customWidth="1"/>
    <col min="9982" max="9982" width="10.140625" style="72" customWidth="1"/>
    <col min="9983" max="9983" width="10.42578125" style="72" bestFit="1" customWidth="1"/>
    <col min="9984" max="9985" width="9.42578125" style="72" bestFit="1" customWidth="1"/>
    <col min="9986" max="9987" width="9.42578125" style="72" customWidth="1"/>
    <col min="9988" max="9988" width="10.140625" style="72" bestFit="1" customWidth="1"/>
    <col min="9989" max="9992" width="9.140625" style="72"/>
    <col min="9993" max="9993" width="7.28515625" style="72" customWidth="1"/>
    <col min="9994" max="9996" width="7.42578125" style="72" customWidth="1"/>
    <col min="9997" max="9997" width="10.42578125" style="72" bestFit="1" customWidth="1"/>
    <col min="9998" max="9998" width="12" style="72" bestFit="1" customWidth="1"/>
    <col min="9999" max="9999" width="11" style="72" bestFit="1" customWidth="1"/>
    <col min="10000" max="10001" width="11" style="72" customWidth="1"/>
    <col min="10002" max="10002" width="10" style="72" bestFit="1" customWidth="1"/>
    <col min="10003" max="10003" width="14.42578125" style="72" bestFit="1" customWidth="1"/>
    <col min="10004" max="10014" width="0" style="72" hidden="1" customWidth="1"/>
    <col min="10015" max="10235" width="9.140625" style="72"/>
    <col min="10236" max="10236" width="54.140625" style="72" bestFit="1" customWidth="1"/>
    <col min="10237" max="10237" width="14.7109375" style="72" customWidth="1"/>
    <col min="10238" max="10238" width="10.140625" style="72" customWidth="1"/>
    <col min="10239" max="10239" width="10.42578125" style="72" bestFit="1" customWidth="1"/>
    <col min="10240" max="10241" width="9.42578125" style="72" bestFit="1" customWidth="1"/>
    <col min="10242" max="10243" width="9.42578125" style="72" customWidth="1"/>
    <col min="10244" max="10244" width="10.140625" style="72" bestFit="1" customWidth="1"/>
    <col min="10245" max="10248" width="9.140625" style="72"/>
    <col min="10249" max="10249" width="7.28515625" style="72" customWidth="1"/>
    <col min="10250" max="10252" width="7.42578125" style="72" customWidth="1"/>
    <col min="10253" max="10253" width="10.42578125" style="72" bestFit="1" customWidth="1"/>
    <col min="10254" max="10254" width="12" style="72" bestFit="1" customWidth="1"/>
    <col min="10255" max="10255" width="11" style="72" bestFit="1" customWidth="1"/>
    <col min="10256" max="10257" width="11" style="72" customWidth="1"/>
    <col min="10258" max="10258" width="10" style="72" bestFit="1" customWidth="1"/>
    <col min="10259" max="10259" width="14.42578125" style="72" bestFit="1" customWidth="1"/>
    <col min="10260" max="10270" width="0" style="72" hidden="1" customWidth="1"/>
    <col min="10271" max="10491" width="9.140625" style="72"/>
    <col min="10492" max="10492" width="54.140625" style="72" bestFit="1" customWidth="1"/>
    <col min="10493" max="10493" width="14.7109375" style="72" customWidth="1"/>
    <col min="10494" max="10494" width="10.140625" style="72" customWidth="1"/>
    <col min="10495" max="10495" width="10.42578125" style="72" bestFit="1" customWidth="1"/>
    <col min="10496" max="10497" width="9.42578125" style="72" bestFit="1" customWidth="1"/>
    <col min="10498" max="10499" width="9.42578125" style="72" customWidth="1"/>
    <col min="10500" max="10500" width="10.140625" style="72" bestFit="1" customWidth="1"/>
    <col min="10501" max="10504" width="9.140625" style="72"/>
    <col min="10505" max="10505" width="7.28515625" style="72" customWidth="1"/>
    <col min="10506" max="10508" width="7.42578125" style="72" customWidth="1"/>
    <col min="10509" max="10509" width="10.42578125" style="72" bestFit="1" customWidth="1"/>
    <col min="10510" max="10510" width="12" style="72" bestFit="1" customWidth="1"/>
    <col min="10511" max="10511" width="11" style="72" bestFit="1" customWidth="1"/>
    <col min="10512" max="10513" width="11" style="72" customWidth="1"/>
    <col min="10514" max="10514" width="10" style="72" bestFit="1" customWidth="1"/>
    <col min="10515" max="10515" width="14.42578125" style="72" bestFit="1" customWidth="1"/>
    <col min="10516" max="10526" width="0" style="72" hidden="1" customWidth="1"/>
    <col min="10527" max="10747" width="9.140625" style="72"/>
    <col min="10748" max="10748" width="54.140625" style="72" bestFit="1" customWidth="1"/>
    <col min="10749" max="10749" width="14.7109375" style="72" customWidth="1"/>
    <col min="10750" max="10750" width="10.140625" style="72" customWidth="1"/>
    <col min="10751" max="10751" width="10.42578125" style="72" bestFit="1" customWidth="1"/>
    <col min="10752" max="10753" width="9.42578125" style="72" bestFit="1" customWidth="1"/>
    <col min="10754" max="10755" width="9.42578125" style="72" customWidth="1"/>
    <col min="10756" max="10756" width="10.140625" style="72" bestFit="1" customWidth="1"/>
    <col min="10757" max="10760" width="9.140625" style="72"/>
    <col min="10761" max="10761" width="7.28515625" style="72" customWidth="1"/>
    <col min="10762" max="10764" width="7.42578125" style="72" customWidth="1"/>
    <col min="10765" max="10765" width="10.42578125" style="72" bestFit="1" customWidth="1"/>
    <col min="10766" max="10766" width="12" style="72" bestFit="1" customWidth="1"/>
    <col min="10767" max="10767" width="11" style="72" bestFit="1" customWidth="1"/>
    <col min="10768" max="10769" width="11" style="72" customWidth="1"/>
    <col min="10770" max="10770" width="10" style="72" bestFit="1" customWidth="1"/>
    <col min="10771" max="10771" width="14.42578125" style="72" bestFit="1" customWidth="1"/>
    <col min="10772" max="10782" width="0" style="72" hidden="1" customWidth="1"/>
    <col min="10783" max="11003" width="9.140625" style="72"/>
    <col min="11004" max="11004" width="54.140625" style="72" bestFit="1" customWidth="1"/>
    <col min="11005" max="11005" width="14.7109375" style="72" customWidth="1"/>
    <col min="11006" max="11006" width="10.140625" style="72" customWidth="1"/>
    <col min="11007" max="11007" width="10.42578125" style="72" bestFit="1" customWidth="1"/>
    <col min="11008" max="11009" width="9.42578125" style="72" bestFit="1" customWidth="1"/>
    <col min="11010" max="11011" width="9.42578125" style="72" customWidth="1"/>
    <col min="11012" max="11012" width="10.140625" style="72" bestFit="1" customWidth="1"/>
    <col min="11013" max="11016" width="9.140625" style="72"/>
    <col min="11017" max="11017" width="7.28515625" style="72" customWidth="1"/>
    <col min="11018" max="11020" width="7.42578125" style="72" customWidth="1"/>
    <col min="11021" max="11021" width="10.42578125" style="72" bestFit="1" customWidth="1"/>
    <col min="11022" max="11022" width="12" style="72" bestFit="1" customWidth="1"/>
    <col min="11023" max="11023" width="11" style="72" bestFit="1" customWidth="1"/>
    <col min="11024" max="11025" width="11" style="72" customWidth="1"/>
    <col min="11026" max="11026" width="10" style="72" bestFit="1" customWidth="1"/>
    <col min="11027" max="11027" width="14.42578125" style="72" bestFit="1" customWidth="1"/>
    <col min="11028" max="11038" width="0" style="72" hidden="1" customWidth="1"/>
    <col min="11039" max="11259" width="9.140625" style="72"/>
    <col min="11260" max="11260" width="54.140625" style="72" bestFit="1" customWidth="1"/>
    <col min="11261" max="11261" width="14.7109375" style="72" customWidth="1"/>
    <col min="11262" max="11262" width="10.140625" style="72" customWidth="1"/>
    <col min="11263" max="11263" width="10.42578125" style="72" bestFit="1" customWidth="1"/>
    <col min="11264" max="11265" width="9.42578125" style="72" bestFit="1" customWidth="1"/>
    <col min="11266" max="11267" width="9.42578125" style="72" customWidth="1"/>
    <col min="11268" max="11268" width="10.140625" style="72" bestFit="1" customWidth="1"/>
    <col min="11269" max="11272" width="9.140625" style="72"/>
    <col min="11273" max="11273" width="7.28515625" style="72" customWidth="1"/>
    <col min="11274" max="11276" width="7.42578125" style="72" customWidth="1"/>
    <col min="11277" max="11277" width="10.42578125" style="72" bestFit="1" customWidth="1"/>
    <col min="11278" max="11278" width="12" style="72" bestFit="1" customWidth="1"/>
    <col min="11279" max="11279" width="11" style="72" bestFit="1" customWidth="1"/>
    <col min="11280" max="11281" width="11" style="72" customWidth="1"/>
    <col min="11282" max="11282" width="10" style="72" bestFit="1" customWidth="1"/>
    <col min="11283" max="11283" width="14.42578125" style="72" bestFit="1" customWidth="1"/>
    <col min="11284" max="11294" width="0" style="72" hidden="1" customWidth="1"/>
    <col min="11295" max="11515" width="9.140625" style="72"/>
    <col min="11516" max="11516" width="54.140625" style="72" bestFit="1" customWidth="1"/>
    <col min="11517" max="11517" width="14.7109375" style="72" customWidth="1"/>
    <col min="11518" max="11518" width="10.140625" style="72" customWidth="1"/>
    <col min="11519" max="11519" width="10.42578125" style="72" bestFit="1" customWidth="1"/>
    <col min="11520" max="11521" width="9.42578125" style="72" bestFit="1" customWidth="1"/>
    <col min="11522" max="11523" width="9.42578125" style="72" customWidth="1"/>
    <col min="11524" max="11524" width="10.140625" style="72" bestFit="1" customWidth="1"/>
    <col min="11525" max="11528" width="9.140625" style="72"/>
    <col min="11529" max="11529" width="7.28515625" style="72" customWidth="1"/>
    <col min="11530" max="11532" width="7.42578125" style="72" customWidth="1"/>
    <col min="11533" max="11533" width="10.42578125" style="72" bestFit="1" customWidth="1"/>
    <col min="11534" max="11534" width="12" style="72" bestFit="1" customWidth="1"/>
    <col min="11535" max="11535" width="11" style="72" bestFit="1" customWidth="1"/>
    <col min="11536" max="11537" width="11" style="72" customWidth="1"/>
    <col min="11538" max="11538" width="10" style="72" bestFit="1" customWidth="1"/>
    <col min="11539" max="11539" width="14.42578125" style="72" bestFit="1" customWidth="1"/>
    <col min="11540" max="11550" width="0" style="72" hidden="1" customWidth="1"/>
    <col min="11551" max="11771" width="9.140625" style="72"/>
    <col min="11772" max="11772" width="54.140625" style="72" bestFit="1" customWidth="1"/>
    <col min="11773" max="11773" width="14.7109375" style="72" customWidth="1"/>
    <col min="11774" max="11774" width="10.140625" style="72" customWidth="1"/>
    <col min="11775" max="11775" width="10.42578125" style="72" bestFit="1" customWidth="1"/>
    <col min="11776" max="11777" width="9.42578125" style="72" bestFit="1" customWidth="1"/>
    <col min="11778" max="11779" width="9.42578125" style="72" customWidth="1"/>
    <col min="11780" max="11780" width="10.140625" style="72" bestFit="1" customWidth="1"/>
    <col min="11781" max="11784" width="9.140625" style="72"/>
    <col min="11785" max="11785" width="7.28515625" style="72" customWidth="1"/>
    <col min="11786" max="11788" width="7.42578125" style="72" customWidth="1"/>
    <col min="11789" max="11789" width="10.42578125" style="72" bestFit="1" customWidth="1"/>
    <col min="11790" max="11790" width="12" style="72" bestFit="1" customWidth="1"/>
    <col min="11791" max="11791" width="11" style="72" bestFit="1" customWidth="1"/>
    <col min="11792" max="11793" width="11" style="72" customWidth="1"/>
    <col min="11794" max="11794" width="10" style="72" bestFit="1" customWidth="1"/>
    <col min="11795" max="11795" width="14.42578125" style="72" bestFit="1" customWidth="1"/>
    <col min="11796" max="11806" width="0" style="72" hidden="1" customWidth="1"/>
    <col min="11807" max="12027" width="9.140625" style="72"/>
    <col min="12028" max="12028" width="54.140625" style="72" bestFit="1" customWidth="1"/>
    <col min="12029" max="12029" width="14.7109375" style="72" customWidth="1"/>
    <col min="12030" max="12030" width="10.140625" style="72" customWidth="1"/>
    <col min="12031" max="12031" width="10.42578125" style="72" bestFit="1" customWidth="1"/>
    <col min="12032" max="12033" width="9.42578125" style="72" bestFit="1" customWidth="1"/>
    <col min="12034" max="12035" width="9.42578125" style="72" customWidth="1"/>
    <col min="12036" max="12036" width="10.140625" style="72" bestFit="1" customWidth="1"/>
    <col min="12037" max="12040" width="9.140625" style="72"/>
    <col min="12041" max="12041" width="7.28515625" style="72" customWidth="1"/>
    <col min="12042" max="12044" width="7.42578125" style="72" customWidth="1"/>
    <col min="12045" max="12045" width="10.42578125" style="72" bestFit="1" customWidth="1"/>
    <col min="12046" max="12046" width="12" style="72" bestFit="1" customWidth="1"/>
    <col min="12047" max="12047" width="11" style="72" bestFit="1" customWidth="1"/>
    <col min="12048" max="12049" width="11" style="72" customWidth="1"/>
    <col min="12050" max="12050" width="10" style="72" bestFit="1" customWidth="1"/>
    <col min="12051" max="12051" width="14.42578125" style="72" bestFit="1" customWidth="1"/>
    <col min="12052" max="12062" width="0" style="72" hidden="1" customWidth="1"/>
    <col min="12063" max="12283" width="9.140625" style="72"/>
    <col min="12284" max="12284" width="54.140625" style="72" bestFit="1" customWidth="1"/>
    <col min="12285" max="12285" width="14.7109375" style="72" customWidth="1"/>
    <col min="12286" max="12286" width="10.140625" style="72" customWidth="1"/>
    <col min="12287" max="12287" width="10.42578125" style="72" bestFit="1" customWidth="1"/>
    <col min="12288" max="12289" width="9.42578125" style="72" bestFit="1" customWidth="1"/>
    <col min="12290" max="12291" width="9.42578125" style="72" customWidth="1"/>
    <col min="12292" max="12292" width="10.140625" style="72" bestFit="1" customWidth="1"/>
    <col min="12293" max="12296" width="9.140625" style="72"/>
    <col min="12297" max="12297" width="7.28515625" style="72" customWidth="1"/>
    <col min="12298" max="12300" width="7.42578125" style="72" customWidth="1"/>
    <col min="12301" max="12301" width="10.42578125" style="72" bestFit="1" customWidth="1"/>
    <col min="12302" max="12302" width="12" style="72" bestFit="1" customWidth="1"/>
    <col min="12303" max="12303" width="11" style="72" bestFit="1" customWidth="1"/>
    <col min="12304" max="12305" width="11" style="72" customWidth="1"/>
    <col min="12306" max="12306" width="10" style="72" bestFit="1" customWidth="1"/>
    <col min="12307" max="12307" width="14.42578125" style="72" bestFit="1" customWidth="1"/>
    <col min="12308" max="12318" width="0" style="72" hidden="1" customWidth="1"/>
    <col min="12319" max="12539" width="9.140625" style="72"/>
    <col min="12540" max="12540" width="54.140625" style="72" bestFit="1" customWidth="1"/>
    <col min="12541" max="12541" width="14.7109375" style="72" customWidth="1"/>
    <col min="12542" max="12542" width="10.140625" style="72" customWidth="1"/>
    <col min="12543" max="12543" width="10.42578125" style="72" bestFit="1" customWidth="1"/>
    <col min="12544" max="12545" width="9.42578125" style="72" bestFit="1" customWidth="1"/>
    <col min="12546" max="12547" width="9.42578125" style="72" customWidth="1"/>
    <col min="12548" max="12548" width="10.140625" style="72" bestFit="1" customWidth="1"/>
    <col min="12549" max="12552" width="9.140625" style="72"/>
    <col min="12553" max="12553" width="7.28515625" style="72" customWidth="1"/>
    <col min="12554" max="12556" width="7.42578125" style="72" customWidth="1"/>
    <col min="12557" max="12557" width="10.42578125" style="72" bestFit="1" customWidth="1"/>
    <col min="12558" max="12558" width="12" style="72" bestFit="1" customWidth="1"/>
    <col min="12559" max="12559" width="11" style="72" bestFit="1" customWidth="1"/>
    <col min="12560" max="12561" width="11" style="72" customWidth="1"/>
    <col min="12562" max="12562" width="10" style="72" bestFit="1" customWidth="1"/>
    <col min="12563" max="12563" width="14.42578125" style="72" bestFit="1" customWidth="1"/>
    <col min="12564" max="12574" width="0" style="72" hidden="1" customWidth="1"/>
    <col min="12575" max="12795" width="9.140625" style="72"/>
    <col min="12796" max="12796" width="54.140625" style="72" bestFit="1" customWidth="1"/>
    <col min="12797" max="12797" width="14.7109375" style="72" customWidth="1"/>
    <col min="12798" max="12798" width="10.140625" style="72" customWidth="1"/>
    <col min="12799" max="12799" width="10.42578125" style="72" bestFit="1" customWidth="1"/>
    <col min="12800" max="12801" width="9.42578125" style="72" bestFit="1" customWidth="1"/>
    <col min="12802" max="12803" width="9.42578125" style="72" customWidth="1"/>
    <col min="12804" max="12804" width="10.140625" style="72" bestFit="1" customWidth="1"/>
    <col min="12805" max="12808" width="9.140625" style="72"/>
    <col min="12809" max="12809" width="7.28515625" style="72" customWidth="1"/>
    <col min="12810" max="12812" width="7.42578125" style="72" customWidth="1"/>
    <col min="12813" max="12813" width="10.42578125" style="72" bestFit="1" customWidth="1"/>
    <col min="12814" max="12814" width="12" style="72" bestFit="1" customWidth="1"/>
    <col min="12815" max="12815" width="11" style="72" bestFit="1" customWidth="1"/>
    <col min="12816" max="12817" width="11" style="72" customWidth="1"/>
    <col min="12818" max="12818" width="10" style="72" bestFit="1" customWidth="1"/>
    <col min="12819" max="12819" width="14.42578125" style="72" bestFit="1" customWidth="1"/>
    <col min="12820" max="12830" width="0" style="72" hidden="1" customWidth="1"/>
    <col min="12831" max="13051" width="9.140625" style="72"/>
    <col min="13052" max="13052" width="54.140625" style="72" bestFit="1" customWidth="1"/>
    <col min="13053" max="13053" width="14.7109375" style="72" customWidth="1"/>
    <col min="13054" max="13054" width="10.140625" style="72" customWidth="1"/>
    <col min="13055" max="13055" width="10.42578125" style="72" bestFit="1" customWidth="1"/>
    <col min="13056" max="13057" width="9.42578125" style="72" bestFit="1" customWidth="1"/>
    <col min="13058" max="13059" width="9.42578125" style="72" customWidth="1"/>
    <col min="13060" max="13060" width="10.140625" style="72" bestFit="1" customWidth="1"/>
    <col min="13061" max="13064" width="9.140625" style="72"/>
    <col min="13065" max="13065" width="7.28515625" style="72" customWidth="1"/>
    <col min="13066" max="13068" width="7.42578125" style="72" customWidth="1"/>
    <col min="13069" max="13069" width="10.42578125" style="72" bestFit="1" customWidth="1"/>
    <col min="13070" max="13070" width="12" style="72" bestFit="1" customWidth="1"/>
    <col min="13071" max="13071" width="11" style="72" bestFit="1" customWidth="1"/>
    <col min="13072" max="13073" width="11" style="72" customWidth="1"/>
    <col min="13074" max="13074" width="10" style="72" bestFit="1" customWidth="1"/>
    <col min="13075" max="13075" width="14.42578125" style="72" bestFit="1" customWidth="1"/>
    <col min="13076" max="13086" width="0" style="72" hidden="1" customWidth="1"/>
    <col min="13087" max="13307" width="9.140625" style="72"/>
    <col min="13308" max="13308" width="54.140625" style="72" bestFit="1" customWidth="1"/>
    <col min="13309" max="13309" width="14.7109375" style="72" customWidth="1"/>
    <col min="13310" max="13310" width="10.140625" style="72" customWidth="1"/>
    <col min="13311" max="13311" width="10.42578125" style="72" bestFit="1" customWidth="1"/>
    <col min="13312" max="13313" width="9.42578125" style="72" bestFit="1" customWidth="1"/>
    <col min="13314" max="13315" width="9.42578125" style="72" customWidth="1"/>
    <col min="13316" max="13316" width="10.140625" style="72" bestFit="1" customWidth="1"/>
    <col min="13317" max="13320" width="9.140625" style="72"/>
    <col min="13321" max="13321" width="7.28515625" style="72" customWidth="1"/>
    <col min="13322" max="13324" width="7.42578125" style="72" customWidth="1"/>
    <col min="13325" max="13325" width="10.42578125" style="72" bestFit="1" customWidth="1"/>
    <col min="13326" max="13326" width="12" style="72" bestFit="1" customWidth="1"/>
    <col min="13327" max="13327" width="11" style="72" bestFit="1" customWidth="1"/>
    <col min="13328" max="13329" width="11" style="72" customWidth="1"/>
    <col min="13330" max="13330" width="10" style="72" bestFit="1" customWidth="1"/>
    <col min="13331" max="13331" width="14.42578125" style="72" bestFit="1" customWidth="1"/>
    <col min="13332" max="13342" width="0" style="72" hidden="1" customWidth="1"/>
    <col min="13343" max="13563" width="9.140625" style="72"/>
    <col min="13564" max="13564" width="54.140625" style="72" bestFit="1" customWidth="1"/>
    <col min="13565" max="13565" width="14.7109375" style="72" customWidth="1"/>
    <col min="13566" max="13566" width="10.140625" style="72" customWidth="1"/>
    <col min="13567" max="13567" width="10.42578125" style="72" bestFit="1" customWidth="1"/>
    <col min="13568" max="13569" width="9.42578125" style="72" bestFit="1" customWidth="1"/>
    <col min="13570" max="13571" width="9.42578125" style="72" customWidth="1"/>
    <col min="13572" max="13572" width="10.140625" style="72" bestFit="1" customWidth="1"/>
    <col min="13573" max="13576" width="9.140625" style="72"/>
    <col min="13577" max="13577" width="7.28515625" style="72" customWidth="1"/>
    <col min="13578" max="13580" width="7.42578125" style="72" customWidth="1"/>
    <col min="13581" max="13581" width="10.42578125" style="72" bestFit="1" customWidth="1"/>
    <col min="13582" max="13582" width="12" style="72" bestFit="1" customWidth="1"/>
    <col min="13583" max="13583" width="11" style="72" bestFit="1" customWidth="1"/>
    <col min="13584" max="13585" width="11" style="72" customWidth="1"/>
    <col min="13586" max="13586" width="10" style="72" bestFit="1" customWidth="1"/>
    <col min="13587" max="13587" width="14.42578125" style="72" bestFit="1" customWidth="1"/>
    <col min="13588" max="13598" width="0" style="72" hidden="1" customWidth="1"/>
    <col min="13599" max="13819" width="9.140625" style="72"/>
    <col min="13820" max="13820" width="54.140625" style="72" bestFit="1" customWidth="1"/>
    <col min="13821" max="13821" width="14.7109375" style="72" customWidth="1"/>
    <col min="13822" max="13822" width="10.140625" style="72" customWidth="1"/>
    <col min="13823" max="13823" width="10.42578125" style="72" bestFit="1" customWidth="1"/>
    <col min="13824" max="13825" width="9.42578125" style="72" bestFit="1" customWidth="1"/>
    <col min="13826" max="13827" width="9.42578125" style="72" customWidth="1"/>
    <col min="13828" max="13828" width="10.140625" style="72" bestFit="1" customWidth="1"/>
    <col min="13829" max="13832" width="9.140625" style="72"/>
    <col min="13833" max="13833" width="7.28515625" style="72" customWidth="1"/>
    <col min="13834" max="13836" width="7.42578125" style="72" customWidth="1"/>
    <col min="13837" max="13837" width="10.42578125" style="72" bestFit="1" customWidth="1"/>
    <col min="13838" max="13838" width="12" style="72" bestFit="1" customWidth="1"/>
    <col min="13839" max="13839" width="11" style="72" bestFit="1" customWidth="1"/>
    <col min="13840" max="13841" width="11" style="72" customWidth="1"/>
    <col min="13842" max="13842" width="10" style="72" bestFit="1" customWidth="1"/>
    <col min="13843" max="13843" width="14.42578125" style="72" bestFit="1" customWidth="1"/>
    <col min="13844" max="13854" width="0" style="72" hidden="1" customWidth="1"/>
    <col min="13855" max="14075" width="9.140625" style="72"/>
    <col min="14076" max="14076" width="54.140625" style="72" bestFit="1" customWidth="1"/>
    <col min="14077" max="14077" width="14.7109375" style="72" customWidth="1"/>
    <col min="14078" max="14078" width="10.140625" style="72" customWidth="1"/>
    <col min="14079" max="14079" width="10.42578125" style="72" bestFit="1" customWidth="1"/>
    <col min="14080" max="14081" width="9.42578125" style="72" bestFit="1" customWidth="1"/>
    <col min="14082" max="14083" width="9.42578125" style="72" customWidth="1"/>
    <col min="14084" max="14084" width="10.140625" style="72" bestFit="1" customWidth="1"/>
    <col min="14085" max="14088" width="9.140625" style="72"/>
    <col min="14089" max="14089" width="7.28515625" style="72" customWidth="1"/>
    <col min="14090" max="14092" width="7.42578125" style="72" customWidth="1"/>
    <col min="14093" max="14093" width="10.42578125" style="72" bestFit="1" customWidth="1"/>
    <col min="14094" max="14094" width="12" style="72" bestFit="1" customWidth="1"/>
    <col min="14095" max="14095" width="11" style="72" bestFit="1" customWidth="1"/>
    <col min="14096" max="14097" width="11" style="72" customWidth="1"/>
    <col min="14098" max="14098" width="10" style="72" bestFit="1" customWidth="1"/>
    <col min="14099" max="14099" width="14.42578125" style="72" bestFit="1" customWidth="1"/>
    <col min="14100" max="14110" width="0" style="72" hidden="1" customWidth="1"/>
    <col min="14111" max="14331" width="9.140625" style="72"/>
    <col min="14332" max="14332" width="54.140625" style="72" bestFit="1" customWidth="1"/>
    <col min="14333" max="14333" width="14.7109375" style="72" customWidth="1"/>
    <col min="14334" max="14334" width="10.140625" style="72" customWidth="1"/>
    <col min="14335" max="14335" width="10.42578125" style="72" bestFit="1" customWidth="1"/>
    <col min="14336" max="14337" width="9.42578125" style="72" bestFit="1" customWidth="1"/>
    <col min="14338" max="14339" width="9.42578125" style="72" customWidth="1"/>
    <col min="14340" max="14340" width="10.140625" style="72" bestFit="1" customWidth="1"/>
    <col min="14341" max="14344" width="9.140625" style="72"/>
    <col min="14345" max="14345" width="7.28515625" style="72" customWidth="1"/>
    <col min="14346" max="14348" width="7.42578125" style="72" customWidth="1"/>
    <col min="14349" max="14349" width="10.42578125" style="72" bestFit="1" customWidth="1"/>
    <col min="14350" max="14350" width="12" style="72" bestFit="1" customWidth="1"/>
    <col min="14351" max="14351" width="11" style="72" bestFit="1" customWidth="1"/>
    <col min="14352" max="14353" width="11" style="72" customWidth="1"/>
    <col min="14354" max="14354" width="10" style="72" bestFit="1" customWidth="1"/>
    <col min="14355" max="14355" width="14.42578125" style="72" bestFit="1" customWidth="1"/>
    <col min="14356" max="14366" width="0" style="72" hidden="1" customWidth="1"/>
    <col min="14367" max="14587" width="9.140625" style="72"/>
    <col min="14588" max="14588" width="54.140625" style="72" bestFit="1" customWidth="1"/>
    <col min="14589" max="14589" width="14.7109375" style="72" customWidth="1"/>
    <col min="14590" max="14590" width="10.140625" style="72" customWidth="1"/>
    <col min="14591" max="14591" width="10.42578125" style="72" bestFit="1" customWidth="1"/>
    <col min="14592" max="14593" width="9.42578125" style="72" bestFit="1" customWidth="1"/>
    <col min="14594" max="14595" width="9.42578125" style="72" customWidth="1"/>
    <col min="14596" max="14596" width="10.140625" style="72" bestFit="1" customWidth="1"/>
    <col min="14597" max="14600" width="9.140625" style="72"/>
    <col min="14601" max="14601" width="7.28515625" style="72" customWidth="1"/>
    <col min="14602" max="14604" width="7.42578125" style="72" customWidth="1"/>
    <col min="14605" max="14605" width="10.42578125" style="72" bestFit="1" customWidth="1"/>
    <col min="14606" max="14606" width="12" style="72" bestFit="1" customWidth="1"/>
    <col min="14607" max="14607" width="11" style="72" bestFit="1" customWidth="1"/>
    <col min="14608" max="14609" width="11" style="72" customWidth="1"/>
    <col min="14610" max="14610" width="10" style="72" bestFit="1" customWidth="1"/>
    <col min="14611" max="14611" width="14.42578125" style="72" bestFit="1" customWidth="1"/>
    <col min="14612" max="14622" width="0" style="72" hidden="1" customWidth="1"/>
    <col min="14623" max="14843" width="9.140625" style="72"/>
    <col min="14844" max="14844" width="54.140625" style="72" bestFit="1" customWidth="1"/>
    <col min="14845" max="14845" width="14.7109375" style="72" customWidth="1"/>
    <col min="14846" max="14846" width="10.140625" style="72" customWidth="1"/>
    <col min="14847" max="14847" width="10.42578125" style="72" bestFit="1" customWidth="1"/>
    <col min="14848" max="14849" width="9.42578125" style="72" bestFit="1" customWidth="1"/>
    <col min="14850" max="14851" width="9.42578125" style="72" customWidth="1"/>
    <col min="14852" max="14852" width="10.140625" style="72" bestFit="1" customWidth="1"/>
    <col min="14853" max="14856" width="9.140625" style="72"/>
    <col min="14857" max="14857" width="7.28515625" style="72" customWidth="1"/>
    <col min="14858" max="14860" width="7.42578125" style="72" customWidth="1"/>
    <col min="14861" max="14861" width="10.42578125" style="72" bestFit="1" customWidth="1"/>
    <col min="14862" max="14862" width="12" style="72" bestFit="1" customWidth="1"/>
    <col min="14863" max="14863" width="11" style="72" bestFit="1" customWidth="1"/>
    <col min="14864" max="14865" width="11" style="72" customWidth="1"/>
    <col min="14866" max="14866" width="10" style="72" bestFit="1" customWidth="1"/>
    <col min="14867" max="14867" width="14.42578125" style="72" bestFit="1" customWidth="1"/>
    <col min="14868" max="14878" width="0" style="72" hidden="1" customWidth="1"/>
    <col min="14879" max="15099" width="9.140625" style="72"/>
    <col min="15100" max="15100" width="54.140625" style="72" bestFit="1" customWidth="1"/>
    <col min="15101" max="15101" width="14.7109375" style="72" customWidth="1"/>
    <col min="15102" max="15102" width="10.140625" style="72" customWidth="1"/>
    <col min="15103" max="15103" width="10.42578125" style="72" bestFit="1" customWidth="1"/>
    <col min="15104" max="15105" width="9.42578125" style="72" bestFit="1" customWidth="1"/>
    <col min="15106" max="15107" width="9.42578125" style="72" customWidth="1"/>
    <col min="15108" max="15108" width="10.140625" style="72" bestFit="1" customWidth="1"/>
    <col min="15109" max="15112" width="9.140625" style="72"/>
    <col min="15113" max="15113" width="7.28515625" style="72" customWidth="1"/>
    <col min="15114" max="15116" width="7.42578125" style="72" customWidth="1"/>
    <col min="15117" max="15117" width="10.42578125" style="72" bestFit="1" customWidth="1"/>
    <col min="15118" max="15118" width="12" style="72" bestFit="1" customWidth="1"/>
    <col min="15119" max="15119" width="11" style="72" bestFit="1" customWidth="1"/>
    <col min="15120" max="15121" width="11" style="72" customWidth="1"/>
    <col min="15122" max="15122" width="10" style="72" bestFit="1" customWidth="1"/>
    <col min="15123" max="15123" width="14.42578125" style="72" bestFit="1" customWidth="1"/>
    <col min="15124" max="15134" width="0" style="72" hidden="1" customWidth="1"/>
    <col min="15135" max="15355" width="9.140625" style="72"/>
    <col min="15356" max="15356" width="54.140625" style="72" bestFit="1" customWidth="1"/>
    <col min="15357" max="15357" width="14.7109375" style="72" customWidth="1"/>
    <col min="15358" max="15358" width="10.140625" style="72" customWidth="1"/>
    <col min="15359" max="15359" width="10.42578125" style="72" bestFit="1" customWidth="1"/>
    <col min="15360" max="15361" width="9.42578125" style="72" bestFit="1" customWidth="1"/>
    <col min="15362" max="15363" width="9.42578125" style="72" customWidth="1"/>
    <col min="15364" max="15364" width="10.140625" style="72" bestFit="1" customWidth="1"/>
    <col min="15365" max="15368" width="9.140625" style="72"/>
    <col min="15369" max="15369" width="7.28515625" style="72" customWidth="1"/>
    <col min="15370" max="15372" width="7.42578125" style="72" customWidth="1"/>
    <col min="15373" max="15373" width="10.42578125" style="72" bestFit="1" customWidth="1"/>
    <col min="15374" max="15374" width="12" style="72" bestFit="1" customWidth="1"/>
    <col min="15375" max="15375" width="11" style="72" bestFit="1" customWidth="1"/>
    <col min="15376" max="15377" width="11" style="72" customWidth="1"/>
    <col min="15378" max="15378" width="10" style="72" bestFit="1" customWidth="1"/>
    <col min="15379" max="15379" width="14.42578125" style="72" bestFit="1" customWidth="1"/>
    <col min="15380" max="15390" width="0" style="72" hidden="1" customWidth="1"/>
    <col min="15391" max="15611" width="9.140625" style="72"/>
    <col min="15612" max="15612" width="54.140625" style="72" bestFit="1" customWidth="1"/>
    <col min="15613" max="15613" width="14.7109375" style="72" customWidth="1"/>
    <col min="15614" max="15614" width="10.140625" style="72" customWidth="1"/>
    <col min="15615" max="15615" width="10.42578125" style="72" bestFit="1" customWidth="1"/>
    <col min="15616" max="15617" width="9.42578125" style="72" bestFit="1" customWidth="1"/>
    <col min="15618" max="15619" width="9.42578125" style="72" customWidth="1"/>
    <col min="15620" max="15620" width="10.140625" style="72" bestFit="1" customWidth="1"/>
    <col min="15621" max="15624" width="9.140625" style="72"/>
    <col min="15625" max="15625" width="7.28515625" style="72" customWidth="1"/>
    <col min="15626" max="15628" width="7.42578125" style="72" customWidth="1"/>
    <col min="15629" max="15629" width="10.42578125" style="72" bestFit="1" customWidth="1"/>
    <col min="15630" max="15630" width="12" style="72" bestFit="1" customWidth="1"/>
    <col min="15631" max="15631" width="11" style="72" bestFit="1" customWidth="1"/>
    <col min="15632" max="15633" width="11" style="72" customWidth="1"/>
    <col min="15634" max="15634" width="10" style="72" bestFit="1" customWidth="1"/>
    <col min="15635" max="15635" width="14.42578125" style="72" bestFit="1" customWidth="1"/>
    <col min="15636" max="15646" width="0" style="72" hidden="1" customWidth="1"/>
    <col min="15647" max="15867" width="9.140625" style="72"/>
    <col min="15868" max="15868" width="54.140625" style="72" bestFit="1" customWidth="1"/>
    <col min="15869" max="15869" width="14.7109375" style="72" customWidth="1"/>
    <col min="15870" max="15870" width="10.140625" style="72" customWidth="1"/>
    <col min="15871" max="15871" width="10.42578125" style="72" bestFit="1" customWidth="1"/>
    <col min="15872" max="15873" width="9.42578125" style="72" bestFit="1" customWidth="1"/>
    <col min="15874" max="15875" width="9.42578125" style="72" customWidth="1"/>
    <col min="15876" max="15876" width="10.140625" style="72" bestFit="1" customWidth="1"/>
    <col min="15877" max="15880" width="9.140625" style="72"/>
    <col min="15881" max="15881" width="7.28515625" style="72" customWidth="1"/>
    <col min="15882" max="15884" width="7.42578125" style="72" customWidth="1"/>
    <col min="15885" max="15885" width="10.42578125" style="72" bestFit="1" customWidth="1"/>
    <col min="15886" max="15886" width="12" style="72" bestFit="1" customWidth="1"/>
    <col min="15887" max="15887" width="11" style="72" bestFit="1" customWidth="1"/>
    <col min="15888" max="15889" width="11" style="72" customWidth="1"/>
    <col min="15890" max="15890" width="10" style="72" bestFit="1" customWidth="1"/>
    <col min="15891" max="15891" width="14.42578125" style="72" bestFit="1" customWidth="1"/>
    <col min="15892" max="15902" width="0" style="72" hidden="1" customWidth="1"/>
    <col min="15903" max="16123" width="9.140625" style="72"/>
    <col min="16124" max="16124" width="54.140625" style="72" bestFit="1" customWidth="1"/>
    <col min="16125" max="16125" width="14.7109375" style="72" customWidth="1"/>
    <col min="16126" max="16126" width="10.140625" style="72" customWidth="1"/>
    <col min="16127" max="16127" width="10.42578125" style="72" bestFit="1" customWidth="1"/>
    <col min="16128" max="16129" width="9.42578125" style="72" bestFit="1" customWidth="1"/>
    <col min="16130" max="16131" width="9.42578125" style="72" customWidth="1"/>
    <col min="16132" max="16132" width="10.140625" style="72" bestFit="1" customWidth="1"/>
    <col min="16133" max="16136" width="9.140625" style="72"/>
    <col min="16137" max="16137" width="7.28515625" style="72" customWidth="1"/>
    <col min="16138" max="16140" width="7.42578125" style="72" customWidth="1"/>
    <col min="16141" max="16141" width="10.42578125" style="72" bestFit="1" customWidth="1"/>
    <col min="16142" max="16142" width="12" style="72" bestFit="1" customWidth="1"/>
    <col min="16143" max="16143" width="11" style="72" bestFit="1" customWidth="1"/>
    <col min="16144" max="16145" width="11" style="72" customWidth="1"/>
    <col min="16146" max="16146" width="10" style="72" bestFit="1" customWidth="1"/>
    <col min="16147" max="16147" width="14.42578125" style="72" bestFit="1" customWidth="1"/>
    <col min="16148" max="16158" width="0" style="72" hidden="1" customWidth="1"/>
    <col min="16159" max="16384" width="9.140625" style="72"/>
  </cols>
  <sheetData>
    <row r="1" spans="1:32" s="67" customFormat="1" ht="24" customHeight="1" x14ac:dyDescent="0.25">
      <c r="A1" s="64" t="s">
        <v>99</v>
      </c>
      <c r="B1" s="141">
        <v>45474</v>
      </c>
      <c r="C1" s="142"/>
      <c r="D1" s="142"/>
      <c r="E1" s="142"/>
      <c r="F1" s="142"/>
      <c r="G1" s="142"/>
      <c r="H1" s="142"/>
      <c r="I1" s="142"/>
      <c r="J1" s="143"/>
      <c r="K1" s="65"/>
      <c r="L1" s="65"/>
      <c r="M1" s="65"/>
      <c r="N1" s="65"/>
      <c r="O1" s="65"/>
      <c r="P1" s="65"/>
      <c r="Q1" s="65"/>
      <c r="R1" s="65"/>
      <c r="S1" s="66"/>
      <c r="T1" s="66"/>
    </row>
    <row r="2" spans="1:32" ht="98.25" customHeight="1" x14ac:dyDescent="0.2">
      <c r="A2" s="68" t="s">
        <v>220</v>
      </c>
      <c r="B2" s="144" t="s">
        <v>256</v>
      </c>
      <c r="C2" s="145"/>
      <c r="D2" s="145"/>
      <c r="E2" s="145"/>
      <c r="F2" s="145"/>
      <c r="G2" s="145"/>
      <c r="H2" s="145"/>
      <c r="I2" s="145"/>
      <c r="J2" s="146"/>
      <c r="K2" s="69"/>
      <c r="L2" s="70"/>
      <c r="M2" s="70"/>
      <c r="N2" s="70"/>
      <c r="O2" s="70"/>
      <c r="P2" s="70"/>
      <c r="Q2" s="70"/>
      <c r="R2" s="70"/>
      <c r="S2" s="71"/>
      <c r="T2" s="71"/>
    </row>
    <row r="3" spans="1:32" ht="28.5" customHeight="1" x14ac:dyDescent="0.2">
      <c r="A3" s="147" t="s">
        <v>221</v>
      </c>
      <c r="B3" s="147"/>
      <c r="C3" s="147"/>
      <c r="D3" s="147"/>
      <c r="E3" s="147"/>
      <c r="F3" s="147"/>
      <c r="G3" s="147"/>
      <c r="H3" s="147"/>
      <c r="I3" s="147"/>
      <c r="J3" s="147"/>
      <c r="K3" s="73"/>
      <c r="L3" s="74"/>
      <c r="M3" s="74"/>
      <c r="N3" s="74"/>
      <c r="O3" s="74"/>
      <c r="P3" s="74"/>
      <c r="Q3" s="74"/>
      <c r="R3" s="74"/>
      <c r="S3" s="71"/>
      <c r="T3" s="71"/>
    </row>
    <row r="4" spans="1:32" x14ac:dyDescent="0.2">
      <c r="A4" s="147" t="s">
        <v>222</v>
      </c>
      <c r="B4" s="147"/>
      <c r="C4" s="147"/>
      <c r="D4" s="147"/>
      <c r="E4" s="147"/>
      <c r="F4" s="147"/>
      <c r="G4" s="147"/>
      <c r="H4" s="147"/>
      <c r="I4" s="147"/>
      <c r="J4" s="147"/>
      <c r="K4" s="75"/>
      <c r="L4" s="74"/>
      <c r="M4" s="74"/>
      <c r="N4" s="74"/>
      <c r="O4" s="74"/>
    </row>
    <row r="5" spans="1:32" x14ac:dyDescent="0.2">
      <c r="A5" s="147"/>
      <c r="B5" s="147"/>
      <c r="C5" s="147"/>
      <c r="D5" s="147"/>
      <c r="E5" s="147"/>
      <c r="F5" s="147"/>
      <c r="G5" s="147"/>
      <c r="H5" s="147"/>
      <c r="I5" s="147"/>
      <c r="J5" s="147"/>
      <c r="K5" s="65"/>
      <c r="L5" s="76"/>
      <c r="M5" s="76"/>
      <c r="N5" s="76"/>
      <c r="O5" s="76"/>
      <c r="P5" s="76"/>
      <c r="Q5" s="76"/>
      <c r="R5" s="76"/>
      <c r="S5" s="71"/>
      <c r="T5" s="71"/>
    </row>
    <row r="6" spans="1:32" ht="18" customHeight="1" x14ac:dyDescent="0.2">
      <c r="B6" s="65"/>
      <c r="C6" s="65"/>
      <c r="D6" s="65"/>
      <c r="E6" s="65"/>
      <c r="F6" s="65"/>
      <c r="G6" s="65"/>
      <c r="H6" s="65"/>
      <c r="I6" s="65"/>
      <c r="J6" s="65"/>
      <c r="K6" s="65"/>
      <c r="L6" s="76"/>
      <c r="M6" s="76"/>
      <c r="N6" s="76"/>
      <c r="O6" s="76"/>
      <c r="P6" s="77"/>
      <c r="Q6" s="76"/>
      <c r="R6" s="76"/>
      <c r="S6" s="78"/>
      <c r="T6" s="78"/>
    </row>
    <row r="7" spans="1:32" ht="13.5" thickBot="1" x14ac:dyDescent="0.25">
      <c r="C7" s="70"/>
      <c r="D7" s="79"/>
      <c r="E7" s="76"/>
      <c r="F7" s="76"/>
      <c r="G7" s="76"/>
      <c r="H7" s="76"/>
      <c r="I7" s="76"/>
      <c r="J7" s="76"/>
      <c r="K7" s="65"/>
      <c r="L7" s="76"/>
      <c r="M7" s="76"/>
      <c r="N7" s="76"/>
      <c r="O7" s="76"/>
      <c r="P7" s="76"/>
      <c r="Q7" s="76"/>
      <c r="R7" s="76"/>
      <c r="S7" s="78"/>
      <c r="T7" s="78"/>
    </row>
    <row r="8" spans="1:32" ht="26.25" customHeight="1" x14ac:dyDescent="0.2">
      <c r="A8" s="148" t="s">
        <v>223</v>
      </c>
      <c r="B8" s="150" t="s">
        <v>224</v>
      </c>
      <c r="C8" s="152" t="s">
        <v>225</v>
      </c>
      <c r="D8" s="154" t="s">
        <v>226</v>
      </c>
      <c r="E8" s="137"/>
      <c r="F8" s="137"/>
      <c r="G8" s="139"/>
      <c r="H8" s="154" t="s">
        <v>227</v>
      </c>
      <c r="I8" s="137"/>
      <c r="J8" s="137"/>
      <c r="K8" s="139"/>
      <c r="L8" s="154" t="s">
        <v>228</v>
      </c>
      <c r="M8" s="137"/>
      <c r="N8" s="139"/>
      <c r="O8" s="152" t="s">
        <v>229</v>
      </c>
      <c r="P8" s="154" t="s">
        <v>230</v>
      </c>
      <c r="Q8" s="137" t="s">
        <v>231</v>
      </c>
      <c r="R8" s="137" t="s">
        <v>232</v>
      </c>
      <c r="S8" s="139" t="s">
        <v>233</v>
      </c>
      <c r="T8" s="152" t="s">
        <v>234</v>
      </c>
      <c r="U8" s="161" t="s">
        <v>235</v>
      </c>
      <c r="V8" s="162"/>
      <c r="W8" s="162"/>
      <c r="X8" s="162"/>
      <c r="Y8" s="162"/>
      <c r="Z8" s="162"/>
      <c r="AA8" s="162"/>
      <c r="AB8" s="162"/>
      <c r="AC8" s="162"/>
      <c r="AD8" s="162"/>
      <c r="AE8" s="162"/>
      <c r="AF8" s="163"/>
    </row>
    <row r="9" spans="1:32" ht="12.75" customHeight="1" x14ac:dyDescent="0.2">
      <c r="A9" s="149"/>
      <c r="B9" s="151"/>
      <c r="C9" s="153"/>
      <c r="D9" s="167" t="s">
        <v>236</v>
      </c>
      <c r="E9" s="138" t="s">
        <v>237</v>
      </c>
      <c r="F9" s="138" t="s">
        <v>238</v>
      </c>
      <c r="G9" s="140" t="s">
        <v>239</v>
      </c>
      <c r="H9" s="167" t="s">
        <v>236</v>
      </c>
      <c r="I9" s="138" t="s">
        <v>240</v>
      </c>
      <c r="J9" s="138" t="s">
        <v>241</v>
      </c>
      <c r="K9" s="140" t="s">
        <v>239</v>
      </c>
      <c r="L9" s="167"/>
      <c r="M9" s="138"/>
      <c r="N9" s="140"/>
      <c r="O9" s="153"/>
      <c r="P9" s="167"/>
      <c r="Q9" s="138"/>
      <c r="R9" s="138"/>
      <c r="S9" s="140"/>
      <c r="T9" s="153"/>
      <c r="U9" s="164"/>
      <c r="V9" s="165"/>
      <c r="W9" s="165"/>
      <c r="X9" s="165"/>
      <c r="Y9" s="165"/>
      <c r="Z9" s="165"/>
      <c r="AA9" s="165"/>
      <c r="AB9" s="165"/>
      <c r="AC9" s="165"/>
      <c r="AD9" s="165"/>
      <c r="AE9" s="165"/>
      <c r="AF9" s="166"/>
    </row>
    <row r="10" spans="1:32" ht="42" customHeight="1" x14ac:dyDescent="0.2">
      <c r="A10" s="149"/>
      <c r="B10" s="151"/>
      <c r="C10" s="153"/>
      <c r="D10" s="167"/>
      <c r="E10" s="138"/>
      <c r="F10" s="138"/>
      <c r="G10" s="140"/>
      <c r="H10" s="167"/>
      <c r="I10" s="138"/>
      <c r="J10" s="138"/>
      <c r="K10" s="140"/>
      <c r="L10" s="80" t="s">
        <v>242</v>
      </c>
      <c r="M10" s="81" t="s">
        <v>243</v>
      </c>
      <c r="N10" s="82" t="s">
        <v>244</v>
      </c>
      <c r="O10" s="153"/>
      <c r="P10" s="167"/>
      <c r="Q10" s="138"/>
      <c r="R10" s="138"/>
      <c r="S10" s="140"/>
      <c r="T10" s="153"/>
      <c r="U10" s="83" t="str">
        <f>'AUTO CALCULATION SHEET (2)'!N17</f>
        <v>Alumimium</v>
      </c>
      <c r="V10" s="84" t="str">
        <f>'AUTO CALCULATION SHEET (2)'!AF17</f>
        <v>LT-XLPE</v>
      </c>
      <c r="W10" s="84" t="str">
        <f>'AUTO CALCULATION SHEET (2)'!BJ17</f>
        <v>PVC Type ST-2</v>
      </c>
      <c r="X10" s="84" t="s">
        <v>245</v>
      </c>
      <c r="Y10" s="84" t="s">
        <v>246</v>
      </c>
      <c r="Z10" s="84" t="s">
        <v>247</v>
      </c>
      <c r="AA10" s="84" t="s">
        <v>248</v>
      </c>
      <c r="AB10" s="84" t="s">
        <v>249</v>
      </c>
      <c r="AC10" s="84" t="s">
        <v>250</v>
      </c>
      <c r="AD10" s="84" t="s">
        <v>251</v>
      </c>
      <c r="AE10" s="84" t="s">
        <v>252</v>
      </c>
      <c r="AF10" s="85" t="s">
        <v>253</v>
      </c>
    </row>
    <row r="11" spans="1:32" ht="14.25" customHeight="1" x14ac:dyDescent="0.2">
      <c r="A11" s="86"/>
      <c r="B11" s="155"/>
      <c r="C11" s="156"/>
      <c r="D11" s="156"/>
      <c r="E11" s="156"/>
      <c r="F11" s="156"/>
      <c r="G11" s="156"/>
      <c r="H11" s="156"/>
      <c r="I11" s="156"/>
      <c r="J11" s="156"/>
      <c r="K11" s="156"/>
      <c r="L11" s="156"/>
      <c r="M11" s="156"/>
      <c r="N11" s="156"/>
      <c r="O11" s="156"/>
      <c r="P11" s="156"/>
      <c r="Q11" s="156"/>
      <c r="R11" s="156"/>
      <c r="S11" s="156"/>
      <c r="T11" s="157"/>
      <c r="U11" s="87">
        <v>243</v>
      </c>
      <c r="V11" s="88">
        <v>117</v>
      </c>
      <c r="W11" s="88">
        <v>65</v>
      </c>
      <c r="X11" s="89"/>
      <c r="Y11" s="89"/>
      <c r="Z11" s="89"/>
      <c r="AA11" s="89"/>
      <c r="AB11" s="89"/>
      <c r="AC11" s="89"/>
      <c r="AD11" s="90"/>
      <c r="AE11" s="89"/>
      <c r="AF11" s="91"/>
    </row>
    <row r="12" spans="1:32" ht="34.5" customHeight="1" x14ac:dyDescent="0.2">
      <c r="A12" s="92" t="str">
        <f>'AUTO CALCULATION SHEET (2)'!D19</f>
        <v>1 CORE X 50 SQ. MM. AL/UNARD. (XLPE)</v>
      </c>
      <c r="B12" s="93"/>
      <c r="C12" s="94" t="s">
        <v>254</v>
      </c>
      <c r="D12" s="95">
        <v>45524</v>
      </c>
      <c r="E12" s="96">
        <v>214901.38</v>
      </c>
      <c r="F12" s="97">
        <v>155060</v>
      </c>
      <c r="G12" s="98">
        <v>166325</v>
      </c>
      <c r="H12" s="99">
        <f>$B$1</f>
        <v>45474</v>
      </c>
      <c r="I12" s="97">
        <v>232711</v>
      </c>
      <c r="J12" s="97">
        <v>155060</v>
      </c>
      <c r="K12" s="98">
        <v>166325</v>
      </c>
      <c r="L12" s="100">
        <v>0.13700000000000001</v>
      </c>
      <c r="M12" s="101">
        <v>3.3000000000000002E-2</v>
      </c>
      <c r="N12" s="102">
        <v>0.124</v>
      </c>
      <c r="O12" s="103">
        <f>'AUTO CALCULATION SHEET (2)'!E19</f>
        <v>50887.179622799995</v>
      </c>
      <c r="P12" s="104">
        <f>(L12*(E12-I12))</f>
        <v>-2439.9179399999994</v>
      </c>
      <c r="Q12" s="105">
        <f t="shared" ref="Q12:R15" si="0">M12*(F12-J12)</f>
        <v>0</v>
      </c>
      <c r="R12" s="105">
        <f t="shared" si="0"/>
        <v>0</v>
      </c>
      <c r="S12" s="106">
        <f>P12+Q12+R12</f>
        <v>-2439.9179399999994</v>
      </c>
      <c r="T12" s="107">
        <f>O12+S12</f>
        <v>48447.261682799995</v>
      </c>
      <c r="U12" s="108">
        <f>'AUTO CALCULATION SHEET (2)'!N19</f>
        <v>135</v>
      </c>
      <c r="V12" s="109">
        <f>'AUTO CALCULATION SHEET (2)'!AF19</f>
        <v>36.841000000000001</v>
      </c>
      <c r="W12" s="109">
        <f>'AUTO CALCULATION SHEET (2)'!BJ19</f>
        <v>110</v>
      </c>
      <c r="X12" s="110">
        <f>SUMPRODUCT(U12:W12,$U$11:$W$11)</f>
        <v>44265.396999999997</v>
      </c>
      <c r="Y12" s="109">
        <f>'AUTO CALCULATION SHEET (2)'!BZ19</f>
        <v>2230</v>
      </c>
      <c r="Z12" s="110">
        <f>X12+Y12</f>
        <v>46495.396999999997</v>
      </c>
      <c r="AA12" s="109">
        <f>T12-Z12</f>
        <v>1951.8646827999983</v>
      </c>
      <c r="AB12" s="110">
        <f>ROUND((AA12/Z12)*100,2)</f>
        <v>4.2</v>
      </c>
      <c r="AC12" s="109"/>
      <c r="AD12" s="110"/>
      <c r="AE12" s="109"/>
      <c r="AF12" s="111">
        <f>AB12-AC12-AD12-AE12</f>
        <v>4.2</v>
      </c>
    </row>
    <row r="13" spans="1:32" ht="34.5" customHeight="1" x14ac:dyDescent="0.2">
      <c r="A13" s="92" t="str">
        <f>'AUTO CALCULATION SHEET (2)'!D20</f>
        <v>1 CORE X 70 SQ. MM AL/UNARD ( XLPE )</v>
      </c>
      <c r="B13" s="93"/>
      <c r="C13" s="94" t="s">
        <v>254</v>
      </c>
      <c r="D13" s="95">
        <v>45524</v>
      </c>
      <c r="E13" s="96">
        <v>214901.38</v>
      </c>
      <c r="F13" s="97">
        <v>155060</v>
      </c>
      <c r="G13" s="98">
        <v>166325</v>
      </c>
      <c r="H13" s="99">
        <f>$B$1</f>
        <v>45474</v>
      </c>
      <c r="I13" s="97">
        <v>232711</v>
      </c>
      <c r="J13" s="97">
        <v>155060</v>
      </c>
      <c r="K13" s="98">
        <v>166325</v>
      </c>
      <c r="L13" s="100">
        <v>0.19700000000000001</v>
      </c>
      <c r="M13" s="101">
        <v>4.2000000000000003E-2</v>
      </c>
      <c r="N13" s="102">
        <v>0.14599999999999999</v>
      </c>
      <c r="O13" s="103">
        <f>'AUTO CALCULATION SHEET (2)'!E20</f>
        <v>69644.762096399994</v>
      </c>
      <c r="P13" s="104">
        <f>(L13*(E13-I13))</f>
        <v>-3508.4951399999991</v>
      </c>
      <c r="Q13" s="105">
        <f t="shared" ref="Q13" si="1">M13*(F13-J13)</f>
        <v>0</v>
      </c>
      <c r="R13" s="105">
        <f t="shared" ref="R13" si="2">N13*(G13-K13)</f>
        <v>0</v>
      </c>
      <c r="S13" s="106">
        <f>P13+Q13+R13</f>
        <v>-3508.4951399999991</v>
      </c>
      <c r="T13" s="107">
        <f>O13+S13</f>
        <v>66136.266956399995</v>
      </c>
      <c r="U13" s="108">
        <f>'AUTO CALCULATION SHEET (2)'!N20</f>
        <v>189</v>
      </c>
      <c r="V13" s="109">
        <f>'AUTO CALCULATION SHEET (2)'!AF20</f>
        <v>43.433</v>
      </c>
      <c r="W13" s="109">
        <f>'AUTO CALCULATION SHEET (2)'!BJ20</f>
        <v>125</v>
      </c>
      <c r="X13" s="110">
        <f>SUMPRODUCT(U13:W13,$U$11:$W$11)</f>
        <v>59133.661</v>
      </c>
      <c r="Y13" s="109">
        <f>'AUTO CALCULATION SHEET (2)'!BZ20</f>
        <v>4611</v>
      </c>
      <c r="Z13" s="110">
        <f>X13+Y13</f>
        <v>63744.661</v>
      </c>
      <c r="AA13" s="109">
        <f>T13-Z13</f>
        <v>2391.6059563999952</v>
      </c>
      <c r="AB13" s="110">
        <f>ROUND((AA13/Z13)*100,2)</f>
        <v>3.75</v>
      </c>
      <c r="AC13" s="109"/>
      <c r="AD13" s="110"/>
      <c r="AE13" s="109"/>
      <c r="AF13" s="111">
        <f>AB13-AC13-AD13-AE13</f>
        <v>3.75</v>
      </c>
    </row>
    <row r="14" spans="1:32" ht="34.5" customHeight="1" x14ac:dyDescent="0.2">
      <c r="A14" s="92" t="str">
        <f>'AUTO CALCULATION SHEET (2)'!D21</f>
        <v>1 CORE X 150 SQ. MM. AL/UNARD. (XLPE)</v>
      </c>
      <c r="B14" s="93"/>
      <c r="C14" s="94" t="s">
        <v>254</v>
      </c>
      <c r="D14" s="95">
        <v>45524</v>
      </c>
      <c r="E14" s="96">
        <v>214901.38</v>
      </c>
      <c r="F14" s="97">
        <v>155060</v>
      </c>
      <c r="G14" s="98">
        <v>166325</v>
      </c>
      <c r="H14" s="99">
        <f>$B$1</f>
        <v>45474</v>
      </c>
      <c r="I14" s="97">
        <v>232711</v>
      </c>
      <c r="J14" s="97">
        <v>155060</v>
      </c>
      <c r="K14" s="98">
        <v>166325</v>
      </c>
      <c r="L14" s="100">
        <v>0.42499999999999999</v>
      </c>
      <c r="M14" s="101">
        <v>7.8E-2</v>
      </c>
      <c r="N14" s="102">
        <v>0.217</v>
      </c>
      <c r="O14" s="103">
        <f>'AUTO CALCULATION SHEET (2)'!E21</f>
        <v>135065.67687359999</v>
      </c>
      <c r="P14" s="104">
        <f>(L14*(E14-I14))</f>
        <v>-7569.088499999998</v>
      </c>
      <c r="Q14" s="105">
        <f t="shared" si="0"/>
        <v>0</v>
      </c>
      <c r="R14" s="105">
        <f t="shared" si="0"/>
        <v>0</v>
      </c>
      <c r="S14" s="106">
        <f>P14+Q14+R14</f>
        <v>-7569.088499999998</v>
      </c>
      <c r="T14" s="107">
        <f>O14+S14</f>
        <v>127496.5883736</v>
      </c>
      <c r="U14" s="108">
        <f>'AUTO CALCULATION SHEET (2)'!N21</f>
        <v>405</v>
      </c>
      <c r="V14" s="109">
        <f>'AUTO CALCULATION SHEET (2)'!AF21</f>
        <v>71.591999999999999</v>
      </c>
      <c r="W14" s="109">
        <f>'AUTO CALCULATION SHEET (2)'!BJ21</f>
        <v>187</v>
      </c>
      <c r="X14" s="110">
        <f>SUMPRODUCT(U14:W14,$U$11:$W$11)</f>
        <v>118946.264</v>
      </c>
      <c r="Y14" s="109">
        <f>'AUTO CALCULATION SHEET (2)'!BZ21</f>
        <v>5151</v>
      </c>
      <c r="Z14" s="110">
        <f>X14+Y14</f>
        <v>124097.264</v>
      </c>
      <c r="AA14" s="109">
        <f>T14-Z14</f>
        <v>3399.3243736000004</v>
      </c>
      <c r="AB14" s="110">
        <f>ROUND((AA14/Z14)*100,2)</f>
        <v>2.74</v>
      </c>
      <c r="AC14" s="109"/>
      <c r="AD14" s="110"/>
      <c r="AE14" s="109"/>
      <c r="AF14" s="111">
        <f>AB14-AC14-AD14-AE14</f>
        <v>2.74</v>
      </c>
    </row>
    <row r="15" spans="1:32" ht="34.5" customHeight="1" x14ac:dyDescent="0.2">
      <c r="A15" s="92" t="str">
        <f>'AUTO CALCULATION SHEET (2)'!D22</f>
        <v>1 CORE X 300 SQ. MM. AL/UNARD. (XLPE)</v>
      </c>
      <c r="B15" s="93"/>
      <c r="C15" s="94" t="s">
        <v>254</v>
      </c>
      <c r="D15" s="95">
        <v>45524</v>
      </c>
      <c r="E15" s="96">
        <v>214901.38</v>
      </c>
      <c r="F15" s="97">
        <v>155060</v>
      </c>
      <c r="G15" s="98">
        <v>166325</v>
      </c>
      <c r="H15" s="99">
        <f>$B$1</f>
        <v>45474</v>
      </c>
      <c r="I15" s="97">
        <v>232711</v>
      </c>
      <c r="J15" s="97">
        <v>155060</v>
      </c>
      <c r="K15" s="98">
        <v>166325</v>
      </c>
      <c r="L15" s="100">
        <v>0.879</v>
      </c>
      <c r="M15" s="101">
        <v>0.13800000000000001</v>
      </c>
      <c r="N15" s="102">
        <v>0.30299999999999999</v>
      </c>
      <c r="O15" s="103">
        <f>'AUTO CALCULATION SHEET (2)'!E22</f>
        <v>255218.13445680001</v>
      </c>
      <c r="P15" s="104">
        <f>(L15*(E15-I15))</f>
        <v>-15654.655979999996</v>
      </c>
      <c r="Q15" s="105">
        <f t="shared" si="0"/>
        <v>0</v>
      </c>
      <c r="R15" s="105">
        <f t="shared" si="0"/>
        <v>0</v>
      </c>
      <c r="S15" s="106">
        <f>P15+Q15+R15</f>
        <v>-15654.655979999996</v>
      </c>
      <c r="T15" s="107">
        <f>O15+S15</f>
        <v>239563.47847680002</v>
      </c>
      <c r="U15" s="108">
        <f>'AUTO CALCULATION SHEET (2)'!N22</f>
        <v>810</v>
      </c>
      <c r="V15" s="109">
        <f>'AUTO CALCULATION SHEET (2)'!AF22</f>
        <v>132.446</v>
      </c>
      <c r="W15" s="109">
        <f>'AUTO CALCULATION SHEET (2)'!BJ22</f>
        <v>251</v>
      </c>
      <c r="X15" s="110">
        <f>SUMPRODUCT(U15:W15,$U$11:$W$11)</f>
        <v>228641.182</v>
      </c>
      <c r="Y15" s="109">
        <f>'AUTO CALCULATION SHEET (2)'!BZ22</f>
        <v>6516</v>
      </c>
      <c r="Z15" s="110">
        <f>X15+Y15</f>
        <v>235157.182</v>
      </c>
      <c r="AA15" s="109">
        <f>T15-Z15</f>
        <v>4406.2964768000238</v>
      </c>
      <c r="AB15" s="110">
        <f>ROUND((AA15/Z15)*100,2)</f>
        <v>1.87</v>
      </c>
      <c r="AC15" s="109"/>
      <c r="AD15" s="110"/>
      <c r="AE15" s="109"/>
      <c r="AF15" s="111">
        <f>AB15-AC15-AD15-AE15</f>
        <v>1.87</v>
      </c>
    </row>
    <row r="16" spans="1:32" s="117" customFormat="1" ht="21" customHeight="1" thickBot="1" x14ac:dyDescent="0.25">
      <c r="A16" s="112"/>
      <c r="B16" s="158"/>
      <c r="C16" s="159"/>
      <c r="D16" s="159"/>
      <c r="E16" s="159"/>
      <c r="F16" s="159"/>
      <c r="G16" s="159"/>
      <c r="H16" s="159"/>
      <c r="I16" s="159"/>
      <c r="J16" s="159"/>
      <c r="K16" s="159"/>
      <c r="L16" s="159"/>
      <c r="M16" s="159"/>
      <c r="N16" s="159"/>
      <c r="O16" s="159"/>
      <c r="P16" s="159"/>
      <c r="Q16" s="159"/>
      <c r="R16" s="159"/>
      <c r="S16" s="159"/>
      <c r="T16" s="160"/>
      <c r="U16" s="113"/>
      <c r="V16" s="114"/>
      <c r="W16" s="114"/>
      <c r="X16" s="115"/>
      <c r="Y16" s="114"/>
      <c r="Z16" s="115"/>
      <c r="AA16" s="114"/>
      <c r="AB16" s="115"/>
      <c r="AC16" s="114"/>
      <c r="AD16" s="114"/>
      <c r="AE16" s="114"/>
      <c r="AF16" s="116"/>
    </row>
    <row r="17" spans="1:32" s="117" customFormat="1" x14ac:dyDescent="0.2">
      <c r="A17" s="72"/>
      <c r="B17" s="72"/>
      <c r="C17" s="72"/>
      <c r="D17" s="72"/>
      <c r="E17" s="118"/>
      <c r="F17" s="72"/>
      <c r="G17" s="72"/>
      <c r="H17" s="72"/>
      <c r="I17" s="72"/>
      <c r="J17" s="72"/>
      <c r="U17" s="119"/>
      <c r="V17" s="119"/>
      <c r="W17" s="119"/>
      <c r="X17" s="119"/>
      <c r="Y17" s="119"/>
      <c r="Z17" s="119"/>
      <c r="AA17" s="119"/>
      <c r="AB17" s="119"/>
      <c r="AC17" s="119"/>
      <c r="AD17" s="119"/>
      <c r="AE17" s="119"/>
      <c r="AF17" s="119"/>
    </row>
  </sheetData>
  <mergeCells count="27">
    <mergeCell ref="B11:T11"/>
    <mergeCell ref="B16:T16"/>
    <mergeCell ref="T8:T10"/>
    <mergeCell ref="U8:AF9"/>
    <mergeCell ref="D9:D10"/>
    <mergeCell ref="E9:E10"/>
    <mergeCell ref="F9:F10"/>
    <mergeCell ref="G9:G10"/>
    <mergeCell ref="H9:H10"/>
    <mergeCell ref="I9:I10"/>
    <mergeCell ref="J9:J10"/>
    <mergeCell ref="K9:K10"/>
    <mergeCell ref="L8:N9"/>
    <mergeCell ref="O8:O10"/>
    <mergeCell ref="P8:P10"/>
    <mergeCell ref="Q8:Q10"/>
    <mergeCell ref="R8:R10"/>
    <mergeCell ref="S8:S10"/>
    <mergeCell ref="B1:J1"/>
    <mergeCell ref="B2:J2"/>
    <mergeCell ref="A3:J3"/>
    <mergeCell ref="A4:J5"/>
    <mergeCell ref="A8:A10"/>
    <mergeCell ref="B8:B10"/>
    <mergeCell ref="C8:C10"/>
    <mergeCell ref="D8:G8"/>
    <mergeCell ref="H8:K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2024-08-20T12:42:36Z</dcterms:modified>
</cp:coreProperties>
</file>