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1_NOVEMBER 2023\KESCO-LTABC-11516\"/>
    </mc:Choice>
  </mc:AlternateContent>
  <xr:revisionPtr revIDLastSave="0" documentId="13_ncr:1_{AE6FB05D-6198-46AE-B09A-CA47DD924034}"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LT ABC"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6" i="6" l="1"/>
  <c r="Z25" i="6"/>
  <c r="Y26" i="6"/>
  <c r="Y25" i="6"/>
  <c r="X25" i="6"/>
  <c r="X26" i="6"/>
  <c r="W26" i="6"/>
  <c r="W25" i="6"/>
  <c r="V26" i="6"/>
  <c r="V25" i="6"/>
  <c r="U26" i="6"/>
  <c r="AA26" i="6" s="1"/>
  <c r="U25" i="6"/>
  <c r="AA25" i="6" s="1"/>
  <c r="A1" i="6" l="1"/>
  <c r="AD24" i="6"/>
  <c r="T17" i="4"/>
  <c r="H26" i="6" l="1"/>
  <c r="H25" i="6"/>
  <c r="J23" i="4" l="1"/>
  <c r="J22" i="4"/>
  <c r="BY18" i="4" l="1"/>
  <c r="BY19" i="4"/>
  <c r="BY16" i="4"/>
  <c r="A18" i="4" l="1"/>
  <c r="B18" i="4"/>
  <c r="C18" i="4"/>
  <c r="D18" i="4"/>
  <c r="K18" i="4"/>
  <c r="L18" i="4"/>
  <c r="AC25" i="6"/>
  <c r="O18" i="4"/>
  <c r="P18" i="4"/>
  <c r="Q18" i="4"/>
  <c r="R18" i="4"/>
  <c r="S18" i="4"/>
  <c r="AD25" i="6"/>
  <c r="U18" i="4"/>
  <c r="V18" i="4"/>
  <c r="W18" i="4"/>
  <c r="X18" i="4"/>
  <c r="Y18" i="4"/>
  <c r="Z18" i="4"/>
  <c r="AA18" i="4"/>
  <c r="AB18" i="4"/>
  <c r="AC18" i="4"/>
  <c r="AD18" i="4"/>
  <c r="AE18" i="4"/>
  <c r="AE25" i="6"/>
  <c r="AG18" i="4"/>
  <c r="AH18" i="4"/>
  <c r="AI18" i="4"/>
  <c r="AJ18" i="4"/>
  <c r="AK18" i="4"/>
  <c r="AL18" i="4"/>
  <c r="AM18" i="4"/>
  <c r="AN18" i="4"/>
  <c r="AO18" i="4"/>
  <c r="AP18" i="4"/>
  <c r="AQ18" i="4"/>
  <c r="AR18" i="4"/>
  <c r="AS18" i="4"/>
  <c r="AT18" i="4"/>
  <c r="AU18" i="4"/>
  <c r="AV18" i="4"/>
  <c r="AW18" i="4"/>
  <c r="AX18" i="4"/>
  <c r="AY18" i="4"/>
  <c r="AZ18" i="4"/>
  <c r="BA18" i="4"/>
  <c r="BB18" i="4"/>
  <c r="BC18" i="4"/>
  <c r="BD18" i="4"/>
  <c r="BE18" i="4"/>
  <c r="BF18" i="4"/>
  <c r="BG18" i="4"/>
  <c r="BH18" i="4"/>
  <c r="BI18" i="4"/>
  <c r="BJ18" i="4"/>
  <c r="BK18" i="4"/>
  <c r="BL18" i="4"/>
  <c r="BM18" i="4"/>
  <c r="BN18" i="4"/>
  <c r="BO18" i="4"/>
  <c r="BP18" i="4"/>
  <c r="BQ18" i="4"/>
  <c r="BR18" i="4"/>
  <c r="BS18" i="4"/>
  <c r="BT18" i="4"/>
  <c r="BU18" i="4"/>
  <c r="BV18" i="4"/>
  <c r="BW18" i="4"/>
  <c r="BX18" i="4"/>
  <c r="BZ18" i="4"/>
  <c r="AG25" i="6" s="1"/>
  <c r="CB18" i="4"/>
  <c r="AF25" i="6" l="1"/>
  <c r="AH25" i="6" s="1"/>
  <c r="A18" i="6"/>
  <c r="D22" i="4"/>
  <c r="E22" i="4"/>
  <c r="B19" i="4"/>
  <c r="BX19" i="4" l="1"/>
  <c r="BW19" i="4"/>
  <c r="BX16" i="4"/>
  <c r="BW16" i="4"/>
  <c r="BV19" i="4"/>
  <c r="BV16" i="4"/>
  <c r="B16" i="4"/>
  <c r="S17" i="4" l="1"/>
  <c r="AB19" i="4" l="1"/>
  <c r="AA19" i="4"/>
  <c r="Z19" i="4"/>
  <c r="Y19" i="4"/>
  <c r="X19" i="4"/>
  <c r="W19" i="4"/>
  <c r="V19" i="4"/>
  <c r="U19" i="4"/>
  <c r="AD26" i="6"/>
  <c r="S19" i="4"/>
  <c r="BU19" i="4"/>
  <c r="BT19" i="4"/>
  <c r="BS19" i="4"/>
  <c r="BR19" i="4"/>
  <c r="BQ19" i="4"/>
  <c r="BP19" i="4"/>
  <c r="BO19" i="4"/>
  <c r="BN19" i="4"/>
  <c r="BS17" i="4"/>
  <c r="BT17" i="4"/>
  <c r="BU17" i="4"/>
  <c r="BR17" i="4"/>
  <c r="BQ17" i="4"/>
  <c r="BP17" i="4"/>
  <c r="BN17" i="4"/>
  <c r="BO17" i="4"/>
  <c r="BM17" i="4"/>
  <c r="BM19" i="4"/>
  <c r="BL19" i="4"/>
  <c r="BK19" i="4"/>
  <c r="BJ19" i="4"/>
  <c r="BI19" i="4"/>
  <c r="BH19" i="4"/>
  <c r="BG19" i="4"/>
  <c r="BF19" i="4"/>
  <c r="BE19" i="4"/>
  <c r="BD19" i="4"/>
  <c r="BC19" i="4"/>
  <c r="BL17" i="4"/>
  <c r="BK17" i="4"/>
  <c r="BJ17" i="4"/>
  <c r="BI17" i="4"/>
  <c r="BH17" i="4"/>
  <c r="BG17" i="4"/>
  <c r="BF17" i="4"/>
  <c r="BE17" i="4"/>
  <c r="BD17" i="4"/>
  <c r="BC17" i="4"/>
  <c r="BB19" i="4"/>
  <c r="BA19" i="4"/>
  <c r="AZ19" i="4"/>
  <c r="AY19" i="4"/>
  <c r="AX19" i="4"/>
  <c r="AW19" i="4"/>
  <c r="AV19" i="4"/>
  <c r="AU19" i="4"/>
  <c r="AT19" i="4"/>
  <c r="AS19" i="4"/>
  <c r="BB17" i="4"/>
  <c r="BA17" i="4"/>
  <c r="AZ17" i="4"/>
  <c r="AY17" i="4"/>
  <c r="AX17" i="4"/>
  <c r="AW17" i="4"/>
  <c r="AV17" i="4"/>
  <c r="AU17" i="4"/>
  <c r="AT17" i="4"/>
  <c r="AS17" i="4"/>
  <c r="AR17" i="4"/>
  <c r="AR19" i="4"/>
  <c r="AQ19" i="4"/>
  <c r="AP19" i="4"/>
  <c r="AO19" i="4"/>
  <c r="AN19" i="4"/>
  <c r="AM19" i="4"/>
  <c r="AL19" i="4"/>
  <c r="AQ17" i="4"/>
  <c r="AP17" i="4"/>
  <c r="AO17" i="4"/>
  <c r="AN17" i="4"/>
  <c r="AM17" i="4"/>
  <c r="AL17" i="4"/>
  <c r="AK17" i="4"/>
  <c r="AK19" i="4"/>
  <c r="AJ19" i="4"/>
  <c r="AI19" i="4"/>
  <c r="AH19" i="4"/>
  <c r="AG19" i="4"/>
  <c r="AE26" i="6"/>
  <c r="AE19" i="4"/>
  <c r="AJ17" i="4"/>
  <c r="AI17" i="4"/>
  <c r="AH17" i="4"/>
  <c r="AE17" i="4"/>
  <c r="AG17" i="4"/>
  <c r="AF17" i="4"/>
  <c r="AD17" i="4"/>
  <c r="AD19" i="4"/>
  <c r="AC19" i="4"/>
  <c r="AC17" i="4"/>
  <c r="AB17" i="4" l="1"/>
  <c r="AA17" i="4"/>
  <c r="Z17" i="4"/>
  <c r="Y17" i="4"/>
  <c r="X17" i="4"/>
  <c r="W17" i="4"/>
  <c r="V17" i="4"/>
  <c r="U17" i="4"/>
  <c r="R17" i="4" l="1"/>
  <c r="Q17" i="4"/>
  <c r="P17" i="4"/>
  <c r="O17" i="4"/>
  <c r="R19" i="4"/>
  <c r="Q19" i="4"/>
  <c r="P19" i="4"/>
  <c r="O19" i="4"/>
  <c r="N15" i="4"/>
  <c r="L19" i="4"/>
  <c r="K19" i="4"/>
  <c r="CB19" i="4"/>
  <c r="BZ19" i="4"/>
  <c r="AG26" i="6" s="1"/>
  <c r="D19" i="4"/>
  <c r="C19" i="4"/>
  <c r="A19" i="4"/>
  <c r="K22" i="4" l="1"/>
  <c r="M22" i="4" s="1"/>
  <c r="E23" i="4"/>
  <c r="K23" i="4" s="1"/>
  <c r="M23" i="4" s="1"/>
  <c r="A19" i="6"/>
  <c r="A26" i="6" s="1"/>
  <c r="D23" i="4"/>
  <c r="AC26" i="6"/>
  <c r="AF26" i="6" s="1"/>
  <c r="AH26" i="6" s="1"/>
  <c r="A25" i="6"/>
  <c r="CA18" i="4"/>
  <c r="CA19" i="4"/>
  <c r="L23" i="4" l="1"/>
  <c r="F19" i="4"/>
  <c r="L22" i="4"/>
  <c r="F18" i="4"/>
  <c r="CE18" i="4"/>
  <c r="CG18" i="4"/>
  <c r="CC18" i="4"/>
  <c r="CC19" i="4"/>
  <c r="CE19" i="4"/>
  <c r="CG19" i="4"/>
  <c r="CH18" i="4" l="1"/>
  <c r="CL18" i="4" s="1"/>
  <c r="CJ18" i="4"/>
  <c r="CH19" i="4"/>
  <c r="E18" i="4" l="1"/>
  <c r="B18" i="6" s="1"/>
  <c r="CJ19" i="4"/>
  <c r="CL19" i="4"/>
  <c r="G18" i="4" l="1"/>
  <c r="I18" i="4" s="1"/>
  <c r="J18" i="4" s="1"/>
  <c r="M18" i="4" s="1"/>
  <c r="E19" i="4"/>
  <c r="T25" i="6" l="1"/>
  <c r="AB25" i="6" s="1"/>
  <c r="B19" i="6"/>
  <c r="T26" i="6" s="1"/>
  <c r="AB26" i="6" s="1"/>
  <c r="G19" i="4"/>
  <c r="I19" i="4" s="1"/>
  <c r="J19" i="4" s="1"/>
  <c r="M19" i="4" s="1"/>
  <c r="AI25" i="6" l="1"/>
  <c r="AJ25" i="6" s="1"/>
  <c r="AN25" i="6" s="1"/>
  <c r="AI26" i="6"/>
  <c r="AJ26" i="6" s="1"/>
  <c r="AN26"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00000000-0006-0000-0100-00000100000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<sst xmlns="http://schemas.openxmlformats.org/spreadsheetml/2006/main" count="318" uniqueCount="242">
  <si>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</si>
  <si>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</si>
  <si>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</si>
  <si>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</si>
  <si>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</si>
  <si>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</si>
  <si>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</si>
  <si>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</si>
  <si>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</si>
  <si>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</si>
  <si>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</si>
  <si>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</si>
  <si>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</si>
  <si>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</si>
  <si>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</si>
  <si>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</si>
  <si>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</si>
  <si>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</si>
  <si>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</si>
  <si>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</si>
  <si>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</si>
  <si>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</si>
  <si>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</si>
  <si>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</si>
  <si>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</si>
  <si>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</si>
  <si>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</si>
  <si>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</si>
  <si>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</si>
  <si>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</si>
  <si>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</si>
  <si>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</si>
  <si>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</si>
  <si>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</si>
  <si>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</si>
  <si>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</si>
  <si>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</si>
  <si>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</si>
  <si>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</si>
  <si>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</si>
  <si>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</si>
  <si>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</si>
  <si>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</si>
  <si>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</si>
  <si>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</si>
  <si>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</si>
  <si>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</si>
  <si>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</si>
  <si>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</si>
  <si>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</si>
  <si>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</si>
  <si>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</si>
  <si>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</si>
  <si>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</si>
  <si>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</si>
  <si>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</si>
  <si>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</si>
  <si>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</si>
  <si>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</si>
  <si>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</si>
  <si>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</si>
  <si>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</si>
  <si>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</si>
  <si>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</si>
  <si>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</si>
  <si>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</si>
  <si>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</si>
  <si>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</si>
  <si>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</si>
  <si>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</si>
  <si>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</si>
  <si>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</si>
  <si>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</si>
  <si>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</si>
  <si>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</si>
  <si>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</si>
  <si>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</si>
  <si>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</si>
  <si>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</si>
  <si>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</si>
  <si>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</si>
  <si>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</si>
  <si>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</si>
  <si>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</si>
  <si>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</si>
  <si>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</si>
  <si>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</si>
  <si>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</si>
  <si>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</si>
  <si>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</si>
  <si>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</si>
  <si>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</si>
  <si>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</si>
  <si>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</si>
  <si>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</si>
  <si>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</si>
  <si>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</si>
  <si>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</si>
  <si>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</si>
  <si>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</si>
  <si>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</si>
  <si>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</si>
  <si>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</si>
  <si>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</si>
  <si>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</si>
  <si>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</si>
  <si>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</si>
  <si>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</si>
  <si>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</si>
  <si>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</si>
  <si>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</si>
  <si>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</si>
  <si>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</si>
  <si>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</si>
  <si>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</si>
  <si>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</si>
  <si>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</si>
  <si>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</si>
  <si>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</si>
  <si>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</si>
  <si>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</si>
  <si>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</si>
  <si>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</si>
  <si>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</si>
  <si>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</si>
  <si>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</si>
  <si>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</si>
  <si>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</si>
  <si>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</si>
  <si>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</si>
  <si>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Payment Terms ()</t>
  </si>
  <si>
    <t>Standard length ()</t>
  </si>
  <si>
    <t>Packing  ()</t>
  </si>
  <si>
    <t>Technical Specification</t>
  </si>
  <si>
    <t>Base Date</t>
  </si>
  <si>
    <t>PROPOSE DRUM TYPE</t>
  </si>
  <si>
    <t>DRUM CODE</t>
  </si>
  <si>
    <t>DRUM SIZE (FxbXtx Ft)</t>
  </si>
  <si>
    <t>KANPUR ELECTRICITY SUPPLY COMPANY LIMITED</t>
  </si>
  <si>
    <t>74/23-24</t>
  </si>
  <si>
    <t xml:space="preserve">Tender description (brief details of supply): various size of Arial Bunch Cable
</t>
  </si>
  <si>
    <t>Not mention.</t>
  </si>
  <si>
    <t>The prices will be variable and as per CACMAI Based dated 01.09.2023.</t>
  </si>
  <si>
    <t>The bidder’s proposal must remain valid for acceptance for a period of 180 days from the date of opening of bid (Envelope-1) or any other extended date for their receipt or any other extended period consented upon by the bidders. KESCO may ask the bidder to extend the validity period of their bid) and during this period no bidder shall be allowed to withdraw their bid. Any such withdrawal during the said period will entail forfeiture of
EMD deposited by the bidder with their bid. The bidders who agree to such extension shall confirm that they maintain the availability of the professional staff nominated in the proposal or in their confirmation of extension of validity of the proposal.</t>
  </si>
  <si>
    <t>Ninety percent of the f.o.r. contract value of the plant in rupees on receipt by the purchaser of the contractor's invoice giving the number and date of railway receipt covering the dispatch of the plant from the Indian port and of
the advice note giving case number and contents, together with a certificate by the contractor to the effect that the plant detailed in the said advice note has actually been dispatched under the says railway receipt and that the
contract value of the said plant so dispatched is not less than the amount entered in the invoice.
Ten percent of the f.o.r. contract value on presentation of the contractor's invoice when each commercially useable section of the plant is completed and the last portion of such section has been dispatched and the whole
material has been delivered at the place fixed for delivery and checked at the site of the work within one month of such delivery, whichever is earlier.</t>
  </si>
  <si>
    <t>The cable shall be supplied in standard drum lengths i.e. 500±5% meters Non-standard lengths of not less than 100 meters is acceptable. Total non-standard length should not exceed 5% of the ordered quantity.</t>
  </si>
  <si>
    <t>The cable shall be supplied on non-returnable wooden drums of heavy standard construction conforming to IS: 10418: 1982 and latest amendment thereof and being suitable for transport by goods train or truck and for storage at site. The wood used for construction of the drums shall be properly seasoned and wood preservative shall be applied to the entire drum.</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</si>
  <si>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</si>
  <si>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</si>
  <si>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</si>
  <si>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</si>
  <si>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</si>
  <si>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</si>
  <si>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</si>
  <si>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</si>
  <si>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</si>
  <si>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</si>
  <si>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</si>
  <si>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</si>
  <si>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</si>
  <si>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</si>
  <si>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</si>
  <si>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</si>
  <si>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</si>
  <si>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</si>
  <si>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</si>
  <si>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ENQ-11516-22-23</t>
  </si>
  <si>
    <t>FA0100079</t>
  </si>
  <si>
    <t>3 CORE X 150 SQ MM + 1 CORE X 125 SQ MM + 1 CORE X 16 SQ MM (AB CABLES) (BARE)</t>
  </si>
  <si>
    <t>WOOD</t>
  </si>
  <si>
    <t>Alumimium Alloy</t>
  </si>
  <si>
    <t>KMS</t>
  </si>
  <si>
    <t>MD0100043</t>
  </si>
  <si>
    <t>DRUM - 66 X 29 X 36 X 3</t>
  </si>
  <si>
    <t>FA0100001</t>
  </si>
  <si>
    <t>3 CORE X 120 SQ MM + 1 CORE X 16 SQ MM + 1 CORE X 95 SQ MM (AB CABLES) (BARE)</t>
  </si>
  <si>
    <t>MD0100013</t>
  </si>
  <si>
    <t>DRUM - 48 X 14 X 36 X 2.25</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</si>
  <si>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</si>
  <si>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</si>
  <si>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</si>
  <si>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</si>
  <si>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</si>
  <si>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</si>
  <si>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</si>
  <si>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</si>
  <si>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</si>
  <si>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</si>
  <si>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Terms()</t>
  </si>
  <si>
    <t>PV FORMULA (IEEMA)</t>
  </si>
  <si>
    <t xml:space="preserve">P = Po + AIph*n* (Al – Alo)+ AIm (Al – Alo)+ AIsl (Al – Alo)+CCFAIph*n*(CC-CCo)+CCFAIm(CC-CCo)+ CCFAIsl(CC-CCo)
</t>
  </si>
  <si>
    <t>n</t>
  </si>
  <si>
    <t>No. of Phase Conductor</t>
  </si>
  <si>
    <t xml:space="preserve">Alph </t>
  </si>
  <si>
    <t>Aluminium factor for phase conductor</t>
  </si>
  <si>
    <t>Alm</t>
  </si>
  <si>
    <t>Aluminium factor for messenger conductor</t>
  </si>
  <si>
    <t>CCFAIph</t>
  </si>
  <si>
    <t>XLPE factor for phase conductor</t>
  </si>
  <si>
    <t>CCFAIm</t>
  </si>
  <si>
    <t>XLPE factor for messenger conductor (For bare messenger,XLPE factor CCFAIm=0)</t>
  </si>
  <si>
    <t>Item</t>
  </si>
  <si>
    <t>Ex-Work</t>
  </si>
  <si>
    <t>Calculation part</t>
  </si>
  <si>
    <t>Date of Inspection</t>
  </si>
  <si>
    <t>Applicable Date</t>
  </si>
  <si>
    <t>BASE DATE</t>
  </si>
  <si>
    <t>FACTORS</t>
  </si>
  <si>
    <t>Ex-Work
Po</t>
  </si>
  <si>
    <t>PVC of Al</t>
  </si>
  <si>
    <t>PVC of AlM</t>
  </si>
  <si>
    <t>PVC of Alsl</t>
  </si>
  <si>
    <t xml:space="preserve">PVC of CCFAIph </t>
  </si>
  <si>
    <t>PVC of CCFAIm</t>
  </si>
  <si>
    <t>PVC of CCFAIsl</t>
  </si>
  <si>
    <t>PV/PKM</t>
  </si>
  <si>
    <t>Billing Price/PKM</t>
  </si>
  <si>
    <r>
      <t>VALUE ADDITION CALCULATION</t>
    </r>
    <r>
      <rPr>
        <b/>
        <sz val="10"/>
        <color indexed="10"/>
        <rFont val="Arial"/>
        <family val="2"/>
      </rPr>
      <t xml:space="preserve"> WITH RESPECT TO PERCENTAGE</t>
    </r>
  </si>
  <si>
    <t>Date</t>
  </si>
  <si>
    <t>Al</t>
  </si>
  <si>
    <t>CC</t>
  </si>
  <si>
    <t>Alo</t>
  </si>
  <si>
    <t>Cco</t>
  </si>
  <si>
    <t>Alsl</t>
  </si>
  <si>
    <t>CCFAIsl</t>
  </si>
  <si>
    <t>CCFAlph</t>
  </si>
  <si>
    <t>Al @</t>
  </si>
  <si>
    <t>alloy</t>
  </si>
  <si>
    <t>RMC</t>
  </si>
  <si>
    <t>Drum</t>
  </si>
  <si>
    <t>RMC+Drum</t>
  </si>
  <si>
    <t>VA</t>
  </si>
  <si>
    <t>Groos VA%</t>
  </si>
  <si>
    <t>Mfg %</t>
  </si>
  <si>
    <t>Int %</t>
  </si>
  <si>
    <t>Ins%</t>
  </si>
  <si>
    <t>Net VA %</t>
  </si>
  <si>
    <t>P = Po + AIph*n* (Al – Alo)+ AIm (Al – Alo)+ AIsl (Al – Alo)+CCFAIph*n*(CC-CCo)+CCFAIm(CC-CCo)+ CCFAIsl(CC-CCo)</t>
  </si>
  <si>
    <r>
      <t xml:space="preserve">The prices will be variable and as per </t>
    </r>
    <r>
      <rPr>
        <b/>
        <sz val="12"/>
        <rFont val="Calibri"/>
        <family val="2"/>
        <scheme val="minor"/>
      </rPr>
      <t>CACMAI Based dated 01.09.2023.</t>
    </r>
  </si>
  <si>
    <t>PV TERMS (page 68)</t>
  </si>
  <si>
    <t>PROVISIONAL</t>
  </si>
  <si>
    <t>CONSIDER IEEMA FOR PV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</si>
</sst>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0%"/>
    <numFmt numFmtId="165" formatCode="_(* #,##0.00_);_(* \(#,##0.00\);_(* &quot;-&quot;??_);_(@_)"/>
    <numFmt numFmtId="166" formatCode="0.0000"/>
    <numFmt numFmtId="167" formatCode="&quot;Rs. &quot;#,##0.00"/>
    <numFmt numFmtId="168" formatCode="&quot;Rs.&quot;#,##0"/>
    <numFmt numFmtId="169" formatCode="0.0"/>
    <numFmt numFmtId="170" formatCode="0.000"/>
    <numFmt numFmtId="171" formatCode="0.00000"/>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9"/>
      <color indexed="81"/>
      <name val="Tahoma"/>
      <family val="2"/>
    </font>
    <font>
      <sz val="9"/>
      <color indexed="81"/>
      <name val="Tahoma"/>
      <family val="2"/>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000000"/>
      <name val="Calibri"/>
      <family val="2"/>
      <scheme val="minor"/>
    </font>
    <font>
      <sz val="12"/>
      <name val="Calibri"/>
      <family val="2"/>
      <scheme val="minor"/>
    </font>
    <font>
      <b/>
      <sz val="12"/>
      <name val="Calibri"/>
      <family val="2"/>
      <scheme val="minor"/>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216">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3" fontId="0" fillId="0" borderId="0" xfId="0" applyNumberFormat="1"/>
    <xf numFmtId="0" fontId="8" fillId="5" borderId="0" xfId="0" applyFont="1" applyFill="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0" fontId="16" fillId="0" borderId="0" xfId="4" applyFont="1" applyAlignment="1">
      <alignment horizontal="center" wrapText="1"/>
    </xf>
    <xf numFmtId="0" fontId="16" fillId="0" borderId="0" xfId="4" applyFont="1"/>
    <xf numFmtId="0" fontId="17" fillId="0" borderId="0" xfId="6" applyFont="1"/>
    <xf numFmtId="0" fontId="11" fillId="0" borderId="0" xfId="4"/>
    <xf numFmtId="0" fontId="0" fillId="0" borderId="0" xfId="0" applyAlignment="1">
      <alignment horizontal="center" wrapText="1"/>
    </xf>
    <xf numFmtId="0" fontId="18" fillId="0" borderId="1" xfId="4" applyFont="1" applyBorder="1" applyAlignment="1">
      <alignment horizontal="center" vertical="center"/>
    </xf>
    <xf numFmtId="0" fontId="11" fillId="0" borderId="0" xfId="4" applyAlignment="1">
      <alignment horizontal="center" vertical="center"/>
    </xf>
    <xf numFmtId="0" fontId="17" fillId="0" borderId="0" xfId="4" applyFont="1" applyAlignment="1">
      <alignment horizontal="center"/>
    </xf>
    <xf numFmtId="0" fontId="19" fillId="0" borderId="1" xfId="4" applyFont="1" applyBorder="1" applyAlignment="1">
      <alignment horizontal="center" vertical="center" wrapText="1"/>
    </xf>
    <xf numFmtId="0" fontId="16" fillId="0" borderId="0" xfId="4" applyFont="1" applyAlignment="1">
      <alignment horizontal="center"/>
    </xf>
    <xf numFmtId="0" fontId="17" fillId="0" borderId="0" xfId="6" applyFont="1" applyAlignment="1">
      <alignment horizontal="center"/>
    </xf>
    <xf numFmtId="0" fontId="11" fillId="0" borderId="0" xfId="4" applyAlignment="1">
      <alignment horizontal="center"/>
    </xf>
    <xf numFmtId="0" fontId="16" fillId="0" borderId="0" xfId="4" applyFont="1" applyAlignment="1">
      <alignment horizontal="center" vertical="center"/>
    </xf>
    <xf numFmtId="0" fontId="16" fillId="0" borderId="0" xfId="4" applyFont="1" applyAlignment="1">
      <alignment vertical="center"/>
    </xf>
    <xf numFmtId="0" fontId="0" fillId="0" borderId="1" xfId="0" applyBorder="1" applyAlignment="1">
      <alignment horizontal="center" vertical="center"/>
    </xf>
    <xf numFmtId="0" fontId="17" fillId="0" borderId="1" xfId="4" applyFont="1" applyBorder="1" applyAlignment="1">
      <alignment horizontal="center" vertical="center" wrapText="1"/>
    </xf>
    <xf numFmtId="0" fontId="2" fillId="0" borderId="10" xfId="0" applyFont="1" applyBorder="1" applyAlignment="1">
      <alignment vertical="center"/>
    </xf>
    <xf numFmtId="0" fontId="2" fillId="0" borderId="0" xfId="0" applyFont="1" applyAlignment="1">
      <alignment vertical="center"/>
    </xf>
    <xf numFmtId="0" fontId="2" fillId="0" borderId="0" xfId="0" applyFont="1" applyAlignment="1">
      <alignment horizontal="center" vertical="center"/>
    </xf>
    <xf numFmtId="166" fontId="16" fillId="0" borderId="0" xfId="4" applyNumberFormat="1" applyFont="1" applyAlignment="1">
      <alignment vertical="center"/>
    </xf>
    <xf numFmtId="0" fontId="18" fillId="0" borderId="1" xfId="4" applyFont="1" applyBorder="1" applyAlignment="1">
      <alignment horizontal="center"/>
    </xf>
    <xf numFmtId="0" fontId="16" fillId="0" borderId="1" xfId="4" applyFont="1" applyBorder="1" applyAlignment="1">
      <alignment horizontal="center" vertical="center"/>
    </xf>
    <xf numFmtId="0" fontId="11" fillId="0" borderId="1" xfId="4" applyBorder="1" applyAlignment="1">
      <alignment horizontal="center" vertical="center" wrapText="1"/>
    </xf>
    <xf numFmtId="167" fontId="16" fillId="0" borderId="1" xfId="4" applyNumberFormat="1" applyFont="1" applyBorder="1" applyAlignment="1">
      <alignment horizontal="center" vertical="center"/>
    </xf>
    <xf numFmtId="14" fontId="17" fillId="0" borderId="0" xfId="4" applyNumberFormat="1" applyFont="1" applyAlignment="1">
      <alignment horizontal="center"/>
    </xf>
    <xf numFmtId="0" fontId="16" fillId="0" borderId="4" xfId="6" applyFont="1" applyBorder="1" applyAlignment="1">
      <alignment horizontal="center" vertical="center" wrapText="1"/>
    </xf>
    <xf numFmtId="0" fontId="16" fillId="0" borderId="2" xfId="6" applyFont="1" applyBorder="1" applyAlignment="1">
      <alignment horizontal="center" vertical="center" wrapText="1"/>
    </xf>
    <xf numFmtId="0" fontId="20" fillId="0" borderId="6" xfId="6" applyFont="1" applyBorder="1" applyAlignment="1">
      <alignment horizontal="center" vertical="center" wrapText="1"/>
    </xf>
    <xf numFmtId="0" fontId="20" fillId="0" borderId="1" xfId="6" applyFont="1" applyBorder="1" applyAlignment="1">
      <alignment horizontal="center" vertical="center" wrapText="1"/>
    </xf>
    <xf numFmtId="0" fontId="12" fillId="0" borderId="1" xfId="6" applyBorder="1" applyAlignment="1">
      <alignment horizontal="center" vertical="center" wrapText="1"/>
    </xf>
    <xf numFmtId="0" fontId="20" fillId="0" borderId="21" xfId="6" applyFont="1" applyBorder="1" applyAlignment="1">
      <alignment horizontal="center" vertical="center" wrapText="1"/>
    </xf>
    <xf numFmtId="0" fontId="11" fillId="0" borderId="19" xfId="4" applyBorder="1"/>
    <xf numFmtId="0" fontId="17" fillId="0" borderId="20" xfId="6" applyFont="1" applyBorder="1"/>
    <xf numFmtId="0" fontId="17" fillId="0" borderId="6" xfId="6" applyFont="1" applyBorder="1" applyAlignment="1">
      <alignment horizontal="left" vertical="center" wrapText="1"/>
    </xf>
    <xf numFmtId="14" fontId="17" fillId="0" borderId="1" xfId="6" applyNumberFormat="1" applyFont="1" applyBorder="1" applyAlignment="1">
      <alignment horizontal="center" vertical="center" wrapText="1"/>
    </xf>
    <xf numFmtId="14" fontId="17" fillId="0" borderId="6" xfId="6" applyNumberFormat="1" applyFont="1" applyBorder="1" applyAlignment="1">
      <alignment horizontal="center" vertical="center" wrapText="1"/>
    </xf>
    <xf numFmtId="2" fontId="16" fillId="0" borderId="4" xfId="6" applyNumberFormat="1" applyFont="1" applyBorder="1" applyAlignment="1">
      <alignment horizontal="center" vertical="center" wrapText="1"/>
    </xf>
    <xf numFmtId="2" fontId="16" fillId="0" borderId="2" xfId="6" applyNumberFormat="1" applyFont="1" applyBorder="1" applyAlignment="1">
      <alignment horizontal="center" vertical="center" wrapText="1"/>
    </xf>
    <xf numFmtId="2" fontId="16" fillId="0" borderId="25" xfId="6" applyNumberFormat="1" applyFont="1" applyBorder="1" applyAlignment="1">
      <alignment horizontal="center" vertical="center" wrapText="1"/>
    </xf>
    <xf numFmtId="0" fontId="16" fillId="0" borderId="28" xfId="6" applyFont="1" applyBorder="1" applyAlignment="1">
      <alignment horizontal="center" vertical="center" wrapText="1"/>
    </xf>
    <xf numFmtId="0" fontId="17" fillId="0" borderId="19" xfId="6" applyFont="1" applyBorder="1" applyAlignment="1">
      <alignment horizontal="center" vertical="center" wrapText="1"/>
    </xf>
    <xf numFmtId="168" fontId="20" fillId="0" borderId="3" xfId="6" applyNumberFormat="1" applyFont="1" applyBorder="1" applyAlignment="1">
      <alignment horizontal="center" vertical="center" wrapText="1"/>
    </xf>
    <xf numFmtId="168" fontId="20" fillId="0" borderId="6" xfId="6" applyNumberFormat="1" applyFont="1" applyBorder="1" applyAlignment="1">
      <alignment horizontal="center"/>
    </xf>
    <xf numFmtId="168" fontId="20" fillId="0" borderId="1" xfId="6" applyNumberFormat="1" applyFont="1" applyBorder="1" applyAlignment="1">
      <alignment horizontal="center"/>
    </xf>
    <xf numFmtId="1" fontId="12" fillId="0" borderId="1" xfId="6" applyNumberFormat="1" applyBorder="1"/>
    <xf numFmtId="1" fontId="20" fillId="0" borderId="1" xfId="6" applyNumberFormat="1" applyFont="1" applyBorder="1"/>
    <xf numFmtId="1" fontId="12" fillId="0" borderId="1" xfId="6" applyNumberFormat="1" applyBorder="1" applyAlignment="1">
      <alignment horizontal="center"/>
    </xf>
    <xf numFmtId="0" fontId="12" fillId="0" borderId="1" xfId="6" applyBorder="1"/>
    <xf numFmtId="0" fontId="11" fillId="0" borderId="21" xfId="4" applyBorder="1"/>
    <xf numFmtId="0" fontId="11" fillId="0" borderId="2" xfId="4" applyBorder="1" applyAlignment="1">
      <alignment horizontal="center" wrapText="1"/>
    </xf>
    <xf numFmtId="0" fontId="11" fillId="0" borderId="11" xfId="4" applyBorder="1" applyAlignment="1">
      <alignment wrapText="1"/>
    </xf>
    <xf numFmtId="14" fontId="17" fillId="0" borderId="29" xfId="6" applyNumberFormat="1" applyFont="1" applyBorder="1" applyAlignment="1">
      <alignment horizontal="center" vertical="center" wrapText="1"/>
    </xf>
    <xf numFmtId="2" fontId="17" fillId="0" borderId="1" xfId="6" applyNumberFormat="1" applyFont="1" applyBorder="1" applyAlignment="1">
      <alignment horizontal="center" vertical="center" wrapText="1"/>
    </xf>
    <xf numFmtId="169" fontId="17" fillId="0" borderId="1" xfId="6" applyNumberFormat="1" applyFont="1" applyBorder="1" applyAlignment="1">
      <alignment horizontal="center" vertical="center" wrapText="1"/>
    </xf>
    <xf numFmtId="14" fontId="16" fillId="9" borderId="6" xfId="6" applyNumberFormat="1" applyFont="1" applyFill="1" applyBorder="1" applyAlignment="1">
      <alignment horizontal="center" vertical="center" wrapText="1"/>
    </xf>
    <xf numFmtId="170" fontId="17" fillId="0" borderId="4" xfId="6" applyNumberFormat="1" applyFont="1" applyBorder="1" applyAlignment="1">
      <alignment horizontal="center" vertical="center" wrapText="1"/>
    </xf>
    <xf numFmtId="170" fontId="17" fillId="0" borderId="2" xfId="6" applyNumberFormat="1" applyFont="1" applyBorder="1" applyAlignment="1">
      <alignment horizontal="center" vertical="center" wrapText="1"/>
    </xf>
    <xf numFmtId="2" fontId="17" fillId="0" borderId="25" xfId="6" applyNumberFormat="1" applyFont="1" applyBorder="1" applyAlignment="1">
      <alignment horizontal="center" vertical="center" wrapText="1"/>
    </xf>
    <xf numFmtId="166" fontId="17" fillId="0" borderId="4" xfId="6" applyNumberFormat="1" applyFont="1" applyBorder="1" applyAlignment="1">
      <alignment vertical="center" wrapText="1"/>
    </xf>
    <xf numFmtId="2" fontId="17" fillId="10" borderId="25" xfId="6" applyNumberFormat="1" applyFont="1" applyFill="1" applyBorder="1" applyAlignment="1">
      <alignment horizontal="center" vertical="center" wrapText="1"/>
    </xf>
    <xf numFmtId="2" fontId="12" fillId="0" borderId="3" xfId="6" applyNumberForma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2" fillId="0" borderId="1" xfId="0" applyFont="1" applyBorder="1" applyAlignment="1">
      <alignment horizontal="center" vertical="center" wrapText="1"/>
    </xf>
    <xf numFmtId="2" fontId="20" fillId="0" borderId="1" xfId="6" applyNumberFormat="1" applyFont="1" applyBorder="1" applyAlignment="1">
      <alignment vertical="center" wrapText="1"/>
    </xf>
    <xf numFmtId="2" fontId="12" fillId="0" borderId="1" xfId="6" applyNumberFormat="1" applyBorder="1" applyAlignment="1">
      <alignment vertical="center" wrapText="1"/>
    </xf>
    <xf numFmtId="10" fontId="20" fillId="11"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8" fillId="0" borderId="21" xfId="2" applyNumberFormat="1" applyFont="1" applyBorder="1" applyAlignment="1">
      <alignment vertical="center" wrapText="1"/>
    </xf>
    <xf numFmtId="43" fontId="11" fillId="0" borderId="0" xfId="1" applyFont="1" applyAlignment="1">
      <alignment wrapText="1"/>
    </xf>
    <xf numFmtId="0" fontId="11" fillId="0" borderId="0" xfId="4" applyAlignment="1">
      <alignment wrapText="1"/>
    </xf>
    <xf numFmtId="0" fontId="11" fillId="0" borderId="19" xfId="4" applyBorder="1" applyAlignment="1">
      <alignment wrapText="1"/>
    </xf>
    <xf numFmtId="0" fontId="11" fillId="0" borderId="32" xfId="4" applyBorder="1" applyAlignment="1">
      <alignment wrapText="1"/>
    </xf>
    <xf numFmtId="14" fontId="17" fillId="0" borderId="33" xfId="6" applyNumberFormat="1" applyFont="1" applyBorder="1" applyAlignment="1">
      <alignment horizontal="center" vertical="center" wrapText="1"/>
    </xf>
    <xf numFmtId="14" fontId="17" fillId="0" borderId="34" xfId="6" applyNumberFormat="1" applyFont="1" applyBorder="1" applyAlignment="1">
      <alignment horizontal="center" vertical="center" wrapText="1"/>
    </xf>
    <xf numFmtId="2" fontId="17" fillId="0" borderId="35" xfId="6" applyNumberFormat="1" applyFont="1" applyBorder="1" applyAlignment="1">
      <alignment horizontal="center" vertical="center" wrapText="1"/>
    </xf>
    <xf numFmtId="2" fontId="17" fillId="0" borderId="34" xfId="6" applyNumberFormat="1" applyFont="1" applyBorder="1" applyAlignment="1">
      <alignment horizontal="center" vertical="center" wrapText="1"/>
    </xf>
    <xf numFmtId="169" fontId="17" fillId="0" borderId="35" xfId="6" applyNumberFormat="1" applyFont="1" applyBorder="1" applyAlignment="1">
      <alignment horizontal="center" vertical="center" wrapText="1"/>
    </xf>
    <xf numFmtId="2" fontId="17" fillId="0" borderId="37" xfId="6" applyNumberFormat="1" applyFont="1" applyBorder="1" applyAlignment="1">
      <alignment horizontal="center" vertical="center" wrapText="1"/>
    </xf>
    <xf numFmtId="2" fontId="17" fillId="0" borderId="38" xfId="6" applyNumberFormat="1" applyFont="1" applyBorder="1" applyAlignment="1">
      <alignment horizontal="center" vertical="center" wrapText="1"/>
    </xf>
    <xf numFmtId="2" fontId="17" fillId="0" borderId="31" xfId="6" applyNumberFormat="1" applyFont="1" applyBorder="1" applyAlignment="1">
      <alignment horizontal="center" vertical="center" wrapText="1"/>
    </xf>
    <xf numFmtId="171" fontId="17" fillId="0" borderId="37" xfId="6" applyNumberFormat="1" applyFont="1" applyBorder="1" applyAlignment="1">
      <alignment vertical="center" wrapText="1"/>
    </xf>
    <xf numFmtId="171" fontId="17" fillId="0" borderId="39" xfId="6" applyNumberFormat="1" applyFont="1" applyBorder="1" applyAlignment="1">
      <alignment vertical="center" wrapText="1"/>
    </xf>
    <xf numFmtId="2" fontId="17" fillId="0" borderId="32" xfId="6" applyNumberFormat="1" applyFont="1" applyBorder="1" applyAlignment="1">
      <alignment horizontal="center" vertical="center" wrapText="1"/>
    </xf>
    <xf numFmtId="0" fontId="11" fillId="0" borderId="40" xfId="4" applyBorder="1" applyAlignment="1">
      <alignment wrapText="1"/>
    </xf>
    <xf numFmtId="0" fontId="11" fillId="0" borderId="34" xfId="4" applyBorder="1" applyAlignment="1">
      <alignment wrapText="1"/>
    </xf>
    <xf numFmtId="0" fontId="11" fillId="0" borderId="35" xfId="4" applyBorder="1" applyAlignment="1">
      <alignment wrapText="1"/>
    </xf>
    <xf numFmtId="0" fontId="11" fillId="0" borderId="36" xfId="4" applyBorder="1" applyAlignment="1">
      <alignment wrapText="1"/>
    </xf>
    <xf numFmtId="0" fontId="18" fillId="0" borderId="0" xfId="4" applyFont="1"/>
    <xf numFmtId="165" fontId="0" fillId="0" borderId="1" xfId="0" applyNumberFormat="1" applyBorder="1" applyAlignment="1">
      <alignment wrapText="1"/>
    </xf>
    <xf numFmtId="0" fontId="17" fillId="0" borderId="0" xfId="4" applyFont="1" applyAlignment="1">
      <alignment horizontal="center" vertical="center" wrapText="1"/>
    </xf>
    <xf numFmtId="0" fontId="17" fillId="0" borderId="30" xfId="4" applyFont="1" applyBorder="1" applyAlignment="1">
      <alignment horizontal="center" vertical="center" wrapText="1"/>
    </xf>
    <xf numFmtId="0" fontId="2"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2" fontId="25" fillId="0" borderId="1" xfId="6" applyNumberFormat="1" applyFont="1" applyBorder="1" applyAlignment="1">
      <alignment horizontal="center" vertical="center" wrapText="1"/>
    </xf>
    <xf numFmtId="0" fontId="0" fillId="0" borderId="1" xfId="0" applyBorder="1" applyAlignment="1">
      <alignment horizontal="center" vertical="center"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14" fontId="10" fillId="0" borderId="1" xfId="0" applyNumberFormat="1" applyFont="1" applyBorder="1" applyAlignment="1">
      <alignment horizontal="left" vertical="top" wrapText="1"/>
    </xf>
    <xf numFmtId="0" fontId="16" fillId="0" borderId="2" xfId="4" applyFont="1" applyBorder="1" applyAlignment="1">
      <alignment horizontal="center" vertical="center" wrapText="1"/>
    </xf>
    <xf numFmtId="0" fontId="16" fillId="0" borderId="3" xfId="4" applyFont="1" applyBorder="1" applyAlignment="1">
      <alignment horizontal="center" vertical="center" wrapText="1"/>
    </xf>
    <xf numFmtId="0" fontId="16" fillId="0" borderId="4" xfId="4" applyFont="1" applyBorder="1" applyAlignment="1">
      <alignment horizontal="center" vertical="center" wrapText="1"/>
    </xf>
    <xf numFmtId="0" fontId="2" fillId="0" borderId="1" xfId="0" applyFont="1" applyBorder="1" applyAlignment="1">
      <alignment horizontal="center" vertical="center" wrapText="1"/>
    </xf>
    <xf numFmtId="14" fontId="18" fillId="8" borderId="1" xfId="4" applyNumberFormat="1" applyFont="1" applyFill="1" applyBorder="1" applyAlignment="1">
      <alignment horizontal="center" vertical="center"/>
    </xf>
    <xf numFmtId="0" fontId="18" fillId="8" borderId="1" xfId="4" applyFont="1" applyFill="1" applyBorder="1" applyAlignment="1">
      <alignment horizontal="center" vertical="center"/>
    </xf>
    <xf numFmtId="0" fontId="10" fillId="0" borderId="1" xfId="4" applyFont="1" applyBorder="1" applyAlignment="1">
      <alignment horizontal="left" vertical="center" wrapText="1"/>
    </xf>
    <xf numFmtId="0" fontId="16" fillId="0" borderId="1" xfId="4" applyFont="1" applyBorder="1" applyAlignment="1">
      <alignment horizontal="left" vertical="center" wrapText="1"/>
    </xf>
    <xf numFmtId="0" fontId="13" fillId="0" borderId="0" xfId="4" applyFont="1" applyAlignment="1">
      <alignment horizontal="left" vertical="center" wrapText="1"/>
    </xf>
    <xf numFmtId="0" fontId="16" fillId="0" borderId="1" xfId="4" applyFont="1" applyBorder="1" applyAlignment="1">
      <alignment horizontal="center"/>
    </xf>
    <xf numFmtId="0" fontId="16" fillId="0" borderId="1" xfId="4" applyFont="1" applyBorder="1" applyAlignment="1">
      <alignment horizontal="center" wrapText="1"/>
    </xf>
    <xf numFmtId="0" fontId="11" fillId="0" borderId="0" xfId="4" applyAlignment="1">
      <alignment horizontal="center"/>
    </xf>
    <xf numFmtId="0" fontId="18" fillId="0" borderId="11" xfId="4" applyFont="1" applyBorder="1" applyAlignment="1">
      <alignment horizontal="center" vertical="center"/>
    </xf>
    <xf numFmtId="0" fontId="18" fillId="0" borderId="19" xfId="4" applyFont="1" applyBorder="1" applyAlignment="1">
      <alignment horizontal="center" vertical="center"/>
    </xf>
    <xf numFmtId="0" fontId="18" fillId="0" borderId="27" xfId="4" applyFont="1" applyBorder="1" applyAlignment="1">
      <alignment horizontal="center" vertical="center"/>
    </xf>
    <xf numFmtId="0" fontId="18" fillId="0" borderId="11" xfId="4" applyFont="1" applyBorder="1" applyAlignment="1">
      <alignment horizontal="center" vertical="center" wrapText="1"/>
    </xf>
    <xf numFmtId="0" fontId="18" fillId="0" borderId="19" xfId="4" applyFont="1" applyBorder="1" applyAlignment="1">
      <alignment horizontal="center" vertical="center" wrapText="1"/>
    </xf>
    <xf numFmtId="0" fontId="18" fillId="0" borderId="27" xfId="4" applyFont="1" applyBorder="1" applyAlignment="1">
      <alignment horizontal="center" vertical="center" wrapText="1"/>
    </xf>
    <xf numFmtId="0" fontId="16" fillId="0" borderId="12" xfId="6" applyFont="1" applyBorder="1" applyAlignment="1">
      <alignment horizontal="center" vertical="center" wrapText="1"/>
    </xf>
    <xf numFmtId="0" fontId="16" fillId="0" borderId="20" xfId="6" applyFont="1" applyBorder="1" applyAlignment="1">
      <alignment horizontal="center" vertical="center" wrapText="1"/>
    </xf>
    <xf numFmtId="0" fontId="16" fillId="0" borderId="24" xfId="6" applyFont="1" applyBorder="1" applyAlignment="1">
      <alignment horizontal="center" vertical="center" wrapText="1"/>
    </xf>
    <xf numFmtId="0" fontId="16" fillId="0" borderId="5" xfId="6" applyFont="1" applyBorder="1" applyAlignment="1">
      <alignment horizontal="center" vertical="center" wrapText="1"/>
    </xf>
    <xf numFmtId="0" fontId="16" fillId="0" borderId="13" xfId="6" applyFont="1" applyBorder="1" applyAlignment="1">
      <alignment horizontal="center" vertical="center" wrapText="1"/>
    </xf>
    <xf numFmtId="0" fontId="16" fillId="0" borderId="15" xfId="6" applyFont="1" applyBorder="1" applyAlignment="1">
      <alignment horizontal="center" vertical="center" wrapText="1"/>
    </xf>
    <xf numFmtId="0" fontId="16" fillId="0" borderId="16" xfId="6" applyFont="1" applyBorder="1" applyAlignment="1">
      <alignment horizontal="center" vertical="center" wrapText="1"/>
    </xf>
    <xf numFmtId="0" fontId="16" fillId="0" borderId="22" xfId="6" applyFont="1" applyBorder="1" applyAlignment="1">
      <alignment horizontal="center" vertical="center" wrapText="1"/>
    </xf>
    <xf numFmtId="0" fontId="16" fillId="0" borderId="23" xfId="6" applyFont="1" applyBorder="1" applyAlignment="1">
      <alignment horizontal="center" vertical="center" wrapText="1"/>
    </xf>
    <xf numFmtId="0" fontId="16" fillId="0" borderId="17" xfId="6" applyFont="1" applyBorder="1" applyAlignment="1">
      <alignment horizontal="center" vertical="center" wrapText="1"/>
    </xf>
    <xf numFmtId="0" fontId="16" fillId="0" borderId="25" xfId="6" applyFont="1" applyBorder="1" applyAlignment="1">
      <alignment horizontal="center" vertical="center" wrapText="1"/>
    </xf>
    <xf numFmtId="0" fontId="16" fillId="0" borderId="18" xfId="6" applyFont="1" applyBorder="1" applyAlignment="1">
      <alignment horizontal="center" vertical="center" wrapText="1"/>
    </xf>
    <xf numFmtId="0" fontId="16" fillId="0" borderId="4" xfId="6" applyFont="1" applyBorder="1" applyAlignment="1">
      <alignment horizontal="center" vertical="center" wrapText="1"/>
    </xf>
    <xf numFmtId="0" fontId="16" fillId="0" borderId="1" xfId="6" applyFont="1" applyBorder="1" applyAlignment="1">
      <alignment horizontal="center" vertical="center" wrapText="1"/>
    </xf>
    <xf numFmtId="0" fontId="23" fillId="0" borderId="1" xfId="4" applyFont="1" applyBorder="1" applyAlignment="1">
      <alignment horizontal="center" vertical="center" wrapText="1"/>
    </xf>
    <xf numFmtId="0" fontId="16" fillId="0" borderId="1" xfId="4" applyFont="1" applyBorder="1" applyAlignment="1">
      <alignment horizontal="center" vertical="center"/>
    </xf>
    <xf numFmtId="0" fontId="20" fillId="0" borderId="5" xfId="6" applyFont="1" applyBorder="1" applyAlignment="1">
      <alignment horizontal="center" vertical="center"/>
    </xf>
    <xf numFmtId="0" fontId="20" fillId="0" borderId="13" xfId="6" applyFont="1" applyBorder="1" applyAlignment="1">
      <alignment horizontal="center" vertical="center"/>
    </xf>
    <xf numFmtId="0" fontId="20" fillId="0" borderId="14" xfId="6" applyFont="1" applyBorder="1" applyAlignment="1">
      <alignment horizontal="center" vertical="center"/>
    </xf>
    <xf numFmtId="0" fontId="20" fillId="0" borderId="6" xfId="6" applyFont="1" applyBorder="1" applyAlignment="1">
      <alignment horizontal="center" vertical="center"/>
    </xf>
    <xf numFmtId="0" fontId="20" fillId="0" borderId="1" xfId="6" applyFont="1" applyBorder="1" applyAlignment="1">
      <alignment horizontal="center" vertical="center"/>
    </xf>
    <xf numFmtId="0" fontId="20" fillId="0" borderId="21" xfId="6" applyFont="1" applyBorder="1" applyAlignment="1">
      <alignment horizontal="center" vertical="center"/>
    </xf>
    <xf numFmtId="0" fontId="16" fillId="0" borderId="6" xfId="6" applyFont="1" applyBorder="1" applyAlignment="1">
      <alignment horizontal="center" vertical="center" wrapText="1"/>
    </xf>
    <xf numFmtId="0" fontId="16" fillId="0" borderId="26" xfId="6"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sqref="A1:CY3"/>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134</v>
      </c>
      <c r="C1" t="s">
        <v>1</v>
      </c>
      <c r="D1" t="s">
        <v>2</v>
      </c>
      <c r="E1" t="s">
        <v>135</v>
      </c>
      <c r="F1" t="s">
        <v>3</v>
      </c>
      <c r="G1" t="s">
        <v>147</v>
      </c>
      <c r="H1" t="s">
        <v>4</v>
      </c>
      <c r="I1" t="s">
        <v>5</v>
      </c>
      <c r="J1" t="s">
        <v>6</v>
      </c>
      <c r="K1" t="s">
        <v>148</v>
      </c>
      <c r="L1" t="s">
        <v>7</v>
      </c>
      <c r="M1" t="s">
        <v>8</v>
      </c>
      <c r="N1" t="s">
        <v>9</v>
      </c>
      <c r="O1" t="s">
        <v>149</v>
      </c>
      <c r="P1" t="s">
        <v>10</v>
      </c>
      <c r="Q1" t="s">
        <v>11</v>
      </c>
      <c r="R1" t="s">
        <v>12</v>
      </c>
      <c r="S1" t="s">
        <v>150</v>
      </c>
      <c r="T1" t="s">
        <v>13</v>
      </c>
      <c r="U1" t="s">
        <v>14</v>
      </c>
      <c r="V1" t="s">
        <v>15</v>
      </c>
      <c r="W1" t="s">
        <v>151</v>
      </c>
      <c r="X1" t="s">
        <v>16</v>
      </c>
      <c r="Y1" t="s">
        <v>17</v>
      </c>
      <c r="Z1" t="s">
        <v>18</v>
      </c>
      <c r="AA1" t="s">
        <v>152</v>
      </c>
      <c r="AB1" t="s">
        <v>19</v>
      </c>
      <c r="AC1" t="s">
        <v>20</v>
      </c>
      <c r="AD1" t="s">
        <v>21</v>
      </c>
      <c r="AE1" t="s">
        <v>153</v>
      </c>
      <c r="AF1" t="s">
        <v>22</v>
      </c>
      <c r="AG1" t="s">
        <v>23</v>
      </c>
      <c r="AH1" t="s">
        <v>24</v>
      </c>
      <c r="AI1" t="s">
        <v>154</v>
      </c>
      <c r="AJ1" t="s">
        <v>25</v>
      </c>
      <c r="AK1" t="s">
        <v>26</v>
      </c>
      <c r="AL1" t="s">
        <v>27</v>
      </c>
      <c r="AM1" t="s">
        <v>155</v>
      </c>
      <c r="AN1" t="s">
        <v>28</v>
      </c>
      <c r="AO1" t="s">
        <v>29</v>
      </c>
      <c r="AP1" t="s">
        <v>30</v>
      </c>
      <c r="AQ1" t="s">
        <v>156</v>
      </c>
      <c r="AR1" t="s">
        <v>31</v>
      </c>
      <c r="AS1" t="s">
        <v>32</v>
      </c>
      <c r="AT1" t="s">
        <v>33</v>
      </c>
      <c r="AU1" t="s">
        <v>157</v>
      </c>
      <c r="AV1" t="s">
        <v>34</v>
      </c>
      <c r="AW1" t="s">
        <v>35</v>
      </c>
      <c r="AX1" t="s">
        <v>36</v>
      </c>
      <c r="AY1" t="s">
        <v>158</v>
      </c>
      <c r="AZ1" t="s">
        <v>37</v>
      </c>
      <c r="BA1" t="s">
        <v>38</v>
      </c>
      <c r="BB1" t="s">
        <v>39</v>
      </c>
      <c r="BC1" t="s">
        <v>159</v>
      </c>
      <c r="BD1" t="s">
        <v>40</v>
      </c>
      <c r="BE1" t="s">
        <v>41</v>
      </c>
      <c r="BF1" t="s">
        <v>42</v>
      </c>
      <c r="BG1" t="s">
        <v>160</v>
      </c>
      <c r="BH1" t="s">
        <v>43</v>
      </c>
      <c r="BI1" t="s">
        <v>44</v>
      </c>
      <c r="BJ1" t="s">
        <v>45</v>
      </c>
      <c r="BK1" t="s">
        <v>161</v>
      </c>
      <c r="BL1" t="s">
        <v>46</v>
      </c>
      <c r="BM1" t="s">
        <v>47</v>
      </c>
      <c r="BN1" t="s">
        <v>48</v>
      </c>
      <c r="BO1" t="s">
        <v>162</v>
      </c>
      <c r="BP1" t="s">
        <v>49</v>
      </c>
      <c r="BQ1" t="s">
        <v>50</v>
      </c>
      <c r="BR1" t="s">
        <v>51</v>
      </c>
      <c r="BS1" t="s">
        <v>163</v>
      </c>
      <c r="BT1" t="s">
        <v>52</v>
      </c>
      <c r="BU1" t="s">
        <v>53</v>
      </c>
      <c r="BV1" t="s">
        <v>54</v>
      </c>
      <c r="BW1" t="s">
        <v>164</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165</v>
      </c>
      <c r="CY1"/>
    </row>
    <row r="2" spans="1:103" x14ac:dyDescent="0.25">
      <c r="A2" t="s">
        <v>166</v>
      </c>
      <c r="B2" s="55">
        <v>45170</v>
      </c>
      <c r="C2" t="s">
        <v>167</v>
      </c>
      <c r="D2" t="s">
        <v>168</v>
      </c>
      <c r="E2" t="s">
        <v>169</v>
      </c>
      <c r="J2" t="s">
        <v>80</v>
      </c>
      <c r="K2">
        <v>212</v>
      </c>
      <c r="L2">
        <v>1258</v>
      </c>
      <c r="M2">
        <v>266696</v>
      </c>
      <c r="N2" t="s">
        <v>170</v>
      </c>
      <c r="O2">
        <v>219</v>
      </c>
      <c r="P2">
        <v>338</v>
      </c>
      <c r="Q2">
        <v>74022</v>
      </c>
      <c r="T2">
        <v>0</v>
      </c>
      <c r="V2" t="s">
        <v>86</v>
      </c>
      <c r="W2">
        <v>116</v>
      </c>
      <c r="X2">
        <v>330</v>
      </c>
      <c r="Y2">
        <v>38280</v>
      </c>
      <c r="AB2">
        <v>0</v>
      </c>
      <c r="AF2">
        <v>0</v>
      </c>
      <c r="AJ2">
        <v>0</v>
      </c>
      <c r="AN2">
        <v>0</v>
      </c>
      <c r="AR2">
        <v>0</v>
      </c>
      <c r="AV2">
        <v>0</v>
      </c>
      <c r="AZ2">
        <v>0</v>
      </c>
      <c r="BD2">
        <v>0</v>
      </c>
      <c r="BH2">
        <v>0</v>
      </c>
      <c r="BL2">
        <v>0</v>
      </c>
      <c r="BP2">
        <v>0</v>
      </c>
      <c r="BT2">
        <v>0</v>
      </c>
      <c r="BX2">
        <v>0</v>
      </c>
      <c r="BZ2">
        <v>17580.080000000002</v>
      </c>
      <c r="CA2">
        <v>396578.08</v>
      </c>
      <c r="CH2">
        <v>396578.08</v>
      </c>
      <c r="CM2">
        <v>396578.08</v>
      </c>
      <c r="CO2">
        <v>396578.08</v>
      </c>
      <c r="CR2">
        <v>396578.08</v>
      </c>
      <c r="CS2">
        <v>34.840000000000003</v>
      </c>
      <c r="CT2" t="s">
        <v>171</v>
      </c>
      <c r="CU2" s="56">
        <v>13816780</v>
      </c>
      <c r="CV2" t="s">
        <v>172</v>
      </c>
      <c r="CW2" t="s">
        <v>173</v>
      </c>
      <c r="CX2">
        <v>500</v>
      </c>
    </row>
    <row r="3" spans="1:103" x14ac:dyDescent="0.25">
      <c r="A3" t="s">
        <v>166</v>
      </c>
      <c r="B3" s="55">
        <v>45170</v>
      </c>
      <c r="C3" t="s">
        <v>174</v>
      </c>
      <c r="D3" t="s">
        <v>175</v>
      </c>
      <c r="E3" t="s">
        <v>169</v>
      </c>
      <c r="J3" t="s">
        <v>80</v>
      </c>
      <c r="K3">
        <v>212</v>
      </c>
      <c r="L3">
        <v>1015</v>
      </c>
      <c r="M3">
        <v>215180</v>
      </c>
      <c r="N3" t="s">
        <v>170</v>
      </c>
      <c r="O3">
        <v>219</v>
      </c>
      <c r="P3">
        <v>256</v>
      </c>
      <c r="Q3">
        <v>56064</v>
      </c>
      <c r="T3">
        <v>0</v>
      </c>
      <c r="V3" t="s">
        <v>86</v>
      </c>
      <c r="W3">
        <v>116</v>
      </c>
      <c r="X3">
        <v>279</v>
      </c>
      <c r="Y3">
        <v>32364</v>
      </c>
      <c r="AB3">
        <v>0</v>
      </c>
      <c r="AF3">
        <v>0</v>
      </c>
      <c r="AJ3">
        <v>0</v>
      </c>
      <c r="AN3">
        <v>0</v>
      </c>
      <c r="AR3">
        <v>0</v>
      </c>
      <c r="AV3">
        <v>0</v>
      </c>
      <c r="AZ3">
        <v>0</v>
      </c>
      <c r="BD3">
        <v>0</v>
      </c>
      <c r="BH3">
        <v>0</v>
      </c>
      <c r="BL3">
        <v>0</v>
      </c>
      <c r="BP3">
        <v>0</v>
      </c>
      <c r="BT3">
        <v>0</v>
      </c>
      <c r="BX3">
        <v>0</v>
      </c>
      <c r="BZ3">
        <v>7486.04</v>
      </c>
      <c r="CA3">
        <v>311094.03999999998</v>
      </c>
      <c r="CH3">
        <v>311094.03999999998</v>
      </c>
      <c r="CM3">
        <v>311094.03999999998</v>
      </c>
      <c r="CO3">
        <v>311094.03999999998</v>
      </c>
      <c r="CR3">
        <v>311094.03999999998</v>
      </c>
      <c r="CS3">
        <v>60.56</v>
      </c>
      <c r="CT3" t="s">
        <v>171</v>
      </c>
      <c r="CU3" s="56">
        <v>18839855</v>
      </c>
      <c r="CV3" t="s">
        <v>176</v>
      </c>
      <c r="CW3" t="s">
        <v>177</v>
      </c>
      <c r="CX3">
        <v>500</v>
      </c>
    </row>
    <row r="4" spans="1:103"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3"/>
  <sheetViews>
    <sheetView tabSelected="1" topLeftCell="H15" workbookViewId="0">
      <selection activeCell="T17" sqref="T17"/>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5" width="7.85546875" style="30" customWidth="1"/>
    <col min="76" max="76" width="21.28515625" style="30" customWidth="1"/>
    <col min="77" max="77" width="13.710937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4" customFormat="1" ht="15.75" thickBot="1" x14ac:dyDescent="0.3"/>
    <row r="2" spans="1:90" s="44" customFormat="1" ht="23.25" thickBot="1" x14ac:dyDescent="0.5">
      <c r="A2" s="164" t="s">
        <v>138</v>
      </c>
      <c r="B2" s="165"/>
      <c r="C2" s="165"/>
      <c r="D2" s="165"/>
      <c r="E2" s="165"/>
      <c r="F2" s="165"/>
      <c r="G2" s="165"/>
      <c r="H2" s="165"/>
      <c r="I2" s="165"/>
      <c r="J2" s="165"/>
      <c r="K2" s="165"/>
      <c r="L2" s="165"/>
      <c r="M2" s="165"/>
      <c r="N2" s="165"/>
      <c r="O2" s="165"/>
      <c r="P2" s="165"/>
      <c r="Q2" s="165"/>
      <c r="R2" s="166"/>
      <c r="S2" s="47"/>
      <c r="T2" s="47"/>
    </row>
    <row r="3" spans="1:90" s="44" customFormat="1" ht="15.75" thickBot="1" x14ac:dyDescent="0.3">
      <c r="A3"/>
      <c r="B3"/>
      <c r="C3"/>
      <c r="D3"/>
      <c r="E3"/>
      <c r="F3"/>
      <c r="G3"/>
      <c r="H3"/>
      <c r="I3"/>
      <c r="J3"/>
      <c r="K3"/>
      <c r="L3"/>
      <c r="M3"/>
      <c r="N3"/>
      <c r="O3"/>
      <c r="P3"/>
      <c r="Q3"/>
      <c r="R3"/>
      <c r="S3"/>
    </row>
    <row r="4" spans="1:90" s="44" customFormat="1" ht="51.75" customHeight="1" thickBot="1" x14ac:dyDescent="0.3">
      <c r="A4" s="45" t="s">
        <v>125</v>
      </c>
      <c r="B4" s="160" t="s">
        <v>139</v>
      </c>
      <c r="C4" s="160"/>
      <c r="D4" s="160"/>
      <c r="E4" s="160"/>
      <c r="F4" s="160"/>
      <c r="G4" s="160"/>
      <c r="H4" s="160"/>
      <c r="I4" s="160"/>
      <c r="J4" s="160"/>
      <c r="K4" s="160"/>
      <c r="L4" s="160"/>
      <c r="M4" s="160"/>
      <c r="N4" s="160"/>
      <c r="O4" s="160"/>
      <c r="P4" s="160"/>
      <c r="Q4" s="160"/>
      <c r="R4" s="160"/>
      <c r="S4"/>
    </row>
    <row r="5" spans="1:90" s="44" customFormat="1" ht="34.5" customHeight="1" x14ac:dyDescent="0.25">
      <c r="A5" s="45" t="s">
        <v>126</v>
      </c>
      <c r="B5" s="159" t="s">
        <v>140</v>
      </c>
      <c r="C5" s="160"/>
      <c r="D5" s="160"/>
      <c r="E5" s="160"/>
      <c r="F5" s="160"/>
      <c r="G5" s="160"/>
      <c r="H5" s="160"/>
      <c r="I5" s="160"/>
      <c r="J5" s="160"/>
      <c r="K5" s="160"/>
      <c r="L5" s="160"/>
      <c r="M5" s="160"/>
      <c r="N5" s="160"/>
      <c r="O5" s="160"/>
      <c r="P5" s="160"/>
      <c r="Q5" s="160"/>
      <c r="R5" s="160"/>
      <c r="S5"/>
    </row>
    <row r="6" spans="1:90" s="44" customFormat="1" ht="48" customHeight="1" x14ac:dyDescent="0.25">
      <c r="A6" s="46" t="s">
        <v>127</v>
      </c>
      <c r="B6" s="173">
        <v>45236</v>
      </c>
      <c r="C6" s="160"/>
      <c r="D6" s="160"/>
      <c r="E6" s="160"/>
      <c r="F6" s="160"/>
      <c r="G6" s="160"/>
      <c r="H6" s="160"/>
      <c r="I6" s="160"/>
      <c r="J6" s="160"/>
      <c r="K6" s="160"/>
      <c r="L6" s="160"/>
      <c r="M6" s="160"/>
      <c r="N6" s="160"/>
      <c r="O6" s="160"/>
      <c r="P6" s="160"/>
      <c r="Q6" s="160"/>
      <c r="R6" s="160"/>
      <c r="S6"/>
    </row>
    <row r="7" spans="1:90" s="44" customFormat="1" ht="30" x14ac:dyDescent="0.25">
      <c r="A7" s="46" t="s">
        <v>124</v>
      </c>
      <c r="B7" s="159" t="s">
        <v>141</v>
      </c>
      <c r="C7" s="160"/>
      <c r="D7" s="160"/>
      <c r="E7" s="160"/>
      <c r="F7" s="160"/>
      <c r="G7" s="160"/>
      <c r="H7" s="160"/>
      <c r="I7" s="160"/>
      <c r="J7" s="160"/>
      <c r="K7" s="160"/>
      <c r="L7" s="160"/>
      <c r="M7" s="160"/>
      <c r="N7" s="160"/>
      <c r="O7" s="160"/>
      <c r="P7" s="160"/>
      <c r="Q7" s="160"/>
      <c r="R7" s="160"/>
      <c r="S7"/>
    </row>
    <row r="8" spans="1:90" s="44" customFormat="1" ht="28.5" customHeight="1" x14ac:dyDescent="0.25">
      <c r="A8" s="46" t="s">
        <v>128</v>
      </c>
      <c r="B8" s="159" t="s">
        <v>142</v>
      </c>
      <c r="C8" s="159"/>
      <c r="D8" s="159"/>
      <c r="E8" s="159"/>
      <c r="F8" s="159"/>
      <c r="G8" s="159"/>
      <c r="H8" s="159"/>
      <c r="I8" s="159"/>
      <c r="J8" s="159"/>
      <c r="K8" s="159"/>
      <c r="L8" s="159"/>
      <c r="M8" s="159"/>
      <c r="N8" s="159"/>
      <c r="O8" s="159"/>
      <c r="P8" s="159"/>
      <c r="Q8" s="159"/>
      <c r="R8" s="159"/>
      <c r="S8"/>
    </row>
    <row r="9" spans="1:90" s="44" customFormat="1" ht="59.25" customHeight="1" x14ac:dyDescent="0.25">
      <c r="A9" s="46" t="s">
        <v>129</v>
      </c>
      <c r="B9" s="161" t="s">
        <v>143</v>
      </c>
      <c r="C9" s="162"/>
      <c r="D9" s="162"/>
      <c r="E9" s="162"/>
      <c r="F9" s="162"/>
      <c r="G9" s="162"/>
      <c r="H9" s="162"/>
      <c r="I9" s="162"/>
      <c r="J9" s="162"/>
      <c r="K9" s="162"/>
      <c r="L9" s="162"/>
      <c r="M9" s="162"/>
      <c r="N9" s="162"/>
      <c r="O9" s="162"/>
      <c r="P9" s="162"/>
      <c r="Q9" s="162"/>
      <c r="R9" s="163"/>
    </row>
    <row r="10" spans="1:90" s="44" customFormat="1" ht="75.75" customHeight="1" x14ac:dyDescent="0.25">
      <c r="A10" s="46" t="s">
        <v>130</v>
      </c>
      <c r="B10" s="169" t="s">
        <v>144</v>
      </c>
      <c r="C10" s="170"/>
      <c r="D10" s="170"/>
      <c r="E10" s="170"/>
      <c r="F10" s="170"/>
      <c r="G10" s="170"/>
      <c r="H10" s="170"/>
      <c r="I10" s="170"/>
      <c r="J10" s="170"/>
      <c r="K10" s="170"/>
      <c r="L10" s="170"/>
      <c r="M10" s="170"/>
      <c r="N10" s="170"/>
      <c r="O10" s="170"/>
      <c r="P10" s="170"/>
      <c r="Q10" s="170"/>
      <c r="R10" s="171"/>
      <c r="S10"/>
    </row>
    <row r="11" spans="1:90" s="44" customFormat="1" ht="30" x14ac:dyDescent="0.25">
      <c r="A11" s="49" t="s">
        <v>131</v>
      </c>
      <c r="B11" s="172" t="s">
        <v>145</v>
      </c>
      <c r="C11" s="172"/>
      <c r="D11" s="172"/>
      <c r="E11" s="172"/>
      <c r="F11" s="172"/>
      <c r="G11" s="172"/>
      <c r="H11" s="172"/>
      <c r="I11" s="172"/>
      <c r="J11" s="172"/>
      <c r="K11" s="172"/>
      <c r="L11" s="172"/>
      <c r="M11" s="172"/>
      <c r="N11" s="172"/>
      <c r="O11" s="172"/>
      <c r="P11" s="172"/>
      <c r="Q11" s="172"/>
      <c r="R11" s="172"/>
    </row>
    <row r="12" spans="1:90" s="44" customFormat="1" ht="32.25" customHeight="1" x14ac:dyDescent="0.25">
      <c r="A12" s="49" t="s">
        <v>132</v>
      </c>
      <c r="B12" s="172" t="s">
        <v>146</v>
      </c>
      <c r="C12" s="172"/>
      <c r="D12" s="172"/>
      <c r="E12" s="172"/>
      <c r="F12" s="172"/>
      <c r="G12" s="172"/>
      <c r="H12" s="172"/>
      <c r="I12" s="172"/>
      <c r="J12" s="172"/>
      <c r="K12" s="172"/>
      <c r="L12" s="172"/>
      <c r="M12" s="172"/>
      <c r="N12" s="172"/>
      <c r="O12" s="172"/>
      <c r="P12" s="172"/>
      <c r="Q12" s="172"/>
      <c r="R12" s="172"/>
    </row>
    <row r="13" spans="1:90" s="44" customFormat="1" ht="30" x14ac:dyDescent="0.25">
      <c r="A13" s="50" t="s">
        <v>133</v>
      </c>
      <c r="B13" s="172"/>
      <c r="C13" s="172"/>
      <c r="D13" s="172"/>
      <c r="E13" s="172"/>
      <c r="F13" s="172"/>
      <c r="G13" s="172"/>
      <c r="H13" s="172"/>
      <c r="I13" s="172"/>
      <c r="J13" s="172"/>
      <c r="K13" s="172"/>
      <c r="L13" s="172"/>
      <c r="M13" s="172"/>
      <c r="N13" s="172"/>
      <c r="O13" s="172"/>
      <c r="P13" s="172"/>
      <c r="Q13" s="172"/>
      <c r="R13" s="172"/>
    </row>
    <row r="15" spans="1:90" s="37" customFormat="1" ht="28.9" customHeight="1" x14ac:dyDescent="0.25">
      <c r="E15" s="42"/>
      <c r="H15" s="43"/>
      <c r="N15" s="158" t="str">
        <f>Sheet1!J1</f>
        <v>Conductor</v>
      </c>
      <c r="O15" s="158"/>
      <c r="P15" s="158"/>
      <c r="Q15" s="158"/>
      <c r="R15" s="158"/>
      <c r="S15" s="158" t="s">
        <v>9</v>
      </c>
      <c r="T15" s="158"/>
      <c r="U15" s="158" t="s">
        <v>3</v>
      </c>
      <c r="V15" s="158"/>
      <c r="W15" s="158"/>
      <c r="X15" s="158"/>
      <c r="Y15" s="158"/>
      <c r="Z15" s="158"/>
      <c r="AA15" s="158"/>
      <c r="AB15" s="158"/>
      <c r="AC15" s="158" t="s">
        <v>12</v>
      </c>
      <c r="AD15" s="158"/>
      <c r="AE15" s="158" t="s">
        <v>15</v>
      </c>
      <c r="AF15" s="158"/>
      <c r="AG15" s="158"/>
      <c r="AH15" s="158"/>
      <c r="AI15" s="158"/>
      <c r="AJ15" s="158"/>
      <c r="AK15" s="10" t="s">
        <v>18</v>
      </c>
      <c r="AL15" s="167" t="s">
        <v>21</v>
      </c>
      <c r="AM15" s="168"/>
      <c r="AN15" s="168"/>
      <c r="AO15" s="168"/>
      <c r="AP15" s="168"/>
      <c r="AQ15" s="168"/>
      <c r="AR15" s="168"/>
      <c r="AS15" s="158" t="s">
        <v>24</v>
      </c>
      <c r="AT15" s="158"/>
      <c r="AU15" s="158"/>
      <c r="AV15" s="158"/>
      <c r="AW15" s="158"/>
      <c r="AX15" s="158"/>
      <c r="AY15" s="158"/>
      <c r="AZ15" s="158"/>
      <c r="BA15" s="158"/>
      <c r="BB15" s="158"/>
      <c r="BC15" s="158" t="s">
        <v>27</v>
      </c>
      <c r="BD15" s="158"/>
      <c r="BE15" s="158"/>
      <c r="BF15" s="158"/>
      <c r="BG15" s="158"/>
      <c r="BH15" s="158"/>
      <c r="BI15" s="158"/>
      <c r="BJ15" s="158"/>
      <c r="BK15" s="158"/>
      <c r="BL15" s="158"/>
      <c r="BM15" s="38" t="s">
        <v>30</v>
      </c>
      <c r="BN15" s="10" t="s">
        <v>33</v>
      </c>
      <c r="BO15" s="10" t="s">
        <v>36</v>
      </c>
      <c r="BP15" s="10" t="s">
        <v>39</v>
      </c>
      <c r="BQ15" s="10" t="s">
        <v>42</v>
      </c>
      <c r="BR15" s="10" t="s">
        <v>45</v>
      </c>
      <c r="BS15" s="10" t="s">
        <v>48</v>
      </c>
      <c r="BT15" s="10" t="s">
        <v>51</v>
      </c>
      <c r="BU15" s="10" t="s">
        <v>54</v>
      </c>
      <c r="BV15" s="10"/>
      <c r="BW15" s="10"/>
      <c r="BX15" s="10"/>
      <c r="BY15" s="10"/>
      <c r="BZ15" s="39" t="s">
        <v>57</v>
      </c>
      <c r="CA15" s="39" t="s">
        <v>58</v>
      </c>
      <c r="CB15" s="40" t="s">
        <v>79</v>
      </c>
      <c r="CC15" s="39" t="s">
        <v>123</v>
      </c>
      <c r="CD15" s="41"/>
      <c r="CE15" s="42"/>
      <c r="CF15" s="43"/>
      <c r="CG15" s="42"/>
      <c r="CH15" s="42"/>
      <c r="CI15" s="43"/>
      <c r="CK15" s="43"/>
    </row>
    <row r="16" spans="1:90" s="19" customFormat="1" ht="89.25" x14ac:dyDescent="0.25">
      <c r="A16" s="22" t="s">
        <v>0</v>
      </c>
      <c r="B16" s="22" t="str">
        <f>Sheet1!B1</f>
        <v>Base Date</v>
      </c>
      <c r="C16" s="22" t="s">
        <v>1</v>
      </c>
      <c r="D16" s="22" t="s">
        <v>2</v>
      </c>
      <c r="E16" s="5" t="s">
        <v>70</v>
      </c>
      <c r="F16" s="15" t="s">
        <v>71</v>
      </c>
      <c r="G16" s="15" t="s">
        <v>72</v>
      </c>
      <c r="H16" s="6" t="s">
        <v>73</v>
      </c>
      <c r="I16" s="15" t="s">
        <v>74</v>
      </c>
      <c r="J16" s="15" t="s">
        <v>75</v>
      </c>
      <c r="K16" s="15" t="s">
        <v>76</v>
      </c>
      <c r="L16" s="15" t="s">
        <v>77</v>
      </c>
      <c r="M16" s="15" t="s">
        <v>78</v>
      </c>
      <c r="N16" s="23" t="s">
        <v>80</v>
      </c>
      <c r="O16" s="23" t="s">
        <v>85</v>
      </c>
      <c r="P16" s="23" t="s">
        <v>82</v>
      </c>
      <c r="Q16" s="23" t="s">
        <v>83</v>
      </c>
      <c r="R16" s="23" t="s">
        <v>84</v>
      </c>
      <c r="S16" s="23" t="s">
        <v>80</v>
      </c>
      <c r="T16" s="23" t="s">
        <v>85</v>
      </c>
      <c r="U16" s="24" t="s">
        <v>92</v>
      </c>
      <c r="V16" s="24" t="s">
        <v>96</v>
      </c>
      <c r="W16" s="24" t="s">
        <v>99</v>
      </c>
      <c r="X16" s="24" t="s">
        <v>104</v>
      </c>
      <c r="Y16" s="24" t="s">
        <v>108</v>
      </c>
      <c r="Z16" s="24" t="s">
        <v>112</v>
      </c>
      <c r="AA16" s="24" t="s">
        <v>115</v>
      </c>
      <c r="AB16" s="24" t="s">
        <v>117</v>
      </c>
      <c r="AC16" s="24" t="s">
        <v>91</v>
      </c>
      <c r="AD16" s="24" t="s">
        <v>95</v>
      </c>
      <c r="AE16" s="24" t="s">
        <v>90</v>
      </c>
      <c r="AF16" s="24" t="s">
        <v>86</v>
      </c>
      <c r="AG16" s="24" t="s">
        <v>98</v>
      </c>
      <c r="AH16" s="24" t="s">
        <v>103</v>
      </c>
      <c r="AI16" s="24" t="s">
        <v>107</v>
      </c>
      <c r="AJ16" s="24" t="s">
        <v>111</v>
      </c>
      <c r="AK16" s="20" t="s">
        <v>18</v>
      </c>
      <c r="AL16" s="24" t="s">
        <v>93</v>
      </c>
      <c r="AM16" s="24" t="s">
        <v>97</v>
      </c>
      <c r="AN16" s="24" t="s">
        <v>100</v>
      </c>
      <c r="AO16" s="24" t="s">
        <v>105</v>
      </c>
      <c r="AP16" s="24" t="s">
        <v>109</v>
      </c>
      <c r="AQ16" s="24" t="s">
        <v>87</v>
      </c>
      <c r="AR16" s="24" t="s">
        <v>116</v>
      </c>
      <c r="AS16" s="24" t="s">
        <v>94</v>
      </c>
      <c r="AT16" s="24" t="s">
        <v>81</v>
      </c>
      <c r="AU16" s="24" t="s">
        <v>101</v>
      </c>
      <c r="AV16" s="24" t="s">
        <v>106</v>
      </c>
      <c r="AW16" s="24" t="s">
        <v>113</v>
      </c>
      <c r="AX16" s="24" t="s">
        <v>88</v>
      </c>
      <c r="AY16" s="24" t="s">
        <v>118</v>
      </c>
      <c r="AZ16" s="24" t="s">
        <v>119</v>
      </c>
      <c r="BA16" s="24" t="s">
        <v>120</v>
      </c>
      <c r="BB16" s="24" t="s">
        <v>122</v>
      </c>
      <c r="BC16" s="24" t="s">
        <v>93</v>
      </c>
      <c r="BD16" s="24" t="s">
        <v>97</v>
      </c>
      <c r="BE16" s="24" t="s">
        <v>102</v>
      </c>
      <c r="BF16" s="24" t="s">
        <v>100</v>
      </c>
      <c r="BG16" s="24" t="s">
        <v>110</v>
      </c>
      <c r="BH16" s="24" t="s">
        <v>114</v>
      </c>
      <c r="BI16" s="24" t="s">
        <v>105</v>
      </c>
      <c r="BJ16" s="24" t="s">
        <v>87</v>
      </c>
      <c r="BK16" s="24" t="s">
        <v>116</v>
      </c>
      <c r="BL16" s="24" t="s">
        <v>121</v>
      </c>
      <c r="BM16" s="20" t="s">
        <v>30</v>
      </c>
      <c r="BN16" s="20" t="s">
        <v>89</v>
      </c>
      <c r="BO16" s="21" t="s">
        <v>36</v>
      </c>
      <c r="BP16" s="25" t="s">
        <v>39</v>
      </c>
      <c r="BQ16" s="21" t="s">
        <v>42</v>
      </c>
      <c r="BR16" s="21" t="s">
        <v>45</v>
      </c>
      <c r="BS16" s="21" t="s">
        <v>48</v>
      </c>
      <c r="BT16" s="25" t="s">
        <v>51</v>
      </c>
      <c r="BU16" s="21" t="s">
        <v>54</v>
      </c>
      <c r="BV16" s="21" t="str">
        <f>Sheet1!E1</f>
        <v>PROPOSE DRUM TYPE</v>
      </c>
      <c r="BW16" s="54" t="str">
        <f>Sheet1!CV1</f>
        <v>DRUM CODE</v>
      </c>
      <c r="BX16" s="54" t="str">
        <f>Sheet1!CW1</f>
        <v>DRUM SIZE (FxbXtx Ft)</v>
      </c>
      <c r="BY16" s="57" t="str">
        <f>Sheet1!CX1</f>
        <v xml:space="preserve">PARTY STANDARD LENGTH (MTR) </v>
      </c>
      <c r="BZ16" s="29"/>
      <c r="CA16" s="29"/>
      <c r="CB16" s="26"/>
      <c r="CC16" s="29"/>
      <c r="CD16" s="13" t="s">
        <v>61</v>
      </c>
      <c r="CE16" s="5" t="s">
        <v>62</v>
      </c>
      <c r="CF16" s="6" t="s">
        <v>63</v>
      </c>
      <c r="CG16" s="5" t="s">
        <v>64</v>
      </c>
      <c r="CH16" s="5" t="s">
        <v>65</v>
      </c>
      <c r="CI16" s="6" t="s">
        <v>66</v>
      </c>
      <c r="CJ16" s="15" t="s">
        <v>67</v>
      </c>
      <c r="CK16" s="6" t="s">
        <v>68</v>
      </c>
      <c r="CL16" s="15" t="s">
        <v>69</v>
      </c>
    </row>
    <row r="17" spans="1:90" s="29" customFormat="1" x14ac:dyDescent="0.25">
      <c r="A17" s="31"/>
      <c r="B17" s="31"/>
      <c r="C17" s="31"/>
      <c r="D17" s="31"/>
      <c r="E17" s="5"/>
      <c r="F17" s="5"/>
      <c r="G17" s="5"/>
      <c r="H17" s="5"/>
      <c r="I17" s="5"/>
      <c r="J17" s="5"/>
      <c r="K17" s="5"/>
      <c r="L17" s="5"/>
      <c r="M17" s="5"/>
      <c r="N17" s="32">
        <v>212</v>
      </c>
      <c r="O17" s="32">
        <f>+IFERROR(VLOOKUP($O$16,Sheet1!J:L,2,0),0)</f>
        <v>0</v>
      </c>
      <c r="P17" s="32">
        <f>+IFERROR(VLOOKUP($P$16,Sheet1!J:M,2,0),0)</f>
        <v>0</v>
      </c>
      <c r="Q17" s="32">
        <f>+IFERROR(VLOOKUP($Q$16,Sheet1!J:M,2,0),0)</f>
        <v>0</v>
      </c>
      <c r="R17" s="32">
        <f>+IFERROR(VLOOKUP($R$16,Sheet1!J:M,2,0),0)</f>
        <v>0</v>
      </c>
      <c r="S17" s="32">
        <f>+IFERROR(VLOOKUP($S$16,Sheet1!N:Q,2,0),0)</f>
        <v>0</v>
      </c>
      <c r="T17" s="32">
        <f>N17+7</f>
        <v>219</v>
      </c>
      <c r="U17" s="33">
        <f>+IFERROR(VLOOKUP($U$16,Sheet1!F:I,2,0),0)</f>
        <v>0</v>
      </c>
      <c r="V17" s="33">
        <f>+IFERROR(VLOOKUP($V$16,Sheet1!F:I,2,0),0)</f>
        <v>0</v>
      </c>
      <c r="W17" s="33">
        <f>+IFERROR(VLOOKUP($W$16,Sheet1!F:I,2,0),0)</f>
        <v>0</v>
      </c>
      <c r="X17" s="33">
        <f>+IFERROR(VLOOKUP($X$16,Sheet1!F:I,2,0),0)</f>
        <v>0</v>
      </c>
      <c r="Y17" s="33">
        <f>+IFERROR(VLOOKUP($Y$16,Sheet1!F:I,2,0),0)</f>
        <v>0</v>
      </c>
      <c r="Z17" s="33">
        <f>+IFERROR(VLOOKUP($Z$16,Sheet1!F:I,2,0),0)</f>
        <v>0</v>
      </c>
      <c r="AA17" s="33">
        <f>+IFERROR(VLOOKUP($AA$16,Sheet1!F:I,2,0),0)</f>
        <v>0</v>
      </c>
      <c r="AB17" s="33">
        <f>+IFERROR(VLOOKUP($AB$16,Sheet1!F:I,2,0),0)</f>
        <v>0</v>
      </c>
      <c r="AC17" s="33">
        <f>+IFERROR(VLOOKUP($AC$16,Sheet1!R:U,2,0),0)</f>
        <v>0</v>
      </c>
      <c r="AD17" s="33">
        <f>+IFERROR(VLOOKUP($AD$16,Sheet1!R:U,2,0),0)</f>
        <v>0</v>
      </c>
      <c r="AE17" s="33">
        <f>+IFERROR(VLOOKUP($AE$16,Sheet1!V:Y,2,0),0)</f>
        <v>0</v>
      </c>
      <c r="AF17" s="33">
        <f>+IFERROR(VLOOKUP($AF$16,Sheet1!V:Y,2,0),0)</f>
        <v>116</v>
      </c>
      <c r="AG17" s="33">
        <f>+IFERROR(VLOOKUP($AG$16,Sheet1!V:Y,2,0),0)</f>
        <v>0</v>
      </c>
      <c r="AH17" s="33">
        <f>+IFERROR(VLOOKUP($AH$16,Sheet1!V:Y,2,0),0)</f>
        <v>0</v>
      </c>
      <c r="AI17" s="33">
        <f>+IFERROR(VLOOKUP($AI$16,Sheet1!V:Y,2,0),0)</f>
        <v>0</v>
      </c>
      <c r="AJ17" s="33">
        <f>+IFERROR(VLOOKUP($AJ$16,Sheet1!V:Y,2,0),0)</f>
        <v>0</v>
      </c>
      <c r="AK17" s="34">
        <f>+IFERROR(VLOOKUP($AK$16,Sheet1!Z2:AA840,2,0),0)</f>
        <v>0</v>
      </c>
      <c r="AL17" s="33">
        <f>+IFERROR(VLOOKUP($AL$16,Sheet1!AD2:AG840,2,0),0)</f>
        <v>0</v>
      </c>
      <c r="AM17" s="33">
        <f>+IFERROR(VLOOKUP($AM$16,Sheet1!AD2:AG840,2,0),0)</f>
        <v>0</v>
      </c>
      <c r="AN17" s="33">
        <f>+IFERROR(VLOOKUP($AN$16,Sheet1!AD2:AG840,2,0),0)</f>
        <v>0</v>
      </c>
      <c r="AO17" s="33">
        <f>+IFERROR(VLOOKUP($AO$16,Sheet1!AD2:AG840,2,0),0)</f>
        <v>0</v>
      </c>
      <c r="AP17" s="33">
        <f>+IFERROR(VLOOKUP($AP$16,Sheet1!AD2:AG840,2,0),0)</f>
        <v>0</v>
      </c>
      <c r="AQ17" s="33">
        <f>+IFERROR(VLOOKUP($AQ$16,Sheet1!AD2:AG840,2,0),0)</f>
        <v>0</v>
      </c>
      <c r="AR17" s="33">
        <f>+IFERROR(VLOOKUP($AR$16,Sheet1!AD2:AG840,2,0),0)</f>
        <v>0</v>
      </c>
      <c r="AS17" s="33">
        <f>+IFERROR(VLOOKUP($AS$16,Sheet1!AH2:AK840,2,0),0)</f>
        <v>0</v>
      </c>
      <c r="AT17" s="33">
        <f>+IFERROR(VLOOKUP($AT$16,Sheet1!AH2:AK840,2,0),0)</f>
        <v>0</v>
      </c>
      <c r="AU17" s="33">
        <f>+IFERROR(VLOOKUP($AU$16,Sheet1!AH2:AK840,2,0),0)</f>
        <v>0</v>
      </c>
      <c r="AV17" s="33">
        <f>+IFERROR(VLOOKUP($AV$16,Sheet1!AH2:AK840,2,0),0)</f>
        <v>0</v>
      </c>
      <c r="AW17" s="33">
        <f>+IFERROR(VLOOKUP($AW$16,Sheet1!AH2:AK840,2,0),0)</f>
        <v>0</v>
      </c>
      <c r="AX17" s="33">
        <f>+IFERROR(VLOOKUP($AX$16,Sheet1!AH2:AK840,2,0),0)</f>
        <v>0</v>
      </c>
      <c r="AY17" s="33">
        <f>+IFERROR(VLOOKUP($AY$16,Sheet1!AH2:AK840,2,0),0)</f>
        <v>0</v>
      </c>
      <c r="AZ17" s="33">
        <f>+IFERROR(VLOOKUP($AZ$16,Sheet1!AH2:AK840,2,0),0)</f>
        <v>0</v>
      </c>
      <c r="BA17" s="33">
        <f>+IFERROR(VLOOKUP($BA$16,Sheet1!AH2:AK840,2,0),0)</f>
        <v>0</v>
      </c>
      <c r="BB17" s="33">
        <f>+IFERROR(VLOOKUP($BB$16,Sheet1!AH2:AK840,2,0),0)</f>
        <v>0</v>
      </c>
      <c r="BC17" s="33">
        <f>+IFERROR(VLOOKUP($BC$16,Sheet1!AL2:AO840,2,0),0)</f>
        <v>0</v>
      </c>
      <c r="BD17" s="33">
        <f>+IFERROR(VLOOKUP($BD$16,Sheet1!AL2:AO840,2,0),0)</f>
        <v>0</v>
      </c>
      <c r="BE17" s="33">
        <f>+IFERROR(VLOOKUP($BE$16,Sheet1!AL2:AO840,2,0),0)</f>
        <v>0</v>
      </c>
      <c r="BF17" s="33">
        <f>+IFERROR(VLOOKUP($BF$16,Sheet1!AL2:AO840,2,0),0)</f>
        <v>0</v>
      </c>
      <c r="BG17" s="33">
        <f>+IFERROR(VLOOKUP($BG$16,Sheet1!AL2:AO840,2,0),0)</f>
        <v>0</v>
      </c>
      <c r="BH17" s="33">
        <f>+IFERROR(VLOOKUP($BH$16,Sheet1!AL2:AO840,2,0),0)</f>
        <v>0</v>
      </c>
      <c r="BI17" s="33">
        <f>+IFERROR(VLOOKUP($BI$16,Sheet1!AL2:AO840,2,0),0)</f>
        <v>0</v>
      </c>
      <c r="BJ17" s="33">
        <f>+IFERROR(VLOOKUP($BJ$16,Sheet1!AL2:AO840,2,0),0)</f>
        <v>0</v>
      </c>
      <c r="BK17" s="33">
        <f>+IFERROR(VLOOKUP($BK$16,Sheet1!AL2:AO840,2,0),0)</f>
        <v>0</v>
      </c>
      <c r="BL17" s="33">
        <f>+IFERROR(VLOOKUP($BL$16,Sheet1!AL2:AO840,2,0),0)</f>
        <v>0</v>
      </c>
      <c r="BM17" s="34">
        <f>+IFERROR(VLOOKUP($BM$16,Sheet1!AP2:AS840,2,0),0)</f>
        <v>0</v>
      </c>
      <c r="BN17" s="34">
        <f>+IFERROR(VLOOKUP($BN$16,Sheet1!AT2:AW840,2,0),0)</f>
        <v>0</v>
      </c>
      <c r="BO17" s="35">
        <f>+IFERROR(VLOOKUP($BO$16,Sheet1!AX2:BA840,2,0),0)</f>
        <v>0</v>
      </c>
      <c r="BP17" s="36">
        <f>+IFERROR(VLOOKUP($BP$16,Sheet1!BB2:BE840,2,0),0)</f>
        <v>0</v>
      </c>
      <c r="BQ17" s="35">
        <f>+IFERROR(VLOOKUP($BQ$16,Sheet1!BF2:BI840,2,0),0)</f>
        <v>0</v>
      </c>
      <c r="BR17" s="35">
        <f>+IFERROR(VLOOKUP($BR$16,Sheet1!BJ2:BM840,2,0),0)</f>
        <v>0</v>
      </c>
      <c r="BS17" s="35">
        <f>+IFERROR(VLOOKUP($BS$16,Sheet1!BN2:BQ840,2,0),0)</f>
        <v>0</v>
      </c>
      <c r="BT17" s="36">
        <f>+IFERROR(VLOOKUP($BT$16,Sheet1!BR2:BU840,2,0),0)</f>
        <v>0</v>
      </c>
      <c r="BU17" s="35">
        <f>+IFERROR(VLOOKUP($BU$16,Sheet1!BV2:BY840,2,0),0)</f>
        <v>0</v>
      </c>
      <c r="BV17" s="53"/>
      <c r="BW17" s="53"/>
      <c r="BX17" s="53"/>
      <c r="BY17" s="53"/>
      <c r="CD17" s="5"/>
      <c r="CE17" s="5"/>
      <c r="CF17" s="5"/>
      <c r="CG17" s="5"/>
      <c r="CH17" s="5"/>
      <c r="CI17" s="5"/>
      <c r="CJ17" s="5"/>
      <c r="CK17" s="5"/>
      <c r="CL17" s="5"/>
    </row>
    <row r="18" spans="1:90" ht="45" x14ac:dyDescent="0.25">
      <c r="A18" s="1" t="str">
        <f>Sheet1!A3</f>
        <v>ENQ-11516-22-23</v>
      </c>
      <c r="B18" s="52">
        <f>Sheet1!B3</f>
        <v>45170</v>
      </c>
      <c r="C18" s="1" t="str">
        <f>Sheet1!C3</f>
        <v>FA0100001</v>
      </c>
      <c r="D18" s="1" t="str">
        <f>Sheet1!D3</f>
        <v>3 CORE X 120 SQ MM + 1 CORE X 16 SQ MM + 1 CORE X 95 SQ MM (AB CABLES) (BARE)</v>
      </c>
      <c r="E18" s="3">
        <f>CH18+CJ18+CL18</f>
        <v>367356.23183999991</v>
      </c>
      <c r="F18" s="152">
        <f>ROUNDUP(M22,0)</f>
        <v>5549</v>
      </c>
      <c r="G18" s="9">
        <f t="shared" ref="G18" si="0">E18+F18</f>
        <v>372905.23183999991</v>
      </c>
      <c r="H18" s="7">
        <v>0.18</v>
      </c>
      <c r="I18" s="9">
        <f t="shared" ref="I18" si="1">G18*H18</f>
        <v>67122.941731199986</v>
      </c>
      <c r="J18" s="9">
        <f t="shared" ref="J18" si="2">G18+I18</f>
        <v>440028.17357119988</v>
      </c>
      <c r="K18" s="1">
        <f>Sheet1!CS3</f>
        <v>60.56</v>
      </c>
      <c r="L18" s="1" t="str">
        <f>Sheet1!CT3</f>
        <v>KMS</v>
      </c>
      <c r="M18" s="3">
        <f t="shared" ref="M18" si="3">J18*K18</f>
        <v>26648106.191471867</v>
      </c>
      <c r="N18" s="155">
        <v>1018</v>
      </c>
      <c r="O18" s="2">
        <f>+IFERROR(VLOOKUP($O$16,Sheet1!J3:L3,3,0),0)</f>
        <v>0</v>
      </c>
      <c r="P18" s="2">
        <f>+IFERROR(VLOOKUP($P$16,Sheet1!J3:M3,3,0),0)</f>
        <v>0</v>
      </c>
      <c r="Q18" s="2">
        <f>+IFERROR(VLOOKUP($Q$16,Sheet1!J3:M3,3,0),0)</f>
        <v>0</v>
      </c>
      <c r="R18" s="2">
        <f>+IFERROR(VLOOKUP($R$16,Sheet1!J3:M3,3,0),0)</f>
        <v>0</v>
      </c>
      <c r="S18" s="2">
        <f>+IFERROR(VLOOKUP($S$16,Sheet1!N3:Q3,3,0),0)</f>
        <v>0</v>
      </c>
      <c r="T18" s="155">
        <v>260</v>
      </c>
      <c r="U18" s="2">
        <f>+IFERROR(VLOOKUP($U$16,Sheet1!F3:I3,3,0),0)</f>
        <v>0</v>
      </c>
      <c r="V18" s="2">
        <f>+IFERROR(VLOOKUP($V$16,Sheet1!F3:I3,3,0),0)</f>
        <v>0</v>
      </c>
      <c r="W18" s="2">
        <f>+IFERROR(VLOOKUP($W$16,Sheet1!F3:I3,3,0),0)</f>
        <v>0</v>
      </c>
      <c r="X18" s="2">
        <f>+IFERROR(VLOOKUP($X$16,Sheet1!F3:I3,3,0),0)</f>
        <v>0</v>
      </c>
      <c r="Y18" s="2">
        <f>+IFERROR(VLOOKUP($Y$16,Sheet1!F3:I3,3,0),0)</f>
        <v>0</v>
      </c>
      <c r="Z18" s="2">
        <f>+IFERROR(VLOOKUP($Z$16,Sheet1!F3:I3,3,0),0)</f>
        <v>0</v>
      </c>
      <c r="AA18" s="2">
        <f>+IFERROR(VLOOKUP($AA$16,Sheet1!F3:I3,3,0),0)</f>
        <v>0</v>
      </c>
      <c r="AB18" s="2">
        <f>+IFERROR(VLOOKUP($AB$16,Sheet1!F3:I3,3,0),0)</f>
        <v>0</v>
      </c>
      <c r="AC18" s="2">
        <f>+IFERROR(VLOOKUP($AC$16,Sheet1!R3:U3,3,0),0)</f>
        <v>0</v>
      </c>
      <c r="AD18" s="15">
        <f>+IFERROR(VLOOKUP($AD$16,Sheet1!R3:U3,2,0),0)</f>
        <v>0</v>
      </c>
      <c r="AE18" s="2">
        <f>+IFERROR(VLOOKUP($AE$16,Sheet1!V3:Y3,3,0),0)</f>
        <v>0</v>
      </c>
      <c r="AF18" s="156">
        <v>232</v>
      </c>
      <c r="AG18" s="15">
        <f>+IFERROR(VLOOKUP($AG$16,Sheet1!V3:Y3,3,0),0)</f>
        <v>0</v>
      </c>
      <c r="AH18" s="15">
        <f>+IFERROR(VLOOKUP($AH$16,Sheet1!V3:Y3,3,0),0)</f>
        <v>0</v>
      </c>
      <c r="AI18" s="15">
        <f>+IFERROR(VLOOKUP($AI$16,Sheet1!V3:Y3,3,0),0)</f>
        <v>0</v>
      </c>
      <c r="AJ18" s="15">
        <f>+IFERROR(VLOOKUP($AJ$16,Sheet1!V3:Y3,3,0),0)</f>
        <v>0</v>
      </c>
      <c r="AK18" s="15">
        <f>+IFERROR(VLOOKUP($AK$16,Sheet1!Z3:AB3,3,0),0)</f>
        <v>0</v>
      </c>
      <c r="AL18" s="15">
        <f>+IFERROR(VLOOKUP($AL$16,Sheet1!AD3:AG3,3,0),0)</f>
        <v>0</v>
      </c>
      <c r="AM18" s="15">
        <f>+IFERROR(VLOOKUP($AM$16,Sheet1!AD3:AG3,3,0),0)</f>
        <v>0</v>
      </c>
      <c r="AN18" s="15">
        <f>+IFERROR(VLOOKUP($AN$16,Sheet1!AD3:AG3,3,0),0)</f>
        <v>0</v>
      </c>
      <c r="AO18" s="15">
        <f>+IFERROR(VLOOKUP($AO$16,Sheet1!AD3:AG3,3,0),0)</f>
        <v>0</v>
      </c>
      <c r="AP18" s="15">
        <f>+IFERROR(VLOOKUP($AP$16,Sheet1!AD3:AG3,3,0),0)</f>
        <v>0</v>
      </c>
      <c r="AQ18" s="15">
        <f>+IFERROR(VLOOKUP($AQ$16,Sheet1!AD3:AG3,3,0),0)</f>
        <v>0</v>
      </c>
      <c r="AR18" s="15">
        <f>+IFERROR(VLOOKUP($AR$16,Sheet1!AD3:AG3,3,0),0)</f>
        <v>0</v>
      </c>
      <c r="AS18" s="15">
        <f>+IFERROR(VLOOKUP($AS$16,Sheet1!AH3:AK3,3,0),0)</f>
        <v>0</v>
      </c>
      <c r="AT18" s="15">
        <f>+IFERROR(VLOOKUP($AT$16,Sheet1!AH3:AK3,3,0),0)</f>
        <v>0</v>
      </c>
      <c r="AU18" s="15">
        <f>+IFERROR(VLOOKUP($AU$16,Sheet1!AH3:AK3,3,0),0)</f>
        <v>0</v>
      </c>
      <c r="AV18" s="15">
        <f>+IFERROR(VLOOKUP($AV$16,Sheet1!AH3:AK3,3,0),0)</f>
        <v>0</v>
      </c>
      <c r="AW18" s="15">
        <f>+IFERROR(VLOOKUP($AW$16,Sheet1!AH3:AK3,3,0),0)</f>
        <v>0</v>
      </c>
      <c r="AX18" s="15">
        <f>+IFERROR(VLOOKUP($AX$16,Sheet1!AH3:AK3,3,0),0)</f>
        <v>0</v>
      </c>
      <c r="AY18" s="15">
        <f>+IFERROR(VLOOKUP($AY$16,Sheet1!AH3:AK3,3,0),0)</f>
        <v>0</v>
      </c>
      <c r="AZ18" s="15">
        <f>+IFERROR(VLOOKUP($AZ$16,Sheet1!AH3:AK3,3,0),0)</f>
        <v>0</v>
      </c>
      <c r="BA18" s="15">
        <f>+IFERROR(VLOOKUP($BA$16,Sheet1!AH3:AK3,3,0),0)</f>
        <v>0</v>
      </c>
      <c r="BB18" s="15">
        <f>+IFERROR(VLOOKUP($BB$16,Sheet1!AH3:AK3,3,0),0)</f>
        <v>0</v>
      </c>
      <c r="BC18" s="15">
        <f>+IFERROR(VLOOKUP($BC$16,Sheet1!AL3:AO3,3,0),0)</f>
        <v>0</v>
      </c>
      <c r="BD18" s="15">
        <f>+IFERROR(VLOOKUP($BD$16,Sheet1!AL3:AO3,3,0),0)</f>
        <v>0</v>
      </c>
      <c r="BE18" s="15">
        <f>+IFERROR(VLOOKUP($BE$16,Sheet1!AL3:AO3,3,0),0)</f>
        <v>0</v>
      </c>
      <c r="BF18" s="15">
        <f>+IFERROR(VLOOKUP($BF$16,Sheet1!AL3:AO3,3,0),0)</f>
        <v>0</v>
      </c>
      <c r="BG18" s="15">
        <f>+IFERROR(VLOOKUP($BG$16,Sheet1!AL3:AO3,3,0),0)</f>
        <v>0</v>
      </c>
      <c r="BH18" s="15">
        <f>+IFERROR(VLOOKUP($BH$16,Sheet1!AL3:AO3,3,0),0)</f>
        <v>0</v>
      </c>
      <c r="BI18" s="15">
        <f>+IFERROR(VLOOKUP($BI$16,Sheet1!AL3:AO3,3,0),0)</f>
        <v>0</v>
      </c>
      <c r="BJ18" s="15">
        <f>+IFERROR(VLOOKUP($BJ$16,Sheet1!AL3:AO3,3,0),0)</f>
        <v>0</v>
      </c>
      <c r="BK18" s="15">
        <f>+IFERROR(VLOOKUP($BK$16,Sheet1!AL3:AO3,3,0),0)</f>
        <v>0</v>
      </c>
      <c r="BL18" s="15">
        <f>+IFERROR(VLOOKUP($BL$16,Sheet1!AL3:AO3,3,0),0)</f>
        <v>0</v>
      </c>
      <c r="BM18" s="15">
        <f>+IFERROR(VLOOKUP($BM$16,Sheet1!AP3:AS3,3,0),0)</f>
        <v>0</v>
      </c>
      <c r="BN18" s="15">
        <f>+IFERROR(VLOOKUP($BN$16,Sheet1!AT3:AW3,3,0),0)</f>
        <v>0</v>
      </c>
      <c r="BO18" s="15">
        <f>+IFERROR(VLOOKUP($BO$16,Sheet1!AX3:BA3,3,0),0)</f>
        <v>0</v>
      </c>
      <c r="BP18" s="15">
        <f>+IFERROR(VLOOKUP($BP$16,Sheet1!BB3:BE3,3,0),0)</f>
        <v>0</v>
      </c>
      <c r="BQ18" s="15">
        <f>+IFERROR(VLOOKUP($BQ$16,Sheet1!BF3:BI3,3,0),0)</f>
        <v>0</v>
      </c>
      <c r="BR18" s="15">
        <f>+IFERROR(VLOOKUP($BR$16,Sheet1!BJ3:BM3,3,0),0)</f>
        <v>0</v>
      </c>
      <c r="BS18" s="15">
        <f>+IFERROR(VLOOKUP($BS$16,Sheet1!BN3:BQ3,3,0),0)</f>
        <v>0</v>
      </c>
      <c r="BT18" s="15">
        <f>+IFERROR(VLOOKUP($BT$16,Sheet1!BR3:BU3,3,0),0)</f>
        <v>0</v>
      </c>
      <c r="BU18" s="15">
        <f>+IFERROR(VLOOKUP($BU$16,Sheet1!BV3:BY3,3,0),0)</f>
        <v>0</v>
      </c>
      <c r="BV18" s="15" t="str">
        <f>Sheet1!E3</f>
        <v>WOOD</v>
      </c>
      <c r="BW18" s="15" t="str">
        <f>Sheet1!CV3</f>
        <v>MD0100013</v>
      </c>
      <c r="BX18" s="15" t="str">
        <f>Sheet1!CW3</f>
        <v>DRUM - 48 X 14 X 36 X 2.25</v>
      </c>
      <c r="BY18" s="15">
        <f>Sheet1!CX3</f>
        <v>500</v>
      </c>
      <c r="BZ18" s="3">
        <f>Sheet1!BZ3</f>
        <v>7486.04</v>
      </c>
      <c r="CA18" s="3">
        <f>SUMPRODUCT($N$17:$BU$17,N18:BU18)+BZ18</f>
        <v>307154.03999999998</v>
      </c>
      <c r="CB18" s="27">
        <f>Sheet1!CB3</f>
        <v>0</v>
      </c>
      <c r="CC18" s="3">
        <f t="shared" ref="CC18" si="4">CA18*CB18</f>
        <v>0</v>
      </c>
      <c r="CD18" s="48">
        <v>0.15</v>
      </c>
      <c r="CE18" s="3">
        <f t="shared" ref="CE18" si="5">CA18*CD18</f>
        <v>46073.105999999992</v>
      </c>
      <c r="CF18" s="48">
        <v>0</v>
      </c>
      <c r="CG18" s="3">
        <f t="shared" ref="CG18" si="6">CA18*CF18</f>
        <v>0</v>
      </c>
      <c r="CH18" s="3">
        <f t="shared" ref="CH18" si="7">CA18+CC18+CE18+CG18</f>
        <v>353227.14599999995</v>
      </c>
      <c r="CI18" s="48">
        <v>0.02</v>
      </c>
      <c r="CJ18" s="1">
        <f t="shared" ref="CJ18" si="8">CH18*CI18</f>
        <v>7064.542919999999</v>
      </c>
      <c r="CK18" s="48">
        <v>0.02</v>
      </c>
      <c r="CL18" s="1">
        <f t="shared" ref="CL18" si="9">CH18*CK18</f>
        <v>7064.542919999999</v>
      </c>
    </row>
    <row r="19" spans="1:90" ht="45" x14ac:dyDescent="0.25">
      <c r="A19" s="1" t="str">
        <f>Sheet1!A2</f>
        <v>ENQ-11516-22-23</v>
      </c>
      <c r="B19" s="52">
        <f>Sheet1!B2</f>
        <v>45170</v>
      </c>
      <c r="C19" s="1" t="str">
        <f>Sheet1!C2</f>
        <v>FA0100079</v>
      </c>
      <c r="D19" s="1" t="str">
        <f>Sheet1!D2</f>
        <v>3 CORE X 150 SQ MM + 1 CORE X 125 SQ MM + 1 CORE X 16 SQ MM (AB CABLES) (BARE)</v>
      </c>
      <c r="E19" s="3">
        <f>CH19+CJ19+CL19</f>
        <v>473525.19968000008</v>
      </c>
      <c r="F19" s="152">
        <f>ROUNDUP(M23,0)</f>
        <v>12400</v>
      </c>
      <c r="G19" s="9">
        <f>E19+F19</f>
        <v>485925.19968000008</v>
      </c>
      <c r="H19" s="7">
        <v>0.18</v>
      </c>
      <c r="I19" s="9">
        <f>G19*H19</f>
        <v>87466.535942400005</v>
      </c>
      <c r="J19" s="9">
        <f>G19+I19</f>
        <v>573391.73562240007</v>
      </c>
      <c r="K19" s="1">
        <f>Sheet1!CS2</f>
        <v>34.840000000000003</v>
      </c>
      <c r="L19" s="1" t="str">
        <f>Sheet1!CT2</f>
        <v>KMS</v>
      </c>
      <c r="M19" s="3">
        <f>J19*K19</f>
        <v>19976968.069084421</v>
      </c>
      <c r="N19" s="155">
        <v>1261</v>
      </c>
      <c r="O19" s="2">
        <f>+IFERROR(VLOOKUP($O$16,Sheet1!J2:L2,3,0),0)</f>
        <v>0</v>
      </c>
      <c r="P19" s="2">
        <f>+IFERROR(VLOOKUP($P$16,Sheet1!J2:M2,3,0),0)</f>
        <v>0</v>
      </c>
      <c r="Q19" s="2">
        <f>+IFERROR(VLOOKUP($Q$16,Sheet1!J2:M2,3,0),0)</f>
        <v>0</v>
      </c>
      <c r="R19" s="2">
        <f>+IFERROR(VLOOKUP($R$16,Sheet1!J2:M2,3,0),0)</f>
        <v>0</v>
      </c>
      <c r="S19" s="2">
        <f>+IFERROR(VLOOKUP($S$16,Sheet1!N2:Q2,3,0),0)</f>
        <v>0</v>
      </c>
      <c r="T19" s="155">
        <v>348</v>
      </c>
      <c r="U19" s="2">
        <f>+IFERROR(VLOOKUP($U$16,Sheet1!F2:I2,3,0),0)</f>
        <v>0</v>
      </c>
      <c r="V19" s="2">
        <f>+IFERROR(VLOOKUP($V$16,Sheet1!F2:I2,3,0),0)</f>
        <v>0</v>
      </c>
      <c r="W19" s="2">
        <f>+IFERROR(VLOOKUP($W$16,Sheet1!F2:I2,3,0),0)</f>
        <v>0</v>
      </c>
      <c r="X19" s="2">
        <f>+IFERROR(VLOOKUP($X$16,Sheet1!F2:I2,3,0),0)</f>
        <v>0</v>
      </c>
      <c r="Y19" s="2">
        <f>+IFERROR(VLOOKUP($Y$16,Sheet1!F2:I2,3,0),0)</f>
        <v>0</v>
      </c>
      <c r="Z19" s="2">
        <f>+IFERROR(VLOOKUP($Z$16,Sheet1!F2:I2,3,0),0)</f>
        <v>0</v>
      </c>
      <c r="AA19" s="2">
        <f>+IFERROR(VLOOKUP($AA$16,Sheet1!F2:I2,3,0),0)</f>
        <v>0</v>
      </c>
      <c r="AB19" s="2">
        <f>+IFERROR(VLOOKUP($AB$16,Sheet1!F2:I2,3,0),0)</f>
        <v>0</v>
      </c>
      <c r="AC19" s="2">
        <f>+IFERROR(VLOOKUP($AC$16,Sheet1!R2:U2,3,0),0)</f>
        <v>0</v>
      </c>
      <c r="AD19" s="15">
        <f>+IFERROR(VLOOKUP($AD$16,Sheet1!R2:U2,2,0),0)</f>
        <v>0</v>
      </c>
      <c r="AE19" s="2">
        <f>+IFERROR(VLOOKUP($AE$16,Sheet1!V2:Y2,3,0),0)</f>
        <v>0</v>
      </c>
      <c r="AF19" s="156">
        <v>300</v>
      </c>
      <c r="AG19" s="15">
        <f>+IFERROR(VLOOKUP($AG$16,Sheet1!V2:Y2,3,0),0)</f>
        <v>0</v>
      </c>
      <c r="AH19" s="15">
        <f>+IFERROR(VLOOKUP($AH$16,Sheet1!V2:Y2,3,0),0)</f>
        <v>0</v>
      </c>
      <c r="AI19" s="15">
        <f>+IFERROR(VLOOKUP($AI$16,Sheet1!V2:Y2,3,0),0)</f>
        <v>0</v>
      </c>
      <c r="AJ19" s="15">
        <f>+IFERROR(VLOOKUP($AJ$16,Sheet1!V2:Y2,3,0),0)</f>
        <v>0</v>
      </c>
      <c r="AK19" s="15">
        <f>+IFERROR(VLOOKUP($AK$16,Sheet1!Z2:AB2,3,0),0)</f>
        <v>0</v>
      </c>
      <c r="AL19" s="15">
        <f>+IFERROR(VLOOKUP($AL$16,Sheet1!AD2:AG2,3,0),0)</f>
        <v>0</v>
      </c>
      <c r="AM19" s="15">
        <f>+IFERROR(VLOOKUP($AM$16,Sheet1!AD2:AG2,3,0),0)</f>
        <v>0</v>
      </c>
      <c r="AN19" s="15">
        <f>+IFERROR(VLOOKUP($AN$16,Sheet1!AD2:AG2,3,0),0)</f>
        <v>0</v>
      </c>
      <c r="AO19" s="15">
        <f>+IFERROR(VLOOKUP($AO$16,Sheet1!AD2:AG2,3,0),0)</f>
        <v>0</v>
      </c>
      <c r="AP19" s="15">
        <f>+IFERROR(VLOOKUP($AP$16,Sheet1!AD2:AG2,3,0),0)</f>
        <v>0</v>
      </c>
      <c r="AQ19" s="15">
        <f>+IFERROR(VLOOKUP($AQ$16,Sheet1!AD2:AG2,3,0),0)</f>
        <v>0</v>
      </c>
      <c r="AR19" s="15">
        <f>+IFERROR(VLOOKUP($AR$16,Sheet1!AD2:AG2,3,0),0)</f>
        <v>0</v>
      </c>
      <c r="AS19" s="15">
        <f>+IFERROR(VLOOKUP($AS$16,Sheet1!AH2:AK2,3,0),0)</f>
        <v>0</v>
      </c>
      <c r="AT19" s="15">
        <f>+IFERROR(VLOOKUP($AT$16,Sheet1!AH2:AK2,3,0),0)</f>
        <v>0</v>
      </c>
      <c r="AU19" s="15">
        <f>+IFERROR(VLOOKUP($AU$16,Sheet1!AH2:AK2,3,0),0)</f>
        <v>0</v>
      </c>
      <c r="AV19" s="15">
        <f>+IFERROR(VLOOKUP($AV$16,Sheet1!AH2:AK2,3,0),0)</f>
        <v>0</v>
      </c>
      <c r="AW19" s="15">
        <f>+IFERROR(VLOOKUP($AW$16,Sheet1!AH2:AK2,3,0),0)</f>
        <v>0</v>
      </c>
      <c r="AX19" s="15">
        <f>+IFERROR(VLOOKUP($AX$16,Sheet1!AH2:AK2,3,0),0)</f>
        <v>0</v>
      </c>
      <c r="AY19" s="15">
        <f>+IFERROR(VLOOKUP($AY$16,Sheet1!AH2:AK2,3,0),0)</f>
        <v>0</v>
      </c>
      <c r="AZ19" s="15">
        <f>+IFERROR(VLOOKUP($AZ$16,Sheet1!AH2:AK2,3,0),0)</f>
        <v>0</v>
      </c>
      <c r="BA19" s="15">
        <f>+IFERROR(VLOOKUP($BA$16,Sheet1!AH2:AK2,3,0),0)</f>
        <v>0</v>
      </c>
      <c r="BB19" s="15">
        <f>+IFERROR(VLOOKUP($BB$16,Sheet1!AH2:AK2,3,0),0)</f>
        <v>0</v>
      </c>
      <c r="BC19" s="15">
        <f>+IFERROR(VLOOKUP($BC$16,Sheet1!AL2:AO2,3,0),0)</f>
        <v>0</v>
      </c>
      <c r="BD19" s="15">
        <f>+IFERROR(VLOOKUP($BD$16,Sheet1!AL2:AO2,3,0),0)</f>
        <v>0</v>
      </c>
      <c r="BE19" s="15">
        <f>+IFERROR(VLOOKUP($BE$16,Sheet1!AL2:AO2,3,0),0)</f>
        <v>0</v>
      </c>
      <c r="BF19" s="15">
        <f>+IFERROR(VLOOKUP($BF$16,Sheet1!AL2:AO2,3,0),0)</f>
        <v>0</v>
      </c>
      <c r="BG19" s="15">
        <f>+IFERROR(VLOOKUP($BG$16,Sheet1!AL2:AO2,3,0),0)</f>
        <v>0</v>
      </c>
      <c r="BH19" s="15">
        <f>+IFERROR(VLOOKUP($BH$16,Sheet1!AL2:AO2,3,0),0)</f>
        <v>0</v>
      </c>
      <c r="BI19" s="15">
        <f>+IFERROR(VLOOKUP($BI$16,Sheet1!AL2:AO2,3,0),0)</f>
        <v>0</v>
      </c>
      <c r="BJ19" s="15">
        <f>+IFERROR(VLOOKUP($BJ$16,Sheet1!AL2:AO2,3,0),0)</f>
        <v>0</v>
      </c>
      <c r="BK19" s="15">
        <f>+IFERROR(VLOOKUP($BK$16,Sheet1!AL2:AO2,3,0),0)</f>
        <v>0</v>
      </c>
      <c r="BL19" s="15">
        <f>+IFERROR(VLOOKUP($BL$16,Sheet1!AL2:AO2,3,0),0)</f>
        <v>0</v>
      </c>
      <c r="BM19" s="15">
        <f>+IFERROR(VLOOKUP($BM$16,Sheet1!AP2:AS2,3,0),0)</f>
        <v>0</v>
      </c>
      <c r="BN19" s="15">
        <f>+IFERROR(VLOOKUP($BN$16,Sheet1!AT2:AW2,3,0),0)</f>
        <v>0</v>
      </c>
      <c r="BO19" s="15">
        <f>+IFERROR(VLOOKUP($BO$16,Sheet1!AX2:BA2,3,0),0)</f>
        <v>0</v>
      </c>
      <c r="BP19" s="15">
        <f>+IFERROR(VLOOKUP($BP$16,Sheet1!BB2:BE2,3,0),0)</f>
        <v>0</v>
      </c>
      <c r="BQ19" s="15">
        <f>+IFERROR(VLOOKUP($BQ$16,Sheet1!BF2:BI2,3,0),0)</f>
        <v>0</v>
      </c>
      <c r="BR19" s="15">
        <f>+IFERROR(VLOOKUP($BR$16,Sheet1!BJ2:BM2,3,0),0)</f>
        <v>0</v>
      </c>
      <c r="BS19" s="15">
        <f>+IFERROR(VLOOKUP($BS$16,Sheet1!BN2:BQ2,3,0),0)</f>
        <v>0</v>
      </c>
      <c r="BT19" s="15">
        <f>+IFERROR(VLOOKUP($BT$16,Sheet1!BR2:BU2,3,0),0)</f>
        <v>0</v>
      </c>
      <c r="BU19" s="15">
        <f>+IFERROR(VLOOKUP($BU$16,Sheet1!BV2:BY2,3,0),0)</f>
        <v>0</v>
      </c>
      <c r="BV19" s="15" t="str">
        <f>Sheet1!E2</f>
        <v>WOOD</v>
      </c>
      <c r="BW19" s="15" t="str">
        <f>Sheet1!CV2</f>
        <v>MD0100043</v>
      </c>
      <c r="BX19" s="15" t="str">
        <f>Sheet1!CW2</f>
        <v>DRUM - 66 X 29 X 36 X 3</v>
      </c>
      <c r="BY19" s="15">
        <f>Sheet1!CX2</f>
        <v>500</v>
      </c>
      <c r="BZ19" s="3">
        <f>Sheet1!BZ2</f>
        <v>17580.080000000002</v>
      </c>
      <c r="CA19" s="3">
        <f>SUMPRODUCT($N$17:$BU$17,N19:BU19)+BZ19</f>
        <v>395924.08</v>
      </c>
      <c r="CB19" s="27">
        <f>Sheet1!CB2</f>
        <v>0</v>
      </c>
      <c r="CC19" s="3">
        <f>CA19*CB19</f>
        <v>0</v>
      </c>
      <c r="CD19" s="48">
        <v>0.15</v>
      </c>
      <c r="CE19" s="3">
        <f>CA19*CD19</f>
        <v>59388.612000000001</v>
      </c>
      <c r="CF19" s="48">
        <v>0</v>
      </c>
      <c r="CG19" s="3">
        <f>CA19*CF19</f>
        <v>0</v>
      </c>
      <c r="CH19" s="3">
        <f>CA19+CC19+CE19+CG19</f>
        <v>455312.69200000004</v>
      </c>
      <c r="CI19" s="48">
        <v>0.02</v>
      </c>
      <c r="CJ19" s="1">
        <f>CH19*CI19</f>
        <v>9106.2538400000012</v>
      </c>
      <c r="CK19" s="48">
        <v>0.02</v>
      </c>
      <c r="CL19" s="1">
        <f>CH19*CK19</f>
        <v>9106.2538400000012</v>
      </c>
    </row>
    <row r="21" spans="1:90" ht="30" x14ac:dyDescent="0.25">
      <c r="E21" s="2" t="s">
        <v>178</v>
      </c>
      <c r="F21" s="2" t="s">
        <v>179</v>
      </c>
      <c r="G21" s="58" t="s">
        <v>180</v>
      </c>
      <c r="H21" s="2" t="s">
        <v>181</v>
      </c>
      <c r="I21" s="2" t="s">
        <v>182</v>
      </c>
      <c r="J21" s="2" t="s">
        <v>183</v>
      </c>
      <c r="K21" s="2" t="s">
        <v>184</v>
      </c>
      <c r="L21" s="58" t="s">
        <v>185</v>
      </c>
      <c r="M21" s="59" t="s">
        <v>186</v>
      </c>
    </row>
    <row r="22" spans="1:90" ht="45" x14ac:dyDescent="0.25">
      <c r="D22" s="30" t="str">
        <f>D18</f>
        <v>3 CORE X 120 SQ MM + 1 CORE X 16 SQ MM + 1 CORE X 95 SQ MM (AB CABLES) (BARE)</v>
      </c>
      <c r="E22" s="58">
        <f>K18</f>
        <v>60.56</v>
      </c>
      <c r="F22" s="60">
        <v>0.5</v>
      </c>
      <c r="G22" s="58" t="s">
        <v>187</v>
      </c>
      <c r="H22" s="61">
        <v>48000</v>
      </c>
      <c r="I22" s="60">
        <v>18</v>
      </c>
      <c r="J22" s="58">
        <f>F22*I22</f>
        <v>9</v>
      </c>
      <c r="K22" s="58">
        <f>ROUNDUP((E22/J22),0)</f>
        <v>7</v>
      </c>
      <c r="L22" s="58">
        <f>M22*E22</f>
        <v>336000</v>
      </c>
      <c r="M22" s="62">
        <f>(H22*K22)/E22</f>
        <v>5548.2166446499341</v>
      </c>
    </row>
    <row r="23" spans="1:90" ht="45" x14ac:dyDescent="0.25">
      <c r="D23" s="30" t="str">
        <f>D19</f>
        <v>3 CORE X 150 SQ MM + 1 CORE X 125 SQ MM + 1 CORE X 16 SQ MM (AB CABLES) (BARE)</v>
      </c>
      <c r="E23" s="58">
        <f>K19</f>
        <v>34.840000000000003</v>
      </c>
      <c r="F23" s="60">
        <v>0.5</v>
      </c>
      <c r="G23" s="58" t="s">
        <v>187</v>
      </c>
      <c r="H23" s="61">
        <v>48000</v>
      </c>
      <c r="I23" s="60">
        <v>8</v>
      </c>
      <c r="J23" s="58">
        <f>F23*I23</f>
        <v>4</v>
      </c>
      <c r="K23" s="58">
        <f>ROUNDUP((E23/J23),0)</f>
        <v>9</v>
      </c>
      <c r="L23" s="58">
        <f>M23*E23</f>
        <v>432000</v>
      </c>
      <c r="M23" s="62">
        <f>(H23*K23)/E23</f>
        <v>12399.540757749712</v>
      </c>
    </row>
  </sheetData>
  <mergeCells count="19">
    <mergeCell ref="B7:R7"/>
    <mergeCell ref="B8:R8"/>
    <mergeCell ref="B9:R9"/>
    <mergeCell ref="A2:R2"/>
    <mergeCell ref="AL15:AR15"/>
    <mergeCell ref="B10:R10"/>
    <mergeCell ref="B11:R11"/>
    <mergeCell ref="B12:R12"/>
    <mergeCell ref="B13:R13"/>
    <mergeCell ref="B4:R4"/>
    <mergeCell ref="B5:R5"/>
    <mergeCell ref="B6:R6"/>
    <mergeCell ref="AS15:BB15"/>
    <mergeCell ref="BC15:BL15"/>
    <mergeCell ref="N15:R15"/>
    <mergeCell ref="S15:T15"/>
    <mergeCell ref="U15:AB15"/>
    <mergeCell ref="AC15:AD15"/>
    <mergeCell ref="AE15:AJ15"/>
  </mergeCells>
  <dataValidations count="1">
    <dataValidation type="list" allowBlank="1" showInputMessage="1" showErrorMessage="1" sqref="G22:G23" xr:uid="{00000000-0002-0000-0100-000000000000}">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AO28"/>
  <sheetViews>
    <sheetView showZeros="0" zoomScaleNormal="100" workbookViewId="0">
      <selection activeCell="E25" sqref="E25"/>
    </sheetView>
  </sheetViews>
  <sheetFormatPr defaultRowHeight="12.75" x14ac:dyDescent="0.2"/>
  <cols>
    <col min="1" max="1" width="41" style="66" customWidth="1"/>
    <col min="2" max="2" width="19.5703125" style="66" bestFit="1" customWidth="1"/>
    <col min="3" max="3" width="11.85546875" style="66" customWidth="1"/>
    <col min="4" max="4" width="11.5703125" style="66" customWidth="1"/>
    <col min="5" max="5" width="9.42578125" style="66" bestFit="1" customWidth="1"/>
    <col min="6" max="6" width="9.42578125" style="66" customWidth="1"/>
    <col min="7" max="7" width="8.42578125" style="66" bestFit="1" customWidth="1"/>
    <col min="8" max="8" width="10.7109375" style="66" bestFit="1" customWidth="1"/>
    <col min="9" max="9" width="9.140625" style="66"/>
    <col min="10" max="10" width="8.42578125" style="66" bestFit="1" customWidth="1"/>
    <col min="11" max="11" width="8.42578125" style="66" customWidth="1"/>
    <col min="12" max="12" width="6.42578125" style="66" bestFit="1" customWidth="1"/>
    <col min="13" max="13" width="6.28515625" style="66" customWidth="1"/>
    <col min="14" max="14" width="6.5703125" style="66" customWidth="1"/>
    <col min="15" max="15" width="6" style="66" customWidth="1"/>
    <col min="16" max="16" width="7.42578125" style="66" bestFit="1" customWidth="1"/>
    <col min="17" max="17" width="7" style="66" bestFit="1" customWidth="1"/>
    <col min="18" max="18" width="6.5703125" style="66" bestFit="1" customWidth="1"/>
    <col min="19" max="19" width="7.42578125" style="66" bestFit="1" customWidth="1"/>
    <col min="20" max="20" width="9.42578125" style="66" bestFit="1" customWidth="1"/>
    <col min="21" max="21" width="10.42578125" style="66" bestFit="1" customWidth="1"/>
    <col min="22" max="22" width="10" style="66" bestFit="1" customWidth="1"/>
    <col min="23" max="23" width="9.28515625" style="66" bestFit="1" customWidth="1"/>
    <col min="24" max="25" width="10" style="66" customWidth="1"/>
    <col min="26" max="26" width="8.85546875" style="66" customWidth="1"/>
    <col min="27" max="29" width="10.85546875" style="66" customWidth="1"/>
    <col min="30" max="30" width="9.5703125" style="66" customWidth="1"/>
    <col min="31" max="31" width="9.5703125" style="66" bestFit="1" customWidth="1"/>
    <col min="32" max="32" width="10.5703125" style="66" bestFit="1" customWidth="1"/>
    <col min="33" max="33" width="9.5703125" style="66" customWidth="1"/>
    <col min="34" max="34" width="9.5703125" style="66" bestFit="1" customWidth="1"/>
    <col min="35" max="35" width="10.5703125" style="66" bestFit="1" customWidth="1"/>
    <col min="36" max="36" width="9" style="66" bestFit="1" customWidth="1"/>
    <col min="37" max="37" width="8.85546875" style="66" customWidth="1"/>
    <col min="38" max="39" width="9.140625" style="66"/>
    <col min="40" max="40" width="9.5703125" style="66" bestFit="1" customWidth="1"/>
    <col min="41" max="255" width="9.140625" style="66"/>
    <col min="256" max="256" width="41" style="66" customWidth="1"/>
    <col min="257" max="257" width="19.5703125" style="66" bestFit="1" customWidth="1"/>
    <col min="258" max="258" width="10.140625" style="66" customWidth="1"/>
    <col min="259" max="259" width="10.42578125" style="66" bestFit="1" customWidth="1"/>
    <col min="260" max="260" width="11.28515625" style="66" customWidth="1"/>
    <col min="261" max="261" width="9.42578125" style="66" customWidth="1"/>
    <col min="262" max="262" width="10.140625" style="66" bestFit="1" customWidth="1"/>
    <col min="263" max="264" width="9.140625" style="66"/>
    <col min="265" max="265" width="7.28515625" style="66" customWidth="1"/>
    <col min="266" max="271" width="7.42578125" style="66" customWidth="1"/>
    <col min="272" max="272" width="9.42578125" style="66" bestFit="1" customWidth="1"/>
    <col min="273" max="273" width="12" style="66" bestFit="1" customWidth="1"/>
    <col min="274" max="275" width="12" style="66" customWidth="1"/>
    <col min="276" max="276" width="13.140625" style="66" bestFit="1" customWidth="1"/>
    <col min="277" max="278" width="13.140625" style="66" customWidth="1"/>
    <col min="279" max="280" width="14.42578125" style="66" bestFit="1" customWidth="1"/>
    <col min="281" max="282" width="9.140625" style="66" customWidth="1"/>
    <col min="283" max="283" width="9.5703125" style="66" customWidth="1"/>
    <col min="284" max="285" width="9.5703125" style="66" bestFit="1" customWidth="1"/>
    <col min="286" max="287" width="10.140625" style="66" bestFit="1" customWidth="1"/>
    <col min="288" max="288" width="9.5703125" style="66" bestFit="1" customWidth="1"/>
    <col min="289" max="289" width="9.5703125" style="66" customWidth="1"/>
    <col min="290" max="290" width="9" style="66" customWidth="1"/>
    <col min="291" max="291" width="10.5703125" style="66" bestFit="1" customWidth="1"/>
    <col min="292" max="292" width="11.42578125" style="66" bestFit="1" customWidth="1"/>
    <col min="293" max="293" width="18" style="66" bestFit="1" customWidth="1"/>
    <col min="294" max="511" width="9.140625" style="66"/>
    <col min="512" max="512" width="41" style="66" customWidth="1"/>
    <col min="513" max="513" width="19.5703125" style="66" bestFit="1" customWidth="1"/>
    <col min="514" max="514" width="10.140625" style="66" customWidth="1"/>
    <col min="515" max="515" width="10.42578125" style="66" bestFit="1" customWidth="1"/>
    <col min="516" max="516" width="11.28515625" style="66" customWidth="1"/>
    <col min="517" max="517" width="9.42578125" style="66" customWidth="1"/>
    <col min="518" max="518" width="10.140625" style="66" bestFit="1" customWidth="1"/>
    <col min="519" max="520" width="9.140625" style="66"/>
    <col min="521" max="521" width="7.28515625" style="66" customWidth="1"/>
    <col min="522" max="527" width="7.42578125" style="66" customWidth="1"/>
    <col min="528" max="528" width="9.42578125" style="66" bestFit="1" customWidth="1"/>
    <col min="529" max="529" width="12" style="66" bestFit="1" customWidth="1"/>
    <col min="530" max="531" width="12" style="66" customWidth="1"/>
    <col min="532" max="532" width="13.140625" style="66" bestFit="1" customWidth="1"/>
    <col min="533" max="534" width="13.140625" style="66" customWidth="1"/>
    <col min="535" max="536" width="14.42578125" style="66" bestFit="1" customWidth="1"/>
    <col min="537" max="538" width="9.140625" style="66" customWidth="1"/>
    <col min="539" max="539" width="9.5703125" style="66" customWidth="1"/>
    <col min="540" max="541" width="9.5703125" style="66" bestFit="1" customWidth="1"/>
    <col min="542" max="543" width="10.140625" style="66" bestFit="1" customWidth="1"/>
    <col min="544" max="544" width="9.5703125" style="66" bestFit="1" customWidth="1"/>
    <col min="545" max="545" width="9.5703125" style="66" customWidth="1"/>
    <col min="546" max="546" width="9" style="66" customWidth="1"/>
    <col min="547" max="547" width="10.5703125" style="66" bestFit="1" customWidth="1"/>
    <col min="548" max="548" width="11.42578125" style="66" bestFit="1" customWidth="1"/>
    <col min="549" max="549" width="18" style="66" bestFit="1" customWidth="1"/>
    <col min="550" max="767" width="9.140625" style="66"/>
    <col min="768" max="768" width="41" style="66" customWidth="1"/>
    <col min="769" max="769" width="19.5703125" style="66" bestFit="1" customWidth="1"/>
    <col min="770" max="770" width="10.140625" style="66" customWidth="1"/>
    <col min="771" max="771" width="10.42578125" style="66" bestFit="1" customWidth="1"/>
    <col min="772" max="772" width="11.28515625" style="66" customWidth="1"/>
    <col min="773" max="773" width="9.42578125" style="66" customWidth="1"/>
    <col min="774" max="774" width="10.140625" style="66" bestFit="1" customWidth="1"/>
    <col min="775" max="776" width="9.140625" style="66"/>
    <col min="777" max="777" width="7.28515625" style="66" customWidth="1"/>
    <col min="778" max="783" width="7.42578125" style="66" customWidth="1"/>
    <col min="784" max="784" width="9.42578125" style="66" bestFit="1" customWidth="1"/>
    <col min="785" max="785" width="12" style="66" bestFit="1" customWidth="1"/>
    <col min="786" max="787" width="12" style="66" customWidth="1"/>
    <col min="788" max="788" width="13.140625" style="66" bestFit="1" customWidth="1"/>
    <col min="789" max="790" width="13.140625" style="66" customWidth="1"/>
    <col min="791" max="792" width="14.42578125" style="66" bestFit="1" customWidth="1"/>
    <col min="793" max="794" width="9.140625" style="66" customWidth="1"/>
    <col min="795" max="795" width="9.5703125" style="66" customWidth="1"/>
    <col min="796" max="797" width="9.5703125" style="66" bestFit="1" customWidth="1"/>
    <col min="798" max="799" width="10.140625" style="66" bestFit="1" customWidth="1"/>
    <col min="800" max="800" width="9.5703125" style="66" bestFit="1" customWidth="1"/>
    <col min="801" max="801" width="9.5703125" style="66" customWidth="1"/>
    <col min="802" max="802" width="9" style="66" customWidth="1"/>
    <col min="803" max="803" width="10.5703125" style="66" bestFit="1" customWidth="1"/>
    <col min="804" max="804" width="11.42578125" style="66" bestFit="1" customWidth="1"/>
    <col min="805" max="805" width="18" style="66" bestFit="1" customWidth="1"/>
    <col min="806" max="1023" width="9.140625" style="66"/>
    <col min="1024" max="1024" width="41" style="66" customWidth="1"/>
    <col min="1025" max="1025" width="19.5703125" style="66" bestFit="1" customWidth="1"/>
    <col min="1026" max="1026" width="10.140625" style="66" customWidth="1"/>
    <col min="1027" max="1027" width="10.42578125" style="66" bestFit="1" customWidth="1"/>
    <col min="1028" max="1028" width="11.28515625" style="66" customWidth="1"/>
    <col min="1029" max="1029" width="9.42578125" style="66" customWidth="1"/>
    <col min="1030" max="1030" width="10.140625" style="66" bestFit="1" customWidth="1"/>
    <col min="1031" max="1032" width="9.140625" style="66"/>
    <col min="1033" max="1033" width="7.28515625" style="66" customWidth="1"/>
    <col min="1034" max="1039" width="7.42578125" style="66" customWidth="1"/>
    <col min="1040" max="1040" width="9.42578125" style="66" bestFit="1" customWidth="1"/>
    <col min="1041" max="1041" width="12" style="66" bestFit="1" customWidth="1"/>
    <col min="1042" max="1043" width="12" style="66" customWidth="1"/>
    <col min="1044" max="1044" width="13.140625" style="66" bestFit="1" customWidth="1"/>
    <col min="1045" max="1046" width="13.140625" style="66" customWidth="1"/>
    <col min="1047" max="1048" width="14.42578125" style="66" bestFit="1" customWidth="1"/>
    <col min="1049" max="1050" width="9.140625" style="66" customWidth="1"/>
    <col min="1051" max="1051" width="9.5703125" style="66" customWidth="1"/>
    <col min="1052" max="1053" width="9.5703125" style="66" bestFit="1" customWidth="1"/>
    <col min="1054" max="1055" width="10.140625" style="66" bestFit="1" customWidth="1"/>
    <col min="1056" max="1056" width="9.5703125" style="66" bestFit="1" customWidth="1"/>
    <col min="1057" max="1057" width="9.5703125" style="66" customWidth="1"/>
    <col min="1058" max="1058" width="9" style="66" customWidth="1"/>
    <col min="1059" max="1059" width="10.5703125" style="66" bestFit="1" customWidth="1"/>
    <col min="1060" max="1060" width="11.42578125" style="66" bestFit="1" customWidth="1"/>
    <col min="1061" max="1061" width="18" style="66" bestFit="1" customWidth="1"/>
    <col min="1062" max="1279" width="9.140625" style="66"/>
    <col min="1280" max="1280" width="41" style="66" customWidth="1"/>
    <col min="1281" max="1281" width="19.5703125" style="66" bestFit="1" customWidth="1"/>
    <col min="1282" max="1282" width="10.140625" style="66" customWidth="1"/>
    <col min="1283" max="1283" width="10.42578125" style="66" bestFit="1" customWidth="1"/>
    <col min="1284" max="1284" width="11.28515625" style="66" customWidth="1"/>
    <col min="1285" max="1285" width="9.42578125" style="66" customWidth="1"/>
    <col min="1286" max="1286" width="10.140625" style="66" bestFit="1" customWidth="1"/>
    <col min="1287" max="1288" width="9.140625" style="66"/>
    <col min="1289" max="1289" width="7.28515625" style="66" customWidth="1"/>
    <col min="1290" max="1295" width="7.42578125" style="66" customWidth="1"/>
    <col min="1296" max="1296" width="9.42578125" style="66" bestFit="1" customWidth="1"/>
    <col min="1297" max="1297" width="12" style="66" bestFit="1" customWidth="1"/>
    <col min="1298" max="1299" width="12" style="66" customWidth="1"/>
    <col min="1300" max="1300" width="13.140625" style="66" bestFit="1" customWidth="1"/>
    <col min="1301" max="1302" width="13.140625" style="66" customWidth="1"/>
    <col min="1303" max="1304" width="14.42578125" style="66" bestFit="1" customWidth="1"/>
    <col min="1305" max="1306" width="9.140625" style="66" customWidth="1"/>
    <col min="1307" max="1307" width="9.5703125" style="66" customWidth="1"/>
    <col min="1308" max="1309" width="9.5703125" style="66" bestFit="1" customWidth="1"/>
    <col min="1310" max="1311" width="10.140625" style="66" bestFit="1" customWidth="1"/>
    <col min="1312" max="1312" width="9.5703125" style="66" bestFit="1" customWidth="1"/>
    <col min="1313" max="1313" width="9.5703125" style="66" customWidth="1"/>
    <col min="1314" max="1314" width="9" style="66" customWidth="1"/>
    <col min="1315" max="1315" width="10.5703125" style="66" bestFit="1" customWidth="1"/>
    <col min="1316" max="1316" width="11.42578125" style="66" bestFit="1" customWidth="1"/>
    <col min="1317" max="1317" width="18" style="66" bestFit="1" customWidth="1"/>
    <col min="1318" max="1535" width="9.140625" style="66"/>
    <col min="1536" max="1536" width="41" style="66" customWidth="1"/>
    <col min="1537" max="1537" width="19.5703125" style="66" bestFit="1" customWidth="1"/>
    <col min="1538" max="1538" width="10.140625" style="66" customWidth="1"/>
    <col min="1539" max="1539" width="10.42578125" style="66" bestFit="1" customWidth="1"/>
    <col min="1540" max="1540" width="11.28515625" style="66" customWidth="1"/>
    <col min="1541" max="1541" width="9.42578125" style="66" customWidth="1"/>
    <col min="1542" max="1542" width="10.140625" style="66" bestFit="1" customWidth="1"/>
    <col min="1543" max="1544" width="9.140625" style="66"/>
    <col min="1545" max="1545" width="7.28515625" style="66" customWidth="1"/>
    <col min="1546" max="1551" width="7.42578125" style="66" customWidth="1"/>
    <col min="1552" max="1552" width="9.42578125" style="66" bestFit="1" customWidth="1"/>
    <col min="1553" max="1553" width="12" style="66" bestFit="1" customWidth="1"/>
    <col min="1554" max="1555" width="12" style="66" customWidth="1"/>
    <col min="1556" max="1556" width="13.140625" style="66" bestFit="1" customWidth="1"/>
    <col min="1557" max="1558" width="13.140625" style="66" customWidth="1"/>
    <col min="1559" max="1560" width="14.42578125" style="66" bestFit="1" customWidth="1"/>
    <col min="1561" max="1562" width="9.140625" style="66" customWidth="1"/>
    <col min="1563" max="1563" width="9.5703125" style="66" customWidth="1"/>
    <col min="1564" max="1565" width="9.5703125" style="66" bestFit="1" customWidth="1"/>
    <col min="1566" max="1567" width="10.140625" style="66" bestFit="1" customWidth="1"/>
    <col min="1568" max="1568" width="9.5703125" style="66" bestFit="1" customWidth="1"/>
    <col min="1569" max="1569" width="9.5703125" style="66" customWidth="1"/>
    <col min="1570" max="1570" width="9" style="66" customWidth="1"/>
    <col min="1571" max="1571" width="10.5703125" style="66" bestFit="1" customWidth="1"/>
    <col min="1572" max="1572" width="11.42578125" style="66" bestFit="1" customWidth="1"/>
    <col min="1573" max="1573" width="18" style="66" bestFit="1" customWidth="1"/>
    <col min="1574" max="1791" width="9.140625" style="66"/>
    <col min="1792" max="1792" width="41" style="66" customWidth="1"/>
    <col min="1793" max="1793" width="19.5703125" style="66" bestFit="1" customWidth="1"/>
    <col min="1794" max="1794" width="10.140625" style="66" customWidth="1"/>
    <col min="1795" max="1795" width="10.42578125" style="66" bestFit="1" customWidth="1"/>
    <col min="1796" max="1796" width="11.28515625" style="66" customWidth="1"/>
    <col min="1797" max="1797" width="9.42578125" style="66" customWidth="1"/>
    <col min="1798" max="1798" width="10.140625" style="66" bestFit="1" customWidth="1"/>
    <col min="1799" max="1800" width="9.140625" style="66"/>
    <col min="1801" max="1801" width="7.28515625" style="66" customWidth="1"/>
    <col min="1802" max="1807" width="7.42578125" style="66" customWidth="1"/>
    <col min="1808" max="1808" width="9.42578125" style="66" bestFit="1" customWidth="1"/>
    <col min="1809" max="1809" width="12" style="66" bestFit="1" customWidth="1"/>
    <col min="1810" max="1811" width="12" style="66" customWidth="1"/>
    <col min="1812" max="1812" width="13.140625" style="66" bestFit="1" customWidth="1"/>
    <col min="1813" max="1814" width="13.140625" style="66" customWidth="1"/>
    <col min="1815" max="1816" width="14.42578125" style="66" bestFit="1" customWidth="1"/>
    <col min="1817" max="1818" width="9.140625" style="66" customWidth="1"/>
    <col min="1819" max="1819" width="9.5703125" style="66" customWidth="1"/>
    <col min="1820" max="1821" width="9.5703125" style="66" bestFit="1" customWidth="1"/>
    <col min="1822" max="1823" width="10.140625" style="66" bestFit="1" customWidth="1"/>
    <col min="1824" max="1824" width="9.5703125" style="66" bestFit="1" customWidth="1"/>
    <col min="1825" max="1825" width="9.5703125" style="66" customWidth="1"/>
    <col min="1826" max="1826" width="9" style="66" customWidth="1"/>
    <col min="1827" max="1827" width="10.5703125" style="66" bestFit="1" customWidth="1"/>
    <col min="1828" max="1828" width="11.42578125" style="66" bestFit="1" customWidth="1"/>
    <col min="1829" max="1829" width="18" style="66" bestFit="1" customWidth="1"/>
    <col min="1830" max="2047" width="9.140625" style="66"/>
    <col min="2048" max="2048" width="41" style="66" customWidth="1"/>
    <col min="2049" max="2049" width="19.5703125" style="66" bestFit="1" customWidth="1"/>
    <col min="2050" max="2050" width="10.140625" style="66" customWidth="1"/>
    <col min="2051" max="2051" width="10.42578125" style="66" bestFit="1" customWidth="1"/>
    <col min="2052" max="2052" width="11.28515625" style="66" customWidth="1"/>
    <col min="2053" max="2053" width="9.42578125" style="66" customWidth="1"/>
    <col min="2054" max="2054" width="10.140625" style="66" bestFit="1" customWidth="1"/>
    <col min="2055" max="2056" width="9.140625" style="66"/>
    <col min="2057" max="2057" width="7.28515625" style="66" customWidth="1"/>
    <col min="2058" max="2063" width="7.42578125" style="66" customWidth="1"/>
    <col min="2064" max="2064" width="9.42578125" style="66" bestFit="1" customWidth="1"/>
    <col min="2065" max="2065" width="12" style="66" bestFit="1" customWidth="1"/>
    <col min="2066" max="2067" width="12" style="66" customWidth="1"/>
    <col min="2068" max="2068" width="13.140625" style="66" bestFit="1" customWidth="1"/>
    <col min="2069" max="2070" width="13.140625" style="66" customWidth="1"/>
    <col min="2071" max="2072" width="14.42578125" style="66" bestFit="1" customWidth="1"/>
    <col min="2073" max="2074" width="9.140625" style="66" customWidth="1"/>
    <col min="2075" max="2075" width="9.5703125" style="66" customWidth="1"/>
    <col min="2076" max="2077" width="9.5703125" style="66" bestFit="1" customWidth="1"/>
    <col min="2078" max="2079" width="10.140625" style="66" bestFit="1" customWidth="1"/>
    <col min="2080" max="2080" width="9.5703125" style="66" bestFit="1" customWidth="1"/>
    <col min="2081" max="2081" width="9.5703125" style="66" customWidth="1"/>
    <col min="2082" max="2082" width="9" style="66" customWidth="1"/>
    <col min="2083" max="2083" width="10.5703125" style="66" bestFit="1" customWidth="1"/>
    <col min="2084" max="2084" width="11.42578125" style="66" bestFit="1" customWidth="1"/>
    <col min="2085" max="2085" width="18" style="66" bestFit="1" customWidth="1"/>
    <col min="2086" max="2303" width="9.140625" style="66"/>
    <col min="2304" max="2304" width="41" style="66" customWidth="1"/>
    <col min="2305" max="2305" width="19.5703125" style="66" bestFit="1" customWidth="1"/>
    <col min="2306" max="2306" width="10.140625" style="66" customWidth="1"/>
    <col min="2307" max="2307" width="10.42578125" style="66" bestFit="1" customWidth="1"/>
    <col min="2308" max="2308" width="11.28515625" style="66" customWidth="1"/>
    <col min="2309" max="2309" width="9.42578125" style="66" customWidth="1"/>
    <col min="2310" max="2310" width="10.140625" style="66" bestFit="1" customWidth="1"/>
    <col min="2311" max="2312" width="9.140625" style="66"/>
    <col min="2313" max="2313" width="7.28515625" style="66" customWidth="1"/>
    <col min="2314" max="2319" width="7.42578125" style="66" customWidth="1"/>
    <col min="2320" max="2320" width="9.42578125" style="66" bestFit="1" customWidth="1"/>
    <col min="2321" max="2321" width="12" style="66" bestFit="1" customWidth="1"/>
    <col min="2322" max="2323" width="12" style="66" customWidth="1"/>
    <col min="2324" max="2324" width="13.140625" style="66" bestFit="1" customWidth="1"/>
    <col min="2325" max="2326" width="13.140625" style="66" customWidth="1"/>
    <col min="2327" max="2328" width="14.42578125" style="66" bestFit="1" customWidth="1"/>
    <col min="2329" max="2330" width="9.140625" style="66" customWidth="1"/>
    <col min="2331" max="2331" width="9.5703125" style="66" customWidth="1"/>
    <col min="2332" max="2333" width="9.5703125" style="66" bestFit="1" customWidth="1"/>
    <col min="2334" max="2335" width="10.140625" style="66" bestFit="1" customWidth="1"/>
    <col min="2336" max="2336" width="9.5703125" style="66" bestFit="1" customWidth="1"/>
    <col min="2337" max="2337" width="9.5703125" style="66" customWidth="1"/>
    <col min="2338" max="2338" width="9" style="66" customWidth="1"/>
    <col min="2339" max="2339" width="10.5703125" style="66" bestFit="1" customWidth="1"/>
    <col min="2340" max="2340" width="11.42578125" style="66" bestFit="1" customWidth="1"/>
    <col min="2341" max="2341" width="18" style="66" bestFit="1" customWidth="1"/>
    <col min="2342" max="2559" width="9.140625" style="66"/>
    <col min="2560" max="2560" width="41" style="66" customWidth="1"/>
    <col min="2561" max="2561" width="19.5703125" style="66" bestFit="1" customWidth="1"/>
    <col min="2562" max="2562" width="10.140625" style="66" customWidth="1"/>
    <col min="2563" max="2563" width="10.42578125" style="66" bestFit="1" customWidth="1"/>
    <col min="2564" max="2564" width="11.28515625" style="66" customWidth="1"/>
    <col min="2565" max="2565" width="9.42578125" style="66" customWidth="1"/>
    <col min="2566" max="2566" width="10.140625" style="66" bestFit="1" customWidth="1"/>
    <col min="2567" max="2568" width="9.140625" style="66"/>
    <col min="2569" max="2569" width="7.28515625" style="66" customWidth="1"/>
    <col min="2570" max="2575" width="7.42578125" style="66" customWidth="1"/>
    <col min="2576" max="2576" width="9.42578125" style="66" bestFit="1" customWidth="1"/>
    <col min="2577" max="2577" width="12" style="66" bestFit="1" customWidth="1"/>
    <col min="2578" max="2579" width="12" style="66" customWidth="1"/>
    <col min="2580" max="2580" width="13.140625" style="66" bestFit="1" customWidth="1"/>
    <col min="2581" max="2582" width="13.140625" style="66" customWidth="1"/>
    <col min="2583" max="2584" width="14.42578125" style="66" bestFit="1" customWidth="1"/>
    <col min="2585" max="2586" width="9.140625" style="66" customWidth="1"/>
    <col min="2587" max="2587" width="9.5703125" style="66" customWidth="1"/>
    <col min="2588" max="2589" width="9.5703125" style="66" bestFit="1" customWidth="1"/>
    <col min="2590" max="2591" width="10.140625" style="66" bestFit="1" customWidth="1"/>
    <col min="2592" max="2592" width="9.5703125" style="66" bestFit="1" customWidth="1"/>
    <col min="2593" max="2593" width="9.5703125" style="66" customWidth="1"/>
    <col min="2594" max="2594" width="9" style="66" customWidth="1"/>
    <col min="2595" max="2595" width="10.5703125" style="66" bestFit="1" customWidth="1"/>
    <col min="2596" max="2596" width="11.42578125" style="66" bestFit="1" customWidth="1"/>
    <col min="2597" max="2597" width="18" style="66" bestFit="1" customWidth="1"/>
    <col min="2598" max="2815" width="9.140625" style="66"/>
    <col min="2816" max="2816" width="41" style="66" customWidth="1"/>
    <col min="2817" max="2817" width="19.5703125" style="66" bestFit="1" customWidth="1"/>
    <col min="2818" max="2818" width="10.140625" style="66" customWidth="1"/>
    <col min="2819" max="2819" width="10.42578125" style="66" bestFit="1" customWidth="1"/>
    <col min="2820" max="2820" width="11.28515625" style="66" customWidth="1"/>
    <col min="2821" max="2821" width="9.42578125" style="66" customWidth="1"/>
    <col min="2822" max="2822" width="10.140625" style="66" bestFit="1" customWidth="1"/>
    <col min="2823" max="2824" width="9.140625" style="66"/>
    <col min="2825" max="2825" width="7.28515625" style="66" customWidth="1"/>
    <col min="2826" max="2831" width="7.42578125" style="66" customWidth="1"/>
    <col min="2832" max="2832" width="9.42578125" style="66" bestFit="1" customWidth="1"/>
    <col min="2833" max="2833" width="12" style="66" bestFit="1" customWidth="1"/>
    <col min="2834" max="2835" width="12" style="66" customWidth="1"/>
    <col min="2836" max="2836" width="13.140625" style="66" bestFit="1" customWidth="1"/>
    <col min="2837" max="2838" width="13.140625" style="66" customWidth="1"/>
    <col min="2839" max="2840" width="14.42578125" style="66" bestFit="1" customWidth="1"/>
    <col min="2841" max="2842" width="9.140625" style="66" customWidth="1"/>
    <col min="2843" max="2843" width="9.5703125" style="66" customWidth="1"/>
    <col min="2844" max="2845" width="9.5703125" style="66" bestFit="1" customWidth="1"/>
    <col min="2846" max="2847" width="10.140625" style="66" bestFit="1" customWidth="1"/>
    <col min="2848" max="2848" width="9.5703125" style="66" bestFit="1" customWidth="1"/>
    <col min="2849" max="2849" width="9.5703125" style="66" customWidth="1"/>
    <col min="2850" max="2850" width="9" style="66" customWidth="1"/>
    <col min="2851" max="2851" width="10.5703125" style="66" bestFit="1" customWidth="1"/>
    <col min="2852" max="2852" width="11.42578125" style="66" bestFit="1" customWidth="1"/>
    <col min="2853" max="2853" width="18" style="66" bestFit="1" customWidth="1"/>
    <col min="2854" max="3071" width="9.140625" style="66"/>
    <col min="3072" max="3072" width="41" style="66" customWidth="1"/>
    <col min="3073" max="3073" width="19.5703125" style="66" bestFit="1" customWidth="1"/>
    <col min="3074" max="3074" width="10.140625" style="66" customWidth="1"/>
    <col min="3075" max="3075" width="10.42578125" style="66" bestFit="1" customWidth="1"/>
    <col min="3076" max="3076" width="11.28515625" style="66" customWidth="1"/>
    <col min="3077" max="3077" width="9.42578125" style="66" customWidth="1"/>
    <col min="3078" max="3078" width="10.140625" style="66" bestFit="1" customWidth="1"/>
    <col min="3079" max="3080" width="9.140625" style="66"/>
    <col min="3081" max="3081" width="7.28515625" style="66" customWidth="1"/>
    <col min="3082" max="3087" width="7.42578125" style="66" customWidth="1"/>
    <col min="3088" max="3088" width="9.42578125" style="66" bestFit="1" customWidth="1"/>
    <col min="3089" max="3089" width="12" style="66" bestFit="1" customWidth="1"/>
    <col min="3090" max="3091" width="12" style="66" customWidth="1"/>
    <col min="3092" max="3092" width="13.140625" style="66" bestFit="1" customWidth="1"/>
    <col min="3093" max="3094" width="13.140625" style="66" customWidth="1"/>
    <col min="3095" max="3096" width="14.42578125" style="66" bestFit="1" customWidth="1"/>
    <col min="3097" max="3098" width="9.140625" style="66" customWidth="1"/>
    <col min="3099" max="3099" width="9.5703125" style="66" customWidth="1"/>
    <col min="3100" max="3101" width="9.5703125" style="66" bestFit="1" customWidth="1"/>
    <col min="3102" max="3103" width="10.140625" style="66" bestFit="1" customWidth="1"/>
    <col min="3104" max="3104" width="9.5703125" style="66" bestFit="1" customWidth="1"/>
    <col min="3105" max="3105" width="9.5703125" style="66" customWidth="1"/>
    <col min="3106" max="3106" width="9" style="66" customWidth="1"/>
    <col min="3107" max="3107" width="10.5703125" style="66" bestFit="1" customWidth="1"/>
    <col min="3108" max="3108" width="11.42578125" style="66" bestFit="1" customWidth="1"/>
    <col min="3109" max="3109" width="18" style="66" bestFit="1" customWidth="1"/>
    <col min="3110" max="3327" width="9.140625" style="66"/>
    <col min="3328" max="3328" width="41" style="66" customWidth="1"/>
    <col min="3329" max="3329" width="19.5703125" style="66" bestFit="1" customWidth="1"/>
    <col min="3330" max="3330" width="10.140625" style="66" customWidth="1"/>
    <col min="3331" max="3331" width="10.42578125" style="66" bestFit="1" customWidth="1"/>
    <col min="3332" max="3332" width="11.28515625" style="66" customWidth="1"/>
    <col min="3333" max="3333" width="9.42578125" style="66" customWidth="1"/>
    <col min="3334" max="3334" width="10.140625" style="66" bestFit="1" customWidth="1"/>
    <col min="3335" max="3336" width="9.140625" style="66"/>
    <col min="3337" max="3337" width="7.28515625" style="66" customWidth="1"/>
    <col min="3338" max="3343" width="7.42578125" style="66" customWidth="1"/>
    <col min="3344" max="3344" width="9.42578125" style="66" bestFit="1" customWidth="1"/>
    <col min="3345" max="3345" width="12" style="66" bestFit="1" customWidth="1"/>
    <col min="3346" max="3347" width="12" style="66" customWidth="1"/>
    <col min="3348" max="3348" width="13.140625" style="66" bestFit="1" customWidth="1"/>
    <col min="3349" max="3350" width="13.140625" style="66" customWidth="1"/>
    <col min="3351" max="3352" width="14.42578125" style="66" bestFit="1" customWidth="1"/>
    <col min="3353" max="3354" width="9.140625" style="66" customWidth="1"/>
    <col min="3355" max="3355" width="9.5703125" style="66" customWidth="1"/>
    <col min="3356" max="3357" width="9.5703125" style="66" bestFit="1" customWidth="1"/>
    <col min="3358" max="3359" width="10.140625" style="66" bestFit="1" customWidth="1"/>
    <col min="3360" max="3360" width="9.5703125" style="66" bestFit="1" customWidth="1"/>
    <col min="3361" max="3361" width="9.5703125" style="66" customWidth="1"/>
    <col min="3362" max="3362" width="9" style="66" customWidth="1"/>
    <col min="3363" max="3363" width="10.5703125" style="66" bestFit="1" customWidth="1"/>
    <col min="3364" max="3364" width="11.42578125" style="66" bestFit="1" customWidth="1"/>
    <col min="3365" max="3365" width="18" style="66" bestFit="1" customWidth="1"/>
    <col min="3366" max="3583" width="9.140625" style="66"/>
    <col min="3584" max="3584" width="41" style="66" customWidth="1"/>
    <col min="3585" max="3585" width="19.5703125" style="66" bestFit="1" customWidth="1"/>
    <col min="3586" max="3586" width="10.140625" style="66" customWidth="1"/>
    <col min="3587" max="3587" width="10.42578125" style="66" bestFit="1" customWidth="1"/>
    <col min="3588" max="3588" width="11.28515625" style="66" customWidth="1"/>
    <col min="3589" max="3589" width="9.42578125" style="66" customWidth="1"/>
    <col min="3590" max="3590" width="10.140625" style="66" bestFit="1" customWidth="1"/>
    <col min="3591" max="3592" width="9.140625" style="66"/>
    <col min="3593" max="3593" width="7.28515625" style="66" customWidth="1"/>
    <col min="3594" max="3599" width="7.42578125" style="66" customWidth="1"/>
    <col min="3600" max="3600" width="9.42578125" style="66" bestFit="1" customWidth="1"/>
    <col min="3601" max="3601" width="12" style="66" bestFit="1" customWidth="1"/>
    <col min="3602" max="3603" width="12" style="66" customWidth="1"/>
    <col min="3604" max="3604" width="13.140625" style="66" bestFit="1" customWidth="1"/>
    <col min="3605" max="3606" width="13.140625" style="66" customWidth="1"/>
    <col min="3607" max="3608" width="14.42578125" style="66" bestFit="1" customWidth="1"/>
    <col min="3609" max="3610" width="9.140625" style="66" customWidth="1"/>
    <col min="3611" max="3611" width="9.5703125" style="66" customWidth="1"/>
    <col min="3612" max="3613" width="9.5703125" style="66" bestFit="1" customWidth="1"/>
    <col min="3614" max="3615" width="10.140625" style="66" bestFit="1" customWidth="1"/>
    <col min="3616" max="3616" width="9.5703125" style="66" bestFit="1" customWidth="1"/>
    <col min="3617" max="3617" width="9.5703125" style="66" customWidth="1"/>
    <col min="3618" max="3618" width="9" style="66" customWidth="1"/>
    <col min="3619" max="3619" width="10.5703125" style="66" bestFit="1" customWidth="1"/>
    <col min="3620" max="3620" width="11.42578125" style="66" bestFit="1" customWidth="1"/>
    <col min="3621" max="3621" width="18" style="66" bestFit="1" customWidth="1"/>
    <col min="3622" max="3839" width="9.140625" style="66"/>
    <col min="3840" max="3840" width="41" style="66" customWidth="1"/>
    <col min="3841" max="3841" width="19.5703125" style="66" bestFit="1" customWidth="1"/>
    <col min="3842" max="3842" width="10.140625" style="66" customWidth="1"/>
    <col min="3843" max="3843" width="10.42578125" style="66" bestFit="1" customWidth="1"/>
    <col min="3844" max="3844" width="11.28515625" style="66" customWidth="1"/>
    <col min="3845" max="3845" width="9.42578125" style="66" customWidth="1"/>
    <col min="3846" max="3846" width="10.140625" style="66" bestFit="1" customWidth="1"/>
    <col min="3847" max="3848" width="9.140625" style="66"/>
    <col min="3849" max="3849" width="7.28515625" style="66" customWidth="1"/>
    <col min="3850" max="3855" width="7.42578125" style="66" customWidth="1"/>
    <col min="3856" max="3856" width="9.42578125" style="66" bestFit="1" customWidth="1"/>
    <col min="3857" max="3857" width="12" style="66" bestFit="1" customWidth="1"/>
    <col min="3858" max="3859" width="12" style="66" customWidth="1"/>
    <col min="3860" max="3860" width="13.140625" style="66" bestFit="1" customWidth="1"/>
    <col min="3861" max="3862" width="13.140625" style="66" customWidth="1"/>
    <col min="3863" max="3864" width="14.42578125" style="66" bestFit="1" customWidth="1"/>
    <col min="3865" max="3866" width="9.140625" style="66" customWidth="1"/>
    <col min="3867" max="3867" width="9.5703125" style="66" customWidth="1"/>
    <col min="3868" max="3869" width="9.5703125" style="66" bestFit="1" customWidth="1"/>
    <col min="3870" max="3871" width="10.140625" style="66" bestFit="1" customWidth="1"/>
    <col min="3872" max="3872" width="9.5703125" style="66" bestFit="1" customWidth="1"/>
    <col min="3873" max="3873" width="9.5703125" style="66" customWidth="1"/>
    <col min="3874" max="3874" width="9" style="66" customWidth="1"/>
    <col min="3875" max="3875" width="10.5703125" style="66" bestFit="1" customWidth="1"/>
    <col min="3876" max="3876" width="11.42578125" style="66" bestFit="1" customWidth="1"/>
    <col min="3877" max="3877" width="18" style="66" bestFit="1" customWidth="1"/>
    <col min="3878" max="4095" width="9.140625" style="66"/>
    <col min="4096" max="4096" width="41" style="66" customWidth="1"/>
    <col min="4097" max="4097" width="19.5703125" style="66" bestFit="1" customWidth="1"/>
    <col min="4098" max="4098" width="10.140625" style="66" customWidth="1"/>
    <col min="4099" max="4099" width="10.42578125" style="66" bestFit="1" customWidth="1"/>
    <col min="4100" max="4100" width="11.28515625" style="66" customWidth="1"/>
    <col min="4101" max="4101" width="9.42578125" style="66" customWidth="1"/>
    <col min="4102" max="4102" width="10.140625" style="66" bestFit="1" customWidth="1"/>
    <col min="4103" max="4104" width="9.140625" style="66"/>
    <col min="4105" max="4105" width="7.28515625" style="66" customWidth="1"/>
    <col min="4106" max="4111" width="7.42578125" style="66" customWidth="1"/>
    <col min="4112" max="4112" width="9.42578125" style="66" bestFit="1" customWidth="1"/>
    <col min="4113" max="4113" width="12" style="66" bestFit="1" customWidth="1"/>
    <col min="4114" max="4115" width="12" style="66" customWidth="1"/>
    <col min="4116" max="4116" width="13.140625" style="66" bestFit="1" customWidth="1"/>
    <col min="4117" max="4118" width="13.140625" style="66" customWidth="1"/>
    <col min="4119" max="4120" width="14.42578125" style="66" bestFit="1" customWidth="1"/>
    <col min="4121" max="4122" width="9.140625" style="66" customWidth="1"/>
    <col min="4123" max="4123" width="9.5703125" style="66" customWidth="1"/>
    <col min="4124" max="4125" width="9.5703125" style="66" bestFit="1" customWidth="1"/>
    <col min="4126" max="4127" width="10.140625" style="66" bestFit="1" customWidth="1"/>
    <col min="4128" max="4128" width="9.5703125" style="66" bestFit="1" customWidth="1"/>
    <col min="4129" max="4129" width="9.5703125" style="66" customWidth="1"/>
    <col min="4130" max="4130" width="9" style="66" customWidth="1"/>
    <col min="4131" max="4131" width="10.5703125" style="66" bestFit="1" customWidth="1"/>
    <col min="4132" max="4132" width="11.42578125" style="66" bestFit="1" customWidth="1"/>
    <col min="4133" max="4133" width="18" style="66" bestFit="1" customWidth="1"/>
    <col min="4134" max="4351" width="9.140625" style="66"/>
    <col min="4352" max="4352" width="41" style="66" customWidth="1"/>
    <col min="4353" max="4353" width="19.5703125" style="66" bestFit="1" customWidth="1"/>
    <col min="4354" max="4354" width="10.140625" style="66" customWidth="1"/>
    <col min="4355" max="4355" width="10.42578125" style="66" bestFit="1" customWidth="1"/>
    <col min="4356" max="4356" width="11.28515625" style="66" customWidth="1"/>
    <col min="4357" max="4357" width="9.42578125" style="66" customWidth="1"/>
    <col min="4358" max="4358" width="10.140625" style="66" bestFit="1" customWidth="1"/>
    <col min="4359" max="4360" width="9.140625" style="66"/>
    <col min="4361" max="4361" width="7.28515625" style="66" customWidth="1"/>
    <col min="4362" max="4367" width="7.42578125" style="66" customWidth="1"/>
    <col min="4368" max="4368" width="9.42578125" style="66" bestFit="1" customWidth="1"/>
    <col min="4369" max="4369" width="12" style="66" bestFit="1" customWidth="1"/>
    <col min="4370" max="4371" width="12" style="66" customWidth="1"/>
    <col min="4372" max="4372" width="13.140625" style="66" bestFit="1" customWidth="1"/>
    <col min="4373" max="4374" width="13.140625" style="66" customWidth="1"/>
    <col min="4375" max="4376" width="14.42578125" style="66" bestFit="1" customWidth="1"/>
    <col min="4377" max="4378" width="9.140625" style="66" customWidth="1"/>
    <col min="4379" max="4379" width="9.5703125" style="66" customWidth="1"/>
    <col min="4380" max="4381" width="9.5703125" style="66" bestFit="1" customWidth="1"/>
    <col min="4382" max="4383" width="10.140625" style="66" bestFit="1" customWidth="1"/>
    <col min="4384" max="4384" width="9.5703125" style="66" bestFit="1" customWidth="1"/>
    <col min="4385" max="4385" width="9.5703125" style="66" customWidth="1"/>
    <col min="4386" max="4386" width="9" style="66" customWidth="1"/>
    <col min="4387" max="4387" width="10.5703125" style="66" bestFit="1" customWidth="1"/>
    <col min="4388" max="4388" width="11.42578125" style="66" bestFit="1" customWidth="1"/>
    <col min="4389" max="4389" width="18" style="66" bestFit="1" customWidth="1"/>
    <col min="4390" max="4607" width="9.140625" style="66"/>
    <col min="4608" max="4608" width="41" style="66" customWidth="1"/>
    <col min="4609" max="4609" width="19.5703125" style="66" bestFit="1" customWidth="1"/>
    <col min="4610" max="4610" width="10.140625" style="66" customWidth="1"/>
    <col min="4611" max="4611" width="10.42578125" style="66" bestFit="1" customWidth="1"/>
    <col min="4612" max="4612" width="11.28515625" style="66" customWidth="1"/>
    <col min="4613" max="4613" width="9.42578125" style="66" customWidth="1"/>
    <col min="4614" max="4614" width="10.140625" style="66" bestFit="1" customWidth="1"/>
    <col min="4615" max="4616" width="9.140625" style="66"/>
    <col min="4617" max="4617" width="7.28515625" style="66" customWidth="1"/>
    <col min="4618" max="4623" width="7.42578125" style="66" customWidth="1"/>
    <col min="4624" max="4624" width="9.42578125" style="66" bestFit="1" customWidth="1"/>
    <col min="4625" max="4625" width="12" style="66" bestFit="1" customWidth="1"/>
    <col min="4626" max="4627" width="12" style="66" customWidth="1"/>
    <col min="4628" max="4628" width="13.140625" style="66" bestFit="1" customWidth="1"/>
    <col min="4629" max="4630" width="13.140625" style="66" customWidth="1"/>
    <col min="4631" max="4632" width="14.42578125" style="66" bestFit="1" customWidth="1"/>
    <col min="4633" max="4634" width="9.140625" style="66" customWidth="1"/>
    <col min="4635" max="4635" width="9.5703125" style="66" customWidth="1"/>
    <col min="4636" max="4637" width="9.5703125" style="66" bestFit="1" customWidth="1"/>
    <col min="4638" max="4639" width="10.140625" style="66" bestFit="1" customWidth="1"/>
    <col min="4640" max="4640" width="9.5703125" style="66" bestFit="1" customWidth="1"/>
    <col min="4641" max="4641" width="9.5703125" style="66" customWidth="1"/>
    <col min="4642" max="4642" width="9" style="66" customWidth="1"/>
    <col min="4643" max="4643" width="10.5703125" style="66" bestFit="1" customWidth="1"/>
    <col min="4644" max="4644" width="11.42578125" style="66" bestFit="1" customWidth="1"/>
    <col min="4645" max="4645" width="18" style="66" bestFit="1" customWidth="1"/>
    <col min="4646" max="4863" width="9.140625" style="66"/>
    <col min="4864" max="4864" width="41" style="66" customWidth="1"/>
    <col min="4865" max="4865" width="19.5703125" style="66" bestFit="1" customWidth="1"/>
    <col min="4866" max="4866" width="10.140625" style="66" customWidth="1"/>
    <col min="4867" max="4867" width="10.42578125" style="66" bestFit="1" customWidth="1"/>
    <col min="4868" max="4868" width="11.28515625" style="66" customWidth="1"/>
    <col min="4869" max="4869" width="9.42578125" style="66" customWidth="1"/>
    <col min="4870" max="4870" width="10.140625" style="66" bestFit="1" customWidth="1"/>
    <col min="4871" max="4872" width="9.140625" style="66"/>
    <col min="4873" max="4873" width="7.28515625" style="66" customWidth="1"/>
    <col min="4874" max="4879" width="7.42578125" style="66" customWidth="1"/>
    <col min="4880" max="4880" width="9.42578125" style="66" bestFit="1" customWidth="1"/>
    <col min="4881" max="4881" width="12" style="66" bestFit="1" customWidth="1"/>
    <col min="4882" max="4883" width="12" style="66" customWidth="1"/>
    <col min="4884" max="4884" width="13.140625" style="66" bestFit="1" customWidth="1"/>
    <col min="4885" max="4886" width="13.140625" style="66" customWidth="1"/>
    <col min="4887" max="4888" width="14.42578125" style="66" bestFit="1" customWidth="1"/>
    <col min="4889" max="4890" width="9.140625" style="66" customWidth="1"/>
    <col min="4891" max="4891" width="9.5703125" style="66" customWidth="1"/>
    <col min="4892" max="4893" width="9.5703125" style="66" bestFit="1" customWidth="1"/>
    <col min="4894" max="4895" width="10.140625" style="66" bestFit="1" customWidth="1"/>
    <col min="4896" max="4896" width="9.5703125" style="66" bestFit="1" customWidth="1"/>
    <col min="4897" max="4897" width="9.5703125" style="66" customWidth="1"/>
    <col min="4898" max="4898" width="9" style="66" customWidth="1"/>
    <col min="4899" max="4899" width="10.5703125" style="66" bestFit="1" customWidth="1"/>
    <col min="4900" max="4900" width="11.42578125" style="66" bestFit="1" customWidth="1"/>
    <col min="4901" max="4901" width="18" style="66" bestFit="1" customWidth="1"/>
    <col min="4902" max="5119" width="9.140625" style="66"/>
    <col min="5120" max="5120" width="41" style="66" customWidth="1"/>
    <col min="5121" max="5121" width="19.5703125" style="66" bestFit="1" customWidth="1"/>
    <col min="5122" max="5122" width="10.140625" style="66" customWidth="1"/>
    <col min="5123" max="5123" width="10.42578125" style="66" bestFit="1" customWidth="1"/>
    <col min="5124" max="5124" width="11.28515625" style="66" customWidth="1"/>
    <col min="5125" max="5125" width="9.42578125" style="66" customWidth="1"/>
    <col min="5126" max="5126" width="10.140625" style="66" bestFit="1" customWidth="1"/>
    <col min="5127" max="5128" width="9.140625" style="66"/>
    <col min="5129" max="5129" width="7.28515625" style="66" customWidth="1"/>
    <col min="5130" max="5135" width="7.42578125" style="66" customWidth="1"/>
    <col min="5136" max="5136" width="9.42578125" style="66" bestFit="1" customWidth="1"/>
    <col min="5137" max="5137" width="12" style="66" bestFit="1" customWidth="1"/>
    <col min="5138" max="5139" width="12" style="66" customWidth="1"/>
    <col min="5140" max="5140" width="13.140625" style="66" bestFit="1" customWidth="1"/>
    <col min="5141" max="5142" width="13.140625" style="66" customWidth="1"/>
    <col min="5143" max="5144" width="14.42578125" style="66" bestFit="1" customWidth="1"/>
    <col min="5145" max="5146" width="9.140625" style="66" customWidth="1"/>
    <col min="5147" max="5147" width="9.5703125" style="66" customWidth="1"/>
    <col min="5148" max="5149" width="9.5703125" style="66" bestFit="1" customWidth="1"/>
    <col min="5150" max="5151" width="10.140625" style="66" bestFit="1" customWidth="1"/>
    <col min="5152" max="5152" width="9.5703125" style="66" bestFit="1" customWidth="1"/>
    <col min="5153" max="5153" width="9.5703125" style="66" customWidth="1"/>
    <col min="5154" max="5154" width="9" style="66" customWidth="1"/>
    <col min="5155" max="5155" width="10.5703125" style="66" bestFit="1" customWidth="1"/>
    <col min="5156" max="5156" width="11.42578125" style="66" bestFit="1" customWidth="1"/>
    <col min="5157" max="5157" width="18" style="66" bestFit="1" customWidth="1"/>
    <col min="5158" max="5375" width="9.140625" style="66"/>
    <col min="5376" max="5376" width="41" style="66" customWidth="1"/>
    <col min="5377" max="5377" width="19.5703125" style="66" bestFit="1" customWidth="1"/>
    <col min="5378" max="5378" width="10.140625" style="66" customWidth="1"/>
    <col min="5379" max="5379" width="10.42578125" style="66" bestFit="1" customWidth="1"/>
    <col min="5380" max="5380" width="11.28515625" style="66" customWidth="1"/>
    <col min="5381" max="5381" width="9.42578125" style="66" customWidth="1"/>
    <col min="5382" max="5382" width="10.140625" style="66" bestFit="1" customWidth="1"/>
    <col min="5383" max="5384" width="9.140625" style="66"/>
    <col min="5385" max="5385" width="7.28515625" style="66" customWidth="1"/>
    <col min="5386" max="5391" width="7.42578125" style="66" customWidth="1"/>
    <col min="5392" max="5392" width="9.42578125" style="66" bestFit="1" customWidth="1"/>
    <col min="5393" max="5393" width="12" style="66" bestFit="1" customWidth="1"/>
    <col min="5394" max="5395" width="12" style="66" customWidth="1"/>
    <col min="5396" max="5396" width="13.140625" style="66" bestFit="1" customWidth="1"/>
    <col min="5397" max="5398" width="13.140625" style="66" customWidth="1"/>
    <col min="5399" max="5400" width="14.42578125" style="66" bestFit="1" customWidth="1"/>
    <col min="5401" max="5402" width="9.140625" style="66" customWidth="1"/>
    <col min="5403" max="5403" width="9.5703125" style="66" customWidth="1"/>
    <col min="5404" max="5405" width="9.5703125" style="66" bestFit="1" customWidth="1"/>
    <col min="5406" max="5407" width="10.140625" style="66" bestFit="1" customWidth="1"/>
    <col min="5408" max="5408" width="9.5703125" style="66" bestFit="1" customWidth="1"/>
    <col min="5409" max="5409" width="9.5703125" style="66" customWidth="1"/>
    <col min="5410" max="5410" width="9" style="66" customWidth="1"/>
    <col min="5411" max="5411" width="10.5703125" style="66" bestFit="1" customWidth="1"/>
    <col min="5412" max="5412" width="11.42578125" style="66" bestFit="1" customWidth="1"/>
    <col min="5413" max="5413" width="18" style="66" bestFit="1" customWidth="1"/>
    <col min="5414" max="5631" width="9.140625" style="66"/>
    <col min="5632" max="5632" width="41" style="66" customWidth="1"/>
    <col min="5633" max="5633" width="19.5703125" style="66" bestFit="1" customWidth="1"/>
    <col min="5634" max="5634" width="10.140625" style="66" customWidth="1"/>
    <col min="5635" max="5635" width="10.42578125" style="66" bestFit="1" customWidth="1"/>
    <col min="5636" max="5636" width="11.28515625" style="66" customWidth="1"/>
    <col min="5637" max="5637" width="9.42578125" style="66" customWidth="1"/>
    <col min="5638" max="5638" width="10.140625" style="66" bestFit="1" customWidth="1"/>
    <col min="5639" max="5640" width="9.140625" style="66"/>
    <col min="5641" max="5641" width="7.28515625" style="66" customWidth="1"/>
    <col min="5642" max="5647" width="7.42578125" style="66" customWidth="1"/>
    <col min="5648" max="5648" width="9.42578125" style="66" bestFit="1" customWidth="1"/>
    <col min="5649" max="5649" width="12" style="66" bestFit="1" customWidth="1"/>
    <col min="5650" max="5651" width="12" style="66" customWidth="1"/>
    <col min="5652" max="5652" width="13.140625" style="66" bestFit="1" customWidth="1"/>
    <col min="5653" max="5654" width="13.140625" style="66" customWidth="1"/>
    <col min="5655" max="5656" width="14.42578125" style="66" bestFit="1" customWidth="1"/>
    <col min="5657" max="5658" width="9.140625" style="66" customWidth="1"/>
    <col min="5659" max="5659" width="9.5703125" style="66" customWidth="1"/>
    <col min="5660" max="5661" width="9.5703125" style="66" bestFit="1" customWidth="1"/>
    <col min="5662" max="5663" width="10.140625" style="66" bestFit="1" customWidth="1"/>
    <col min="5664" max="5664" width="9.5703125" style="66" bestFit="1" customWidth="1"/>
    <col min="5665" max="5665" width="9.5703125" style="66" customWidth="1"/>
    <col min="5666" max="5666" width="9" style="66" customWidth="1"/>
    <col min="5667" max="5667" width="10.5703125" style="66" bestFit="1" customWidth="1"/>
    <col min="5668" max="5668" width="11.42578125" style="66" bestFit="1" customWidth="1"/>
    <col min="5669" max="5669" width="18" style="66" bestFit="1" customWidth="1"/>
    <col min="5670" max="5887" width="9.140625" style="66"/>
    <col min="5888" max="5888" width="41" style="66" customWidth="1"/>
    <col min="5889" max="5889" width="19.5703125" style="66" bestFit="1" customWidth="1"/>
    <col min="5890" max="5890" width="10.140625" style="66" customWidth="1"/>
    <col min="5891" max="5891" width="10.42578125" style="66" bestFit="1" customWidth="1"/>
    <col min="5892" max="5892" width="11.28515625" style="66" customWidth="1"/>
    <col min="5893" max="5893" width="9.42578125" style="66" customWidth="1"/>
    <col min="5894" max="5894" width="10.140625" style="66" bestFit="1" customWidth="1"/>
    <col min="5895" max="5896" width="9.140625" style="66"/>
    <col min="5897" max="5897" width="7.28515625" style="66" customWidth="1"/>
    <col min="5898" max="5903" width="7.42578125" style="66" customWidth="1"/>
    <col min="5904" max="5904" width="9.42578125" style="66" bestFit="1" customWidth="1"/>
    <col min="5905" max="5905" width="12" style="66" bestFit="1" customWidth="1"/>
    <col min="5906" max="5907" width="12" style="66" customWidth="1"/>
    <col min="5908" max="5908" width="13.140625" style="66" bestFit="1" customWidth="1"/>
    <col min="5909" max="5910" width="13.140625" style="66" customWidth="1"/>
    <col min="5911" max="5912" width="14.42578125" style="66" bestFit="1" customWidth="1"/>
    <col min="5913" max="5914" width="9.140625" style="66" customWidth="1"/>
    <col min="5915" max="5915" width="9.5703125" style="66" customWidth="1"/>
    <col min="5916" max="5917" width="9.5703125" style="66" bestFit="1" customWidth="1"/>
    <col min="5918" max="5919" width="10.140625" style="66" bestFit="1" customWidth="1"/>
    <col min="5920" max="5920" width="9.5703125" style="66" bestFit="1" customWidth="1"/>
    <col min="5921" max="5921" width="9.5703125" style="66" customWidth="1"/>
    <col min="5922" max="5922" width="9" style="66" customWidth="1"/>
    <col min="5923" max="5923" width="10.5703125" style="66" bestFit="1" customWidth="1"/>
    <col min="5924" max="5924" width="11.42578125" style="66" bestFit="1" customWidth="1"/>
    <col min="5925" max="5925" width="18" style="66" bestFit="1" customWidth="1"/>
    <col min="5926" max="6143" width="9.140625" style="66"/>
    <col min="6144" max="6144" width="41" style="66" customWidth="1"/>
    <col min="6145" max="6145" width="19.5703125" style="66" bestFit="1" customWidth="1"/>
    <col min="6146" max="6146" width="10.140625" style="66" customWidth="1"/>
    <col min="6147" max="6147" width="10.42578125" style="66" bestFit="1" customWidth="1"/>
    <col min="6148" max="6148" width="11.28515625" style="66" customWidth="1"/>
    <col min="6149" max="6149" width="9.42578125" style="66" customWidth="1"/>
    <col min="6150" max="6150" width="10.140625" style="66" bestFit="1" customWidth="1"/>
    <col min="6151" max="6152" width="9.140625" style="66"/>
    <col min="6153" max="6153" width="7.28515625" style="66" customWidth="1"/>
    <col min="6154" max="6159" width="7.42578125" style="66" customWidth="1"/>
    <col min="6160" max="6160" width="9.42578125" style="66" bestFit="1" customWidth="1"/>
    <col min="6161" max="6161" width="12" style="66" bestFit="1" customWidth="1"/>
    <col min="6162" max="6163" width="12" style="66" customWidth="1"/>
    <col min="6164" max="6164" width="13.140625" style="66" bestFit="1" customWidth="1"/>
    <col min="6165" max="6166" width="13.140625" style="66" customWidth="1"/>
    <col min="6167" max="6168" width="14.42578125" style="66" bestFit="1" customWidth="1"/>
    <col min="6169" max="6170" width="9.140625" style="66" customWidth="1"/>
    <col min="6171" max="6171" width="9.5703125" style="66" customWidth="1"/>
    <col min="6172" max="6173" width="9.5703125" style="66" bestFit="1" customWidth="1"/>
    <col min="6174" max="6175" width="10.140625" style="66" bestFit="1" customWidth="1"/>
    <col min="6176" max="6176" width="9.5703125" style="66" bestFit="1" customWidth="1"/>
    <col min="6177" max="6177" width="9.5703125" style="66" customWidth="1"/>
    <col min="6178" max="6178" width="9" style="66" customWidth="1"/>
    <col min="6179" max="6179" width="10.5703125" style="66" bestFit="1" customWidth="1"/>
    <col min="6180" max="6180" width="11.42578125" style="66" bestFit="1" customWidth="1"/>
    <col min="6181" max="6181" width="18" style="66" bestFit="1" customWidth="1"/>
    <col min="6182" max="6399" width="9.140625" style="66"/>
    <col min="6400" max="6400" width="41" style="66" customWidth="1"/>
    <col min="6401" max="6401" width="19.5703125" style="66" bestFit="1" customWidth="1"/>
    <col min="6402" max="6402" width="10.140625" style="66" customWidth="1"/>
    <col min="6403" max="6403" width="10.42578125" style="66" bestFit="1" customWidth="1"/>
    <col min="6404" max="6404" width="11.28515625" style="66" customWidth="1"/>
    <col min="6405" max="6405" width="9.42578125" style="66" customWidth="1"/>
    <col min="6406" max="6406" width="10.140625" style="66" bestFit="1" customWidth="1"/>
    <col min="6407" max="6408" width="9.140625" style="66"/>
    <col min="6409" max="6409" width="7.28515625" style="66" customWidth="1"/>
    <col min="6410" max="6415" width="7.42578125" style="66" customWidth="1"/>
    <col min="6416" max="6416" width="9.42578125" style="66" bestFit="1" customWidth="1"/>
    <col min="6417" max="6417" width="12" style="66" bestFit="1" customWidth="1"/>
    <col min="6418" max="6419" width="12" style="66" customWidth="1"/>
    <col min="6420" max="6420" width="13.140625" style="66" bestFit="1" customWidth="1"/>
    <col min="6421" max="6422" width="13.140625" style="66" customWidth="1"/>
    <col min="6423" max="6424" width="14.42578125" style="66" bestFit="1" customWidth="1"/>
    <col min="6425" max="6426" width="9.140625" style="66" customWidth="1"/>
    <col min="6427" max="6427" width="9.5703125" style="66" customWidth="1"/>
    <col min="6428" max="6429" width="9.5703125" style="66" bestFit="1" customWidth="1"/>
    <col min="6430" max="6431" width="10.140625" style="66" bestFit="1" customWidth="1"/>
    <col min="6432" max="6432" width="9.5703125" style="66" bestFit="1" customWidth="1"/>
    <col min="6433" max="6433" width="9.5703125" style="66" customWidth="1"/>
    <col min="6434" max="6434" width="9" style="66" customWidth="1"/>
    <col min="6435" max="6435" width="10.5703125" style="66" bestFit="1" customWidth="1"/>
    <col min="6436" max="6436" width="11.42578125" style="66" bestFit="1" customWidth="1"/>
    <col min="6437" max="6437" width="18" style="66" bestFit="1" customWidth="1"/>
    <col min="6438" max="6655" width="9.140625" style="66"/>
    <col min="6656" max="6656" width="41" style="66" customWidth="1"/>
    <col min="6657" max="6657" width="19.5703125" style="66" bestFit="1" customWidth="1"/>
    <col min="6658" max="6658" width="10.140625" style="66" customWidth="1"/>
    <col min="6659" max="6659" width="10.42578125" style="66" bestFit="1" customWidth="1"/>
    <col min="6660" max="6660" width="11.28515625" style="66" customWidth="1"/>
    <col min="6661" max="6661" width="9.42578125" style="66" customWidth="1"/>
    <col min="6662" max="6662" width="10.140625" style="66" bestFit="1" customWidth="1"/>
    <col min="6663" max="6664" width="9.140625" style="66"/>
    <col min="6665" max="6665" width="7.28515625" style="66" customWidth="1"/>
    <col min="6666" max="6671" width="7.42578125" style="66" customWidth="1"/>
    <col min="6672" max="6672" width="9.42578125" style="66" bestFit="1" customWidth="1"/>
    <col min="6673" max="6673" width="12" style="66" bestFit="1" customWidth="1"/>
    <col min="6674" max="6675" width="12" style="66" customWidth="1"/>
    <col min="6676" max="6676" width="13.140625" style="66" bestFit="1" customWidth="1"/>
    <col min="6677" max="6678" width="13.140625" style="66" customWidth="1"/>
    <col min="6679" max="6680" width="14.42578125" style="66" bestFit="1" customWidth="1"/>
    <col min="6681" max="6682" width="9.140625" style="66" customWidth="1"/>
    <col min="6683" max="6683" width="9.5703125" style="66" customWidth="1"/>
    <col min="6684" max="6685" width="9.5703125" style="66" bestFit="1" customWidth="1"/>
    <col min="6686" max="6687" width="10.140625" style="66" bestFit="1" customWidth="1"/>
    <col min="6688" max="6688" width="9.5703125" style="66" bestFit="1" customWidth="1"/>
    <col min="6689" max="6689" width="9.5703125" style="66" customWidth="1"/>
    <col min="6690" max="6690" width="9" style="66" customWidth="1"/>
    <col min="6691" max="6691" width="10.5703125" style="66" bestFit="1" customWidth="1"/>
    <col min="6692" max="6692" width="11.42578125" style="66" bestFit="1" customWidth="1"/>
    <col min="6693" max="6693" width="18" style="66" bestFit="1" customWidth="1"/>
    <col min="6694" max="6911" width="9.140625" style="66"/>
    <col min="6912" max="6912" width="41" style="66" customWidth="1"/>
    <col min="6913" max="6913" width="19.5703125" style="66" bestFit="1" customWidth="1"/>
    <col min="6914" max="6914" width="10.140625" style="66" customWidth="1"/>
    <col min="6915" max="6915" width="10.42578125" style="66" bestFit="1" customWidth="1"/>
    <col min="6916" max="6916" width="11.28515625" style="66" customWidth="1"/>
    <col min="6917" max="6917" width="9.42578125" style="66" customWidth="1"/>
    <col min="6918" max="6918" width="10.140625" style="66" bestFit="1" customWidth="1"/>
    <col min="6919" max="6920" width="9.140625" style="66"/>
    <col min="6921" max="6921" width="7.28515625" style="66" customWidth="1"/>
    <col min="6922" max="6927" width="7.42578125" style="66" customWidth="1"/>
    <col min="6928" max="6928" width="9.42578125" style="66" bestFit="1" customWidth="1"/>
    <col min="6929" max="6929" width="12" style="66" bestFit="1" customWidth="1"/>
    <col min="6930" max="6931" width="12" style="66" customWidth="1"/>
    <col min="6932" max="6932" width="13.140625" style="66" bestFit="1" customWidth="1"/>
    <col min="6933" max="6934" width="13.140625" style="66" customWidth="1"/>
    <col min="6935" max="6936" width="14.42578125" style="66" bestFit="1" customWidth="1"/>
    <col min="6937" max="6938" width="9.140625" style="66" customWidth="1"/>
    <col min="6939" max="6939" width="9.5703125" style="66" customWidth="1"/>
    <col min="6940" max="6941" width="9.5703125" style="66" bestFit="1" customWidth="1"/>
    <col min="6942" max="6943" width="10.140625" style="66" bestFit="1" customWidth="1"/>
    <col min="6944" max="6944" width="9.5703125" style="66" bestFit="1" customWidth="1"/>
    <col min="6945" max="6945" width="9.5703125" style="66" customWidth="1"/>
    <col min="6946" max="6946" width="9" style="66" customWidth="1"/>
    <col min="6947" max="6947" width="10.5703125" style="66" bestFit="1" customWidth="1"/>
    <col min="6948" max="6948" width="11.42578125" style="66" bestFit="1" customWidth="1"/>
    <col min="6949" max="6949" width="18" style="66" bestFit="1" customWidth="1"/>
    <col min="6950" max="7167" width="9.140625" style="66"/>
    <col min="7168" max="7168" width="41" style="66" customWidth="1"/>
    <col min="7169" max="7169" width="19.5703125" style="66" bestFit="1" customWidth="1"/>
    <col min="7170" max="7170" width="10.140625" style="66" customWidth="1"/>
    <col min="7171" max="7171" width="10.42578125" style="66" bestFit="1" customWidth="1"/>
    <col min="7172" max="7172" width="11.28515625" style="66" customWidth="1"/>
    <col min="7173" max="7173" width="9.42578125" style="66" customWidth="1"/>
    <col min="7174" max="7174" width="10.140625" style="66" bestFit="1" customWidth="1"/>
    <col min="7175" max="7176" width="9.140625" style="66"/>
    <col min="7177" max="7177" width="7.28515625" style="66" customWidth="1"/>
    <col min="7178" max="7183" width="7.42578125" style="66" customWidth="1"/>
    <col min="7184" max="7184" width="9.42578125" style="66" bestFit="1" customWidth="1"/>
    <col min="7185" max="7185" width="12" style="66" bestFit="1" customWidth="1"/>
    <col min="7186" max="7187" width="12" style="66" customWidth="1"/>
    <col min="7188" max="7188" width="13.140625" style="66" bestFit="1" customWidth="1"/>
    <col min="7189" max="7190" width="13.140625" style="66" customWidth="1"/>
    <col min="7191" max="7192" width="14.42578125" style="66" bestFit="1" customWidth="1"/>
    <col min="7193" max="7194" width="9.140625" style="66" customWidth="1"/>
    <col min="7195" max="7195" width="9.5703125" style="66" customWidth="1"/>
    <col min="7196" max="7197" width="9.5703125" style="66" bestFit="1" customWidth="1"/>
    <col min="7198" max="7199" width="10.140625" style="66" bestFit="1" customWidth="1"/>
    <col min="7200" max="7200" width="9.5703125" style="66" bestFit="1" customWidth="1"/>
    <col min="7201" max="7201" width="9.5703125" style="66" customWidth="1"/>
    <col min="7202" max="7202" width="9" style="66" customWidth="1"/>
    <col min="7203" max="7203" width="10.5703125" style="66" bestFit="1" customWidth="1"/>
    <col min="7204" max="7204" width="11.42578125" style="66" bestFit="1" customWidth="1"/>
    <col min="7205" max="7205" width="18" style="66" bestFit="1" customWidth="1"/>
    <col min="7206" max="7423" width="9.140625" style="66"/>
    <col min="7424" max="7424" width="41" style="66" customWidth="1"/>
    <col min="7425" max="7425" width="19.5703125" style="66" bestFit="1" customWidth="1"/>
    <col min="7426" max="7426" width="10.140625" style="66" customWidth="1"/>
    <col min="7427" max="7427" width="10.42578125" style="66" bestFit="1" customWidth="1"/>
    <col min="7428" max="7428" width="11.28515625" style="66" customWidth="1"/>
    <col min="7429" max="7429" width="9.42578125" style="66" customWidth="1"/>
    <col min="7430" max="7430" width="10.140625" style="66" bestFit="1" customWidth="1"/>
    <col min="7431" max="7432" width="9.140625" style="66"/>
    <col min="7433" max="7433" width="7.28515625" style="66" customWidth="1"/>
    <col min="7434" max="7439" width="7.42578125" style="66" customWidth="1"/>
    <col min="7440" max="7440" width="9.42578125" style="66" bestFit="1" customWidth="1"/>
    <col min="7441" max="7441" width="12" style="66" bestFit="1" customWidth="1"/>
    <col min="7442" max="7443" width="12" style="66" customWidth="1"/>
    <col min="7444" max="7444" width="13.140625" style="66" bestFit="1" customWidth="1"/>
    <col min="7445" max="7446" width="13.140625" style="66" customWidth="1"/>
    <col min="7447" max="7448" width="14.42578125" style="66" bestFit="1" customWidth="1"/>
    <col min="7449" max="7450" width="9.140625" style="66" customWidth="1"/>
    <col min="7451" max="7451" width="9.5703125" style="66" customWidth="1"/>
    <col min="7452" max="7453" width="9.5703125" style="66" bestFit="1" customWidth="1"/>
    <col min="7454" max="7455" width="10.140625" style="66" bestFit="1" customWidth="1"/>
    <col min="7456" max="7456" width="9.5703125" style="66" bestFit="1" customWidth="1"/>
    <col min="7457" max="7457" width="9.5703125" style="66" customWidth="1"/>
    <col min="7458" max="7458" width="9" style="66" customWidth="1"/>
    <col min="7459" max="7459" width="10.5703125" style="66" bestFit="1" customWidth="1"/>
    <col min="7460" max="7460" width="11.42578125" style="66" bestFit="1" customWidth="1"/>
    <col min="7461" max="7461" width="18" style="66" bestFit="1" customWidth="1"/>
    <col min="7462" max="7679" width="9.140625" style="66"/>
    <col min="7680" max="7680" width="41" style="66" customWidth="1"/>
    <col min="7681" max="7681" width="19.5703125" style="66" bestFit="1" customWidth="1"/>
    <col min="7682" max="7682" width="10.140625" style="66" customWidth="1"/>
    <col min="7683" max="7683" width="10.42578125" style="66" bestFit="1" customWidth="1"/>
    <col min="7684" max="7684" width="11.28515625" style="66" customWidth="1"/>
    <col min="7685" max="7685" width="9.42578125" style="66" customWidth="1"/>
    <col min="7686" max="7686" width="10.140625" style="66" bestFit="1" customWidth="1"/>
    <col min="7687" max="7688" width="9.140625" style="66"/>
    <col min="7689" max="7689" width="7.28515625" style="66" customWidth="1"/>
    <col min="7690" max="7695" width="7.42578125" style="66" customWidth="1"/>
    <col min="7696" max="7696" width="9.42578125" style="66" bestFit="1" customWidth="1"/>
    <col min="7697" max="7697" width="12" style="66" bestFit="1" customWidth="1"/>
    <col min="7698" max="7699" width="12" style="66" customWidth="1"/>
    <col min="7700" max="7700" width="13.140625" style="66" bestFit="1" customWidth="1"/>
    <col min="7701" max="7702" width="13.140625" style="66" customWidth="1"/>
    <col min="7703" max="7704" width="14.42578125" style="66" bestFit="1" customWidth="1"/>
    <col min="7705" max="7706" width="9.140625" style="66" customWidth="1"/>
    <col min="7707" max="7707" width="9.5703125" style="66" customWidth="1"/>
    <col min="7708" max="7709" width="9.5703125" style="66" bestFit="1" customWidth="1"/>
    <col min="7710" max="7711" width="10.140625" style="66" bestFit="1" customWidth="1"/>
    <col min="7712" max="7712" width="9.5703125" style="66" bestFit="1" customWidth="1"/>
    <col min="7713" max="7713" width="9.5703125" style="66" customWidth="1"/>
    <col min="7714" max="7714" width="9" style="66" customWidth="1"/>
    <col min="7715" max="7715" width="10.5703125" style="66" bestFit="1" customWidth="1"/>
    <col min="7716" max="7716" width="11.42578125" style="66" bestFit="1" customWidth="1"/>
    <col min="7717" max="7717" width="18" style="66" bestFit="1" customWidth="1"/>
    <col min="7718" max="7935" width="9.140625" style="66"/>
    <col min="7936" max="7936" width="41" style="66" customWidth="1"/>
    <col min="7937" max="7937" width="19.5703125" style="66" bestFit="1" customWidth="1"/>
    <col min="7938" max="7938" width="10.140625" style="66" customWidth="1"/>
    <col min="7939" max="7939" width="10.42578125" style="66" bestFit="1" customWidth="1"/>
    <col min="7940" max="7940" width="11.28515625" style="66" customWidth="1"/>
    <col min="7941" max="7941" width="9.42578125" style="66" customWidth="1"/>
    <col min="7942" max="7942" width="10.140625" style="66" bestFit="1" customWidth="1"/>
    <col min="7943" max="7944" width="9.140625" style="66"/>
    <col min="7945" max="7945" width="7.28515625" style="66" customWidth="1"/>
    <col min="7946" max="7951" width="7.42578125" style="66" customWidth="1"/>
    <col min="7952" max="7952" width="9.42578125" style="66" bestFit="1" customWidth="1"/>
    <col min="7953" max="7953" width="12" style="66" bestFit="1" customWidth="1"/>
    <col min="7954" max="7955" width="12" style="66" customWidth="1"/>
    <col min="7956" max="7956" width="13.140625" style="66" bestFit="1" customWidth="1"/>
    <col min="7957" max="7958" width="13.140625" style="66" customWidth="1"/>
    <col min="7959" max="7960" width="14.42578125" style="66" bestFit="1" customWidth="1"/>
    <col min="7961" max="7962" width="9.140625" style="66" customWidth="1"/>
    <col min="7963" max="7963" width="9.5703125" style="66" customWidth="1"/>
    <col min="7964" max="7965" width="9.5703125" style="66" bestFit="1" customWidth="1"/>
    <col min="7966" max="7967" width="10.140625" style="66" bestFit="1" customWidth="1"/>
    <col min="7968" max="7968" width="9.5703125" style="66" bestFit="1" customWidth="1"/>
    <col min="7969" max="7969" width="9.5703125" style="66" customWidth="1"/>
    <col min="7970" max="7970" width="9" style="66" customWidth="1"/>
    <col min="7971" max="7971" width="10.5703125" style="66" bestFit="1" customWidth="1"/>
    <col min="7972" max="7972" width="11.42578125" style="66" bestFit="1" customWidth="1"/>
    <col min="7973" max="7973" width="18" style="66" bestFit="1" customWidth="1"/>
    <col min="7974" max="8191" width="9.140625" style="66"/>
    <col min="8192" max="8192" width="41" style="66" customWidth="1"/>
    <col min="8193" max="8193" width="19.5703125" style="66" bestFit="1" customWidth="1"/>
    <col min="8194" max="8194" width="10.140625" style="66" customWidth="1"/>
    <col min="8195" max="8195" width="10.42578125" style="66" bestFit="1" customWidth="1"/>
    <col min="8196" max="8196" width="11.28515625" style="66" customWidth="1"/>
    <col min="8197" max="8197" width="9.42578125" style="66" customWidth="1"/>
    <col min="8198" max="8198" width="10.140625" style="66" bestFit="1" customWidth="1"/>
    <col min="8199" max="8200" width="9.140625" style="66"/>
    <col min="8201" max="8201" width="7.28515625" style="66" customWidth="1"/>
    <col min="8202" max="8207" width="7.42578125" style="66" customWidth="1"/>
    <col min="8208" max="8208" width="9.42578125" style="66" bestFit="1" customWidth="1"/>
    <col min="8209" max="8209" width="12" style="66" bestFit="1" customWidth="1"/>
    <col min="8210" max="8211" width="12" style="66" customWidth="1"/>
    <col min="8212" max="8212" width="13.140625" style="66" bestFit="1" customWidth="1"/>
    <col min="8213" max="8214" width="13.140625" style="66" customWidth="1"/>
    <col min="8215" max="8216" width="14.42578125" style="66" bestFit="1" customWidth="1"/>
    <col min="8217" max="8218" width="9.140625" style="66" customWidth="1"/>
    <col min="8219" max="8219" width="9.5703125" style="66" customWidth="1"/>
    <col min="8220" max="8221" width="9.5703125" style="66" bestFit="1" customWidth="1"/>
    <col min="8222" max="8223" width="10.140625" style="66" bestFit="1" customWidth="1"/>
    <col min="8224" max="8224" width="9.5703125" style="66" bestFit="1" customWidth="1"/>
    <col min="8225" max="8225" width="9.5703125" style="66" customWidth="1"/>
    <col min="8226" max="8226" width="9" style="66" customWidth="1"/>
    <col min="8227" max="8227" width="10.5703125" style="66" bestFit="1" customWidth="1"/>
    <col min="8228" max="8228" width="11.42578125" style="66" bestFit="1" customWidth="1"/>
    <col min="8229" max="8229" width="18" style="66" bestFit="1" customWidth="1"/>
    <col min="8230" max="8447" width="9.140625" style="66"/>
    <col min="8448" max="8448" width="41" style="66" customWidth="1"/>
    <col min="8449" max="8449" width="19.5703125" style="66" bestFit="1" customWidth="1"/>
    <col min="8450" max="8450" width="10.140625" style="66" customWidth="1"/>
    <col min="8451" max="8451" width="10.42578125" style="66" bestFit="1" customWidth="1"/>
    <col min="8452" max="8452" width="11.28515625" style="66" customWidth="1"/>
    <col min="8453" max="8453" width="9.42578125" style="66" customWidth="1"/>
    <col min="8454" max="8454" width="10.140625" style="66" bestFit="1" customWidth="1"/>
    <col min="8455" max="8456" width="9.140625" style="66"/>
    <col min="8457" max="8457" width="7.28515625" style="66" customWidth="1"/>
    <col min="8458" max="8463" width="7.42578125" style="66" customWidth="1"/>
    <col min="8464" max="8464" width="9.42578125" style="66" bestFit="1" customWidth="1"/>
    <col min="8465" max="8465" width="12" style="66" bestFit="1" customWidth="1"/>
    <col min="8466" max="8467" width="12" style="66" customWidth="1"/>
    <col min="8468" max="8468" width="13.140625" style="66" bestFit="1" customWidth="1"/>
    <col min="8469" max="8470" width="13.140625" style="66" customWidth="1"/>
    <col min="8471" max="8472" width="14.42578125" style="66" bestFit="1" customWidth="1"/>
    <col min="8473" max="8474" width="9.140625" style="66" customWidth="1"/>
    <col min="8475" max="8475" width="9.5703125" style="66" customWidth="1"/>
    <col min="8476" max="8477" width="9.5703125" style="66" bestFit="1" customWidth="1"/>
    <col min="8478" max="8479" width="10.140625" style="66" bestFit="1" customWidth="1"/>
    <col min="8480" max="8480" width="9.5703125" style="66" bestFit="1" customWidth="1"/>
    <col min="8481" max="8481" width="9.5703125" style="66" customWidth="1"/>
    <col min="8482" max="8482" width="9" style="66" customWidth="1"/>
    <col min="8483" max="8483" width="10.5703125" style="66" bestFit="1" customWidth="1"/>
    <col min="8484" max="8484" width="11.42578125" style="66" bestFit="1" customWidth="1"/>
    <col min="8485" max="8485" width="18" style="66" bestFit="1" customWidth="1"/>
    <col min="8486" max="8703" width="9.140625" style="66"/>
    <col min="8704" max="8704" width="41" style="66" customWidth="1"/>
    <col min="8705" max="8705" width="19.5703125" style="66" bestFit="1" customWidth="1"/>
    <col min="8706" max="8706" width="10.140625" style="66" customWidth="1"/>
    <col min="8707" max="8707" width="10.42578125" style="66" bestFit="1" customWidth="1"/>
    <col min="8708" max="8708" width="11.28515625" style="66" customWidth="1"/>
    <col min="8709" max="8709" width="9.42578125" style="66" customWidth="1"/>
    <col min="8710" max="8710" width="10.140625" style="66" bestFit="1" customWidth="1"/>
    <col min="8711" max="8712" width="9.140625" style="66"/>
    <col min="8713" max="8713" width="7.28515625" style="66" customWidth="1"/>
    <col min="8714" max="8719" width="7.42578125" style="66" customWidth="1"/>
    <col min="8720" max="8720" width="9.42578125" style="66" bestFit="1" customWidth="1"/>
    <col min="8721" max="8721" width="12" style="66" bestFit="1" customWidth="1"/>
    <col min="8722" max="8723" width="12" style="66" customWidth="1"/>
    <col min="8724" max="8724" width="13.140625" style="66" bestFit="1" customWidth="1"/>
    <col min="8725" max="8726" width="13.140625" style="66" customWidth="1"/>
    <col min="8727" max="8728" width="14.42578125" style="66" bestFit="1" customWidth="1"/>
    <col min="8729" max="8730" width="9.140625" style="66" customWidth="1"/>
    <col min="8731" max="8731" width="9.5703125" style="66" customWidth="1"/>
    <col min="8732" max="8733" width="9.5703125" style="66" bestFit="1" customWidth="1"/>
    <col min="8734" max="8735" width="10.140625" style="66" bestFit="1" customWidth="1"/>
    <col min="8736" max="8736" width="9.5703125" style="66" bestFit="1" customWidth="1"/>
    <col min="8737" max="8737" width="9.5703125" style="66" customWidth="1"/>
    <col min="8738" max="8738" width="9" style="66" customWidth="1"/>
    <col min="8739" max="8739" width="10.5703125" style="66" bestFit="1" customWidth="1"/>
    <col min="8740" max="8740" width="11.42578125" style="66" bestFit="1" customWidth="1"/>
    <col min="8741" max="8741" width="18" style="66" bestFit="1" customWidth="1"/>
    <col min="8742" max="8959" width="9.140625" style="66"/>
    <col min="8960" max="8960" width="41" style="66" customWidth="1"/>
    <col min="8961" max="8961" width="19.5703125" style="66" bestFit="1" customWidth="1"/>
    <col min="8962" max="8962" width="10.140625" style="66" customWidth="1"/>
    <col min="8963" max="8963" width="10.42578125" style="66" bestFit="1" customWidth="1"/>
    <col min="8964" max="8964" width="11.28515625" style="66" customWidth="1"/>
    <col min="8965" max="8965" width="9.42578125" style="66" customWidth="1"/>
    <col min="8966" max="8966" width="10.140625" style="66" bestFit="1" customWidth="1"/>
    <col min="8967" max="8968" width="9.140625" style="66"/>
    <col min="8969" max="8969" width="7.28515625" style="66" customWidth="1"/>
    <col min="8970" max="8975" width="7.42578125" style="66" customWidth="1"/>
    <col min="8976" max="8976" width="9.42578125" style="66" bestFit="1" customWidth="1"/>
    <col min="8977" max="8977" width="12" style="66" bestFit="1" customWidth="1"/>
    <col min="8978" max="8979" width="12" style="66" customWidth="1"/>
    <col min="8980" max="8980" width="13.140625" style="66" bestFit="1" customWidth="1"/>
    <col min="8981" max="8982" width="13.140625" style="66" customWidth="1"/>
    <col min="8983" max="8984" width="14.42578125" style="66" bestFit="1" customWidth="1"/>
    <col min="8985" max="8986" width="9.140625" style="66" customWidth="1"/>
    <col min="8987" max="8987" width="9.5703125" style="66" customWidth="1"/>
    <col min="8988" max="8989" width="9.5703125" style="66" bestFit="1" customWidth="1"/>
    <col min="8990" max="8991" width="10.140625" style="66" bestFit="1" customWidth="1"/>
    <col min="8992" max="8992" width="9.5703125" style="66" bestFit="1" customWidth="1"/>
    <col min="8993" max="8993" width="9.5703125" style="66" customWidth="1"/>
    <col min="8994" max="8994" width="9" style="66" customWidth="1"/>
    <col min="8995" max="8995" width="10.5703125" style="66" bestFit="1" customWidth="1"/>
    <col min="8996" max="8996" width="11.42578125" style="66" bestFit="1" customWidth="1"/>
    <col min="8997" max="8997" width="18" style="66" bestFit="1" customWidth="1"/>
    <col min="8998" max="9215" width="9.140625" style="66"/>
    <col min="9216" max="9216" width="41" style="66" customWidth="1"/>
    <col min="9217" max="9217" width="19.5703125" style="66" bestFit="1" customWidth="1"/>
    <col min="9218" max="9218" width="10.140625" style="66" customWidth="1"/>
    <col min="9219" max="9219" width="10.42578125" style="66" bestFit="1" customWidth="1"/>
    <col min="9220" max="9220" width="11.28515625" style="66" customWidth="1"/>
    <col min="9221" max="9221" width="9.42578125" style="66" customWidth="1"/>
    <col min="9222" max="9222" width="10.140625" style="66" bestFit="1" customWidth="1"/>
    <col min="9223" max="9224" width="9.140625" style="66"/>
    <col min="9225" max="9225" width="7.28515625" style="66" customWidth="1"/>
    <col min="9226" max="9231" width="7.42578125" style="66" customWidth="1"/>
    <col min="9232" max="9232" width="9.42578125" style="66" bestFit="1" customWidth="1"/>
    <col min="9233" max="9233" width="12" style="66" bestFit="1" customWidth="1"/>
    <col min="9234" max="9235" width="12" style="66" customWidth="1"/>
    <col min="9236" max="9236" width="13.140625" style="66" bestFit="1" customWidth="1"/>
    <col min="9237" max="9238" width="13.140625" style="66" customWidth="1"/>
    <col min="9239" max="9240" width="14.42578125" style="66" bestFit="1" customWidth="1"/>
    <col min="9241" max="9242" width="9.140625" style="66" customWidth="1"/>
    <col min="9243" max="9243" width="9.5703125" style="66" customWidth="1"/>
    <col min="9244" max="9245" width="9.5703125" style="66" bestFit="1" customWidth="1"/>
    <col min="9246" max="9247" width="10.140625" style="66" bestFit="1" customWidth="1"/>
    <col min="9248" max="9248" width="9.5703125" style="66" bestFit="1" customWidth="1"/>
    <col min="9249" max="9249" width="9.5703125" style="66" customWidth="1"/>
    <col min="9250" max="9250" width="9" style="66" customWidth="1"/>
    <col min="9251" max="9251" width="10.5703125" style="66" bestFit="1" customWidth="1"/>
    <col min="9252" max="9252" width="11.42578125" style="66" bestFit="1" customWidth="1"/>
    <col min="9253" max="9253" width="18" style="66" bestFit="1" customWidth="1"/>
    <col min="9254" max="9471" width="9.140625" style="66"/>
    <col min="9472" max="9472" width="41" style="66" customWidth="1"/>
    <col min="9473" max="9473" width="19.5703125" style="66" bestFit="1" customWidth="1"/>
    <col min="9474" max="9474" width="10.140625" style="66" customWidth="1"/>
    <col min="9475" max="9475" width="10.42578125" style="66" bestFit="1" customWidth="1"/>
    <col min="9476" max="9476" width="11.28515625" style="66" customWidth="1"/>
    <col min="9477" max="9477" width="9.42578125" style="66" customWidth="1"/>
    <col min="9478" max="9478" width="10.140625" style="66" bestFit="1" customWidth="1"/>
    <col min="9479" max="9480" width="9.140625" style="66"/>
    <col min="9481" max="9481" width="7.28515625" style="66" customWidth="1"/>
    <col min="9482" max="9487" width="7.42578125" style="66" customWidth="1"/>
    <col min="9488" max="9488" width="9.42578125" style="66" bestFit="1" customWidth="1"/>
    <col min="9489" max="9489" width="12" style="66" bestFit="1" customWidth="1"/>
    <col min="9490" max="9491" width="12" style="66" customWidth="1"/>
    <col min="9492" max="9492" width="13.140625" style="66" bestFit="1" customWidth="1"/>
    <col min="9493" max="9494" width="13.140625" style="66" customWidth="1"/>
    <col min="9495" max="9496" width="14.42578125" style="66" bestFit="1" customWidth="1"/>
    <col min="9497" max="9498" width="9.140625" style="66" customWidth="1"/>
    <col min="9499" max="9499" width="9.5703125" style="66" customWidth="1"/>
    <col min="9500" max="9501" width="9.5703125" style="66" bestFit="1" customWidth="1"/>
    <col min="9502" max="9503" width="10.140625" style="66" bestFit="1" customWidth="1"/>
    <col min="9504" max="9504" width="9.5703125" style="66" bestFit="1" customWidth="1"/>
    <col min="9505" max="9505" width="9.5703125" style="66" customWidth="1"/>
    <col min="9506" max="9506" width="9" style="66" customWidth="1"/>
    <col min="9507" max="9507" width="10.5703125" style="66" bestFit="1" customWidth="1"/>
    <col min="9508" max="9508" width="11.42578125" style="66" bestFit="1" customWidth="1"/>
    <col min="9509" max="9509" width="18" style="66" bestFit="1" customWidth="1"/>
    <col min="9510" max="9727" width="9.140625" style="66"/>
    <col min="9728" max="9728" width="41" style="66" customWidth="1"/>
    <col min="9729" max="9729" width="19.5703125" style="66" bestFit="1" customWidth="1"/>
    <col min="9730" max="9730" width="10.140625" style="66" customWidth="1"/>
    <col min="9731" max="9731" width="10.42578125" style="66" bestFit="1" customWidth="1"/>
    <col min="9732" max="9732" width="11.28515625" style="66" customWidth="1"/>
    <col min="9733" max="9733" width="9.42578125" style="66" customWidth="1"/>
    <col min="9734" max="9734" width="10.140625" style="66" bestFit="1" customWidth="1"/>
    <col min="9735" max="9736" width="9.140625" style="66"/>
    <col min="9737" max="9737" width="7.28515625" style="66" customWidth="1"/>
    <col min="9738" max="9743" width="7.42578125" style="66" customWidth="1"/>
    <col min="9744" max="9744" width="9.42578125" style="66" bestFit="1" customWidth="1"/>
    <col min="9745" max="9745" width="12" style="66" bestFit="1" customWidth="1"/>
    <col min="9746" max="9747" width="12" style="66" customWidth="1"/>
    <col min="9748" max="9748" width="13.140625" style="66" bestFit="1" customWidth="1"/>
    <col min="9749" max="9750" width="13.140625" style="66" customWidth="1"/>
    <col min="9751" max="9752" width="14.42578125" style="66" bestFit="1" customWidth="1"/>
    <col min="9753" max="9754" width="9.140625" style="66" customWidth="1"/>
    <col min="9755" max="9755" width="9.5703125" style="66" customWidth="1"/>
    <col min="9756" max="9757" width="9.5703125" style="66" bestFit="1" customWidth="1"/>
    <col min="9758" max="9759" width="10.140625" style="66" bestFit="1" customWidth="1"/>
    <col min="9760" max="9760" width="9.5703125" style="66" bestFit="1" customWidth="1"/>
    <col min="9761" max="9761" width="9.5703125" style="66" customWidth="1"/>
    <col min="9762" max="9762" width="9" style="66" customWidth="1"/>
    <col min="9763" max="9763" width="10.5703125" style="66" bestFit="1" customWidth="1"/>
    <col min="9764" max="9764" width="11.42578125" style="66" bestFit="1" customWidth="1"/>
    <col min="9765" max="9765" width="18" style="66" bestFit="1" customWidth="1"/>
    <col min="9766" max="9983" width="9.140625" style="66"/>
    <col min="9984" max="9984" width="41" style="66" customWidth="1"/>
    <col min="9985" max="9985" width="19.5703125" style="66" bestFit="1" customWidth="1"/>
    <col min="9986" max="9986" width="10.140625" style="66" customWidth="1"/>
    <col min="9987" max="9987" width="10.42578125" style="66" bestFit="1" customWidth="1"/>
    <col min="9988" max="9988" width="11.28515625" style="66" customWidth="1"/>
    <col min="9989" max="9989" width="9.42578125" style="66" customWidth="1"/>
    <col min="9990" max="9990" width="10.140625" style="66" bestFit="1" customWidth="1"/>
    <col min="9991" max="9992" width="9.140625" style="66"/>
    <col min="9993" max="9993" width="7.28515625" style="66" customWidth="1"/>
    <col min="9994" max="9999" width="7.42578125" style="66" customWidth="1"/>
    <col min="10000" max="10000" width="9.42578125" style="66" bestFit="1" customWidth="1"/>
    <col min="10001" max="10001" width="12" style="66" bestFit="1" customWidth="1"/>
    <col min="10002" max="10003" width="12" style="66" customWidth="1"/>
    <col min="10004" max="10004" width="13.140625" style="66" bestFit="1" customWidth="1"/>
    <col min="10005" max="10006" width="13.140625" style="66" customWidth="1"/>
    <col min="10007" max="10008" width="14.42578125" style="66" bestFit="1" customWidth="1"/>
    <col min="10009" max="10010" width="9.140625" style="66" customWidth="1"/>
    <col min="10011" max="10011" width="9.5703125" style="66" customWidth="1"/>
    <col min="10012" max="10013" width="9.5703125" style="66" bestFit="1" customWidth="1"/>
    <col min="10014" max="10015" width="10.140625" style="66" bestFit="1" customWidth="1"/>
    <col min="10016" max="10016" width="9.5703125" style="66" bestFit="1" customWidth="1"/>
    <col min="10017" max="10017" width="9.5703125" style="66" customWidth="1"/>
    <col min="10018" max="10018" width="9" style="66" customWidth="1"/>
    <col min="10019" max="10019" width="10.5703125" style="66" bestFit="1" customWidth="1"/>
    <col min="10020" max="10020" width="11.42578125" style="66" bestFit="1" customWidth="1"/>
    <col min="10021" max="10021" width="18" style="66" bestFit="1" customWidth="1"/>
    <col min="10022" max="10239" width="9.140625" style="66"/>
    <col min="10240" max="10240" width="41" style="66" customWidth="1"/>
    <col min="10241" max="10241" width="19.5703125" style="66" bestFit="1" customWidth="1"/>
    <col min="10242" max="10242" width="10.140625" style="66" customWidth="1"/>
    <col min="10243" max="10243" width="10.42578125" style="66" bestFit="1" customWidth="1"/>
    <col min="10244" max="10244" width="11.28515625" style="66" customWidth="1"/>
    <col min="10245" max="10245" width="9.42578125" style="66" customWidth="1"/>
    <col min="10246" max="10246" width="10.140625" style="66" bestFit="1" customWidth="1"/>
    <col min="10247" max="10248" width="9.140625" style="66"/>
    <col min="10249" max="10249" width="7.28515625" style="66" customWidth="1"/>
    <col min="10250" max="10255" width="7.42578125" style="66" customWidth="1"/>
    <col min="10256" max="10256" width="9.42578125" style="66" bestFit="1" customWidth="1"/>
    <col min="10257" max="10257" width="12" style="66" bestFit="1" customWidth="1"/>
    <col min="10258" max="10259" width="12" style="66" customWidth="1"/>
    <col min="10260" max="10260" width="13.140625" style="66" bestFit="1" customWidth="1"/>
    <col min="10261" max="10262" width="13.140625" style="66" customWidth="1"/>
    <col min="10263" max="10264" width="14.42578125" style="66" bestFit="1" customWidth="1"/>
    <col min="10265" max="10266" width="9.140625" style="66" customWidth="1"/>
    <col min="10267" max="10267" width="9.5703125" style="66" customWidth="1"/>
    <col min="10268" max="10269" width="9.5703125" style="66" bestFit="1" customWidth="1"/>
    <col min="10270" max="10271" width="10.140625" style="66" bestFit="1" customWidth="1"/>
    <col min="10272" max="10272" width="9.5703125" style="66" bestFit="1" customWidth="1"/>
    <col min="10273" max="10273" width="9.5703125" style="66" customWidth="1"/>
    <col min="10274" max="10274" width="9" style="66" customWidth="1"/>
    <col min="10275" max="10275" width="10.5703125" style="66" bestFit="1" customWidth="1"/>
    <col min="10276" max="10276" width="11.42578125" style="66" bestFit="1" customWidth="1"/>
    <col min="10277" max="10277" width="18" style="66" bestFit="1" customWidth="1"/>
    <col min="10278" max="10495" width="9.140625" style="66"/>
    <col min="10496" max="10496" width="41" style="66" customWidth="1"/>
    <col min="10497" max="10497" width="19.5703125" style="66" bestFit="1" customWidth="1"/>
    <col min="10498" max="10498" width="10.140625" style="66" customWidth="1"/>
    <col min="10499" max="10499" width="10.42578125" style="66" bestFit="1" customWidth="1"/>
    <col min="10500" max="10500" width="11.28515625" style="66" customWidth="1"/>
    <col min="10501" max="10501" width="9.42578125" style="66" customWidth="1"/>
    <col min="10502" max="10502" width="10.140625" style="66" bestFit="1" customWidth="1"/>
    <col min="10503" max="10504" width="9.140625" style="66"/>
    <col min="10505" max="10505" width="7.28515625" style="66" customWidth="1"/>
    <col min="10506" max="10511" width="7.42578125" style="66" customWidth="1"/>
    <col min="10512" max="10512" width="9.42578125" style="66" bestFit="1" customWidth="1"/>
    <col min="10513" max="10513" width="12" style="66" bestFit="1" customWidth="1"/>
    <col min="10514" max="10515" width="12" style="66" customWidth="1"/>
    <col min="10516" max="10516" width="13.140625" style="66" bestFit="1" customWidth="1"/>
    <col min="10517" max="10518" width="13.140625" style="66" customWidth="1"/>
    <col min="10519" max="10520" width="14.42578125" style="66" bestFit="1" customWidth="1"/>
    <col min="10521" max="10522" width="9.140625" style="66" customWidth="1"/>
    <col min="10523" max="10523" width="9.5703125" style="66" customWidth="1"/>
    <col min="10524" max="10525" width="9.5703125" style="66" bestFit="1" customWidth="1"/>
    <col min="10526" max="10527" width="10.140625" style="66" bestFit="1" customWidth="1"/>
    <col min="10528" max="10528" width="9.5703125" style="66" bestFit="1" customWidth="1"/>
    <col min="10529" max="10529" width="9.5703125" style="66" customWidth="1"/>
    <col min="10530" max="10530" width="9" style="66" customWidth="1"/>
    <col min="10531" max="10531" width="10.5703125" style="66" bestFit="1" customWidth="1"/>
    <col min="10532" max="10532" width="11.42578125" style="66" bestFit="1" customWidth="1"/>
    <col min="10533" max="10533" width="18" style="66" bestFit="1" customWidth="1"/>
    <col min="10534" max="10751" width="9.140625" style="66"/>
    <col min="10752" max="10752" width="41" style="66" customWidth="1"/>
    <col min="10753" max="10753" width="19.5703125" style="66" bestFit="1" customWidth="1"/>
    <col min="10754" max="10754" width="10.140625" style="66" customWidth="1"/>
    <col min="10755" max="10755" width="10.42578125" style="66" bestFit="1" customWidth="1"/>
    <col min="10756" max="10756" width="11.28515625" style="66" customWidth="1"/>
    <col min="10757" max="10757" width="9.42578125" style="66" customWidth="1"/>
    <col min="10758" max="10758" width="10.140625" style="66" bestFit="1" customWidth="1"/>
    <col min="10759" max="10760" width="9.140625" style="66"/>
    <col min="10761" max="10761" width="7.28515625" style="66" customWidth="1"/>
    <col min="10762" max="10767" width="7.42578125" style="66" customWidth="1"/>
    <col min="10768" max="10768" width="9.42578125" style="66" bestFit="1" customWidth="1"/>
    <col min="10769" max="10769" width="12" style="66" bestFit="1" customWidth="1"/>
    <col min="10770" max="10771" width="12" style="66" customWidth="1"/>
    <col min="10772" max="10772" width="13.140625" style="66" bestFit="1" customWidth="1"/>
    <col min="10773" max="10774" width="13.140625" style="66" customWidth="1"/>
    <col min="10775" max="10776" width="14.42578125" style="66" bestFit="1" customWidth="1"/>
    <col min="10777" max="10778" width="9.140625" style="66" customWidth="1"/>
    <col min="10779" max="10779" width="9.5703125" style="66" customWidth="1"/>
    <col min="10780" max="10781" width="9.5703125" style="66" bestFit="1" customWidth="1"/>
    <col min="10782" max="10783" width="10.140625" style="66" bestFit="1" customWidth="1"/>
    <col min="10784" max="10784" width="9.5703125" style="66" bestFit="1" customWidth="1"/>
    <col min="10785" max="10785" width="9.5703125" style="66" customWidth="1"/>
    <col min="10786" max="10786" width="9" style="66" customWidth="1"/>
    <col min="10787" max="10787" width="10.5703125" style="66" bestFit="1" customWidth="1"/>
    <col min="10788" max="10788" width="11.42578125" style="66" bestFit="1" customWidth="1"/>
    <col min="10789" max="10789" width="18" style="66" bestFit="1" customWidth="1"/>
    <col min="10790" max="11007" width="9.140625" style="66"/>
    <col min="11008" max="11008" width="41" style="66" customWidth="1"/>
    <col min="11009" max="11009" width="19.5703125" style="66" bestFit="1" customWidth="1"/>
    <col min="11010" max="11010" width="10.140625" style="66" customWidth="1"/>
    <col min="11011" max="11011" width="10.42578125" style="66" bestFit="1" customWidth="1"/>
    <col min="11012" max="11012" width="11.28515625" style="66" customWidth="1"/>
    <col min="11013" max="11013" width="9.42578125" style="66" customWidth="1"/>
    <col min="11014" max="11014" width="10.140625" style="66" bestFit="1" customWidth="1"/>
    <col min="11015" max="11016" width="9.140625" style="66"/>
    <col min="11017" max="11017" width="7.28515625" style="66" customWidth="1"/>
    <col min="11018" max="11023" width="7.42578125" style="66" customWidth="1"/>
    <col min="11024" max="11024" width="9.42578125" style="66" bestFit="1" customWidth="1"/>
    <col min="11025" max="11025" width="12" style="66" bestFit="1" customWidth="1"/>
    <col min="11026" max="11027" width="12" style="66" customWidth="1"/>
    <col min="11028" max="11028" width="13.140625" style="66" bestFit="1" customWidth="1"/>
    <col min="11029" max="11030" width="13.140625" style="66" customWidth="1"/>
    <col min="11031" max="11032" width="14.42578125" style="66" bestFit="1" customWidth="1"/>
    <col min="11033" max="11034" width="9.140625" style="66" customWidth="1"/>
    <col min="11035" max="11035" width="9.5703125" style="66" customWidth="1"/>
    <col min="11036" max="11037" width="9.5703125" style="66" bestFit="1" customWidth="1"/>
    <col min="11038" max="11039" width="10.140625" style="66" bestFit="1" customWidth="1"/>
    <col min="11040" max="11040" width="9.5703125" style="66" bestFit="1" customWidth="1"/>
    <col min="11041" max="11041" width="9.5703125" style="66" customWidth="1"/>
    <col min="11042" max="11042" width="9" style="66" customWidth="1"/>
    <col min="11043" max="11043" width="10.5703125" style="66" bestFit="1" customWidth="1"/>
    <col min="11044" max="11044" width="11.42578125" style="66" bestFit="1" customWidth="1"/>
    <col min="11045" max="11045" width="18" style="66" bestFit="1" customWidth="1"/>
    <col min="11046" max="11263" width="9.140625" style="66"/>
    <col min="11264" max="11264" width="41" style="66" customWidth="1"/>
    <col min="11265" max="11265" width="19.5703125" style="66" bestFit="1" customWidth="1"/>
    <col min="11266" max="11266" width="10.140625" style="66" customWidth="1"/>
    <col min="11267" max="11267" width="10.42578125" style="66" bestFit="1" customWidth="1"/>
    <col min="11268" max="11268" width="11.28515625" style="66" customWidth="1"/>
    <col min="11269" max="11269" width="9.42578125" style="66" customWidth="1"/>
    <col min="11270" max="11270" width="10.140625" style="66" bestFit="1" customWidth="1"/>
    <col min="11271" max="11272" width="9.140625" style="66"/>
    <col min="11273" max="11273" width="7.28515625" style="66" customWidth="1"/>
    <col min="11274" max="11279" width="7.42578125" style="66" customWidth="1"/>
    <col min="11280" max="11280" width="9.42578125" style="66" bestFit="1" customWidth="1"/>
    <col min="11281" max="11281" width="12" style="66" bestFit="1" customWidth="1"/>
    <col min="11282" max="11283" width="12" style="66" customWidth="1"/>
    <col min="11284" max="11284" width="13.140625" style="66" bestFit="1" customWidth="1"/>
    <col min="11285" max="11286" width="13.140625" style="66" customWidth="1"/>
    <col min="11287" max="11288" width="14.42578125" style="66" bestFit="1" customWidth="1"/>
    <col min="11289" max="11290" width="9.140625" style="66" customWidth="1"/>
    <col min="11291" max="11291" width="9.5703125" style="66" customWidth="1"/>
    <col min="11292" max="11293" width="9.5703125" style="66" bestFit="1" customWidth="1"/>
    <col min="11294" max="11295" width="10.140625" style="66" bestFit="1" customWidth="1"/>
    <col min="11296" max="11296" width="9.5703125" style="66" bestFit="1" customWidth="1"/>
    <col min="11297" max="11297" width="9.5703125" style="66" customWidth="1"/>
    <col min="11298" max="11298" width="9" style="66" customWidth="1"/>
    <col min="11299" max="11299" width="10.5703125" style="66" bestFit="1" customWidth="1"/>
    <col min="11300" max="11300" width="11.42578125" style="66" bestFit="1" customWidth="1"/>
    <col min="11301" max="11301" width="18" style="66" bestFit="1" customWidth="1"/>
    <col min="11302" max="11519" width="9.140625" style="66"/>
    <col min="11520" max="11520" width="41" style="66" customWidth="1"/>
    <col min="11521" max="11521" width="19.5703125" style="66" bestFit="1" customWidth="1"/>
    <col min="11522" max="11522" width="10.140625" style="66" customWidth="1"/>
    <col min="11523" max="11523" width="10.42578125" style="66" bestFit="1" customWidth="1"/>
    <col min="11524" max="11524" width="11.28515625" style="66" customWidth="1"/>
    <col min="11525" max="11525" width="9.42578125" style="66" customWidth="1"/>
    <col min="11526" max="11526" width="10.140625" style="66" bestFit="1" customWidth="1"/>
    <col min="11527" max="11528" width="9.140625" style="66"/>
    <col min="11529" max="11529" width="7.28515625" style="66" customWidth="1"/>
    <col min="11530" max="11535" width="7.42578125" style="66" customWidth="1"/>
    <col min="11536" max="11536" width="9.42578125" style="66" bestFit="1" customWidth="1"/>
    <col min="11537" max="11537" width="12" style="66" bestFit="1" customWidth="1"/>
    <col min="11538" max="11539" width="12" style="66" customWidth="1"/>
    <col min="11540" max="11540" width="13.140625" style="66" bestFit="1" customWidth="1"/>
    <col min="11541" max="11542" width="13.140625" style="66" customWidth="1"/>
    <col min="11543" max="11544" width="14.42578125" style="66" bestFit="1" customWidth="1"/>
    <col min="11545" max="11546" width="9.140625" style="66" customWidth="1"/>
    <col min="11547" max="11547" width="9.5703125" style="66" customWidth="1"/>
    <col min="11548" max="11549" width="9.5703125" style="66" bestFit="1" customWidth="1"/>
    <col min="11550" max="11551" width="10.140625" style="66" bestFit="1" customWidth="1"/>
    <col min="11552" max="11552" width="9.5703125" style="66" bestFit="1" customWidth="1"/>
    <col min="11553" max="11553" width="9.5703125" style="66" customWidth="1"/>
    <col min="11554" max="11554" width="9" style="66" customWidth="1"/>
    <col min="11555" max="11555" width="10.5703125" style="66" bestFit="1" customWidth="1"/>
    <col min="11556" max="11556" width="11.42578125" style="66" bestFit="1" customWidth="1"/>
    <col min="11557" max="11557" width="18" style="66" bestFit="1" customWidth="1"/>
    <col min="11558" max="11775" width="9.140625" style="66"/>
    <col min="11776" max="11776" width="41" style="66" customWidth="1"/>
    <col min="11777" max="11777" width="19.5703125" style="66" bestFit="1" customWidth="1"/>
    <col min="11778" max="11778" width="10.140625" style="66" customWidth="1"/>
    <col min="11779" max="11779" width="10.42578125" style="66" bestFit="1" customWidth="1"/>
    <col min="11780" max="11780" width="11.28515625" style="66" customWidth="1"/>
    <col min="11781" max="11781" width="9.42578125" style="66" customWidth="1"/>
    <col min="11782" max="11782" width="10.140625" style="66" bestFit="1" customWidth="1"/>
    <col min="11783" max="11784" width="9.140625" style="66"/>
    <col min="11785" max="11785" width="7.28515625" style="66" customWidth="1"/>
    <col min="11786" max="11791" width="7.42578125" style="66" customWidth="1"/>
    <col min="11792" max="11792" width="9.42578125" style="66" bestFit="1" customWidth="1"/>
    <col min="11793" max="11793" width="12" style="66" bestFit="1" customWidth="1"/>
    <col min="11794" max="11795" width="12" style="66" customWidth="1"/>
    <col min="11796" max="11796" width="13.140625" style="66" bestFit="1" customWidth="1"/>
    <col min="11797" max="11798" width="13.140625" style="66" customWidth="1"/>
    <col min="11799" max="11800" width="14.42578125" style="66" bestFit="1" customWidth="1"/>
    <col min="11801" max="11802" width="9.140625" style="66" customWidth="1"/>
    <col min="11803" max="11803" width="9.5703125" style="66" customWidth="1"/>
    <col min="11804" max="11805" width="9.5703125" style="66" bestFit="1" customWidth="1"/>
    <col min="11806" max="11807" width="10.140625" style="66" bestFit="1" customWidth="1"/>
    <col min="11808" max="11808" width="9.5703125" style="66" bestFit="1" customWidth="1"/>
    <col min="11809" max="11809" width="9.5703125" style="66" customWidth="1"/>
    <col min="11810" max="11810" width="9" style="66" customWidth="1"/>
    <col min="11811" max="11811" width="10.5703125" style="66" bestFit="1" customWidth="1"/>
    <col min="11812" max="11812" width="11.42578125" style="66" bestFit="1" customWidth="1"/>
    <col min="11813" max="11813" width="18" style="66" bestFit="1" customWidth="1"/>
    <col min="11814" max="12031" width="9.140625" style="66"/>
    <col min="12032" max="12032" width="41" style="66" customWidth="1"/>
    <col min="12033" max="12033" width="19.5703125" style="66" bestFit="1" customWidth="1"/>
    <col min="12034" max="12034" width="10.140625" style="66" customWidth="1"/>
    <col min="12035" max="12035" width="10.42578125" style="66" bestFit="1" customWidth="1"/>
    <col min="12036" max="12036" width="11.28515625" style="66" customWidth="1"/>
    <col min="12037" max="12037" width="9.42578125" style="66" customWidth="1"/>
    <col min="12038" max="12038" width="10.140625" style="66" bestFit="1" customWidth="1"/>
    <col min="12039" max="12040" width="9.140625" style="66"/>
    <col min="12041" max="12041" width="7.28515625" style="66" customWidth="1"/>
    <col min="12042" max="12047" width="7.42578125" style="66" customWidth="1"/>
    <col min="12048" max="12048" width="9.42578125" style="66" bestFit="1" customWidth="1"/>
    <col min="12049" max="12049" width="12" style="66" bestFit="1" customWidth="1"/>
    <col min="12050" max="12051" width="12" style="66" customWidth="1"/>
    <col min="12052" max="12052" width="13.140625" style="66" bestFit="1" customWidth="1"/>
    <col min="12053" max="12054" width="13.140625" style="66" customWidth="1"/>
    <col min="12055" max="12056" width="14.42578125" style="66" bestFit="1" customWidth="1"/>
    <col min="12057" max="12058" width="9.140625" style="66" customWidth="1"/>
    <col min="12059" max="12059" width="9.5703125" style="66" customWidth="1"/>
    <col min="12060" max="12061" width="9.5703125" style="66" bestFit="1" customWidth="1"/>
    <col min="12062" max="12063" width="10.140625" style="66" bestFit="1" customWidth="1"/>
    <col min="12064" max="12064" width="9.5703125" style="66" bestFit="1" customWidth="1"/>
    <col min="12065" max="12065" width="9.5703125" style="66" customWidth="1"/>
    <col min="12066" max="12066" width="9" style="66" customWidth="1"/>
    <col min="12067" max="12067" width="10.5703125" style="66" bestFit="1" customWidth="1"/>
    <col min="12068" max="12068" width="11.42578125" style="66" bestFit="1" customWidth="1"/>
    <col min="12069" max="12069" width="18" style="66" bestFit="1" customWidth="1"/>
    <col min="12070" max="12287" width="9.140625" style="66"/>
    <col min="12288" max="12288" width="41" style="66" customWidth="1"/>
    <col min="12289" max="12289" width="19.5703125" style="66" bestFit="1" customWidth="1"/>
    <col min="12290" max="12290" width="10.140625" style="66" customWidth="1"/>
    <col min="12291" max="12291" width="10.42578125" style="66" bestFit="1" customWidth="1"/>
    <col min="12292" max="12292" width="11.28515625" style="66" customWidth="1"/>
    <col min="12293" max="12293" width="9.42578125" style="66" customWidth="1"/>
    <col min="12294" max="12294" width="10.140625" style="66" bestFit="1" customWidth="1"/>
    <col min="12295" max="12296" width="9.140625" style="66"/>
    <col min="12297" max="12297" width="7.28515625" style="66" customWidth="1"/>
    <col min="12298" max="12303" width="7.42578125" style="66" customWidth="1"/>
    <col min="12304" max="12304" width="9.42578125" style="66" bestFit="1" customWidth="1"/>
    <col min="12305" max="12305" width="12" style="66" bestFit="1" customWidth="1"/>
    <col min="12306" max="12307" width="12" style="66" customWidth="1"/>
    <col min="12308" max="12308" width="13.140625" style="66" bestFit="1" customWidth="1"/>
    <col min="12309" max="12310" width="13.140625" style="66" customWidth="1"/>
    <col min="12311" max="12312" width="14.42578125" style="66" bestFit="1" customWidth="1"/>
    <col min="12313" max="12314" width="9.140625" style="66" customWidth="1"/>
    <col min="12315" max="12315" width="9.5703125" style="66" customWidth="1"/>
    <col min="12316" max="12317" width="9.5703125" style="66" bestFit="1" customWidth="1"/>
    <col min="12318" max="12319" width="10.140625" style="66" bestFit="1" customWidth="1"/>
    <col min="12320" max="12320" width="9.5703125" style="66" bestFit="1" customWidth="1"/>
    <col min="12321" max="12321" width="9.5703125" style="66" customWidth="1"/>
    <col min="12322" max="12322" width="9" style="66" customWidth="1"/>
    <col min="12323" max="12323" width="10.5703125" style="66" bestFit="1" customWidth="1"/>
    <col min="12324" max="12324" width="11.42578125" style="66" bestFit="1" customWidth="1"/>
    <col min="12325" max="12325" width="18" style="66" bestFit="1" customWidth="1"/>
    <col min="12326" max="12543" width="9.140625" style="66"/>
    <col min="12544" max="12544" width="41" style="66" customWidth="1"/>
    <col min="12545" max="12545" width="19.5703125" style="66" bestFit="1" customWidth="1"/>
    <col min="12546" max="12546" width="10.140625" style="66" customWidth="1"/>
    <col min="12547" max="12547" width="10.42578125" style="66" bestFit="1" customWidth="1"/>
    <col min="12548" max="12548" width="11.28515625" style="66" customWidth="1"/>
    <col min="12549" max="12549" width="9.42578125" style="66" customWidth="1"/>
    <col min="12550" max="12550" width="10.140625" style="66" bestFit="1" customWidth="1"/>
    <col min="12551" max="12552" width="9.140625" style="66"/>
    <col min="12553" max="12553" width="7.28515625" style="66" customWidth="1"/>
    <col min="12554" max="12559" width="7.42578125" style="66" customWidth="1"/>
    <col min="12560" max="12560" width="9.42578125" style="66" bestFit="1" customWidth="1"/>
    <col min="12561" max="12561" width="12" style="66" bestFit="1" customWidth="1"/>
    <col min="12562" max="12563" width="12" style="66" customWidth="1"/>
    <col min="12564" max="12564" width="13.140625" style="66" bestFit="1" customWidth="1"/>
    <col min="12565" max="12566" width="13.140625" style="66" customWidth="1"/>
    <col min="12567" max="12568" width="14.42578125" style="66" bestFit="1" customWidth="1"/>
    <col min="12569" max="12570" width="9.140625" style="66" customWidth="1"/>
    <col min="12571" max="12571" width="9.5703125" style="66" customWidth="1"/>
    <col min="12572" max="12573" width="9.5703125" style="66" bestFit="1" customWidth="1"/>
    <col min="12574" max="12575" width="10.140625" style="66" bestFit="1" customWidth="1"/>
    <col min="12576" max="12576" width="9.5703125" style="66" bestFit="1" customWidth="1"/>
    <col min="12577" max="12577" width="9.5703125" style="66" customWidth="1"/>
    <col min="12578" max="12578" width="9" style="66" customWidth="1"/>
    <col min="12579" max="12579" width="10.5703125" style="66" bestFit="1" customWidth="1"/>
    <col min="12580" max="12580" width="11.42578125" style="66" bestFit="1" customWidth="1"/>
    <col min="12581" max="12581" width="18" style="66" bestFit="1" customWidth="1"/>
    <col min="12582" max="12799" width="9.140625" style="66"/>
    <col min="12800" max="12800" width="41" style="66" customWidth="1"/>
    <col min="12801" max="12801" width="19.5703125" style="66" bestFit="1" customWidth="1"/>
    <col min="12802" max="12802" width="10.140625" style="66" customWidth="1"/>
    <col min="12803" max="12803" width="10.42578125" style="66" bestFit="1" customWidth="1"/>
    <col min="12804" max="12804" width="11.28515625" style="66" customWidth="1"/>
    <col min="12805" max="12805" width="9.42578125" style="66" customWidth="1"/>
    <col min="12806" max="12806" width="10.140625" style="66" bestFit="1" customWidth="1"/>
    <col min="12807" max="12808" width="9.140625" style="66"/>
    <col min="12809" max="12809" width="7.28515625" style="66" customWidth="1"/>
    <col min="12810" max="12815" width="7.42578125" style="66" customWidth="1"/>
    <col min="12816" max="12816" width="9.42578125" style="66" bestFit="1" customWidth="1"/>
    <col min="12817" max="12817" width="12" style="66" bestFit="1" customWidth="1"/>
    <col min="12818" max="12819" width="12" style="66" customWidth="1"/>
    <col min="12820" max="12820" width="13.140625" style="66" bestFit="1" customWidth="1"/>
    <col min="12821" max="12822" width="13.140625" style="66" customWidth="1"/>
    <col min="12823" max="12824" width="14.42578125" style="66" bestFit="1" customWidth="1"/>
    <col min="12825" max="12826" width="9.140625" style="66" customWidth="1"/>
    <col min="12827" max="12827" width="9.5703125" style="66" customWidth="1"/>
    <col min="12828" max="12829" width="9.5703125" style="66" bestFit="1" customWidth="1"/>
    <col min="12830" max="12831" width="10.140625" style="66" bestFit="1" customWidth="1"/>
    <col min="12832" max="12832" width="9.5703125" style="66" bestFit="1" customWidth="1"/>
    <col min="12833" max="12833" width="9.5703125" style="66" customWidth="1"/>
    <col min="12834" max="12834" width="9" style="66" customWidth="1"/>
    <col min="12835" max="12835" width="10.5703125" style="66" bestFit="1" customWidth="1"/>
    <col min="12836" max="12836" width="11.42578125" style="66" bestFit="1" customWidth="1"/>
    <col min="12837" max="12837" width="18" style="66" bestFit="1" customWidth="1"/>
    <col min="12838" max="13055" width="9.140625" style="66"/>
    <col min="13056" max="13056" width="41" style="66" customWidth="1"/>
    <col min="13057" max="13057" width="19.5703125" style="66" bestFit="1" customWidth="1"/>
    <col min="13058" max="13058" width="10.140625" style="66" customWidth="1"/>
    <col min="13059" max="13059" width="10.42578125" style="66" bestFit="1" customWidth="1"/>
    <col min="13060" max="13060" width="11.28515625" style="66" customWidth="1"/>
    <col min="13061" max="13061" width="9.42578125" style="66" customWidth="1"/>
    <col min="13062" max="13062" width="10.140625" style="66" bestFit="1" customWidth="1"/>
    <col min="13063" max="13064" width="9.140625" style="66"/>
    <col min="13065" max="13065" width="7.28515625" style="66" customWidth="1"/>
    <col min="13066" max="13071" width="7.42578125" style="66" customWidth="1"/>
    <col min="13072" max="13072" width="9.42578125" style="66" bestFit="1" customWidth="1"/>
    <col min="13073" max="13073" width="12" style="66" bestFit="1" customWidth="1"/>
    <col min="13074" max="13075" width="12" style="66" customWidth="1"/>
    <col min="13076" max="13076" width="13.140625" style="66" bestFit="1" customWidth="1"/>
    <col min="13077" max="13078" width="13.140625" style="66" customWidth="1"/>
    <col min="13079" max="13080" width="14.42578125" style="66" bestFit="1" customWidth="1"/>
    <col min="13081" max="13082" width="9.140625" style="66" customWidth="1"/>
    <col min="13083" max="13083" width="9.5703125" style="66" customWidth="1"/>
    <col min="13084" max="13085" width="9.5703125" style="66" bestFit="1" customWidth="1"/>
    <col min="13086" max="13087" width="10.140625" style="66" bestFit="1" customWidth="1"/>
    <col min="13088" max="13088" width="9.5703125" style="66" bestFit="1" customWidth="1"/>
    <col min="13089" max="13089" width="9.5703125" style="66" customWidth="1"/>
    <col min="13090" max="13090" width="9" style="66" customWidth="1"/>
    <col min="13091" max="13091" width="10.5703125" style="66" bestFit="1" customWidth="1"/>
    <col min="13092" max="13092" width="11.42578125" style="66" bestFit="1" customWidth="1"/>
    <col min="13093" max="13093" width="18" style="66" bestFit="1" customWidth="1"/>
    <col min="13094" max="13311" width="9.140625" style="66"/>
    <col min="13312" max="13312" width="41" style="66" customWidth="1"/>
    <col min="13313" max="13313" width="19.5703125" style="66" bestFit="1" customWidth="1"/>
    <col min="13314" max="13314" width="10.140625" style="66" customWidth="1"/>
    <col min="13315" max="13315" width="10.42578125" style="66" bestFit="1" customWidth="1"/>
    <col min="13316" max="13316" width="11.28515625" style="66" customWidth="1"/>
    <col min="13317" max="13317" width="9.42578125" style="66" customWidth="1"/>
    <col min="13318" max="13318" width="10.140625" style="66" bestFit="1" customWidth="1"/>
    <col min="13319" max="13320" width="9.140625" style="66"/>
    <col min="13321" max="13321" width="7.28515625" style="66" customWidth="1"/>
    <col min="13322" max="13327" width="7.42578125" style="66" customWidth="1"/>
    <col min="13328" max="13328" width="9.42578125" style="66" bestFit="1" customWidth="1"/>
    <col min="13329" max="13329" width="12" style="66" bestFit="1" customWidth="1"/>
    <col min="13330" max="13331" width="12" style="66" customWidth="1"/>
    <col min="13332" max="13332" width="13.140625" style="66" bestFit="1" customWidth="1"/>
    <col min="13333" max="13334" width="13.140625" style="66" customWidth="1"/>
    <col min="13335" max="13336" width="14.42578125" style="66" bestFit="1" customWidth="1"/>
    <col min="13337" max="13338" width="9.140625" style="66" customWidth="1"/>
    <col min="13339" max="13339" width="9.5703125" style="66" customWidth="1"/>
    <col min="13340" max="13341" width="9.5703125" style="66" bestFit="1" customWidth="1"/>
    <col min="13342" max="13343" width="10.140625" style="66" bestFit="1" customWidth="1"/>
    <col min="13344" max="13344" width="9.5703125" style="66" bestFit="1" customWidth="1"/>
    <col min="13345" max="13345" width="9.5703125" style="66" customWidth="1"/>
    <col min="13346" max="13346" width="9" style="66" customWidth="1"/>
    <col min="13347" max="13347" width="10.5703125" style="66" bestFit="1" customWidth="1"/>
    <col min="13348" max="13348" width="11.42578125" style="66" bestFit="1" customWidth="1"/>
    <col min="13349" max="13349" width="18" style="66" bestFit="1" customWidth="1"/>
    <col min="13350" max="13567" width="9.140625" style="66"/>
    <col min="13568" max="13568" width="41" style="66" customWidth="1"/>
    <col min="13569" max="13569" width="19.5703125" style="66" bestFit="1" customWidth="1"/>
    <col min="13570" max="13570" width="10.140625" style="66" customWidth="1"/>
    <col min="13571" max="13571" width="10.42578125" style="66" bestFit="1" customWidth="1"/>
    <col min="13572" max="13572" width="11.28515625" style="66" customWidth="1"/>
    <col min="13573" max="13573" width="9.42578125" style="66" customWidth="1"/>
    <col min="13574" max="13574" width="10.140625" style="66" bestFit="1" customWidth="1"/>
    <col min="13575" max="13576" width="9.140625" style="66"/>
    <col min="13577" max="13577" width="7.28515625" style="66" customWidth="1"/>
    <col min="13578" max="13583" width="7.42578125" style="66" customWidth="1"/>
    <col min="13584" max="13584" width="9.42578125" style="66" bestFit="1" customWidth="1"/>
    <col min="13585" max="13585" width="12" style="66" bestFit="1" customWidth="1"/>
    <col min="13586" max="13587" width="12" style="66" customWidth="1"/>
    <col min="13588" max="13588" width="13.140625" style="66" bestFit="1" customWidth="1"/>
    <col min="13589" max="13590" width="13.140625" style="66" customWidth="1"/>
    <col min="13591" max="13592" width="14.42578125" style="66" bestFit="1" customWidth="1"/>
    <col min="13593" max="13594" width="9.140625" style="66" customWidth="1"/>
    <col min="13595" max="13595" width="9.5703125" style="66" customWidth="1"/>
    <col min="13596" max="13597" width="9.5703125" style="66" bestFit="1" customWidth="1"/>
    <col min="13598" max="13599" width="10.140625" style="66" bestFit="1" customWidth="1"/>
    <col min="13600" max="13600" width="9.5703125" style="66" bestFit="1" customWidth="1"/>
    <col min="13601" max="13601" width="9.5703125" style="66" customWidth="1"/>
    <col min="13602" max="13602" width="9" style="66" customWidth="1"/>
    <col min="13603" max="13603" width="10.5703125" style="66" bestFit="1" customWidth="1"/>
    <col min="13604" max="13604" width="11.42578125" style="66" bestFit="1" customWidth="1"/>
    <col min="13605" max="13605" width="18" style="66" bestFit="1" customWidth="1"/>
    <col min="13606" max="13823" width="9.140625" style="66"/>
    <col min="13824" max="13824" width="41" style="66" customWidth="1"/>
    <col min="13825" max="13825" width="19.5703125" style="66" bestFit="1" customWidth="1"/>
    <col min="13826" max="13826" width="10.140625" style="66" customWidth="1"/>
    <col min="13827" max="13827" width="10.42578125" style="66" bestFit="1" customWidth="1"/>
    <col min="13828" max="13828" width="11.28515625" style="66" customWidth="1"/>
    <col min="13829" max="13829" width="9.42578125" style="66" customWidth="1"/>
    <col min="13830" max="13830" width="10.140625" style="66" bestFit="1" customWidth="1"/>
    <col min="13831" max="13832" width="9.140625" style="66"/>
    <col min="13833" max="13833" width="7.28515625" style="66" customWidth="1"/>
    <col min="13834" max="13839" width="7.42578125" style="66" customWidth="1"/>
    <col min="13840" max="13840" width="9.42578125" style="66" bestFit="1" customWidth="1"/>
    <col min="13841" max="13841" width="12" style="66" bestFit="1" customWidth="1"/>
    <col min="13842" max="13843" width="12" style="66" customWidth="1"/>
    <col min="13844" max="13844" width="13.140625" style="66" bestFit="1" customWidth="1"/>
    <col min="13845" max="13846" width="13.140625" style="66" customWidth="1"/>
    <col min="13847" max="13848" width="14.42578125" style="66" bestFit="1" customWidth="1"/>
    <col min="13849" max="13850" width="9.140625" style="66" customWidth="1"/>
    <col min="13851" max="13851" width="9.5703125" style="66" customWidth="1"/>
    <col min="13852" max="13853" width="9.5703125" style="66" bestFit="1" customWidth="1"/>
    <col min="13854" max="13855" width="10.140625" style="66" bestFit="1" customWidth="1"/>
    <col min="13856" max="13856" width="9.5703125" style="66" bestFit="1" customWidth="1"/>
    <col min="13857" max="13857" width="9.5703125" style="66" customWidth="1"/>
    <col min="13858" max="13858" width="9" style="66" customWidth="1"/>
    <col min="13859" max="13859" width="10.5703125" style="66" bestFit="1" customWidth="1"/>
    <col min="13860" max="13860" width="11.42578125" style="66" bestFit="1" customWidth="1"/>
    <col min="13861" max="13861" width="18" style="66" bestFit="1" customWidth="1"/>
    <col min="13862" max="14079" width="9.140625" style="66"/>
    <col min="14080" max="14080" width="41" style="66" customWidth="1"/>
    <col min="14081" max="14081" width="19.5703125" style="66" bestFit="1" customWidth="1"/>
    <col min="14082" max="14082" width="10.140625" style="66" customWidth="1"/>
    <col min="14083" max="14083" width="10.42578125" style="66" bestFit="1" customWidth="1"/>
    <col min="14084" max="14084" width="11.28515625" style="66" customWidth="1"/>
    <col min="14085" max="14085" width="9.42578125" style="66" customWidth="1"/>
    <col min="14086" max="14086" width="10.140625" style="66" bestFit="1" customWidth="1"/>
    <col min="14087" max="14088" width="9.140625" style="66"/>
    <col min="14089" max="14089" width="7.28515625" style="66" customWidth="1"/>
    <col min="14090" max="14095" width="7.42578125" style="66" customWidth="1"/>
    <col min="14096" max="14096" width="9.42578125" style="66" bestFit="1" customWidth="1"/>
    <col min="14097" max="14097" width="12" style="66" bestFit="1" customWidth="1"/>
    <col min="14098" max="14099" width="12" style="66" customWidth="1"/>
    <col min="14100" max="14100" width="13.140625" style="66" bestFit="1" customWidth="1"/>
    <col min="14101" max="14102" width="13.140625" style="66" customWidth="1"/>
    <col min="14103" max="14104" width="14.42578125" style="66" bestFit="1" customWidth="1"/>
    <col min="14105" max="14106" width="9.140625" style="66" customWidth="1"/>
    <col min="14107" max="14107" width="9.5703125" style="66" customWidth="1"/>
    <col min="14108" max="14109" width="9.5703125" style="66" bestFit="1" customWidth="1"/>
    <col min="14110" max="14111" width="10.140625" style="66" bestFit="1" customWidth="1"/>
    <col min="14112" max="14112" width="9.5703125" style="66" bestFit="1" customWidth="1"/>
    <col min="14113" max="14113" width="9.5703125" style="66" customWidth="1"/>
    <col min="14114" max="14114" width="9" style="66" customWidth="1"/>
    <col min="14115" max="14115" width="10.5703125" style="66" bestFit="1" customWidth="1"/>
    <col min="14116" max="14116" width="11.42578125" style="66" bestFit="1" customWidth="1"/>
    <col min="14117" max="14117" width="18" style="66" bestFit="1" customWidth="1"/>
    <col min="14118" max="14335" width="9.140625" style="66"/>
    <col min="14336" max="14336" width="41" style="66" customWidth="1"/>
    <col min="14337" max="14337" width="19.5703125" style="66" bestFit="1" customWidth="1"/>
    <col min="14338" max="14338" width="10.140625" style="66" customWidth="1"/>
    <col min="14339" max="14339" width="10.42578125" style="66" bestFit="1" customWidth="1"/>
    <col min="14340" max="14340" width="11.28515625" style="66" customWidth="1"/>
    <col min="14341" max="14341" width="9.42578125" style="66" customWidth="1"/>
    <col min="14342" max="14342" width="10.140625" style="66" bestFit="1" customWidth="1"/>
    <col min="14343" max="14344" width="9.140625" style="66"/>
    <col min="14345" max="14345" width="7.28515625" style="66" customWidth="1"/>
    <col min="14346" max="14351" width="7.42578125" style="66" customWidth="1"/>
    <col min="14352" max="14352" width="9.42578125" style="66" bestFit="1" customWidth="1"/>
    <col min="14353" max="14353" width="12" style="66" bestFit="1" customWidth="1"/>
    <col min="14354" max="14355" width="12" style="66" customWidth="1"/>
    <col min="14356" max="14356" width="13.140625" style="66" bestFit="1" customWidth="1"/>
    <col min="14357" max="14358" width="13.140625" style="66" customWidth="1"/>
    <col min="14359" max="14360" width="14.42578125" style="66" bestFit="1" customWidth="1"/>
    <col min="14361" max="14362" width="9.140625" style="66" customWidth="1"/>
    <col min="14363" max="14363" width="9.5703125" style="66" customWidth="1"/>
    <col min="14364" max="14365" width="9.5703125" style="66" bestFit="1" customWidth="1"/>
    <col min="14366" max="14367" width="10.140625" style="66" bestFit="1" customWidth="1"/>
    <col min="14368" max="14368" width="9.5703125" style="66" bestFit="1" customWidth="1"/>
    <col min="14369" max="14369" width="9.5703125" style="66" customWidth="1"/>
    <col min="14370" max="14370" width="9" style="66" customWidth="1"/>
    <col min="14371" max="14371" width="10.5703125" style="66" bestFit="1" customWidth="1"/>
    <col min="14372" max="14372" width="11.42578125" style="66" bestFit="1" customWidth="1"/>
    <col min="14373" max="14373" width="18" style="66" bestFit="1" customWidth="1"/>
    <col min="14374" max="14591" width="9.140625" style="66"/>
    <col min="14592" max="14592" width="41" style="66" customWidth="1"/>
    <col min="14593" max="14593" width="19.5703125" style="66" bestFit="1" customWidth="1"/>
    <col min="14594" max="14594" width="10.140625" style="66" customWidth="1"/>
    <col min="14595" max="14595" width="10.42578125" style="66" bestFit="1" customWidth="1"/>
    <col min="14596" max="14596" width="11.28515625" style="66" customWidth="1"/>
    <col min="14597" max="14597" width="9.42578125" style="66" customWidth="1"/>
    <col min="14598" max="14598" width="10.140625" style="66" bestFit="1" customWidth="1"/>
    <col min="14599" max="14600" width="9.140625" style="66"/>
    <col min="14601" max="14601" width="7.28515625" style="66" customWidth="1"/>
    <col min="14602" max="14607" width="7.42578125" style="66" customWidth="1"/>
    <col min="14608" max="14608" width="9.42578125" style="66" bestFit="1" customWidth="1"/>
    <col min="14609" max="14609" width="12" style="66" bestFit="1" customWidth="1"/>
    <col min="14610" max="14611" width="12" style="66" customWidth="1"/>
    <col min="14612" max="14612" width="13.140625" style="66" bestFit="1" customWidth="1"/>
    <col min="14613" max="14614" width="13.140625" style="66" customWidth="1"/>
    <col min="14615" max="14616" width="14.42578125" style="66" bestFit="1" customWidth="1"/>
    <col min="14617" max="14618" width="9.140625" style="66" customWidth="1"/>
    <col min="14619" max="14619" width="9.5703125" style="66" customWidth="1"/>
    <col min="14620" max="14621" width="9.5703125" style="66" bestFit="1" customWidth="1"/>
    <col min="14622" max="14623" width="10.140625" style="66" bestFit="1" customWidth="1"/>
    <col min="14624" max="14624" width="9.5703125" style="66" bestFit="1" customWidth="1"/>
    <col min="14625" max="14625" width="9.5703125" style="66" customWidth="1"/>
    <col min="14626" max="14626" width="9" style="66" customWidth="1"/>
    <col min="14627" max="14627" width="10.5703125" style="66" bestFit="1" customWidth="1"/>
    <col min="14628" max="14628" width="11.42578125" style="66" bestFit="1" customWidth="1"/>
    <col min="14629" max="14629" width="18" style="66" bestFit="1" customWidth="1"/>
    <col min="14630" max="14847" width="9.140625" style="66"/>
    <col min="14848" max="14848" width="41" style="66" customWidth="1"/>
    <col min="14849" max="14849" width="19.5703125" style="66" bestFit="1" customWidth="1"/>
    <col min="14850" max="14850" width="10.140625" style="66" customWidth="1"/>
    <col min="14851" max="14851" width="10.42578125" style="66" bestFit="1" customWidth="1"/>
    <col min="14852" max="14852" width="11.28515625" style="66" customWidth="1"/>
    <col min="14853" max="14853" width="9.42578125" style="66" customWidth="1"/>
    <col min="14854" max="14854" width="10.140625" style="66" bestFit="1" customWidth="1"/>
    <col min="14855" max="14856" width="9.140625" style="66"/>
    <col min="14857" max="14857" width="7.28515625" style="66" customWidth="1"/>
    <col min="14858" max="14863" width="7.42578125" style="66" customWidth="1"/>
    <col min="14864" max="14864" width="9.42578125" style="66" bestFit="1" customWidth="1"/>
    <col min="14865" max="14865" width="12" style="66" bestFit="1" customWidth="1"/>
    <col min="14866" max="14867" width="12" style="66" customWidth="1"/>
    <col min="14868" max="14868" width="13.140625" style="66" bestFit="1" customWidth="1"/>
    <col min="14869" max="14870" width="13.140625" style="66" customWidth="1"/>
    <col min="14871" max="14872" width="14.42578125" style="66" bestFit="1" customWidth="1"/>
    <col min="14873" max="14874" width="9.140625" style="66" customWidth="1"/>
    <col min="14875" max="14875" width="9.5703125" style="66" customWidth="1"/>
    <col min="14876" max="14877" width="9.5703125" style="66" bestFit="1" customWidth="1"/>
    <col min="14878" max="14879" width="10.140625" style="66" bestFit="1" customWidth="1"/>
    <col min="14880" max="14880" width="9.5703125" style="66" bestFit="1" customWidth="1"/>
    <col min="14881" max="14881" width="9.5703125" style="66" customWidth="1"/>
    <col min="14882" max="14882" width="9" style="66" customWidth="1"/>
    <col min="14883" max="14883" width="10.5703125" style="66" bestFit="1" customWidth="1"/>
    <col min="14884" max="14884" width="11.42578125" style="66" bestFit="1" customWidth="1"/>
    <col min="14885" max="14885" width="18" style="66" bestFit="1" customWidth="1"/>
    <col min="14886" max="15103" width="9.140625" style="66"/>
    <col min="15104" max="15104" width="41" style="66" customWidth="1"/>
    <col min="15105" max="15105" width="19.5703125" style="66" bestFit="1" customWidth="1"/>
    <col min="15106" max="15106" width="10.140625" style="66" customWidth="1"/>
    <col min="15107" max="15107" width="10.42578125" style="66" bestFit="1" customWidth="1"/>
    <col min="15108" max="15108" width="11.28515625" style="66" customWidth="1"/>
    <col min="15109" max="15109" width="9.42578125" style="66" customWidth="1"/>
    <col min="15110" max="15110" width="10.140625" style="66" bestFit="1" customWidth="1"/>
    <col min="15111" max="15112" width="9.140625" style="66"/>
    <col min="15113" max="15113" width="7.28515625" style="66" customWidth="1"/>
    <col min="15114" max="15119" width="7.42578125" style="66" customWidth="1"/>
    <col min="15120" max="15120" width="9.42578125" style="66" bestFit="1" customWidth="1"/>
    <col min="15121" max="15121" width="12" style="66" bestFit="1" customWidth="1"/>
    <col min="15122" max="15123" width="12" style="66" customWidth="1"/>
    <col min="15124" max="15124" width="13.140625" style="66" bestFit="1" customWidth="1"/>
    <col min="15125" max="15126" width="13.140625" style="66" customWidth="1"/>
    <col min="15127" max="15128" width="14.42578125" style="66" bestFit="1" customWidth="1"/>
    <col min="15129" max="15130" width="9.140625" style="66" customWidth="1"/>
    <col min="15131" max="15131" width="9.5703125" style="66" customWidth="1"/>
    <col min="15132" max="15133" width="9.5703125" style="66" bestFit="1" customWidth="1"/>
    <col min="15134" max="15135" width="10.140625" style="66" bestFit="1" customWidth="1"/>
    <col min="15136" max="15136" width="9.5703125" style="66" bestFit="1" customWidth="1"/>
    <col min="15137" max="15137" width="9.5703125" style="66" customWidth="1"/>
    <col min="15138" max="15138" width="9" style="66" customWidth="1"/>
    <col min="15139" max="15139" width="10.5703125" style="66" bestFit="1" customWidth="1"/>
    <col min="15140" max="15140" width="11.42578125" style="66" bestFit="1" customWidth="1"/>
    <col min="15141" max="15141" width="18" style="66" bestFit="1" customWidth="1"/>
    <col min="15142" max="15359" width="9.140625" style="66"/>
    <col min="15360" max="15360" width="41" style="66" customWidth="1"/>
    <col min="15361" max="15361" width="19.5703125" style="66" bestFit="1" customWidth="1"/>
    <col min="15362" max="15362" width="10.140625" style="66" customWidth="1"/>
    <col min="15363" max="15363" width="10.42578125" style="66" bestFit="1" customWidth="1"/>
    <col min="15364" max="15364" width="11.28515625" style="66" customWidth="1"/>
    <col min="15365" max="15365" width="9.42578125" style="66" customWidth="1"/>
    <col min="15366" max="15366" width="10.140625" style="66" bestFit="1" customWidth="1"/>
    <col min="15367" max="15368" width="9.140625" style="66"/>
    <col min="15369" max="15369" width="7.28515625" style="66" customWidth="1"/>
    <col min="15370" max="15375" width="7.42578125" style="66" customWidth="1"/>
    <col min="15376" max="15376" width="9.42578125" style="66" bestFit="1" customWidth="1"/>
    <col min="15377" max="15377" width="12" style="66" bestFit="1" customWidth="1"/>
    <col min="15378" max="15379" width="12" style="66" customWidth="1"/>
    <col min="15380" max="15380" width="13.140625" style="66" bestFit="1" customWidth="1"/>
    <col min="15381" max="15382" width="13.140625" style="66" customWidth="1"/>
    <col min="15383" max="15384" width="14.42578125" style="66" bestFit="1" customWidth="1"/>
    <col min="15385" max="15386" width="9.140625" style="66" customWidth="1"/>
    <col min="15387" max="15387" width="9.5703125" style="66" customWidth="1"/>
    <col min="15388" max="15389" width="9.5703125" style="66" bestFit="1" customWidth="1"/>
    <col min="15390" max="15391" width="10.140625" style="66" bestFit="1" customWidth="1"/>
    <col min="15392" max="15392" width="9.5703125" style="66" bestFit="1" customWidth="1"/>
    <col min="15393" max="15393" width="9.5703125" style="66" customWidth="1"/>
    <col min="15394" max="15394" width="9" style="66" customWidth="1"/>
    <col min="15395" max="15395" width="10.5703125" style="66" bestFit="1" customWidth="1"/>
    <col min="15396" max="15396" width="11.42578125" style="66" bestFit="1" customWidth="1"/>
    <col min="15397" max="15397" width="18" style="66" bestFit="1" customWidth="1"/>
    <col min="15398" max="15615" width="9.140625" style="66"/>
    <col min="15616" max="15616" width="41" style="66" customWidth="1"/>
    <col min="15617" max="15617" width="19.5703125" style="66" bestFit="1" customWidth="1"/>
    <col min="15618" max="15618" width="10.140625" style="66" customWidth="1"/>
    <col min="15619" max="15619" width="10.42578125" style="66" bestFit="1" customWidth="1"/>
    <col min="15620" max="15620" width="11.28515625" style="66" customWidth="1"/>
    <col min="15621" max="15621" width="9.42578125" style="66" customWidth="1"/>
    <col min="15622" max="15622" width="10.140625" style="66" bestFit="1" customWidth="1"/>
    <col min="15623" max="15624" width="9.140625" style="66"/>
    <col min="15625" max="15625" width="7.28515625" style="66" customWidth="1"/>
    <col min="15626" max="15631" width="7.42578125" style="66" customWidth="1"/>
    <col min="15632" max="15632" width="9.42578125" style="66" bestFit="1" customWidth="1"/>
    <col min="15633" max="15633" width="12" style="66" bestFit="1" customWidth="1"/>
    <col min="15634" max="15635" width="12" style="66" customWidth="1"/>
    <col min="15636" max="15636" width="13.140625" style="66" bestFit="1" customWidth="1"/>
    <col min="15637" max="15638" width="13.140625" style="66" customWidth="1"/>
    <col min="15639" max="15640" width="14.42578125" style="66" bestFit="1" customWidth="1"/>
    <col min="15641" max="15642" width="9.140625" style="66" customWidth="1"/>
    <col min="15643" max="15643" width="9.5703125" style="66" customWidth="1"/>
    <col min="15644" max="15645" width="9.5703125" style="66" bestFit="1" customWidth="1"/>
    <col min="15646" max="15647" width="10.140625" style="66" bestFit="1" customWidth="1"/>
    <col min="15648" max="15648" width="9.5703125" style="66" bestFit="1" customWidth="1"/>
    <col min="15649" max="15649" width="9.5703125" style="66" customWidth="1"/>
    <col min="15650" max="15650" width="9" style="66" customWidth="1"/>
    <col min="15651" max="15651" width="10.5703125" style="66" bestFit="1" customWidth="1"/>
    <col min="15652" max="15652" width="11.42578125" style="66" bestFit="1" customWidth="1"/>
    <col min="15653" max="15653" width="18" style="66" bestFit="1" customWidth="1"/>
    <col min="15654" max="15871" width="9.140625" style="66"/>
    <col min="15872" max="15872" width="41" style="66" customWidth="1"/>
    <col min="15873" max="15873" width="19.5703125" style="66" bestFit="1" customWidth="1"/>
    <col min="15874" max="15874" width="10.140625" style="66" customWidth="1"/>
    <col min="15875" max="15875" width="10.42578125" style="66" bestFit="1" customWidth="1"/>
    <col min="15876" max="15876" width="11.28515625" style="66" customWidth="1"/>
    <col min="15877" max="15877" width="9.42578125" style="66" customWidth="1"/>
    <col min="15878" max="15878" width="10.140625" style="66" bestFit="1" customWidth="1"/>
    <col min="15879" max="15880" width="9.140625" style="66"/>
    <col min="15881" max="15881" width="7.28515625" style="66" customWidth="1"/>
    <col min="15882" max="15887" width="7.42578125" style="66" customWidth="1"/>
    <col min="15888" max="15888" width="9.42578125" style="66" bestFit="1" customWidth="1"/>
    <col min="15889" max="15889" width="12" style="66" bestFit="1" customWidth="1"/>
    <col min="15890" max="15891" width="12" style="66" customWidth="1"/>
    <col min="15892" max="15892" width="13.140625" style="66" bestFit="1" customWidth="1"/>
    <col min="15893" max="15894" width="13.140625" style="66" customWidth="1"/>
    <col min="15895" max="15896" width="14.42578125" style="66" bestFit="1" customWidth="1"/>
    <col min="15897" max="15898" width="9.140625" style="66" customWidth="1"/>
    <col min="15899" max="15899" width="9.5703125" style="66" customWidth="1"/>
    <col min="15900" max="15901" width="9.5703125" style="66" bestFit="1" customWidth="1"/>
    <col min="15902" max="15903" width="10.140625" style="66" bestFit="1" customWidth="1"/>
    <col min="15904" max="15904" width="9.5703125" style="66" bestFit="1" customWidth="1"/>
    <col min="15905" max="15905" width="9.5703125" style="66" customWidth="1"/>
    <col min="15906" max="15906" width="9" style="66" customWidth="1"/>
    <col min="15907" max="15907" width="10.5703125" style="66" bestFit="1" customWidth="1"/>
    <col min="15908" max="15908" width="11.42578125" style="66" bestFit="1" customWidth="1"/>
    <col min="15909" max="15909" width="18" style="66" bestFit="1" customWidth="1"/>
    <col min="15910" max="16127" width="9.140625" style="66"/>
    <col min="16128" max="16128" width="41" style="66" customWidth="1"/>
    <col min="16129" max="16129" width="19.5703125" style="66" bestFit="1" customWidth="1"/>
    <col min="16130" max="16130" width="10.140625" style="66" customWidth="1"/>
    <col min="16131" max="16131" width="10.42578125" style="66" bestFit="1" customWidth="1"/>
    <col min="16132" max="16132" width="11.28515625" style="66" customWidth="1"/>
    <col min="16133" max="16133" width="9.42578125" style="66" customWidth="1"/>
    <col min="16134" max="16134" width="10.140625" style="66" bestFit="1" customWidth="1"/>
    <col min="16135" max="16136" width="9.140625" style="66"/>
    <col min="16137" max="16137" width="7.28515625" style="66" customWidth="1"/>
    <col min="16138" max="16143" width="7.42578125" style="66" customWidth="1"/>
    <col min="16144" max="16144" width="9.42578125" style="66" bestFit="1" customWidth="1"/>
    <col min="16145" max="16145" width="12" style="66" bestFit="1" customWidth="1"/>
    <col min="16146" max="16147" width="12" style="66" customWidth="1"/>
    <col min="16148" max="16148" width="13.140625" style="66" bestFit="1" customWidth="1"/>
    <col min="16149" max="16150" width="13.140625" style="66" customWidth="1"/>
    <col min="16151" max="16152" width="14.42578125" style="66" bestFit="1" customWidth="1"/>
    <col min="16153" max="16154" width="9.140625" style="66" customWidth="1"/>
    <col min="16155" max="16155" width="9.5703125" style="66" customWidth="1"/>
    <col min="16156" max="16157" width="9.5703125" style="66" bestFit="1" customWidth="1"/>
    <col min="16158" max="16159" width="10.140625" style="66" bestFit="1" customWidth="1"/>
    <col min="16160" max="16160" width="9.5703125" style="66" bestFit="1" customWidth="1"/>
    <col min="16161" max="16161" width="9.5703125" style="66" customWidth="1"/>
    <col min="16162" max="16162" width="9" style="66" customWidth="1"/>
    <col min="16163" max="16163" width="10.5703125" style="66" bestFit="1" customWidth="1"/>
    <col min="16164" max="16164" width="11.42578125" style="66" bestFit="1" customWidth="1"/>
    <col min="16165" max="16165" width="18" style="66" bestFit="1" customWidth="1"/>
    <col min="16166" max="16384" width="9.140625" style="66"/>
  </cols>
  <sheetData>
    <row r="1" spans="1:24" ht="24" customHeight="1" x14ac:dyDescent="0.2">
      <c r="A1" s="174" t="str">
        <f>'AUTO CALCULATION SHEET (2)'!A2:R2</f>
        <v>KANPUR ELECTRICITY SUPPLY COMPANY LIMITED</v>
      </c>
      <c r="B1" s="175"/>
      <c r="C1" s="175"/>
      <c r="D1" s="175"/>
      <c r="E1" s="175"/>
      <c r="F1" s="175"/>
      <c r="G1" s="175"/>
      <c r="H1" s="176"/>
      <c r="I1" s="63"/>
      <c r="J1" s="64"/>
      <c r="K1" s="64"/>
      <c r="L1" s="64"/>
      <c r="M1" s="64"/>
      <c r="N1" s="64"/>
      <c r="O1" s="64"/>
      <c r="P1" s="64"/>
      <c r="Q1" s="64"/>
      <c r="R1" s="64"/>
      <c r="S1" s="64"/>
      <c r="T1" s="64"/>
      <c r="U1" s="65"/>
      <c r="V1" s="65"/>
      <c r="W1" s="65"/>
      <c r="X1" s="65"/>
    </row>
    <row r="2" spans="1:24" ht="46.5" customHeight="1" x14ac:dyDescent="0.25">
      <c r="A2" s="177" t="s">
        <v>237</v>
      </c>
      <c r="B2" s="177"/>
      <c r="C2" s="177"/>
      <c r="D2" s="177"/>
      <c r="E2" s="177"/>
      <c r="F2" s="177"/>
      <c r="G2" s="177"/>
      <c r="H2" s="177"/>
      <c r="I2" s="67"/>
      <c r="J2" s="64"/>
      <c r="K2" s="64"/>
      <c r="L2" s="64"/>
      <c r="M2" s="64"/>
      <c r="N2" s="64"/>
      <c r="O2" s="64"/>
      <c r="P2" s="64"/>
      <c r="Q2" s="64"/>
      <c r="R2" s="64"/>
      <c r="S2" s="64"/>
      <c r="T2" s="64"/>
      <c r="U2" s="65"/>
      <c r="V2" s="65"/>
      <c r="W2" s="65"/>
      <c r="X2" s="65"/>
    </row>
    <row r="3" spans="1:24" ht="24.75" customHeight="1" x14ac:dyDescent="0.2">
      <c r="A3" s="68" t="s">
        <v>134</v>
      </c>
      <c r="B3" s="178">
        <v>45170</v>
      </c>
      <c r="C3" s="179"/>
      <c r="D3" s="179"/>
      <c r="E3" s="179"/>
      <c r="F3" s="179"/>
      <c r="G3" s="179"/>
      <c r="H3" s="179"/>
      <c r="I3" s="69"/>
      <c r="J3" s="70"/>
      <c r="K3" s="70"/>
      <c r="L3" s="70"/>
      <c r="M3" s="70"/>
      <c r="N3" s="70"/>
      <c r="O3" s="70"/>
      <c r="P3" s="70"/>
      <c r="Q3" s="70"/>
      <c r="R3" s="70"/>
      <c r="S3" s="70"/>
      <c r="T3" s="70"/>
      <c r="U3" s="65"/>
      <c r="V3" s="65"/>
      <c r="W3" s="65"/>
      <c r="X3" s="65"/>
    </row>
    <row r="4" spans="1:24" ht="99" hidden="1" customHeight="1" x14ac:dyDescent="0.2">
      <c r="A4" s="71" t="s">
        <v>188</v>
      </c>
      <c r="B4" s="180"/>
      <c r="C4" s="181"/>
      <c r="D4" s="181"/>
      <c r="E4" s="181"/>
      <c r="F4" s="181"/>
      <c r="G4" s="181"/>
      <c r="H4" s="181"/>
      <c r="I4" s="182"/>
      <c r="J4" s="182"/>
      <c r="K4" s="182"/>
      <c r="L4" s="182"/>
      <c r="M4" s="182"/>
      <c r="N4" s="182"/>
      <c r="O4" s="182"/>
      <c r="P4" s="182"/>
      <c r="Q4" s="182"/>
      <c r="R4" s="182"/>
      <c r="S4" s="64"/>
      <c r="T4" s="64"/>
      <c r="U4" s="65"/>
      <c r="V4" s="65"/>
      <c r="W4" s="65"/>
      <c r="X4" s="65"/>
    </row>
    <row r="5" spans="1:24" ht="12.75" hidden="1" customHeight="1" x14ac:dyDescent="0.2">
      <c r="A5" s="183" t="s">
        <v>189</v>
      </c>
      <c r="B5" s="183"/>
      <c r="C5" s="183"/>
      <c r="D5" s="183"/>
      <c r="E5" s="183"/>
      <c r="F5" s="183"/>
      <c r="G5" s="183"/>
      <c r="H5" s="183"/>
      <c r="I5" s="182"/>
      <c r="J5" s="182"/>
      <c r="K5" s="182"/>
      <c r="L5" s="182"/>
      <c r="M5" s="182"/>
      <c r="N5" s="182"/>
      <c r="O5" s="182"/>
      <c r="P5" s="182"/>
      <c r="Q5" s="182"/>
      <c r="R5" s="182"/>
    </row>
    <row r="6" spans="1:24" s="74" customFormat="1" ht="12.75" hidden="1" customHeight="1" x14ac:dyDescent="0.2">
      <c r="A6" s="184" t="s">
        <v>190</v>
      </c>
      <c r="B6" s="183"/>
      <c r="C6" s="183"/>
      <c r="D6" s="183"/>
      <c r="E6" s="183"/>
      <c r="F6" s="183"/>
      <c r="G6" s="183"/>
      <c r="H6" s="183"/>
      <c r="I6" s="182"/>
      <c r="J6" s="182"/>
      <c r="K6" s="182"/>
      <c r="L6" s="182"/>
      <c r="M6" s="182"/>
      <c r="N6" s="182"/>
      <c r="O6" s="182"/>
      <c r="P6" s="182"/>
      <c r="Q6" s="182"/>
      <c r="R6" s="182"/>
      <c r="S6" s="72"/>
      <c r="T6" s="72"/>
      <c r="U6" s="73"/>
      <c r="V6" s="73"/>
      <c r="W6" s="73"/>
      <c r="X6" s="73"/>
    </row>
    <row r="7" spans="1:24" s="74" customFormat="1" ht="25.5" hidden="1" customHeight="1" x14ac:dyDescent="0.2">
      <c r="A7" s="183"/>
      <c r="B7" s="183"/>
      <c r="C7" s="183"/>
      <c r="D7" s="183"/>
      <c r="E7" s="183"/>
      <c r="F7" s="183"/>
      <c r="G7" s="183"/>
      <c r="H7" s="183"/>
      <c r="I7" s="72"/>
      <c r="J7" s="72"/>
      <c r="K7" s="72"/>
      <c r="L7" s="72"/>
      <c r="M7" s="72"/>
      <c r="N7" s="72"/>
      <c r="O7" s="72"/>
      <c r="P7" s="72"/>
      <c r="Q7" s="72"/>
      <c r="R7" s="72"/>
      <c r="S7" s="72"/>
      <c r="T7" s="72"/>
      <c r="U7" s="185"/>
      <c r="V7" s="185"/>
      <c r="W7" s="185"/>
      <c r="X7" s="185"/>
    </row>
    <row r="8" spans="1:24" hidden="1" x14ac:dyDescent="0.2">
      <c r="A8" s="75"/>
      <c r="B8" s="75"/>
      <c r="C8" s="75"/>
      <c r="D8" s="75"/>
      <c r="E8" s="75"/>
      <c r="F8" s="75"/>
      <c r="G8" s="75"/>
      <c r="H8" s="75"/>
      <c r="I8" s="75"/>
      <c r="J8" s="76"/>
      <c r="K8" s="76"/>
      <c r="L8" s="76"/>
      <c r="M8" s="76"/>
      <c r="N8" s="76"/>
      <c r="O8" s="76"/>
      <c r="P8" s="76"/>
      <c r="Q8" s="76"/>
      <c r="R8" s="76"/>
      <c r="S8" s="76"/>
      <c r="T8" s="76"/>
      <c r="U8" s="74"/>
      <c r="V8" s="74"/>
      <c r="W8" s="74"/>
      <c r="X8" s="74"/>
    </row>
    <row r="9" spans="1:24" ht="18.75" hidden="1" customHeight="1" x14ac:dyDescent="0.2">
      <c r="A9" s="77" t="s">
        <v>191</v>
      </c>
      <c r="B9" s="78" t="s">
        <v>192</v>
      </c>
      <c r="C9" s="75"/>
      <c r="D9" s="75"/>
      <c r="E9" s="75"/>
      <c r="F9" s="75"/>
      <c r="G9" s="75"/>
      <c r="H9" s="75"/>
      <c r="I9" s="75"/>
      <c r="J9" s="76"/>
      <c r="K9" s="76"/>
      <c r="L9" s="76"/>
      <c r="M9" s="76"/>
      <c r="N9" s="76"/>
      <c r="O9" s="76"/>
      <c r="P9" s="76"/>
      <c r="Q9" s="76"/>
      <c r="R9" s="76"/>
      <c r="S9" s="76"/>
      <c r="T9" s="76"/>
      <c r="U9" s="74"/>
      <c r="V9" s="74"/>
      <c r="W9" s="74"/>
      <c r="X9" s="74"/>
    </row>
    <row r="10" spans="1:24" ht="25.5" hidden="1" x14ac:dyDescent="0.2">
      <c r="A10" s="77" t="s">
        <v>193</v>
      </c>
      <c r="B10" s="78" t="s">
        <v>194</v>
      </c>
      <c r="C10" s="79"/>
      <c r="D10" s="80"/>
      <c r="E10" s="80"/>
      <c r="F10" s="80"/>
      <c r="G10" s="80"/>
      <c r="H10" s="80"/>
      <c r="I10" s="80"/>
      <c r="J10" s="80"/>
      <c r="K10" s="80"/>
      <c r="L10" s="80"/>
      <c r="M10" s="80"/>
      <c r="N10" s="80"/>
      <c r="O10" s="80"/>
      <c r="P10" s="81"/>
      <c r="Q10" s="76"/>
      <c r="R10" s="82"/>
      <c r="S10" s="82"/>
      <c r="T10" s="82"/>
      <c r="U10" s="74"/>
      <c r="V10" s="74"/>
      <c r="W10" s="74"/>
      <c r="X10" s="74"/>
    </row>
    <row r="11" spans="1:24" ht="25.5" hidden="1" x14ac:dyDescent="0.2">
      <c r="A11" s="77" t="s">
        <v>195</v>
      </c>
      <c r="B11" s="78" t="s">
        <v>196</v>
      </c>
      <c r="C11" s="79"/>
      <c r="D11" s="80"/>
      <c r="E11" s="80"/>
      <c r="F11" s="80"/>
      <c r="G11" s="80"/>
      <c r="H11" s="80"/>
      <c r="I11" s="80"/>
      <c r="J11" s="80"/>
      <c r="K11" s="80"/>
      <c r="L11" s="80"/>
      <c r="M11" s="80"/>
      <c r="N11" s="80"/>
      <c r="O11" s="80"/>
      <c r="P11" s="80"/>
      <c r="Q11" s="80"/>
      <c r="R11" s="80"/>
      <c r="S11" s="80"/>
      <c r="T11" s="80"/>
      <c r="U11" s="80"/>
      <c r="V11" s="74"/>
      <c r="W11" s="74"/>
      <c r="X11" s="74"/>
    </row>
    <row r="12" spans="1:24" ht="25.5" hidden="1" x14ac:dyDescent="0.2">
      <c r="A12" s="77" t="s">
        <v>197</v>
      </c>
      <c r="B12" s="78" t="s">
        <v>198</v>
      </c>
      <c r="C12" s="75"/>
      <c r="D12" s="75"/>
      <c r="E12" s="75"/>
      <c r="F12" s="75"/>
      <c r="G12" s="75"/>
      <c r="H12" s="75"/>
      <c r="I12" s="75"/>
      <c r="J12" s="76"/>
      <c r="K12" s="76"/>
      <c r="L12" s="76"/>
      <c r="M12" s="76"/>
      <c r="N12" s="76"/>
      <c r="O12" s="76"/>
      <c r="P12" s="76"/>
      <c r="Q12" s="76"/>
      <c r="R12" s="82"/>
      <c r="S12" s="82"/>
      <c r="T12" s="82"/>
      <c r="U12" s="74"/>
      <c r="V12" s="74"/>
      <c r="W12" s="74"/>
      <c r="X12" s="74"/>
    </row>
    <row r="13" spans="1:24" ht="63.75" hidden="1" x14ac:dyDescent="0.2">
      <c r="A13" s="77" t="s">
        <v>199</v>
      </c>
      <c r="B13" s="154" t="s">
        <v>200</v>
      </c>
      <c r="C13" s="75"/>
      <c r="D13" s="75"/>
      <c r="E13" s="75"/>
      <c r="F13" s="75"/>
      <c r="G13" s="75"/>
      <c r="H13" s="75"/>
      <c r="I13" s="75"/>
      <c r="J13" s="76"/>
      <c r="K13" s="76"/>
      <c r="L13" s="76"/>
      <c r="M13" s="76"/>
      <c r="N13" s="76"/>
      <c r="O13" s="76"/>
      <c r="P13" s="76"/>
      <c r="Q13" s="76"/>
      <c r="R13" s="82"/>
      <c r="S13" s="82"/>
      <c r="T13" s="82"/>
      <c r="U13" s="74"/>
      <c r="V13" s="74"/>
      <c r="W13" s="74"/>
      <c r="X13" s="74"/>
    </row>
    <row r="14" spans="1:24" ht="56.25" customHeight="1" x14ac:dyDescent="0.2">
      <c r="A14" s="68" t="s">
        <v>239</v>
      </c>
      <c r="B14" s="206" t="s">
        <v>238</v>
      </c>
      <c r="C14" s="206"/>
      <c r="D14" s="206"/>
      <c r="E14" s="206"/>
      <c r="F14" s="206"/>
      <c r="G14" s="206"/>
      <c r="H14" s="206"/>
      <c r="I14" s="75"/>
      <c r="J14" s="207" t="s">
        <v>241</v>
      </c>
      <c r="K14" s="207"/>
      <c r="L14" s="207"/>
      <c r="M14" s="207"/>
      <c r="N14" s="207"/>
      <c r="O14" s="76"/>
      <c r="P14" s="76"/>
      <c r="Q14" s="76"/>
      <c r="R14" s="82"/>
      <c r="S14" s="82"/>
      <c r="T14" s="82"/>
      <c r="U14" s="74"/>
      <c r="V14" s="74"/>
      <c r="W14" s="74"/>
      <c r="X14" s="74"/>
    </row>
    <row r="15" spans="1:24" ht="15" x14ac:dyDescent="0.2">
      <c r="A15" s="37"/>
      <c r="B15" s="153"/>
      <c r="C15" s="75"/>
      <c r="D15" s="75"/>
      <c r="E15" s="75"/>
      <c r="F15" s="75"/>
      <c r="G15" s="75"/>
      <c r="H15" s="75"/>
      <c r="I15" s="75"/>
      <c r="J15" s="76"/>
      <c r="K15" s="76"/>
      <c r="L15" s="76"/>
      <c r="M15" s="76"/>
      <c r="N15" s="76"/>
      <c r="O15" s="76"/>
      <c r="P15" s="76"/>
      <c r="Q15" s="76"/>
      <c r="R15" s="82"/>
      <c r="S15" s="82"/>
      <c r="T15" s="82"/>
      <c r="U15" s="74"/>
      <c r="V15" s="74"/>
      <c r="W15" s="74"/>
      <c r="X15" s="74"/>
    </row>
    <row r="16" spans="1:24" x14ac:dyDescent="0.2">
      <c r="B16" s="75"/>
      <c r="C16" s="75"/>
      <c r="D16" s="75"/>
      <c r="E16" s="75"/>
      <c r="F16" s="75"/>
      <c r="G16" s="75"/>
      <c r="H16" s="75"/>
      <c r="I16" s="75"/>
      <c r="J16" s="76"/>
      <c r="K16" s="76"/>
      <c r="L16" s="76"/>
      <c r="M16" s="76"/>
      <c r="N16" s="76"/>
      <c r="O16" s="76"/>
      <c r="P16" s="76"/>
      <c r="Q16" s="76"/>
      <c r="R16" s="76"/>
      <c r="S16" s="76"/>
      <c r="T16" s="76"/>
      <c r="U16" s="74"/>
      <c r="V16" s="74"/>
      <c r="W16" s="74"/>
      <c r="X16" s="74"/>
    </row>
    <row r="17" spans="1:41" x14ac:dyDescent="0.2">
      <c r="A17" s="83" t="s">
        <v>201</v>
      </c>
      <c r="B17" s="84" t="s">
        <v>202</v>
      </c>
      <c r="C17" s="75"/>
      <c r="D17" s="75"/>
      <c r="E17" s="75"/>
      <c r="F17" s="75"/>
      <c r="G17" s="75"/>
      <c r="H17" s="75"/>
      <c r="I17" s="75"/>
      <c r="J17" s="76"/>
      <c r="K17" s="76"/>
      <c r="L17" s="76"/>
      <c r="M17" s="76"/>
      <c r="N17" s="76"/>
      <c r="O17" s="76"/>
      <c r="P17" s="76"/>
      <c r="Q17" s="76"/>
      <c r="R17" s="76"/>
      <c r="S17" s="76"/>
      <c r="T17" s="76"/>
      <c r="U17" s="74"/>
      <c r="V17" s="74"/>
      <c r="W17" s="74"/>
      <c r="X17" s="74"/>
    </row>
    <row r="18" spans="1:41" ht="38.25" x14ac:dyDescent="0.2">
      <c r="A18" s="85" t="str">
        <f>'AUTO CALCULATION SHEET (2)'!D18</f>
        <v>3 CORE X 120 SQ MM + 1 CORE X 16 SQ MM + 1 CORE X 95 SQ MM (AB CABLES) (BARE)</v>
      </c>
      <c r="B18" s="86">
        <f>'AUTO CALCULATION SHEET (2)'!E18</f>
        <v>367356.23183999991</v>
      </c>
      <c r="C18" s="75"/>
      <c r="D18" s="80"/>
      <c r="E18" s="80"/>
      <c r="F18" s="80"/>
      <c r="G18" s="80"/>
      <c r="H18" s="80"/>
      <c r="I18" s="80"/>
      <c r="J18" s="80"/>
      <c r="K18" s="80"/>
      <c r="L18" s="80"/>
      <c r="M18" s="80"/>
      <c r="N18" s="76"/>
      <c r="O18" s="76"/>
      <c r="P18" s="76"/>
      <c r="Q18" s="76"/>
      <c r="R18" s="76"/>
      <c r="S18" s="76"/>
      <c r="T18" s="76"/>
      <c r="U18" s="74"/>
      <c r="V18" s="74"/>
      <c r="W18" s="74"/>
      <c r="X18" s="74"/>
    </row>
    <row r="19" spans="1:41" ht="38.25" x14ac:dyDescent="0.2">
      <c r="A19" s="85" t="str">
        <f>'AUTO CALCULATION SHEET (2)'!D19</f>
        <v>3 CORE X 150 SQ MM + 1 CORE X 125 SQ MM + 1 CORE X 16 SQ MM (AB CABLES) (BARE)</v>
      </c>
      <c r="B19" s="86">
        <f>'AUTO CALCULATION SHEET (2)'!E19</f>
        <v>473525.19968000008</v>
      </c>
      <c r="C19" s="75"/>
      <c r="D19" s="80"/>
      <c r="E19" s="80"/>
      <c r="F19" s="80"/>
      <c r="G19" s="80"/>
      <c r="H19" s="80"/>
      <c r="I19" s="80"/>
      <c r="J19" s="80"/>
      <c r="K19" s="80"/>
      <c r="L19" s="80"/>
      <c r="M19" s="80"/>
      <c r="N19" s="76"/>
      <c r="O19" s="76"/>
      <c r="P19" s="76"/>
      <c r="Q19" s="76"/>
      <c r="R19" s="76"/>
      <c r="S19" s="76"/>
      <c r="T19" s="76"/>
      <c r="U19" s="74"/>
      <c r="V19" s="74"/>
      <c r="W19" s="74"/>
      <c r="X19" s="74"/>
    </row>
    <row r="20" spans="1:41" ht="30" customHeight="1" thickBot="1" x14ac:dyDescent="0.25">
      <c r="C20" s="70"/>
      <c r="D20" s="87"/>
      <c r="E20" s="76"/>
      <c r="F20" s="76"/>
      <c r="G20" s="76"/>
      <c r="H20" s="76"/>
      <c r="I20" s="76"/>
      <c r="J20" s="76"/>
      <c r="K20" s="76"/>
      <c r="L20" s="76"/>
      <c r="M20" s="76"/>
      <c r="N20" s="76"/>
      <c r="O20" s="76"/>
      <c r="P20" s="76"/>
      <c r="Q20" s="76"/>
      <c r="R20" s="76"/>
      <c r="S20" s="76"/>
      <c r="T20" s="76"/>
      <c r="U20" s="65"/>
      <c r="V20" s="65"/>
      <c r="W20" s="65"/>
      <c r="X20" s="65"/>
    </row>
    <row r="21" spans="1:41" ht="12.75" customHeight="1" x14ac:dyDescent="0.2">
      <c r="A21" s="186" t="s">
        <v>201</v>
      </c>
      <c r="B21" s="189" t="s">
        <v>203</v>
      </c>
      <c r="C21" s="192" t="s">
        <v>204</v>
      </c>
      <c r="D21" s="195" t="s">
        <v>205</v>
      </c>
      <c r="E21" s="196"/>
      <c r="F21" s="196"/>
      <c r="G21" s="196"/>
      <c r="H21" s="195" t="s">
        <v>206</v>
      </c>
      <c r="I21" s="196"/>
      <c r="J21" s="196"/>
      <c r="K21" s="196"/>
      <c r="L21" s="197" t="s">
        <v>207</v>
      </c>
      <c r="M21" s="198"/>
      <c r="N21" s="198"/>
      <c r="O21" s="198"/>
      <c r="P21" s="198"/>
      <c r="Q21" s="198"/>
      <c r="R21" s="198"/>
      <c r="S21" s="192"/>
      <c r="T21" s="201" t="s">
        <v>208</v>
      </c>
      <c r="U21" s="203" t="s">
        <v>209</v>
      </c>
      <c r="V21" s="196" t="s">
        <v>210</v>
      </c>
      <c r="W21" s="196" t="s">
        <v>211</v>
      </c>
      <c r="X21" s="196" t="s">
        <v>212</v>
      </c>
      <c r="Y21" s="196" t="s">
        <v>213</v>
      </c>
      <c r="Z21" s="196" t="s">
        <v>214</v>
      </c>
      <c r="AA21" s="201" t="s">
        <v>215</v>
      </c>
      <c r="AB21" s="197" t="s">
        <v>216</v>
      </c>
      <c r="AC21" s="208" t="s">
        <v>217</v>
      </c>
      <c r="AD21" s="209"/>
      <c r="AE21" s="209"/>
      <c r="AF21" s="209"/>
      <c r="AG21" s="209"/>
      <c r="AH21" s="209"/>
      <c r="AI21" s="209"/>
      <c r="AJ21" s="209"/>
      <c r="AK21" s="209"/>
      <c r="AL21" s="209"/>
      <c r="AM21" s="209"/>
      <c r="AN21" s="210"/>
    </row>
    <row r="22" spans="1:41" x14ac:dyDescent="0.2">
      <c r="A22" s="187"/>
      <c r="B22" s="190"/>
      <c r="C22" s="193"/>
      <c r="D22" s="214" t="s">
        <v>218</v>
      </c>
      <c r="E22" s="205" t="s">
        <v>219</v>
      </c>
      <c r="F22" s="205"/>
      <c r="G22" s="205" t="s">
        <v>220</v>
      </c>
      <c r="H22" s="214" t="s">
        <v>218</v>
      </c>
      <c r="I22" s="205" t="s">
        <v>221</v>
      </c>
      <c r="J22" s="205"/>
      <c r="K22" s="205" t="s">
        <v>222</v>
      </c>
      <c r="L22" s="199"/>
      <c r="M22" s="200"/>
      <c r="N22" s="200"/>
      <c r="O22" s="200"/>
      <c r="P22" s="200"/>
      <c r="Q22" s="200"/>
      <c r="R22" s="200"/>
      <c r="S22" s="194"/>
      <c r="T22" s="202"/>
      <c r="U22" s="204"/>
      <c r="V22" s="205"/>
      <c r="W22" s="205"/>
      <c r="X22" s="205"/>
      <c r="Y22" s="205"/>
      <c r="Z22" s="205"/>
      <c r="AA22" s="202"/>
      <c r="AB22" s="215"/>
      <c r="AC22" s="211"/>
      <c r="AD22" s="212"/>
      <c r="AE22" s="212"/>
      <c r="AF22" s="212"/>
      <c r="AG22" s="212"/>
      <c r="AH22" s="212"/>
      <c r="AI22" s="212"/>
      <c r="AJ22" s="212"/>
      <c r="AK22" s="212"/>
      <c r="AL22" s="212"/>
      <c r="AM22" s="212"/>
      <c r="AN22" s="213"/>
    </row>
    <row r="23" spans="1:41" ht="42.75" customHeight="1" x14ac:dyDescent="0.2">
      <c r="A23" s="188"/>
      <c r="B23" s="191"/>
      <c r="C23" s="194"/>
      <c r="D23" s="214"/>
      <c r="E23" s="205"/>
      <c r="F23" s="205"/>
      <c r="G23" s="205"/>
      <c r="H23" s="214"/>
      <c r="I23" s="205"/>
      <c r="J23" s="205"/>
      <c r="K23" s="205"/>
      <c r="L23" s="88" t="s">
        <v>191</v>
      </c>
      <c r="M23" s="89" t="s">
        <v>193</v>
      </c>
      <c r="N23" s="89" t="s">
        <v>195</v>
      </c>
      <c r="O23" s="89" t="s">
        <v>223</v>
      </c>
      <c r="P23" s="89" t="s">
        <v>197</v>
      </c>
      <c r="Q23" s="89" t="s">
        <v>199</v>
      </c>
      <c r="R23" s="89" t="s">
        <v>224</v>
      </c>
      <c r="S23" s="89" t="s">
        <v>225</v>
      </c>
      <c r="T23" s="202"/>
      <c r="U23" s="204"/>
      <c r="V23" s="205"/>
      <c r="W23" s="205"/>
      <c r="X23" s="205"/>
      <c r="Y23" s="205"/>
      <c r="Z23" s="205"/>
      <c r="AA23" s="202"/>
      <c r="AB23" s="199"/>
      <c r="AC23" s="90" t="s">
        <v>226</v>
      </c>
      <c r="AD23" s="91" t="s">
        <v>227</v>
      </c>
      <c r="AE23" s="91" t="s">
        <v>86</v>
      </c>
      <c r="AF23" s="91" t="s">
        <v>228</v>
      </c>
      <c r="AG23" s="92" t="s">
        <v>229</v>
      </c>
      <c r="AH23" s="91" t="s">
        <v>230</v>
      </c>
      <c r="AI23" s="92" t="s">
        <v>231</v>
      </c>
      <c r="AJ23" s="91" t="s">
        <v>232</v>
      </c>
      <c r="AK23" s="92" t="s">
        <v>233</v>
      </c>
      <c r="AL23" s="92" t="s">
        <v>234</v>
      </c>
      <c r="AM23" s="92" t="s">
        <v>235</v>
      </c>
      <c r="AN23" s="93" t="s">
        <v>236</v>
      </c>
    </row>
    <row r="24" spans="1:41" ht="19.5" customHeight="1" thickBot="1" x14ac:dyDescent="0.25">
      <c r="A24" s="94"/>
      <c r="B24" s="94"/>
      <c r="C24" s="95"/>
      <c r="D24" s="96"/>
      <c r="E24" s="97"/>
      <c r="F24" s="97"/>
      <c r="G24" s="97"/>
      <c r="H24" s="98"/>
      <c r="I24" s="97"/>
      <c r="J24" s="97"/>
      <c r="K24" s="97"/>
      <c r="L24" s="99"/>
      <c r="M24" s="100"/>
      <c r="N24" s="100"/>
      <c r="O24" s="100"/>
      <c r="P24" s="100"/>
      <c r="Q24" s="100"/>
      <c r="R24" s="100"/>
      <c r="S24" s="100"/>
      <c r="T24" s="101"/>
      <c r="U24" s="102"/>
      <c r="V24" s="102"/>
      <c r="W24" s="102"/>
      <c r="X24" s="102"/>
      <c r="Y24" s="102"/>
      <c r="Z24" s="102"/>
      <c r="AA24" s="103"/>
      <c r="AB24" s="104"/>
      <c r="AC24" s="105">
        <v>219</v>
      </c>
      <c r="AD24" s="106">
        <f>AC24+7</f>
        <v>226</v>
      </c>
      <c r="AE24" s="106">
        <v>99</v>
      </c>
      <c r="AF24" s="107"/>
      <c r="AG24" s="108"/>
      <c r="AH24" s="107"/>
      <c r="AI24" s="108"/>
      <c r="AJ24" s="107"/>
      <c r="AK24" s="109"/>
      <c r="AL24" s="107"/>
      <c r="AM24" s="110"/>
      <c r="AN24" s="111"/>
    </row>
    <row r="25" spans="1:41" s="133" customFormat="1" ht="42" customHeight="1" x14ac:dyDescent="0.2">
      <c r="A25" s="112" t="str">
        <f>A18</f>
        <v>3 CORE X 120 SQ MM + 1 CORE X 16 SQ MM + 1 CORE X 95 SQ MM (AB CABLES) (BARE)</v>
      </c>
      <c r="B25" s="113"/>
      <c r="C25" s="114" t="s">
        <v>240</v>
      </c>
      <c r="D25" s="117">
        <v>45233</v>
      </c>
      <c r="E25" s="157">
        <v>212174.68</v>
      </c>
      <c r="F25" s="115"/>
      <c r="G25" s="116">
        <v>148904</v>
      </c>
      <c r="H25" s="117">
        <f>$B$3</f>
        <v>45170</v>
      </c>
      <c r="I25" s="116">
        <v>211371</v>
      </c>
      <c r="J25" s="116"/>
      <c r="K25" s="116">
        <v>148904</v>
      </c>
      <c r="L25" s="118">
        <v>3</v>
      </c>
      <c r="M25" s="119">
        <v>0.34599999999999997</v>
      </c>
      <c r="N25" s="119">
        <v>0.27400000000000002</v>
      </c>
      <c r="O25" s="119">
        <v>4.5999999999999999E-2</v>
      </c>
      <c r="P25" s="119">
        <v>7.2999999999999995E-2</v>
      </c>
      <c r="Q25" s="119"/>
      <c r="R25" s="119">
        <v>2.4E-2</v>
      </c>
      <c r="S25" s="119"/>
      <c r="T25" s="120">
        <f>B18</f>
        <v>367356.23183999991</v>
      </c>
      <c r="U25" s="121">
        <f>(M25*L25*(E25-I25))</f>
        <v>834.21983999999259</v>
      </c>
      <c r="V25" s="121">
        <f>N25*(E25-I25)</f>
        <v>220.20831999999811</v>
      </c>
      <c r="W25" s="121">
        <f>O25*(E25-I25)</f>
        <v>36.969279999999678</v>
      </c>
      <c r="X25" s="121">
        <f>(P25*L25*(G25-K25))</f>
        <v>0</v>
      </c>
      <c r="Y25" s="121">
        <f>Q25*(G25-K25)</f>
        <v>0</v>
      </c>
      <c r="Z25" s="121">
        <f>R25*(G25-K25)</f>
        <v>0</v>
      </c>
      <c r="AA25" s="122">
        <f>U25+V25+W25+X25+Y25+Z25</f>
        <v>1091.3974399999902</v>
      </c>
      <c r="AB25" s="123">
        <f>T25+AA25</f>
        <v>368447.62927999988</v>
      </c>
      <c r="AC25" s="124">
        <f>'AUTO CALCULATION SHEET (2)'!N18</f>
        <v>1018</v>
      </c>
      <c r="AD25" s="125">
        <f>'AUTO CALCULATION SHEET (2)'!T18</f>
        <v>260</v>
      </c>
      <c r="AE25" s="126">
        <f>'AUTO CALCULATION SHEET (2)'!AF18</f>
        <v>232</v>
      </c>
      <c r="AF25" s="127">
        <f>SUMPRODUCT($AC$24:$AE$24,AC25:AE25)</f>
        <v>304670</v>
      </c>
      <c r="AG25" s="128">
        <f>'AUTO CALCULATION SHEET (2)'!BZ18</f>
        <v>7486.04</v>
      </c>
      <c r="AH25" s="127">
        <f>+AF25+AG25</f>
        <v>312156.03999999998</v>
      </c>
      <c r="AI25" s="127">
        <f>+AB25-AH25</f>
        <v>56291.589279999898</v>
      </c>
      <c r="AJ25" s="129">
        <f>+AI25/AH25</f>
        <v>0.18033157160758415</v>
      </c>
      <c r="AK25" s="130"/>
      <c r="AL25" s="130">
        <v>0.02</v>
      </c>
      <c r="AM25" s="130">
        <v>0.02</v>
      </c>
      <c r="AN25" s="131">
        <f>+AJ25-(AK25+AL25+AM25)</f>
        <v>0.14033157160758414</v>
      </c>
      <c r="AO25" s="132"/>
    </row>
    <row r="26" spans="1:41" s="133" customFormat="1" ht="42.75" customHeight="1" x14ac:dyDescent="0.2">
      <c r="A26" s="112" t="str">
        <f>A19</f>
        <v>3 CORE X 150 SQ MM + 1 CORE X 125 SQ MM + 1 CORE X 16 SQ MM (AB CABLES) (BARE)</v>
      </c>
      <c r="B26" s="134"/>
      <c r="C26" s="114" t="s">
        <v>240</v>
      </c>
      <c r="D26" s="117">
        <v>45233</v>
      </c>
      <c r="E26" s="157">
        <v>212174.68</v>
      </c>
      <c r="F26" s="115"/>
      <c r="G26" s="116">
        <v>148904</v>
      </c>
      <c r="H26" s="117">
        <f t="shared" ref="H26" si="0">$B$3</f>
        <v>45170</v>
      </c>
      <c r="I26" s="116">
        <v>211371</v>
      </c>
      <c r="J26" s="116"/>
      <c r="K26" s="116">
        <v>148904</v>
      </c>
      <c r="L26" s="118">
        <v>3</v>
      </c>
      <c r="M26" s="119">
        <v>0.42499999999999999</v>
      </c>
      <c r="N26" s="119">
        <v>0.34599999999999997</v>
      </c>
      <c r="O26" s="119">
        <v>4.5999999999999999E-2</v>
      </c>
      <c r="P26" s="119">
        <v>8.5000000000000006E-2</v>
      </c>
      <c r="Q26" s="119"/>
      <c r="R26" s="119">
        <v>2.4E-2</v>
      </c>
      <c r="S26" s="119"/>
      <c r="T26" s="120">
        <f>B19</f>
        <v>473525.19968000008</v>
      </c>
      <c r="U26" s="121">
        <f>(M26*L26*(E26-I26))</f>
        <v>1024.6919999999909</v>
      </c>
      <c r="V26" s="121">
        <f>N26*(E26-I26)</f>
        <v>278.07327999999757</v>
      </c>
      <c r="W26" s="121">
        <f>O26*(E26-I26)</f>
        <v>36.969279999999678</v>
      </c>
      <c r="X26" s="121">
        <f>(P26*L26*(G26-K26))</f>
        <v>0</v>
      </c>
      <c r="Y26" s="121">
        <f>Q26*(G26-K26)</f>
        <v>0</v>
      </c>
      <c r="Z26" s="121">
        <f>R26*(G26-K26)</f>
        <v>0</v>
      </c>
      <c r="AA26" s="122">
        <f>U26+V26+W26+X26+Y26+Z26</f>
        <v>1339.7345599999881</v>
      </c>
      <c r="AB26" s="123">
        <f>T26+AA26</f>
        <v>474864.93424000009</v>
      </c>
      <c r="AC26" s="124">
        <f>'AUTO CALCULATION SHEET (2)'!N19</f>
        <v>1261</v>
      </c>
      <c r="AD26" s="125">
        <f>'AUTO CALCULATION SHEET (2)'!T19</f>
        <v>348</v>
      </c>
      <c r="AE26" s="126">
        <f>'AUTO CALCULATION SHEET (2)'!AF19</f>
        <v>300</v>
      </c>
      <c r="AF26" s="127">
        <f>SUMPRODUCT($AC$24:$AE$24,AC26:AE26)</f>
        <v>384507</v>
      </c>
      <c r="AG26" s="128">
        <f>'AUTO CALCULATION SHEET (2)'!BZ19</f>
        <v>17580.080000000002</v>
      </c>
      <c r="AH26" s="127">
        <f>+AF26+AG26</f>
        <v>402087.08</v>
      </c>
      <c r="AI26" s="127">
        <f>+AB26-AH26</f>
        <v>72777.854240000073</v>
      </c>
      <c r="AJ26" s="129">
        <f>+AI26/AH26</f>
        <v>0.18100023069629612</v>
      </c>
      <c r="AK26" s="130"/>
      <c r="AL26" s="130">
        <v>0.02</v>
      </c>
      <c r="AM26" s="130">
        <v>0.02</v>
      </c>
      <c r="AN26" s="131">
        <f t="shared" ref="AN26" si="1">+AJ26-(AK26+AL26+AM26)</f>
        <v>0.14100023069629611</v>
      </c>
      <c r="AO26" s="132"/>
    </row>
    <row r="27" spans="1:41" s="133" customFormat="1" ht="15.75" customHeight="1" thickBot="1" x14ac:dyDescent="0.25">
      <c r="A27" s="135"/>
      <c r="B27" s="135"/>
      <c r="C27" s="136"/>
      <c r="D27" s="137"/>
      <c r="E27" s="138"/>
      <c r="F27" s="138"/>
      <c r="G27" s="138"/>
      <c r="H27" s="139"/>
      <c r="I27" s="140"/>
      <c r="J27" s="140"/>
      <c r="K27" s="140"/>
      <c r="L27" s="141"/>
      <c r="M27" s="142"/>
      <c r="N27" s="142"/>
      <c r="O27" s="142"/>
      <c r="P27" s="142"/>
      <c r="Q27" s="142"/>
      <c r="R27" s="142"/>
      <c r="S27" s="142"/>
      <c r="T27" s="143"/>
      <c r="U27" s="144"/>
      <c r="V27" s="144"/>
      <c r="W27" s="144"/>
      <c r="X27" s="144"/>
      <c r="Y27" s="145"/>
      <c r="Z27" s="145"/>
      <c r="AA27" s="146"/>
      <c r="AB27" s="147"/>
      <c r="AC27" s="148"/>
      <c r="AD27" s="149"/>
      <c r="AE27" s="149"/>
      <c r="AF27" s="149"/>
      <c r="AG27" s="149"/>
      <c r="AH27" s="149"/>
      <c r="AI27" s="149"/>
      <c r="AJ27" s="149"/>
      <c r="AK27" s="149"/>
      <c r="AL27" s="149"/>
      <c r="AM27" s="149"/>
      <c r="AN27" s="150"/>
    </row>
    <row r="28" spans="1:41" x14ac:dyDescent="0.2">
      <c r="E28" s="151"/>
    </row>
  </sheetData>
  <mergeCells count="34">
    <mergeCell ref="AC21:AN22"/>
    <mergeCell ref="D22:D23"/>
    <mergeCell ref="E22:E23"/>
    <mergeCell ref="F22:F23"/>
    <mergeCell ref="G22:G23"/>
    <mergeCell ref="H22:H23"/>
    <mergeCell ref="I22:I23"/>
    <mergeCell ref="W21:W23"/>
    <mergeCell ref="X21:X23"/>
    <mergeCell ref="Y21:Y23"/>
    <mergeCell ref="Z21:Z23"/>
    <mergeCell ref="J22:J23"/>
    <mergeCell ref="K22:K23"/>
    <mergeCell ref="AA21:AA23"/>
    <mergeCell ref="AB21:AB23"/>
    <mergeCell ref="U7:X7"/>
    <mergeCell ref="A21:A23"/>
    <mergeCell ref="B21:B23"/>
    <mergeCell ref="C21:C23"/>
    <mergeCell ref="D21:G21"/>
    <mergeCell ref="H21:K21"/>
    <mergeCell ref="L21:S22"/>
    <mergeCell ref="T21:T23"/>
    <mergeCell ref="U21:U23"/>
    <mergeCell ref="V21:V23"/>
    <mergeCell ref="B14:H14"/>
    <mergeCell ref="J14:N14"/>
    <mergeCell ref="A1:H1"/>
    <mergeCell ref="A2:H2"/>
    <mergeCell ref="B3:H3"/>
    <mergeCell ref="B4:H4"/>
    <mergeCell ref="I4:R6"/>
    <mergeCell ref="A5:H5"/>
    <mergeCell ref="A6:H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2023-11-04T06:41:50Z</dcterms:modified>
</cp:coreProperties>
</file>